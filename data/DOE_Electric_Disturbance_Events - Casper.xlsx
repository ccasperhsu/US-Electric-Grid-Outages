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chsu\Desktop\Project 3\"/>
    </mc:Choice>
  </mc:AlternateContent>
  <xr:revisionPtr revIDLastSave="0" documentId="13_ncr:1_{5BC3ACF6-6151-4B0E-9536-889D93F9B0EB}" xr6:coauthVersionLast="47" xr6:coauthVersionMax="47" xr10:uidLastSave="{00000000-0000-0000-0000-000000000000}"/>
  <bookViews>
    <workbookView xWindow="-120" yWindow="-120" windowWidth="29040" windowHeight="15840" firstSheet="8" activeTab="23" xr2:uid="{00000000-000D-0000-FFFF-FFFF00000000}"/>
  </bookViews>
  <sheets>
    <sheet name="2002" sheetId="1" r:id="rId1"/>
    <sheet name="2003" sheetId="4" r:id="rId2"/>
    <sheet name="2004" sheetId="5" r:id="rId3"/>
    <sheet name="2005" sheetId="6" r:id="rId4"/>
    <sheet name="2006" sheetId="7" r:id="rId5"/>
    <sheet name="2007" sheetId="8" r:id="rId6"/>
    <sheet name="2008" sheetId="9" r:id="rId7"/>
    <sheet name="2009" sheetId="10" r:id="rId8"/>
    <sheet name="2010" sheetId="11" r:id="rId9"/>
    <sheet name="2011" sheetId="12" r:id="rId10"/>
    <sheet name="2012" sheetId="13" r:id="rId11"/>
    <sheet name="2013" sheetId="14" r:id="rId12"/>
    <sheet name="2014" sheetId="15" r:id="rId13"/>
    <sheet name="2015" sheetId="16" r:id="rId14"/>
    <sheet name="2016" sheetId="17" r:id="rId15"/>
    <sheet name="2017" sheetId="18" r:id="rId16"/>
    <sheet name="2018" sheetId="19" r:id="rId17"/>
    <sheet name="2019" sheetId="20" r:id="rId18"/>
    <sheet name="2020" sheetId="21" r:id="rId19"/>
    <sheet name="2021" sheetId="22" r:id="rId20"/>
    <sheet name="2022" sheetId="23" r:id="rId21"/>
    <sheet name="2023" sheetId="28" r:id="rId22"/>
    <sheet name="2010-2023" sheetId="25" r:id="rId23"/>
    <sheet name="Cleaned" sheetId="26" r:id="rId24"/>
  </sheets>
  <externalReferences>
    <externalReference r:id="rId25"/>
  </externalReferences>
  <definedNames>
    <definedName name="_xlnm._FilterDatabase" localSheetId="8" hidden="1">'2010'!$A$2:$H$146</definedName>
    <definedName name="_xlnm._FilterDatabase" localSheetId="22" hidden="1">'2010-2023'!$C$2:$M$3274</definedName>
    <definedName name="_xlnm._FilterDatabase" localSheetId="9" hidden="1">'2011'!$A$2:$I$321</definedName>
    <definedName name="_xlnm._FilterDatabase" localSheetId="10" hidden="1">'2012'!$A$2:$L$224</definedName>
    <definedName name="_xlnm._FilterDatabase" localSheetId="11" hidden="1">'2013'!$A$2:$I$188</definedName>
    <definedName name="_xlnm._FilterDatabase" localSheetId="12" hidden="1">'2014'!$A$2:$I$230</definedName>
    <definedName name="_xlnm._FilterDatabase" localSheetId="13" hidden="1">'2015'!$A$2:$K$145</definedName>
    <definedName name="_xlnm._FilterDatabase" localSheetId="14" hidden="1">'2016'!$A$2:$K$143</definedName>
    <definedName name="_xlnm._FilterDatabase" localSheetId="15" hidden="1">'2017'!$A$2:$K$145</definedName>
    <definedName name="_xlnm._FilterDatabase" localSheetId="16" hidden="1">'2018'!$A$2:$K$2</definedName>
    <definedName name="_xlnm._FilterDatabase" localSheetId="17" hidden="1">'2019'!$A$2:$K$2</definedName>
    <definedName name="_xlnm._FilterDatabase" localSheetId="18" hidden="1">'2020'!$A$2:$K$2</definedName>
    <definedName name="_xlnm._FilterDatabase" localSheetId="19" hidden="1">'2021'!$A$2:$K$2</definedName>
    <definedName name="_xlnm._FilterDatabase" localSheetId="20" hidden="1">'2022'!$A$2:$K$2</definedName>
    <definedName name="_xlnm._FilterDatabase" localSheetId="21" hidden="1">'2023'!$A$2:$K$2</definedName>
    <definedName name="_xlnm._FilterDatabase" localSheetId="23" hidden="1">Cleaned!$A$2:$K$3456</definedName>
    <definedName name="_ftn1" localSheetId="4">'2006'!$A$112</definedName>
    <definedName name="_ftn1" localSheetId="5">'2007'!$A$97</definedName>
    <definedName name="_ftn1" localSheetId="6">'2008'!$A$196</definedName>
    <definedName name="_ftn1" localSheetId="7">'2009'!$A$124</definedName>
    <definedName name="_ftn1" localSheetId="8">'2010'!$A$144</definedName>
    <definedName name="_ftn2" localSheetId="4">'2006'!$A$113</definedName>
    <definedName name="_ftn2" localSheetId="5">'2007'!$A$98</definedName>
    <definedName name="_ftn2" localSheetId="6">'2008'!$A$197</definedName>
    <definedName name="_ftn2" localSheetId="7">'2009'!$A$125</definedName>
    <definedName name="_ftn2" localSheetId="8">'2010'!$A$145</definedName>
    <definedName name="_ftn3" localSheetId="4">'2006'!$A$114</definedName>
    <definedName name="_ftn3" localSheetId="5">'2007'!$A$99</definedName>
    <definedName name="_ftn3" localSheetId="6">'2008'!$A$198</definedName>
    <definedName name="_ftn3" localSheetId="7">'2009'!$A$126</definedName>
    <definedName name="_ftn3" localSheetId="8">'2010'!$A$146</definedName>
    <definedName name="_ftnref1" localSheetId="4">'2006'!$G$94</definedName>
    <definedName name="_ftnref1" localSheetId="5">'2007'!$G$2</definedName>
    <definedName name="_ftnref1" localSheetId="6">'2008'!$G$187</definedName>
    <definedName name="_ftnref1" localSheetId="7">'2009'!$G$83</definedName>
    <definedName name="_ftnref1" localSheetId="8">'2010'!$G$122</definedName>
    <definedName name="OLE_LINK1" localSheetId="6">'2008'!$A$2</definedName>
    <definedName name="_xlnm.Print_Titles" localSheetId="11">'2013'!$1:$2</definedName>
    <definedName name="_xlnm.Print_Titles" localSheetId="12">'2014'!$1:$2</definedName>
    <definedName name="_xlnm.Print_Titles" localSheetId="13">'2015'!$1:$2</definedName>
    <definedName name="_xlnm.Print_Titles" localSheetId="14">'2016'!$1:$2</definedName>
    <definedName name="_xlnm.Print_Titles" localSheetId="15">'2017'!$1:$2</definedName>
    <definedName name="_xlnm.Print_Titles" localSheetId="16">'2018'!$1:$2</definedName>
    <definedName name="_xlnm.Print_Titles" localSheetId="17">'2019'!$1:$2</definedName>
    <definedName name="_xlnm.Print_Titles" localSheetId="18">'2020'!$1:$2</definedName>
    <definedName name="_xlnm.Print_Titles" localSheetId="19">'2021'!$1:$2</definedName>
    <definedName name="_xlnm.Print_Titles" localSheetId="20">'2022'!$1:$2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60" i="26" l="1"/>
  <c r="D3460" i="26"/>
  <c r="C3460" i="26"/>
  <c r="E3460" i="26"/>
  <c r="M3456" i="26"/>
  <c r="K3460" i="26"/>
  <c r="J3460" i="26"/>
  <c r="M3459" i="26"/>
  <c r="M3458" i="26"/>
  <c r="M3457" i="26"/>
  <c r="M3455" i="26"/>
  <c r="M3454" i="26"/>
  <c r="M3453" i="26"/>
  <c r="M3452" i="26"/>
  <c r="M3451" i="26"/>
  <c r="M3450" i="26"/>
  <c r="M3449" i="26"/>
  <c r="M3448" i="26"/>
  <c r="M3447" i="26"/>
  <c r="M3446" i="26"/>
  <c r="M3445" i="26"/>
  <c r="M3444" i="26"/>
  <c r="M3443" i="26"/>
  <c r="M3442" i="26"/>
  <c r="M3441" i="26"/>
  <c r="M3440" i="26"/>
  <c r="M3439" i="26"/>
  <c r="M3438" i="26"/>
  <c r="M3437" i="26"/>
  <c r="M3436" i="26"/>
  <c r="M3435" i="26"/>
  <c r="M3434" i="26"/>
  <c r="M3433" i="26"/>
  <c r="M3432" i="26"/>
  <c r="M3431" i="26"/>
  <c r="M3430" i="26"/>
  <c r="M3429" i="26"/>
  <c r="M3428" i="26"/>
  <c r="M3427" i="26"/>
  <c r="M3426" i="26"/>
  <c r="M3425" i="26"/>
  <c r="M3424" i="26"/>
  <c r="M3423" i="26"/>
  <c r="M3422" i="26"/>
  <c r="M3421" i="26"/>
  <c r="M3420" i="26"/>
  <c r="M3419" i="26"/>
  <c r="M3418" i="26"/>
  <c r="M3417" i="26"/>
  <c r="M3416" i="26"/>
  <c r="M3415" i="26"/>
  <c r="M3414" i="26"/>
  <c r="M3413" i="26"/>
  <c r="M3412" i="26"/>
  <c r="M3411" i="26"/>
  <c r="M3410" i="26"/>
  <c r="M3409" i="26"/>
  <c r="M3408" i="26"/>
  <c r="M3407" i="26"/>
  <c r="M3406" i="26"/>
  <c r="M3405" i="26"/>
  <c r="M3404" i="26"/>
  <c r="M3403" i="26"/>
  <c r="M3402" i="26"/>
  <c r="M3401" i="26"/>
  <c r="M3400" i="26"/>
  <c r="M3399" i="26"/>
  <c r="M3398" i="26"/>
  <c r="M3397" i="26"/>
  <c r="M3396" i="26"/>
  <c r="M3395" i="26"/>
  <c r="M3394" i="26"/>
  <c r="M3393" i="26"/>
  <c r="M3392" i="26"/>
  <c r="M3391" i="26"/>
  <c r="M3390" i="26"/>
  <c r="M3389" i="26"/>
  <c r="M3388" i="26"/>
  <c r="M3387" i="26"/>
  <c r="M3386" i="26"/>
  <c r="M3385" i="26"/>
  <c r="M3384" i="26"/>
  <c r="M3383" i="26"/>
  <c r="M3382" i="26"/>
  <c r="M3381" i="26"/>
  <c r="M3380" i="26"/>
  <c r="M3379" i="26"/>
  <c r="M3378" i="26"/>
  <c r="M3377" i="26"/>
  <c r="M3376" i="26"/>
  <c r="M3375" i="26"/>
  <c r="M3374" i="26"/>
  <c r="M3373" i="26"/>
  <c r="M3372" i="26"/>
  <c r="M3371" i="26"/>
  <c r="M3370" i="26"/>
  <c r="M3369" i="26"/>
  <c r="M3368" i="26"/>
  <c r="M3367" i="26"/>
  <c r="M3366" i="26"/>
  <c r="M3365" i="26"/>
  <c r="M3364" i="26"/>
  <c r="M3363" i="26"/>
  <c r="M3362" i="26"/>
  <c r="M3361" i="26"/>
  <c r="M3360" i="26"/>
  <c r="M3359" i="26"/>
  <c r="M3358" i="26"/>
  <c r="M3357" i="26"/>
  <c r="M3356" i="26"/>
  <c r="M3355" i="26"/>
  <c r="M3354" i="26"/>
  <c r="M3353" i="26"/>
  <c r="M3352" i="26"/>
  <c r="M3351" i="26"/>
  <c r="M3350" i="26"/>
  <c r="M3349" i="26"/>
  <c r="M3348" i="26"/>
  <c r="M3347" i="26"/>
  <c r="M3346" i="26"/>
  <c r="M3345" i="26"/>
  <c r="M3344" i="26"/>
  <c r="M3343" i="26"/>
  <c r="M3342" i="26"/>
  <c r="M3341" i="26"/>
  <c r="M3340" i="26"/>
  <c r="M3339" i="26"/>
  <c r="M3338" i="26"/>
  <c r="M3337" i="26"/>
  <c r="M3336" i="26"/>
  <c r="M3335" i="26"/>
  <c r="M3334" i="26"/>
  <c r="M3333" i="26"/>
  <c r="M3332" i="26"/>
  <c r="M3331" i="26"/>
  <c r="M3330" i="26"/>
  <c r="M3329" i="26"/>
  <c r="M3328" i="26"/>
  <c r="M3327" i="26"/>
  <c r="M3326" i="26"/>
  <c r="M3325" i="26"/>
  <c r="M3324" i="26"/>
  <c r="M3323" i="26"/>
  <c r="M3322" i="26"/>
  <c r="M3321" i="26"/>
  <c r="M3320" i="26"/>
  <c r="M3319" i="26"/>
  <c r="M3318" i="26"/>
  <c r="M3317" i="26"/>
  <c r="M3316" i="26"/>
  <c r="M3315" i="26"/>
  <c r="M3314" i="26"/>
  <c r="M3313" i="26"/>
  <c r="M3312" i="26"/>
  <c r="M3311" i="26"/>
  <c r="M3310" i="26"/>
  <c r="M3309" i="26"/>
  <c r="M3308" i="26"/>
  <c r="M3307" i="26"/>
  <c r="M3306" i="26"/>
  <c r="M3305" i="26"/>
  <c r="M3304" i="26"/>
  <c r="M3303" i="26"/>
  <c r="M3302" i="26"/>
  <c r="M3301" i="26"/>
  <c r="M3300" i="26"/>
  <c r="M3299" i="26"/>
  <c r="M3298" i="26"/>
  <c r="M3297" i="26"/>
  <c r="M3296" i="26"/>
  <c r="M3295" i="26"/>
  <c r="M3294" i="26"/>
  <c r="M3293" i="26"/>
  <c r="M3292" i="26"/>
  <c r="M3291" i="26"/>
  <c r="M3290" i="26"/>
  <c r="M3289" i="26"/>
  <c r="M3288" i="26"/>
  <c r="M3287" i="26"/>
  <c r="M3286" i="26"/>
  <c r="M3285" i="26"/>
  <c r="M3284" i="26"/>
  <c r="M3283" i="26"/>
  <c r="M3282" i="26"/>
  <c r="M3281" i="26"/>
  <c r="M3280" i="26"/>
  <c r="M3279" i="26"/>
  <c r="M3278" i="26"/>
  <c r="M3277" i="26"/>
  <c r="M3276" i="26"/>
  <c r="M3275" i="26"/>
  <c r="M3274" i="26"/>
  <c r="M3273" i="26"/>
  <c r="M3272" i="26"/>
  <c r="M3271" i="26"/>
  <c r="M3270" i="26"/>
  <c r="M3269" i="26"/>
  <c r="M3268" i="26"/>
  <c r="M3267" i="26"/>
  <c r="M3266" i="26"/>
  <c r="M3265" i="26"/>
  <c r="M3264" i="26"/>
  <c r="M3263" i="26"/>
  <c r="M3262" i="26"/>
  <c r="M3261" i="26"/>
  <c r="M3260" i="26"/>
  <c r="M3259" i="26"/>
  <c r="M3258" i="26"/>
  <c r="M3257" i="26"/>
  <c r="M3256" i="26"/>
  <c r="M3255" i="26"/>
  <c r="M3254" i="26"/>
  <c r="M3253" i="26"/>
  <c r="M3252" i="26"/>
  <c r="M3251" i="26"/>
  <c r="M3250" i="26"/>
  <c r="M3249" i="26"/>
  <c r="M3248" i="26"/>
  <c r="M3247" i="26"/>
  <c r="M3246" i="26"/>
  <c r="M3245" i="26"/>
  <c r="M3244" i="26"/>
  <c r="M3243" i="26"/>
  <c r="M3242" i="26"/>
  <c r="M3241" i="26"/>
  <c r="M3240" i="26"/>
  <c r="M3239" i="26"/>
  <c r="M3238" i="26"/>
  <c r="M3237" i="26"/>
  <c r="M3236" i="26"/>
  <c r="M3235" i="26"/>
  <c r="M3234" i="26"/>
  <c r="M3233" i="26"/>
  <c r="M3232" i="26"/>
  <c r="M3231" i="26"/>
  <c r="M3230" i="26"/>
  <c r="M3229" i="26"/>
  <c r="M3228" i="26"/>
  <c r="M3227" i="26"/>
  <c r="M3226" i="26"/>
  <c r="M3225" i="26"/>
  <c r="M3224" i="26"/>
  <c r="M3223" i="26"/>
  <c r="M3222" i="26"/>
  <c r="M3221" i="26"/>
  <c r="M3220" i="26"/>
  <c r="M3219" i="26"/>
  <c r="M3218" i="26"/>
  <c r="M3217" i="26"/>
  <c r="M3216" i="26"/>
  <c r="M3215" i="26"/>
  <c r="M3214" i="26"/>
  <c r="M3213" i="26"/>
  <c r="M3212" i="26"/>
  <c r="M3211" i="26"/>
  <c r="M3210" i="26"/>
  <c r="M3209" i="26"/>
  <c r="M3208" i="26"/>
  <c r="M3207" i="26"/>
  <c r="M3206" i="26"/>
  <c r="M3205" i="26"/>
  <c r="M3204" i="26"/>
  <c r="M3203" i="26"/>
  <c r="M3202" i="26"/>
  <c r="M3201" i="26"/>
  <c r="M3200" i="26"/>
  <c r="M3199" i="26"/>
  <c r="M3198" i="26"/>
  <c r="M3197" i="26"/>
  <c r="M3196" i="26"/>
  <c r="M3195" i="26"/>
  <c r="M3194" i="26"/>
  <c r="M3193" i="26"/>
  <c r="M3192" i="26"/>
  <c r="M3191" i="26"/>
  <c r="M3190" i="26"/>
  <c r="M3189" i="26"/>
  <c r="M3188" i="26"/>
  <c r="M3187" i="26"/>
  <c r="M3186" i="26"/>
  <c r="M3185" i="26"/>
  <c r="M3184" i="26"/>
  <c r="M3183" i="26"/>
  <c r="M3182" i="26"/>
  <c r="M3181" i="26"/>
  <c r="M3180" i="26"/>
  <c r="M3179" i="26"/>
  <c r="M3178" i="26"/>
  <c r="M3177" i="26"/>
  <c r="M3176" i="26"/>
  <c r="M3175" i="26"/>
  <c r="M3174" i="26"/>
  <c r="M3173" i="26"/>
  <c r="M3172" i="26"/>
  <c r="M3171" i="26"/>
  <c r="M3170" i="26"/>
  <c r="M3169" i="26"/>
  <c r="M3168" i="26"/>
  <c r="M3167" i="26"/>
  <c r="M3166" i="26"/>
  <c r="M3165" i="26"/>
  <c r="M3164" i="26"/>
  <c r="M3163" i="26"/>
  <c r="M3162" i="26"/>
  <c r="M3161" i="26"/>
  <c r="M3160" i="26"/>
  <c r="M3159" i="26"/>
  <c r="M3158" i="26"/>
  <c r="M3157" i="26"/>
  <c r="M3156" i="26"/>
  <c r="M3155" i="26"/>
  <c r="M3154" i="26"/>
  <c r="M3153" i="26"/>
  <c r="M3152" i="26"/>
  <c r="M3151" i="26"/>
  <c r="M3150" i="26"/>
  <c r="M3149" i="26"/>
  <c r="M3148" i="26"/>
  <c r="M3147" i="26"/>
  <c r="M3146" i="26"/>
  <c r="M3145" i="26"/>
  <c r="M3144" i="26"/>
  <c r="M3143" i="26"/>
  <c r="M3142" i="26"/>
  <c r="M3141" i="26"/>
  <c r="M3140" i="26"/>
  <c r="M3139" i="26"/>
  <c r="M3138" i="26"/>
  <c r="M3137" i="26"/>
  <c r="M3136" i="26"/>
  <c r="M3135" i="26"/>
  <c r="M3134" i="26"/>
  <c r="M3133" i="26"/>
  <c r="M3132" i="26"/>
  <c r="M3131" i="26"/>
  <c r="M3130" i="26"/>
  <c r="M3129" i="26"/>
  <c r="M3128" i="26"/>
  <c r="M3127" i="26"/>
  <c r="M3126" i="26"/>
  <c r="M3125" i="26"/>
  <c r="M3124" i="26"/>
  <c r="M3123" i="26"/>
  <c r="M3122" i="26"/>
  <c r="M3121" i="26"/>
  <c r="M3120" i="26"/>
  <c r="M3119" i="26"/>
  <c r="M3118" i="26"/>
  <c r="M3117" i="26"/>
  <c r="M3116" i="26"/>
  <c r="M3115" i="26"/>
  <c r="M3114" i="26"/>
  <c r="M3113" i="26"/>
  <c r="M3112" i="26"/>
  <c r="M3111" i="26"/>
  <c r="M3110" i="26"/>
  <c r="M3109" i="26"/>
  <c r="M3108" i="26"/>
  <c r="M3107" i="26"/>
  <c r="M3106" i="26"/>
  <c r="M3105" i="26"/>
  <c r="M3104" i="26"/>
  <c r="M3103" i="26"/>
  <c r="M3102" i="26"/>
  <c r="M3101" i="26"/>
  <c r="M3100" i="26"/>
  <c r="M3099" i="26"/>
  <c r="M3098" i="26"/>
  <c r="M3097" i="26"/>
  <c r="M3096" i="26"/>
  <c r="M3095" i="26"/>
  <c r="M3094" i="26"/>
  <c r="M3093" i="26"/>
  <c r="M3092" i="26"/>
  <c r="M3091" i="26"/>
  <c r="M3090" i="26"/>
  <c r="M3089" i="26"/>
  <c r="M3088" i="26"/>
  <c r="M3087" i="26"/>
  <c r="M3086" i="26"/>
  <c r="M3085" i="26"/>
  <c r="M3084" i="26"/>
  <c r="M3083" i="26"/>
  <c r="M3082" i="26"/>
  <c r="M3081" i="26"/>
  <c r="M3080" i="26"/>
  <c r="M3079" i="26"/>
  <c r="M3078" i="26"/>
  <c r="M3077" i="26"/>
  <c r="M3076" i="26"/>
  <c r="M3075" i="26"/>
  <c r="M3074" i="26"/>
  <c r="M3073" i="26"/>
  <c r="M3072" i="26"/>
  <c r="M3071" i="26"/>
  <c r="M3070" i="26"/>
  <c r="M3069" i="26"/>
  <c r="M3068" i="26"/>
  <c r="M3067" i="26"/>
  <c r="M3066" i="26"/>
  <c r="M3065" i="26"/>
  <c r="M3064" i="26"/>
  <c r="M3063" i="26"/>
  <c r="M3062" i="26"/>
  <c r="M3061" i="26"/>
  <c r="M3060" i="26"/>
  <c r="M3059" i="26"/>
  <c r="M3058" i="26"/>
  <c r="M3057" i="26"/>
  <c r="M3056" i="26"/>
  <c r="M3055" i="26"/>
  <c r="M3054" i="26"/>
  <c r="M3053" i="26"/>
  <c r="M3052" i="26"/>
  <c r="M3051" i="26"/>
  <c r="M3050" i="26"/>
  <c r="M3049" i="26"/>
  <c r="M3048" i="26"/>
  <c r="M3047" i="26"/>
  <c r="M3046" i="26"/>
  <c r="M3045" i="26"/>
  <c r="M3044" i="26"/>
  <c r="M3043" i="26"/>
  <c r="M3042" i="26"/>
  <c r="M3041" i="26"/>
  <c r="M3040" i="26"/>
  <c r="M3039" i="26"/>
  <c r="M3038" i="26"/>
  <c r="M3037" i="26"/>
  <c r="M3036" i="26"/>
  <c r="M3035" i="26"/>
  <c r="M3034" i="26"/>
  <c r="M3033" i="26"/>
  <c r="M3032" i="26"/>
  <c r="M3031" i="26"/>
  <c r="M3030" i="26"/>
  <c r="M3029" i="26"/>
  <c r="M3028" i="26"/>
  <c r="M3027" i="26"/>
  <c r="M3026" i="26"/>
  <c r="M3025" i="26"/>
  <c r="M3024" i="26"/>
  <c r="M3023" i="26"/>
  <c r="M3022" i="26"/>
  <c r="M3021" i="26"/>
  <c r="M3020" i="26"/>
  <c r="M3019" i="26"/>
  <c r="M3018" i="26"/>
  <c r="M3017" i="26"/>
  <c r="M3016" i="26"/>
  <c r="M3015" i="26"/>
  <c r="M3014" i="26"/>
  <c r="M3013" i="26"/>
  <c r="M3012" i="26"/>
  <c r="M3011" i="26"/>
  <c r="M3010" i="26"/>
  <c r="M3009" i="26"/>
  <c r="M3008" i="26"/>
  <c r="M3007" i="26"/>
  <c r="M3006" i="26"/>
  <c r="M3005" i="26"/>
  <c r="M3004" i="26"/>
  <c r="M3003" i="26"/>
  <c r="M3002" i="26"/>
  <c r="M3001" i="26"/>
  <c r="M3000" i="26"/>
  <c r="M2999" i="26"/>
  <c r="M2998" i="26"/>
  <c r="M2997" i="26"/>
  <c r="M2996" i="26"/>
  <c r="M2995" i="26"/>
  <c r="M2994" i="26"/>
  <c r="M2993" i="26"/>
  <c r="M2992" i="26"/>
  <c r="M2991" i="26"/>
  <c r="M2990" i="26"/>
  <c r="M2989" i="26"/>
  <c r="M2988" i="26"/>
  <c r="M2987" i="26"/>
  <c r="M2986" i="26"/>
  <c r="M2985" i="26"/>
  <c r="M2984" i="26"/>
  <c r="M2983" i="26"/>
  <c r="M2982" i="26"/>
  <c r="M2981" i="26"/>
  <c r="M2980" i="26"/>
  <c r="M2979" i="26"/>
  <c r="M2978" i="26"/>
  <c r="M2977" i="26"/>
  <c r="M2976" i="26"/>
  <c r="M2975" i="26"/>
  <c r="M2974" i="26"/>
  <c r="M2973" i="26"/>
  <c r="M2972" i="26"/>
  <c r="M2971" i="26"/>
  <c r="M2970" i="26"/>
  <c r="M2969" i="26"/>
  <c r="M2968" i="26"/>
  <c r="M2967" i="26"/>
  <c r="M2966" i="26"/>
  <c r="M2965" i="26"/>
  <c r="M2964" i="26"/>
  <c r="M2963" i="26"/>
  <c r="M2962" i="26"/>
  <c r="M2961" i="26"/>
  <c r="M2960" i="26"/>
  <c r="M2959" i="26"/>
  <c r="M2958" i="26"/>
  <c r="M2957" i="26"/>
  <c r="M2956" i="26"/>
  <c r="M2955" i="26"/>
  <c r="M2954" i="26"/>
  <c r="M2953" i="26"/>
  <c r="M2952" i="26"/>
  <c r="M2951" i="26"/>
  <c r="M2950" i="26"/>
  <c r="M2949" i="26"/>
  <c r="M2948" i="26"/>
  <c r="M2947" i="26"/>
  <c r="M2946" i="26"/>
  <c r="M2945" i="26"/>
  <c r="M2944" i="26"/>
  <c r="M2943" i="26"/>
  <c r="M2942" i="26"/>
  <c r="M2941" i="26"/>
  <c r="M2940" i="26"/>
  <c r="M2939" i="26"/>
  <c r="M2938" i="26"/>
  <c r="M2937" i="26"/>
  <c r="M2936" i="26"/>
  <c r="M2935" i="26"/>
  <c r="M2934" i="26"/>
  <c r="M2933" i="26"/>
  <c r="M2932" i="26"/>
  <c r="M2931" i="26"/>
  <c r="M2930" i="26"/>
  <c r="M2929" i="26"/>
  <c r="M2928" i="26"/>
  <c r="M2927" i="26"/>
  <c r="M2926" i="26"/>
  <c r="M2925" i="26"/>
  <c r="M2924" i="26"/>
  <c r="M2923" i="26"/>
  <c r="M2922" i="26"/>
  <c r="M2921" i="26"/>
  <c r="M2920" i="26"/>
  <c r="M2919" i="26"/>
  <c r="M2918" i="26"/>
  <c r="M2917" i="26"/>
  <c r="M2916" i="26"/>
  <c r="M2915" i="26"/>
  <c r="M2914" i="26"/>
  <c r="M2913" i="26"/>
  <c r="M2912" i="26"/>
  <c r="M2911" i="26"/>
  <c r="M2910" i="26"/>
  <c r="M2909" i="26"/>
  <c r="M2908" i="26"/>
  <c r="M2907" i="26"/>
  <c r="M2906" i="26"/>
  <c r="M2905" i="26"/>
  <c r="M2904" i="26"/>
  <c r="M2903" i="26"/>
  <c r="M2902" i="26"/>
  <c r="M2901" i="26"/>
  <c r="M2900" i="26"/>
  <c r="M2899" i="26"/>
  <c r="M2898" i="26"/>
  <c r="M2897" i="26"/>
  <c r="M2896" i="26"/>
  <c r="M2895" i="26"/>
  <c r="M2894" i="26"/>
  <c r="M2893" i="26"/>
  <c r="M2892" i="26"/>
  <c r="M2891" i="26"/>
  <c r="M2890" i="26"/>
  <c r="M2889" i="26"/>
  <c r="M2888" i="26"/>
  <c r="M2887" i="26"/>
  <c r="M2886" i="26"/>
  <c r="M2885" i="26"/>
  <c r="M2884" i="26"/>
  <c r="M2883" i="26"/>
  <c r="M2882" i="26"/>
  <c r="M2881" i="26"/>
  <c r="M2880" i="26"/>
  <c r="M2879" i="26"/>
  <c r="M2878" i="26"/>
  <c r="M2877" i="26"/>
  <c r="M2876" i="26"/>
  <c r="M2875" i="26"/>
  <c r="M2874" i="26"/>
  <c r="M2873" i="26"/>
  <c r="M2872" i="26"/>
  <c r="M2871" i="26"/>
  <c r="M2870" i="26"/>
  <c r="M2869" i="26"/>
  <c r="M2868" i="26"/>
  <c r="M2867" i="26"/>
  <c r="M2866" i="26"/>
  <c r="M2865" i="26"/>
  <c r="M2864" i="26"/>
  <c r="M2863" i="26"/>
  <c r="M2862" i="26"/>
  <c r="M2861" i="26"/>
  <c r="M2860" i="26"/>
  <c r="M2859" i="26"/>
  <c r="M2858" i="26"/>
  <c r="M2857" i="26"/>
  <c r="M2856" i="26"/>
  <c r="M2855" i="26"/>
  <c r="M2854" i="26"/>
  <c r="M2853" i="26"/>
  <c r="M2852" i="26"/>
  <c r="M2851" i="26"/>
  <c r="M2850" i="26"/>
  <c r="M2849" i="26"/>
  <c r="M2848" i="26"/>
  <c r="M2847" i="26"/>
  <c r="M2846" i="26"/>
  <c r="M2845" i="26"/>
  <c r="M2844" i="26"/>
  <c r="M2843" i="26"/>
  <c r="M2842" i="26"/>
  <c r="M2841" i="26"/>
  <c r="M2840" i="26"/>
  <c r="M2839" i="26"/>
  <c r="M2838" i="26"/>
  <c r="M2837" i="26"/>
  <c r="M2836" i="26"/>
  <c r="M2835" i="26"/>
  <c r="M2834" i="26"/>
  <c r="M2833" i="26"/>
  <c r="M2832" i="26"/>
  <c r="M2831" i="26"/>
  <c r="M2830" i="26"/>
  <c r="M2829" i="26"/>
  <c r="M2828" i="26"/>
  <c r="M2827" i="26"/>
  <c r="M2826" i="26"/>
  <c r="M2825" i="26"/>
  <c r="M2824" i="26"/>
  <c r="M2823" i="26"/>
  <c r="M2822" i="26"/>
  <c r="M2821" i="26"/>
  <c r="M2820" i="26"/>
  <c r="M2819" i="26"/>
  <c r="M2818" i="26"/>
  <c r="M2817" i="26"/>
  <c r="M2816" i="26"/>
  <c r="M2815" i="26"/>
  <c r="M2814" i="26"/>
  <c r="M2813" i="26"/>
  <c r="M2812" i="26"/>
  <c r="M2811" i="26"/>
  <c r="M2810" i="26"/>
  <c r="M2809" i="26"/>
  <c r="M2808" i="26"/>
  <c r="M2807" i="26"/>
  <c r="M2806" i="26"/>
  <c r="M2805" i="26"/>
  <c r="M2804" i="26"/>
  <c r="M2803" i="26"/>
  <c r="M2802" i="26"/>
  <c r="M2801" i="26"/>
  <c r="M2800" i="26"/>
  <c r="M2799" i="26"/>
  <c r="M2798" i="26"/>
  <c r="M2797" i="26"/>
  <c r="M2796" i="26"/>
  <c r="M2795" i="26"/>
  <c r="M2794" i="26"/>
  <c r="M2793" i="26"/>
  <c r="M2792" i="26"/>
  <c r="M2791" i="26"/>
  <c r="M2790" i="26"/>
  <c r="M2789" i="26"/>
  <c r="M2788" i="26"/>
  <c r="M2787" i="26"/>
  <c r="M2786" i="26"/>
  <c r="M2785" i="26"/>
  <c r="M2784" i="26"/>
  <c r="M2783" i="26"/>
  <c r="M2782" i="26"/>
  <c r="M2781" i="26"/>
  <c r="M2780" i="26"/>
  <c r="M2779" i="26"/>
  <c r="M2778" i="26"/>
  <c r="M2777" i="26"/>
  <c r="M2776" i="26"/>
  <c r="M2775" i="26"/>
  <c r="M2774" i="26"/>
  <c r="M2773" i="26"/>
  <c r="M2772" i="26"/>
  <c r="M2771" i="26"/>
  <c r="M2770" i="26"/>
  <c r="M2769" i="26"/>
  <c r="M2768" i="26"/>
  <c r="M2767" i="26"/>
  <c r="M2766" i="26"/>
  <c r="M2765" i="26"/>
  <c r="M2764" i="26"/>
  <c r="M2763" i="26"/>
  <c r="M2762" i="26"/>
  <c r="M2761" i="26"/>
  <c r="M2760" i="26"/>
  <c r="M2759" i="26"/>
  <c r="M2758" i="26"/>
  <c r="M2757" i="26"/>
  <c r="M2756" i="26"/>
  <c r="M2755" i="26"/>
  <c r="M2754" i="26"/>
  <c r="M2753" i="26"/>
  <c r="M2752" i="26"/>
  <c r="M2751" i="26"/>
  <c r="M2750" i="26"/>
  <c r="M2749" i="26"/>
  <c r="M2748" i="26"/>
  <c r="M2747" i="26"/>
  <c r="M2746" i="26"/>
  <c r="M2745" i="26"/>
  <c r="M2744" i="26"/>
  <c r="M2743" i="26"/>
  <c r="M2742" i="26"/>
  <c r="M2741" i="26"/>
  <c r="M2740" i="26"/>
  <c r="M2739" i="26"/>
  <c r="M2738" i="26"/>
  <c r="M2737" i="26"/>
  <c r="M2736" i="26"/>
  <c r="M2735" i="26"/>
  <c r="M2734" i="26"/>
  <c r="M2733" i="26"/>
  <c r="M2732" i="26"/>
  <c r="M2731" i="26"/>
  <c r="M2730" i="26"/>
  <c r="M2729" i="26"/>
  <c r="M2728" i="26"/>
  <c r="M2727" i="26"/>
  <c r="M2726" i="26"/>
  <c r="M2725" i="26"/>
  <c r="M2724" i="26"/>
  <c r="M2723" i="26"/>
  <c r="M2722" i="26"/>
  <c r="M2721" i="26"/>
  <c r="M2720" i="26"/>
  <c r="M2719" i="26"/>
  <c r="M2718" i="26"/>
  <c r="M2717" i="26"/>
  <c r="M2716" i="26"/>
  <c r="M2715" i="26"/>
  <c r="M2714" i="26"/>
  <c r="M2713" i="26"/>
  <c r="M2712" i="26"/>
  <c r="M2711" i="26"/>
  <c r="M2710" i="26"/>
  <c r="M2709" i="26"/>
  <c r="M2708" i="26"/>
  <c r="M2707" i="26"/>
  <c r="M2706" i="26"/>
  <c r="M2705" i="26"/>
  <c r="M2704" i="26"/>
  <c r="M2703" i="26"/>
  <c r="M2702" i="26"/>
  <c r="M2701" i="26"/>
  <c r="M2700" i="26"/>
  <c r="M2699" i="26"/>
  <c r="M2698" i="26"/>
  <c r="M2697" i="26"/>
  <c r="M2696" i="26"/>
  <c r="M2695" i="26"/>
  <c r="M2694" i="26"/>
  <c r="M2693" i="26"/>
  <c r="M2692" i="26"/>
  <c r="M2691" i="26"/>
  <c r="M2690" i="26"/>
  <c r="M2689" i="26"/>
  <c r="M2688" i="26"/>
  <c r="M2687" i="26"/>
  <c r="M2686" i="26"/>
  <c r="M2685" i="26"/>
  <c r="M2684" i="26"/>
  <c r="M2683" i="26"/>
  <c r="M2682" i="26"/>
  <c r="M2681" i="26"/>
  <c r="M2680" i="26"/>
  <c r="M2679" i="26"/>
  <c r="M2678" i="26"/>
  <c r="M2677" i="26"/>
  <c r="M2676" i="26"/>
  <c r="M2675" i="26"/>
  <c r="M2674" i="26"/>
  <c r="M2673" i="26"/>
  <c r="M2672" i="26"/>
  <c r="M2671" i="26"/>
  <c r="M2670" i="26"/>
  <c r="M2669" i="26"/>
  <c r="M2668" i="26"/>
  <c r="M2667" i="26"/>
  <c r="M2666" i="26"/>
  <c r="M2665" i="26"/>
  <c r="M2664" i="26"/>
  <c r="M2663" i="26"/>
  <c r="M2662" i="26"/>
  <c r="M2661" i="26"/>
  <c r="M2660" i="26"/>
  <c r="M2659" i="26"/>
  <c r="M2658" i="26"/>
  <c r="M2657" i="26"/>
  <c r="M2656" i="26"/>
  <c r="M2655" i="26"/>
  <c r="M2654" i="26"/>
  <c r="M2653" i="26"/>
  <c r="M2652" i="26"/>
  <c r="M2651" i="26"/>
  <c r="M2650" i="26"/>
  <c r="M2649" i="26"/>
  <c r="M2648" i="26"/>
  <c r="M2647" i="26"/>
  <c r="M2646" i="26"/>
  <c r="M2645" i="26"/>
  <c r="M2644" i="26"/>
  <c r="M2643" i="26"/>
  <c r="M2642" i="26"/>
  <c r="M2641" i="26"/>
  <c r="M2640" i="26"/>
  <c r="M2639" i="26"/>
  <c r="M2638" i="26"/>
  <c r="M2637" i="26"/>
  <c r="M2636" i="26"/>
  <c r="M2635" i="26"/>
  <c r="M2634" i="26"/>
  <c r="M2633" i="26"/>
  <c r="M2632" i="26"/>
  <c r="M2631" i="26"/>
  <c r="M2630" i="26"/>
  <c r="M2629" i="26"/>
  <c r="M2628" i="26"/>
  <c r="M2627" i="26"/>
  <c r="M2626" i="26"/>
  <c r="M2625" i="26"/>
  <c r="M2624" i="26"/>
  <c r="M2623" i="26"/>
  <c r="M2622" i="26"/>
  <c r="M2621" i="26"/>
  <c r="M2620" i="26"/>
  <c r="M2619" i="26"/>
  <c r="M2618" i="26"/>
  <c r="M2617" i="26"/>
  <c r="M2616" i="26"/>
  <c r="M2615" i="26"/>
  <c r="M2614" i="26"/>
  <c r="M2613" i="26"/>
  <c r="M2612" i="26"/>
  <c r="M2611" i="26"/>
  <c r="M2610" i="26"/>
  <c r="M2609" i="26"/>
  <c r="M2608" i="26"/>
  <c r="M2607" i="26"/>
  <c r="M2606" i="26"/>
  <c r="M2605" i="26"/>
  <c r="M2604" i="26"/>
  <c r="M2603" i="26"/>
  <c r="M2602" i="26"/>
  <c r="M2601" i="26"/>
  <c r="M2600" i="26"/>
  <c r="M2599" i="26"/>
  <c r="M2598" i="26"/>
  <c r="M2597" i="26"/>
  <c r="M2596" i="26"/>
  <c r="M2595" i="26"/>
  <c r="M2594" i="26"/>
  <c r="M2593" i="26"/>
  <c r="M2592" i="26"/>
  <c r="M2591" i="26"/>
  <c r="M2590" i="26"/>
  <c r="M2589" i="26"/>
  <c r="M2588" i="26"/>
  <c r="M2587" i="26"/>
  <c r="M2586" i="26"/>
  <c r="M2585" i="26"/>
  <c r="M2584" i="26"/>
  <c r="M2583" i="26"/>
  <c r="M2582" i="26"/>
  <c r="M2581" i="26"/>
  <c r="M2580" i="26"/>
  <c r="M2579" i="26"/>
  <c r="M2578" i="26"/>
  <c r="M2577" i="26"/>
  <c r="M2576" i="26"/>
  <c r="M2575" i="26"/>
  <c r="M2574" i="26"/>
  <c r="M2573" i="26"/>
  <c r="M2572" i="26"/>
  <c r="M2571" i="26"/>
  <c r="M2570" i="26"/>
  <c r="M2569" i="26"/>
  <c r="M2568" i="26"/>
  <c r="M2567" i="26"/>
  <c r="M2566" i="26"/>
  <c r="M2565" i="26"/>
  <c r="M2564" i="26"/>
  <c r="M2563" i="26"/>
  <c r="M2562" i="26"/>
  <c r="M2561" i="26"/>
  <c r="M2560" i="26"/>
  <c r="M2559" i="26"/>
  <c r="M2558" i="26"/>
  <c r="M2557" i="26"/>
  <c r="M2556" i="26"/>
  <c r="M2555" i="26"/>
  <c r="M2554" i="26"/>
  <c r="M2553" i="26"/>
  <c r="M2552" i="26"/>
  <c r="M2551" i="26"/>
  <c r="M2550" i="26"/>
  <c r="M2549" i="26"/>
  <c r="M2548" i="26"/>
  <c r="M2547" i="26"/>
  <c r="M2546" i="26"/>
  <c r="M2545" i="26"/>
  <c r="M2544" i="26"/>
  <c r="M2543" i="26"/>
  <c r="M2542" i="26"/>
  <c r="M2541" i="26"/>
  <c r="M2540" i="26"/>
  <c r="M2539" i="26"/>
  <c r="M2538" i="26"/>
  <c r="M2537" i="26"/>
  <c r="M2536" i="26"/>
  <c r="M2535" i="26"/>
  <c r="M2534" i="26"/>
  <c r="M2533" i="26"/>
  <c r="M2532" i="26"/>
  <c r="M2531" i="26"/>
  <c r="M2530" i="26"/>
  <c r="M2529" i="26"/>
  <c r="M2528" i="26"/>
  <c r="M2527" i="26"/>
  <c r="M2526" i="26"/>
  <c r="M2525" i="26"/>
  <c r="M2524" i="26"/>
  <c r="M2523" i="26"/>
  <c r="M2522" i="26"/>
  <c r="M2521" i="26"/>
  <c r="M2520" i="26"/>
  <c r="M2519" i="26"/>
  <c r="M2518" i="26"/>
  <c r="M2517" i="26"/>
  <c r="M2516" i="26"/>
  <c r="M2515" i="26"/>
  <c r="M2514" i="26"/>
  <c r="M2513" i="26"/>
  <c r="M2512" i="26"/>
  <c r="M2511" i="26"/>
  <c r="M2510" i="26"/>
  <c r="M2509" i="26"/>
  <c r="M2508" i="26"/>
  <c r="M2507" i="26"/>
  <c r="M2506" i="26"/>
  <c r="M2505" i="26"/>
  <c r="M2504" i="26"/>
  <c r="M2503" i="26"/>
  <c r="M2502" i="26"/>
  <c r="M2501" i="26"/>
  <c r="M2500" i="26"/>
  <c r="M2499" i="26"/>
  <c r="M2498" i="26"/>
  <c r="M2497" i="26"/>
  <c r="M2496" i="26"/>
  <c r="M2495" i="26"/>
  <c r="M2494" i="26"/>
  <c r="M2493" i="26"/>
  <c r="M2492" i="26"/>
  <c r="M2491" i="26"/>
  <c r="M2490" i="26"/>
  <c r="M2489" i="26"/>
  <c r="M2488" i="26"/>
  <c r="M2487" i="26"/>
  <c r="M2486" i="26"/>
  <c r="M2485" i="26"/>
  <c r="M2484" i="26"/>
  <c r="M2483" i="26"/>
  <c r="M2482" i="26"/>
  <c r="M2481" i="26"/>
  <c r="M2480" i="26"/>
  <c r="M2479" i="26"/>
  <c r="M2478" i="26"/>
  <c r="M2477" i="26"/>
  <c r="M2476" i="26"/>
  <c r="M2475" i="26"/>
  <c r="M2474" i="26"/>
  <c r="M2473" i="26"/>
  <c r="M2472" i="26"/>
  <c r="M2471" i="26"/>
  <c r="M2470" i="26"/>
  <c r="M2469" i="26"/>
  <c r="M2468" i="26"/>
  <c r="M2467" i="26"/>
  <c r="M2466" i="26"/>
  <c r="M2465" i="26"/>
  <c r="M2464" i="26"/>
  <c r="M2463" i="26"/>
  <c r="M2462" i="26"/>
  <c r="M2461" i="26"/>
  <c r="M2460" i="26"/>
  <c r="M2459" i="26"/>
  <c r="M2458" i="26"/>
  <c r="M2457" i="26"/>
  <c r="M2456" i="26"/>
  <c r="M2455" i="26"/>
  <c r="M2454" i="26"/>
  <c r="M2453" i="26"/>
  <c r="M2452" i="26"/>
  <c r="M2451" i="26"/>
  <c r="M2450" i="26"/>
  <c r="M2449" i="26"/>
  <c r="M2448" i="26"/>
  <c r="M2447" i="26"/>
  <c r="M2446" i="26"/>
  <c r="M2445" i="26"/>
  <c r="M2444" i="26"/>
  <c r="M2443" i="26"/>
  <c r="M2442" i="26"/>
  <c r="M2441" i="26"/>
  <c r="M2440" i="26"/>
  <c r="M2439" i="26"/>
  <c r="M2438" i="26"/>
  <c r="M2437" i="26"/>
  <c r="M2436" i="26"/>
  <c r="M2435" i="26"/>
  <c r="M2434" i="26"/>
  <c r="M2433" i="26"/>
  <c r="M2432" i="26"/>
  <c r="M2431" i="26"/>
  <c r="M2430" i="26"/>
  <c r="M2429" i="26"/>
  <c r="M2428" i="26"/>
  <c r="M2427" i="26"/>
  <c r="M2426" i="26"/>
  <c r="M2425" i="26"/>
  <c r="M2424" i="26"/>
  <c r="M2423" i="26"/>
  <c r="M2422" i="26"/>
  <c r="M2421" i="26"/>
  <c r="M2420" i="26"/>
  <c r="M2419" i="26"/>
  <c r="M2418" i="26"/>
  <c r="M2417" i="26"/>
  <c r="M2416" i="26"/>
  <c r="M2415" i="26"/>
  <c r="M2414" i="26"/>
  <c r="M2413" i="26"/>
  <c r="M2412" i="26"/>
  <c r="M2411" i="26"/>
  <c r="M2410" i="26"/>
  <c r="M2409" i="26"/>
  <c r="M2408" i="26"/>
  <c r="M2407" i="26"/>
  <c r="M2406" i="26"/>
  <c r="M2405" i="26"/>
  <c r="M2404" i="26"/>
  <c r="M2403" i="26"/>
  <c r="M2402" i="26"/>
  <c r="M2401" i="26"/>
  <c r="M2400" i="26"/>
  <c r="M2399" i="26"/>
  <c r="M2398" i="26"/>
  <c r="M2397" i="26"/>
  <c r="M2396" i="26"/>
  <c r="M2395" i="26"/>
  <c r="M2394" i="26"/>
  <c r="M2393" i="26"/>
  <c r="M2392" i="26"/>
  <c r="M2391" i="26"/>
  <c r="M2390" i="26"/>
  <c r="M2389" i="26"/>
  <c r="M2388" i="26"/>
  <c r="M2387" i="26"/>
  <c r="M2386" i="26"/>
  <c r="M2385" i="26"/>
  <c r="M2384" i="26"/>
  <c r="M2383" i="26"/>
  <c r="M2382" i="26"/>
  <c r="M2381" i="26"/>
  <c r="M2380" i="26"/>
  <c r="M2379" i="26"/>
  <c r="M2378" i="26"/>
  <c r="M2377" i="26"/>
  <c r="M2376" i="26"/>
  <c r="M2375" i="26"/>
  <c r="M2374" i="26"/>
  <c r="M2373" i="26"/>
  <c r="M2372" i="26"/>
  <c r="M2371" i="26"/>
  <c r="M2370" i="26"/>
  <c r="M2369" i="26"/>
  <c r="M2368" i="26"/>
  <c r="M2367" i="26"/>
  <c r="M2366" i="26"/>
  <c r="M2365" i="26"/>
  <c r="M2364" i="26"/>
  <c r="M2363" i="26"/>
  <c r="M2362" i="26"/>
  <c r="M2361" i="26"/>
  <c r="M2360" i="26"/>
  <c r="M2359" i="26"/>
  <c r="M2358" i="26"/>
  <c r="M2357" i="26"/>
  <c r="M2356" i="26"/>
  <c r="M2355" i="26"/>
  <c r="M2354" i="26"/>
  <c r="M2353" i="26"/>
  <c r="M2352" i="26"/>
  <c r="M2351" i="26"/>
  <c r="M2350" i="26"/>
  <c r="M2349" i="26"/>
  <c r="M2348" i="26"/>
  <c r="M2347" i="26"/>
  <c r="M2346" i="26"/>
  <c r="M2345" i="26"/>
  <c r="M2344" i="26"/>
  <c r="M2343" i="26"/>
  <c r="M2342" i="26"/>
  <c r="M2341" i="26"/>
  <c r="M2340" i="26"/>
  <c r="M2339" i="26"/>
  <c r="M2338" i="26"/>
  <c r="M2337" i="26"/>
  <c r="M2336" i="26"/>
  <c r="M2335" i="26"/>
  <c r="M2334" i="26"/>
  <c r="M2333" i="26"/>
  <c r="M2332" i="26"/>
  <c r="M2331" i="26"/>
  <c r="M2330" i="26"/>
  <c r="M2329" i="26"/>
  <c r="M2328" i="26"/>
  <c r="M2327" i="26"/>
  <c r="M2326" i="26"/>
  <c r="M2325" i="26"/>
  <c r="M2324" i="26"/>
  <c r="M2323" i="26"/>
  <c r="M2322" i="26"/>
  <c r="M2321" i="26"/>
  <c r="M2320" i="26"/>
  <c r="M2319" i="26"/>
  <c r="M2318" i="26"/>
  <c r="M2317" i="26"/>
  <c r="M2316" i="26"/>
  <c r="M2315" i="26"/>
  <c r="M2314" i="26"/>
  <c r="M2313" i="26"/>
  <c r="M2312" i="26"/>
  <c r="M2311" i="26"/>
  <c r="M2310" i="26"/>
  <c r="M2309" i="26"/>
  <c r="M2308" i="26"/>
  <c r="M2307" i="26"/>
  <c r="M2306" i="26"/>
  <c r="M2305" i="26"/>
  <c r="M2304" i="26"/>
  <c r="M2303" i="26"/>
  <c r="M2302" i="26"/>
  <c r="M2301" i="26"/>
  <c r="M2300" i="26"/>
  <c r="M2299" i="26"/>
  <c r="M2298" i="26"/>
  <c r="M2297" i="26"/>
  <c r="M2296" i="26"/>
  <c r="M2295" i="26"/>
  <c r="M2294" i="26"/>
  <c r="M2293" i="26"/>
  <c r="M2292" i="26"/>
  <c r="M2291" i="26"/>
  <c r="M2290" i="26"/>
  <c r="M2289" i="26"/>
  <c r="M2288" i="26"/>
  <c r="M2287" i="26"/>
  <c r="M2286" i="26"/>
  <c r="M2285" i="26"/>
  <c r="M2284" i="26"/>
  <c r="M2283" i="26"/>
  <c r="M2282" i="26"/>
  <c r="M2281" i="26"/>
  <c r="M2280" i="26"/>
  <c r="M2279" i="26"/>
  <c r="M2278" i="26"/>
  <c r="M2277" i="26"/>
  <c r="M2276" i="26"/>
  <c r="M2275" i="26"/>
  <c r="M2274" i="26"/>
  <c r="M2273" i="26"/>
  <c r="M2272" i="26"/>
  <c r="M2271" i="26"/>
  <c r="M2270" i="26"/>
  <c r="M2269" i="26"/>
  <c r="M2268" i="26"/>
  <c r="M2267" i="26"/>
  <c r="M2266" i="26"/>
  <c r="M2265" i="26"/>
  <c r="M2264" i="26"/>
  <c r="M2263" i="26"/>
  <c r="M2262" i="26"/>
  <c r="M2261" i="26"/>
  <c r="M2260" i="26"/>
  <c r="M2259" i="26"/>
  <c r="M2258" i="26"/>
  <c r="M2257" i="26"/>
  <c r="M2256" i="26"/>
  <c r="M2255" i="26"/>
  <c r="M2254" i="26"/>
  <c r="M2253" i="26"/>
  <c r="M2252" i="26"/>
  <c r="M2251" i="26"/>
  <c r="M2250" i="26"/>
  <c r="M2249" i="26"/>
  <c r="M2248" i="26"/>
  <c r="M2247" i="26"/>
  <c r="M2246" i="26"/>
  <c r="M2245" i="26"/>
  <c r="M2244" i="26"/>
  <c r="M2243" i="26"/>
  <c r="M2242" i="26"/>
  <c r="M2241" i="26"/>
  <c r="M2240" i="26"/>
  <c r="M2239" i="26"/>
  <c r="M2238" i="26"/>
  <c r="M2237" i="26"/>
  <c r="M2236" i="26"/>
  <c r="M2235" i="26"/>
  <c r="M2234" i="26"/>
  <c r="M2233" i="26"/>
  <c r="M2232" i="26"/>
  <c r="M2231" i="26"/>
  <c r="M2230" i="26"/>
  <c r="M2229" i="26"/>
  <c r="M2228" i="26"/>
  <c r="M2227" i="26"/>
  <c r="M2226" i="26"/>
  <c r="M2225" i="26"/>
  <c r="M2224" i="26"/>
  <c r="M2223" i="26"/>
  <c r="M2222" i="26"/>
  <c r="M2221" i="26"/>
  <c r="M2220" i="26"/>
  <c r="M2219" i="26"/>
  <c r="M2218" i="26"/>
  <c r="M2217" i="26"/>
  <c r="M2216" i="26"/>
  <c r="M2215" i="26"/>
  <c r="M2214" i="26"/>
  <c r="M2213" i="26"/>
  <c r="M2212" i="26"/>
  <c r="M2211" i="26"/>
  <c r="M2210" i="26"/>
  <c r="M2209" i="26"/>
  <c r="M2208" i="26"/>
  <c r="M2207" i="26"/>
  <c r="M2206" i="26"/>
  <c r="M2205" i="26"/>
  <c r="M2204" i="26"/>
  <c r="M2203" i="26"/>
  <c r="M2202" i="26"/>
  <c r="M2201" i="26"/>
  <c r="M2200" i="26"/>
  <c r="M2199" i="26"/>
  <c r="M2198" i="26"/>
  <c r="M2197" i="26"/>
  <c r="M2196" i="26"/>
  <c r="M2195" i="26"/>
  <c r="M2194" i="26"/>
  <c r="M2193" i="26"/>
  <c r="M2192" i="26"/>
  <c r="M2191" i="26"/>
  <c r="M2190" i="26"/>
  <c r="M2189" i="26"/>
  <c r="M2188" i="26"/>
  <c r="M2187" i="26"/>
  <c r="M2186" i="26"/>
  <c r="M2185" i="26"/>
  <c r="M2184" i="26"/>
  <c r="M2183" i="26"/>
  <c r="M2182" i="26"/>
  <c r="M2181" i="26"/>
  <c r="M2180" i="26"/>
  <c r="M2179" i="26"/>
  <c r="M2178" i="26"/>
  <c r="M2177" i="26"/>
  <c r="M2176" i="26"/>
  <c r="M2175" i="26"/>
  <c r="M2174" i="26"/>
  <c r="M2173" i="26"/>
  <c r="M2172" i="26"/>
  <c r="M2171" i="26"/>
  <c r="M2170" i="26"/>
  <c r="M2169" i="26"/>
  <c r="M2168" i="26"/>
  <c r="M2167" i="26"/>
  <c r="M2166" i="26"/>
  <c r="M2165" i="26"/>
  <c r="M2164" i="26"/>
  <c r="M2163" i="26"/>
  <c r="M2162" i="26"/>
  <c r="M2161" i="26"/>
  <c r="M2160" i="26"/>
  <c r="M2159" i="26"/>
  <c r="M2158" i="26"/>
  <c r="M2157" i="26"/>
  <c r="M2156" i="26"/>
  <c r="M2155" i="26"/>
  <c r="M2154" i="26"/>
  <c r="M2153" i="26"/>
  <c r="M2152" i="26"/>
  <c r="M2151" i="26"/>
  <c r="M2150" i="26"/>
  <c r="M2149" i="26"/>
  <c r="M2148" i="26"/>
  <c r="M2147" i="26"/>
  <c r="M2146" i="26"/>
  <c r="M2145" i="26"/>
  <c r="M2144" i="26"/>
  <c r="M2143" i="26"/>
  <c r="M2142" i="26"/>
  <c r="M2141" i="26"/>
  <c r="M2140" i="26"/>
  <c r="M2139" i="26"/>
  <c r="M2138" i="26"/>
  <c r="M2137" i="26"/>
  <c r="M2136" i="26"/>
  <c r="M2135" i="26"/>
  <c r="M2134" i="26"/>
  <c r="M2133" i="26"/>
  <c r="M2132" i="26"/>
  <c r="M2131" i="26"/>
  <c r="M2130" i="26"/>
  <c r="M2129" i="26"/>
  <c r="M2128" i="26"/>
  <c r="M2127" i="26"/>
  <c r="M2126" i="26"/>
  <c r="M2125" i="26"/>
  <c r="M2124" i="26"/>
  <c r="M2123" i="26"/>
  <c r="M2122" i="26"/>
  <c r="M2121" i="26"/>
  <c r="M2120" i="26"/>
  <c r="M2119" i="26"/>
  <c r="M2118" i="26"/>
  <c r="M2117" i="26"/>
  <c r="M2116" i="26"/>
  <c r="M2115" i="26"/>
  <c r="M2114" i="26"/>
  <c r="M2113" i="26"/>
  <c r="M2112" i="26"/>
  <c r="M2111" i="26"/>
  <c r="M2110" i="26"/>
  <c r="M2109" i="26"/>
  <c r="M2108" i="26"/>
  <c r="M2107" i="26"/>
  <c r="M2106" i="26"/>
  <c r="M2105" i="26"/>
  <c r="M2104" i="26"/>
  <c r="M2103" i="26"/>
  <c r="M2102" i="26"/>
  <c r="M2101" i="26"/>
  <c r="M2100" i="26"/>
  <c r="M2099" i="26"/>
  <c r="M2098" i="26"/>
  <c r="M2097" i="26"/>
  <c r="M2096" i="26"/>
  <c r="M2095" i="26"/>
  <c r="M2094" i="26"/>
  <c r="M2093" i="26"/>
  <c r="M2092" i="26"/>
  <c r="M2091" i="26"/>
  <c r="M2090" i="26"/>
  <c r="M2089" i="26"/>
  <c r="M2088" i="26"/>
  <c r="M2087" i="26"/>
  <c r="M2086" i="26"/>
  <c r="M2085" i="26"/>
  <c r="M2084" i="26"/>
  <c r="M2083" i="26"/>
  <c r="M2082" i="26"/>
  <c r="M2081" i="26"/>
  <c r="M2080" i="26"/>
  <c r="M2079" i="26"/>
  <c r="M2078" i="26"/>
  <c r="M2077" i="26"/>
  <c r="M2076" i="26"/>
  <c r="M2075" i="26"/>
  <c r="M2074" i="26"/>
  <c r="M2073" i="26"/>
  <c r="M2072" i="26"/>
  <c r="M2071" i="26"/>
  <c r="M2070" i="26"/>
  <c r="M2069" i="26"/>
  <c r="M2068" i="26"/>
  <c r="M2067" i="26"/>
  <c r="M2066" i="26"/>
  <c r="M2065" i="26"/>
  <c r="M2064" i="26"/>
  <c r="M2063" i="26"/>
  <c r="M2062" i="26"/>
  <c r="M2061" i="26"/>
  <c r="M2060" i="26"/>
  <c r="M2059" i="26"/>
  <c r="M2058" i="26"/>
  <c r="M2057" i="26"/>
  <c r="M2056" i="26"/>
  <c r="M2055" i="26"/>
  <c r="M2054" i="26"/>
  <c r="M2053" i="26"/>
  <c r="M2052" i="26"/>
  <c r="M2051" i="26"/>
  <c r="M2050" i="26"/>
  <c r="M2049" i="26"/>
  <c r="M2048" i="26"/>
  <c r="M2047" i="26"/>
  <c r="M2046" i="26"/>
  <c r="M2045" i="26"/>
  <c r="M2044" i="26"/>
  <c r="M2043" i="26"/>
  <c r="M2042" i="26"/>
  <c r="M2041" i="26"/>
  <c r="M2040" i="26"/>
  <c r="M2039" i="26"/>
  <c r="M2038" i="26"/>
  <c r="M2037" i="26"/>
  <c r="M2036" i="26"/>
  <c r="M2035" i="26"/>
  <c r="M2034" i="26"/>
  <c r="M2033" i="26"/>
  <c r="M2032" i="26"/>
  <c r="M2031" i="26"/>
  <c r="M2030" i="26"/>
  <c r="M2029" i="26"/>
  <c r="M2028" i="26"/>
  <c r="M2027" i="26"/>
  <c r="M2026" i="26"/>
  <c r="M2025" i="26"/>
  <c r="M2024" i="26"/>
  <c r="M2023" i="26"/>
  <c r="M2022" i="26"/>
  <c r="M2021" i="26"/>
  <c r="M2020" i="26"/>
  <c r="M2019" i="26"/>
  <c r="M2018" i="26"/>
  <c r="M2017" i="26"/>
  <c r="M2016" i="26"/>
  <c r="M2015" i="26"/>
  <c r="M2014" i="26"/>
  <c r="M2013" i="26"/>
  <c r="M2012" i="26"/>
  <c r="M2011" i="26"/>
  <c r="M2010" i="26"/>
  <c r="M2009" i="26"/>
  <c r="M2008" i="26"/>
  <c r="M2007" i="26"/>
  <c r="M2006" i="26"/>
  <c r="M2005" i="26"/>
  <c r="M2004" i="26"/>
  <c r="M2003" i="26"/>
  <c r="M2002" i="26"/>
  <c r="M2001" i="26"/>
  <c r="M2000" i="26"/>
  <c r="M1999" i="26"/>
  <c r="M1998" i="26"/>
  <c r="M1997" i="26"/>
  <c r="M1996" i="26"/>
  <c r="M1995" i="26"/>
  <c r="M1994" i="26"/>
  <c r="M1993" i="26"/>
  <c r="M1992" i="26"/>
  <c r="M1991" i="26"/>
  <c r="M1990" i="26"/>
  <c r="M1989" i="26"/>
  <c r="M1988" i="26"/>
  <c r="M1987" i="26"/>
  <c r="M1986" i="26"/>
  <c r="M1985" i="26"/>
  <c r="M1984" i="26"/>
  <c r="M1983" i="26"/>
  <c r="M1982" i="26"/>
  <c r="M1981" i="26"/>
  <c r="M1980" i="26"/>
  <c r="M1979" i="26"/>
  <c r="M1978" i="26"/>
  <c r="M1977" i="26"/>
  <c r="M1976" i="26"/>
  <c r="M1975" i="26"/>
  <c r="M1974" i="26"/>
  <c r="M1973" i="26"/>
  <c r="M1972" i="26"/>
  <c r="M1971" i="26"/>
  <c r="M1970" i="26"/>
  <c r="M1969" i="26"/>
  <c r="M1968" i="26"/>
  <c r="M1967" i="26"/>
  <c r="M1966" i="26"/>
  <c r="M1965" i="26"/>
  <c r="M1964" i="26"/>
  <c r="M1963" i="26"/>
  <c r="M1962" i="26"/>
  <c r="M1961" i="26"/>
  <c r="M1960" i="26"/>
  <c r="M1959" i="26"/>
  <c r="M1958" i="26"/>
  <c r="M1957" i="26"/>
  <c r="M1956" i="26"/>
  <c r="M1955" i="26"/>
  <c r="M1954" i="26"/>
  <c r="M1953" i="26"/>
  <c r="M1952" i="26"/>
  <c r="M1951" i="26"/>
  <c r="M1950" i="26"/>
  <c r="M1949" i="26"/>
  <c r="M1948" i="26"/>
  <c r="M1947" i="26"/>
  <c r="M1946" i="26"/>
  <c r="M1945" i="26"/>
  <c r="M1944" i="26"/>
  <c r="M1943" i="26"/>
  <c r="M1942" i="26"/>
  <c r="M1941" i="26"/>
  <c r="M1940" i="26"/>
  <c r="M1939" i="26"/>
  <c r="M1938" i="26"/>
  <c r="M1937" i="26"/>
  <c r="M1936" i="26"/>
  <c r="M1935" i="26"/>
  <c r="M1934" i="26"/>
  <c r="M1933" i="26"/>
  <c r="M1932" i="26"/>
  <c r="M1931" i="26"/>
  <c r="M1930" i="26"/>
  <c r="M1929" i="26"/>
  <c r="M1928" i="26"/>
  <c r="M1927" i="26"/>
  <c r="M1926" i="26"/>
  <c r="M1925" i="26"/>
  <c r="M1924" i="26"/>
  <c r="M1923" i="26"/>
  <c r="M1922" i="26"/>
  <c r="M1921" i="26"/>
  <c r="M1920" i="26"/>
  <c r="M1919" i="26"/>
  <c r="M1918" i="26"/>
  <c r="M1917" i="26"/>
  <c r="M1916" i="26"/>
  <c r="M1915" i="26"/>
  <c r="M1914" i="26"/>
  <c r="M1913" i="26"/>
  <c r="M1912" i="26"/>
  <c r="M1911" i="26"/>
  <c r="M1910" i="26"/>
  <c r="M1909" i="26"/>
  <c r="M1908" i="26"/>
  <c r="M1907" i="26"/>
  <c r="M1906" i="26"/>
  <c r="M1905" i="26"/>
  <c r="M1904" i="26"/>
  <c r="M1903" i="26"/>
  <c r="M1902" i="26"/>
  <c r="M1901" i="26"/>
  <c r="M1900" i="26"/>
  <c r="M1899" i="26"/>
  <c r="M1898" i="26"/>
  <c r="M1897" i="26"/>
  <c r="M1896" i="26"/>
  <c r="M1895" i="26"/>
  <c r="M1894" i="26"/>
  <c r="M1893" i="26"/>
  <c r="M1892" i="26"/>
  <c r="M1891" i="26"/>
  <c r="M1890" i="26"/>
  <c r="M1889" i="26"/>
  <c r="M1888" i="26"/>
  <c r="M1887" i="26"/>
  <c r="M1886" i="26"/>
  <c r="M1885" i="26"/>
  <c r="M1884" i="26"/>
  <c r="M1883" i="26"/>
  <c r="M1882" i="26"/>
  <c r="M1881" i="26"/>
  <c r="M1880" i="26"/>
  <c r="M1879" i="26"/>
  <c r="M1878" i="26"/>
  <c r="M1877" i="26"/>
  <c r="M1876" i="26"/>
  <c r="M1875" i="26"/>
  <c r="M1874" i="26"/>
  <c r="M1873" i="26"/>
  <c r="M1872" i="26"/>
  <c r="M1871" i="26"/>
  <c r="M1870" i="26"/>
  <c r="M1869" i="26"/>
  <c r="M1868" i="26"/>
  <c r="M1867" i="26"/>
  <c r="M1866" i="26"/>
  <c r="M1865" i="26"/>
  <c r="M1864" i="26"/>
  <c r="M1863" i="26"/>
  <c r="M1862" i="26"/>
  <c r="M1861" i="26"/>
  <c r="M1860" i="26"/>
  <c r="M1859" i="26"/>
  <c r="M1858" i="26"/>
  <c r="M1857" i="26"/>
  <c r="M1856" i="26"/>
  <c r="M1855" i="26"/>
  <c r="M1854" i="26"/>
  <c r="M1853" i="26"/>
  <c r="M1852" i="26"/>
  <c r="M1851" i="26"/>
  <c r="M1850" i="26"/>
  <c r="M1849" i="26"/>
  <c r="M1848" i="26"/>
  <c r="M1847" i="26"/>
  <c r="M1846" i="26"/>
  <c r="M1845" i="26"/>
  <c r="M1844" i="26"/>
  <c r="M1843" i="26"/>
  <c r="M1842" i="26"/>
  <c r="M1841" i="26"/>
  <c r="M1840" i="26"/>
  <c r="M1839" i="26"/>
  <c r="M1838" i="26"/>
  <c r="M1837" i="26"/>
  <c r="M1836" i="26"/>
  <c r="M1835" i="26"/>
  <c r="M1834" i="26"/>
  <c r="M1833" i="26"/>
  <c r="M1832" i="26"/>
  <c r="M1831" i="26"/>
  <c r="M1830" i="26"/>
  <c r="M1829" i="26"/>
  <c r="M1828" i="26"/>
  <c r="M1827" i="26"/>
  <c r="M1826" i="26"/>
  <c r="M1825" i="26"/>
  <c r="M1824" i="26"/>
  <c r="M1823" i="26"/>
  <c r="M1822" i="26"/>
  <c r="M1821" i="26"/>
  <c r="M1820" i="26"/>
  <c r="M1819" i="26"/>
  <c r="M1818" i="26"/>
  <c r="M1817" i="26"/>
  <c r="M1816" i="26"/>
  <c r="M1815" i="26"/>
  <c r="M1814" i="26"/>
  <c r="M1813" i="26"/>
  <c r="M1812" i="26"/>
  <c r="M1811" i="26"/>
  <c r="M1810" i="26"/>
  <c r="M1809" i="26"/>
  <c r="M1808" i="26"/>
  <c r="M1807" i="26"/>
  <c r="M1806" i="26"/>
  <c r="M1805" i="26"/>
  <c r="M1804" i="26"/>
  <c r="M1803" i="26"/>
  <c r="M1802" i="26"/>
  <c r="M1801" i="26"/>
  <c r="M1800" i="26"/>
  <c r="M1799" i="26"/>
  <c r="M1798" i="26"/>
  <c r="M1797" i="26"/>
  <c r="M1796" i="26"/>
  <c r="M1795" i="26"/>
  <c r="M1794" i="26"/>
  <c r="M1793" i="26"/>
  <c r="M1792" i="26"/>
  <c r="M1791" i="26"/>
  <c r="M1790" i="26"/>
  <c r="M1789" i="26"/>
  <c r="M1788" i="26"/>
  <c r="M1787" i="26"/>
  <c r="M1786" i="26"/>
  <c r="M1785" i="26"/>
  <c r="M1784" i="26"/>
  <c r="M1783" i="26"/>
  <c r="M1782" i="26"/>
  <c r="M1781" i="26"/>
  <c r="M1780" i="26"/>
  <c r="M1779" i="26"/>
  <c r="M1778" i="26"/>
  <c r="M1777" i="26"/>
  <c r="M1776" i="26"/>
  <c r="M1775" i="26"/>
  <c r="M1774" i="26"/>
  <c r="M1773" i="26"/>
  <c r="M1772" i="26"/>
  <c r="M1771" i="26"/>
  <c r="M1770" i="26"/>
  <c r="M1769" i="26"/>
  <c r="M1768" i="26"/>
  <c r="M1767" i="26"/>
  <c r="M1766" i="26"/>
  <c r="M1765" i="26"/>
  <c r="M1764" i="26"/>
  <c r="M1763" i="26"/>
  <c r="M1762" i="26"/>
  <c r="M1761" i="26"/>
  <c r="M1760" i="26"/>
  <c r="M1759" i="26"/>
  <c r="M1758" i="26"/>
  <c r="M1757" i="26"/>
  <c r="M1756" i="26"/>
  <c r="M1755" i="26"/>
  <c r="M1754" i="26"/>
  <c r="M1753" i="26"/>
  <c r="M1752" i="26"/>
  <c r="M1751" i="26"/>
  <c r="M1750" i="26"/>
  <c r="M1749" i="26"/>
  <c r="M1748" i="26"/>
  <c r="M1747" i="26"/>
  <c r="M1746" i="26"/>
  <c r="M1745" i="26"/>
  <c r="M1744" i="26"/>
  <c r="M1743" i="26"/>
  <c r="M1742" i="26"/>
  <c r="M1741" i="26"/>
  <c r="M1740" i="26"/>
  <c r="M1739" i="26"/>
  <c r="M1738" i="26"/>
  <c r="M1737" i="26"/>
  <c r="M1736" i="26"/>
  <c r="M1735" i="26"/>
  <c r="M1734" i="26"/>
  <c r="M1733" i="26"/>
  <c r="M1732" i="26"/>
  <c r="M1731" i="26"/>
  <c r="M1730" i="26"/>
  <c r="M1729" i="26"/>
  <c r="M1728" i="26"/>
  <c r="M1727" i="26"/>
  <c r="M1726" i="26"/>
  <c r="M1725" i="26"/>
  <c r="M1724" i="26"/>
  <c r="M1723" i="26"/>
  <c r="M1722" i="26"/>
  <c r="M1721" i="26"/>
  <c r="M1720" i="26"/>
  <c r="M1719" i="26"/>
  <c r="M1718" i="26"/>
  <c r="M1717" i="26"/>
  <c r="M1716" i="26"/>
  <c r="M1715" i="26"/>
  <c r="M1714" i="26"/>
  <c r="M1713" i="26"/>
  <c r="M1712" i="26"/>
  <c r="M1711" i="26"/>
  <c r="M1710" i="26"/>
  <c r="M1709" i="26"/>
  <c r="M1708" i="26"/>
  <c r="M1707" i="26"/>
  <c r="M1706" i="26"/>
  <c r="M1705" i="26"/>
  <c r="M1704" i="26"/>
  <c r="M1703" i="26"/>
  <c r="M1702" i="26"/>
  <c r="M1701" i="26"/>
  <c r="M1700" i="26"/>
  <c r="M1699" i="26"/>
  <c r="M1698" i="26"/>
  <c r="M1697" i="26"/>
  <c r="M1696" i="26"/>
  <c r="M1695" i="26"/>
  <c r="M1694" i="26"/>
  <c r="M1693" i="26"/>
  <c r="M1692" i="26"/>
  <c r="M1691" i="26"/>
  <c r="M1690" i="26"/>
  <c r="M1689" i="26"/>
  <c r="M1688" i="26"/>
  <c r="M1687" i="26"/>
  <c r="M1686" i="26"/>
  <c r="M1685" i="26"/>
  <c r="M1684" i="26"/>
  <c r="M1683" i="26"/>
  <c r="M1682" i="26"/>
  <c r="M1681" i="26"/>
  <c r="M1680" i="26"/>
  <c r="M1679" i="26"/>
  <c r="M1678" i="26"/>
  <c r="M1677" i="26"/>
  <c r="M1676" i="26"/>
  <c r="M1675" i="26"/>
  <c r="M1674" i="26"/>
  <c r="M1673" i="26"/>
  <c r="M1672" i="26"/>
  <c r="M1671" i="26"/>
  <c r="M1670" i="26"/>
  <c r="M1669" i="26"/>
  <c r="M1668" i="26"/>
  <c r="M1667" i="26"/>
  <c r="M1666" i="26"/>
  <c r="M1665" i="26"/>
  <c r="M1664" i="26"/>
  <c r="M1663" i="26"/>
  <c r="M1662" i="26"/>
  <c r="M1661" i="26"/>
  <c r="M1660" i="26"/>
  <c r="M1659" i="26"/>
  <c r="M1658" i="26"/>
  <c r="M1657" i="26"/>
  <c r="M1656" i="26"/>
  <c r="M1655" i="26"/>
  <c r="M1654" i="26"/>
  <c r="M1653" i="26"/>
  <c r="M1652" i="26"/>
  <c r="M1651" i="26"/>
  <c r="M1650" i="26"/>
  <c r="M1649" i="26"/>
  <c r="M1648" i="26"/>
  <c r="M1647" i="26"/>
  <c r="M1646" i="26"/>
  <c r="M1645" i="26"/>
  <c r="M1644" i="26"/>
  <c r="M1643" i="26"/>
  <c r="M1642" i="26"/>
  <c r="M1641" i="26"/>
  <c r="M1640" i="26"/>
  <c r="M1639" i="26"/>
  <c r="M1638" i="26"/>
  <c r="M1637" i="26"/>
  <c r="M1636" i="26"/>
  <c r="M1635" i="26"/>
  <c r="M1634" i="26"/>
  <c r="M1633" i="26"/>
  <c r="M1632" i="26"/>
  <c r="M1631" i="26"/>
  <c r="M1630" i="26"/>
  <c r="M1629" i="26"/>
  <c r="M1628" i="26"/>
  <c r="M1627" i="26"/>
  <c r="M1626" i="26"/>
  <c r="M1625" i="26"/>
  <c r="M1624" i="26"/>
  <c r="M1623" i="26"/>
  <c r="M1622" i="26"/>
  <c r="M1621" i="26"/>
  <c r="M1620" i="26"/>
  <c r="M1619" i="26"/>
  <c r="M1618" i="26"/>
  <c r="M1617" i="26"/>
  <c r="M1616" i="26"/>
  <c r="M1615" i="26"/>
  <c r="M1614" i="26"/>
  <c r="M1613" i="26"/>
  <c r="M1612" i="26"/>
  <c r="M1611" i="26"/>
  <c r="M1610" i="26"/>
  <c r="M1609" i="26"/>
  <c r="M1608" i="26"/>
  <c r="M1607" i="26"/>
  <c r="M1606" i="26"/>
  <c r="M1605" i="26"/>
  <c r="M1604" i="26"/>
  <c r="M1603" i="26"/>
  <c r="M1602" i="26"/>
  <c r="M1601" i="26"/>
  <c r="M1600" i="26"/>
  <c r="M1599" i="26"/>
  <c r="M1598" i="26"/>
  <c r="M1597" i="26"/>
  <c r="M1596" i="26"/>
  <c r="M1595" i="26"/>
  <c r="M1594" i="26"/>
  <c r="M1593" i="26"/>
  <c r="M1592" i="26"/>
  <c r="M1591" i="26"/>
  <c r="M1590" i="26"/>
  <c r="M1589" i="26"/>
  <c r="M1588" i="26"/>
  <c r="M1587" i="26"/>
  <c r="M1586" i="26"/>
  <c r="M1585" i="26"/>
  <c r="M1584" i="26"/>
  <c r="M1583" i="26"/>
  <c r="M1582" i="26"/>
  <c r="M1581" i="26"/>
  <c r="M1580" i="26"/>
  <c r="M1579" i="26"/>
  <c r="M1578" i="26"/>
  <c r="M1577" i="26"/>
  <c r="M1576" i="26"/>
  <c r="M1575" i="26"/>
  <c r="M1574" i="26"/>
  <c r="M1573" i="26"/>
  <c r="M1572" i="26"/>
  <c r="M1571" i="26"/>
  <c r="M1570" i="26"/>
  <c r="M1569" i="26"/>
  <c r="M1568" i="26"/>
  <c r="M1567" i="26"/>
  <c r="M1566" i="26"/>
  <c r="M1565" i="26"/>
  <c r="M1564" i="26"/>
  <c r="M1563" i="26"/>
  <c r="M1562" i="26"/>
  <c r="M1561" i="26"/>
  <c r="M1560" i="26"/>
  <c r="M1559" i="26"/>
  <c r="M1558" i="26"/>
  <c r="M1557" i="26"/>
  <c r="M1556" i="26"/>
  <c r="M1555" i="26"/>
  <c r="M1554" i="26"/>
  <c r="M1553" i="26"/>
  <c r="M1552" i="26"/>
  <c r="M1551" i="26"/>
  <c r="M1550" i="26"/>
  <c r="M1549" i="26"/>
  <c r="M1548" i="26"/>
  <c r="M1547" i="26"/>
  <c r="M1546" i="26"/>
  <c r="M1545" i="26"/>
  <c r="M1544" i="26"/>
  <c r="M1543" i="26"/>
  <c r="M1542" i="26"/>
  <c r="M1541" i="26"/>
  <c r="M1540" i="26"/>
  <c r="M1539" i="26"/>
  <c r="M1538" i="26"/>
  <c r="M1537" i="26"/>
  <c r="M1536" i="26"/>
  <c r="M1535" i="26"/>
  <c r="M1534" i="26"/>
  <c r="M1533" i="26"/>
  <c r="M1532" i="26"/>
  <c r="M1531" i="26"/>
  <c r="M1530" i="26"/>
  <c r="M1529" i="26"/>
  <c r="M1528" i="26"/>
  <c r="M1527" i="26"/>
  <c r="M1526" i="26"/>
  <c r="M1525" i="26"/>
  <c r="M1524" i="26"/>
  <c r="M1523" i="26"/>
  <c r="M1522" i="26"/>
  <c r="M1521" i="26"/>
  <c r="M1520" i="26"/>
  <c r="M1519" i="26"/>
  <c r="M1518" i="26"/>
  <c r="M1517" i="26"/>
  <c r="M1516" i="26"/>
  <c r="M1515" i="26"/>
  <c r="M1514" i="26"/>
  <c r="M1513" i="26"/>
  <c r="M1512" i="26"/>
  <c r="M1511" i="26"/>
  <c r="M1510" i="26"/>
  <c r="M1509" i="26"/>
  <c r="M1508" i="26"/>
  <c r="M1507" i="26"/>
  <c r="M1506" i="26"/>
  <c r="M1505" i="26"/>
  <c r="M1504" i="26"/>
  <c r="M1503" i="26"/>
  <c r="M1502" i="26"/>
  <c r="M1501" i="26"/>
  <c r="M1500" i="26"/>
  <c r="M1499" i="26"/>
  <c r="M1498" i="26"/>
  <c r="M1497" i="26"/>
  <c r="M1496" i="26"/>
  <c r="M1495" i="26"/>
  <c r="M1494" i="26"/>
  <c r="M1493" i="26"/>
  <c r="M1492" i="26"/>
  <c r="M1491" i="26"/>
  <c r="M1490" i="26"/>
  <c r="M1489" i="26"/>
  <c r="M1488" i="26"/>
  <c r="M1487" i="26"/>
  <c r="M1486" i="26"/>
  <c r="M1485" i="26"/>
  <c r="M1484" i="26"/>
  <c r="M1483" i="26"/>
  <c r="M1482" i="26"/>
  <c r="M1481" i="26"/>
  <c r="M1480" i="26"/>
  <c r="M1479" i="26"/>
  <c r="M1478" i="26"/>
  <c r="M1477" i="26"/>
  <c r="M1476" i="26"/>
  <c r="M1475" i="26"/>
  <c r="M1474" i="26"/>
  <c r="M1473" i="26"/>
  <c r="M1472" i="26"/>
  <c r="M1471" i="26"/>
  <c r="M1470" i="26"/>
  <c r="M1469" i="26"/>
  <c r="M1468" i="26"/>
  <c r="M1467" i="26"/>
  <c r="M1466" i="26"/>
  <c r="M1465" i="26"/>
  <c r="M1464" i="26"/>
  <c r="M1463" i="26"/>
  <c r="M1462" i="26"/>
  <c r="M1461" i="26"/>
  <c r="M1460" i="26"/>
  <c r="M1459" i="26"/>
  <c r="M1458" i="26"/>
  <c r="M1457" i="26"/>
  <c r="M1456" i="26"/>
  <c r="M1455" i="26"/>
  <c r="M1454" i="26"/>
  <c r="M1453" i="26"/>
  <c r="M1452" i="26"/>
  <c r="M1451" i="26"/>
  <c r="M1450" i="26"/>
  <c r="M1449" i="26"/>
  <c r="M1448" i="26"/>
  <c r="M1447" i="26"/>
  <c r="M1446" i="26"/>
  <c r="M1445" i="26"/>
  <c r="M1444" i="26"/>
  <c r="M1443" i="26"/>
  <c r="M1442" i="26"/>
  <c r="M1441" i="26"/>
  <c r="M1440" i="26"/>
  <c r="M1439" i="26"/>
  <c r="M1438" i="26"/>
  <c r="M1437" i="26"/>
  <c r="M1436" i="26"/>
  <c r="M1435" i="26"/>
  <c r="M1434" i="26"/>
  <c r="M1433" i="26"/>
  <c r="M1432" i="26"/>
  <c r="M1431" i="26"/>
  <c r="M1430" i="26"/>
  <c r="M1429" i="26"/>
  <c r="M1428" i="26"/>
  <c r="M1427" i="26"/>
  <c r="M1426" i="26"/>
  <c r="M1425" i="26"/>
  <c r="M1424" i="26"/>
  <c r="M1423" i="26"/>
  <c r="M1422" i="26"/>
  <c r="M1421" i="26"/>
  <c r="M1420" i="26"/>
  <c r="M1419" i="26"/>
  <c r="M1418" i="26"/>
  <c r="M1417" i="26"/>
  <c r="M1416" i="26"/>
  <c r="M1415" i="26"/>
  <c r="M1414" i="26"/>
  <c r="M1413" i="26"/>
  <c r="M1412" i="26"/>
  <c r="M1411" i="26"/>
  <c r="M1410" i="26"/>
  <c r="M1409" i="26"/>
  <c r="M1408" i="26"/>
  <c r="M1407" i="26"/>
  <c r="M1406" i="26"/>
  <c r="M1405" i="26"/>
  <c r="M1404" i="26"/>
  <c r="M1403" i="26"/>
  <c r="M1402" i="26"/>
  <c r="M1401" i="26"/>
  <c r="M1400" i="26"/>
  <c r="M1399" i="26"/>
  <c r="M1398" i="26"/>
  <c r="M1397" i="26"/>
  <c r="M1396" i="26"/>
  <c r="M1395" i="26"/>
  <c r="M1394" i="26"/>
  <c r="M1393" i="26"/>
  <c r="M1392" i="26"/>
  <c r="M1391" i="26"/>
  <c r="M1390" i="26"/>
  <c r="M1389" i="26"/>
  <c r="M1388" i="26"/>
  <c r="M1387" i="26"/>
  <c r="M1386" i="26"/>
  <c r="M1385" i="26"/>
  <c r="M1384" i="26"/>
  <c r="M1383" i="26"/>
  <c r="M1382" i="26"/>
  <c r="M1381" i="26"/>
  <c r="M1380" i="26"/>
  <c r="M1379" i="26"/>
  <c r="M1378" i="26"/>
  <c r="M1377" i="26"/>
  <c r="M1376" i="26"/>
  <c r="M1375" i="26"/>
  <c r="M1374" i="26"/>
  <c r="M1373" i="26"/>
  <c r="M1372" i="26"/>
  <c r="M1371" i="26"/>
  <c r="M1370" i="26"/>
  <c r="M1369" i="26"/>
  <c r="M1368" i="26"/>
  <c r="M1367" i="26"/>
  <c r="M1366" i="26"/>
  <c r="M1365" i="26"/>
  <c r="M1364" i="26"/>
  <c r="M1363" i="26"/>
  <c r="M1362" i="26"/>
  <c r="M1361" i="26"/>
  <c r="M1360" i="26"/>
  <c r="M1359" i="26"/>
  <c r="M1358" i="26"/>
  <c r="M1357" i="26"/>
  <c r="M1356" i="26"/>
  <c r="M1355" i="26"/>
  <c r="M1354" i="26"/>
  <c r="M1353" i="26"/>
  <c r="M1352" i="26"/>
  <c r="M1351" i="26"/>
  <c r="M1350" i="26"/>
  <c r="M1349" i="26"/>
  <c r="M1348" i="26"/>
  <c r="M1347" i="26"/>
  <c r="M1346" i="26"/>
  <c r="M1345" i="26"/>
  <c r="M1344" i="26"/>
  <c r="M1343" i="26"/>
  <c r="M1342" i="26"/>
  <c r="M1341" i="26"/>
  <c r="M1340" i="26"/>
  <c r="M1339" i="26"/>
  <c r="M1338" i="26"/>
  <c r="M1337" i="26"/>
  <c r="M1336" i="26"/>
  <c r="M1335" i="26"/>
  <c r="M1334" i="26"/>
  <c r="M1333" i="26"/>
  <c r="M1332" i="26"/>
  <c r="M1331" i="26"/>
  <c r="M1330" i="26"/>
  <c r="M1329" i="26"/>
  <c r="M1328" i="26"/>
  <c r="M1327" i="26"/>
  <c r="M1326" i="26"/>
  <c r="M1325" i="26"/>
  <c r="M1324" i="26"/>
  <c r="M1323" i="26"/>
  <c r="M1322" i="26"/>
  <c r="M1321" i="26"/>
  <c r="M1320" i="26"/>
  <c r="M1319" i="26"/>
  <c r="M1318" i="26"/>
  <c r="M1317" i="26"/>
  <c r="M1316" i="26"/>
  <c r="M1315" i="26"/>
  <c r="M1314" i="26"/>
  <c r="M1313" i="26"/>
  <c r="M1312" i="26"/>
  <c r="M1311" i="26"/>
  <c r="M1310" i="26"/>
  <c r="M1309" i="26"/>
  <c r="M1308" i="26"/>
  <c r="M1307" i="26"/>
  <c r="M1306" i="26"/>
  <c r="M1305" i="26"/>
  <c r="M1304" i="26"/>
  <c r="M1303" i="26"/>
  <c r="M1302" i="26"/>
  <c r="M1301" i="26"/>
  <c r="M1300" i="26"/>
  <c r="M1299" i="26"/>
  <c r="M1298" i="26"/>
  <c r="M1297" i="26"/>
  <c r="M1296" i="26"/>
  <c r="M1295" i="26"/>
  <c r="M1294" i="26"/>
  <c r="M1293" i="26"/>
  <c r="M1292" i="26"/>
  <c r="M1291" i="26"/>
  <c r="M1290" i="26"/>
  <c r="M1289" i="26"/>
  <c r="M1288" i="26"/>
  <c r="M1287" i="26"/>
  <c r="M1286" i="26"/>
  <c r="M1285" i="26"/>
  <c r="M1284" i="26"/>
  <c r="M1283" i="26"/>
  <c r="M1282" i="26"/>
  <c r="M1281" i="26"/>
  <c r="M1280" i="26"/>
  <c r="M1279" i="26"/>
  <c r="M1278" i="26"/>
  <c r="M1277" i="26"/>
  <c r="M1276" i="26"/>
  <c r="M1275" i="26"/>
  <c r="M1274" i="26"/>
  <c r="M1273" i="26"/>
  <c r="M1272" i="26"/>
  <c r="M1271" i="26"/>
  <c r="M1270" i="26"/>
  <c r="M1269" i="26"/>
  <c r="M1268" i="26"/>
  <c r="M1267" i="26"/>
  <c r="M1266" i="26"/>
  <c r="M1265" i="26"/>
  <c r="M1264" i="26"/>
  <c r="M1263" i="26"/>
  <c r="M1262" i="26"/>
  <c r="M1261" i="26"/>
  <c r="M1260" i="26"/>
  <c r="M1259" i="26"/>
  <c r="M1258" i="26"/>
  <c r="M1257" i="26"/>
  <c r="M1256" i="26"/>
  <c r="M1255" i="26"/>
  <c r="M1254" i="26"/>
  <c r="M1253" i="26"/>
  <c r="M1252" i="26"/>
  <c r="M1251" i="26"/>
  <c r="M1250" i="26"/>
  <c r="M1249" i="26"/>
  <c r="M1248" i="26"/>
  <c r="M1247" i="26"/>
  <c r="M1246" i="26"/>
  <c r="M1245" i="26"/>
  <c r="M1244" i="26"/>
  <c r="M1243" i="26"/>
  <c r="M1242" i="26"/>
  <c r="M1241" i="26"/>
  <c r="M1240" i="26"/>
  <c r="M1239" i="26"/>
  <c r="M1238" i="26"/>
  <c r="M1237" i="26"/>
  <c r="M1236" i="26"/>
  <c r="M1235" i="26"/>
  <c r="M1234" i="26"/>
  <c r="M1233" i="26"/>
  <c r="M1232" i="26"/>
  <c r="M1231" i="26"/>
  <c r="M1230" i="26"/>
  <c r="M1229" i="26"/>
  <c r="M1228" i="26"/>
  <c r="M1227" i="26"/>
  <c r="M1226" i="26"/>
  <c r="M1225" i="26"/>
  <c r="M1224" i="26"/>
  <c r="M1223" i="26"/>
  <c r="M1222" i="26"/>
  <c r="M1221" i="26"/>
  <c r="M1220" i="26"/>
  <c r="M1219" i="26"/>
  <c r="M1218" i="26"/>
  <c r="M1217" i="26"/>
  <c r="M1216" i="26"/>
  <c r="M1215" i="26"/>
  <c r="M1214" i="26"/>
  <c r="M1213" i="26"/>
  <c r="M1212" i="26"/>
  <c r="M1211" i="26"/>
  <c r="M1210" i="26"/>
  <c r="M1209" i="26"/>
  <c r="M1208" i="26"/>
  <c r="M1207" i="26"/>
  <c r="M1206" i="26"/>
  <c r="M1205" i="26"/>
  <c r="M1204" i="26"/>
  <c r="M1203" i="26"/>
  <c r="M1202" i="26"/>
  <c r="M1201" i="26"/>
  <c r="M1200" i="26"/>
  <c r="M1199" i="26"/>
  <c r="M1198" i="26"/>
  <c r="M1197" i="26"/>
  <c r="M1196" i="26"/>
  <c r="M1195" i="26"/>
  <c r="M1194" i="26"/>
  <c r="M1193" i="26"/>
  <c r="M1192" i="26"/>
  <c r="M1191" i="26"/>
  <c r="M1190" i="26"/>
  <c r="M1189" i="26"/>
  <c r="M1188" i="26"/>
  <c r="M1187" i="26"/>
  <c r="M1186" i="26"/>
  <c r="M1185" i="26"/>
  <c r="M1184" i="26"/>
  <c r="M1183" i="26"/>
  <c r="M1182" i="26"/>
  <c r="M1181" i="26"/>
  <c r="M1180" i="26"/>
  <c r="M1179" i="26"/>
  <c r="M1178" i="26"/>
  <c r="M1177" i="26"/>
  <c r="M1176" i="26"/>
  <c r="M1175" i="26"/>
  <c r="M1174" i="26"/>
  <c r="M1173" i="26"/>
  <c r="M1172" i="26"/>
  <c r="M1171" i="26"/>
  <c r="M1170" i="26"/>
  <c r="M1169" i="26"/>
  <c r="M1168" i="26"/>
  <c r="M1167" i="26"/>
  <c r="M1166" i="26"/>
  <c r="M1165" i="26"/>
  <c r="M1164" i="26"/>
  <c r="M1163" i="26"/>
  <c r="M1162" i="26"/>
  <c r="M1161" i="26"/>
  <c r="M1160" i="26"/>
  <c r="M1159" i="26"/>
  <c r="M1158" i="26"/>
  <c r="M1157" i="26"/>
  <c r="M1156" i="26"/>
  <c r="M1155" i="26"/>
  <c r="M1154" i="26"/>
  <c r="M1153" i="26"/>
  <c r="M1152" i="26"/>
  <c r="M1151" i="26"/>
  <c r="M1150" i="26"/>
  <c r="M1149" i="26"/>
  <c r="M1148" i="26"/>
  <c r="M1147" i="26"/>
  <c r="M1146" i="26"/>
  <c r="M1145" i="26"/>
  <c r="M1144" i="26"/>
  <c r="M1143" i="26"/>
  <c r="M1142" i="26"/>
  <c r="M1141" i="26"/>
  <c r="M1140" i="26"/>
  <c r="M1139" i="26"/>
  <c r="M1138" i="26"/>
  <c r="M1137" i="26"/>
  <c r="M1136" i="26"/>
  <c r="M1135" i="26"/>
  <c r="M1134" i="26"/>
  <c r="M1133" i="26"/>
  <c r="M1132" i="26"/>
  <c r="M1131" i="26"/>
  <c r="M1130" i="26"/>
  <c r="M1129" i="26"/>
  <c r="M1128" i="26"/>
  <c r="M1127" i="26"/>
  <c r="M1126" i="26"/>
  <c r="M1125" i="26"/>
  <c r="M1124" i="26"/>
  <c r="M1123" i="26"/>
  <c r="M1122" i="26"/>
  <c r="M1121" i="26"/>
  <c r="M1120" i="26"/>
  <c r="M1119" i="26"/>
  <c r="M1118" i="26"/>
  <c r="M1117" i="26"/>
  <c r="M1116" i="26"/>
  <c r="M1115" i="26"/>
  <c r="M1114" i="26"/>
  <c r="M1113" i="26"/>
  <c r="M1112" i="26"/>
  <c r="M1111" i="26"/>
  <c r="M1110" i="26"/>
  <c r="M1109" i="26"/>
  <c r="M1108" i="26"/>
  <c r="M1107" i="26"/>
  <c r="M1106" i="26"/>
  <c r="M1105" i="26"/>
  <c r="M1104" i="26"/>
  <c r="M1103" i="26"/>
  <c r="M1102" i="26"/>
  <c r="M1101" i="26"/>
  <c r="M1100" i="26"/>
  <c r="M1099" i="26"/>
  <c r="M1098" i="26"/>
  <c r="M1097" i="26"/>
  <c r="M1096" i="26"/>
  <c r="M1095" i="26"/>
  <c r="M1094" i="26"/>
  <c r="M1093" i="26"/>
  <c r="M1092" i="26"/>
  <c r="M1091" i="26"/>
  <c r="M1090" i="26"/>
  <c r="M1089" i="26"/>
  <c r="M1088" i="26"/>
  <c r="M1087" i="26"/>
  <c r="M1086" i="26"/>
  <c r="M1085" i="26"/>
  <c r="M1084" i="26"/>
  <c r="M1083" i="26"/>
  <c r="M1082" i="26"/>
  <c r="M1081" i="26"/>
  <c r="M1080" i="26"/>
  <c r="M1079" i="26"/>
  <c r="M1078" i="26"/>
  <c r="M1077" i="26"/>
  <c r="M1076" i="26"/>
  <c r="M1075" i="26"/>
  <c r="M1074" i="26"/>
  <c r="M1073" i="26"/>
  <c r="M1072" i="26"/>
  <c r="M1071" i="26"/>
  <c r="M1070" i="26"/>
  <c r="M1069" i="26"/>
  <c r="M1068" i="26"/>
  <c r="M1067" i="26"/>
  <c r="M1066" i="26"/>
  <c r="M1065" i="26"/>
  <c r="M1064" i="26"/>
  <c r="M1063" i="26"/>
  <c r="M1062" i="26"/>
  <c r="M1061" i="26"/>
  <c r="M1060" i="26"/>
  <c r="M1059" i="26"/>
  <c r="M1058" i="26"/>
  <c r="M1057" i="26"/>
  <c r="M1056" i="26"/>
  <c r="M1055" i="26"/>
  <c r="M1054" i="26"/>
  <c r="M1053" i="26"/>
  <c r="M1052" i="26"/>
  <c r="M1051" i="26"/>
  <c r="M1050" i="26"/>
  <c r="M1049" i="26"/>
  <c r="M1048" i="26"/>
  <c r="M1047" i="26"/>
  <c r="M1046" i="26"/>
  <c r="M1045" i="26"/>
  <c r="M1044" i="26"/>
  <c r="M1043" i="26"/>
  <c r="M1042" i="26"/>
  <c r="M1041" i="26"/>
  <c r="M1040" i="26"/>
  <c r="M1039" i="26"/>
  <c r="M1038" i="26"/>
  <c r="M1037" i="26"/>
  <c r="M1036" i="26"/>
  <c r="M1035" i="26"/>
  <c r="M1034" i="26"/>
  <c r="M1033" i="26"/>
  <c r="M1032" i="26"/>
  <c r="M1031" i="26"/>
  <c r="M1030" i="26"/>
  <c r="M1029" i="26"/>
  <c r="M1028" i="26"/>
  <c r="M1027" i="26"/>
  <c r="M1026" i="26"/>
  <c r="M1025" i="26"/>
  <c r="M1024" i="26"/>
  <c r="M1023" i="26"/>
  <c r="M1022" i="26"/>
  <c r="M1021" i="26"/>
  <c r="M1020" i="26"/>
  <c r="M1019" i="26"/>
  <c r="M1018" i="26"/>
  <c r="M1017" i="26"/>
  <c r="M1016" i="26"/>
  <c r="M1015" i="26"/>
  <c r="M1014" i="26"/>
  <c r="M1013" i="26"/>
  <c r="M1012" i="26"/>
  <c r="M1011" i="26"/>
  <c r="M1010" i="26"/>
  <c r="M1009" i="26"/>
  <c r="M1008" i="26"/>
  <c r="M1007" i="26"/>
  <c r="M1006" i="26"/>
  <c r="M1005" i="26"/>
  <c r="M1004" i="26"/>
  <c r="M1003" i="26"/>
  <c r="M1002" i="26"/>
  <c r="M1001" i="26"/>
  <c r="M1000" i="26"/>
  <c r="M999" i="26"/>
  <c r="M998" i="26"/>
  <c r="M997" i="26"/>
  <c r="M996" i="26"/>
  <c r="M995" i="26"/>
  <c r="M994" i="26"/>
  <c r="M993" i="26"/>
  <c r="M992" i="26"/>
  <c r="M991" i="26"/>
  <c r="M990" i="26"/>
  <c r="M989" i="26"/>
  <c r="M988" i="26"/>
  <c r="M987" i="26"/>
  <c r="M986" i="26"/>
  <c r="M985" i="26"/>
  <c r="M984" i="26"/>
  <c r="M983" i="26"/>
  <c r="M982" i="26"/>
  <c r="M981" i="26"/>
  <c r="M980" i="26"/>
  <c r="M979" i="26"/>
  <c r="M978" i="26"/>
  <c r="M977" i="26"/>
  <c r="M976" i="26"/>
  <c r="M975" i="26"/>
  <c r="M974" i="26"/>
  <c r="M973" i="26"/>
  <c r="M972" i="26"/>
  <c r="M971" i="26"/>
  <c r="M970" i="26"/>
  <c r="M969" i="26"/>
  <c r="M968" i="26"/>
  <c r="M967" i="26"/>
  <c r="M966" i="26"/>
  <c r="M965" i="26"/>
  <c r="M964" i="26"/>
  <c r="M963" i="26"/>
  <c r="M962" i="26"/>
  <c r="M961" i="26"/>
  <c r="M960" i="26"/>
  <c r="M959" i="26"/>
  <c r="M958" i="26"/>
  <c r="M957" i="26"/>
  <c r="M956" i="26"/>
  <c r="M955" i="26"/>
  <c r="M954" i="26"/>
  <c r="M953" i="26"/>
  <c r="M952" i="26"/>
  <c r="M951" i="26"/>
  <c r="M950" i="26"/>
  <c r="M949" i="26"/>
  <c r="M948" i="26"/>
  <c r="M947" i="26"/>
  <c r="M946" i="26"/>
  <c r="M945" i="26"/>
  <c r="M944" i="26"/>
  <c r="M943" i="26"/>
  <c r="M942" i="26"/>
  <c r="M941" i="26"/>
  <c r="M940" i="26"/>
  <c r="M939" i="26"/>
  <c r="M938" i="26"/>
  <c r="M937" i="26"/>
  <c r="M936" i="26"/>
  <c r="M935" i="26"/>
  <c r="M934" i="26"/>
  <c r="M933" i="26"/>
  <c r="M932" i="26"/>
  <c r="M931" i="26"/>
  <c r="M930" i="26"/>
  <c r="M929" i="26"/>
  <c r="M928" i="26"/>
  <c r="M927" i="26"/>
  <c r="M926" i="26"/>
  <c r="M925" i="26"/>
  <c r="M924" i="26"/>
  <c r="M923" i="26"/>
  <c r="M922" i="26"/>
  <c r="M921" i="26"/>
  <c r="M920" i="26"/>
  <c r="M919" i="26"/>
  <c r="M918" i="26"/>
  <c r="M917" i="26"/>
  <c r="M916" i="26"/>
  <c r="M915" i="26"/>
  <c r="M914" i="26"/>
  <c r="M913" i="26"/>
  <c r="M912" i="26"/>
  <c r="M911" i="26"/>
  <c r="M910" i="26"/>
  <c r="M909" i="26"/>
  <c r="M908" i="26"/>
  <c r="M907" i="26"/>
  <c r="M906" i="26"/>
  <c r="M905" i="26"/>
  <c r="M904" i="26"/>
  <c r="M903" i="26"/>
  <c r="M902" i="26"/>
  <c r="M901" i="26"/>
  <c r="M900" i="26"/>
  <c r="M899" i="26"/>
  <c r="M898" i="26"/>
  <c r="M897" i="26"/>
  <c r="M896" i="26"/>
  <c r="M895" i="26"/>
  <c r="M894" i="26"/>
  <c r="M893" i="26"/>
  <c r="M892" i="26"/>
  <c r="M891" i="26"/>
  <c r="M890" i="26"/>
  <c r="M889" i="26"/>
  <c r="M888" i="26"/>
  <c r="M887" i="26"/>
  <c r="M886" i="26"/>
  <c r="M885" i="26"/>
  <c r="M884" i="26"/>
  <c r="M883" i="26"/>
  <c r="M882" i="26"/>
  <c r="M881" i="26"/>
  <c r="M880" i="26"/>
  <c r="M879" i="26"/>
  <c r="M878" i="26"/>
  <c r="M877" i="26"/>
  <c r="M876" i="26"/>
  <c r="M875" i="26"/>
  <c r="M874" i="26"/>
  <c r="M873" i="26"/>
  <c r="M872" i="26"/>
  <c r="M871" i="26"/>
  <c r="M870" i="26"/>
  <c r="M869" i="26"/>
  <c r="M868" i="26"/>
  <c r="M867" i="26"/>
  <c r="M866" i="26"/>
  <c r="M865" i="26"/>
  <c r="M864" i="26"/>
  <c r="M863" i="26"/>
  <c r="M862" i="26"/>
  <c r="M861" i="26"/>
  <c r="M860" i="26"/>
  <c r="M859" i="26"/>
  <c r="M858" i="26"/>
  <c r="M857" i="26"/>
  <c r="M856" i="26"/>
  <c r="M855" i="26"/>
  <c r="M854" i="26"/>
  <c r="M853" i="26"/>
  <c r="M852" i="26"/>
  <c r="M851" i="26"/>
  <c r="M850" i="26"/>
  <c r="M849" i="26"/>
  <c r="M848" i="26"/>
  <c r="M847" i="26"/>
  <c r="M846" i="26"/>
  <c r="M845" i="26"/>
  <c r="M844" i="26"/>
  <c r="M843" i="26"/>
  <c r="M842" i="26"/>
  <c r="M841" i="26"/>
  <c r="M840" i="26"/>
  <c r="M839" i="26"/>
  <c r="M838" i="26"/>
  <c r="M837" i="26"/>
  <c r="M836" i="26"/>
  <c r="M835" i="26"/>
  <c r="M834" i="26"/>
  <c r="M833" i="26"/>
  <c r="M832" i="26"/>
  <c r="M831" i="26"/>
  <c r="M830" i="26"/>
  <c r="M829" i="26"/>
  <c r="M828" i="26"/>
  <c r="M827" i="26"/>
  <c r="M826" i="26"/>
  <c r="M825" i="26"/>
  <c r="M824" i="26"/>
  <c r="M823" i="26"/>
  <c r="M822" i="26"/>
  <c r="M821" i="26"/>
  <c r="M820" i="26"/>
  <c r="M819" i="26"/>
  <c r="M818" i="26"/>
  <c r="M817" i="26"/>
  <c r="M816" i="26"/>
  <c r="M815" i="26"/>
  <c r="M814" i="26"/>
  <c r="M813" i="26"/>
  <c r="M812" i="26"/>
  <c r="M811" i="26"/>
  <c r="M810" i="26"/>
  <c r="M809" i="26"/>
  <c r="M808" i="26"/>
  <c r="M807" i="26"/>
  <c r="M806" i="26"/>
  <c r="M805" i="26"/>
  <c r="M804" i="26"/>
  <c r="M803" i="26"/>
  <c r="M802" i="26"/>
  <c r="M801" i="26"/>
  <c r="M800" i="26"/>
  <c r="M799" i="26"/>
  <c r="M798" i="26"/>
  <c r="M797" i="26"/>
  <c r="M796" i="26"/>
  <c r="M795" i="26"/>
  <c r="M794" i="26"/>
  <c r="M793" i="26"/>
  <c r="M792" i="26"/>
  <c r="M791" i="26"/>
  <c r="M790" i="26"/>
  <c r="M789" i="26"/>
  <c r="M788" i="26"/>
  <c r="M787" i="26"/>
  <c r="M786" i="26"/>
  <c r="M785" i="26"/>
  <c r="M784" i="26"/>
  <c r="M783" i="26"/>
  <c r="M782" i="26"/>
  <c r="M781" i="26"/>
  <c r="M780" i="26"/>
  <c r="M779" i="26"/>
  <c r="M778" i="26"/>
  <c r="M777" i="26"/>
  <c r="M776" i="26"/>
  <c r="M775" i="26"/>
  <c r="M774" i="26"/>
  <c r="M773" i="26"/>
  <c r="M772" i="26"/>
  <c r="M771" i="26"/>
  <c r="M770" i="26"/>
  <c r="M769" i="26"/>
  <c r="M768" i="26"/>
  <c r="M767" i="26"/>
  <c r="M766" i="26"/>
  <c r="M765" i="26"/>
  <c r="M764" i="26"/>
  <c r="M763" i="26"/>
  <c r="M762" i="26"/>
  <c r="M761" i="26"/>
  <c r="M760" i="26"/>
  <c r="M759" i="26"/>
  <c r="M758" i="26"/>
  <c r="M757" i="26"/>
  <c r="M756" i="26"/>
  <c r="M755" i="26"/>
  <c r="M754" i="26"/>
  <c r="M753" i="26"/>
  <c r="M752" i="26"/>
  <c r="M751" i="26"/>
  <c r="M750" i="26"/>
  <c r="M749" i="26"/>
  <c r="M748" i="26"/>
  <c r="M747" i="26"/>
  <c r="M746" i="26"/>
  <c r="M745" i="26"/>
  <c r="M744" i="26"/>
  <c r="M743" i="26"/>
  <c r="M742" i="26"/>
  <c r="M741" i="26"/>
  <c r="M740" i="26"/>
  <c r="M739" i="26"/>
  <c r="M738" i="26"/>
  <c r="M737" i="26"/>
  <c r="M736" i="26"/>
  <c r="M735" i="26"/>
  <c r="M734" i="26"/>
  <c r="M733" i="26"/>
  <c r="M732" i="26"/>
  <c r="M731" i="26"/>
  <c r="M730" i="26"/>
  <c r="M729" i="26"/>
  <c r="M728" i="26"/>
  <c r="M727" i="26"/>
  <c r="M726" i="26"/>
  <c r="M725" i="26"/>
  <c r="M724" i="26"/>
  <c r="M723" i="26"/>
  <c r="M722" i="26"/>
  <c r="M721" i="26"/>
  <c r="M720" i="26"/>
  <c r="M719" i="26"/>
  <c r="M718" i="26"/>
  <c r="M717" i="26"/>
  <c r="M716" i="26"/>
  <c r="M715" i="26"/>
  <c r="M714" i="26"/>
  <c r="M713" i="26"/>
  <c r="M712" i="26"/>
  <c r="M711" i="26"/>
  <c r="M710" i="26"/>
  <c r="M709" i="26"/>
  <c r="M708" i="26"/>
  <c r="M707" i="26"/>
  <c r="M706" i="26"/>
  <c r="M705" i="26"/>
  <c r="M704" i="26"/>
  <c r="M703" i="26"/>
  <c r="M702" i="26"/>
  <c r="M701" i="26"/>
  <c r="M700" i="26"/>
  <c r="M699" i="26"/>
  <c r="M698" i="26"/>
  <c r="M697" i="26"/>
  <c r="M696" i="26"/>
  <c r="M695" i="26"/>
  <c r="M694" i="26"/>
  <c r="M693" i="26"/>
  <c r="M692" i="26"/>
  <c r="M691" i="26"/>
  <c r="M690" i="26"/>
  <c r="M689" i="26"/>
  <c r="M688" i="26"/>
  <c r="M687" i="26"/>
  <c r="M686" i="26"/>
  <c r="M685" i="26"/>
  <c r="M684" i="26"/>
  <c r="M683" i="26"/>
  <c r="M682" i="26"/>
  <c r="M681" i="26"/>
  <c r="M680" i="26"/>
  <c r="M679" i="26"/>
  <c r="M678" i="26"/>
  <c r="M677" i="26"/>
  <c r="M676" i="26"/>
  <c r="M675" i="26"/>
  <c r="M674" i="26"/>
  <c r="M673" i="26"/>
  <c r="M672" i="26"/>
  <c r="M671" i="26"/>
  <c r="M670" i="26"/>
  <c r="M669" i="26"/>
  <c r="M668" i="26"/>
  <c r="M667" i="26"/>
  <c r="M666" i="26"/>
  <c r="M665" i="26"/>
  <c r="M664" i="26"/>
  <c r="M663" i="26"/>
  <c r="M662" i="26"/>
  <c r="M661" i="26"/>
  <c r="M660" i="26"/>
  <c r="M659" i="26"/>
  <c r="M658" i="26"/>
  <c r="M657" i="26"/>
  <c r="M656" i="26"/>
  <c r="M655" i="26"/>
  <c r="M654" i="26"/>
  <c r="M653" i="26"/>
  <c r="M652" i="26"/>
  <c r="M651" i="26"/>
  <c r="M650" i="26"/>
  <c r="M649" i="26"/>
  <c r="M648" i="26"/>
  <c r="M647" i="26"/>
  <c r="M646" i="26"/>
  <c r="M645" i="26"/>
  <c r="M644" i="26"/>
  <c r="M643" i="26"/>
  <c r="M642" i="26"/>
  <c r="M641" i="26"/>
  <c r="M640" i="26"/>
  <c r="M639" i="26"/>
  <c r="M638" i="26"/>
  <c r="M637" i="26"/>
  <c r="M636" i="26"/>
  <c r="M635" i="26"/>
  <c r="M634" i="26"/>
  <c r="M633" i="26"/>
  <c r="M632" i="26"/>
  <c r="M631" i="26"/>
  <c r="M630" i="26"/>
  <c r="M629" i="26"/>
  <c r="M628" i="26"/>
  <c r="M627" i="26"/>
  <c r="M626" i="26"/>
  <c r="M625" i="26"/>
  <c r="M624" i="26"/>
  <c r="M623" i="26"/>
  <c r="M622" i="26"/>
  <c r="M621" i="26"/>
  <c r="M620" i="26"/>
  <c r="M619" i="26"/>
  <c r="M618" i="26"/>
  <c r="M617" i="26"/>
  <c r="M616" i="26"/>
  <c r="M615" i="26"/>
  <c r="M614" i="26"/>
  <c r="M613" i="26"/>
  <c r="M612" i="26"/>
  <c r="M611" i="26"/>
  <c r="M610" i="26"/>
  <c r="M609" i="26"/>
  <c r="M608" i="26"/>
  <c r="M607" i="26"/>
  <c r="M606" i="26"/>
  <c r="M605" i="26"/>
  <c r="M604" i="26"/>
  <c r="M603" i="26"/>
  <c r="M602" i="26"/>
  <c r="M601" i="26"/>
  <c r="M600" i="26"/>
  <c r="M599" i="26"/>
  <c r="M598" i="26"/>
  <c r="M597" i="26"/>
  <c r="M596" i="26"/>
  <c r="M595" i="26"/>
  <c r="M594" i="26"/>
  <c r="M593" i="26"/>
  <c r="M592" i="26"/>
  <c r="M591" i="26"/>
  <c r="M590" i="26"/>
  <c r="M589" i="26"/>
  <c r="M588" i="26"/>
  <c r="M587" i="26"/>
  <c r="M586" i="26"/>
  <c r="M585" i="26"/>
  <c r="M584" i="26"/>
  <c r="M583" i="26"/>
  <c r="M582" i="26"/>
  <c r="M581" i="26"/>
  <c r="M580" i="26"/>
  <c r="M579" i="26"/>
  <c r="M578" i="26"/>
  <c r="M577" i="26"/>
  <c r="M576" i="26"/>
  <c r="M575" i="26"/>
  <c r="M574" i="26"/>
  <c r="M573" i="26"/>
  <c r="M572" i="26"/>
  <c r="M571" i="26"/>
  <c r="M570" i="26"/>
  <c r="M569" i="26"/>
  <c r="M568" i="26"/>
  <c r="M567" i="26"/>
  <c r="M566" i="26"/>
  <c r="M565" i="26"/>
  <c r="M564" i="26"/>
  <c r="M563" i="26"/>
  <c r="M562" i="26"/>
  <c r="M561" i="26"/>
  <c r="M560" i="26"/>
  <c r="M559" i="26"/>
  <c r="M558" i="26"/>
  <c r="M557" i="26"/>
  <c r="M556" i="26"/>
  <c r="M555" i="26"/>
  <c r="M554" i="26"/>
  <c r="M553" i="26"/>
  <c r="M552" i="26"/>
  <c r="M551" i="26"/>
  <c r="M550" i="26"/>
  <c r="M549" i="26"/>
  <c r="M548" i="26"/>
  <c r="M547" i="26"/>
  <c r="M546" i="26"/>
  <c r="M545" i="26"/>
  <c r="M544" i="26"/>
  <c r="M543" i="26"/>
  <c r="M542" i="26"/>
  <c r="M541" i="26"/>
  <c r="M540" i="26"/>
  <c r="M539" i="26"/>
  <c r="M538" i="26"/>
  <c r="M537" i="26"/>
  <c r="M536" i="26"/>
  <c r="M535" i="26"/>
  <c r="M534" i="26"/>
  <c r="M533" i="26"/>
  <c r="M532" i="26"/>
  <c r="M531" i="26"/>
  <c r="M530" i="26"/>
  <c r="M529" i="26"/>
  <c r="M528" i="26"/>
  <c r="M527" i="26"/>
  <c r="M526" i="26"/>
  <c r="M525" i="26"/>
  <c r="M524" i="26"/>
  <c r="M523" i="26"/>
  <c r="M522" i="26"/>
  <c r="M521" i="26"/>
  <c r="M520" i="26"/>
  <c r="M519" i="26"/>
  <c r="M518" i="26"/>
  <c r="M517" i="26"/>
  <c r="M516" i="26"/>
  <c r="M515" i="26"/>
  <c r="M514" i="26"/>
  <c r="M513" i="26"/>
  <c r="M512" i="26"/>
  <c r="M511" i="26"/>
  <c r="M510" i="26"/>
  <c r="M509" i="26"/>
  <c r="M508" i="26"/>
  <c r="M507" i="26"/>
  <c r="M506" i="26"/>
  <c r="M505" i="26"/>
  <c r="M504" i="26"/>
  <c r="M503" i="26"/>
  <c r="M502" i="26"/>
  <c r="M501" i="26"/>
  <c r="M500" i="26"/>
  <c r="M499" i="26"/>
  <c r="M498" i="26"/>
  <c r="M497" i="26"/>
  <c r="M496" i="26"/>
  <c r="M495" i="26"/>
  <c r="M494" i="26"/>
  <c r="M493" i="26"/>
  <c r="M492" i="26"/>
  <c r="M491" i="26"/>
  <c r="M490" i="26"/>
  <c r="M489" i="26"/>
  <c r="M488" i="26"/>
  <c r="M487" i="26"/>
  <c r="M486" i="26"/>
  <c r="M485" i="26"/>
  <c r="M484" i="26"/>
  <c r="M483" i="26"/>
  <c r="M482" i="26"/>
  <c r="M481" i="26"/>
  <c r="M480" i="26"/>
  <c r="M479" i="26"/>
  <c r="M478" i="26"/>
  <c r="M477" i="26"/>
  <c r="M476" i="26"/>
  <c r="M475" i="26"/>
  <c r="M474" i="26"/>
  <c r="M473" i="26"/>
  <c r="M472" i="26"/>
  <c r="M471" i="26"/>
  <c r="M470" i="26"/>
  <c r="M469" i="26"/>
  <c r="M468" i="26"/>
  <c r="M467" i="26"/>
  <c r="M466" i="26"/>
  <c r="M465" i="26"/>
  <c r="M464" i="26"/>
  <c r="M463" i="26"/>
  <c r="M462" i="26"/>
  <c r="M461" i="26"/>
  <c r="M460" i="26"/>
  <c r="M459" i="26"/>
  <c r="M458" i="26"/>
  <c r="M457" i="26"/>
  <c r="M456" i="26"/>
  <c r="M455" i="26"/>
  <c r="M454" i="26"/>
  <c r="M453" i="26"/>
  <c r="M452" i="26"/>
  <c r="M451" i="26"/>
  <c r="M450" i="26"/>
  <c r="M449" i="26"/>
  <c r="M448" i="26"/>
  <c r="M447" i="26"/>
  <c r="M446" i="26"/>
  <c r="M445" i="26"/>
  <c r="M444" i="26"/>
  <c r="M443" i="26"/>
  <c r="M442" i="26"/>
  <c r="M441" i="26"/>
  <c r="M440" i="26"/>
  <c r="M439" i="26"/>
  <c r="M438" i="26"/>
  <c r="M437" i="26"/>
  <c r="M436" i="26"/>
  <c r="M435" i="26"/>
  <c r="M434" i="26"/>
  <c r="M433" i="26"/>
  <c r="M432" i="26"/>
  <c r="M431" i="26"/>
  <c r="M430" i="26"/>
  <c r="M429" i="26"/>
  <c r="M428" i="26"/>
  <c r="M427" i="26"/>
  <c r="M426" i="26"/>
  <c r="M425" i="26"/>
  <c r="M424" i="26"/>
  <c r="M423" i="26"/>
  <c r="M422" i="26"/>
  <c r="M421" i="26"/>
  <c r="M420" i="26"/>
  <c r="M419" i="26"/>
  <c r="M418" i="26"/>
  <c r="M417" i="26"/>
  <c r="M416" i="26"/>
  <c r="M415" i="26"/>
  <c r="M414" i="26"/>
  <c r="M413" i="26"/>
  <c r="M412" i="26"/>
  <c r="M411" i="26"/>
  <c r="M410" i="26"/>
  <c r="M409" i="26"/>
  <c r="M408" i="26"/>
  <c r="M407" i="26"/>
  <c r="M406" i="26"/>
  <c r="M405" i="26"/>
  <c r="M404" i="26"/>
  <c r="M403" i="26"/>
  <c r="M402" i="26"/>
  <c r="M401" i="26"/>
  <c r="M400" i="26"/>
  <c r="M399" i="26"/>
  <c r="M398" i="26"/>
  <c r="M397" i="26"/>
  <c r="M396" i="26"/>
  <c r="M395" i="26"/>
  <c r="M394" i="26"/>
  <c r="M393" i="26"/>
  <c r="M392" i="26"/>
  <c r="M391" i="26"/>
  <c r="M390" i="26"/>
  <c r="M389" i="26"/>
  <c r="M388" i="26"/>
  <c r="M387" i="26"/>
  <c r="M386" i="26"/>
  <c r="M385" i="26"/>
  <c r="M384" i="26"/>
  <c r="M383" i="26"/>
  <c r="M382" i="26"/>
  <c r="M381" i="26"/>
  <c r="M380" i="26"/>
  <c r="M379" i="26"/>
  <c r="M378" i="26"/>
  <c r="M377" i="26"/>
  <c r="M376" i="26"/>
  <c r="M375" i="26"/>
  <c r="M374" i="26"/>
  <c r="M373" i="26"/>
  <c r="M372" i="26"/>
  <c r="M371" i="26"/>
  <c r="M370" i="26"/>
  <c r="M369" i="26"/>
  <c r="M368" i="26"/>
  <c r="M367" i="26"/>
  <c r="M366" i="26"/>
  <c r="M365" i="26"/>
  <c r="M364" i="26"/>
  <c r="M363" i="26"/>
  <c r="M362" i="26"/>
  <c r="M361" i="26"/>
  <c r="M360" i="26"/>
  <c r="M359" i="26"/>
  <c r="M358" i="26"/>
  <c r="M357" i="26"/>
  <c r="M356" i="26"/>
  <c r="M355" i="26"/>
  <c r="M354" i="26"/>
  <c r="M353" i="26"/>
  <c r="M352" i="26"/>
  <c r="M351" i="26"/>
  <c r="M350" i="26"/>
  <c r="M349" i="26"/>
  <c r="M348" i="26"/>
  <c r="M347" i="26"/>
  <c r="M346" i="26"/>
  <c r="M345" i="26"/>
  <c r="M344" i="26"/>
  <c r="M343" i="26"/>
  <c r="M342" i="26"/>
  <c r="M341" i="26"/>
  <c r="M340" i="26"/>
  <c r="M339" i="26"/>
  <c r="M338" i="26"/>
  <c r="M337" i="26"/>
  <c r="M336" i="26"/>
  <c r="M335" i="26"/>
  <c r="M334" i="26"/>
  <c r="M333" i="26"/>
  <c r="M332" i="26"/>
  <c r="M331" i="26"/>
  <c r="M330" i="26"/>
  <c r="M329" i="26"/>
  <c r="M328" i="26"/>
  <c r="M327" i="26"/>
  <c r="M326" i="26"/>
  <c r="M325" i="26"/>
  <c r="M324" i="26"/>
  <c r="M323" i="26"/>
  <c r="M322" i="26"/>
  <c r="M321" i="26"/>
  <c r="M320" i="26"/>
  <c r="M319" i="26"/>
  <c r="M318" i="26"/>
  <c r="M317" i="26"/>
  <c r="M316" i="26"/>
  <c r="M315" i="26"/>
  <c r="M314" i="26"/>
  <c r="M313" i="26"/>
  <c r="M312" i="26"/>
  <c r="M311" i="26"/>
  <c r="M310" i="26"/>
  <c r="M309" i="26"/>
  <c r="M308" i="26"/>
  <c r="M307" i="26"/>
  <c r="M306" i="26"/>
  <c r="M305" i="26"/>
  <c r="M304" i="26"/>
  <c r="M303" i="26"/>
  <c r="M302" i="26"/>
  <c r="M301" i="26"/>
  <c r="M300" i="26"/>
  <c r="M299" i="26"/>
  <c r="M298" i="26"/>
  <c r="M297" i="26"/>
  <c r="M296" i="26"/>
  <c r="M295" i="26"/>
  <c r="M294" i="26"/>
  <c r="M293" i="26"/>
  <c r="M292" i="26"/>
  <c r="M291" i="26"/>
  <c r="M290" i="26"/>
  <c r="M289" i="26"/>
  <c r="M288" i="26"/>
  <c r="M287" i="26"/>
  <c r="M286" i="26"/>
  <c r="M285" i="26"/>
  <c r="M284" i="26"/>
  <c r="M283" i="26"/>
  <c r="M282" i="26"/>
  <c r="M281" i="26"/>
  <c r="M280" i="26"/>
  <c r="M279" i="26"/>
  <c r="M278" i="26"/>
  <c r="M277" i="26"/>
  <c r="M276" i="26"/>
  <c r="M275" i="26"/>
  <c r="M274" i="26"/>
  <c r="M273" i="26"/>
  <c r="M272" i="26"/>
  <c r="M271" i="26"/>
  <c r="M270" i="26"/>
  <c r="M269" i="26"/>
  <c r="M268" i="26"/>
  <c r="M267" i="26"/>
  <c r="M266" i="26"/>
  <c r="M265" i="26"/>
  <c r="M264" i="26"/>
  <c r="M263" i="26"/>
  <c r="M262" i="26"/>
  <c r="M261" i="26"/>
  <c r="M260" i="26"/>
  <c r="M259" i="26"/>
  <c r="M258" i="26"/>
  <c r="M257" i="26"/>
  <c r="M256" i="26"/>
  <c r="M255" i="26"/>
  <c r="M254" i="26"/>
  <c r="M253" i="26"/>
  <c r="M252" i="26"/>
  <c r="M251" i="26"/>
  <c r="M250" i="26"/>
  <c r="M249" i="26"/>
  <c r="M248" i="26"/>
  <c r="M247" i="26"/>
  <c r="M246" i="26"/>
  <c r="M245" i="26"/>
  <c r="M244" i="26"/>
  <c r="M243" i="26"/>
  <c r="M242" i="26"/>
  <c r="M241" i="26"/>
  <c r="M240" i="26"/>
  <c r="M239" i="26"/>
  <c r="M238" i="26"/>
  <c r="M237" i="26"/>
  <c r="M236" i="26"/>
  <c r="M235" i="26"/>
  <c r="M234" i="26"/>
  <c r="M233" i="26"/>
  <c r="M232" i="26"/>
  <c r="M231" i="26"/>
  <c r="M230" i="26"/>
  <c r="M229" i="26"/>
  <c r="M228" i="26"/>
  <c r="M227" i="26"/>
  <c r="M226" i="26"/>
  <c r="M225" i="26"/>
  <c r="M224" i="26"/>
  <c r="M223" i="26"/>
  <c r="M222" i="26"/>
  <c r="M221" i="26"/>
  <c r="M220" i="26"/>
  <c r="M219" i="26"/>
  <c r="M218" i="26"/>
  <c r="M217" i="26"/>
  <c r="M216" i="26"/>
  <c r="M215" i="26"/>
  <c r="M214" i="26"/>
  <c r="M213" i="26"/>
  <c r="M212" i="26"/>
  <c r="M211" i="26"/>
  <c r="M210" i="26"/>
  <c r="M209" i="26"/>
  <c r="M208" i="26"/>
  <c r="M207" i="26"/>
  <c r="M206" i="26"/>
  <c r="M205" i="26"/>
  <c r="M204" i="26"/>
  <c r="M203" i="26"/>
  <c r="M202" i="26"/>
  <c r="M201" i="26"/>
  <c r="M200" i="26"/>
  <c r="M199" i="26"/>
  <c r="M198" i="26"/>
  <c r="M197" i="26"/>
  <c r="M196" i="26"/>
  <c r="M195" i="26"/>
  <c r="M194" i="26"/>
  <c r="M193" i="26"/>
  <c r="M192" i="26"/>
  <c r="M191" i="26"/>
  <c r="M190" i="26"/>
  <c r="M189" i="26"/>
  <c r="M188" i="26"/>
  <c r="M187" i="26"/>
  <c r="M186" i="26"/>
  <c r="M185" i="26"/>
  <c r="M184" i="26"/>
  <c r="M183" i="26"/>
  <c r="M182" i="26"/>
  <c r="M181" i="26"/>
  <c r="M180" i="26"/>
  <c r="M179" i="26"/>
  <c r="M178" i="26"/>
  <c r="M177" i="26"/>
  <c r="M176" i="26"/>
  <c r="M175" i="26"/>
  <c r="M174" i="26"/>
  <c r="M173" i="26"/>
  <c r="M172" i="26"/>
  <c r="M171" i="26"/>
  <c r="M170" i="26"/>
  <c r="M169" i="26"/>
  <c r="M168" i="26"/>
  <c r="M167" i="26"/>
  <c r="M166" i="26"/>
  <c r="M165" i="26"/>
  <c r="M164" i="26"/>
  <c r="M163" i="26"/>
  <c r="M162" i="26"/>
  <c r="M161" i="26"/>
  <c r="M160" i="26"/>
  <c r="M159" i="26"/>
  <c r="M158" i="26"/>
  <c r="M157" i="26"/>
  <c r="M156" i="26"/>
  <c r="M155" i="26"/>
  <c r="M154" i="26"/>
  <c r="M153" i="26"/>
  <c r="M152" i="26"/>
  <c r="M151" i="26"/>
  <c r="M150" i="26"/>
  <c r="M149" i="26"/>
  <c r="M148" i="26"/>
  <c r="M147" i="26"/>
  <c r="M146" i="26"/>
  <c r="M145" i="26"/>
  <c r="M144" i="26"/>
  <c r="M143" i="26"/>
  <c r="M142" i="26"/>
  <c r="M141" i="26"/>
  <c r="M140" i="26"/>
  <c r="M139" i="26"/>
  <c r="M138" i="26"/>
  <c r="M137" i="26"/>
  <c r="M136" i="26"/>
  <c r="M135" i="26"/>
  <c r="M134" i="26"/>
  <c r="M133" i="26"/>
  <c r="M132" i="26"/>
  <c r="M131" i="26"/>
  <c r="M130" i="26"/>
  <c r="M129" i="26"/>
  <c r="M128" i="26"/>
  <c r="M127" i="26"/>
  <c r="M126" i="26"/>
  <c r="M125" i="26"/>
  <c r="M124" i="26"/>
  <c r="M123" i="26"/>
  <c r="M122" i="26"/>
  <c r="M121" i="26"/>
  <c r="M120" i="26"/>
  <c r="M119" i="26"/>
  <c r="M118" i="26"/>
  <c r="M117" i="26"/>
  <c r="M116" i="26"/>
  <c r="M115" i="26"/>
  <c r="M114" i="26"/>
  <c r="M113" i="26"/>
  <c r="M112" i="26"/>
  <c r="M111" i="26"/>
  <c r="M110" i="26"/>
  <c r="M109" i="26"/>
  <c r="M108" i="26"/>
  <c r="M107" i="26"/>
  <c r="M106" i="26"/>
  <c r="M105" i="26"/>
  <c r="M104" i="26"/>
  <c r="M103" i="26"/>
  <c r="M102" i="26"/>
  <c r="M101" i="26"/>
  <c r="M100" i="26"/>
  <c r="M99" i="26"/>
  <c r="M98" i="26"/>
  <c r="M97" i="26"/>
  <c r="M96" i="26"/>
  <c r="M95" i="26"/>
  <c r="M94" i="26"/>
  <c r="M93" i="26"/>
  <c r="M92" i="26"/>
  <c r="M91" i="26"/>
  <c r="M90" i="26"/>
  <c r="M89" i="26"/>
  <c r="M88" i="26"/>
  <c r="M87" i="26"/>
  <c r="M86" i="26"/>
  <c r="M85" i="26"/>
  <c r="M84" i="26"/>
  <c r="M83" i="26"/>
  <c r="M82" i="26"/>
  <c r="M81" i="26"/>
  <c r="M80" i="26"/>
  <c r="M79" i="26"/>
  <c r="M78" i="26"/>
  <c r="M77" i="26"/>
  <c r="M76" i="26"/>
  <c r="M75" i="26"/>
  <c r="M74" i="26"/>
  <c r="M73" i="26"/>
  <c r="M72" i="26"/>
  <c r="M71" i="26"/>
  <c r="M70" i="26"/>
  <c r="M69" i="26"/>
  <c r="M68" i="26"/>
  <c r="M67" i="26"/>
  <c r="M66" i="26"/>
  <c r="M65" i="26"/>
  <c r="M64" i="26"/>
  <c r="M63" i="26"/>
  <c r="M62" i="26"/>
  <c r="M61" i="26"/>
  <c r="M60" i="26"/>
  <c r="M59" i="26"/>
  <c r="M58" i="26"/>
  <c r="M57" i="26"/>
  <c r="M56" i="26"/>
  <c r="M55" i="26"/>
  <c r="M54" i="26"/>
  <c r="M53" i="26"/>
  <c r="M52" i="26"/>
  <c r="M51" i="26"/>
  <c r="M50" i="26"/>
  <c r="M49" i="26"/>
  <c r="M48" i="26"/>
  <c r="M47" i="26"/>
  <c r="M46" i="26"/>
  <c r="M45" i="26"/>
  <c r="M44" i="26"/>
  <c r="M43" i="26"/>
  <c r="M42" i="26"/>
  <c r="M41" i="26"/>
  <c r="M40" i="26"/>
  <c r="M39" i="26"/>
  <c r="M38" i="26"/>
  <c r="M37" i="26"/>
  <c r="M36" i="26"/>
  <c r="M35" i="26"/>
  <c r="M34" i="26"/>
  <c r="M33" i="26"/>
  <c r="M32" i="26"/>
  <c r="M31" i="26"/>
  <c r="M30" i="26"/>
  <c r="M29" i="26"/>
  <c r="M28" i="26"/>
  <c r="M27" i="26"/>
  <c r="M26" i="26"/>
  <c r="M25" i="26"/>
  <c r="M24" i="26"/>
  <c r="M23" i="26"/>
  <c r="M22" i="26"/>
  <c r="M21" i="26"/>
  <c r="M20" i="26"/>
  <c r="M19" i="26"/>
  <c r="M18" i="26"/>
  <c r="M17" i="26"/>
  <c r="M16" i="26"/>
  <c r="M15" i="26"/>
  <c r="M14" i="26"/>
  <c r="M13" i="26"/>
  <c r="M12" i="26"/>
  <c r="M11" i="26"/>
  <c r="M10" i="26"/>
  <c r="M9" i="26"/>
  <c r="M8" i="26"/>
  <c r="M7" i="26"/>
  <c r="M6" i="26"/>
  <c r="M5" i="26"/>
  <c r="M4" i="26"/>
  <c r="M3" i="26"/>
  <c r="M2" i="26"/>
  <c r="M1" i="26"/>
  <c r="L3460" i="26"/>
  <c r="M3460" i="26"/>
  <c r="I3460" i="26"/>
  <c r="H3460" i="26"/>
  <c r="G3460" i="26"/>
  <c r="F3460" i="26"/>
  <c r="A3460" i="26"/>
  <c r="K312" i="28"/>
  <c r="J312" i="28"/>
  <c r="K311" i="28"/>
  <c r="J311" i="28"/>
  <c r="K310" i="28"/>
  <c r="J310" i="28"/>
  <c r="K309" i="28"/>
  <c r="J309" i="28"/>
  <c r="K308" i="28"/>
  <c r="J308" i="28"/>
  <c r="K307" i="28"/>
  <c r="J307" i="28"/>
  <c r="K306" i="28"/>
  <c r="J306" i="28"/>
  <c r="K305" i="28"/>
  <c r="J305" i="28"/>
  <c r="K304" i="28"/>
  <c r="J304" i="28"/>
  <c r="K303" i="28"/>
  <c r="J303" i="28"/>
  <c r="K302" i="28"/>
  <c r="J302" i="28"/>
  <c r="K301" i="28"/>
  <c r="J301" i="28"/>
  <c r="K300" i="28"/>
  <c r="J300" i="28"/>
  <c r="K299" i="28"/>
  <c r="J299" i="28"/>
  <c r="K298" i="28"/>
  <c r="J298" i="28"/>
  <c r="K297" i="28"/>
  <c r="J297" i="28"/>
  <c r="K296" i="28"/>
  <c r="J296" i="28"/>
  <c r="K295" i="28"/>
  <c r="J295" i="28"/>
  <c r="K294" i="28"/>
  <c r="J294" i="28"/>
  <c r="K293" i="28"/>
  <c r="J293" i="28"/>
  <c r="K292" i="28"/>
  <c r="J292" i="28"/>
  <c r="K291" i="28"/>
  <c r="J291" i="28"/>
  <c r="K290" i="28"/>
  <c r="J290" i="28"/>
  <c r="K289" i="28"/>
  <c r="J289" i="28"/>
  <c r="K288" i="28"/>
  <c r="J288" i="28"/>
  <c r="K287" i="28"/>
  <c r="J287" i="28"/>
  <c r="K286" i="28"/>
  <c r="J286" i="28"/>
  <c r="G9" i="13"/>
</calcChain>
</file>

<file path=xl/sharedStrings.xml><?xml version="1.0" encoding="utf-8"?>
<sst xmlns="http://schemas.openxmlformats.org/spreadsheetml/2006/main" count="66091" uniqueCount="6064">
  <si>
    <t>Table B.2.</t>
  </si>
  <si>
    <t>Major Disturbances and Unusual Occurrences, 2002</t>
  </si>
  <si>
    <t>Date</t>
  </si>
  <si>
    <t>Time</t>
  </si>
  <si>
    <t>Area</t>
  </si>
  <si>
    <t>Type of Disturbance</t>
  </si>
  <si>
    <t>Loss (megawatts)</t>
  </si>
  <si>
    <t>Number of Customers Affected</t>
  </si>
  <si>
    <t>Restoration Time</t>
  </si>
  <si>
    <t>January</t>
  </si>
  <si>
    <t>Oklahoma</t>
  </si>
  <si>
    <t>Ice Storm</t>
  </si>
  <si>
    <t>Evening</t>
  </si>
  <si>
    <t>Metropolitan Kansas City Area</t>
  </si>
  <si>
    <t>500-600</t>
  </si>
  <si>
    <t>NA</t>
  </si>
  <si>
    <t>Missouri</t>
  </si>
  <si>
    <t>February</t>
  </si>
  <si>
    <t>California</t>
  </si>
  <si>
    <t>Interruption of Firm Load</t>
  </si>
  <si>
    <t>March</t>
  </si>
  <si>
    <t>Lower Peninsula of Michigan</t>
  </si>
  <si>
    <t>Severe Weather</t>
  </si>
  <si>
    <t>April</t>
  </si>
  <si>
    <t>Arizona</t>
  </si>
  <si>
    <t>Vandalism/</t>
  </si>
  <si>
    <t>July</t>
  </si>
  <si>
    <t>Interruption of Firm Power</t>
  </si>
  <si>
    <t>1 PG&amp;E</t>
  </si>
  <si>
    <t>Interruption of Firm Power (Unit Tripped)</t>
  </si>
  <si>
    <t>New York</t>
  </si>
  <si>
    <t>Fire</t>
  </si>
  <si>
    <t>August</t>
  </si>
  <si>
    <t>Illinois</t>
  </si>
  <si>
    <t>Florida</t>
  </si>
  <si>
    <t>October</t>
  </si>
  <si>
    <t>Coastal Areas of Southern Louisiana</t>
  </si>
  <si>
    <t>Hurricane Lily</t>
  </si>
  <si>
    <t>November</t>
  </si>
  <si>
    <t>Northern and Central California</t>
  </si>
  <si>
    <t>Winter Storm</t>
  </si>
  <si>
    <t>Noon November 10</t>
  </si>
  <si>
    <t>Northport, NY</t>
  </si>
  <si>
    <t>Norwalk, CT</t>
  </si>
  <si>
    <t>Cable Tripped</t>
  </si>
  <si>
    <t>Unknown</t>
  </si>
  <si>
    <t>Northwest and North Central Connecticut</t>
  </si>
  <si>
    <t>December</t>
  </si>
  <si>
    <t>Arkansas</t>
  </si>
  <si>
    <t>Northern Virginia to Fredericksburg</t>
  </si>
  <si>
    <t>Staunton to Harrisonburg</t>
  </si>
  <si>
    <t>1.5 million</t>
  </si>
  <si>
    <t>Eastern Pennsylvania</t>
  </si>
  <si>
    <t>Reading, York, Hanover, Hamburg Pennsylvania</t>
  </si>
  <si>
    <t>Note: North American Electric Reliability Council region acronyms are defined in the glossary.</t>
  </si>
  <si>
    <t>Source:  Form EIA-417, "Electric Emergency Incident and Disturbance Report"</t>
  </si>
  <si>
    <t>Insulators</t>
  </si>
  <si>
    <t>NERC Region</t>
  </si>
  <si>
    <t>SPP</t>
  </si>
  <si>
    <t>WSCC</t>
  </si>
  <si>
    <t>ECAR</t>
  </si>
  <si>
    <t>NPCC</t>
  </si>
  <si>
    <t>MAIN</t>
  </si>
  <si>
    <t>SERC</t>
  </si>
  <si>
    <t>NPPC</t>
  </si>
  <si>
    <t>MAAC</t>
  </si>
  <si>
    <t>Major Disturbances and Unusual Occurrences, 2003</t>
  </si>
  <si>
    <t>Area Affected</t>
  </si>
  <si>
    <r>
      <t xml:space="preserve">Number of Customers Affected </t>
    </r>
    <r>
      <rPr>
        <b/>
        <vertAlign val="superscript"/>
        <sz val="8"/>
        <rFont val="Times New Roman"/>
        <family val="1"/>
      </rPr>
      <t>1</t>
    </r>
  </si>
  <si>
    <t>Restoration</t>
  </si>
  <si>
    <t>Date/Time</t>
  </si>
  <si>
    <t>2:00 p.m.</t>
  </si>
  <si>
    <t>Cincinnati, Ohio</t>
  </si>
  <si>
    <t xml:space="preserve">Cyber Threat From Internet </t>
  </si>
  <si>
    <t>1/26/03, 2:00 a.m.</t>
  </si>
  <si>
    <t>11:32 a.m.</t>
  </si>
  <si>
    <t>Piedmont, North Carolina</t>
  </si>
  <si>
    <t>Winter Ice Storm</t>
  </si>
  <si>
    <t>over 340,000</t>
  </si>
  <si>
    <t>3/01/03, 8:00 a.m.</t>
  </si>
  <si>
    <t>None</t>
  </si>
  <si>
    <t>7:00 p.m.</t>
  </si>
  <si>
    <t xml:space="preserve">Lower Michigan Peninsula </t>
  </si>
  <si>
    <t xml:space="preserve">4/06/03, 5:00 p.m. </t>
  </si>
  <si>
    <t>3:11 a.m.</t>
  </si>
  <si>
    <t xml:space="preserve">New York, </t>
  </si>
  <si>
    <t xml:space="preserve">Severe Storm </t>
  </si>
  <si>
    <t>200-250</t>
  </si>
  <si>
    <t xml:space="preserve">4/05/03, 2:00 p.m. </t>
  </si>
  <si>
    <t>Upstate New York</t>
  </si>
  <si>
    <t>ERCOT</t>
  </si>
  <si>
    <t>11:00 a.m.</t>
  </si>
  <si>
    <t>Cities of Bryan,</t>
  </si>
  <si>
    <t>Relaying Malfunction</t>
  </si>
  <si>
    <t xml:space="preserve">4/15/03, 2:06 p.m. </t>
  </si>
  <si>
    <t>College Station</t>
  </si>
  <si>
    <t>and surrounding</t>
  </si>
  <si>
    <t>areas</t>
  </si>
  <si>
    <t>3:41 p.m.</t>
  </si>
  <si>
    <t xml:space="preserve">County of Waukesha,  Wisconsin, </t>
  </si>
  <si>
    <t>Vandalism</t>
  </si>
  <si>
    <t xml:space="preserve">4/29/03, 12:00 noon </t>
  </si>
  <si>
    <t>Town of Lisbon, Wisconsin</t>
  </si>
  <si>
    <t>May</t>
  </si>
  <si>
    <t>5:00 p.m.</t>
  </si>
  <si>
    <t>Piedmont, North and</t>
  </si>
  <si>
    <t>Severe Thunderstorms</t>
  </si>
  <si>
    <t>5/04/03, 12:00 noon</t>
  </si>
  <si>
    <t>South Carolina</t>
  </si>
  <si>
    <t>8:00 p.m.</t>
  </si>
  <si>
    <t>Central Georgia,</t>
  </si>
  <si>
    <t>102,842 (Georgia)</t>
  </si>
  <si>
    <t>5/03/03, 8:00 a.m.</t>
  </si>
  <si>
    <t>Alabama</t>
  </si>
  <si>
    <t>12,897 (Alabama)</t>
  </si>
  <si>
    <t>2:52 a.m.</t>
  </si>
  <si>
    <t>North Texas</t>
  </si>
  <si>
    <t xml:space="preserve">Interruption of Firm </t>
  </si>
  <si>
    <t>5/15/03, 3:29 a.m.</t>
  </si>
  <si>
    <t>Power</t>
  </si>
  <si>
    <t>Upper Michigan Peninsula</t>
  </si>
  <si>
    <t>Flood</t>
  </si>
  <si>
    <t>6/16/03, 2:00 p.m.</t>
  </si>
  <si>
    <t>June</t>
  </si>
  <si>
    <t>WECC</t>
  </si>
  <si>
    <t>3:12 p.m.</t>
  </si>
  <si>
    <t>Idaho</t>
  </si>
  <si>
    <t xml:space="preserve">Public Appeal </t>
  </si>
  <si>
    <t>6/16/03, 5:00 p.m.</t>
  </si>
  <si>
    <t>1:00 p.m.</t>
  </si>
  <si>
    <t>Coastal areas of</t>
  </si>
  <si>
    <t>Tropical Storm Bill</t>
  </si>
  <si>
    <t xml:space="preserve">6/30/03, 12:00 a.m. </t>
  </si>
  <si>
    <t>Southwest Louisiana</t>
  </si>
  <si>
    <t>entire New Orleans</t>
  </si>
  <si>
    <t>metropolitan area</t>
  </si>
  <si>
    <t>3:15 p.m.</t>
  </si>
  <si>
    <t>Phoenix, Arizona</t>
  </si>
  <si>
    <t>Breaker Failure</t>
  </si>
  <si>
    <t xml:space="preserve">7/01/03, 3:50 p.m.  </t>
  </si>
  <si>
    <t>1:54 p.m.</t>
  </si>
  <si>
    <t>Northern California</t>
  </si>
  <si>
    <t>Unit Tripped</t>
  </si>
  <si>
    <t xml:space="preserve">7/02/03, 3:59 p.m. </t>
  </si>
  <si>
    <t>6:00 a.m.</t>
  </si>
  <si>
    <t>Southeast Wisconsin</t>
  </si>
  <si>
    <t xml:space="preserve">7/04/03, 10:00 a.m. </t>
  </si>
  <si>
    <t>9:00 a.m.</t>
  </si>
  <si>
    <t>Lower Michigan Peninsula</t>
  </si>
  <si>
    <t xml:space="preserve">75-90 </t>
  </si>
  <si>
    <t xml:space="preserve">7/06/03, 4:00 p.m. </t>
  </si>
  <si>
    <t>11:41 p.m.</t>
  </si>
  <si>
    <t>Southwest Ohio, portions of Indiana</t>
  </si>
  <si>
    <t>Severe Storms</t>
  </si>
  <si>
    <t>7/06/03, 9:00 p.m.</t>
  </si>
  <si>
    <t>3:00 a.m.</t>
  </si>
  <si>
    <t>Northern Illinois</t>
  </si>
  <si>
    <t xml:space="preserve">7/05/03, 7:00 a.m. </t>
  </si>
  <si>
    <t xml:space="preserve">7/07/03, 3:00 p.m. </t>
  </si>
  <si>
    <t>4:00 a.m.</t>
  </si>
  <si>
    <t>Ohio</t>
  </si>
  <si>
    <t>7/11/03, 4:00 p.m.</t>
  </si>
  <si>
    <t>5:14 p.m.</t>
  </si>
  <si>
    <t>Northern Central and Eastern Virginia</t>
  </si>
  <si>
    <t xml:space="preserve">7/09/03, 7:09 p.m. </t>
  </si>
  <si>
    <t>8:24 a.m.</t>
  </si>
  <si>
    <t>Texas</t>
  </si>
  <si>
    <t>Hurricane Claudette</t>
  </si>
  <si>
    <t>230-300</t>
  </si>
  <si>
    <t>7/21/03, 10:30 a.m.</t>
  </si>
  <si>
    <t>5:15 p.m.</t>
  </si>
  <si>
    <t>Pennsylvania</t>
  </si>
  <si>
    <t>500-1000</t>
  </si>
  <si>
    <t>7/24/03, 5:33 a.m.</t>
  </si>
  <si>
    <t>6:55 p.m.</t>
  </si>
  <si>
    <t>Breaker Closed</t>
  </si>
  <si>
    <t>7/28/03, 8:35 p.m.</t>
  </si>
  <si>
    <t>(Continued)</t>
  </si>
  <si>
    <t>Approximately 3:00 p.m.</t>
  </si>
  <si>
    <t>Geographic areas for MISO Reliability Coordination footprint:  Michigan and Ohio</t>
  </si>
  <si>
    <t>Unknown *</t>
  </si>
  <si>
    <t>Approx. 18,500 MW, in MISO area:</t>
  </si>
  <si>
    <t xml:space="preserve">Approximately </t>
  </si>
  <si>
    <t>First Energy 7,500</t>
  </si>
  <si>
    <t>8/17/03, 5:00 p.m.</t>
  </si>
  <si>
    <t>Detroit Edison 9,200</t>
  </si>
  <si>
    <t>Consumers Energy 1,800</t>
  </si>
  <si>
    <t>4:09 p.m.</t>
  </si>
  <si>
    <t>Southeastern Michigan including all of Detroit</t>
  </si>
  <si>
    <t>8/16/03, 7:00 a.m.</t>
  </si>
  <si>
    <t>Southern Lower  Michigan and small areas near Flint, Alma, Saginaw, and Lansing Michigan</t>
  </si>
  <si>
    <t>8/16/03, 1:03 p.m.</t>
  </si>
  <si>
    <t>4:10 p.m.</t>
  </si>
  <si>
    <t>Northeast, Ohio</t>
  </si>
  <si>
    <t>8/16/03, 8:27 p.m.</t>
  </si>
  <si>
    <t>Southwestern Connecticut and a small portion of Western Massachusetts and Vermont</t>
  </si>
  <si>
    <t>8/16/03, 3:45 a.m.</t>
  </si>
  <si>
    <t>Restoration ended;</t>
  </si>
  <si>
    <t>8/17/03, 7:00 p.m.,</t>
  </si>
  <si>
    <t>incident ended</t>
  </si>
  <si>
    <t>New York State</t>
  </si>
  <si>
    <t>unknown</t>
  </si>
  <si>
    <t>8/18/03, 12:03 a.m.</t>
  </si>
  <si>
    <t>New York- Buffalo to Albany; Ontario, Canada to Pennsylvania</t>
  </si>
  <si>
    <t>8/14/03, 11:48 p.m.</t>
  </si>
  <si>
    <t>Northern New Jersey Erie, Pennsylvania  area</t>
  </si>
  <si>
    <t>4,100 MW (Northern NJ) and 400 MW, (Erie,  PA) area</t>
  </si>
  <si>
    <t>Approximately</t>
  </si>
  <si>
    <t>8/15/03, 6:00 a.m.</t>
  </si>
  <si>
    <t>4:11 p.m.</t>
  </si>
  <si>
    <t>Entire Con Edison System (five boroughs of NYC and Westchester County)</t>
  </si>
  <si>
    <t>8/15/03, 9:03 p.m.</t>
  </si>
  <si>
    <t>4:00 p.m.</t>
  </si>
  <si>
    <t>Maryland: Anne Arundel County, Baltimore County, Calvert County, Carroll County, Howard County, Montgomery County,  Prince George's and Baltimore City.</t>
  </si>
  <si>
    <t>93,000 at peak 133,000 cumulative</t>
  </si>
  <si>
    <t>8/29/03, 12:00 noon</t>
  </si>
  <si>
    <t>4:22 p.m.</t>
  </si>
  <si>
    <t>Washington, D.C.,  Montgomery County,  Prince Georges County, Maryland</t>
  </si>
  <si>
    <t>8/31/03, 6:00 p.m.</t>
  </si>
  <si>
    <t>September</t>
  </si>
  <si>
    <t>5:19 a.m.</t>
  </si>
  <si>
    <t>Transmission  Equipment</t>
  </si>
  <si>
    <t>4 (industrial)</t>
  </si>
  <si>
    <t>9/07/03, 6:00 p.m.</t>
  </si>
  <si>
    <t>8:20 a.m.</t>
  </si>
  <si>
    <t>North Eastern North Carolina, Eastern Central , and Northern Virginia</t>
  </si>
  <si>
    <t>Hurricane Isabel</t>
  </si>
  <si>
    <t>1.8 million</t>
  </si>
  <si>
    <t>9/29/03, 10:42 p.m.</t>
  </si>
  <si>
    <t>11:45 a.m.</t>
  </si>
  <si>
    <t>Eastern North Carolina</t>
  </si>
  <si>
    <t xml:space="preserve">peak 1655 </t>
  </si>
  <si>
    <t>peak 320,00 9/18/03 7:00 p.m.</t>
  </si>
  <si>
    <t>9/18/03, 12:00 midnight</t>
  </si>
  <si>
    <t>12:00 noon</t>
  </si>
  <si>
    <t>Central Maryland (Baltimore City, Baltimore County, Anne Arundel County, Hartford County, Montgomery County, Calvert County, Prince George's County, Carroll County and Howard County)</t>
  </si>
  <si>
    <t>9/26/03, 10:50 p.m.</t>
  </si>
  <si>
    <t>Maryland, West Virginia, Virginia and Pennsylvania</t>
  </si>
  <si>
    <t>9/24/03, 12:00 midnight</t>
  </si>
  <si>
    <t>3:32 p.m.</t>
  </si>
  <si>
    <t>Triangle and Tridad (Greensboro – High Point)  Areas North Carolina - Northern Region</t>
  </si>
  <si>
    <t>500-700</t>
  </si>
  <si>
    <t>Under 50,000</t>
  </si>
  <si>
    <t>9/19/03, 5:00 p.m.</t>
  </si>
  <si>
    <t>4:20 p.m.</t>
  </si>
  <si>
    <t>District of Columbia, Montgomery and Prince George's Counties, Maryland</t>
  </si>
  <si>
    <t>Over 530,000 peak on 9/19/03</t>
  </si>
  <si>
    <t>9/28/03, 6:00 p.m.</t>
  </si>
  <si>
    <t>9:00 p.m.</t>
  </si>
  <si>
    <t>All PPL including: Williamsport, Harrisburg, Lancaster, Scranton and Allentown areas</t>
  </si>
  <si>
    <t>9/21/03, 5:00 p.m.</t>
  </si>
  <si>
    <t xml:space="preserve">WECC </t>
  </si>
  <si>
    <t>1:44 a.m.</t>
  </si>
  <si>
    <t>San Diego County, California</t>
  </si>
  <si>
    <t>Wild Fire</t>
  </si>
  <si>
    <t>N/A</t>
  </si>
  <si>
    <t>108,000 (Dist. And Trans. Combined)</t>
  </si>
  <si>
    <t>11/18/03, 10:54 a.m. (Trans. Only)</t>
  </si>
  <si>
    <t>3:16 p.m.</t>
  </si>
  <si>
    <t>Maryland/Virginia border</t>
  </si>
  <si>
    <t>Tornado</t>
  </si>
  <si>
    <t>11/05/03, 3:54 p.m.</t>
  </si>
  <si>
    <t>Wind Storm</t>
  </si>
  <si>
    <t>11/16/03, 6:00 p.m.</t>
  </si>
  <si>
    <t>High Winds</t>
  </si>
  <si>
    <t>Est. 371.1</t>
  </si>
  <si>
    <t>11/12/03, 7:00 p.m.</t>
  </si>
  <si>
    <t>6:00 p.m.</t>
  </si>
  <si>
    <t>Southeastern Michigan</t>
  </si>
  <si>
    <t>Storm with High Winds</t>
  </si>
  <si>
    <t>Est. 75</t>
  </si>
  <si>
    <t>11/16/03, 5:00 p.m.</t>
  </si>
  <si>
    <t>Central Maryland (Baltimore City, Baltimore County, Anne Arundel County, Harford County, Montgomery County, Calvert County, Prince George's County, Carroll County and Howard County)</t>
  </si>
  <si>
    <t>11/16/03, 4:00 p.m.</t>
  </si>
  <si>
    <t>7:30 a.m.</t>
  </si>
  <si>
    <t>Approx. 180</t>
  </si>
  <si>
    <t>11/14/03, 6:30 a.m.</t>
  </si>
  <si>
    <t>Washington, D.C., Montgomery County, Prince Georges County, Md</t>
  </si>
  <si>
    <t>Major Wind Storm</t>
  </si>
  <si>
    <t>Est. 400</t>
  </si>
  <si>
    <t>104,195 at 5:23 p.m. 11/13/03</t>
  </si>
  <si>
    <t>11/14/03, 7:30 a.m.</t>
  </si>
  <si>
    <t>1:40 p.m.</t>
  </si>
  <si>
    <t>Northern Virginia, Richmond area, Eastern Virginia</t>
  </si>
  <si>
    <t>11/13/03, 3:51 p.m.</t>
  </si>
  <si>
    <t>6:16 p.m.</t>
  </si>
  <si>
    <t>Cape Cod and part of SE Massachusetts</t>
  </si>
  <si>
    <t>Wild Fire – Transmission Equipment</t>
  </si>
  <si>
    <t>12/01/03, 8:11 p.m.</t>
  </si>
  <si>
    <t>7:00 a.m.</t>
  </si>
  <si>
    <t>Eastern portions of King County and Pierce County</t>
  </si>
  <si>
    <t>200,000 (Peak)</t>
  </si>
  <si>
    <t>12/08/03, 7:00 a.m.</t>
  </si>
  <si>
    <t>10:34 p.m.</t>
  </si>
  <si>
    <t>Northeast Wisconsin and Central/Western Upper Peninsula of Michigan</t>
  </si>
  <si>
    <t>Fault on 138 KV line</t>
  </si>
  <si>
    <t>6 (utilities)</t>
  </si>
  <si>
    <t>12/07/03, 8:30 a.m.</t>
  </si>
  <si>
    <t>10:15 p.m.</t>
  </si>
  <si>
    <t>Upper Peninsula of Michigan and Northeastern Wisconsin</t>
  </si>
  <si>
    <t>12/08/03, 8:30 a.m.</t>
  </si>
  <si>
    <t>FRCC</t>
  </si>
  <si>
    <t>4:49 a.m.</t>
  </si>
  <si>
    <t>State of Florida - Dade County</t>
  </si>
  <si>
    <t>Transmission Equipment</t>
  </si>
  <si>
    <t>12/05/03, 6:25 a.m.</t>
  </si>
  <si>
    <t>12/05/03, 8:00 p.m.</t>
  </si>
  <si>
    <t>3:51 p.m.</t>
  </si>
  <si>
    <t>San Francisco, California</t>
  </si>
  <si>
    <t>Cable Failure</t>
  </si>
  <si>
    <t>12/21/03, 11:45 p.m.</t>
  </si>
  <si>
    <t>11:15 a.m.</t>
  </si>
  <si>
    <t>Central California Coast</t>
  </si>
  <si>
    <t>Earthquake</t>
  </si>
  <si>
    <t>12/22/03, 11:16 a.m.</t>
  </si>
  <si>
    <t>1/01/04, 11:30 a.m.</t>
  </si>
  <si>
    <r>
      <t>1</t>
    </r>
    <r>
      <rPr>
        <sz val="8"/>
        <rFont val="Times New Roman"/>
        <family val="1"/>
      </rPr>
      <t xml:space="preserve"> = Estimated Values.</t>
    </r>
  </si>
  <si>
    <t xml:space="preserve">* Information as provided by the respondent.  The occurrence is, however, associated with the </t>
  </si>
  <si>
    <t xml:space="preserve">massive blackout of August 14, 2003.  For further information, refer to the Interim Report: </t>
  </si>
  <si>
    <t xml:space="preserve">Causes of the August 14 Blackout in the United States and Canada, November 2003 at  </t>
  </si>
  <si>
    <t xml:space="preserve">http://www.energy.gov/engine/content.do.  </t>
  </si>
  <si>
    <t>Source:  Form EIA-417, "Electric Emergency Incident and Disturbance Report."</t>
  </si>
  <si>
    <t>Major Disturbances and Unusual Occurrences,  January through December 2004</t>
  </si>
  <si>
    <t>1/02/04, 4:00 p.m.</t>
  </si>
  <si>
    <t>Midnight</t>
  </si>
  <si>
    <t>King County</t>
  </si>
  <si>
    <t>Snow Storm</t>
  </si>
  <si>
    <t>1/10/04, 5:00 p.m.</t>
  </si>
  <si>
    <t>3:00 p.m.</t>
  </si>
  <si>
    <t>Lake Placid/Saranac, New York</t>
  </si>
  <si>
    <t>Public Appeal to Reduce Load</t>
  </si>
  <si>
    <t>1/10/04, 7:00 p.m.</t>
  </si>
  <si>
    <t>1/17/04, 12:00 noon</t>
  </si>
  <si>
    <t xml:space="preserve">SERC </t>
  </si>
  <si>
    <t>10:00 a.m.</t>
  </si>
  <si>
    <t>Central South Carolina</t>
  </si>
  <si>
    <t>1/28/04, 8:00 a.m.</t>
  </si>
  <si>
    <t>North and Central area of Georgia</t>
  </si>
  <si>
    <t>Less than 150</t>
  </si>
  <si>
    <t>1/27/04, 8:00 p.m.</t>
  </si>
  <si>
    <t>Central and Eastern North Carolina and Northern and Eastern South Carolina</t>
  </si>
  <si>
    <t>1/29/04, 6:30 a.m.</t>
  </si>
  <si>
    <t xml:space="preserve"> MAAC</t>
  </si>
  <si>
    <t xml:space="preserve">1:09 p.m. </t>
  </si>
  <si>
    <t>Harford County, Maryland</t>
  </si>
  <si>
    <t>Approx. 300</t>
  </si>
  <si>
    <t>Approx. 70,000</t>
  </si>
  <si>
    <t>1/29/04, 5:00 a.m.</t>
  </si>
  <si>
    <t>Maryland, Southeastern West Virginia, Northern Virginia, Northern Pennsylvania and South Central Pennsylvania</t>
  </si>
  <si>
    <t>2/09/04, 8:00 p.m.</t>
  </si>
  <si>
    <t>Lake Colby, Lake Placid, Tupper Lake</t>
  </si>
  <si>
    <t xml:space="preserve">Approx. 30  </t>
  </si>
  <si>
    <t>2/16/04, 12 noon</t>
  </si>
  <si>
    <t>2:25 p.m.</t>
  </si>
  <si>
    <t>San Francisco Bay area, California</t>
  </si>
  <si>
    <t xml:space="preserve">Lightning struck Intertie Breaker </t>
  </si>
  <si>
    <t xml:space="preserve"> PG&amp;E</t>
  </si>
  <si>
    <t xml:space="preserve">2/17/04, 11:57 p.m. </t>
  </si>
  <si>
    <t xml:space="preserve">12:01 a.m.  </t>
  </si>
  <si>
    <t>2/26/04, 10:00 a.m.</t>
  </si>
  <si>
    <t>12:00 a.m.</t>
  </si>
  <si>
    <t>Georgia</t>
  </si>
  <si>
    <t>Severe Storm</t>
  </si>
  <si>
    <t>2/26/04, 1:30 a.m.</t>
  </si>
  <si>
    <t>5:00 a.m.</t>
  </si>
  <si>
    <t>High Winds - Severe Storm</t>
  </si>
  <si>
    <t>Less than 300</t>
  </si>
  <si>
    <t>3/16/04, 2:45 p.m.</t>
  </si>
  <si>
    <t>6:30 p.m.</t>
  </si>
  <si>
    <t>North and South Carolina</t>
  </si>
  <si>
    <t xml:space="preserve">3/09/04, 8:00 a.m.  </t>
  </si>
  <si>
    <t>6:22 p.m.</t>
  </si>
  <si>
    <t>Southern California not including LA</t>
  </si>
  <si>
    <t>Inadequate Resources</t>
  </si>
  <si>
    <t>3/08/04, 6:55 p.m.</t>
  </si>
  <si>
    <t xml:space="preserve">1:27 p.m. </t>
  </si>
  <si>
    <t>El Paso, Texas</t>
  </si>
  <si>
    <t>Faulty Switch</t>
  </si>
  <si>
    <t>Approx. 100,000</t>
  </si>
  <si>
    <t>3/17/04, 2:06 p.m.</t>
  </si>
  <si>
    <t>Houston, Texas and surrounding suburban areas</t>
  </si>
  <si>
    <t>Thunderstorms</t>
  </si>
  <si>
    <t>Approx. 100</t>
  </si>
  <si>
    <t>85,000 at peak</t>
  </si>
  <si>
    <t xml:space="preserve">4/11/04, 4:00 p.m.   </t>
  </si>
  <si>
    <t xml:space="preserve">5:30 a.m. </t>
  </si>
  <si>
    <t>FPL's service territory mostly in Naples and Ft. Myers Florida</t>
  </si>
  <si>
    <t>4/12/04, 10:15 a.m.</t>
  </si>
  <si>
    <t>12:35 p.m.</t>
  </si>
  <si>
    <t>Snohomish County Washington</t>
  </si>
  <si>
    <t>Strong Winds</t>
  </si>
  <si>
    <t>4/30/04, 12:00 p.m.</t>
  </si>
  <si>
    <t>2:30 p.m.</t>
  </si>
  <si>
    <t>Central and Southern California</t>
  </si>
  <si>
    <t>Heat Storm</t>
  </si>
  <si>
    <t>Approx. 940</t>
  </si>
  <si>
    <t>5/03/04, 7:00 p.m.</t>
  </si>
  <si>
    <t>3:30 p.m.</t>
  </si>
  <si>
    <t>Strong Thunderstorms</t>
  </si>
  <si>
    <t>Approx. 85</t>
  </si>
  <si>
    <t xml:space="preserve">62,500 at peak </t>
  </si>
  <si>
    <t>5/11/04, 6:00 p.m.</t>
  </si>
  <si>
    <t>2:00 a.m.</t>
  </si>
  <si>
    <t>Akron and Youngstown areas</t>
  </si>
  <si>
    <t>133 on 5/21/04  between 3:00 a.m. and 4:00  a.m., 392 on 5/21/04 between 4:00 p.m. and 5:00 p.m.</t>
  </si>
  <si>
    <t>5/24/04, 12:00 a.m.</t>
  </si>
  <si>
    <t>Cleveland area</t>
  </si>
  <si>
    <t>177 on 5/21/04 between 3:00 p.m. and 5:00 p.m.</t>
  </si>
  <si>
    <t>Western Pennsylvania, Northern West Virginia, Western Maryland, Northern Virginia</t>
  </si>
  <si>
    <t>High Winds and Heavy Rains</t>
  </si>
  <si>
    <t xml:space="preserve">60 at peak, </t>
  </si>
  <si>
    <t xml:space="preserve">94,366 at peak, </t>
  </si>
  <si>
    <t>5/25/04, 12:00 a.m.</t>
  </si>
  <si>
    <t>total 162</t>
  </si>
  <si>
    <t>total 225,353</t>
  </si>
  <si>
    <t>Northern and Southern Michigan, AEP Fort Wayne/Michigan Region, Buchanan, Elkhart, New Buffalo, South Bend, St. Joseph, Three Rivers areas</t>
  </si>
  <si>
    <t>5/26/04, 9:00 p.m.</t>
  </si>
  <si>
    <t>Lower peninsula of Michigan following cities:  Grand Rapids, Kalamazoo, Battle Creek, Jackson, Bronson, Jonesville, Flint</t>
  </si>
  <si>
    <t>5/25/04, 12:00 p.m.</t>
  </si>
  <si>
    <t>4:00  p.m.</t>
  </si>
  <si>
    <t>Southeast Michigan</t>
  </si>
  <si>
    <t>Greater than 250,000</t>
  </si>
  <si>
    <t>5/24/04, 8:00 p.m.</t>
  </si>
  <si>
    <t xml:space="preserve">FRCC </t>
  </si>
  <si>
    <t>12:00 p.m.</t>
  </si>
  <si>
    <t>Florida counties of Gadsden, Wakulla, Leon, and Liberty</t>
  </si>
  <si>
    <t>Public Appeals</t>
  </si>
  <si>
    <t>5/31/04, 12:00 a.m.</t>
  </si>
  <si>
    <t xml:space="preserve">Public Appeals </t>
  </si>
  <si>
    <t xml:space="preserve">Collin, Dallas, Denton, Ellis, Parker, and Tarrant Counties, Texas </t>
  </si>
  <si>
    <t>Severe Storms with Strong Winds</t>
  </si>
  <si>
    <t>6/02/04, 1:00 a.m.</t>
  </si>
  <si>
    <t>1:46 a.m.</t>
  </si>
  <si>
    <t>Shreveport, Louisiana</t>
  </si>
  <si>
    <t>Severe  Thunderstorms with Strong Winds</t>
  </si>
  <si>
    <t>6/07/04, 4:00 p.m.</t>
  </si>
  <si>
    <t>2:35 a.m.</t>
  </si>
  <si>
    <t>Tulsa, Oklahoma</t>
  </si>
  <si>
    <t>Severe Thunderstorms with Strong Winds</t>
  </si>
  <si>
    <t>6/06/04, 6:00 p.m.</t>
  </si>
  <si>
    <t>MAPP</t>
  </si>
  <si>
    <t>5:37 p.m.</t>
  </si>
  <si>
    <t>Lincoln, Nebraska</t>
  </si>
  <si>
    <t>6/12/04, 5:41 p.m.</t>
  </si>
  <si>
    <t>7:41 a.m.</t>
  </si>
  <si>
    <t>Fault on Line</t>
  </si>
  <si>
    <t>6/14/04, 2:39 p.m.</t>
  </si>
  <si>
    <t>5:35 p.m.</t>
  </si>
  <si>
    <t>Southern Idaho</t>
  </si>
  <si>
    <t>Load Shedding</t>
  </si>
  <si>
    <t>6/23/04, 7:10 p.m.</t>
  </si>
  <si>
    <t>Georgia and Alabama</t>
  </si>
  <si>
    <t>6/23/04, 8:00 p.m.</t>
  </si>
  <si>
    <t>Metro Phoenix, Arizona</t>
  </si>
  <si>
    <t>Fire/Substation Multiple Public Appeals</t>
  </si>
  <si>
    <t>-</t>
  </si>
  <si>
    <t>8/09/04, 12:00 p.m.</t>
  </si>
  <si>
    <t xml:space="preserve">6:00 a.m.  </t>
  </si>
  <si>
    <t>1:30 p.m.</t>
  </si>
  <si>
    <t>Central Virginia</t>
  </si>
  <si>
    <t>7/07/04, 11:54 p.m.</t>
  </si>
  <si>
    <t>1:34 p.m.</t>
  </si>
  <si>
    <t>Leon  County, Florida</t>
  </si>
  <si>
    <t>Units Tripped</t>
  </si>
  <si>
    <t>7/13/04, 5:15 p.m.</t>
  </si>
  <si>
    <t>4:30 p.m.</t>
  </si>
  <si>
    <t>West, West Central and Southern Indiana</t>
  </si>
  <si>
    <t xml:space="preserve">7/17/04, 8:00 a. m. </t>
  </si>
  <si>
    <t xml:space="preserve">2:26 p.m. </t>
  </si>
  <si>
    <t>Soledad Canyon near Acton, California</t>
  </si>
  <si>
    <t>Wildfire/Shed Interruptible Load</t>
  </si>
  <si>
    <t>7/21/04, 2:00 a.m.</t>
  </si>
  <si>
    <t>PR</t>
  </si>
  <si>
    <t>3:44 p.m.</t>
  </si>
  <si>
    <t>Regions of  San Juan, Caguas, Ponce, Bayamon, Carolina, Arecibo and Mayaguez</t>
  </si>
  <si>
    <t>Wildfire</t>
  </si>
  <si>
    <t>7/20/04, 5:51 p.m.</t>
  </si>
  <si>
    <t>5:30 p.m.</t>
  </si>
  <si>
    <t>Chicago, Illinois</t>
  </si>
  <si>
    <t>Approx. 200</t>
  </si>
  <si>
    <t>7/22/04, 7:00 p.m.</t>
  </si>
  <si>
    <t>3:45 p.m.</t>
  </si>
  <si>
    <t>Southwest Louisiana in the Acadia Parish vicinity</t>
  </si>
  <si>
    <t xml:space="preserve">Public Appeal  </t>
  </si>
  <si>
    <t>7/25/2004, 9:00 p.m.</t>
  </si>
  <si>
    <t xml:space="preserve">10:00 p.m.  </t>
  </si>
  <si>
    <t>Georgia, Alabama, Florida panhandle, Southern Mississippi</t>
  </si>
  <si>
    <t>7/25/04, 11:00 p.m.</t>
  </si>
  <si>
    <t>Southeast Texas</t>
  </si>
  <si>
    <t>Unplanned Generator Outage/High Loads Made Public Appeal</t>
  </si>
  <si>
    <t>8/02/04, 8:00 p.m.</t>
  </si>
  <si>
    <t>8/04/04, 7:00 a.m.</t>
  </si>
  <si>
    <t>12:46 p.m.</t>
  </si>
  <si>
    <t>Northwest Orange County, California</t>
  </si>
  <si>
    <t>Fault at Barre Substation</t>
  </si>
  <si>
    <t>8/04/04, 1:50 p.m.</t>
  </si>
  <si>
    <t>8:23 a.m.</t>
  </si>
  <si>
    <t>Whole Island of Puerto Rico</t>
  </si>
  <si>
    <t>Two Large Units Tripped</t>
  </si>
  <si>
    <t>8/09/04, 11:10 a.m.</t>
  </si>
  <si>
    <t>8:00 a.m.</t>
  </si>
  <si>
    <t>Florida counties of Hardee, Highlands, Lake, Orange, Osceola, Polk, Seminole, Volusia</t>
  </si>
  <si>
    <t>Hurricane Charley</t>
  </si>
  <si>
    <t>8/23/04, 12:00 a.m</t>
  </si>
  <si>
    <t>West Coast of Florida from Naples to Charlotte and in an area centered around Daytona Beach</t>
  </si>
  <si>
    <t>8/13/04, 11:00 p.m.</t>
  </si>
  <si>
    <t>Florida counties of Collier, Hendry, Glades, Highlands, Charlotte, Desoto, Lee, Hardee, and Polk</t>
  </si>
  <si>
    <t>8/13/04, 12 a.m.</t>
  </si>
  <si>
    <t>4:43 p.m.</t>
  </si>
  <si>
    <t>Eastern Hillsborough, Polk County, Florida</t>
  </si>
  <si>
    <t>8/13/04, 8:24 p.m.</t>
  </si>
  <si>
    <t>10:04 p.m.</t>
  </si>
  <si>
    <t>New Smyrna Beach, Florida</t>
  </si>
  <si>
    <t>8/14/04, 4:23 p.m.</t>
  </si>
  <si>
    <t xml:space="preserve">1:00 p.m. </t>
  </si>
  <si>
    <t>8/14/04, 11:00 p.m.</t>
  </si>
  <si>
    <t>3:31 p.m.</t>
  </si>
  <si>
    <t>Boston, Massachusetts</t>
  </si>
  <si>
    <t>Major Transmission Line Tripped due to Lightning Strike</t>
  </si>
  <si>
    <t>8/20/04, 9:45 p.m.</t>
  </si>
  <si>
    <t>9: 52 a.m.</t>
  </si>
  <si>
    <t>Southeastern South Carolina</t>
  </si>
  <si>
    <t>Tropical Storm Gaston</t>
  </si>
  <si>
    <t>8/29/04, 6:00 p.m.</t>
  </si>
  <si>
    <t>6:58 p.m.</t>
  </si>
  <si>
    <t>Central Virginia, South to North Carolina and East to the Virginia Coast</t>
  </si>
  <si>
    <t>8/31/04, 3:35 p.m.</t>
  </si>
  <si>
    <t>City of Fort Pierce, Florida</t>
  </si>
  <si>
    <t>Hurricane Frances</t>
  </si>
  <si>
    <t>9/05/04, 2:00 p.m.</t>
  </si>
  <si>
    <t>West Palm Beach to Daytona Beach, Florida</t>
  </si>
  <si>
    <t>9/06/04, 8:00 a.m.</t>
  </si>
  <si>
    <t>Hillsborough, Pasco, and Polk County, Florida</t>
  </si>
  <si>
    <t>09/12/04, 7:00 p.m.</t>
  </si>
  <si>
    <t>1:00 a.m.</t>
  </si>
  <si>
    <t>Orlando, Florida</t>
  </si>
  <si>
    <t>09/09/04, 5:00 p.m.</t>
  </si>
  <si>
    <t>Florida counties of Alachua, Citrus, Columbia, Dixie, Franklin, Gilchrist, Gulf, Hamilton, Hardee, Hernando, Highlands, Jefferson, Lafayette, Lake, Levy, Madison, Marion, Orange, Osceola, Pasco, Pinellas, Polk, Seminole, Sumter, Suwannee, Taylor, Volusia and Wakulla</t>
  </si>
  <si>
    <t>09/12/04 , 12:00 a.m.</t>
  </si>
  <si>
    <t>Florida, Mississippi, Alabama, Georgia</t>
  </si>
  <si>
    <t>09/09/04, 12:00 p.m.</t>
  </si>
  <si>
    <t>09/08/04, 12:00 p.m.</t>
  </si>
  <si>
    <t>12:04 p.m.</t>
  </si>
  <si>
    <t>Hurricane Jeanne</t>
  </si>
  <si>
    <t>09/23/04 12:00 p.m.</t>
  </si>
  <si>
    <t>Hurricane Ivan</t>
  </si>
  <si>
    <t>09/17/04, 7:00 p.m.</t>
  </si>
  <si>
    <t>Baldwin County, Alabama, Escambia County, Florida, Washington County, Alabama</t>
  </si>
  <si>
    <t>9/16/04, 10:02 a.m.</t>
  </si>
  <si>
    <t>Western  North and South Carolina</t>
  </si>
  <si>
    <t>9/20/04, 4:00 p.m.</t>
  </si>
  <si>
    <t>4:30 a.m.</t>
  </si>
  <si>
    <t>Western North Carolina</t>
  </si>
  <si>
    <t>09/18/04, 12:00 p.m.</t>
  </si>
  <si>
    <t>09/26/04, 9:00 a.m.</t>
  </si>
  <si>
    <t>9/27/04, 12:00 a.m.</t>
  </si>
  <si>
    <t>Orlando and St. Cloud, Florida</t>
  </si>
  <si>
    <t>09/30/04, 9:00 a.m.</t>
  </si>
  <si>
    <t>Florida counties of Alachua, Bay, Brevard, Citrus, Columbia, Dixie, Flagler, Franklin, Gilchrist, Gulf, Hamilton, Hardee, Hernando, Highlands, Hillsborough, Jefferson, Lafayette, Lake, Leon, Levy, Madison, Marion, Orange, Osceola, Pasco, Pinellas, Polk, Seminole, Sumter, Suwannee, Taylor, Volusia and Wakulla</t>
  </si>
  <si>
    <t>10/01/04, 12:00 a.m.</t>
  </si>
  <si>
    <t>09/27/04, 2:00 p.m.</t>
  </si>
  <si>
    <t>4:06 p.m.</t>
  </si>
  <si>
    <t>Nova Scotia</t>
  </si>
  <si>
    <t>Switch Error Concerning Breakers</t>
  </si>
  <si>
    <t>09/27/04, 4:12 p.m.</t>
  </si>
  <si>
    <t>5:09 p.m.</t>
  </si>
  <si>
    <t>Island Wide</t>
  </si>
  <si>
    <t>All</t>
  </si>
  <si>
    <t>10/11/04, 7:57 p.m.</t>
  </si>
  <si>
    <t xml:space="preserve"> 10:30 p.m.</t>
  </si>
  <si>
    <t>Severe Storm with High Wind Gusts</t>
  </si>
  <si>
    <t>10/20/04, 9:00 a.m.</t>
  </si>
  <si>
    <t>Southeastern Louisiana in the New Orleans area</t>
  </si>
  <si>
    <t>Public Appeal/Breaker Failure and Fire</t>
  </si>
  <si>
    <t>10/26/04, 10:00 a.m.</t>
  </si>
  <si>
    <t>3:27 p.m.</t>
  </si>
  <si>
    <t>San  Jose, California</t>
  </si>
  <si>
    <t>Major Transmission Distribution System Interruption</t>
  </si>
  <si>
    <t>10/28/04, 6:08 p.m.</t>
  </si>
  <si>
    <t>Lower peninsula of Michigan. following area:  Grand Rapids, Kalamazoo, Battle Creek, Greenville, Jackson,  Flint, Lansing, Allegan, Temperance</t>
  </si>
  <si>
    <t>11/01/04, 6:00 p.m.</t>
  </si>
  <si>
    <t>12:30  p.m.</t>
  </si>
  <si>
    <t>High Wind Gusts</t>
  </si>
  <si>
    <t>11/03/04, 1:50 p.m.</t>
  </si>
  <si>
    <t>2:15 p.m.</t>
  </si>
  <si>
    <t>Sayreville, New Jersey Long Island, New York</t>
  </si>
  <si>
    <t>Fuel Supply Deficiency - Williams Company: Event for Trans Continental Gas Pipeline</t>
  </si>
  <si>
    <t>11/12/04, 1:07p.m.</t>
  </si>
  <si>
    <t>4:55 a.m.</t>
  </si>
  <si>
    <t xml:space="preserve">Nova Scotia </t>
  </si>
  <si>
    <t>Heavy Snow, High Winds and Rain/Major Distribution System Interruption</t>
  </si>
  <si>
    <t>11/15/04, 1:31 a.m.</t>
  </si>
  <si>
    <t>11/24/04, 1:00 a.m.</t>
  </si>
  <si>
    <t>11/24/04, 4:00 p.m.</t>
  </si>
  <si>
    <t>12/02/04, 11:59 p.m.</t>
  </si>
  <si>
    <t>Bucks, Chester, Delaware, Montgomery, and Philadelphia Counties, Pennsylvania</t>
  </si>
  <si>
    <t>Heavy Rain and Wind Storm</t>
  </si>
  <si>
    <t>12/02/04, 10:09 p.m.</t>
  </si>
  <si>
    <t>3:37 a.m.</t>
  </si>
  <si>
    <t>Columbus District</t>
  </si>
  <si>
    <t>Major Freezing Rain and Ice Storm</t>
  </si>
  <si>
    <t>12/31/04, 11:00 p.m.</t>
  </si>
  <si>
    <t>7:50 a.m.</t>
  </si>
  <si>
    <t>Salinas, California and surrounding communities</t>
  </si>
  <si>
    <t>Severe Weather/Line Relayed</t>
  </si>
  <si>
    <t>12/27/04, 10:50 a.m.</t>
  </si>
  <si>
    <t>Major Disturbances and Unusual Occurrences,  January through December 2005</t>
  </si>
  <si>
    <t xml:space="preserve">6:00 p.m. </t>
  </si>
  <si>
    <t>Eastern one third of the state of Kansas</t>
  </si>
  <si>
    <t>1/14/05, 12:00 p.m.</t>
  </si>
  <si>
    <t>Akron and Mansfield areas</t>
  </si>
  <si>
    <t>1/13/05, 6:00 p.m.</t>
  </si>
  <si>
    <t>9:10 p.m.</t>
  </si>
  <si>
    <t>Indiana Michigan Region - Muncie District</t>
  </si>
  <si>
    <t>1/16/05, 11:00 a.m.</t>
  </si>
  <si>
    <t>1/10/05, 8:00 a.m.</t>
  </si>
  <si>
    <t xml:space="preserve"> 1/19/05</t>
  </si>
  <si>
    <t>9:17 a.m.</t>
  </si>
  <si>
    <t>Island of Puerto Rico</t>
  </si>
  <si>
    <t>Voltage Reduction</t>
  </si>
  <si>
    <t>1/19/05, 9:27 a.m.</t>
  </si>
  <si>
    <t>10:42 a.m.</t>
  </si>
  <si>
    <t xml:space="preserve">1/23/05, 11:24 a.m.  </t>
  </si>
  <si>
    <t>6:38 a.m.</t>
  </si>
  <si>
    <t>Voltage Reduction/Shed Load</t>
  </si>
  <si>
    <t>1/24/05, 6:50 a.m.</t>
  </si>
  <si>
    <t>12:27 p.m.</t>
  </si>
  <si>
    <t>1/24/05, 12:34 p.m.</t>
  </si>
  <si>
    <t>Parts of Alabama and Georgia</t>
  </si>
  <si>
    <t>1/31/05, 10:00 a.m</t>
  </si>
  <si>
    <t>65 to 100</t>
  </si>
  <si>
    <t>1/30/05, 3:00 p.m.</t>
  </si>
  <si>
    <t xml:space="preserve">February </t>
  </si>
  <si>
    <t>5:78 p.m.</t>
  </si>
  <si>
    <t>2/01/05, 6:01 p.m.</t>
  </si>
  <si>
    <t>1:12 p.m.</t>
  </si>
  <si>
    <t>Generator Loss</t>
  </si>
  <si>
    <t>2/15/05 1:30 p.m.</t>
  </si>
  <si>
    <t xml:space="preserve">1:26 p.m. </t>
  </si>
  <si>
    <t>2/16/05, 1:43 p.m.</t>
  </si>
  <si>
    <t>8:16 a.m.</t>
  </si>
  <si>
    <t>Generator Loss/Voltage Reduction</t>
  </si>
  <si>
    <t>2/18/05, 8:41 a.m.</t>
  </si>
  <si>
    <t>12:58 a.m.</t>
  </si>
  <si>
    <t>2/24/05, 1:05 a.m.</t>
  </si>
  <si>
    <t>Eastern and Central North Carolina</t>
  </si>
  <si>
    <t>Wind Storms</t>
  </si>
  <si>
    <t>3/08/05, 3:00 p.m.</t>
  </si>
  <si>
    <t xml:space="preserve">Cleveland, Ohio and northeast Ohio </t>
  </si>
  <si>
    <t xml:space="preserve">4/06/05, 12:00 p.m. </t>
  </si>
  <si>
    <t>Lightning Strike</t>
  </si>
  <si>
    <t>PG&amp;E</t>
  </si>
  <si>
    <t>4/22/05, 3:59 p.m.</t>
  </si>
  <si>
    <t>4:22 a.m.</t>
  </si>
  <si>
    <t>4/23/05, 4:48 a.m.</t>
  </si>
  <si>
    <t>6:00 a.m</t>
  </si>
  <si>
    <t>4/27/05, 6:00 a.m.</t>
  </si>
  <si>
    <t>Alabama and Georgia</t>
  </si>
  <si>
    <t>4/30/05, 10:00 a.m.</t>
  </si>
  <si>
    <t>5/08/05, 10:00 p.m.</t>
  </si>
  <si>
    <t>5/11/05, 8:31 p.m.</t>
  </si>
  <si>
    <t>5/30/05, 2:30 a.m.</t>
  </si>
  <si>
    <t>Southeast  Michigan</t>
  </si>
  <si>
    <t>Strong Thunderstorm/High Winds</t>
  </si>
  <si>
    <t>6/10/05, 7:30 a.m.</t>
  </si>
  <si>
    <t>Portions of  the southern 2/3 of  Michigan's Lower Peninsula</t>
  </si>
  <si>
    <t>Strong Thunderstorm</t>
  </si>
  <si>
    <t xml:space="preserve">50-60 </t>
  </si>
  <si>
    <t>6/07/05, 6:00 p.m.</t>
  </si>
  <si>
    <t>Central/Eastern New York state</t>
  </si>
  <si>
    <t>6/08/05, 6:00 p.m.</t>
  </si>
  <si>
    <t>4:43  p.m.</t>
  </si>
  <si>
    <t>Bucks, Montgomery, Delaware, Chester, Philadelphia counties, Pennsylvania</t>
  </si>
  <si>
    <t>6/07/05, 10:00 p.m.</t>
  </si>
  <si>
    <t>MRO</t>
  </si>
  <si>
    <t>Minnesota</t>
  </si>
  <si>
    <t>50-100</t>
  </si>
  <si>
    <t>6/10/05, 10:00 p.m.</t>
  </si>
  <si>
    <t>11:16 a.m.</t>
  </si>
  <si>
    <t>6/20/05, 5:15 pm.</t>
  </si>
  <si>
    <t>8:37 p.m.</t>
  </si>
  <si>
    <t>Transmission Equipment Failure</t>
  </si>
  <si>
    <t>6/24/05, 11:06 p.m.</t>
  </si>
  <si>
    <t>11:30 a.m.</t>
  </si>
  <si>
    <t>Denver Metropolitan area of Colorado</t>
  </si>
  <si>
    <t>Fuel Supply Deficiency/Coal Rail Transportation Interruption</t>
  </si>
  <si>
    <t>Ongoing</t>
  </si>
  <si>
    <t>7/04/05, 11:30 p.m.</t>
  </si>
  <si>
    <t>7/01//05</t>
  </si>
  <si>
    <t>Texas, New Mexico, Oklahoma, Kansas</t>
  </si>
  <si>
    <t>Fuel Supply - Deficiency Coal Rail Transporation Interruption</t>
  </si>
  <si>
    <t>1:27 a.m.</t>
  </si>
  <si>
    <t>7/02/05, 1:46 a.m.</t>
  </si>
  <si>
    <t>Southeast and Northeast, Louisiana including the New Orleans area</t>
  </si>
  <si>
    <t>Tropical Storm Cindy</t>
  </si>
  <si>
    <t>7/06/05, 9:00 a.m.</t>
  </si>
  <si>
    <t>Alabama, Mississippi, Florida, Georgia</t>
  </si>
  <si>
    <t>Hurricane Dennis</t>
  </si>
  <si>
    <t>7/12/05, 8:00 a.m.</t>
  </si>
  <si>
    <t>12:53 p.m.</t>
  </si>
  <si>
    <t>Southwest Alabama and Western Panhandle of Florida</t>
  </si>
  <si>
    <t>7/11/05, 5:33 pm.</t>
  </si>
  <si>
    <t>2:39 p.m.</t>
  </si>
  <si>
    <t>Southern California</t>
  </si>
  <si>
    <t>CA ISO  Stage 2 -Initiated interruption of Air Conditioner Cycling Interruptible Load Program</t>
  </si>
  <si>
    <t>7/21/05, 5:30 p.m.</t>
  </si>
  <si>
    <t>1:55 p.m.</t>
  </si>
  <si>
    <t xml:space="preserve">Southern California </t>
  </si>
  <si>
    <t>CA ISO Stage 2 -Initiated interruption of Air Conditioner Cycling Interruptible Load Program</t>
  </si>
  <si>
    <t>7/22/05, 6:00 p.m.</t>
  </si>
  <si>
    <t>1:02 a.m.</t>
  </si>
  <si>
    <t>Washington, DC, Montgomery and Prince Georges Counties, Maryland</t>
  </si>
  <si>
    <t>7/26/05, 10:50 a.m.</t>
  </si>
  <si>
    <t>4:50 p.m</t>
  </si>
  <si>
    <t>Bucks, Chester, Delaware, Montgomery and Philadelphia counties, Pennsylvania</t>
  </si>
  <si>
    <t>7/28/05, 9:24 p.m.</t>
  </si>
  <si>
    <t>5:50 p.m.</t>
  </si>
  <si>
    <t>Severe Thunderstorm</t>
  </si>
  <si>
    <t xml:space="preserve">  N/A</t>
  </si>
  <si>
    <t>7/30/05, 9:07 p.m.</t>
  </si>
  <si>
    <t>Baltimore County, Anne Arundel County and Prince Georges County, Maryland</t>
  </si>
  <si>
    <t>7/29/05, 4:00 p.m.</t>
  </si>
  <si>
    <t>8:30 p.m.</t>
  </si>
  <si>
    <t>Piedmont North and South Carolina</t>
  </si>
  <si>
    <t>8/01/05, 5:00 p.m.</t>
  </si>
  <si>
    <t>10:28 a.m.</t>
  </si>
  <si>
    <t>Voltage Reduction/Load Shed</t>
  </si>
  <si>
    <t>8/01/05, 10:47 a.m.</t>
  </si>
  <si>
    <t>12:38 p.m.</t>
  </si>
  <si>
    <t>Plant Tripped</t>
  </si>
  <si>
    <t>8/08/05, 4:00 p.m.</t>
  </si>
  <si>
    <t>7:37 p.m.</t>
  </si>
  <si>
    <t>8/19/05, 8:15 p.m.</t>
  </si>
  <si>
    <t>Northwest Arkansas</t>
  </si>
  <si>
    <t xml:space="preserve">8/20/05, 4:21 p.m. </t>
  </si>
  <si>
    <t>3:50 p.m.</t>
  </si>
  <si>
    <t>CAISO determined there was  inadequate electric resources to serve load.  Public appeals and a shedding of interruptible and firm load occurred.</t>
  </si>
  <si>
    <t>8/25/05, 8:00 p.m.</t>
  </si>
  <si>
    <t>CAISO initiated interruption of  interruptible and firm load due to declaration of  Transmission Emergency in Southern California</t>
  </si>
  <si>
    <t>8/25/05,  8:00 p.m.</t>
  </si>
  <si>
    <t>1:10 a.m.</t>
  </si>
  <si>
    <t>East and Southeast Louisiana</t>
  </si>
  <si>
    <t>Hurricane Katrina</t>
  </si>
  <si>
    <t>8/29/05, 12:42 p.m.</t>
  </si>
  <si>
    <t>Buras, Louisiana</t>
  </si>
  <si>
    <t>1.1 million and 100,000 gas customers</t>
  </si>
  <si>
    <t>8/30/05, 6:00 a.m.</t>
  </si>
  <si>
    <t>7:10 a.m.</t>
  </si>
  <si>
    <t>Counties of Alachua, Bay, Citrus, Columbia, Dixie, Franklin, Gilchrist, Gulf, Hamilton, Hardee, Hernando, Highlands, Jefferson, Lafayette, Lake, Levy, Madison, Marion, Orange, Osceola, Pasco, Pinellas, Polk, Seminole, Sumter, Suwannee, Taylor, Volusia and Wakulla</t>
  </si>
  <si>
    <t>Hurricane Katrina disrupted fuel supply in the Gulf of Mexico. Public appeals for conservation were issued.</t>
  </si>
  <si>
    <t>9/07/05, 3:00 p.m.</t>
  </si>
  <si>
    <t>Alabama, Florida, Mississippi</t>
  </si>
  <si>
    <t xml:space="preserve">Hurricane Katrina </t>
  </si>
  <si>
    <t>8/29/05, 10:00 p.m.</t>
  </si>
  <si>
    <t>Alabama, Mississippi,  Tennessee</t>
  </si>
  <si>
    <t>9/10/05, 12:00 p.m.</t>
  </si>
  <si>
    <t>City of Lakeland, Florida</t>
  </si>
  <si>
    <t>Hurricane Katrina  disrupted normal gas allotment through natural gas pipelines (FGT &amp; Gulf stream). Public appeals for conservation were issued.</t>
  </si>
  <si>
    <t>9/08/05,12:01 a.m.</t>
  </si>
  <si>
    <t>Member Service Territory is located in the West coast of Florida from Tallahassee to Fort Myers</t>
  </si>
  <si>
    <t>Hurricane Katrina disrupted normal gas supplies distribution. Public appeals for conservation were issued.</t>
  </si>
  <si>
    <t>9/12/05, 8:00 a.m.</t>
  </si>
  <si>
    <t>12:32 p.m.</t>
  </si>
  <si>
    <t xml:space="preserve"> Los Angeles, California</t>
  </si>
  <si>
    <t>Breaker protection cable accidentally cut</t>
  </si>
  <si>
    <t>9/12/05, 1:56 p.m.</t>
  </si>
  <si>
    <t>2:14 p.m.</t>
  </si>
  <si>
    <t>9/13/05, 2:29 p.m.</t>
  </si>
  <si>
    <t>Southeast Wisconsin and Fox Valley</t>
  </si>
  <si>
    <t>9/16/05, 8:00 p.m.</t>
  </si>
  <si>
    <t>Hurricane Ophelia</t>
  </si>
  <si>
    <t>9/15/05, 3:00 p.m.</t>
  </si>
  <si>
    <t>High Winds/Tornados</t>
  </si>
  <si>
    <t>9/27/05, 11:00 p.m.</t>
  </si>
  <si>
    <t>9/26/05, 11:30 p.m.</t>
  </si>
  <si>
    <t>Hurricane Rita disrupted fuel supply in the Gulf of Mexico. Public Appeals for conservation were issued.</t>
  </si>
  <si>
    <t>9/29/05, 12:00 p.m.</t>
  </si>
  <si>
    <t xml:space="preserve"> Lakeland, Florida</t>
  </si>
  <si>
    <t>Hurricane Rita  disrupted normal gas allotment through natural gas pipelines (FGT &amp; Gulf stream). Public Appeals for conservation were issued.</t>
  </si>
  <si>
    <t>9/28/05, 11:29 a.m.</t>
  </si>
  <si>
    <t>1:06 p.m.</t>
  </si>
  <si>
    <t>West and Southwest Louisiana</t>
  </si>
  <si>
    <t>Hurricane Rita</t>
  </si>
  <si>
    <t>10/06/05, 2:30 p.m.</t>
  </si>
  <si>
    <t>Houston, Texas and the surrounding suburban areas</t>
  </si>
  <si>
    <t>9/24/05, 8:00 p.m.</t>
  </si>
  <si>
    <t>Texas, Louisiana, Arkansas, and Mississippi</t>
  </si>
  <si>
    <t>9/25/05, 7:30 a.m.</t>
  </si>
  <si>
    <t>Nacogdoches, Lufkin, Tyler, Jacksonville, Rusk, Paris, Commerce, Huntington</t>
  </si>
  <si>
    <t xml:space="preserve"> 10/02/05, 5:00 p.m.</t>
  </si>
  <si>
    <t>9/28/05, 6:00 p.m.</t>
  </si>
  <si>
    <t>5:40 p.m.</t>
  </si>
  <si>
    <t>10/02/05, 5:54 p.m.</t>
  </si>
  <si>
    <t>3:19 p.m.</t>
  </si>
  <si>
    <t>10/18/05, 3: 37 p.m.</t>
  </si>
  <si>
    <t>9:44 a.m.</t>
  </si>
  <si>
    <t>10/22/05, 11:40 a.m.</t>
  </si>
  <si>
    <t>8:00 p.m..</t>
  </si>
  <si>
    <t>South Florida, Naples, Ft. Myers, Miami, Ft. Lauderdale, West Palm Beach and Martin county</t>
  </si>
  <si>
    <t>Hurricane Wilma</t>
  </si>
  <si>
    <t>10/24/05, 2:00 p.m.</t>
  </si>
  <si>
    <t>Florida counties of Collier, Charlotte and Lee</t>
  </si>
  <si>
    <t>10/24/05, 4:00 p.m.</t>
  </si>
  <si>
    <t>South Florida - Cities of Key West, Clewiston, Lake Worth, and Ft. Pierce</t>
  </si>
  <si>
    <t xml:space="preserve">Hurricane Wilma </t>
  </si>
  <si>
    <t>11/10/05, 12:00 a.m.</t>
  </si>
  <si>
    <t>Maryland, North Central West Virginia, Southwestern Pennsylvania, and Northern Pennsylvania</t>
  </si>
  <si>
    <t>11/02/05, 4:30 p.m.</t>
  </si>
  <si>
    <t>6:47 p.m.</t>
  </si>
  <si>
    <t>--</t>
  </si>
  <si>
    <t>11/03/05, 7:00 p.m.</t>
  </si>
  <si>
    <t>11/11/05, 11:30  p.m.</t>
  </si>
  <si>
    <t>WeEnergiesMAIN</t>
  </si>
  <si>
    <t xml:space="preserve">Southeast Wisconsin </t>
  </si>
  <si>
    <t>11/14/05, 6:00 p.m.</t>
  </si>
  <si>
    <t>11:00 p.m.</t>
  </si>
  <si>
    <t>Western and Central portions of Michigan's Lower Peninsula</t>
  </si>
  <si>
    <t>11/14/05, 11:59 p.m.</t>
  </si>
  <si>
    <t>Piedmont North Carolina and South Carolina</t>
  </si>
  <si>
    <t>12/21/05, 5:00 p.m.</t>
  </si>
  <si>
    <t>5:05 a.m.</t>
  </si>
  <si>
    <t>Northeast Georgia</t>
  </si>
  <si>
    <t>12/16/05, 12:10  p.m.</t>
  </si>
  <si>
    <t>01/05/06, 9:00 a.m.</t>
  </si>
  <si>
    <t>Source:  Form OE-417, "Electric Emergency Incident and Disturbance Report."</t>
  </si>
  <si>
    <t>Table B.2.  Major Disturbances and Unusual Occurrences, Year-to-Date through December 2006</t>
  </si>
  <si>
    <t>RFC</t>
  </si>
  <si>
    <t>Chester, Montgomery, Delaware, Philadelphia and Bucks Counties, Pennsylvania</t>
  </si>
  <si>
    <t>5:30 p.m. January 16</t>
  </si>
  <si>
    <t>Southern and Central Maine</t>
  </si>
  <si>
    <t>6:34 p.m. January 18</t>
  </si>
  <si>
    <t>1:34 a.m.</t>
  </si>
  <si>
    <t>Snohomish County, Washington</t>
  </si>
  <si>
    <t>12:01 a.m. February 06</t>
  </si>
  <si>
    <t>Western Washington</t>
  </si>
  <si>
    <t>Severe Windstorm</t>
  </si>
  <si>
    <t>8:00  a.m. February 08</t>
  </si>
  <si>
    <t>Baltimore Metropolitan and Central Maryland</t>
  </si>
  <si>
    <t>Major Snow Storm</t>
  </si>
  <si>
    <t>11:00 p.m. February 14</t>
  </si>
  <si>
    <t>12:06 a.m.</t>
  </si>
  <si>
    <t>Washington DC, Montgomery and Prince Georges Counties MD</t>
  </si>
  <si>
    <t>5:44 p.m.   February 14</t>
  </si>
  <si>
    <t>Entire Atlantic City Electric territory Southern New Jersey</t>
  </si>
  <si>
    <t>Winter Snow/Ice Storm</t>
  </si>
  <si>
    <t>4:00 p.m. February 14</t>
  </si>
  <si>
    <t>Entire Delmarva Power service territory</t>
  </si>
  <si>
    <t>7:00 a.m. February 13</t>
  </si>
  <si>
    <t>5:55 a.m.</t>
  </si>
  <si>
    <t>Northern and Northwestern Virginia</t>
  </si>
  <si>
    <t>Severe Snow Storm</t>
  </si>
  <si>
    <t>2:00 p.m. February 12</t>
  </si>
  <si>
    <t>Muskegon, Michigan easterly to Bay City, Michigan</t>
  </si>
  <si>
    <t>Severe Thunderstorm/ Snow/Ice Storm</t>
  </si>
  <si>
    <t>11:00 p.m. February 20</t>
  </si>
  <si>
    <t>North Dakota</t>
  </si>
  <si>
    <t>Fuel Supply - Deficiency Coal Rail Transportation Interruption</t>
  </si>
  <si>
    <t>4:32 a.m.</t>
  </si>
  <si>
    <t>12:00 p.m. February 17</t>
  </si>
  <si>
    <t>8:50 a.m.</t>
  </si>
  <si>
    <t>Colorado</t>
  </si>
  <si>
    <t>Inadequate Electric Resources to Serve Load</t>
  </si>
  <si>
    <t>4:09 p.m. February 18</t>
  </si>
  <si>
    <t>6:25 p.m.</t>
  </si>
  <si>
    <t>Severe Winter Storm</t>
  </si>
  <si>
    <t>2:30 p.m. March 01</t>
  </si>
  <si>
    <t>Arkansas, Mississippi, Louisiana, Southeast Texas</t>
  </si>
  <si>
    <t>10:00 p.m. March 09</t>
  </si>
  <si>
    <t>Springfield, Illinois and vicinity</t>
  </si>
  <si>
    <t>12:00 p.m. March 14</t>
  </si>
  <si>
    <t>Southern half of Indiana</t>
  </si>
  <si>
    <t>Major Storms/Tornadoes</t>
  </si>
  <si>
    <t>4:25 a.m. April 05</t>
  </si>
  <si>
    <t>8:43 a.m.</t>
  </si>
  <si>
    <t>9:29 a.m. April 07</t>
  </si>
  <si>
    <t>North and Central Alabama and Northern Georgia areas</t>
  </si>
  <si>
    <t>Severe Weather/ Tornadoes</t>
  </si>
  <si>
    <t>11:00 a.m. April 08</t>
  </si>
  <si>
    <t>3:25 p.m.</t>
  </si>
  <si>
    <t>ERCOT Region of Texas</t>
  </si>
  <si>
    <t>Load Shed/Declared EECP</t>
  </si>
  <si>
    <t>7:30 p.m. April 17</t>
  </si>
  <si>
    <t>System-wide greater Houston metro area (and across ERCOT)</t>
  </si>
  <si>
    <t>Load Shed/Made Public Appeals/Rolling Blackouts</t>
  </si>
  <si>
    <t>6:11 p.m. April 17</t>
  </si>
  <si>
    <t>North and East Texas</t>
  </si>
  <si>
    <t>Load Shed/ Declared EECP</t>
  </si>
  <si>
    <t>7:20 p.m. April 17</t>
  </si>
  <si>
    <t>State of Texas (all of Austin Energy)</t>
  </si>
  <si>
    <t>37- 40</t>
  </si>
  <si>
    <t>8,000 -10,000</t>
  </si>
  <si>
    <t>6:30 p.m. April 17</t>
  </si>
  <si>
    <t>4:35 p.m.</t>
  </si>
  <si>
    <t>AEP Texas Central/Texas North</t>
  </si>
  <si>
    <t>6:10 p.m. April 17</t>
  </si>
  <si>
    <t>System-wide greater Houston metro area</t>
  </si>
  <si>
    <t>10:00 a.m. April 21</t>
  </si>
  <si>
    <t>2:55 p.m.</t>
  </si>
  <si>
    <t>Lightning Storm</t>
  </si>
  <si>
    <t>3:45 p.m. April 29</t>
  </si>
  <si>
    <t>Table B.2.  Major Disturbances and Unusual Occurrences, Year-to-Date through December 2006+A55</t>
  </si>
  <si>
    <t>City of Bakersfield area</t>
  </si>
  <si>
    <t>Transmission Equipment Failure/Fire</t>
  </si>
  <si>
    <t>9:35 p.m. May 03</t>
  </si>
  <si>
    <t>2:12 p.m.</t>
  </si>
  <si>
    <t>Load Shed</t>
  </si>
  <si>
    <t>2:45 p.m. May 04</t>
  </si>
  <si>
    <t>3:13 p.m.</t>
  </si>
  <si>
    <t>10:30 p.m. May 19</t>
  </si>
  <si>
    <t>7:50 p.m.</t>
  </si>
  <si>
    <t>Southwest Ohio, Northern Kentucky, Central Indiana</t>
  </si>
  <si>
    <t>9:00 a.m. May 27</t>
  </si>
  <si>
    <t>HECO</t>
  </si>
  <si>
    <t>Island of Oahu</t>
  </si>
  <si>
    <t>6:09 p.m. June 01</t>
  </si>
  <si>
    <t>9:00 a.m. June 03</t>
  </si>
  <si>
    <t>Central Maryland</t>
  </si>
  <si>
    <t>2:00 p.m. June 03</t>
  </si>
  <si>
    <t>Charlotte, North Carolina Metropolitan area</t>
  </si>
  <si>
    <t>9:00 p.m. June 11</t>
  </si>
  <si>
    <t>Ohio and Indiana</t>
  </si>
  <si>
    <t>11:00 p.m. June 27</t>
  </si>
  <si>
    <t>6:39 p.m.</t>
  </si>
  <si>
    <t>Northern Virginia</t>
  </si>
  <si>
    <t>12:31 a.m. July 03</t>
  </si>
  <si>
    <t>8:18 p.m. July 04</t>
  </si>
  <si>
    <t>Middle 1/3 of Michigan Lower Peninsula</t>
  </si>
  <si>
    <t>Severe Lightning Storms</t>
  </si>
  <si>
    <t>12:00 a.m. July 21</t>
  </si>
  <si>
    <t>6:50 p.m.</t>
  </si>
  <si>
    <t>Northwest Queens, New York City</t>
  </si>
  <si>
    <t>Severe Weather/Public Appeals Made/Voltage Reduction</t>
  </si>
  <si>
    <t>3:06 a.m. July 25</t>
  </si>
  <si>
    <t>Northern Counties of Illinois</t>
  </si>
  <si>
    <t>9:00 a.m. July 18</t>
  </si>
  <si>
    <t>6:36 p.m.</t>
  </si>
  <si>
    <t>11:59 p.m. July 23</t>
  </si>
  <si>
    <t>8:07 p.m.</t>
  </si>
  <si>
    <t>Norwalk, Stamford, Connecticut</t>
  </si>
  <si>
    <t>Lightning Storms/Tripped Lines</t>
  </si>
  <si>
    <t>10:32 p.m. July 18</t>
  </si>
  <si>
    <t>Greater Little Rock, Arkansas</t>
  </si>
  <si>
    <t>Load Reduction/Public Appeals Made</t>
  </si>
  <si>
    <t>5:54 p.m. July 19</t>
  </si>
  <si>
    <t>Greater St. Louis Metropolitan area (Missouri and Illinois)</t>
  </si>
  <si>
    <t>Severe Storms (3) (Many customers experienced multiple outages.)</t>
  </si>
  <si>
    <t>700,000 (peak)  2,500,000 (actual)</t>
  </si>
  <si>
    <t>8:00 a.m. July 31</t>
  </si>
  <si>
    <t>1:09 p.m.</t>
  </si>
  <si>
    <t>Widespread Heat Wave/Public Appeals Made</t>
  </si>
  <si>
    <t>4:00 p.m. July 27</t>
  </si>
  <si>
    <t>2:33 p.m.</t>
  </si>
  <si>
    <t>Widespread Heat Wave/CAISO Implementation of Stage 2 Electrical Emergency Plan</t>
  </si>
  <si>
    <t>Interruptible Tarriff 1-6 customers</t>
  </si>
  <si>
    <t>5:33 p.m. July 24</t>
  </si>
  <si>
    <t>Widespread Heat Wave/CAISO  Implementation of Stage 2 Electrical Emergency Plan</t>
  </si>
  <si>
    <t>6:38 p.m.</t>
  </si>
  <si>
    <t>9:36 p.m. July 29</t>
  </si>
  <si>
    <t>Northern Ohio</t>
  </si>
  <si>
    <t>Made Public Appeals/Heat Wave</t>
  </si>
  <si>
    <t>7:00 p.m. August 01</t>
  </si>
  <si>
    <t>Ohio, Indiana, Kentucky</t>
  </si>
  <si>
    <t>Made Public Appeals</t>
  </si>
  <si>
    <t>8:30 p.m. August 01</t>
  </si>
  <si>
    <t>Midwest ISO's Market Sub-regions:  AMRN, CIN, CILC, CWLD, CWLP, FE, HE, IP, IPL, LGEE, MECS, NIPS, SIGE, SIPC</t>
  </si>
  <si>
    <t>Declared Energy Emergency Alert 2/Heat Wave</t>
  </si>
  <si>
    <t>4:45 p.m. August 02</t>
  </si>
  <si>
    <t>New England</t>
  </si>
  <si>
    <t>System Wide Voltage Reduction</t>
  </si>
  <si>
    <t>4:35 p.m. August 02</t>
  </si>
  <si>
    <t>100-140</t>
  </si>
  <si>
    <t>1:00 a.m. August 03</t>
  </si>
  <si>
    <t>2:16 p.m.</t>
  </si>
  <si>
    <t>Shed Firm Load</t>
  </si>
  <si>
    <t>2:46 p.m. August 03</t>
  </si>
  <si>
    <t>Major Industrial Customer Load Reduction</t>
  </si>
  <si>
    <t>6:00 p.m. August 07</t>
  </si>
  <si>
    <t>Southwest Idaho and Eastern Oregon</t>
  </si>
  <si>
    <t>80 to 100</t>
  </si>
  <si>
    <t>12:00 p.m. August 12</t>
  </si>
  <si>
    <t>9:58 p.m.</t>
  </si>
  <si>
    <t>Shed Firm Load/Reduced Voltage</t>
  </si>
  <si>
    <t>11:25 p.m. August 24</t>
  </si>
  <si>
    <t>5:30 a.m.</t>
  </si>
  <si>
    <t>Tropical Storm Ernesto</t>
  </si>
  <si>
    <t>10:00 a.m. September 01</t>
  </si>
  <si>
    <t>6:41 a.m.</t>
  </si>
  <si>
    <t>Virginia and North Carolina</t>
  </si>
  <si>
    <t>3:25 p.m. September 03</t>
  </si>
  <si>
    <t>Southern Delmarva Peninsula</t>
  </si>
  <si>
    <t>2:00 p.m. September 04</t>
  </si>
  <si>
    <t>11:00 p.m. September 04</t>
  </si>
  <si>
    <t>Southern New Jersey Counties</t>
  </si>
  <si>
    <t>5:00 p.m. September 04</t>
  </si>
  <si>
    <t>8:56 a.m.</t>
  </si>
  <si>
    <t>Shed Firm Load/ Reduced Voltage</t>
  </si>
  <si>
    <t>9:08 a.m. September 14</t>
  </si>
  <si>
    <t>8:08 p.m.</t>
  </si>
  <si>
    <t>North, Central and Eastern Virginia and Northern North Carolina</t>
  </si>
  <si>
    <t>10:10 p.m. September 28</t>
  </si>
  <si>
    <t>Chicago Metro, Northeast Illinois</t>
  </si>
  <si>
    <t>6:00 p.m. October 03</t>
  </si>
  <si>
    <t>3:05 p.m.</t>
  </si>
  <si>
    <t>Newhall, San Frenando, Saugus, and Santa Clarita, California</t>
  </si>
  <si>
    <t>8:39 p.m. October 02</t>
  </si>
  <si>
    <t>5:28 p.m.</t>
  </si>
  <si>
    <t>Grimes, Robertson, Fort Bend, Brazos, Burleson and Walker Counties</t>
  </si>
  <si>
    <t>9:59 p.m. October 03</t>
  </si>
  <si>
    <t>5:48 p.m.</t>
  </si>
  <si>
    <t>Western New York State</t>
  </si>
  <si>
    <t>12:00 a.m. October 23</t>
  </si>
  <si>
    <t>11:00 p.m. October 21</t>
  </si>
  <si>
    <t>MECO</t>
  </si>
  <si>
    <t>7:09 a.m.</t>
  </si>
  <si>
    <t>Island of Maui</t>
  </si>
  <si>
    <t>Earthquakes</t>
  </si>
  <si>
    <t>4:12 p.m. October 15</t>
  </si>
  <si>
    <t>2:55 p.m. October 16</t>
  </si>
  <si>
    <t>5:00 p.m. October 22</t>
  </si>
  <si>
    <t>MR0</t>
  </si>
  <si>
    <t>Metro Denver and Boulder, Colorado</t>
  </si>
  <si>
    <t>Wet Snow/Winds</t>
  </si>
  <si>
    <t>5:10 p.m. October 27</t>
  </si>
  <si>
    <t>System-wide greater Houston area</t>
  </si>
  <si>
    <t>8:00 p.m. November 15</t>
  </si>
  <si>
    <t>Whatcom and Skagit Counties, Washington</t>
  </si>
  <si>
    <t>2:35 a.m. November 19</t>
  </si>
  <si>
    <t>Number of Customers Affected [1]</t>
  </si>
  <si>
    <t>5:00 p.m. November 15</t>
  </si>
  <si>
    <t>Wind/Snow Storm</t>
  </si>
  <si>
    <t>6:00 p.m. December 02</t>
  </si>
  <si>
    <t>Missouri and Illinois</t>
  </si>
  <si>
    <t>6:00 p.m. December 09</t>
  </si>
  <si>
    <t>6:20 p.m.</t>
  </si>
  <si>
    <t>6:00 a.m. December 02</t>
  </si>
  <si>
    <t>7:35 p.m.</t>
  </si>
  <si>
    <t>10:14 p.m. December 10</t>
  </si>
  <si>
    <t>11:59 p.m. December 28</t>
  </si>
  <si>
    <t>12:01 a.m.</t>
  </si>
  <si>
    <t>City of Seattle, Washington</t>
  </si>
  <si>
    <t>8:00 a.m. December 15</t>
  </si>
  <si>
    <t>10:00 p.m. December 20</t>
  </si>
  <si>
    <t>Oregon, Washington, Idaho, Montana</t>
  </si>
  <si>
    <t>2:34 p.m. December 31</t>
  </si>
  <si>
    <t>12:07 p.m.</t>
  </si>
  <si>
    <t>State of Oregon Coastal area</t>
  </si>
  <si>
    <t>HIgh Winds</t>
  </si>
  <si>
    <t>111,000 (peak)</t>
  </si>
  <si>
    <t>12:00 p.m. December 17</t>
  </si>
  <si>
    <t>Greater Tacoma area (City of Fircrest, University Place, City of Lakeland) and portions of South Pierce County in State of Washington</t>
  </si>
  <si>
    <t>4:00 p.m. December 16</t>
  </si>
  <si>
    <t>Oregon Counties: Multnomah, Clackamas, Washington, Marion</t>
  </si>
  <si>
    <t>8:00 p.m. December 17</t>
  </si>
  <si>
    <t>7:30 p.m.</t>
  </si>
  <si>
    <t>Oregon Counties:  Washington, Yamhill</t>
  </si>
  <si>
    <t>Transmission Equipment/Fire</t>
  </si>
  <si>
    <t>1:00 a.m. December 17</t>
  </si>
  <si>
    <t>9:13 a.m. December 31</t>
  </si>
  <si>
    <t>4:25 p.m.</t>
  </si>
  <si>
    <t>North Part of the Island</t>
  </si>
  <si>
    <t>Main Power Transformer Failure/Voltage Reduction/Fire</t>
  </si>
  <si>
    <t>6:59 p.m. December 31</t>
  </si>
  <si>
    <t>10:25 p.m.</t>
  </si>
  <si>
    <t>Gosper, Harlan, Franklin, Webster, Clay, Adams, Kearney, Phelps, Dawson, Buffalo, Hall, Hamilton, Sherman, Custer, Valley, Greeley, Howard, Merrick, York, Fillmore, Nance, Boone, Wheeler, Madison, Antelope, Pierce, Platte and Seward Counties in Central Nebraska</t>
  </si>
  <si>
    <t>300-500</t>
  </si>
  <si>
    <t>2:25 p.m. January 06</t>
  </si>
  <si>
    <t>[1] Estimated values.</t>
  </si>
  <si>
    <t xml:space="preserve">  Note: Estimates for 2004 and 2005 are preliminary.  </t>
  </si>
  <si>
    <t xml:space="preserve">  Source: Form OE-417, "Electric Emergency Incident and Disturbance Report."</t>
  </si>
  <si>
    <t>Table B.1.Major Disturbances and Unusual Occurrences, Year-to-Date through December 2007</t>
  </si>
  <si>
    <t xml:space="preserve"> NERC Region</t>
  </si>
  <si>
    <t>Number of Customers Affected 1[1]</t>
  </si>
  <si>
    <t xml:space="preserve">January  </t>
  </si>
  <si>
    <t>10:44 a.m.</t>
  </si>
  <si>
    <t>11:13 a.m. January 05</t>
  </si>
  <si>
    <t>12:00 p.m. January 19</t>
  </si>
  <si>
    <t>Eastern and Lower Michigan</t>
  </si>
  <si>
    <t>4:00 p.m. January 19</t>
  </si>
  <si>
    <t>Major Windstorm</t>
  </si>
  <si>
    <t>12:00 a.m. January 17</t>
  </si>
  <si>
    <t>Indiana and Southwest Ohio</t>
  </si>
  <si>
    <t>Ice/Wind Storm</t>
  </si>
  <si>
    <t>12:00 a.m. February 16</t>
  </si>
  <si>
    <t>5:30 a.m. February 17</t>
  </si>
  <si>
    <t>NE quarter of State of Iowa and Rock Island, Illinois</t>
  </si>
  <si>
    <t>12:57 a.m. March 04</t>
  </si>
  <si>
    <t>Central Iowa and Cedar Rapids areas</t>
  </si>
  <si>
    <t>11:47 p.m. February 24</t>
  </si>
  <si>
    <t>7:23 p.m.</t>
  </si>
  <si>
    <t>Cedar Rapids, Iowa</t>
  </si>
  <si>
    <t>12:47 a.m. February 25</t>
  </si>
  <si>
    <t>12:45 a.m.</t>
  </si>
  <si>
    <t>8:45 p.m. March 02</t>
  </si>
  <si>
    <t xml:space="preserve">March    </t>
  </si>
  <si>
    <t>9:40 p.m.</t>
  </si>
  <si>
    <t>Parts of Alabama, Mississippi, Georgia, Florida</t>
  </si>
  <si>
    <t>Major Storm</t>
  </si>
  <si>
    <t>11:30 p.m. March 02</t>
  </si>
  <si>
    <t>Houston, Texas</t>
  </si>
  <si>
    <t>7:00 p.m. March 31</t>
  </si>
  <si>
    <t xml:space="preserve">April    </t>
  </si>
  <si>
    <t>9:20 p.m.</t>
  </si>
  <si>
    <t>Southern and Coastal Maine</t>
  </si>
  <si>
    <t>Heavy Snow Storm</t>
  </si>
  <si>
    <t>1:10 p.m. April 06</t>
  </si>
  <si>
    <t>12:32 a.m.</t>
  </si>
  <si>
    <t>City of Los Angeles, California</t>
  </si>
  <si>
    <t>9:02 p.m. April 12</t>
  </si>
  <si>
    <t>9:09 a.m.</t>
  </si>
  <si>
    <t>San Francisco Bay Area, California</t>
  </si>
  <si>
    <t>Trip of a Unit</t>
  </si>
  <si>
    <t>11:23 a.m. April 12</t>
  </si>
  <si>
    <t>Massachusetts, New Hampshire, Rhode Island</t>
  </si>
  <si>
    <t>65-80</t>
  </si>
  <si>
    <t>11:00 a.m. April 14</t>
  </si>
  <si>
    <t>New Hampshire</t>
  </si>
  <si>
    <t>7:00 p.m. April 16</t>
  </si>
  <si>
    <t>10:14 a.m.</t>
  </si>
  <si>
    <t>10:18 p.m. April 18</t>
  </si>
  <si>
    <t>Central Maryland - Baltimore City and surrounding Counties</t>
  </si>
  <si>
    <t>5:00 p.m. April 18</t>
  </si>
  <si>
    <t>2:04 p.m.</t>
  </si>
  <si>
    <t>North, East and Central Virginia/Parts of Northeast North Carolina</t>
  </si>
  <si>
    <t>7:03 p.m. April 16</t>
  </si>
  <si>
    <t xml:space="preserve">May      </t>
  </si>
  <si>
    <t>North Texas, Dallas Fort Worth Metroplex and Surrounding Counties, South to Waco and North to Red River</t>
  </si>
  <si>
    <t>8:00 p.m. May 03</t>
  </si>
  <si>
    <t>9:57 a.m.</t>
  </si>
  <si>
    <t>1:47 p.m. May 10</t>
  </si>
  <si>
    <t>1:50 p.m. May 14</t>
  </si>
  <si>
    <t>7:00 a.m. May 17</t>
  </si>
  <si>
    <t>All of Connecticut</t>
  </si>
  <si>
    <t>5:00 a.m. May 19</t>
  </si>
  <si>
    <t>1:48 p.m.</t>
  </si>
  <si>
    <t>San Franscisco Bay Area, California</t>
  </si>
  <si>
    <t>4:50 p.m. May 21</t>
  </si>
  <si>
    <t xml:space="preserve">June     </t>
  </si>
  <si>
    <t>Restricted Hydroelectric Capability</t>
  </si>
  <si>
    <t>Fuel Supply Deficiency</t>
  </si>
  <si>
    <t>10:56 a.m.</t>
  </si>
  <si>
    <t>11:51 a.m. June 05</t>
  </si>
  <si>
    <t>Northern Manhattan NY (Yorkville) and SW Bronx (Motthaven, Melrose, High Bridge Sections)</t>
  </si>
  <si>
    <t>Lightning</t>
  </si>
  <si>
    <t>4:30 p.m. June 27</t>
  </si>
  <si>
    <t>3:42 p.m.</t>
  </si>
  <si>
    <t>Loss of Load</t>
  </si>
  <si>
    <t>9:23 a.m.</t>
  </si>
  <si>
    <t>Metropolitan Phoenix Area</t>
  </si>
  <si>
    <t>10:09 a.m. June 29</t>
  </si>
  <si>
    <t xml:space="preserve">July     </t>
  </si>
  <si>
    <t>10:59 a.m.</t>
  </si>
  <si>
    <t>CAISO Controlled Grid</t>
  </si>
  <si>
    <t>Public Appeal</t>
  </si>
  <si>
    <t>6:00 p.m. July 05</t>
  </si>
  <si>
    <t>7:00 a.m. July 08</t>
  </si>
  <si>
    <t>5:18 p.m.</t>
  </si>
  <si>
    <t>Southeast Idaho and Eastern Oregon</t>
  </si>
  <si>
    <t>Electrical Separation/Load Shedding/Made Public Appeal</t>
  </si>
  <si>
    <t>6:20 p.m. July 06</t>
  </si>
  <si>
    <t>Eastern New York</t>
  </si>
  <si>
    <t>Major Storms</t>
  </si>
  <si>
    <t>6:00 a.m. July 12</t>
  </si>
  <si>
    <t>4:17 p.m.</t>
  </si>
  <si>
    <t>St. George, Utah</t>
  </si>
  <si>
    <t>Fire/Load Shedding</t>
  </si>
  <si>
    <t>9:00 p.m. July 16</t>
  </si>
  <si>
    <t>2:00 a.m. July 19</t>
  </si>
  <si>
    <t>Southwestern Region of Service Territory</t>
  </si>
  <si>
    <t>11:30 p.m. July 22</t>
  </si>
  <si>
    <t>North, East and Central Virginia</t>
  </si>
  <si>
    <t>10:15 p.m. July 19</t>
  </si>
  <si>
    <t xml:space="preserve">August   </t>
  </si>
  <si>
    <t>Portions of North Carolina and South Carolina</t>
  </si>
  <si>
    <t>Made Public Appeal</t>
  </si>
  <si>
    <t>9:00 p.m. August 08</t>
  </si>
  <si>
    <t>3:56 p.m.</t>
  </si>
  <si>
    <t>Mid-Altantic Region of PJM</t>
  </si>
  <si>
    <t>Voltage Reduction/Made Public Appeal</t>
  </si>
  <si>
    <t>5:59 p.m. August 08</t>
  </si>
  <si>
    <t>12:45 p.m.</t>
  </si>
  <si>
    <t>9:00 p.m. August 09</t>
  </si>
  <si>
    <t>2:53 p.m.</t>
  </si>
  <si>
    <t>Highland Area of Pittsburgh, Pennsylvania</t>
  </si>
  <si>
    <t>4:11 p.m. August 09</t>
  </si>
  <si>
    <t>12:20 p.m.</t>
  </si>
  <si>
    <t>9:00 p.m. August 10</t>
  </si>
  <si>
    <t>1:30 a.m.</t>
  </si>
  <si>
    <t>State of Missouri</t>
  </si>
  <si>
    <t>12:00 a.m. August 14</t>
  </si>
  <si>
    <t>CSWS Control Area of Southwest Power Pool Parts of Oklahoma, Texas, Louisiana, Arkansas</t>
  </si>
  <si>
    <t>Declared Energy Emergency Alert2/Heat Wave</t>
  </si>
  <si>
    <t>6:00 p.m. August 14</t>
  </si>
  <si>
    <t>9:30 p.m.</t>
  </si>
  <si>
    <t>Virginia and Eastern North Carolina - Primarily in Central Virginia</t>
  </si>
  <si>
    <t>10:49 p.m. August 17</t>
  </si>
  <si>
    <t>11:34 p.m.</t>
  </si>
  <si>
    <t>Central and Eastern Virginia</t>
  </si>
  <si>
    <t>1:10 a.m. August 20</t>
  </si>
  <si>
    <t>10:49 p.m. August 28</t>
  </si>
  <si>
    <t>6:30 a.m. August 28</t>
  </si>
  <si>
    <t>1:53 p.m.</t>
  </si>
  <si>
    <t>Modesto California and the Surrounding Areas</t>
  </si>
  <si>
    <t>Shed Load</t>
  </si>
  <si>
    <t>2:57 p.m. August 29</t>
  </si>
  <si>
    <t>6:00 p.m. August 30</t>
  </si>
  <si>
    <t>Declared Energy Emergency Alert 1/Heat wave</t>
  </si>
  <si>
    <t>8:00 p.m. August 31</t>
  </si>
  <si>
    <t>12:30 p.m.</t>
  </si>
  <si>
    <t>San Diego County, Southern Orange County, California</t>
  </si>
  <si>
    <t>High Temperatures/Made Public Appeals</t>
  </si>
  <si>
    <t>5:30 p.m. September 03</t>
  </si>
  <si>
    <t>8:30 a.m.</t>
  </si>
  <si>
    <t>3:30 p.m. September 04</t>
  </si>
  <si>
    <t>7:53 a.m.</t>
  </si>
  <si>
    <t>Central Texas, ERCOT Grid</t>
  </si>
  <si>
    <t>Severe Weather/Transmission Fault-Units Tripped</t>
  </si>
  <si>
    <t>1:11 p.m. September 05</t>
  </si>
  <si>
    <t>Hydro Electric System</t>
  </si>
  <si>
    <t>Between Galveston and Beaumont, Texas</t>
  </si>
  <si>
    <t>Hurricane Humberto</t>
  </si>
  <si>
    <t>7:00 a.m. September 14</t>
  </si>
  <si>
    <t>7:01 p.m.</t>
  </si>
  <si>
    <t>City of Crawfordsville, Indiana</t>
  </si>
  <si>
    <t>Electrical System Separation</t>
  </si>
  <si>
    <t>7:48 p.m. September 17</t>
  </si>
  <si>
    <t>5:14 a.m.</t>
  </si>
  <si>
    <t>Minnesota, Wisconsin, North Dakota, South Dakota and Michigan</t>
  </si>
  <si>
    <t>Electrical System Separation/Load Shedding/ Implemented Emergency Alert/Severe Storms</t>
  </si>
  <si>
    <t>6:10 a.m. September 18</t>
  </si>
  <si>
    <t>5:15 a.m.</t>
  </si>
  <si>
    <t>Minnesota, North Dakota, Manitoba</t>
  </si>
  <si>
    <t>8,000-10,000</t>
  </si>
  <si>
    <t>GRE (1,900) Total 11,175</t>
  </si>
  <si>
    <t>6:30 a.m. September 18</t>
  </si>
  <si>
    <t>Manitoba, Minnesota, North Dakota, Portions of South Dakota and Wisconsin.  Midwest ISO's Market subregions: OTP, NSP, GRE, ALTW, MP</t>
  </si>
  <si>
    <t>Electrical System Separation/Load Shedding/ Implemented Emergency Alert/ Severe Storms</t>
  </si>
  <si>
    <t>12:00 a.m. September 18</t>
  </si>
  <si>
    <t>1:38 p.m.</t>
  </si>
  <si>
    <t>Southwest Michigan</t>
  </si>
  <si>
    <t>4:26 p.m. September 24</t>
  </si>
  <si>
    <t xml:space="preserve">October  </t>
  </si>
  <si>
    <t>11:36 a.m. October 22</t>
  </si>
  <si>
    <t>2:01 p.m.</t>
  </si>
  <si>
    <t>Brush Fire/Load Shedding/Implemented Emergency Alert</t>
  </si>
  <si>
    <t>2:22 p.m. October 22</t>
  </si>
  <si>
    <t>2:05 p.m.</t>
  </si>
  <si>
    <t>Brush Fire/Load Shedding</t>
  </si>
  <si>
    <t>2:06 p.m.</t>
  </si>
  <si>
    <t>2:43 p.m. October 22</t>
  </si>
  <si>
    <t>6:44 a.m.</t>
  </si>
  <si>
    <t>Southern Califonia</t>
  </si>
  <si>
    <t>10:46 a.m. October 26</t>
  </si>
  <si>
    <t>Riverside, California</t>
  </si>
  <si>
    <t>10:43 a.m. October 26</t>
  </si>
  <si>
    <t xml:space="preserve">November </t>
  </si>
  <si>
    <t>Eastern Massachusetts, Rhode Island, Cape Cod</t>
  </si>
  <si>
    <t>Tropical Storm</t>
  </si>
  <si>
    <t>6:00 a.m. November 04</t>
  </si>
  <si>
    <t xml:space="preserve">December </t>
  </si>
  <si>
    <t>6:04 p.m.</t>
  </si>
  <si>
    <t>State of Maine</t>
  </si>
  <si>
    <t>Voltage Reduction/Made Public Appeal/Fuel Deficiency</t>
  </si>
  <si>
    <t>10:00 p.m. December 02</t>
  </si>
  <si>
    <t>5:53 p.m. December 04</t>
  </si>
  <si>
    <t>3:08 a.m.</t>
  </si>
  <si>
    <t>8:00 a.m. December 19</t>
  </si>
  <si>
    <t>Eastern half of the State of Kansas</t>
  </si>
  <si>
    <t>3:30 p.m. December 20</t>
  </si>
  <si>
    <t>8:57 p.m.</t>
  </si>
  <si>
    <t>9:22 p.m. December 11</t>
  </si>
  <si>
    <t>The Entire ComEd Service Territory</t>
  </si>
  <si>
    <t>9:00 p.m. December 23</t>
  </si>
  <si>
    <t>Lower 2/3 of Michigan Lower Peninsula</t>
  </si>
  <si>
    <t>6:07 p.m. December 25</t>
  </si>
  <si>
    <t xml:space="preserve">  Note: Estimates for 2007 are preliminary.</t>
  </si>
  <si>
    <r>
      <t>Report No.: DOE/EIA-0226 (2010/03)
Data for: December 2009
Report Released: March 15, 2010
Next Release Date: Mid-April 20</t>
    </r>
    <r>
      <rPr>
        <sz val="10"/>
        <rFont val="Arial"/>
        <family val="2"/>
      </rPr>
      <t>10</t>
    </r>
  </si>
  <si>
    <t>Table B.2.  Major Disturbances and Unusual Occurrences, Year-to-Date through December 2008</t>
  </si>
  <si>
    <t>5:00 p.m. January 14</t>
  </si>
  <si>
    <t>7:47 a.m.</t>
  </si>
  <si>
    <t>Sacramento County</t>
  </si>
  <si>
    <t>4:30 p.m. January 04</t>
  </si>
  <si>
    <t>Exciter Faulted</t>
  </si>
  <si>
    <t>12:17 p.m. January 29</t>
  </si>
  <si>
    <t>Arkansas, Mississippi, North Louisiana</t>
  </si>
  <si>
    <t>8:00 a.m February 03</t>
  </si>
  <si>
    <t>10:00 p.m.</t>
  </si>
  <si>
    <t>Wind/Ice Storm</t>
  </si>
  <si>
    <t>6:30 p.m. February 01</t>
  </si>
  <si>
    <t>11:23 p.m.</t>
  </si>
  <si>
    <t>South Metropolitan Areas of Dayton, OHio</t>
  </si>
  <si>
    <t>12:48 a.m. January 30</t>
  </si>
  <si>
    <t>3:06 a.m.</t>
  </si>
  <si>
    <t>Western, New York</t>
  </si>
  <si>
    <t>2:50 p.m. February 01</t>
  </si>
  <si>
    <t>Equipment Faulted</t>
  </si>
  <si>
    <t>7:49 a.m. February 01</t>
  </si>
  <si>
    <t>3:58 a.m.</t>
  </si>
  <si>
    <t>4:27 p.m. February 02</t>
  </si>
  <si>
    <t>State of Kentucky</t>
  </si>
  <si>
    <t>3:00 a.m. February 06</t>
  </si>
  <si>
    <t>Mid to West Tennessee</t>
  </si>
  <si>
    <t>11:00 a.m. February 06</t>
  </si>
  <si>
    <t>11:59 a.m.</t>
  </si>
  <si>
    <t>Near Arnold, California</t>
  </si>
  <si>
    <t>3:33 p.m. February 09</t>
  </si>
  <si>
    <t>Southwestern Pennsylvania, West Virginia, Virginia, Maryland</t>
  </si>
  <si>
    <t>8:43 p.m. February 12</t>
  </si>
  <si>
    <t>Virginia, West Virginia, Ohio, Pennsylvania</t>
  </si>
  <si>
    <t>11:36 p.m. February 10</t>
  </si>
  <si>
    <t>Virginia and West Virginia Area of AEP</t>
  </si>
  <si>
    <t>5:05 p.m. February 14</t>
  </si>
  <si>
    <t>Dominion Service Territory</t>
  </si>
  <si>
    <t>6:02 p.m.</t>
  </si>
  <si>
    <t>Greenboro, North Carolina and I-40 Corridor</t>
  </si>
  <si>
    <t>4:00 a.m. February 11</t>
  </si>
  <si>
    <t>Arkansas, Mississippi, Louisiana</t>
  </si>
  <si>
    <t>5:00 p.m. February 15</t>
  </si>
  <si>
    <t>6:43 p.m.</t>
  </si>
  <si>
    <t>12:00 p.m. February 14</t>
  </si>
  <si>
    <t>8:15 a.m.</t>
  </si>
  <si>
    <t>Utah</t>
  </si>
  <si>
    <t>10:46 a.m. February 14</t>
  </si>
  <si>
    <t>3:06 p.m.</t>
  </si>
  <si>
    <t>Antioch, California</t>
  </si>
  <si>
    <t>7:36 p.m. February 15</t>
  </si>
  <si>
    <t>Restricted Coal Capability</t>
  </si>
  <si>
    <t>8:00 a.m. March 12</t>
  </si>
  <si>
    <t>Southern Service Area/Alabama and Georgia</t>
  </si>
  <si>
    <t>3:00 p.m. February 26</t>
  </si>
  <si>
    <t>Various Cities in Florida</t>
  </si>
  <si>
    <t>Under Frequency/Load Shedding</t>
  </si>
  <si>
    <t>2:10 p.m. February 26</t>
  </si>
  <si>
    <t>Tampa Electric Service Territory</t>
  </si>
  <si>
    <t>2:40 p.m. February 26</t>
  </si>
  <si>
    <t>Primary Dade County Florida</t>
  </si>
  <si>
    <t>4:11 p.m. February 26</t>
  </si>
  <si>
    <t>FRCC Region-West Coast Florida</t>
  </si>
  <si>
    <t>1:47 p.m. February 26</t>
  </si>
  <si>
    <t>1:10 p.m.</t>
  </si>
  <si>
    <t>The entire PEF system was affected, including the following counties: Alachua, Bay, Citrus, Columbia, Dixie, Franklin, Gilchrist, Gulf, Hamilton, Hardee, Hernando, Highlands, Jefferson, Lafayette, Lake, Levy, Madison, Marion, Orange, Osecola, Pasco, Pinellas, Polk, Seminole, Sumter, Suwannee, Taylor, Volusia, Wakulla.</t>
  </si>
  <si>
    <t>3:45 p.m. February 26</t>
  </si>
  <si>
    <t>10:45 p.m. March 04</t>
  </si>
  <si>
    <t>Virginia and Eastern Part of North Carolina</t>
  </si>
  <si>
    <t>Windstorm</t>
  </si>
  <si>
    <t>9:59 p.m. March 08</t>
  </si>
  <si>
    <t>Chester, Montgomery, Delaware, Philadelphia and Bucks County, Pennsylvania</t>
  </si>
  <si>
    <t>1:44 p.m. March 10</t>
  </si>
  <si>
    <t>8:55 p.m.</t>
  </si>
  <si>
    <t>8:30 p.m. March 16</t>
  </si>
  <si>
    <t>12:31 p.m.</t>
  </si>
  <si>
    <t>Arkansas, North Louisiana, Mississippi</t>
  </si>
  <si>
    <t>5:00 p.m. April 04</t>
  </si>
  <si>
    <t>TRE</t>
  </si>
  <si>
    <t>North, Central and East Texas</t>
  </si>
  <si>
    <t>1:15 a.m. April 13</t>
  </si>
  <si>
    <t>10:21 a.m.</t>
  </si>
  <si>
    <t>12:56 a.m. May 08</t>
  </si>
  <si>
    <t>2:30 p.m. May 12</t>
  </si>
  <si>
    <t>4:50 p.m.</t>
  </si>
  <si>
    <t>Electric System Separation</t>
  </si>
  <si>
    <t>8:43 p.m. May 11</t>
  </si>
  <si>
    <t>Cape May, Cumberland, Gloucester, Salem, Camden, Atlantic, Burliington  Counties, New Jersey</t>
  </si>
  <si>
    <t>12:00 a.m. May 14</t>
  </si>
  <si>
    <t>2:02 p.m.</t>
  </si>
  <si>
    <t>South West Connecticut</t>
  </si>
  <si>
    <t>3:52 p.m. May 27</t>
  </si>
  <si>
    <t>9:30 a.m.</t>
  </si>
  <si>
    <t>Northern and Western Counties of Illinois</t>
  </si>
  <si>
    <t>11:00 p.m. May 30</t>
  </si>
  <si>
    <t>South Louisiana</t>
  </si>
  <si>
    <t>Load Shedding, Inadequate Electric Resources to Serve Load</t>
  </si>
  <si>
    <t>8:00 p.m. May 30</t>
  </si>
  <si>
    <t>Northeastern Marion County, Indiana</t>
  </si>
  <si>
    <t>11:59 p.m. June 04</t>
  </si>
  <si>
    <t>Maryland, West Virginia, Virginia</t>
  </si>
  <si>
    <t>11:00 p.m. June 07</t>
  </si>
  <si>
    <t>Montgomery, Prince Georges,  Maryland, Washington, D.C.</t>
  </si>
  <si>
    <t>1:00 a.m. June 05</t>
  </si>
  <si>
    <t>Entire BGE Service Territory</t>
  </si>
  <si>
    <t>5:30 a.m. June 07</t>
  </si>
  <si>
    <t>3:04 p.m.</t>
  </si>
  <si>
    <t>9:30 p.m. June 05</t>
  </si>
  <si>
    <t>3:14 p.m.</t>
  </si>
  <si>
    <t>Load Shedding/Voltage Reduction</t>
  </si>
  <si>
    <t>3:46 p..m. June 04</t>
  </si>
  <si>
    <t>3:18 p.m.</t>
  </si>
  <si>
    <t>Lower 2/3 of Michigan's Lower Peninsula</t>
  </si>
  <si>
    <t>8:00 a.m. June 12</t>
  </si>
  <si>
    <t>The Entire ComEd Territory</t>
  </si>
  <si>
    <t>7:00 a.m. June 09</t>
  </si>
  <si>
    <t>Southwestern Michigan (DECO Service Territory)</t>
  </si>
  <si>
    <t>11:30 p.m. June 16</t>
  </si>
  <si>
    <t>Entergy System</t>
  </si>
  <si>
    <t>Indequate Electric Resources to Serve Load</t>
  </si>
  <si>
    <t>7:00 p.m. June 09</t>
  </si>
  <si>
    <t>2:52 p.m.</t>
  </si>
  <si>
    <t>Area Around West Orange Switching Station, New Jersey</t>
  </si>
  <si>
    <t>Fire/Breaker Failure</t>
  </si>
  <si>
    <t>8:25 p.m. June 09</t>
  </si>
  <si>
    <t>5:30 p.m. June 13</t>
  </si>
  <si>
    <t>6:00 p.m. June 10</t>
  </si>
  <si>
    <t>Bergen, Essex and Hudson Counties, New Jersey</t>
  </si>
  <si>
    <t>11:30 a.m. June 14</t>
  </si>
  <si>
    <t>3:59 p.m. June 14</t>
  </si>
  <si>
    <t>All Six New England States</t>
  </si>
  <si>
    <t>Storm</t>
  </si>
  <si>
    <t>9:00 a.m. June 11</t>
  </si>
  <si>
    <t>1:15 p.m.</t>
  </si>
  <si>
    <t>Uncontrolled Loss</t>
  </si>
  <si>
    <t>2:05 p.m. June 11</t>
  </si>
  <si>
    <t>East Central Iowa</t>
  </si>
  <si>
    <t>Flooding and Uncontrolled Loss</t>
  </si>
  <si>
    <t>4:00 p.m. June 18</t>
  </si>
  <si>
    <t>8:00 p.m. June 15</t>
  </si>
  <si>
    <t>7:06 p.m.</t>
  </si>
  <si>
    <t>8:42 p.m. June 15</t>
  </si>
  <si>
    <t>4:15 p.m.</t>
  </si>
  <si>
    <t>800-1,000</t>
  </si>
  <si>
    <t>11:19 p.m. June 16</t>
  </si>
  <si>
    <t>9:01 a.m.</t>
  </si>
  <si>
    <t>8:30 p.m. June 19</t>
  </si>
  <si>
    <t>8:35 p.m.</t>
  </si>
  <si>
    <t>Southwestern Public Service Company Operating in the Panhandle of Texas and New Mexico</t>
  </si>
  <si>
    <t>Electrical System Separation/Severe Thunderstorms</t>
  </si>
  <si>
    <t>1:55 a.m. June 18</t>
  </si>
  <si>
    <t>8:40 p.m.</t>
  </si>
  <si>
    <t>Texas Panhandle and Texas South Plains Regions, and Oklahoma Panhandle</t>
  </si>
  <si>
    <t>Thunderstorms/Uncontrolled Loss of Load</t>
  </si>
  <si>
    <t>11:00 p.m. June 17</t>
  </si>
  <si>
    <t>3:09 p.m.</t>
  </si>
  <si>
    <t>Near Rogers Flat, California</t>
  </si>
  <si>
    <t>Electrical System Separation/Severe Lightning Storms</t>
  </si>
  <si>
    <t>6:53 p.m. June 21</t>
  </si>
  <si>
    <t>4:55 p.m.</t>
  </si>
  <si>
    <t>Northwest Indiana</t>
  </si>
  <si>
    <t>Lightning Stirke/Uncontrolled Loss of Load</t>
  </si>
  <si>
    <t>5:05 p.m. June 22</t>
  </si>
  <si>
    <t>1:44 p.m.</t>
  </si>
  <si>
    <t>Northcentral Indiana</t>
  </si>
  <si>
    <t>1:45 p.m. June 23</t>
  </si>
  <si>
    <t>4:52 p.m.</t>
  </si>
  <si>
    <t>Pinellas County, Florida</t>
  </si>
  <si>
    <t>Transmission Equipment Failure/Load Shedding</t>
  </si>
  <si>
    <t>11:28 p.m. June 23</t>
  </si>
  <si>
    <t>Southeastern Michigan (DTE Service Territory)</t>
  </si>
  <si>
    <t>9:30 p.m. June 26</t>
  </si>
  <si>
    <t>Omaha, Nebraska (Metro Area)</t>
  </si>
  <si>
    <t>Severe Wind Storm</t>
  </si>
  <si>
    <t>5:30 p.m. June 27</t>
  </si>
  <si>
    <t>7:31 a.m.</t>
  </si>
  <si>
    <t>12:00 p.m. July 01</t>
  </si>
  <si>
    <t>12:00 p.m. July 06</t>
  </si>
  <si>
    <t>7:16 p.m.</t>
  </si>
  <si>
    <t>Santa Barbara County, California, near Goleta</t>
  </si>
  <si>
    <t>Wild Land Fire</t>
  </si>
  <si>
    <t>11:28 p.m. July 02</t>
  </si>
  <si>
    <t>7:36 p.m.</t>
  </si>
  <si>
    <t>Goleta and Santa Barbara Areas of Southern California</t>
  </si>
  <si>
    <t>Brush Fire/Lines Loss/Transmission Emergency Declared</t>
  </si>
  <si>
    <t>1:10 a.m. July 03</t>
  </si>
  <si>
    <t>3:00 a.m. July 03</t>
  </si>
  <si>
    <t>12:15 p.m.</t>
  </si>
  <si>
    <t>ISO Balancing Area</t>
  </si>
  <si>
    <t>Heat Wave/Potential Fire Threat/Made Public Appeals</t>
  </si>
  <si>
    <t>5:00 p.m. July 10</t>
  </si>
  <si>
    <t>2:22 p.m.</t>
  </si>
  <si>
    <t>5:21 p.m. July 10</t>
  </si>
  <si>
    <t>12:49 a.m.</t>
  </si>
  <si>
    <t>Sioux City, Carroll, Des Moines, Iowa City, and Davenport Iowa, Rock Island, Moline, and Surrounding Area of Illinois</t>
  </si>
  <si>
    <t>6:00 p.m. July 22</t>
  </si>
  <si>
    <t>Indiana</t>
  </si>
  <si>
    <t>7:32 p.m. July 24</t>
  </si>
  <si>
    <t>Southwest Ohio</t>
  </si>
  <si>
    <t>3:30 a.m. July 23</t>
  </si>
  <si>
    <t>Texas Panhandle and Southeastern New Mexico</t>
  </si>
  <si>
    <t>Indequate Electric Resources to Serve Load/Public Appeal</t>
  </si>
  <si>
    <t>5:09 a.m. July 24</t>
  </si>
  <si>
    <t>5:56 a.m.</t>
  </si>
  <si>
    <t>Port Isabel, Harlingen, Weslaco, Pharr, San Benito, Mission, McAllen, Edinburg, Texas</t>
  </si>
  <si>
    <t>Hurricane Dolly</t>
  </si>
  <si>
    <t>4:00 a.m. July 31</t>
  </si>
  <si>
    <t>7:23 a.m.</t>
  </si>
  <si>
    <t>Bangor Hydro System, northern Maine</t>
  </si>
  <si>
    <t>Electric System Separation/Severe Lightning Storms</t>
  </si>
  <si>
    <t>5:41 p.m. July 24</t>
  </si>
  <si>
    <t>5:30 a.m. August 03</t>
  </si>
  <si>
    <t>Mississippi, Louisiana, Texas</t>
  </si>
  <si>
    <t>4:15 a.m. August 03</t>
  </si>
  <si>
    <t>The ComEd Territory</t>
  </si>
  <si>
    <t>8:00 a.m. August 06</t>
  </si>
  <si>
    <t>9:50 a.m. August 05</t>
  </si>
  <si>
    <t>Texas Panhandle and Eastern New Mexico</t>
  </si>
  <si>
    <t>Declared Energy Emergency Alert 1/Made Public Appeals</t>
  </si>
  <si>
    <t>8:46 p.m. August 09</t>
  </si>
  <si>
    <t>12:52 p.m.</t>
  </si>
  <si>
    <t>Part of Seattle's Downtown</t>
  </si>
  <si>
    <t>5:00 p.m. August 15</t>
  </si>
  <si>
    <t>5:23 a.m.</t>
  </si>
  <si>
    <t>City of Lubbock</t>
  </si>
  <si>
    <t>Lightning/Transmission Equipment Damage</t>
  </si>
  <si>
    <t>7:30 a.m. August 16</t>
  </si>
  <si>
    <t>8:14 a.m.</t>
  </si>
  <si>
    <t>Shed Firm Load/Voltage Reduction</t>
  </si>
  <si>
    <t>3:00 p.m. August 16</t>
  </si>
  <si>
    <t>7:22 p.m.</t>
  </si>
  <si>
    <t>North Part of Island</t>
  </si>
  <si>
    <t>6:44 p.m. August 19</t>
  </si>
  <si>
    <t>9:29 a.m.</t>
  </si>
  <si>
    <t>Tropical Storm Fay</t>
  </si>
  <si>
    <t>10:00 p.m. August 22</t>
  </si>
  <si>
    <t>Alachua, Bay, Brevard, Citrus, Columbia, Dixie, Flagler, Franklin, Gilchrist, Gulf, Hamilton, Hardee, Hernando, Highlands, Jefferson, Lafayette, Lake, Leon, Levy, Madison, Marion, Orange, Osceola, Pasco, Pinellas, Polk, Seminole, Sumter,  Suwannee, Taylor, Volusia and Wakulla Counties in Florida</t>
  </si>
  <si>
    <t>8:00 a.m. August 25</t>
  </si>
  <si>
    <t>Fuel Supply Emergency-Low Coal Inventory Levels</t>
  </si>
  <si>
    <t>12:00 p.m. August 23</t>
  </si>
  <si>
    <t>2:00 p.m. August 24</t>
  </si>
  <si>
    <t>Plaquemine, Louisiana</t>
  </si>
  <si>
    <t>Fuel Supply Curtailed</t>
  </si>
  <si>
    <t>9:00 a.m. September 19</t>
  </si>
  <si>
    <t>Louisiana, Mississippi, Arkansas</t>
  </si>
  <si>
    <t>Hurricane Gustav</t>
  </si>
  <si>
    <t>9:00 a.m. September 03</t>
  </si>
  <si>
    <t>10:30 a.m.</t>
  </si>
  <si>
    <t>Primarily South and Central Louisiana</t>
  </si>
  <si>
    <t>7:22 p.m. September 13</t>
  </si>
  <si>
    <t>Bayou Division and North Lake Division, Louisiana</t>
  </si>
  <si>
    <t>4:00 p.m. September 10</t>
  </si>
  <si>
    <t>7:45 a.m.</t>
  </si>
  <si>
    <t>Tropical Storm Hanna</t>
  </si>
  <si>
    <t>10:30 a.m. September 06</t>
  </si>
  <si>
    <t>North East North Carolina and Virginia</t>
  </si>
  <si>
    <t>4:06 p.m. September 06</t>
  </si>
  <si>
    <t>10:03 p.m.</t>
  </si>
  <si>
    <t>A.D. Edmonston Pumping Plant</t>
  </si>
  <si>
    <t>12:28 a.m. September 09</t>
  </si>
  <si>
    <t>5:45 a.m.</t>
  </si>
  <si>
    <t>Primarily Southeast Texas, Louisiana, and Arkansas</t>
  </si>
  <si>
    <t>Hurricane Ike</t>
  </si>
  <si>
    <t>1:00 p.m. September 14</t>
  </si>
  <si>
    <t>6:21 p.m.</t>
  </si>
  <si>
    <t>Greater Houston-Galveston Metro Area</t>
  </si>
  <si>
    <t>11:59 p.m. October 01</t>
  </si>
  <si>
    <t>Greater Houston Area-Eastern Region of ERCOT</t>
  </si>
  <si>
    <t>Galveston and Brazoria Counties</t>
  </si>
  <si>
    <t>7:00 p.m. September 27</t>
  </si>
  <si>
    <t>10:24 a.m.</t>
  </si>
  <si>
    <t>2:40 p.m. September 27</t>
  </si>
  <si>
    <t>8:00 a.m. September 15</t>
  </si>
  <si>
    <t>Texas and Louisana</t>
  </si>
  <si>
    <t>7:44 p.m. September 16</t>
  </si>
  <si>
    <t>6:30 a.m.</t>
  </si>
  <si>
    <t>Ohio, Kentucky, Indiana</t>
  </si>
  <si>
    <t>Tropical Depression Ike</t>
  </si>
  <si>
    <t>2:38 p.m. September 14</t>
  </si>
  <si>
    <t>3:00 p.m. September 18</t>
  </si>
  <si>
    <t>10:01 a.m.</t>
  </si>
  <si>
    <t>City of Owensboro, Kentucky</t>
  </si>
  <si>
    <t>5:00 p.m. September 21</t>
  </si>
  <si>
    <t>4:30 p.m. September 14</t>
  </si>
  <si>
    <t>Dayton Ohio Area</t>
  </si>
  <si>
    <t>12:00 p.m. September 17</t>
  </si>
  <si>
    <t>Northern Indiana, Central and Central Southern Ohio</t>
  </si>
  <si>
    <t>11:00 p.m. September 20</t>
  </si>
  <si>
    <t>Western Pennsylvania</t>
  </si>
  <si>
    <t>12:38 p.m. September 19</t>
  </si>
  <si>
    <t>Southern, Eastern, and Central Ohio</t>
  </si>
  <si>
    <t>5:11 p.m. September 22</t>
  </si>
  <si>
    <t>Northeast Ohio</t>
  </si>
  <si>
    <t>3:20 a.m. September 22</t>
  </si>
  <si>
    <t>Allegheny and Beaver Counties in Pennsylvania</t>
  </si>
  <si>
    <t>11:59 p.m. September 14</t>
  </si>
  <si>
    <t>12:37 a.m.</t>
  </si>
  <si>
    <t>4:30 p.m. September 19</t>
  </si>
  <si>
    <t>5:49 p.m.</t>
  </si>
  <si>
    <t>6:39 a.m. September 22</t>
  </si>
  <si>
    <t>Plumas County, California</t>
  </si>
  <si>
    <t>2:05 p.m. September 30</t>
  </si>
  <si>
    <t>2:50 p.m.</t>
  </si>
  <si>
    <t>Louisiana</t>
  </si>
  <si>
    <t>9:50 a.m. October 02</t>
  </si>
  <si>
    <t>Connecticut</t>
  </si>
  <si>
    <t>7:00 a.m. October 27</t>
  </si>
  <si>
    <t>11:13 a.m.</t>
  </si>
  <si>
    <t>11:54 a.m. November 07</t>
  </si>
  <si>
    <t>12:19 a.m. November 11</t>
  </si>
  <si>
    <t>9:39 a.m.</t>
  </si>
  <si>
    <t>City of Los Angeles</t>
  </si>
  <si>
    <t>Brush Fire/Shed Firm Load</t>
  </si>
  <si>
    <t>10:10 a.m. November 15</t>
  </si>
  <si>
    <t>Midwest ISO (RFC</t>
  </si>
  <si>
    <t>St. Louis, Missouri</t>
  </si>
  <si>
    <t>7:00 a.m. December 02</t>
  </si>
  <si>
    <t>5:27 p.m.</t>
  </si>
  <si>
    <t>Central New Jersey</t>
  </si>
  <si>
    <t>Lines Loss/Transmission</t>
  </si>
  <si>
    <t>4:12 a.m. December 10</t>
  </si>
  <si>
    <t>Southern Oregon</t>
  </si>
  <si>
    <t>Equipment Failure/Made Public Appeal</t>
  </si>
  <si>
    <t>8:29 p.m. December 10</t>
  </si>
  <si>
    <t>Southern Louisiana, Southern and Central Mississippi</t>
  </si>
  <si>
    <t>11:59 p.m. December 13</t>
  </si>
  <si>
    <t>Northern Dutchess County and Western Ulster County in the Mid-Hudson Region of New York State</t>
  </si>
  <si>
    <t>12:00 a.m. December 15</t>
  </si>
  <si>
    <t>12:00 a.m. December 22</t>
  </si>
  <si>
    <t>2:38 a.m.</t>
  </si>
  <si>
    <t>1:24 p.m. December 19</t>
  </si>
  <si>
    <t>8:45 a.m.</t>
  </si>
  <si>
    <t>9:52 a.m. December 14</t>
  </si>
  <si>
    <t>Humboldt Area of California</t>
  </si>
  <si>
    <t>Declared Stage 1 Electric Emergency/Made Public Appeal</t>
  </si>
  <si>
    <t>9:17 a.m. December 21</t>
  </si>
  <si>
    <t>East of Oroville, California</t>
  </si>
  <si>
    <t>6:17 a.m. December 19</t>
  </si>
  <si>
    <t>Indiana, Michigan and Northwest Ohio</t>
  </si>
  <si>
    <t>12:00 p.m. December 22</t>
  </si>
  <si>
    <t>8:20 a.m. December 20</t>
  </si>
  <si>
    <t>11:40 a.m.</t>
  </si>
  <si>
    <t>Orangevale Area of Sacramento, California</t>
  </si>
  <si>
    <t>3:34 p.m. December 26</t>
  </si>
  <si>
    <t>HI</t>
  </si>
  <si>
    <t>6:13 p.m.</t>
  </si>
  <si>
    <t>Island of Oahu, Hawaii</t>
  </si>
  <si>
    <t>5:00 p.m. December 27</t>
  </si>
  <si>
    <t>11:30 p.m. January 01</t>
  </si>
  <si>
    <t>4:45 a.m.</t>
  </si>
  <si>
    <t>Michigan Lower Peninsula</t>
  </si>
  <si>
    <t>6:00 p.m. December 31</t>
  </si>
  <si>
    <t>11:30 p.m. December 28</t>
  </si>
  <si>
    <t>4:02 p.m.</t>
  </si>
  <si>
    <t>Crawfordsville, Indiana</t>
  </si>
  <si>
    <t>4:37 p.m. December 30</t>
  </si>
  <si>
    <t xml:space="preserve">  </t>
  </si>
  <si>
    <t xml:space="preserve">  Note: Estimates for 2008 are preliminary.</t>
  </si>
  <si>
    <t>Table B.2.  Major Disturbances and Unusual Occurrences, Year-to-Date through December 2009</t>
  </si>
  <si>
    <t>North and Central Texas</t>
  </si>
  <si>
    <t>6:00 p.m. January 06</t>
  </si>
  <si>
    <t>Piedmont of North and South Carolina</t>
  </si>
  <si>
    <t>8:05 p.m. January 07</t>
  </si>
  <si>
    <t>11:46 p.m.</t>
  </si>
  <si>
    <t>Florida Keys</t>
  </si>
  <si>
    <t>11:25 a.m. January 09</t>
  </si>
  <si>
    <t>PJM, Indiana</t>
  </si>
  <si>
    <t>8:00 a.m. January 25</t>
  </si>
  <si>
    <t>5:05 p.m. January 22</t>
  </si>
  <si>
    <t>4:30 p.m. January 29</t>
  </si>
  <si>
    <t>5:03 a.m.</t>
  </si>
  <si>
    <t>Central and Eastern Kentrucky</t>
  </si>
  <si>
    <t>5:15 p.m. January 31</t>
  </si>
  <si>
    <t>Western Kentucky and Southern Indiana</t>
  </si>
  <si>
    <t>7:30 p.m. February 04</t>
  </si>
  <si>
    <t>South Central and Southeast Missouri</t>
  </si>
  <si>
    <t>6:00 p.m. January 30</t>
  </si>
  <si>
    <t>1:46 p.m.</t>
  </si>
  <si>
    <t>Northern Arkansas</t>
  </si>
  <si>
    <t>5:00 p.m. February 03</t>
  </si>
  <si>
    <t>3:43 p.m.</t>
  </si>
  <si>
    <t>CSWS-AEP West</t>
  </si>
  <si>
    <t>Ice/Snow Storm</t>
  </si>
  <si>
    <t>9:00 a.m. January 29</t>
  </si>
  <si>
    <t>6:00 a.m. January 29</t>
  </si>
  <si>
    <t>9:45 p.m.</t>
  </si>
  <si>
    <t>TVA Service Territory</t>
  </si>
  <si>
    <t>10:17 p.m. January 27</t>
  </si>
  <si>
    <t>12:10 a.m.</t>
  </si>
  <si>
    <t>East Central Missouri</t>
  </si>
  <si>
    <t>9:20 p.m. January 30</t>
  </si>
  <si>
    <t>Illinois, Indiana, Ohio and Kentucky</t>
  </si>
  <si>
    <t>8:03 a.m. February 13</t>
  </si>
  <si>
    <t>City of Henderson, Kentucky and Portions of Henderson County, Kentucky</t>
  </si>
  <si>
    <t>5:00 p.m. February 07</t>
  </si>
  <si>
    <t>Indiana, Evansville, Metro Area</t>
  </si>
  <si>
    <t>6:00 p.m. February 05</t>
  </si>
  <si>
    <t>Southern Indiana</t>
  </si>
  <si>
    <t>Northeast Tennessee and Southwest Kentucky</t>
  </si>
  <si>
    <t>8:00 a.m. February 05</t>
  </si>
  <si>
    <t>Northern Kentucky and Southwest Ohio</t>
  </si>
  <si>
    <t>2:30 a.m.</t>
  </si>
  <si>
    <t>12:00 p.m. February 11</t>
  </si>
  <si>
    <t>Kentucky, West Virginia and Ohio</t>
  </si>
  <si>
    <t>5:00 p.m. February 13</t>
  </si>
  <si>
    <t>6:18 p.m.</t>
  </si>
  <si>
    <t>Maryland, Virginia, West Virginia and Pennsylvania</t>
  </si>
  <si>
    <t>8:10 p.m. February 16</t>
  </si>
  <si>
    <t>11:00 a.m. February 12</t>
  </si>
  <si>
    <t>12:00 p.m. February 12</t>
  </si>
  <si>
    <t>Central and Eastern Ohio</t>
  </si>
  <si>
    <t>6:00 a.m. February 12</t>
  </si>
  <si>
    <t>Western and North Eastern Pennsylvania</t>
  </si>
  <si>
    <t>10:00 p.m. February 15</t>
  </si>
  <si>
    <t>3:00 a.m. February 15</t>
  </si>
  <si>
    <t>Southern Central and Western Maine</t>
  </si>
  <si>
    <t>1:46 p.m. February 24</t>
  </si>
  <si>
    <t>12:15 a.m.</t>
  </si>
  <si>
    <t>City of El Paso, Texas, County of El Paso</t>
  </si>
  <si>
    <t>3:00 a.m. March 01</t>
  </si>
  <si>
    <t>Southern Balancing Area</t>
  </si>
  <si>
    <t>11:25 p.m. March 01</t>
  </si>
  <si>
    <t>8:54 p.m.</t>
  </si>
  <si>
    <t>Duke Energy Carolinas Balance Authority</t>
  </si>
  <si>
    <t>4:06 p.m. March 03</t>
  </si>
  <si>
    <t>Central Virginia - Spotsylvania County</t>
  </si>
  <si>
    <t>6:00 p.m. March 03</t>
  </si>
  <si>
    <t>6:48 a.m.</t>
  </si>
  <si>
    <t>Transformer Faulted/Unit Tripped</t>
  </si>
  <si>
    <t>6:05 a.m. April 26</t>
  </si>
  <si>
    <t>REC</t>
  </si>
  <si>
    <t>Roanoke, Virginia</t>
  </si>
  <si>
    <t>8:17 p.m. March 04</t>
  </si>
  <si>
    <t>10:16 p.m.</t>
  </si>
  <si>
    <t>Unit Shut Down</t>
  </si>
  <si>
    <t>11:45 p.m. March 08</t>
  </si>
  <si>
    <t>Michigan, Lower Peninsula</t>
  </si>
  <si>
    <t>12:00 p.m. April 08</t>
  </si>
  <si>
    <t>2:30 a.m. April 11</t>
  </si>
  <si>
    <t>Restricted Hydro Electric Capability</t>
  </si>
  <si>
    <t>Skagit County, Washington</t>
  </si>
  <si>
    <t>Transmission Tripped</t>
  </si>
  <si>
    <t>12:29 a.m. April 24</t>
  </si>
  <si>
    <t>5:54 p.m.</t>
  </si>
  <si>
    <t>Communities of Elsinore, Hemet, Moreno Valley, Perris, San Jacinto and Temecula in the southeastern area of Riverside County in California</t>
  </si>
  <si>
    <t>Substation Load Interruption</t>
  </si>
  <si>
    <t>7:58 p.m. April 23</t>
  </si>
  <si>
    <t>11:09 a.m.</t>
  </si>
  <si>
    <t>Ruston, Louisiana</t>
  </si>
  <si>
    <t>Complete Electric System Failure</t>
  </si>
  <si>
    <t>11:21 a.m. April 24</t>
  </si>
  <si>
    <t>Western Region of Service Territory</t>
  </si>
  <si>
    <t>High Winds/Rain</t>
  </si>
  <si>
    <t>1:00 a.m. April 29</t>
  </si>
  <si>
    <t>Greater Houston/Galveston Area</t>
  </si>
  <si>
    <t>11:30 a.m. April 28</t>
  </si>
  <si>
    <t>SW Missouri</t>
  </si>
  <si>
    <t>9:00 a.m. May 08</t>
  </si>
  <si>
    <t>Southern Illinois</t>
  </si>
  <si>
    <t>11:20 p.m. May 14</t>
  </si>
  <si>
    <t>9:05 a.m.</t>
  </si>
  <si>
    <t>Henderson County, Kentucky</t>
  </si>
  <si>
    <t>7:57 p.m. May 29</t>
  </si>
  <si>
    <t>East of Fresno California</t>
  </si>
  <si>
    <t>8:18 p.m. June 05</t>
  </si>
  <si>
    <t>5:25 p.m.</t>
  </si>
  <si>
    <t>5:00 a.m. June 11</t>
  </si>
  <si>
    <t>10:00 a.m. June 14</t>
  </si>
  <si>
    <t>4:37 p.m.</t>
  </si>
  <si>
    <t>Chattanooga, Tennessee</t>
  </si>
  <si>
    <t>6:53 p.m. June 12</t>
  </si>
  <si>
    <t>5:45 p.m.</t>
  </si>
  <si>
    <t>Arkansas, North Mississippi</t>
  </si>
  <si>
    <t>11:59 p.m. June 15</t>
  </si>
  <si>
    <t>6:00 p.m. June 13</t>
  </si>
  <si>
    <t>2:00 a.m. June 17</t>
  </si>
  <si>
    <t>11:00 p.m. June 21</t>
  </si>
  <si>
    <t>11:59 p.m. June 19</t>
  </si>
  <si>
    <t>10:00 p.m. June 24</t>
  </si>
  <si>
    <t>ERCOT Region</t>
  </si>
  <si>
    <t>7:00 p.m. June 25</t>
  </si>
  <si>
    <t>8:00 p.m. June 28</t>
  </si>
  <si>
    <t>Southwest Ohio, Northern Kentudky, Central and Southern Indiana</t>
  </si>
  <si>
    <t>9:00 a.m. June 27</t>
  </si>
  <si>
    <t>Central Connecticut</t>
  </si>
  <si>
    <t>9:00 a.m. June 29</t>
  </si>
  <si>
    <t>10:44 p.m.</t>
  </si>
  <si>
    <t>Northern Maine</t>
  </si>
  <si>
    <t>1:25 a.m. July 03</t>
  </si>
  <si>
    <t>San Antonio, Texas</t>
  </si>
  <si>
    <t>7:00 p.m. July 07</t>
  </si>
  <si>
    <t>7:00 p.m. July 08</t>
  </si>
  <si>
    <t>AEP SWEPCO/Louisiana Area</t>
  </si>
  <si>
    <t>6:00 p.m. July 14</t>
  </si>
  <si>
    <t>6:00 p.m. July 15</t>
  </si>
  <si>
    <t>6:00 p.m. July 16</t>
  </si>
  <si>
    <t>Houston/Galveston Area</t>
  </si>
  <si>
    <t>9:00 p.m. July 19</t>
  </si>
  <si>
    <t>9:50 p.m.</t>
  </si>
  <si>
    <t>Metro Denver (Jefferson, Adams, and Arapahoe Counties)</t>
  </si>
  <si>
    <t>7:00 p.m. July 22</t>
  </si>
  <si>
    <t>5:34 a.m.</t>
  </si>
  <si>
    <t>8:43 a.m. July 21</t>
  </si>
  <si>
    <t>Failure of Computer Hardware Used for Monitoring</t>
  </si>
  <si>
    <t>5:47 a.m. July 27</t>
  </si>
  <si>
    <t>8:18 p.m.</t>
  </si>
  <si>
    <t>Salt Lake City Utah and Northern Utah</t>
  </si>
  <si>
    <t>Loss of Part of Substation</t>
  </si>
  <si>
    <t>8:33 p.m. July 28</t>
  </si>
  <si>
    <t>2:17 a.m.</t>
  </si>
  <si>
    <t>Chester, Montgomery, Delaware, Philadelphia and Bucks Counties, Pennsyvania</t>
  </si>
  <si>
    <t>Highwinds</t>
  </si>
  <si>
    <t>1:09 p.m. August 03</t>
  </si>
  <si>
    <t>1:45 p.m.</t>
  </si>
  <si>
    <t>Northern Kentucky, Southwest Ohio and Central and South Indiana</t>
  </si>
  <si>
    <t>7:00 p.m. August 05</t>
  </si>
  <si>
    <t>High Winds and Rain</t>
  </si>
  <si>
    <t>10:00 p.m. August 11</t>
  </si>
  <si>
    <t>7:31 p.m.</t>
  </si>
  <si>
    <t>9:59 a.m. August 10</t>
  </si>
  <si>
    <t>South Houston Service Area</t>
  </si>
  <si>
    <t>10:00 a.m. August 12</t>
  </si>
  <si>
    <t>Houston Metropolitan Service Area</t>
  </si>
  <si>
    <t>8:00 a.m. August 22</t>
  </si>
  <si>
    <t>Western South Dakota</t>
  </si>
  <si>
    <t>2:01 p.m. August 29</t>
  </si>
  <si>
    <t>10:54 p.m.</t>
  </si>
  <si>
    <t>11:53 p.m. August 29</t>
  </si>
  <si>
    <t>10:31 a.m.</t>
  </si>
  <si>
    <t>12:00 a.m. August 31</t>
  </si>
  <si>
    <t>11:00 p.m. October 09</t>
  </si>
  <si>
    <t>Central Valley, CA (Bakersfield, CA)</t>
  </si>
  <si>
    <t>Transmission System Interruption</t>
  </si>
  <si>
    <t>7:10 p.m. October 09</t>
  </si>
  <si>
    <t>10:45 p.m.</t>
  </si>
  <si>
    <t>Arkansas and North Louisiana</t>
  </si>
  <si>
    <t>4:00 p.m. October 11</t>
  </si>
  <si>
    <t>12:48 p.m.</t>
  </si>
  <si>
    <t>Southeastern Wyoming</t>
  </si>
  <si>
    <t>Ice</t>
  </si>
  <si>
    <t>2:34 p.m. October 13</t>
  </si>
  <si>
    <t>5:50 p.m. October 13</t>
  </si>
  <si>
    <t>10:30 p.m. October 13</t>
  </si>
  <si>
    <t>6:45 p.m.</t>
  </si>
  <si>
    <t>Southeastern Virginia, Northeastern North Carolina</t>
  </si>
  <si>
    <t>Tropical Storm Ida</t>
  </si>
  <si>
    <t>4:25 a.m. November 14</t>
  </si>
  <si>
    <t>6:15 a.m.</t>
  </si>
  <si>
    <t>Central Valley, CA</t>
  </si>
  <si>
    <t>Switching Failure</t>
  </si>
  <si>
    <t>10:00 a.m. November 18</t>
  </si>
  <si>
    <t>Forced Outage Equipment Failure</t>
  </si>
  <si>
    <t>4:00 a.m. December 08</t>
  </si>
  <si>
    <t>11:00 a.m. December 10</t>
  </si>
  <si>
    <t>6:34 a.m.</t>
  </si>
  <si>
    <t>Load Shed/Made Public Appeals</t>
  </si>
  <si>
    <t>12:00 p.m. December 08</t>
  </si>
  <si>
    <t>1:37 p.m.</t>
  </si>
  <si>
    <t>6:30 a.m. December 10</t>
  </si>
  <si>
    <t>Michigan</t>
  </si>
  <si>
    <t>8:00 a.m. December 12</t>
  </si>
  <si>
    <t>West Virginia, Kentucky, Ohio</t>
  </si>
  <si>
    <t>9:30 p.m. December 25</t>
  </si>
  <si>
    <t>10:55 p.m.</t>
  </si>
  <si>
    <t>11:15 p.m. December 19</t>
  </si>
  <si>
    <t xml:space="preserve">  Note: Estimates for 2009 are preliminary.</t>
  </si>
  <si>
    <t>Table B.2.  Major Disturbances and Unusual Occurrences, Year-to-Date through December 2010</t>
  </si>
  <si>
    <t xml:space="preserve"> SERC </t>
  </si>
  <si>
    <t>6:00 p.m. January 08</t>
  </si>
  <si>
    <t xml:space="preserve">FRCC/SERC </t>
  </si>
  <si>
    <t>3:45 a.m.</t>
  </si>
  <si>
    <t>Northern and Central Florida</t>
  </si>
  <si>
    <t>Interruptible Load Shed/Made Public Appeals</t>
  </si>
  <si>
    <t>9:57 a.m. January 11</t>
  </si>
  <si>
    <t>8:00 a.m. January 28</t>
  </si>
  <si>
    <t>San Francisco</t>
  </si>
  <si>
    <t>12:24 p.m. January 19</t>
  </si>
  <si>
    <t xml:space="preserve"> WECC </t>
  </si>
  <si>
    <t>San Diego and Orange Counties</t>
  </si>
  <si>
    <t>3:00 p.m. January 20</t>
  </si>
  <si>
    <t>6:10 p.m. January 24</t>
  </si>
  <si>
    <t xml:space="preserve"> SPP </t>
  </si>
  <si>
    <t>12:00 p.m. February 02</t>
  </si>
  <si>
    <t xml:space="preserve">SPP </t>
  </si>
  <si>
    <t>2:32 p.m.</t>
  </si>
  <si>
    <t>Ice Storm/Electrical System Separation</t>
  </si>
  <si>
    <t>5:00 p.m. February 01</t>
  </si>
  <si>
    <t xml:space="preserve">RFC </t>
  </si>
  <si>
    <t>Southern NJ</t>
  </si>
  <si>
    <t>4:00 p.m. February 13</t>
  </si>
  <si>
    <t>6:48 p.m.</t>
  </si>
  <si>
    <t>District of Columbia, Prince Georges and Montgomery Co. MD</t>
  </si>
  <si>
    <t>3:46 p.m. February 12</t>
  </si>
  <si>
    <t>10:30 p.m.</t>
  </si>
  <si>
    <t>Southwestern Pennsylvania</t>
  </si>
  <si>
    <t xml:space="preserve"> RFC </t>
  </si>
  <si>
    <t>11:30 p.m.</t>
  </si>
  <si>
    <t>Indiana, Ohio, W. Virginia and Virginia</t>
  </si>
  <si>
    <t>2:38 a.m. February 07</t>
  </si>
  <si>
    <t>Virginia, North Carolina</t>
  </si>
  <si>
    <t>7:00 a.m. February 07</t>
  </si>
  <si>
    <t>Delmarva Peninsula</t>
  </si>
  <si>
    <t>9:00 a.m. February 06</t>
  </si>
  <si>
    <t>Southeastern Pennsylvania</t>
  </si>
  <si>
    <t xml:space="preserve">TRE </t>
  </si>
  <si>
    <t>Dallas/Fort Worth and East Texas</t>
  </si>
  <si>
    <t>9:00 p.m. February 15</t>
  </si>
  <si>
    <t>East Texas, Western Arkansas, Northern Lousiania</t>
  </si>
  <si>
    <t>5:00 p.m. February 12</t>
  </si>
  <si>
    <t>Western Pennsylvania nd Northeast Central WV</t>
  </si>
  <si>
    <t>San Joaquin Field Division/Bakersfield, CA</t>
  </si>
  <si>
    <t>Firm System Load Shed</t>
  </si>
  <si>
    <t>4:01 a.m. February 20</t>
  </si>
  <si>
    <t xml:space="preserve">NPCC </t>
  </si>
  <si>
    <t>4:00 p.m. February 25</t>
  </si>
  <si>
    <t>Southeastern New York, Northern New Jersey</t>
  </si>
  <si>
    <t>9:00 p.m. February 26</t>
  </si>
  <si>
    <t xml:space="preserve"> NPCC </t>
  </si>
  <si>
    <t>New York City</t>
  </si>
  <si>
    <t>7:00 p.m. March 02</t>
  </si>
  <si>
    <t>11:53 p.m.</t>
  </si>
  <si>
    <t>Southern Maine and New Hampshire</t>
  </si>
  <si>
    <t>4:40 p.m. March 01</t>
  </si>
  <si>
    <t>Southeasten Pennsylvania</t>
  </si>
  <si>
    <t>High Winds and rain</t>
  </si>
  <si>
    <t>6:40 p.m. March 16</t>
  </si>
  <si>
    <t>8:05 p.m. March 15</t>
  </si>
  <si>
    <t>Long Island</t>
  </si>
  <si>
    <t>4:00 p.m. March 17</t>
  </si>
  <si>
    <t>Central New Jersey and Northern New Jersey</t>
  </si>
  <si>
    <t>High Winds and Flooding</t>
  </si>
  <si>
    <t>12:00 a.m. March 16</t>
  </si>
  <si>
    <t>Southern, Central and Northern New Jersey</t>
  </si>
  <si>
    <t>12:59 p.m. March 20</t>
  </si>
  <si>
    <t>New York City and Westchester County</t>
  </si>
  <si>
    <t>9:00 a.m. March 20</t>
  </si>
  <si>
    <t>11:59 p.m.</t>
  </si>
  <si>
    <t>12:55 a.m. April 01</t>
  </si>
  <si>
    <t>San Diego</t>
  </si>
  <si>
    <t>12:38 a.m. April 01</t>
  </si>
  <si>
    <t>Iberville, Parish, Louisiana</t>
  </si>
  <si>
    <t>Generator Tripped</t>
  </si>
  <si>
    <t>8:00 p.m. April 21</t>
  </si>
  <si>
    <t>Rocky Mount, NC</t>
  </si>
  <si>
    <t>2:55 p.m. April 27</t>
  </si>
  <si>
    <t>2:40 p.m.</t>
  </si>
  <si>
    <t>Tennessee and Mississippi</t>
  </si>
  <si>
    <t>7:30 p.m. May 09</t>
  </si>
  <si>
    <t>Central California</t>
  </si>
  <si>
    <t>Breakers Tripped</t>
  </si>
  <si>
    <t>10:46 p.m. May 18</t>
  </si>
  <si>
    <t xml:space="preserve">RFC, SERC </t>
  </si>
  <si>
    <t>Maryland, Pennsylvania, West Virginia, Virginia</t>
  </si>
  <si>
    <t>Made Public Appeal - System Drill</t>
  </si>
  <si>
    <t>3:00 p.m. May 26</t>
  </si>
  <si>
    <t>Southwestern Indiana</t>
  </si>
  <si>
    <t>Firm Load Shed</t>
  </si>
  <si>
    <t>12:30 a.m. June 18</t>
  </si>
  <si>
    <t>San Antonio, TX</t>
  </si>
  <si>
    <t>8:00 a.m. June 04</t>
  </si>
  <si>
    <t>5:35 a.m. June 06</t>
  </si>
  <si>
    <t>6:29 p.m.</t>
  </si>
  <si>
    <t>Denver Metropolitan Area</t>
  </si>
  <si>
    <t>1:00 a.m. June 08</t>
  </si>
  <si>
    <t>Southeastern Texas</t>
  </si>
  <si>
    <t>5:00 p.m. June 08</t>
  </si>
  <si>
    <t>2:18 p.m.</t>
  </si>
  <si>
    <t>Edenton, NC</t>
  </si>
  <si>
    <t>3:00 p.m. June 09</t>
  </si>
  <si>
    <t>11:11 a.m.</t>
  </si>
  <si>
    <t>New York (Rockland and Orange Counties)</t>
  </si>
  <si>
    <t>Voltage Reduction (System Test)</t>
  </si>
  <si>
    <t>11:32 a.m. June 16</t>
  </si>
  <si>
    <t>Morgan City, LA</t>
  </si>
  <si>
    <t>5:47 p.m. June 17</t>
  </si>
  <si>
    <t>Southern Louisiana</t>
  </si>
  <si>
    <t>5:17 p.m. June 17</t>
  </si>
  <si>
    <t>4:40 p.m. June 17</t>
  </si>
  <si>
    <t>Southwestern Louisiana</t>
  </si>
  <si>
    <t xml:space="preserve">MRO </t>
  </si>
  <si>
    <t>10:49 a.m.</t>
  </si>
  <si>
    <t>Eastern Montana</t>
  </si>
  <si>
    <t>11:02 a.m. June 17</t>
  </si>
  <si>
    <t>12:30 a.m. June 20</t>
  </si>
  <si>
    <t>Chicago, IL</t>
  </si>
  <si>
    <t>1:00 p.m. June 20</t>
  </si>
  <si>
    <t>Southern Portion of Lower Michigan</t>
  </si>
  <si>
    <t>5:00 a.m. June 19</t>
  </si>
  <si>
    <t>Indiana, Michigan</t>
  </si>
  <si>
    <t>10:45 a.m. June 21</t>
  </si>
  <si>
    <t>Detroit, MI</t>
  </si>
  <si>
    <t>7:30 p.m. June 22</t>
  </si>
  <si>
    <t>Cincinnati, OH</t>
  </si>
  <si>
    <t>8:31 p.m. June 22</t>
  </si>
  <si>
    <t>3:34 p.m.</t>
  </si>
  <si>
    <t>West/Central Arkansas</t>
  </si>
  <si>
    <t>Made Public Appeal/Transmission Equipment Failure</t>
  </si>
  <si>
    <t>7:00 p.m. June 22</t>
  </si>
  <si>
    <t>1:40 p.m. June 25</t>
  </si>
  <si>
    <t>2:21 a.m. June 24</t>
  </si>
  <si>
    <t>Southwestern New Jersey</t>
  </si>
  <si>
    <t>12:00 p.m. June 29</t>
  </si>
  <si>
    <t>11:59 p.m. June 29</t>
  </si>
  <si>
    <t>11:36 p.m.</t>
  </si>
  <si>
    <t>1:38 a.m. June 26</t>
  </si>
  <si>
    <t>3:47 a.m.</t>
  </si>
  <si>
    <t>Newark, DE</t>
  </si>
  <si>
    <t>Transformer Outage</t>
  </si>
  <si>
    <t>4:37 a.m. July 06</t>
  </si>
  <si>
    <t>4:13 p.m.</t>
  </si>
  <si>
    <t>York, South Central Pennsylvania</t>
  </si>
  <si>
    <t>Loss of Transmission Equipment</t>
  </si>
  <si>
    <t>10:29 p.m. July 07</t>
  </si>
  <si>
    <t>11:30 p.m. July 19</t>
  </si>
  <si>
    <t>Strong Winds, Tornadoes</t>
  </si>
  <si>
    <t>10:00 p.m. July 19</t>
  </si>
  <si>
    <t>6:44 p.m.</t>
  </si>
  <si>
    <t>8:00 p.m. July 21</t>
  </si>
  <si>
    <t>Northern Utah</t>
  </si>
  <si>
    <t>11:55 p.m. July 24</t>
  </si>
  <si>
    <t>6:30 p.m. July 26</t>
  </si>
  <si>
    <t xml:space="preserve">NERC Region </t>
  </si>
  <si>
    <t>3:10 p.m.</t>
  </si>
  <si>
    <t>Washington, DC Region</t>
  </si>
  <si>
    <t>11:30 p.m. July 30</t>
  </si>
  <si>
    <t>3:20 p.m.</t>
  </si>
  <si>
    <t>6:00 p.m. July 27</t>
  </si>
  <si>
    <t>900-1000</t>
  </si>
  <si>
    <t>8:06 p.m. July 25</t>
  </si>
  <si>
    <t>5:43 p.m.</t>
  </si>
  <si>
    <t>Virginia</t>
  </si>
  <si>
    <t>8:07 p.m. July 29</t>
  </si>
  <si>
    <t>Shed Interruptible Load, Wildfire</t>
  </si>
  <si>
    <t>7:26 p.m. July 29</t>
  </si>
  <si>
    <t>Fuel Supply Deficiency (Hydro)</t>
  </si>
  <si>
    <t>11:00 p.m. August 02</t>
  </si>
  <si>
    <t>11:00 a.m. August 04</t>
  </si>
  <si>
    <t>Northern Texas, Eastern New Mexico</t>
  </si>
  <si>
    <t>10:00 p.m. August 04</t>
  </si>
  <si>
    <t>4:45 p.m.</t>
  </si>
  <si>
    <t>Western Pennsylvania, Northwestern and Central West Virginia</t>
  </si>
  <si>
    <t>12:00 a.m. August 07</t>
  </si>
  <si>
    <t>Ohio, West Virginia, Kentucky</t>
  </si>
  <si>
    <t>4:00 a.m. August 06</t>
  </si>
  <si>
    <t>District of Columbia, Maryland</t>
  </si>
  <si>
    <t>10:00 p.m. August 05</t>
  </si>
  <si>
    <t>3:54 p.m.</t>
  </si>
  <si>
    <t>12:00 a.m. August 08</t>
  </si>
  <si>
    <t>Fuel Supply Defiency</t>
  </si>
  <si>
    <t>12:00 p.m. August 16</t>
  </si>
  <si>
    <t>3:21 p.m.</t>
  </si>
  <si>
    <t>12:12 p.m. August 11</t>
  </si>
  <si>
    <t>6:45 a.m.</t>
  </si>
  <si>
    <t>9:00 p.m. August 12</t>
  </si>
  <si>
    <t>8:21 a.m.</t>
  </si>
  <si>
    <t>Central Nebraska</t>
  </si>
  <si>
    <t>11:00 a.m. August 12</t>
  </si>
  <si>
    <t>City of Oshkosh, Wisconsin</t>
  </si>
  <si>
    <t>10:10 p.m. August 12</t>
  </si>
  <si>
    <t>3:30 p.m. August 23</t>
  </si>
  <si>
    <t>9:30 a.m. August 24</t>
  </si>
  <si>
    <t>10:20 a.m.</t>
  </si>
  <si>
    <t>Pittsburg (Bay Area), California</t>
  </si>
  <si>
    <t>Electrical System Separation (Islanding)</t>
  </si>
  <si>
    <t>12:44 p.m. September 01</t>
  </si>
  <si>
    <t>1:27 a.m. September 08</t>
  </si>
  <si>
    <t>King George County, Virginia</t>
  </si>
  <si>
    <t>Low Flying Helicopter</t>
  </si>
  <si>
    <t>5:30 p.m. September 20</t>
  </si>
  <si>
    <t>9:31 p.m.</t>
  </si>
  <si>
    <t>Central and Southern Michigan</t>
  </si>
  <si>
    <t>2:30 p.m. September 22</t>
  </si>
  <si>
    <t>6:12 a.m.</t>
  </si>
  <si>
    <t>Bakersfield, California</t>
  </si>
  <si>
    <t>11:00 p.m. September 22</t>
  </si>
  <si>
    <t>4:08 p.m.</t>
  </si>
  <si>
    <t>City of Pittsburgh, Pennsylvania</t>
  </si>
  <si>
    <t>12:00 a.m. September 26</t>
  </si>
  <si>
    <t>5:38 p.m.</t>
  </si>
  <si>
    <t>11:30 p.m. September 24</t>
  </si>
  <si>
    <t>Interruptible Load Shed</t>
  </si>
  <si>
    <t>6:12 p.m. September 27</t>
  </si>
  <si>
    <t>Rain and High Winds</t>
  </si>
  <si>
    <t>6:00a.m. October 07</t>
  </si>
  <si>
    <t>11:00 a.m. October 28</t>
  </si>
  <si>
    <t>10:00 p.m. October 28</t>
  </si>
  <si>
    <t>Northeast and North Central Wisconsin</t>
  </si>
  <si>
    <t>12:00 p.m. October 27</t>
  </si>
  <si>
    <t>Michigan's Northerly Lower Peninsula</t>
  </si>
  <si>
    <t>7:00 a.m. October 29</t>
  </si>
  <si>
    <t>4:00 a.m. October 29</t>
  </si>
  <si>
    <t>5:16 p.m.</t>
  </si>
  <si>
    <t>Electrical System Separation-Islanding</t>
  </si>
  <si>
    <t>5:27 p.m. October 27</t>
  </si>
  <si>
    <t>10:26 p.m.</t>
  </si>
  <si>
    <t>Firm System Load Loss</t>
  </si>
  <si>
    <t>1:45 a.m. November 01</t>
  </si>
  <si>
    <t>9:46 a.m.</t>
  </si>
  <si>
    <t>Rock Springs, Wyoming</t>
  </si>
  <si>
    <t>Transmission Equipment Failure/Interruptible Load Shed</t>
  </si>
  <si>
    <t>10:47 a.m. November 04</t>
  </si>
  <si>
    <t>3:53 p.m.</t>
  </si>
  <si>
    <t>Electrical System Separation - Islanding</t>
  </si>
  <si>
    <t>6:08 p.m. November 06</t>
  </si>
  <si>
    <t>6:47 a.m.</t>
  </si>
  <si>
    <t>Maine</t>
  </si>
  <si>
    <t>Snow and High Winds</t>
  </si>
  <si>
    <t>6:00 p.m. November 08</t>
  </si>
  <si>
    <t>10:00 p.m. November 14</t>
  </si>
  <si>
    <t>Puget Sound Region</t>
  </si>
  <si>
    <t>2:14 a.m. November 16</t>
  </si>
  <si>
    <t>1:39 a.m.</t>
  </si>
  <si>
    <t>4:46 p.m. November 24</t>
  </si>
  <si>
    <t>Puget Sound Region, Washington</t>
  </si>
  <si>
    <t>8:00 p.m. November 24</t>
  </si>
  <si>
    <t>6:12 p.m. November 23</t>
  </si>
  <si>
    <t>9:32 p.m.</t>
  </si>
  <si>
    <t>2:00 a.m. December 04</t>
  </si>
  <si>
    <t>2:00 p.m. December 15</t>
  </si>
  <si>
    <t>7:20 a.m.</t>
  </si>
  <si>
    <t>7:25 a.m. December 14</t>
  </si>
  <si>
    <t>7:36 a.m.</t>
  </si>
  <si>
    <t>Transmission Equipment/Firm System Load</t>
  </si>
  <si>
    <t>9:00 a.m. December 15</t>
  </si>
  <si>
    <t>Redmond, Washington</t>
  </si>
  <si>
    <t>10:00 p.m. December 19</t>
  </si>
  <si>
    <t>Carolina</t>
  </si>
  <si>
    <t>4:15 p.m. December 26</t>
  </si>
  <si>
    <t>6:00 a.m. January 12</t>
  </si>
  <si>
    <t xml:space="preserve">  Note: Estimates for 2010 are preliminary.</t>
  </si>
  <si>
    <r>
      <t>OE-417 Electric Emergency and Disturbance (OE-417) Events, 2011</t>
    </r>
    <r>
      <rPr>
        <b/>
        <vertAlign val="superscript"/>
        <sz val="11"/>
        <rFont val="Times New Roman"/>
        <family val="1"/>
      </rPr>
      <t>1</t>
    </r>
  </si>
  <si>
    <t>Date Event Began</t>
  </si>
  <si>
    <t>Time Event Began</t>
  </si>
  <si>
    <t>Date of Restoration</t>
  </si>
  <si>
    <t>Time of Restoration</t>
  </si>
  <si>
    <t>Event Type</t>
  </si>
  <si>
    <t>Demand Loss (MW)</t>
  </si>
  <si>
    <t>Athens, New York</t>
  </si>
  <si>
    <t>Electrical Fault at Generator</t>
  </si>
  <si>
    <t>Massachusetts</t>
  </si>
  <si>
    <t>North Florida</t>
  </si>
  <si>
    <t>Whitman, Auburn St Substation, Massachusetts</t>
  </si>
  <si>
    <t>Franklin County, Idaho</t>
  </si>
  <si>
    <t>Newman Power Plant, Texas</t>
  </si>
  <si>
    <t>Suspicious Activity</t>
  </si>
  <si>
    <t>Newark, Delaware</t>
  </si>
  <si>
    <t>Carson City, Nevada</t>
  </si>
  <si>
    <t>Suspected Telecommunications Attack</t>
  </si>
  <si>
    <t>Montgomery and Prince George's County, Maryland and District of Columbia</t>
  </si>
  <si>
    <t>Maryland</t>
  </si>
  <si>
    <t>Hockessin, Delaware</t>
  </si>
  <si>
    <t>Central New York</t>
  </si>
  <si>
    <t>Fuel Supply Deficiency (Coal)</t>
  </si>
  <si>
    <t>Southwestern Ohio and Indiana</t>
  </si>
  <si>
    <t xml:space="preserve">February  </t>
  </si>
  <si>
    <t>Indiana, Ohio</t>
  </si>
  <si>
    <t>UNK</t>
  </si>
  <si>
    <t>Philadelphia area, Pennsylvania</t>
  </si>
  <si>
    <t>Generation Inadequacy/Load Shed</t>
  </si>
  <si>
    <t>Central Arizona</t>
  </si>
  <si>
    <t>Dona Ana and El Paso Counties, Texas and Hudspeth County, New Mexico</t>
  </si>
  <si>
    <t>Texas Panhandle, Southeastern New Mexico</t>
  </si>
  <si>
    <t>Fuel Supply Deficiency (Natural Gas)</t>
  </si>
  <si>
    <t>San Diego area, California</t>
  </si>
  <si>
    <t>Bowie, Maryland</t>
  </si>
  <si>
    <t>Suspected Cyber Attack</t>
  </si>
  <si>
    <t>Western Houston, Texas</t>
  </si>
  <si>
    <t>University Place, Washington</t>
  </si>
  <si>
    <t>Cold Weather Event</t>
  </si>
  <si>
    <t>LaGrande, Washington</t>
  </si>
  <si>
    <t>Roseville, California</t>
  </si>
  <si>
    <t>Harrington, Delaware</t>
  </si>
  <si>
    <t>Southern Lower Peninsula, Michigan</t>
  </si>
  <si>
    <t>Salt Lake City, Utah</t>
  </si>
  <si>
    <t>Western New York</t>
  </si>
  <si>
    <t>Salt Lake City Region, Utah</t>
  </si>
  <si>
    <t>Suspected Physical Attack</t>
  </si>
  <si>
    <t>Humboldt and Eureka, California</t>
  </si>
  <si>
    <t>Oregon</t>
  </si>
  <si>
    <t>Baltimore, Maryland</t>
  </si>
  <si>
    <t>The Woodlands, Texas</t>
  </si>
  <si>
    <t>Deerfield, New Hampshire</t>
  </si>
  <si>
    <t>Greene County, Ohio</t>
  </si>
  <si>
    <t>Los Angeles, California</t>
  </si>
  <si>
    <t>Indiana. Kentucky, Michigan, Ohio, Tennessee, Virginia, West Virginia</t>
  </si>
  <si>
    <t>Sonoma and Central Valley, California</t>
  </si>
  <si>
    <t>Transmission Level Outage</t>
  </si>
  <si>
    <t>Central and Western Florida</t>
  </si>
  <si>
    <t>Greater Tampa Bay, Florida</t>
  </si>
  <si>
    <t>Memphis, Tennessee</t>
  </si>
  <si>
    <t>Shelby County, Tennessee</t>
  </si>
  <si>
    <t>Davidson County, Tennessee</t>
  </si>
  <si>
    <t>Southeast Arkansas, Southeast Louisiana, Western Mississippi, Eastern Texas</t>
  </si>
  <si>
    <t>Kentucky, West Virginia</t>
  </si>
  <si>
    <t>Alabama, Florida, Georgia, Mississippi</t>
  </si>
  <si>
    <t>North Carolina, South Carolina</t>
  </si>
  <si>
    <t>Felton, Delaware</t>
  </si>
  <si>
    <t>Central and Eastern North Carolina</t>
  </si>
  <si>
    <t>Graham, Washington</t>
  </si>
  <si>
    <t>Osceola, Arkansas</t>
  </si>
  <si>
    <t>Indiana, Kentucky, Ohio</t>
  </si>
  <si>
    <t>Severe Weather - High Winds</t>
  </si>
  <si>
    <t>Equipment Malfunction</t>
  </si>
  <si>
    <t>Oquirrh Substation, Salt Lake City, Utah</t>
  </si>
  <si>
    <t>Trenton, Michigan</t>
  </si>
  <si>
    <t>Metro St. Louis area, Missouri</t>
  </si>
  <si>
    <t>Northeast Tennessee</t>
  </si>
  <si>
    <t>Arkansas, Louisiana, Mississippi</t>
  </si>
  <si>
    <t>Alabama, Georgia, Mississippi, Tennessee</t>
  </si>
  <si>
    <t>Eastern Arkansas</t>
  </si>
  <si>
    <t>Ohio, Tennessee, Virginia</t>
  </si>
  <si>
    <t>Cleveland area, Ohio</t>
  </si>
  <si>
    <t>Hawaii</t>
  </si>
  <si>
    <t>West River Substation, New Haven, Connecticut</t>
  </si>
  <si>
    <t>N. Ogden Substation, Ogden, Utah</t>
  </si>
  <si>
    <t>St. Lawrence Power Dam, New York</t>
  </si>
  <si>
    <t>Suspected Sabotage</t>
  </si>
  <si>
    <t>Alderwood Substation, Portland, Oregon</t>
  </si>
  <si>
    <t>Milton, New Hampshire</t>
  </si>
  <si>
    <t>Holtwood, Pennsylvania</t>
  </si>
  <si>
    <t>Upper Peninsula, Michigan</t>
  </si>
  <si>
    <t>Generation Inadequacy; Load Shed; Electrical System Separation (Islanding)</t>
  </si>
  <si>
    <t>Colbyville, Haines Road and Arrowhead Substations, Minnesota</t>
  </si>
  <si>
    <t>Green River, Wyoming</t>
  </si>
  <si>
    <t>North Chelsea Substation, New York</t>
  </si>
  <si>
    <t>Charlotte, North Carolina</t>
  </si>
  <si>
    <t>Salt Lake, Utah</t>
  </si>
  <si>
    <t>Dixie Valley Area, Nevada</t>
  </si>
  <si>
    <t>Physical Attack</t>
  </si>
  <si>
    <t>Joplin, Sarcoxie, and Wentworth, Missouri</t>
  </si>
  <si>
    <t>Central, Indiana</t>
  </si>
  <si>
    <t>St. Louis County, Missouri</t>
  </si>
  <si>
    <t>Central Oklahoma</t>
  </si>
  <si>
    <t>Eastern Virginia</t>
  </si>
  <si>
    <t>Central Indiana</t>
  </si>
  <si>
    <t>Central Pennsylvania</t>
  </si>
  <si>
    <t>Southern Balancing Area, Georgia</t>
  </si>
  <si>
    <t>Greenwood, Mississippi</t>
  </si>
  <si>
    <t>Transmission Level Interruption</t>
  </si>
  <si>
    <t>Mid and Southern Lower Peninsula, Michigan</t>
  </si>
  <si>
    <t>Greater Columbia, South Carolina</t>
  </si>
  <si>
    <t>Midway, California</t>
  </si>
  <si>
    <t>Houston Metro-Area, Texas</t>
  </si>
  <si>
    <t>Melones, California</t>
  </si>
  <si>
    <t>El Paso County, Texas; Dona Ana County, New Mexico</t>
  </si>
  <si>
    <t>Load Shed/ Automatic undervoltage relay action</t>
  </si>
  <si>
    <t>Eastern, Arkansas</t>
  </si>
  <si>
    <t>Public Appeal to Reduce Electricity Usage</t>
  </si>
  <si>
    <t>Fredrickson Substation, Washington</t>
  </si>
  <si>
    <t>San Antonio Dam Area, Los Angeles County, California</t>
  </si>
  <si>
    <t>Western, Massachusetts; Connecticut</t>
  </si>
  <si>
    <t>Bingham County, Idaho</t>
  </si>
  <si>
    <t>Northern, Georgia</t>
  </si>
  <si>
    <t>North Carolina; South Carolina</t>
  </si>
  <si>
    <t>Collins Substation, Washington</t>
  </si>
  <si>
    <t>AEP Region</t>
  </si>
  <si>
    <t>Knoxville, Tennessee</t>
  </si>
  <si>
    <t>Alabama; Georgia</t>
  </si>
  <si>
    <t>Knoble Substation, Spanaway, Washington</t>
  </si>
  <si>
    <t>Highgate, Vermont</t>
  </si>
  <si>
    <t>North/North Central Alabama; Georgia</t>
  </si>
  <si>
    <t>Southwest Kansas</t>
  </si>
  <si>
    <t>Illinois; Missouri</t>
  </si>
  <si>
    <t>Olympic Pipeline Substation, Washington</t>
  </si>
  <si>
    <t>Panhandle and Muleshoe, Texas</t>
  </si>
  <si>
    <t>Major System Interruption/Load Shed</t>
  </si>
  <si>
    <t>CONVEX Local Control Center, Connecticut</t>
  </si>
  <si>
    <t>Greene County Ohio</t>
  </si>
  <si>
    <t>Southwest and South Central Minnesota</t>
  </si>
  <si>
    <t>South East, Lower Peninsula, Michigan</t>
  </si>
  <si>
    <t>West Valley Substation Utah</t>
  </si>
  <si>
    <t>Vermont</t>
  </si>
  <si>
    <t>Saginaw, Minnesota</t>
  </si>
  <si>
    <t>PJM Corporate Office, Pennsylvania</t>
  </si>
  <si>
    <t>Western and Southern Lower Peninsula Michigan</t>
  </si>
  <si>
    <t>Indiana, Michigan, Ohio</t>
  </si>
  <si>
    <t>Pueblo, Colorado</t>
  </si>
  <si>
    <t>Frederickson Substation, Washington</t>
  </si>
  <si>
    <t>Lower Peninsula, Michigan</t>
  </si>
  <si>
    <t>Springfield, Illinois</t>
  </si>
  <si>
    <t>Upstate, New York</t>
  </si>
  <si>
    <t>Southern, New Hampshire</t>
  </si>
  <si>
    <t>Backup Control Center, Oklahoma</t>
  </si>
  <si>
    <t>Fife, Washington</t>
  </si>
  <si>
    <t>Daviess County, Kentucky</t>
  </si>
  <si>
    <t>Entire ComEd Territory, Indiana</t>
  </si>
  <si>
    <t xml:space="preserve">Indiana  </t>
  </si>
  <si>
    <t>Spanaway, Washington</t>
  </si>
  <si>
    <t>Fredrickson, Washington</t>
  </si>
  <si>
    <t>Jefferson, Oregon</t>
  </si>
  <si>
    <t>Northeast, Illinois</t>
  </si>
  <si>
    <t>Central Arkansas</t>
  </si>
  <si>
    <t>Northeast Oklahoma</t>
  </si>
  <si>
    <t>Arkansas, Oklahoma, Texas</t>
  </si>
  <si>
    <t>Northern and Central Oklahoma</t>
  </si>
  <si>
    <t>Polk Substation, Tacoma, Washington</t>
  </si>
  <si>
    <t>Kentucky</t>
  </si>
  <si>
    <t>Puerto Rico</t>
  </si>
  <si>
    <t>Southeastern New Mexico,  Texas Panhandle</t>
  </si>
  <si>
    <t>Houston area, Texas</t>
  </si>
  <si>
    <t>Arkansas, Louisiana, Texas</t>
  </si>
  <si>
    <t>District of Columbia; Maryland</t>
  </si>
  <si>
    <t>Southern New Jersey</t>
  </si>
  <si>
    <t>Delaware; Maryland</t>
  </si>
  <si>
    <t>North Carolina; Virginia</t>
  </si>
  <si>
    <t>Wilson County North Carolina</t>
  </si>
  <si>
    <t>Distribution System Interruption</t>
  </si>
  <si>
    <t>Eastern Massachusetts</t>
  </si>
  <si>
    <t>Southwest Connecticut</t>
  </si>
  <si>
    <t>Borough's and Westshester County New York</t>
  </si>
  <si>
    <t>Long Island, New York</t>
  </si>
  <si>
    <t>Mid-Hudson, New York</t>
  </si>
  <si>
    <t>Eastern and Northeastern Pennsylvania</t>
  </si>
  <si>
    <t>Northern and Central New Jersey</t>
  </si>
  <si>
    <t>New Jersey</t>
  </si>
  <si>
    <t>Calapooya Substation, Oregon</t>
  </si>
  <si>
    <t>Graham Substaion, Washington</t>
  </si>
  <si>
    <t>Southeast Lower Peninsula, Michigan</t>
  </si>
  <si>
    <t>Western Connecticut; New York</t>
  </si>
  <si>
    <t>Actual Physical Attack</t>
  </si>
  <si>
    <t>Arizona; California</t>
  </si>
  <si>
    <t>Transmission/Distribution Interruption; Load Shed; Generation Inadequacy</t>
  </si>
  <si>
    <t>Collins Substation, Tacoma, Washington</t>
  </si>
  <si>
    <t>English Creek, New Jersey</t>
  </si>
  <si>
    <t>Lacamas Substation, Roy, Washington</t>
  </si>
  <si>
    <t>Saranac, New York</t>
  </si>
  <si>
    <t>Salt Lake County, Utah</t>
  </si>
  <si>
    <t>Lacamas Substaion, Washington</t>
  </si>
  <si>
    <t>Generation Inadequacy; Load Shed</t>
  </si>
  <si>
    <t>Montgomery County, Ohio</t>
  </si>
  <si>
    <t>North Haven, Connecticut</t>
  </si>
  <si>
    <t>McKee City, New Jersey</t>
  </si>
  <si>
    <t>Houston metro area, Texas</t>
  </si>
  <si>
    <t>Watertown, Connecticut</t>
  </si>
  <si>
    <t>Dorothy, New Jersey</t>
  </si>
  <si>
    <t>Bethany Beach, Delaware</t>
  </si>
  <si>
    <t>Wilmington, Delaware</t>
  </si>
  <si>
    <t>Oquirrh Substation, Utah</t>
  </si>
  <si>
    <t>Olympic Pipeline, Spanaway, Washington</t>
  </si>
  <si>
    <t>Seat Pleasant, Maryland</t>
  </si>
  <si>
    <t>Holmesburg Substation, Philadelphia, Pennsylvania</t>
  </si>
  <si>
    <t>McKee, New Jersey</t>
  </si>
  <si>
    <t>Denver; Ft. Collins, Colorado</t>
  </si>
  <si>
    <t>Munster, Indiana</t>
  </si>
  <si>
    <t>Northwest and Central New Jersey</t>
  </si>
  <si>
    <t>Southeast New York</t>
  </si>
  <si>
    <t>Harrisburg, Lehigh Valley, Lancaster Region Pennsylvania</t>
  </si>
  <si>
    <t>Southeast Pennsylvania</t>
  </si>
  <si>
    <t>Mid-Hudson Valley Region, New York</t>
  </si>
  <si>
    <t>Connecticut; Maine; Massachusetts; New Hampshire; Rhode Island</t>
  </si>
  <si>
    <t>New York City area</t>
  </si>
  <si>
    <t>New Jersey; New York</t>
  </si>
  <si>
    <t>NPCC, RFC</t>
  </si>
  <si>
    <t>Sweetwater County, Wyoming</t>
  </si>
  <si>
    <t>Cate Road, Deerfield, New Hampshire</t>
  </si>
  <si>
    <t>Orchard Substation, Washington</t>
  </si>
  <si>
    <t>Wasatch Front Area Utah</t>
  </si>
  <si>
    <t>Rusk County Texas</t>
  </si>
  <si>
    <t>Tacoma, Washington</t>
  </si>
  <si>
    <t>Bismarck-Mandan, North Dakota</t>
  </si>
  <si>
    <t>Montague, Michigan</t>
  </si>
  <si>
    <t>Clinton County Ohio</t>
  </si>
  <si>
    <t>Croft Substation, Tacoma, Washington</t>
  </si>
  <si>
    <t>Sweet Home, Oregon</t>
  </si>
  <si>
    <t>Boise, Idaho</t>
  </si>
  <si>
    <r>
      <rPr>
        <vertAlign val="superscript"/>
        <sz val="7"/>
        <rFont val="Times New Roman"/>
        <family val="1"/>
      </rPr>
      <t xml:space="preserve">1 </t>
    </r>
    <r>
      <rPr>
        <sz val="7"/>
        <rFont val="Times New Roman"/>
        <family val="1"/>
      </rPr>
      <t>Source: Submissions of all Electric Emergency Incident and Disturbance Reports (OE-417), http://www.oe.netl.doe.gov/oe417.aspx</t>
    </r>
  </si>
  <si>
    <r>
      <t>OE-417 Electric Emergency and Disturbance (OE-417) Events, 2012</t>
    </r>
    <r>
      <rPr>
        <b/>
        <vertAlign val="superscript"/>
        <sz val="11"/>
        <rFont val="Times New Roman"/>
        <family val="1"/>
      </rPr>
      <t>1</t>
    </r>
  </si>
  <si>
    <t>Suspected physical attack</t>
  </si>
  <si>
    <t>CSWS/AEP West territory, Oklahoma</t>
  </si>
  <si>
    <t>Sabotage</t>
  </si>
  <si>
    <t>Creek County, Oklahoma</t>
  </si>
  <si>
    <t>Rusk County, Texas</t>
  </si>
  <si>
    <t>Nevada</t>
  </si>
  <si>
    <t>Austin, Texas</t>
  </si>
  <si>
    <t>King, Pierce and Thurston Counties, Washington</t>
  </si>
  <si>
    <t>Severe Weather - Winter Storm</t>
  </si>
  <si>
    <t>Frederickson Substation, Spanaway, Washington</t>
  </si>
  <si>
    <t>Roosevelt Substation, Tacoma, Washington</t>
  </si>
  <si>
    <t>Lamar, Colorado</t>
  </si>
  <si>
    <t>Asheville, North Carolina</t>
  </si>
  <si>
    <t>Port Orchard, Washington</t>
  </si>
  <si>
    <t>Little Rock, Arkansas</t>
  </si>
  <si>
    <t>Kentucky, Virginia, West Virginia</t>
  </si>
  <si>
    <t>South East College Station, Texas</t>
  </si>
  <si>
    <t>Londonderry, New Hampshire</t>
  </si>
  <si>
    <t>Sacramento, California</t>
  </si>
  <si>
    <t>Coos County Oregon</t>
  </si>
  <si>
    <t>Northern Alabama; Southeast Tennessee</t>
  </si>
  <si>
    <t xml:space="preserve">Severe Weather - Tornadoes </t>
  </si>
  <si>
    <t>Piggott, Arkansas</t>
  </si>
  <si>
    <t>Operational Failure/Equipment Malfunction</t>
  </si>
  <si>
    <t>Southeastern, Michigan</t>
  </si>
  <si>
    <t>Prince Georges County, Maryland</t>
  </si>
  <si>
    <t>New Castle, Delaware</t>
  </si>
  <si>
    <t>Severe Weather - Thunderstorms</t>
  </si>
  <si>
    <t>Lansing, Michigan</t>
  </si>
  <si>
    <t>Council Bluffs, Iowa</t>
  </si>
  <si>
    <t>West Rutland, Vermont</t>
  </si>
  <si>
    <t>Seattle, Washington</t>
  </si>
  <si>
    <t>WAPA-SNR Regional Office, California</t>
  </si>
  <si>
    <t xml:space="preserve">North Attleboro, Massachusetts </t>
  </si>
  <si>
    <t>Southeast, Michigan</t>
  </si>
  <si>
    <t>Metropolitan Houston, Texas</t>
  </si>
  <si>
    <t>East Bridgewater, Massachusetts</t>
  </si>
  <si>
    <t>April Continued</t>
  </si>
  <si>
    <t>Williston, Vermont</t>
  </si>
  <si>
    <t>Eastern Ohio</t>
  </si>
  <si>
    <t>Load Shed/Severe Weather  - Lightning Storm</t>
  </si>
  <si>
    <t>Lakewood, Washington</t>
  </si>
  <si>
    <t>Tyngsborough, Massachusetts</t>
  </si>
  <si>
    <t>Alder Dam, Pierce County, Washington</t>
  </si>
  <si>
    <t>Oklahoma City Metro Area, Oklahoma</t>
  </si>
  <si>
    <t>Columbus, Ohio</t>
  </si>
  <si>
    <t>Delhi, New York</t>
  </si>
  <si>
    <t>Columbia Heights, NW, Washington DC</t>
  </si>
  <si>
    <t>Denver Metro Area, Colorado</t>
  </si>
  <si>
    <t>North/Central Alabama; North/Central Georgia</t>
  </si>
  <si>
    <t>San Juan County, New Mexico</t>
  </si>
  <si>
    <t>Minneapolis/St. Paul, Minnesota</t>
  </si>
  <si>
    <t>CAISO Territory California</t>
  </si>
  <si>
    <t>Fuel Supply Deficiency (Water)</t>
  </si>
  <si>
    <t>North Shore, Massachusetts</t>
  </si>
  <si>
    <t>Severe Weather - Wind &amp; Rain</t>
  </si>
  <si>
    <t>Equipment Trip &amp; Failure</t>
  </si>
  <si>
    <t>Dayton, Ohio</t>
  </si>
  <si>
    <t>Indiana; Michigan; Ohio; West Virginia</t>
  </si>
  <si>
    <t>June Continued</t>
  </si>
  <si>
    <t>Eastern Indiana; Northern Kentucky; Greater Cincinnati area Ohio</t>
  </si>
  <si>
    <t>West Virginia</t>
  </si>
  <si>
    <t>Maryland; West Virginia</t>
  </si>
  <si>
    <t>Montgomery and Prince Georges Counties, Maryland; District of Columbia</t>
  </si>
  <si>
    <t>Greater Baltimore area, Maryland</t>
  </si>
  <si>
    <t>Northeast Illinois</t>
  </si>
  <si>
    <t>Atlantic City Electric Service Territory New Jersey</t>
  </si>
  <si>
    <t>Calvert, Charles, St. Mary's, Prince Georges Counties Maryland</t>
  </si>
  <si>
    <t>Tarboro, North Carolina</t>
  </si>
  <si>
    <t>Operational Failure; Storm Damage</t>
  </si>
  <si>
    <t>Northern, Central and Eastern North Carolina</t>
  </si>
  <si>
    <t xml:space="preserve">Severe Weather  </t>
  </si>
  <si>
    <t>Lower Peninsula Michigan</t>
  </si>
  <si>
    <t>Severe Weather - Wind &amp; Storms</t>
  </si>
  <si>
    <t>CAISO California</t>
  </si>
  <si>
    <t>Lower Valley, Central, Susquehanna Regions Pennsylvania</t>
  </si>
  <si>
    <t>Central and Northern New Jersey</t>
  </si>
  <si>
    <t>Alberta, Canada</t>
  </si>
  <si>
    <t>Energy Deficiency Alert</t>
  </si>
  <si>
    <t>Public Appeal to Reduce Energy Usage</t>
  </si>
  <si>
    <t>Southeast Ohio, Northern Kentucky, Southern Indiana</t>
  </si>
  <si>
    <t>July Continued</t>
  </si>
  <si>
    <t>Niagara County, New York</t>
  </si>
  <si>
    <t>City of Lubbock, Texas</t>
  </si>
  <si>
    <t>Severe Weather; Equipment Failure</t>
  </si>
  <si>
    <t>Northern Indiana</t>
  </si>
  <si>
    <t>North/Central Pennsylvania</t>
  </si>
  <si>
    <t>Oklahoma, Arkansas</t>
  </si>
  <si>
    <t>Temblor Substation in McKittrick, California</t>
  </si>
  <si>
    <t>CFE (Mexico &amp; U.S.)</t>
  </si>
  <si>
    <t>Severe Weather - Dust Storm; Load Shed Event</t>
  </si>
  <si>
    <t>Severe Weather - TS Isaac</t>
  </si>
  <si>
    <t>Severe Weather - Hurricane Isaac</t>
  </si>
  <si>
    <t>Oroville, California</t>
  </si>
  <si>
    <t xml:space="preserve">UNK </t>
  </si>
  <si>
    <t>September Continued</t>
  </si>
  <si>
    <t>Prince George's County, Montgomery County Maryland; D.C.</t>
  </si>
  <si>
    <t>Brighton, Maryland</t>
  </si>
  <si>
    <t>Greater Sacramento, California</t>
  </si>
  <si>
    <t>Vandalsim</t>
  </si>
  <si>
    <t>Southeast Vermont</t>
  </si>
  <si>
    <t>Vandalism; Theft</t>
  </si>
  <si>
    <t>Norbeck, Maryland</t>
  </si>
  <si>
    <t>Physical Attack; Vandalism</t>
  </si>
  <si>
    <t>Kingswood, Maryland</t>
  </si>
  <si>
    <t>Frankford, Delaware</t>
  </si>
  <si>
    <t>West Lanham, Maryland</t>
  </si>
  <si>
    <t>Severe Weather - Hurricane Sandy</t>
  </si>
  <si>
    <t>Delaware, Maryland</t>
  </si>
  <si>
    <t>Boston, Southeast Massachusetts</t>
  </si>
  <si>
    <t>October Continued</t>
  </si>
  <si>
    <t>Las Vegas, Nevada</t>
  </si>
  <si>
    <t>Connecticut, Western Massachusetts</t>
  </si>
  <si>
    <t>Greater Cleveland Ohio</t>
  </si>
  <si>
    <t>Greater New York City, New York</t>
  </si>
  <si>
    <t>Greater Baltimore Maryland</t>
  </si>
  <si>
    <t>Greater Philadelphia Pennsylvania</t>
  </si>
  <si>
    <t>Southeast New York; New Jersey</t>
  </si>
  <si>
    <t>NPCC; RFC</t>
  </si>
  <si>
    <t>NP</t>
  </si>
  <si>
    <t>Indiana; Kentucky; Michigan; Ohio</t>
  </si>
  <si>
    <t>RFC; SERC</t>
  </si>
  <si>
    <t>Severe Weather - Nor'easter</t>
  </si>
  <si>
    <t>Southeast and Seacoast Maine</t>
  </si>
  <si>
    <t>Hyattsville, Maryland</t>
  </si>
  <si>
    <t>Greater Detroit Michigan</t>
  </si>
  <si>
    <t>Fitzwilliam, New Hampshire</t>
  </si>
  <si>
    <t xml:space="preserve">Vandalism   </t>
  </si>
  <si>
    <t>Concord, Vermont</t>
  </si>
  <si>
    <t>Bishopville, Maryland</t>
  </si>
  <si>
    <t>Southeast Massachusetts</t>
  </si>
  <si>
    <t>November Continued</t>
  </si>
  <si>
    <t>Iowa; Michigan</t>
  </si>
  <si>
    <t>Comanche Peak, Texas</t>
  </si>
  <si>
    <t>Frankfort, Delaware</t>
  </si>
  <si>
    <t>Georgetown, Delaware</t>
  </si>
  <si>
    <t>Greater San Jose, California</t>
  </si>
  <si>
    <t xml:space="preserve">Arkansas; Louisiana; Mississippi; Texas </t>
  </si>
  <si>
    <t>Severe Weather - Cold Front, High Winds</t>
  </si>
  <si>
    <t>Stantonsburg, North Carolina</t>
  </si>
  <si>
    <t>Severe Weather - Thunderstorm</t>
  </si>
  <si>
    <t>North Carolina</t>
  </si>
  <si>
    <t>Transmission Interruption</t>
  </si>
  <si>
    <r>
      <t>OE-417 Electric Emergency and Disturbance (OE-417) Events, 2013</t>
    </r>
    <r>
      <rPr>
        <b/>
        <vertAlign val="superscript"/>
        <sz val="11"/>
        <rFont val="Times New Roman"/>
        <family val="1"/>
      </rPr>
      <t>1</t>
    </r>
  </si>
  <si>
    <t>Denton, Maryland</t>
  </si>
  <si>
    <t>Physcial Attack; Vandalism</t>
  </si>
  <si>
    <t>Webster County, Iowa</t>
  </si>
  <si>
    <t>Southwest Virginia, Southern West Virginia</t>
  </si>
  <si>
    <t>Elizabeth City, North Carolina</t>
  </si>
  <si>
    <t>Distribution Interruption</t>
  </si>
  <si>
    <t>Severe Weather - Wind Storm</t>
  </si>
  <si>
    <t>Tacoma Narrows Crossing, Washington</t>
  </si>
  <si>
    <t>El Paso, New Mexico</t>
  </si>
  <si>
    <t>District of Columbia; Prince George's County Maryland</t>
  </si>
  <si>
    <t>Central and eastern Massachusetts; Rhode Island</t>
  </si>
  <si>
    <t>Severe Weather - Winter Storm Nemo</t>
  </si>
  <si>
    <t>Boston area and Southeast Massachusetts</t>
  </si>
  <si>
    <t>Vandalism; Equipment Fault</t>
  </si>
  <si>
    <t>Generator Trip; Voltage Reduction</t>
  </si>
  <si>
    <t>Fort Washington, Maryland</t>
  </si>
  <si>
    <t>Fuel Supply Emergency - Petroleum</t>
  </si>
  <si>
    <t>Tuxedo, Maryland</t>
  </si>
  <si>
    <t>Prince George's County Maryland</t>
  </si>
  <si>
    <t>Stockton, California</t>
  </si>
  <si>
    <t>Las Cruces, New Mexico</t>
  </si>
  <si>
    <t>Northern Missouri</t>
  </si>
  <si>
    <t>Merced County, California</t>
  </si>
  <si>
    <t>Tacoma Park, Maryland</t>
  </si>
  <si>
    <t>Metropolitan area Puerto Rico</t>
  </si>
  <si>
    <t>Equipment Failure; Transmission System Interruption</t>
  </si>
  <si>
    <t>Northwest Virginia</t>
  </si>
  <si>
    <t>Systemwide Puerto Rico</t>
  </si>
  <si>
    <t>Generator Trip; Load Shed</t>
  </si>
  <si>
    <t>Northeast Florida</t>
  </si>
  <si>
    <t>North/Central Alabama; Georgia</t>
  </si>
  <si>
    <t>Western Massachusetts</t>
  </si>
  <si>
    <t>Vandalism - Copper Wire Theft</t>
  </si>
  <si>
    <t>Colorado Springs, Colorado</t>
  </si>
  <si>
    <t>Sabotage; Vandalism</t>
  </si>
  <si>
    <t>Delaware City, Delaware</t>
  </si>
  <si>
    <t>Loss of Part of a High Voltage Substation, Physical Attack</t>
  </si>
  <si>
    <t>Colbert Steam Plant in Cherokee, Alabama</t>
  </si>
  <si>
    <t>Southeast Michigan, Michigan</t>
  </si>
  <si>
    <t>Severe Weather - Storms and Wind</t>
  </si>
  <si>
    <t>East Tennessee</t>
  </si>
  <si>
    <t>South of Humboldt, California</t>
  </si>
  <si>
    <t>Sunol, California</t>
  </si>
  <si>
    <t xml:space="preserve">Northeast Colorado </t>
  </si>
  <si>
    <t>Alberta, Canada; Washington State</t>
  </si>
  <si>
    <t>Fuel Supply Emergency - Hydro</t>
  </si>
  <si>
    <t>Portland, Oregon</t>
  </si>
  <si>
    <t>Vandalism/Theft</t>
  </si>
  <si>
    <t>Newcastle, Delaware</t>
  </si>
  <si>
    <t>Moore, Oklahoma</t>
  </si>
  <si>
    <t>Severe Weather - Tornados</t>
  </si>
  <si>
    <t>Gonzales Area Louisiana</t>
  </si>
  <si>
    <t>Generator Trip; Load Shed 100+ MW</t>
  </si>
  <si>
    <t>System wide Puerto Rico</t>
  </si>
  <si>
    <t>Henrico County, Virginia</t>
  </si>
  <si>
    <t>Central and Eastern New York</t>
  </si>
  <si>
    <t>Maumelle, Arkansas</t>
  </si>
  <si>
    <t>Severe Weather - Lightning</t>
  </si>
  <si>
    <t>El Reno, S. Oklahoma City, Oklahoma</t>
  </si>
  <si>
    <t>Southeast Kansas, Northeast Oklahoma</t>
  </si>
  <si>
    <t>St. Louis Metro Area Missouri</t>
  </si>
  <si>
    <t>Southern Company Territory</t>
  </si>
  <si>
    <t>Loss of 300+ MW Load; Severe Weather - Thunderstorms</t>
  </si>
  <si>
    <t>Richmond Metro area, Virginia</t>
  </si>
  <si>
    <t>Western Piedmont North Carolina</t>
  </si>
  <si>
    <t>Ohio; Virginia; West Virginia</t>
  </si>
  <si>
    <t>Hillsborough County Florida</t>
  </si>
  <si>
    <t>Load Shed of 100+ MW Under Emergency Operational Policy</t>
  </si>
  <si>
    <t>Wyoming</t>
  </si>
  <si>
    <t>Richie Station (No. 123), Maryland</t>
  </si>
  <si>
    <t>Michigan, Iowa</t>
  </si>
  <si>
    <t>Pahrump Nevada</t>
  </si>
  <si>
    <t>Physical Attack; Vandalism &amp; Sabotage</t>
  </si>
  <si>
    <t>Severe Weather - Hailstorm</t>
  </si>
  <si>
    <t>New Castle Delaware</t>
  </si>
  <si>
    <t xml:space="preserve">Physical Attack; Vandalism  </t>
  </si>
  <si>
    <t>Minneapolis/St. Paul area Minnesota</t>
  </si>
  <si>
    <t>Medford Oregon</t>
  </si>
  <si>
    <t>Central Coast California</t>
  </si>
  <si>
    <t>Severe Weather - Fog</t>
  </si>
  <si>
    <t>South Eastern Michigan</t>
  </si>
  <si>
    <t>Richie Substation,Seat Pleasant, Maryland</t>
  </si>
  <si>
    <t>Los Angeles and Orange Counties, California</t>
  </si>
  <si>
    <t>Equipment Failure</t>
  </si>
  <si>
    <t>Load Shed 100+MW</t>
  </si>
  <si>
    <t>Sacramento California</t>
  </si>
  <si>
    <t>System-wide Puerto Rico</t>
  </si>
  <si>
    <t>Voltage Reduction; Line and Generator Trip</t>
  </si>
  <si>
    <t>Physical Attack; Copper Theft</t>
  </si>
  <si>
    <t>AEP Ohio Power Footprint</t>
  </si>
  <si>
    <t>Washington</t>
  </si>
  <si>
    <t>Holtsville, New York</t>
  </si>
  <si>
    <t>Fuel Supply Emergency (Natural Gas)</t>
  </si>
  <si>
    <t xml:space="preserve">Physical Attack; Vandalism   </t>
  </si>
  <si>
    <t>Public Appeal - Heatwave</t>
  </si>
  <si>
    <t>Southern Orange County California</t>
  </si>
  <si>
    <t>Polk Substation, Tacoma Washington</t>
  </si>
  <si>
    <t>Newburgh, New York</t>
  </si>
  <si>
    <t>Western British Columbia</t>
  </si>
  <si>
    <t>Electrical System Separation (Islanding</t>
  </si>
  <si>
    <t>Daytona Beach Florida</t>
  </si>
  <si>
    <t>Loss of 300+ MW Load</t>
  </si>
  <si>
    <t>Vancouver, British Columbia</t>
  </si>
  <si>
    <t>Electrical System Separation (Islanding); Severe Weather</t>
  </si>
  <si>
    <t>Holloman Air Force Base, New Mexico</t>
  </si>
  <si>
    <t>Green Bay, Wisconsin</t>
  </si>
  <si>
    <t>Fuel Supply Emergency (Natural Gas &amp; Fuel Oil)</t>
  </si>
  <si>
    <t>Arlington, Oregon</t>
  </si>
  <si>
    <t>Eastern Central Wisconsin</t>
  </si>
  <si>
    <t>Houston Service Area Texas</t>
  </si>
  <si>
    <t>Severe Weather - Lightning Strike</t>
  </si>
  <si>
    <t>Cabot, Arkansas</t>
  </si>
  <si>
    <t>Physcial Attack; Sabotage</t>
  </si>
  <si>
    <t>Gila River, Arizona</t>
  </si>
  <si>
    <t>Tacoma Washington</t>
  </si>
  <si>
    <t>Sweetwater County Wyoming</t>
  </si>
  <si>
    <t>Ashland, Wisconsin</t>
  </si>
  <si>
    <t>Joplin, Missouri</t>
  </si>
  <si>
    <t>Entire ComEd territory Illinois</t>
  </si>
  <si>
    <t>Erie, Pennsylvania</t>
  </si>
  <si>
    <t>Load Shed of 100+ MW</t>
  </si>
  <si>
    <t>Cabot Arkansas</t>
  </si>
  <si>
    <t>Jacksonville, Arkansas</t>
  </si>
  <si>
    <t>Keo, Arkansas</t>
  </si>
  <si>
    <t>Roxboro Plant, North Carolina</t>
  </si>
  <si>
    <t>Cyber Event with Potential to Cause Impact</t>
  </si>
  <si>
    <t>Location Unknown</t>
  </si>
  <si>
    <t>Severe Weather - Hail Storm</t>
  </si>
  <si>
    <t>Physical Attack - Vandalism</t>
  </si>
  <si>
    <t>King, Whatcom, and Skagit, Washington</t>
  </si>
  <si>
    <t>Severe Weather - Heavy Winds</t>
  </si>
  <si>
    <t>Connecicut</t>
  </si>
  <si>
    <t>Valle, California</t>
  </si>
  <si>
    <t>Eastern Central New Mexico</t>
  </si>
  <si>
    <t>Loss of Power from Wholesale Provider; Major Distribution Disruption</t>
  </si>
  <si>
    <t>Severe Weather - Ice and Snow Storm</t>
  </si>
  <si>
    <t>Rochelle, Indiana</t>
  </si>
  <si>
    <t>System-wide voltage reductions of 3 percent or more</t>
  </si>
  <si>
    <t>Severe Weather - Tornadoes</t>
  </si>
  <si>
    <t>Entire Lower Peninsula Michigan</t>
  </si>
  <si>
    <t>Central Missouri, Central Illinois</t>
  </si>
  <si>
    <t>North Central Indiana</t>
  </si>
  <si>
    <t>Entire ComEd Territory Illinois</t>
  </si>
  <si>
    <t>Salt Lake County Utah</t>
  </si>
  <si>
    <t>Idaho Falls Area Idaho, Utah-Idaho Border Utah</t>
  </si>
  <si>
    <t>Load Shed 100+ MW</t>
  </si>
  <si>
    <t>Saratoga, Utah</t>
  </si>
  <si>
    <t>Physical Attack - Vandalism, Theft</t>
  </si>
  <si>
    <t>Greater Houston, Texas</t>
  </si>
  <si>
    <t>Severe Weather - Ice/Snow</t>
  </si>
  <si>
    <t>Virginia Service Territory</t>
  </si>
  <si>
    <t>Fuel Supply Emergencies (Coal)</t>
  </si>
  <si>
    <t>TE</t>
  </si>
  <si>
    <t>Frontier/Genesee/Northern New York</t>
  </si>
  <si>
    <t>Southern Lower Penninsula, Michigan</t>
  </si>
  <si>
    <t>Central Maine Maine</t>
  </si>
  <si>
    <t>Gilabend Arizona</t>
  </si>
  <si>
    <t>North of Roosevelt lake Arizona</t>
  </si>
  <si>
    <r>
      <t>OE-417 Electric Emergency and Disturbance (OE-417) Events, 2014</t>
    </r>
    <r>
      <rPr>
        <b/>
        <vertAlign val="superscript"/>
        <sz val="11"/>
        <rFont val="Times New Roman"/>
        <family val="1"/>
      </rPr>
      <t>1</t>
    </r>
  </si>
  <si>
    <t>District of Columbia</t>
  </si>
  <si>
    <t>Voltage Reduction due to Severe Weather - Cold</t>
  </si>
  <si>
    <t>Delaware</t>
  </si>
  <si>
    <t>Public Appeal due to Severe Weather - Cold</t>
  </si>
  <si>
    <t>Severe Weather - Cold</t>
  </si>
  <si>
    <t>Voltage Reduction; Public Appeal due to Severe Weather - Cold</t>
  </si>
  <si>
    <t>Tennessee</t>
  </si>
  <si>
    <t>Voltage Reduction; Public Appeal; Load Shed 100+MW due to Severe Weather - Cold</t>
  </si>
  <si>
    <t>Fuel Supply Emergency - Natural Gas</t>
  </si>
  <si>
    <t>Piedmont North Carolina, Piedmont South Carolina</t>
  </si>
  <si>
    <t>Fuel Supply Emergency due to Severe Weather - Cold</t>
  </si>
  <si>
    <t>Electrical System Islanding</t>
  </si>
  <si>
    <t>Wisconsin</t>
  </si>
  <si>
    <t>Burlington County, New Jersey</t>
  </si>
  <si>
    <t>Wynoochee, Washington</t>
  </si>
  <si>
    <t>Fuel Supply Emergency - Coal</t>
  </si>
  <si>
    <t>Madison, Wisconsin</t>
  </si>
  <si>
    <t>Maryland, West Virginia</t>
  </si>
  <si>
    <t>Severe Weather - Snow/Ice</t>
  </si>
  <si>
    <t>Lancaster Region, Pennsylvania</t>
  </si>
  <si>
    <t>Severe Weather - Ice</t>
  </si>
  <si>
    <t>Rio Grande Valley Texas</t>
  </si>
  <si>
    <t>ERCOT Region Texas</t>
  </si>
  <si>
    <t>Niagara County New York</t>
  </si>
  <si>
    <t>Northern/Northeastern Georgia</t>
  </si>
  <si>
    <t>Bend, Oregon</t>
  </si>
  <si>
    <t>Missouri, Illinois</t>
  </si>
  <si>
    <t>Severe Weather - Thunderstorms/High Winds</t>
  </si>
  <si>
    <t>Mid-Columbia River Generation, Washington</t>
  </si>
  <si>
    <t>Weston, Wisconsin</t>
  </si>
  <si>
    <t>Triad, North Carolina</t>
  </si>
  <si>
    <t>Boone County, Iowa</t>
  </si>
  <si>
    <t>Glendale, Arizona</t>
  </si>
  <si>
    <t>Physical Attack - Sabatoge</t>
  </si>
  <si>
    <t>Iowa</t>
  </si>
  <si>
    <t>Montana</t>
  </si>
  <si>
    <t>Severe Weather - Wind</t>
  </si>
  <si>
    <t>Davis, California</t>
  </si>
  <si>
    <t>Western and Central Michigan</t>
  </si>
  <si>
    <t>Baton Rouge, Louisiana</t>
  </si>
  <si>
    <t>Load shedding of 100 Megawatts</t>
  </si>
  <si>
    <t>Albany, Oregon</t>
  </si>
  <si>
    <t>Mississippi, Alabama</t>
  </si>
  <si>
    <t>Northeastern Mississippi, Northern Alabama</t>
  </si>
  <si>
    <t>Alabama, Florida, Georgia</t>
  </si>
  <si>
    <t>Imperial Valley, California</t>
  </si>
  <si>
    <t>Mississippi</t>
  </si>
  <si>
    <t>MISO North, Minnesota</t>
  </si>
  <si>
    <t>Layton, Utah</t>
  </si>
  <si>
    <t>San Diego &amp; Orange Counties, California</t>
  </si>
  <si>
    <t>Public Appeal to Reduce Electricity Usage - Wild Fires</t>
  </si>
  <si>
    <t>Whiting, Indiana</t>
  </si>
  <si>
    <t>Duchesne County, Utah</t>
  </si>
  <si>
    <t>British Columbia &amp; Alberta, Canada</t>
  </si>
  <si>
    <t>West Tennessee</t>
  </si>
  <si>
    <t>North and Central , Alabama</t>
  </si>
  <si>
    <t>Nogales, Arizona</t>
  </si>
  <si>
    <t>Southern Mississippi</t>
  </si>
  <si>
    <t>Somervell County, Texas</t>
  </si>
  <si>
    <t>Central Minnesota</t>
  </si>
  <si>
    <t>Nashville, Tennessee</t>
  </si>
  <si>
    <t>Southeast  Wisconsin</t>
  </si>
  <si>
    <t>Vermont, New Hampshire, Maine, Rhode Island, Massachusetts, Connecticut</t>
  </si>
  <si>
    <t>Central and Northeastern Pennsylvania</t>
  </si>
  <si>
    <t>Arkansas, Louisiana</t>
  </si>
  <si>
    <t>Uncontrolled Loss of 300 Megawatts</t>
  </si>
  <si>
    <t>City of Highland, Illinois</t>
  </si>
  <si>
    <t>Operational Failure of Electrical System</t>
  </si>
  <si>
    <t>North of San Francisco, California</t>
  </si>
  <si>
    <t>Luzerne County, Pennsylvania</t>
  </si>
  <si>
    <t>Suspected Physical Attack - Suspcious Activity</t>
  </si>
  <si>
    <t>Estacada, Oregon</t>
  </si>
  <si>
    <t>Northeast Minnesota</t>
  </si>
  <si>
    <t>Physical Attack - Suspcious Activity</t>
  </si>
  <si>
    <t>Cave Junction, Oregon</t>
  </si>
  <si>
    <t>Suspected Physical Attack - Vandalism</t>
  </si>
  <si>
    <t>Public Appeal to Reduce Electricity Usage; Load Shed of 100 MW</t>
  </si>
  <si>
    <t>Garden City, Kansas</t>
  </si>
  <si>
    <t>Manitoba</t>
  </si>
  <si>
    <t>Howard County, Texas</t>
  </si>
  <si>
    <t>Carmel, Indiana</t>
  </si>
  <si>
    <t>New Hampshire, Maine, Massachusetts, Rhode Island, Connecticut, Vermont</t>
  </si>
  <si>
    <t xml:space="preserve">Enfield, Connecticut </t>
  </si>
  <si>
    <t>Greater Portland and Salem, Oregon</t>
  </si>
  <si>
    <t>King County, Thurston County and Kitsap County,  Washington</t>
  </si>
  <si>
    <t>Massachusetts, Maine, Vermont, New Hampshire, Rhode Island, Connecticut</t>
  </si>
  <si>
    <t>Howard County,Texas</t>
  </si>
  <si>
    <t>Victorville, California</t>
  </si>
  <si>
    <t>Twin Falls, Idaho</t>
  </si>
  <si>
    <t>Sand Springs - Fort Rock, Oregon</t>
  </si>
  <si>
    <t>Nebraska, Kansas, Texas, Arkansas, Louisiana, New Mexico</t>
  </si>
  <si>
    <t>New Hampshire, Massachusetts, Maine, Rhode Island, Connecticut, Vermont</t>
  </si>
  <si>
    <t>Fayetteville, North Carolina</t>
  </si>
  <si>
    <t>Severe Weather- High Winds</t>
  </si>
  <si>
    <t>Distribution Interruption - Unknown Cause</t>
  </si>
  <si>
    <t>Kitsap, Thurston, Whatcom counties Washington</t>
  </si>
  <si>
    <r>
      <rPr>
        <vertAlign val="superscript"/>
        <sz val="7"/>
        <rFont val="Times New Roman"/>
        <family val="1"/>
      </rPr>
      <t xml:space="preserve">2 </t>
    </r>
    <r>
      <rPr>
        <sz val="7"/>
        <rFont val="Times New Roman"/>
        <family val="1"/>
      </rPr>
      <t>This event was incorrectly listed as occuring in April 2014 in previous postings. It has been corrected in this release.</t>
    </r>
  </si>
  <si>
    <t>OE-417 Electric Emergency and Disturbance Report - Calendar Year 2015</t>
  </si>
  <si>
    <t>Month</t>
  </si>
  <si>
    <t>Alert Criteria</t>
  </si>
  <si>
    <t>Public appeal to reduce the use of electricity</t>
  </si>
  <si>
    <t>Severe Weather - Winter</t>
  </si>
  <si>
    <t>Tennessee, Kentucky, Virginia, North Carolina, Georgia, Alabama, Missouri</t>
  </si>
  <si>
    <t>Kountze, Texas</t>
  </si>
  <si>
    <t>Weber County, Utah</t>
  </si>
  <si>
    <t>Conroe, Texas</t>
  </si>
  <si>
    <t>Vollmers, California</t>
  </si>
  <si>
    <t>Cameron, Arizona</t>
  </si>
  <si>
    <t>Dunismuir, California</t>
  </si>
  <si>
    <t>Loss of electric service to more than 50,000 customers for 1 hour or more</t>
  </si>
  <si>
    <t>Northern/North Eastern, Georgia</t>
  </si>
  <si>
    <t>Prescott Valley, Arizona</t>
  </si>
  <si>
    <t>Winslow, Arizona</t>
  </si>
  <si>
    <t>Fentress County, Tennessee</t>
  </si>
  <si>
    <t xml:space="preserve">North Carolina </t>
  </si>
  <si>
    <t>Johnson City , Tennessee</t>
  </si>
  <si>
    <t>Greater Portland &amp; Salem , Oregon</t>
  </si>
  <si>
    <t>Winona , Minnesota</t>
  </si>
  <si>
    <t>Contra Costa County, California</t>
  </si>
  <si>
    <t>Electrical System Separation (Islanding) where part or parts of a power grid remain(s) operational</t>
  </si>
  <si>
    <t>System Operations</t>
  </si>
  <si>
    <t>San Juan County, Utah</t>
  </si>
  <si>
    <t>Harvey, Reno, and Sedgwick Counties, Kansas</t>
  </si>
  <si>
    <t>Butte County, California</t>
  </si>
  <si>
    <t xml:space="preserve">Unknown </t>
  </si>
  <si>
    <t>Uncontrolled loss of 300 Megawatts or more of firm system loads for more than 15 minutes from a single incident</t>
  </si>
  <si>
    <t xml:space="preserve">Canada </t>
  </si>
  <si>
    <t>Dallas, Fort Worth, Texas</t>
  </si>
  <si>
    <t>Louisiana and Texas</t>
  </si>
  <si>
    <t>Franklin County, Tennessee</t>
  </si>
  <si>
    <t>Shasta County, California</t>
  </si>
  <si>
    <t>Coahoma County, Mississippi</t>
  </si>
  <si>
    <t>Fort Bend County, &amp; Harris County ,Texas</t>
  </si>
  <si>
    <t>Texas, Louisiana, Arkansas</t>
  </si>
  <si>
    <t>Texas, Louisiana, Arkansas, Mississippi</t>
  </si>
  <si>
    <t>Uncontrolled loss of 300 Megawatts or more of firm system loads for more than 15 minutes from a single incident
System-wide voltage reductions of 3 percent or more</t>
  </si>
  <si>
    <t>Fuel supply emergencies that could impact electric power system adequacy or reliability</t>
  </si>
  <si>
    <t>Solano County, California</t>
  </si>
  <si>
    <t>Gloucester County, Burlington County, Atlantic County, Cape May County, New Jersey</t>
  </si>
  <si>
    <t>New Castle County, Delaware</t>
  </si>
  <si>
    <t>Delaware County, PA; Chester County, PA</t>
  </si>
  <si>
    <t>Connecticut, Maine, Massachusetts, New Hampshire, Rhode Island, Vermont</t>
  </si>
  <si>
    <t>Load shedding of 100 Megawatts or more implemented under emergency operational policy
Loss of electric service to more than 50,000 customers for 1 hour or more</t>
  </si>
  <si>
    <t>Kansas</t>
  </si>
  <si>
    <t>Wayne County, Michigan</t>
  </si>
  <si>
    <t xml:space="preserve">Suspicious Activity </t>
  </si>
  <si>
    <t>Ohio, Kentucky</t>
  </si>
  <si>
    <t>Load shedding of 100 Megawatts or more implemented under emergency operational policy</t>
  </si>
  <si>
    <t>Henepin and Ramsey County, Minnesota</t>
  </si>
  <si>
    <t xml:space="preserve">Michigan: Emmet County; Grand Traverse County; Leelanau County; Kalkaska County; Benzie County; Manistee County; Wexford County; Missaukee County; Mecosta County; </t>
  </si>
  <si>
    <t>Arizona: New Mexico</t>
  </si>
  <si>
    <t>Massachusetts: Rhode Island:</t>
  </si>
  <si>
    <t>Texas: Houston;</t>
  </si>
  <si>
    <t>Texas: Williamson County;</t>
  </si>
  <si>
    <t>Other</t>
  </si>
  <si>
    <t>Uncontrolled loss of 300 Megawatts or more of firm system loads for more than 15 minutes from a single incident / Loss of electric service to more than 50,000 customers for 1 hour or more</t>
  </si>
  <si>
    <t>King County, Skagit County, Whatcom County, Kitsap County, Pierce County, Thurston County, Island County, Washington</t>
  </si>
  <si>
    <t>Washington: King County;</t>
  </si>
  <si>
    <t>New York: Dutchess County;</t>
  </si>
  <si>
    <t>Utah: Emery County;</t>
  </si>
  <si>
    <t xml:space="preserve">Utah </t>
  </si>
  <si>
    <t>California: Central Coast area;</t>
  </si>
  <si>
    <t>Electrical System Separation (Islanding) where part or parts of power grid remain(s) operational / Load shedding of 100 Megawatts or more implemented under emergency operational policy / System-wide voltage reductions of 3 percent of more / Loss of electric service to more than 50,000 customers for 1 hour or more</t>
  </si>
  <si>
    <t>Pennsylvania: Columbia County; Montour County; Northumberland County;</t>
  </si>
  <si>
    <t>Oregon: Josephine County;</t>
  </si>
  <si>
    <t>Texas: Harris County;</t>
  </si>
  <si>
    <t>Ohio: Hamilton County;</t>
  </si>
  <si>
    <t>Arkansas: Hot Spring County;</t>
  </si>
  <si>
    <t>Indiana: Dearborn County;</t>
  </si>
  <si>
    <t>Washington: Snohomish County;</t>
  </si>
  <si>
    <t>Washington: Stevens County, Lincoln County, Adams County, Whitman County, Spokane County; Idaho: Bonner County, Kootenai County, Shoshone County, Benewah County, Idaho County;</t>
  </si>
  <si>
    <t>Kansas: Thomas County;</t>
  </si>
  <si>
    <t>New York: Orange County, Sullivan County; Pennsylvania: Pike County;</t>
  </si>
  <si>
    <t>Nevada: Clark County;</t>
  </si>
  <si>
    <t>Missouri: New Madrid County;</t>
  </si>
  <si>
    <t>California: Stanislaus County;</t>
  </si>
  <si>
    <t>California: Plumas County</t>
  </si>
  <si>
    <t>California: Northern;</t>
  </si>
  <si>
    <t>Michigan: Antrim County, Charlevoix County, Manistee County, Mecosta County, Kalkaska County, Grand Traverse County, Osceola County, Lake County, Newaygo County, Clare County, Isabella County;</t>
  </si>
  <si>
    <t>Texas: Oklahoma:</t>
  </si>
  <si>
    <t>Oklahoma: Blaine County;</t>
  </si>
  <si>
    <t>OE-417 Electric Emergency and Disturbance Report - Calendar Year 2016</t>
  </si>
  <si>
    <t>Wisconsin: Milwaukee County;</t>
  </si>
  <si>
    <t>Maine: Connecticut: Massachusetts: Vermont: New Hampshire: Rhode Island:</t>
  </si>
  <si>
    <t>Weather</t>
  </si>
  <si>
    <t>Pennsylvania: Chester County;</t>
  </si>
  <si>
    <t>Delaware:</t>
  </si>
  <si>
    <t>Utah: Salt Lake County;</t>
  </si>
  <si>
    <t>North Carolina: South Carolina:</t>
  </si>
  <si>
    <t>New Jersey:</t>
  </si>
  <si>
    <t>Connecticut: Massachusetts: Rhode Island:</t>
  </si>
  <si>
    <t>New York: Orange County</t>
  </si>
  <si>
    <t>Cyber Attack</t>
  </si>
  <si>
    <t>Oregon: Klamath County</t>
  </si>
  <si>
    <t>Utah: Salt Lake County</t>
  </si>
  <si>
    <t>Electrical System Separation (Islanding) where part or parts of a power grid remain(s) operational in an otherwise blacked out area or within the partial failure of an integrated electrical system</t>
  </si>
  <si>
    <t>Islanding</t>
  </si>
  <si>
    <t>Virginia: Roanoke County, Montgomery County; West Virginia: Kanawha County, Cabell County; Tennessee: Sullivan County;</t>
  </si>
  <si>
    <t>North Carolina: South Carolina</t>
  </si>
  <si>
    <t>Connecticut: Maine: Massachusetts: Rhode Island: Vermont:</t>
  </si>
  <si>
    <t>Arizona: Maricopa County</t>
  </si>
  <si>
    <t>Sabotage - Operator Action(s)</t>
  </si>
  <si>
    <t>California: San Bernardino County</t>
  </si>
  <si>
    <t>Idaho: Ada County;</t>
  </si>
  <si>
    <t>Washington: King County, Whatcom County, Kitsap County, Skagit County;</t>
  </si>
  <si>
    <t>California: San Bernardino County;</t>
  </si>
  <si>
    <t>Idaho: Bannock County;</t>
  </si>
  <si>
    <t>Washington: Kitsap County, King County, Whatcom County, Island County, Skagit County;</t>
  </si>
  <si>
    <t>Washington: Island County, Skagit County, Whatcom County, King County, Kitsap County, Pierce County, Thurston County;</t>
  </si>
  <si>
    <t>Washington:</t>
  </si>
  <si>
    <t>Colorado: Denver, City and County of[12];</t>
  </si>
  <si>
    <t>Massachusetts: Middlesex County[13];</t>
  </si>
  <si>
    <t>Florida: Hillsborough County</t>
  </si>
  <si>
    <t>Washington: Pend Oreille County</t>
  </si>
  <si>
    <t>Maryland: Baltimore County</t>
  </si>
  <si>
    <t>Utah: Weber County</t>
  </si>
  <si>
    <t>Texas: Harris County</t>
  </si>
  <si>
    <t>Texas: Rusk County</t>
  </si>
  <si>
    <t>Washington: Clark County;</t>
  </si>
  <si>
    <t>Texas: Dallas County, Tarrant County, Parker County;</t>
  </si>
  <si>
    <t>Missouri:</t>
  </si>
  <si>
    <t>Utah:</t>
  </si>
  <si>
    <t>Louisiana:</t>
  </si>
  <si>
    <t xml:space="preserve">Distribution Interruption </t>
  </si>
  <si>
    <t>New York:</t>
  </si>
  <si>
    <t>New York: Tompkins County;</t>
  </si>
  <si>
    <t xml:space="preserve">Sabotage </t>
  </si>
  <si>
    <t>Georgia, Alabama, Mississippi, Florida</t>
  </si>
  <si>
    <t>Oregon: Multnomah County</t>
  </si>
  <si>
    <t>Actual Physical Event</t>
  </si>
  <si>
    <t>Texas: Dallas County, Tarrant County</t>
  </si>
  <si>
    <t>Minnesota, Wisconsin</t>
  </si>
  <si>
    <t>Kansas: Johnson County; Missouri: Jackson County, Platte County, Cass County, Buchanan County, Atchison County, Andrew County, Clay County, Nodaway County</t>
  </si>
  <si>
    <t>North Carolina: New Hanover County</t>
  </si>
  <si>
    <t xml:space="preserve">Actual Physical Attack </t>
  </si>
  <si>
    <t>Michigan: Wayne County, Oakland County, Macomb County, St. Clair County, Lapeer County, Tuscola County, Sanilac County, Huron County</t>
  </si>
  <si>
    <t>West Virginia: Virginia</t>
  </si>
  <si>
    <t>Texas: Dallas County</t>
  </si>
  <si>
    <t>Tennessee: Shelby County</t>
  </si>
  <si>
    <t>Oklahoma: Arkansas</t>
  </si>
  <si>
    <t>Arkansas: Louisiana: Mississippi: Texas</t>
  </si>
  <si>
    <t>SPP, SERC, TRE</t>
  </si>
  <si>
    <t>Islanding, Uncontrolled Loss 300+ MW</t>
  </si>
  <si>
    <t>Load Shed 100+ MW, Voltage Reduction</t>
  </si>
  <si>
    <t>Delaware: New Castle County</t>
  </si>
  <si>
    <t>Massachusetts: Connecticut: Rhode Island: New Hampshire: Vermont: Maine</t>
  </si>
  <si>
    <t>Pennsylvania: Cambria County</t>
  </si>
  <si>
    <t>Connecticut: Massachusetts: New Hampshire: Vermont: Rhode Island</t>
  </si>
  <si>
    <t>Delaware: New Castle County;</t>
  </si>
  <si>
    <t>New Mexico: Bernalillo County;</t>
  </si>
  <si>
    <t>California: Butte County;</t>
  </si>
  <si>
    <t>Ohio:</t>
  </si>
  <si>
    <t>South Carolina:</t>
  </si>
  <si>
    <t>Puerto Rico:</t>
  </si>
  <si>
    <t>Oregon: Crook County;</t>
  </si>
  <si>
    <t xml:space="preserve">  Suspected Physical Attack</t>
  </si>
  <si>
    <t>Colorado:</t>
  </si>
  <si>
    <t>Florida:</t>
  </si>
  <si>
    <t>Florida: Leon County, Wakulla County;</t>
  </si>
  <si>
    <t>Florida: Alachua County, Bay County, Citrus County, Columbia County, Dixie County, Franklin County, Gilchrist County, Gulf County, Hamilton County, Hardee County, Hernando County, Highlands County, Jefferson County, Lafayette County, Lake County, Levy County, Madison County, Marion County, Orange County, Osceola County, Pasco County, Pinellas County, Polk County, Seminole County, Sumter County, Suwannee County, Taylor County, Volusia County, Wakulla County;</t>
  </si>
  <si>
    <t>Georgia:</t>
  </si>
  <si>
    <t>Generation Inadequacy</t>
  </si>
  <si>
    <t>Connecticut: Massachusetts: New Hampshire: Rhode Island: Vermont: Maine:</t>
  </si>
  <si>
    <t>New Mexico: Bernalillo County, Sandoval County, Santa Fe County, Valencia County;</t>
  </si>
  <si>
    <t>Complete operational failure or shut-down of the transmission and/or distribution electrical system</t>
  </si>
  <si>
    <t>Texas: Lubbock County;</t>
  </si>
  <si>
    <t>Physical attack that could potentially impact electric power system adequacy or reliability; or vandalism which targets components of any security systems</t>
  </si>
  <si>
    <t>Iowa: Black Hawk County;</t>
  </si>
  <si>
    <t>Utah: Kane County, Garfield County; Arizona: Coconino County, Mohave County</t>
  </si>
  <si>
    <t>10/02/2016</t>
  </si>
  <si>
    <t>California: Mendocino County;</t>
  </si>
  <si>
    <t>Physical attack that causes major interruptions or impacts to critical infrastructure facilities or to operations</t>
  </si>
  <si>
    <t>10/05/2016</t>
  </si>
  <si>
    <t>Public appeal to reduce the use of electricity for purposes of maintaining the continuity of the electric power system</t>
  </si>
  <si>
    <t>10/04/2016</t>
  </si>
  <si>
    <t>Texas:</t>
  </si>
  <si>
    <t>California: Imperial County;</t>
  </si>
  <si>
    <t>10/06/2016</t>
  </si>
  <si>
    <t>10/07/2016</t>
  </si>
  <si>
    <t>10/09/2016</t>
  </si>
  <si>
    <t>10/12/2016</t>
  </si>
  <si>
    <t>South Carolina: Allendale County, Bamberg County, Beaufort County, Berkeley County, Charleston County, Chesterfield County, Clarendon County, Colleton County, Darlington County, Dorchester County, Florence County, Georgetown County, Hampton County, Horry County, Jasper County, Kershaw County, Lee County, Marion County, Marlboro County, Orangeburg County, Richland County, Sumter County, Williamsburg County;</t>
  </si>
  <si>
    <t xml:space="preserve">Uncontrolled loss of 300 Megawatts or more of firm system loads for more than 15 minutes from a single incident
Loss of electric service to more than 50,000 customers for 1 hour or more
</t>
  </si>
  <si>
    <t>10/13/2016</t>
  </si>
  <si>
    <t>North Carolina:</t>
  </si>
  <si>
    <t>10/10/2016</t>
  </si>
  <si>
    <t>10/21/2016</t>
  </si>
  <si>
    <t>Oregon: Deschutes County, Lake County;</t>
  </si>
  <si>
    <t>10/20/2016</t>
  </si>
  <si>
    <t>Oregon:</t>
  </si>
  <si>
    <t>10/27/2016</t>
  </si>
  <si>
    <t>Tennessee: Shelby County;</t>
  </si>
  <si>
    <t>10/26/2016</t>
  </si>
  <si>
    <t>Wyoming: Sweetwater County;</t>
  </si>
  <si>
    <t>10/28/2016</t>
  </si>
  <si>
    <t>California: Plumas County;</t>
  </si>
  <si>
    <t>10/31/2016</t>
  </si>
  <si>
    <t>North Carolina: Stokes County;</t>
  </si>
  <si>
    <t>11/09/2016</t>
  </si>
  <si>
    <t>California: Stanislaus County, San Joaquin County, Alameda County, Tuolumne County;</t>
  </si>
  <si>
    <t>Cyber event that could potentially impact electric power system adequacy or reliability</t>
  </si>
  <si>
    <t>California:</t>
  </si>
  <si>
    <t>12/08/2016</t>
  </si>
  <si>
    <t>Oregon: Multnomah County;</t>
  </si>
  <si>
    <t>12/11/2016</t>
  </si>
  <si>
    <t>Utah: Utah County;</t>
  </si>
  <si>
    <t>12/13/2016</t>
  </si>
  <si>
    <t>California: Riverside County;</t>
  </si>
  <si>
    <t>Cyber Event</t>
  </si>
  <si>
    <t>California: Merced County;</t>
  </si>
  <si>
    <t>12/16/2016</t>
  </si>
  <si>
    <t>12/26/2016</t>
  </si>
  <si>
    <t>12/31/2016</t>
  </si>
  <si>
    <t>12/30/2016</t>
  </si>
  <si>
    <t>Vermont: Chittenden County;</t>
  </si>
  <si>
    <t>Maine:</t>
  </si>
  <si>
    <t>Weather or Natural Disaster</t>
  </si>
  <si>
    <t>OE-417 Electric Emergency and Disturbance Report - Calendar Year 2017</t>
  </si>
  <si>
    <t xml:space="preserve">January </t>
  </si>
  <si>
    <t>01/05/2017</t>
  </si>
  <si>
    <t>Florida: Martin County;</t>
  </si>
  <si>
    <t>01/13/2017</t>
  </si>
  <si>
    <t>01/15/2017</t>
  </si>
  <si>
    <t>California: Los Angeles County;</t>
  </si>
  <si>
    <t>Transmission Disruption</t>
  </si>
  <si>
    <t>01/17/2017</t>
  </si>
  <si>
    <t>Oklahoma: Harper County;</t>
  </si>
  <si>
    <t>01/19/2017</t>
  </si>
  <si>
    <t>01/24/2017</t>
  </si>
  <si>
    <t>01/23/2017</t>
  </si>
  <si>
    <t>Alabama: Georgia: Mississippi: Florida:</t>
  </si>
  <si>
    <t>New Mexico: Bernalillo County, Santa Fe County;</t>
  </si>
  <si>
    <t>Washington: Skagit County, King County, Kitsap County;</t>
  </si>
  <si>
    <t>North Carolina: Union County;</t>
  </si>
  <si>
    <t xml:space="preserve">Vandalism </t>
  </si>
  <si>
    <t>Missouri: Arkansas: Oklahoma: Texas:</t>
  </si>
  <si>
    <t>03/01/2017</t>
  </si>
  <si>
    <t>03/02/2017</t>
  </si>
  <si>
    <t>Kentucky: West Virginia:</t>
  </si>
  <si>
    <t>Tennessee: Kentucky:</t>
  </si>
  <si>
    <t>Connecticut: Maine: Massachusetts: New Hampshire: Rhode Island: Vermont:</t>
  </si>
  <si>
    <t>03/07/2017</t>
  </si>
  <si>
    <t>Missouri: Jackson County, Platte County, Cass County, Lafayette County, Chariton County, Carroll County, Clay County, Johnson County;</t>
  </si>
  <si>
    <t>03/08/2017</t>
  </si>
  <si>
    <t>03/11/2017</t>
  </si>
  <si>
    <t>Michigan: Jackson County, Calhoun County, Ingham County, Hillsdale County, Washtenaw County, Kent County, Ottawa County, Midland County, Saginaw County;</t>
  </si>
  <si>
    <t>Severe Weather/Transmission Interruption</t>
  </si>
  <si>
    <t>03/12/2017</t>
  </si>
  <si>
    <t>Connecticut: Massachusetts: Rhode Island: New Hampshire: Maine: Vermont:</t>
  </si>
  <si>
    <t>03/22/2017</t>
  </si>
  <si>
    <t>03/24/2017</t>
  </si>
  <si>
    <t>Oregon: Clatsop County;</t>
  </si>
  <si>
    <t>03/28/2017</t>
  </si>
  <si>
    <t>03/31/2017</t>
  </si>
  <si>
    <t>Mississippi: DeSoto County;</t>
  </si>
  <si>
    <t>04/03/2017</t>
  </si>
  <si>
    <t>Alabama, Georgia</t>
  </si>
  <si>
    <t>04/07/2017</t>
  </si>
  <si>
    <t>California: Fresno County</t>
  </si>
  <si>
    <t>04/08/2017</t>
  </si>
  <si>
    <t>Oregon: Multnomah County, Washington County, Marion County, Clackamas County</t>
  </si>
  <si>
    <t>04/13/2017</t>
  </si>
  <si>
    <t>Washington: Pierce County</t>
  </si>
  <si>
    <t>04/17/2017</t>
  </si>
  <si>
    <t>Utah: Emery County</t>
  </si>
  <si>
    <t>04/20/2017</t>
  </si>
  <si>
    <t>Wyoming: Converse County</t>
  </si>
  <si>
    <t xml:space="preserve"> Vandalism</t>
  </si>
  <si>
    <t>04/21/2017</t>
  </si>
  <si>
    <t>Kentucky: Bullitt County</t>
  </si>
  <si>
    <t>California: San Francisco, City and County of[10]</t>
  </si>
  <si>
    <t>04/23/2017</t>
  </si>
  <si>
    <t>04/24/2017</t>
  </si>
  <si>
    <t>North Carolina: Mecklenburg County</t>
  </si>
  <si>
    <t>04/30/2017</t>
  </si>
  <si>
    <t>05/01/2017</t>
  </si>
  <si>
    <t>05/03/2017</t>
  </si>
  <si>
    <t>Pennsylvania: Philadelphia County, Montgomery County</t>
  </si>
  <si>
    <t>05/04/2017</t>
  </si>
  <si>
    <t>Alabama: Georgia</t>
  </si>
  <si>
    <t>05/08/2017</t>
  </si>
  <si>
    <t>Kentucky: Daviess County</t>
  </si>
  <si>
    <t>05/11/2017</t>
  </si>
  <si>
    <t>Washington: Yakima County</t>
  </si>
  <si>
    <t>Missouri: St. Louis County</t>
  </si>
  <si>
    <t>05/21/2017</t>
  </si>
  <si>
    <t>Idaho: Lincoln County, Jerome County</t>
  </si>
  <si>
    <t>05/23/2017</t>
  </si>
  <si>
    <t>Tennessee: Davidson County</t>
  </si>
  <si>
    <t>Tennessee: Shelby County, Putnam County, Knox County, Davidson County, Hamilton County; Alabama: Madison County</t>
  </si>
  <si>
    <t>05/28/2017</t>
  </si>
  <si>
    <t>05/29/2017</t>
  </si>
  <si>
    <t>Louisiana: Texas</t>
  </si>
  <si>
    <t>Nevada: Clark County</t>
  </si>
  <si>
    <t>Texas: Louisiana</t>
  </si>
  <si>
    <t>06/07/2017</t>
  </si>
  <si>
    <t>06/11/2017</t>
  </si>
  <si>
    <t>06/15/2017</t>
  </si>
  <si>
    <t>06/17/2017</t>
  </si>
  <si>
    <t>Nebraska: Cass County, Douglas County, Sarpy County</t>
  </si>
  <si>
    <t>06/18/2017</t>
  </si>
  <si>
    <t>Kansas, Missouri: Jackson County, Platte County, Clay County, Cass County</t>
  </si>
  <si>
    <t>84737</t>
  </si>
  <si>
    <t>06/21/2017</t>
  </si>
  <si>
    <t>Oregon: Baker County</t>
  </si>
  <si>
    <t>06/25/2017</t>
  </si>
  <si>
    <t>Michigan: Wayne County, Monroe County</t>
  </si>
  <si>
    <t>Louisiana: Orleans Parish</t>
  </si>
  <si>
    <t>06/30/2017</t>
  </si>
  <si>
    <t>Idaho: Ada County</t>
  </si>
  <si>
    <t>Idaho: Jerome County</t>
  </si>
  <si>
    <t>0</t>
  </si>
  <si>
    <t>07/08/2017</t>
  </si>
  <si>
    <t>Michigan: Kent County, Ottawa County, Muskegon County, Barry County, Oceana County, Eaton County</t>
  </si>
  <si>
    <t>160000</t>
  </si>
  <si>
    <t>07/09/2017</t>
  </si>
  <si>
    <t>California: Los Angeles County</t>
  </si>
  <si>
    <t>645</t>
  </si>
  <si>
    <t>176867</t>
  </si>
  <si>
    <t>07/11/2017</t>
  </si>
  <si>
    <t>07/15/2017</t>
  </si>
  <si>
    <t>07/18/2017</t>
  </si>
  <si>
    <t>700</t>
  </si>
  <si>
    <t>07/20/2017</t>
  </si>
  <si>
    <t>Utah: Beaver County</t>
  </si>
  <si>
    <t>07/23/2017</t>
  </si>
  <si>
    <t>Missouri: Clay County, Jackson County, Lafayette County, Platte County; Kansas: Johnson County, Miami County, Wyandotte County</t>
  </si>
  <si>
    <t>112540</t>
  </si>
  <si>
    <t>131000</t>
  </si>
  <si>
    <t>115000</t>
  </si>
  <si>
    <t>Missouri: Illinois</t>
  </si>
  <si>
    <t>82000</t>
  </si>
  <si>
    <t>07/27/2017</t>
  </si>
  <si>
    <t>California: Butte County</t>
  </si>
  <si>
    <t>08/05/2017</t>
  </si>
  <si>
    <t>California: Humboldt County;</t>
  </si>
  <si>
    <t>08/22/2017</t>
  </si>
  <si>
    <t>1</t>
  </si>
  <si>
    <t>2</t>
  </si>
  <si>
    <t>09/05/2017</t>
  </si>
  <si>
    <t>330000</t>
  </si>
  <si>
    <t>09/02/2017</t>
  </si>
  <si>
    <t>Texas: Matagorda County, Nueces County, Aransas County, Refugio County, San Patricio County, Calhoun County, Victoria County, Jackson County, Live Oak County, Jim Wells County, Bee County, Lavaca County;</t>
  </si>
  <si>
    <t>220400</t>
  </si>
  <si>
    <t>08/26/2017</t>
  </si>
  <si>
    <t>09/08/2017</t>
  </si>
  <si>
    <t>1076868</t>
  </si>
  <si>
    <t>78500</t>
  </si>
  <si>
    <t>08/31/2017</t>
  </si>
  <si>
    <t>100</t>
  </si>
  <si>
    <t>09/01/2017</t>
  </si>
  <si>
    <t>337</t>
  </si>
  <si>
    <t>Florida: Hillsborough County, Pasco County, Polk County;</t>
  </si>
  <si>
    <t>1275</t>
  </si>
  <si>
    <t>425000</t>
  </si>
  <si>
    <t>3500000</t>
  </si>
  <si>
    <t>452555</t>
  </si>
  <si>
    <t>09/13/2017</t>
  </si>
  <si>
    <t>Florida: Alachua County, Bay County, Brevard County, Citrus County, Columbia County, Dixie County, Flagler County, Franklin County, Gilchrist County, Gulf County, Hamilton County, Hardee County, Hernando County, Highlands County, Jefferson County, Lafayette County, Lake County, Leon County, Levy County, Madison County, Marion County, Orange County, Osceola County, Pasco County, Pinellas County, Polk County, Seminole County, Sumter County, Suwannee County, Taylor County, Volusia County, Wakulla County;</t>
  </si>
  <si>
    <t>4500</t>
  </si>
  <si>
    <t>1000000</t>
  </si>
  <si>
    <t>09/15/2017</t>
  </si>
  <si>
    <t>132</t>
  </si>
  <si>
    <t>39659</t>
  </si>
  <si>
    <t>365</t>
  </si>
  <si>
    <t>265729</t>
  </si>
  <si>
    <t>200</t>
  </si>
  <si>
    <t>20000</t>
  </si>
  <si>
    <t>09/12/2017</t>
  </si>
  <si>
    <t>687</t>
  </si>
  <si>
    <t>154832</t>
  </si>
  <si>
    <t>10/04/2017</t>
  </si>
  <si>
    <t>Mississippi:</t>
  </si>
  <si>
    <t>Alabama: Florida: Mississippi:</t>
  </si>
  <si>
    <t>306</t>
  </si>
  <si>
    <t>91945</t>
  </si>
  <si>
    <t>10/17/2017</t>
  </si>
  <si>
    <t>177</t>
  </si>
  <si>
    <t>117900</t>
  </si>
  <si>
    <t>Mississippi: Coahoma County;</t>
  </si>
  <si>
    <t>10/16/2017</t>
  </si>
  <si>
    <t>Washington: Montana:</t>
  </si>
  <si>
    <t>10/19/2017</t>
  </si>
  <si>
    <t>10/20/2017</t>
  </si>
  <si>
    <t>900</t>
  </si>
  <si>
    <t>10/22/2017</t>
  </si>
  <si>
    <t>Louisiana: Mississippi: Arkansas: Texas:</t>
  </si>
  <si>
    <t>10/24/2017</t>
  </si>
  <si>
    <t>440</t>
  </si>
  <si>
    <t>115144</t>
  </si>
  <si>
    <t>10/25/2017</t>
  </si>
  <si>
    <t>10/26/2017</t>
  </si>
  <si>
    <t>Montana: Big Horn County;</t>
  </si>
  <si>
    <t>Washington: Whatcom County; Montana:</t>
  </si>
  <si>
    <t>11/01/2017</t>
  </si>
  <si>
    <t>Connecticut: Massachusetts: New Hampshire: Maine: Rhode Island: Vermont:</t>
  </si>
  <si>
    <t>310453</t>
  </si>
  <si>
    <t>Kentucky: Daviess County;</t>
  </si>
  <si>
    <t>11/05/2017</t>
  </si>
  <si>
    <t>RF</t>
  </si>
  <si>
    <t>89216</t>
  </si>
  <si>
    <t>11/09/2017</t>
  </si>
  <si>
    <t>Colorado: Weld County;</t>
  </si>
  <si>
    <t>11/16/2017</t>
  </si>
  <si>
    <t>85</t>
  </si>
  <si>
    <t>68430</t>
  </si>
  <si>
    <t>11/15/2017</t>
  </si>
  <si>
    <t>Washington: Island County, King County, Kitsap County, Thurston County, Skagit County, Whatcom County;</t>
  </si>
  <si>
    <t>236100</t>
  </si>
  <si>
    <t>Oregon: Tillamook County;</t>
  </si>
  <si>
    <t>11/26/2017</t>
  </si>
  <si>
    <t>540</t>
  </si>
  <si>
    <t>263000</t>
  </si>
  <si>
    <t>12/05/2017</t>
  </si>
  <si>
    <t>12/06/2017</t>
  </si>
  <si>
    <t>Michigan: Oscoda County, Isabella County, Roscommon County, Ogemaw County;</t>
  </si>
  <si>
    <t>117500</t>
  </si>
  <si>
    <t>12/08/2017</t>
  </si>
  <si>
    <t>Texas: Bexar County;</t>
  </si>
  <si>
    <t>88000</t>
  </si>
  <si>
    <t>Louisiana: Mississippi:</t>
  </si>
  <si>
    <t>79000</t>
  </si>
  <si>
    <t>12/10/2017</t>
  </si>
  <si>
    <t>Alabama: Georgia: Mississippi:</t>
  </si>
  <si>
    <t>865</t>
  </si>
  <si>
    <t>301872</t>
  </si>
  <si>
    <t>California: Ventura County, Santa Barbara County;</t>
  </si>
  <si>
    <t>110</t>
  </si>
  <si>
    <t>51323</t>
  </si>
  <si>
    <t>12/12/2017</t>
  </si>
  <si>
    <t>New York: Saratoga County;</t>
  </si>
  <si>
    <t>3</t>
  </si>
  <si>
    <t>1208</t>
  </si>
  <si>
    <t>12/13/2017</t>
  </si>
  <si>
    <t>New York: Suffolk County;</t>
  </si>
  <si>
    <t>Connecticut: New Haven County[13];</t>
  </si>
  <si>
    <t>12/18/2017</t>
  </si>
  <si>
    <t>12/19/2017</t>
  </si>
  <si>
    <t>Florida: Alachua County;</t>
  </si>
  <si>
    <t>12/29/2017</t>
  </si>
  <si>
    <t>Texas: Calhoun County;</t>
  </si>
  <si>
    <t>210</t>
  </si>
  <si>
    <t>01/01/2018</t>
  </si>
  <si>
    <t>OE-417 Electric Emergency and Disturbance Report - Calendar Year 2018</t>
  </si>
  <si>
    <t>01/02/2018</t>
  </si>
  <si>
    <t>Tennessee:</t>
  </si>
  <si>
    <t xml:space="preserve">Public appeal to reduce the use of electricity for purposes of maintaining the continuity of the electric power system </t>
  </si>
  <si>
    <t>02/12/2018</t>
  </si>
  <si>
    <t>New York: Niagara County;</t>
  </si>
  <si>
    <t>675</t>
  </si>
  <si>
    <t>717000</t>
  </si>
  <si>
    <t>14998</t>
  </si>
  <si>
    <t>01/04/2018</t>
  </si>
  <si>
    <t>Texas: Midland County;</t>
  </si>
  <si>
    <t>500</t>
  </si>
  <si>
    <t>01/12/2018</t>
  </si>
  <si>
    <t>Michigan: Midland County, Genesee County;</t>
  </si>
  <si>
    <t>Cyber event that causes interruptions of electrical system operations</t>
  </si>
  <si>
    <t>41</t>
  </si>
  <si>
    <t>23007</t>
  </si>
  <si>
    <t>01/15/2018</t>
  </si>
  <si>
    <t>01/18/2018</t>
  </si>
  <si>
    <t>01/16/2018</t>
  </si>
  <si>
    <t>01/17/2018</t>
  </si>
  <si>
    <t>1788</t>
  </si>
  <si>
    <t>420000</t>
  </si>
  <si>
    <t>Arkansas: Mississippi: Louisiana: Texas:</t>
  </si>
  <si>
    <t>31500</t>
  </si>
  <si>
    <t>1760</t>
  </si>
  <si>
    <t>01/25/2018</t>
  </si>
  <si>
    <t>01/26/2018</t>
  </si>
  <si>
    <t>Pennsylvania: Montgomery County;</t>
  </si>
  <si>
    <t>02/04/2018</t>
  </si>
  <si>
    <t>9760</t>
  </si>
  <si>
    <t>02/08/2018</t>
  </si>
  <si>
    <t>30</t>
  </si>
  <si>
    <t>10900</t>
  </si>
  <si>
    <t>02/17/2018</t>
  </si>
  <si>
    <t>02/18/2018</t>
  </si>
  <si>
    <t>Oregon: Washington: California:</t>
  </si>
  <si>
    <t>2330</t>
  </si>
  <si>
    <t>2327</t>
  </si>
  <si>
    <t>02/28/2018</t>
  </si>
  <si>
    <t>03/01/2018</t>
  </si>
  <si>
    <t>38</t>
  </si>
  <si>
    <t>10898</t>
  </si>
  <si>
    <t>03/02/2018</t>
  </si>
  <si>
    <t>86501</t>
  </si>
  <si>
    <t>03/04/2018</t>
  </si>
  <si>
    <t>Michigan: Wayne County, Washtenaw County, Oakland County, Macomb County, Monroe County;</t>
  </si>
  <si>
    <t>95000</t>
  </si>
  <si>
    <t>03/06/2018</t>
  </si>
  <si>
    <t>Delaware: Maryland:</t>
  </si>
  <si>
    <t>60000</t>
  </si>
  <si>
    <t>03/03/2018</t>
  </si>
  <si>
    <t>249322</t>
  </si>
  <si>
    <t>50000</t>
  </si>
  <si>
    <t>New York: New York County, Westchester County;</t>
  </si>
  <si>
    <t>72353</t>
  </si>
  <si>
    <t>03/05/2018</t>
  </si>
  <si>
    <t>325000</t>
  </si>
  <si>
    <t>Pennsylvania:</t>
  </si>
  <si>
    <t>233136</t>
  </si>
  <si>
    <t>Pennsylvania: Berks County, Bucks County, Carbon County, Chester County, Clinton County, Columbia County, Cumberland County, Dauphin County, Juniata County, Lackawanna County, Lancaster County, Lebanon County, Lehigh County, Luzerne County, Lycoming County, Monroe County, Montgomery County, Montour County, Northampton County, Northumberland County, Pike County, Schuylkill County, Snyder County;</t>
  </si>
  <si>
    <t>126000</t>
  </si>
  <si>
    <t>630000</t>
  </si>
  <si>
    <t>New York: Dutchess County, Orange County, Greene County, Ulster County, Putnam County, Sullivan County, Albany County, Columbia County;</t>
  </si>
  <si>
    <t>90000</t>
  </si>
  <si>
    <t>Maryland:</t>
  </si>
  <si>
    <t>670</t>
  </si>
  <si>
    <t>474019</t>
  </si>
  <si>
    <t>63331</t>
  </si>
  <si>
    <t>Virginia: West Virginia:</t>
  </si>
  <si>
    <t>65198</t>
  </si>
  <si>
    <t>03/07/2018</t>
  </si>
  <si>
    <t>03/10/2018</t>
  </si>
  <si>
    <t>216800</t>
  </si>
  <si>
    <t>50</t>
  </si>
  <si>
    <t>58000</t>
  </si>
  <si>
    <t>120000</t>
  </si>
  <si>
    <t>Connecticut: Massachusetts: Maine: New Hampshire: Rhode Island: Vermont:</t>
  </si>
  <si>
    <t>102000</t>
  </si>
  <si>
    <t>03/12/2018</t>
  </si>
  <si>
    <t>04/06/2018</t>
  </si>
  <si>
    <t>03/13/2018</t>
  </si>
  <si>
    <t>03/14/2018</t>
  </si>
  <si>
    <t>123629</t>
  </si>
  <si>
    <t>03/19/2018</t>
  </si>
  <si>
    <t>03/20/2018</t>
  </si>
  <si>
    <t>Alabama: Georgia:</t>
  </si>
  <si>
    <t>261</t>
  </si>
  <si>
    <t>78220</t>
  </si>
  <si>
    <t>03/25/2018</t>
  </si>
  <si>
    <t>New Jersey: Atlantic County, Camden County, Cape May County, Gloucester County, Salem County, Cumberland County, Burlington County;</t>
  </si>
  <si>
    <t>80</t>
  </si>
  <si>
    <t>124000</t>
  </si>
  <si>
    <t>03/24/2018</t>
  </si>
  <si>
    <t>03/26/2018</t>
  </si>
  <si>
    <t>81227</t>
  </si>
  <si>
    <t>03/28/2018</t>
  </si>
  <si>
    <t>Washington: Walla Walla County;</t>
  </si>
  <si>
    <t>12</t>
  </si>
  <si>
    <t>1185</t>
  </si>
  <si>
    <t>04/03/2018</t>
  </si>
  <si>
    <t>04/04/2018</t>
  </si>
  <si>
    <t>04/07/2018</t>
  </si>
  <si>
    <t>72896</t>
  </si>
  <si>
    <t>04/05/2018</t>
  </si>
  <si>
    <t>65932</t>
  </si>
  <si>
    <t>04/09/2018</t>
  </si>
  <si>
    <t>806</t>
  </si>
  <si>
    <t>57000</t>
  </si>
  <si>
    <t>300</t>
  </si>
  <si>
    <t>250000</t>
  </si>
  <si>
    <t>04/10/2018</t>
  </si>
  <si>
    <t>Florida: Palm Beach County;</t>
  </si>
  <si>
    <t>55</t>
  </si>
  <si>
    <t>27000</t>
  </si>
  <si>
    <t>04/14/2018</t>
  </si>
  <si>
    <t>Louisiana: Arkansas: Mississippi: Texas:</t>
  </si>
  <si>
    <t>56350</t>
  </si>
  <si>
    <t>04/15/2018</t>
  </si>
  <si>
    <t>04/18/2018</t>
  </si>
  <si>
    <t>Michigan:</t>
  </si>
  <si>
    <t>389591</t>
  </si>
  <si>
    <t>78100</t>
  </si>
  <si>
    <t>05/02/2018</t>
  </si>
  <si>
    <t>05/04/2018</t>
  </si>
  <si>
    <t>05/05/2018</t>
  </si>
  <si>
    <t>Michigan: Calhoun County, Genesee County, Ingham County, Kent County, Macomb County, Midland County, Saginaw County, Gratiot County;</t>
  </si>
  <si>
    <t>05/06/2018</t>
  </si>
  <si>
    <t>300000</t>
  </si>
  <si>
    <t>106150</t>
  </si>
  <si>
    <t>New Hampshire: Vermont:</t>
  </si>
  <si>
    <t>56000</t>
  </si>
  <si>
    <t>Vermont: New Hampshire: Maine:</t>
  </si>
  <si>
    <t>31900</t>
  </si>
  <si>
    <t>05/07/2018</t>
  </si>
  <si>
    <t>05/08/2018</t>
  </si>
  <si>
    <t>Utah: Washington County;</t>
  </si>
  <si>
    <t>05/14/2018</t>
  </si>
  <si>
    <t>Virginia:</t>
  </si>
  <si>
    <t>112000</t>
  </si>
  <si>
    <t>05/15/2018</t>
  </si>
  <si>
    <t>Pennsylvania: Lehigh County, Schuylkill County, Cumberland County, Lancaster County, Northampton County, Berks County, Clinton County, Susquehanna County, Bucks County, Carbon County, Chester County, Columbia County, Juniata County;</t>
  </si>
  <si>
    <t>114000</t>
  </si>
  <si>
    <t>New York: Dutchess County, Ulster County, Orange County;</t>
  </si>
  <si>
    <t>72000</t>
  </si>
  <si>
    <t>82372</t>
  </si>
  <si>
    <t>52872</t>
  </si>
  <si>
    <t>05/18/2018</t>
  </si>
  <si>
    <t>Massachusetts:</t>
  </si>
  <si>
    <t>49999</t>
  </si>
  <si>
    <t>05/17/2018</t>
  </si>
  <si>
    <t>California: Contra Costa County;</t>
  </si>
  <si>
    <t>70</t>
  </si>
  <si>
    <t>70000</t>
  </si>
  <si>
    <t>124</t>
  </si>
  <si>
    <t>05/26/2018</t>
  </si>
  <si>
    <t>05/27/2018</t>
  </si>
  <si>
    <t>163932</t>
  </si>
  <si>
    <t>06/02/2018</t>
  </si>
  <si>
    <t>Missouri: Jackson County, Clay County, Platte County, Andrew County; Kansas: Johnson County;</t>
  </si>
  <si>
    <t>SPP RE</t>
  </si>
  <si>
    <t>103535</t>
  </si>
  <si>
    <t>06/04/2018</t>
  </si>
  <si>
    <t>06/09/2018</t>
  </si>
  <si>
    <t>Unplanned evacuation from its Bulk Electric System control center facility for 30 continuous minutes or more</t>
  </si>
  <si>
    <t>06/10/2018</t>
  </si>
  <si>
    <t>06/11/2018</t>
  </si>
  <si>
    <t>Kentucky:</t>
  </si>
  <si>
    <t>06/12/2018</t>
  </si>
  <si>
    <t>Damage or destruction of its Facility that results from actual or suspected intentional human action.</t>
  </si>
  <si>
    <t>California: Kern County;</t>
  </si>
  <si>
    <t>06/18/2018</t>
  </si>
  <si>
    <t>06/19/2018</t>
  </si>
  <si>
    <t>112927</t>
  </si>
  <si>
    <t>06/20/2018</t>
  </si>
  <si>
    <t>06/21/2018</t>
  </si>
  <si>
    <t>Complete operational failure or shut-down of the transmission and/or distribution of electrical system</t>
  </si>
  <si>
    <t>73</t>
  </si>
  <si>
    <t>06/22/2018</t>
  </si>
  <si>
    <t>Electrical System Separation (Islanding) where part or parts of power grid remain(s) operational in an otherwise blocked out area or within the partial failure of an integrated electrical system</t>
  </si>
  <si>
    <t>10000</t>
  </si>
  <si>
    <t>4200000</t>
  </si>
  <si>
    <t>06/27/2018</t>
  </si>
  <si>
    <t>New York: New York County;</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</si>
  <si>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</si>
  <si>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06/28/2018</t>
  </si>
  <si>
    <t>07/01/2018</t>
  </si>
  <si>
    <t>Missouri: Illinois:</t>
  </si>
  <si>
    <t>06/29/2018</t>
  </si>
  <si>
    <t>160</t>
  </si>
  <si>
    <t>48109</t>
  </si>
  <si>
    <t>Minnesota: St. Louis County;</t>
  </si>
  <si>
    <t>Uncontrolled loss of 300 Megawatts or more of firm system loads for 15 minutes or more from a single incident</t>
  </si>
  <si>
    <t>350</t>
  </si>
  <si>
    <t>Complete loss of monitoring or control capability at its staffed Bulk Electric System control center for 30 continuous minutes or more</t>
  </si>
  <si>
    <t>06/30/2018</t>
  </si>
  <si>
    <t>Texas: Travis County, Williamson County;</t>
  </si>
  <si>
    <t>07/04/2018</t>
  </si>
  <si>
    <t>Colorado: Pueblo County;</t>
  </si>
  <si>
    <t>5058</t>
  </si>
  <si>
    <t>Complete loss of monitoring or control capability at its staffed Bulk Electric System control center for 30 continuous minutes or more.</t>
  </si>
  <si>
    <t>07/09/2018</t>
  </si>
  <si>
    <t>California: Merced County, Kern County; Nevada: Clark County;</t>
  </si>
  <si>
    <t>07/11/2018</t>
  </si>
  <si>
    <t>425</t>
  </si>
  <si>
    <t>26195</t>
  </si>
  <si>
    <t>07/14/2018</t>
  </si>
  <si>
    <t>07/16/2018</t>
  </si>
  <si>
    <t>07/18/2018</t>
  </si>
  <si>
    <t>Total generation loss, within one minute of: greater than or equal to 2,000 Megawatts in the Eastern or Western Interconnection or greater than or equal to 1,400 Megawatts in the ERCOT Interconnection.</t>
  </si>
  <si>
    <t>California: Fresno County;</t>
  </si>
  <si>
    <t>07/19/2018</t>
  </si>
  <si>
    <t>Louisiana: Rapides Parish;</t>
  </si>
  <si>
    <t>07/20/2018</t>
  </si>
  <si>
    <t>Maine: Hancock County;</t>
  </si>
  <si>
    <t>Physical threat to its Facility excluding weather or natural disaster related threats, which has the potential to degrade the normal operation of the Facility. Or suspicious device or activity at its Facility.</t>
  </si>
  <si>
    <t>87833</t>
  </si>
  <si>
    <t>07/21/2018</t>
  </si>
  <si>
    <t>Arkansas:</t>
  </si>
  <si>
    <t>64930</t>
  </si>
  <si>
    <t>143</t>
  </si>
  <si>
    <t>42901</t>
  </si>
  <si>
    <t>07/23/2018</t>
  </si>
  <si>
    <t>Florida: Pinellas County;</t>
  </si>
  <si>
    <t>Unexpected Transmission loss within its area, contrary to design, of three or more Bulk Electric System Facilities caused by a common disturbance (excluding successful automatic reclosing).</t>
  </si>
  <si>
    <t>40</t>
  </si>
  <si>
    <t>07/26/2018</t>
  </si>
  <si>
    <t>California: Shasta County;</t>
  </si>
  <si>
    <t>Public appeal to reduce the use of electricity for purposes of maintaining the continuity of the Bulk Electric System</t>
  </si>
  <si>
    <t>Natural Disaster</t>
  </si>
  <si>
    <t>07/27/2018</t>
  </si>
  <si>
    <t>07/28/2018</t>
  </si>
  <si>
    <t>07/29/2018</t>
  </si>
  <si>
    <t>Nevada: Nye County;</t>
  </si>
  <si>
    <t>83</t>
  </si>
  <si>
    <t>57670</t>
  </si>
  <si>
    <t>07/30/2018</t>
  </si>
  <si>
    <t>Arizona: Maricopa County;</t>
  </si>
  <si>
    <t>07/31/2018</t>
  </si>
  <si>
    <t>08/01/2018</t>
  </si>
  <si>
    <t>Montana:</t>
  </si>
  <si>
    <t>Physical attack that causes major interruptions or impacts to critical infrastructure or to operations.</t>
  </si>
  <si>
    <t>08/04/2018</t>
  </si>
  <si>
    <t>08/07/2018</t>
  </si>
  <si>
    <t>Electrical System Separation (Islanding) where part or parts of power grid remain(s) operational in an otherwise blocked out area or within the partial failure of an integrated electrical system.</t>
  </si>
  <si>
    <t>5</t>
  </si>
  <si>
    <t>485</t>
  </si>
  <si>
    <t>27</t>
  </si>
  <si>
    <t>11383</t>
  </si>
  <si>
    <t>08/14/2018</t>
  </si>
  <si>
    <t>Virginia: Hanover County;</t>
  </si>
  <si>
    <t>08/15/2018</t>
  </si>
  <si>
    <t>Missouri: Boone County;</t>
  </si>
  <si>
    <t>08/17/2018</t>
  </si>
  <si>
    <t>08/19/2018</t>
  </si>
  <si>
    <t>Utah: Box Elder County;</t>
  </si>
  <si>
    <t>08/20/2018</t>
  </si>
  <si>
    <t>08/21/2018</t>
  </si>
  <si>
    <t>08/24/2018</t>
  </si>
  <si>
    <t>Virginia: Roanoke County;</t>
  </si>
  <si>
    <t>Unplanned evacuation from its Bulk Electric System control center facility for 30 continuous minutes or more.</t>
  </si>
  <si>
    <t>08/26/2018</t>
  </si>
  <si>
    <t>08/27/2018</t>
  </si>
  <si>
    <t>Michigan: Muskegon County, Newaygo County, Oceana County, Mason County, Kent County, Mecosta County, Montcalm County, Isabella County, Midland County, Saginaw County;</t>
  </si>
  <si>
    <t>Loss of electric service to more than 50,000 customers for 1 hour or more.</t>
  </si>
  <si>
    <t>67000</t>
  </si>
  <si>
    <t>08/28/2018</t>
  </si>
  <si>
    <t>08/29/2018</t>
  </si>
  <si>
    <t>Ohio: Montgomery County;</t>
  </si>
  <si>
    <t>08/30/2018</t>
  </si>
  <si>
    <t>Michigan: Benzie County, Barry County, Grand Traverse County, Kalkaska County, Mason County, Oceana County, Muskegon County, Kent County, Newaygo County, Montcalm County, Mecosta County, Antrim County, Eaton County, Ionia County, Isabella County, Clare County, Saginaw County;</t>
  </si>
  <si>
    <t>110000</t>
  </si>
  <si>
    <t>Maryland: Montgomery County; District of Columbia:</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</si>
  <si>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</si>
  <si>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Illinois:</t>
  </si>
  <si>
    <t>100000</t>
  </si>
  <si>
    <t>Physical attack that could potentially impact electric power system adequacy or reliability; or vandalism which targets components of any security systems.</t>
  </si>
  <si>
    <t>08/31/2018</t>
  </si>
  <si>
    <t>Natural Disaster/Transmission Interruption</t>
  </si>
  <si>
    <t>96</t>
  </si>
  <si>
    <t>09/01/2018</t>
  </si>
  <si>
    <t>09/05/2018</t>
  </si>
  <si>
    <t>09/06/2018</t>
  </si>
  <si>
    <t>Florida: Hillsborough County;</t>
  </si>
  <si>
    <t>09/12/2018</t>
  </si>
  <si>
    <t>09/13/2018</t>
  </si>
  <si>
    <t>09/20/2018</t>
  </si>
  <si>
    <t>1457583</t>
  </si>
  <si>
    <t>09/19/2018</t>
  </si>
  <si>
    <t>09/15/2018</t>
  </si>
  <si>
    <t>Mississippi: Forrest County;</t>
  </si>
  <si>
    <t>Public appeal to reduce the use of electricity for purposes of maintaining the continuity of the Bulk Electric System.</t>
  </si>
  <si>
    <t>1322</t>
  </si>
  <si>
    <t>09/17/2018</t>
  </si>
  <si>
    <t>South Carolina: Horry County, Chesterfield County, Dillon County, Georgetown County, Marlboro County, Darlington County;</t>
  </si>
  <si>
    <t>50100</t>
  </si>
  <si>
    <t>09/16/2018</t>
  </si>
  <si>
    <t>09/18/2018</t>
  </si>
  <si>
    <t>Indiana: Benton County;</t>
  </si>
  <si>
    <t>09/22/2018</t>
  </si>
  <si>
    <t>3507</t>
  </si>
  <si>
    <t>2500</t>
  </si>
  <si>
    <t>09/25/2018</t>
  </si>
  <si>
    <t>09/26/2018</t>
  </si>
  <si>
    <t>09/28/2018</t>
  </si>
  <si>
    <t>10/01/2018</t>
  </si>
  <si>
    <t>Ohio: Indiana: Michigan: Kentucky: West Virginia: Virginia:</t>
  </si>
  <si>
    <t>10/03/2018</t>
  </si>
  <si>
    <t>10/04/2018</t>
  </si>
  <si>
    <t>Oklahoma: Osage County;</t>
  </si>
  <si>
    <t>4</t>
  </si>
  <si>
    <t>2089</t>
  </si>
  <si>
    <t>10/09/2018</t>
  </si>
  <si>
    <t>Colorado: El Paso County;</t>
  </si>
  <si>
    <t>Unplanned evacuation from its Bulk Electric System control center facility for 30 continuous minutes or more;
Complete loss of monitoring or control capability at its staffed Bulk Electric System control center for 30 continuous minutes or more.</t>
  </si>
  <si>
    <t>10/10/2018</t>
  </si>
  <si>
    <t>Florida: Alabama: Georgia:</t>
  </si>
  <si>
    <t>152</t>
  </si>
  <si>
    <t>45604</t>
  </si>
  <si>
    <t>10/19/2018</t>
  </si>
  <si>
    <t>330</t>
  </si>
  <si>
    <t>55000</t>
  </si>
  <si>
    <t>10/15/2018</t>
  </si>
  <si>
    <t>10/11/2018</t>
  </si>
  <si>
    <t>135</t>
  </si>
  <si>
    <t>60717</t>
  </si>
  <si>
    <t>10/12/2018</t>
  </si>
  <si>
    <t>170222</t>
  </si>
  <si>
    <t>117000</t>
  </si>
  <si>
    <t>240807</t>
  </si>
  <si>
    <t>71654</t>
  </si>
  <si>
    <t>Maryland: Garrett County;</t>
  </si>
  <si>
    <t>10/14/2018</t>
  </si>
  <si>
    <t>10/16/2018</t>
  </si>
  <si>
    <t>Connecticut: Rhode Island: Massachusetts: Vermont: New Hampshire: Maine:</t>
  </si>
  <si>
    <t>18000</t>
  </si>
  <si>
    <t>10/21/2018</t>
  </si>
  <si>
    <t>West Virginia:</t>
  </si>
  <si>
    <t>63408</t>
  </si>
  <si>
    <t>10/22/2018</t>
  </si>
  <si>
    <t>10/24/2018</t>
  </si>
  <si>
    <t>Michigan: Wayne County;</t>
  </si>
  <si>
    <t>10/29/2018</t>
  </si>
  <si>
    <t>11/07/2018</t>
  </si>
  <si>
    <t>Minnesota: Douglas County;</t>
  </si>
  <si>
    <t>10/30/2018</t>
  </si>
  <si>
    <t>Maryland: Baltimore, City of;</t>
  </si>
  <si>
    <t>10/31/2018</t>
  </si>
  <si>
    <t>11/01/2018</t>
  </si>
  <si>
    <t>402</t>
  </si>
  <si>
    <t>140932</t>
  </si>
  <si>
    <t>11/02/2018</t>
  </si>
  <si>
    <t>11/03/2018</t>
  </si>
  <si>
    <t>11/04/2018</t>
  </si>
  <si>
    <t>Connecticut: Massachusetts: New Hampshire: Vermont: Maine: Rhode Island:</t>
  </si>
  <si>
    <t>62000</t>
  </si>
  <si>
    <t>11/06/2018</t>
  </si>
  <si>
    <t>11/09/2018</t>
  </si>
  <si>
    <t>61000</t>
  </si>
  <si>
    <t>11/08/2018</t>
  </si>
  <si>
    <t>11/28/2018</t>
  </si>
  <si>
    <t>32</t>
  </si>
  <si>
    <t>11844</t>
  </si>
  <si>
    <t>Nevada: Carson City, Consolidated Municipality of[19];</t>
  </si>
  <si>
    <t>Iowa: Muscatine County;</t>
  </si>
  <si>
    <t>11/10/2018</t>
  </si>
  <si>
    <t>11/14/2018</t>
  </si>
  <si>
    <t>Wisconsin:</t>
  </si>
  <si>
    <t>11/13/2018</t>
  </si>
  <si>
    <t>Arkansas: Oklahoma: Louisiana: Texas:</t>
  </si>
  <si>
    <t>11/15/2018</t>
  </si>
  <si>
    <t>11/17/2018</t>
  </si>
  <si>
    <t>50600</t>
  </si>
  <si>
    <t>150000</t>
  </si>
  <si>
    <t>Indiana:</t>
  </si>
  <si>
    <t>11/16/2018</t>
  </si>
  <si>
    <t>Kentucky: Ohio:</t>
  </si>
  <si>
    <t>104000</t>
  </si>
  <si>
    <t>11/18/2018</t>
  </si>
  <si>
    <t>Nebraska: Holt County;</t>
  </si>
  <si>
    <t>11/25/2018</t>
  </si>
  <si>
    <t>Illinois: Will County, DuPage County, Kane County, McHenry County, Winnebago County, Ogle County, DeKalb County, Lee County, Grundy County, Lake County, Cook County, Livingston County, Stephenson County, LaSalle County, Kankakee County, Kendall County, Boone County;</t>
  </si>
  <si>
    <t>313448</t>
  </si>
  <si>
    <t>11/27/2018</t>
  </si>
  <si>
    <t>Maine: New Hampshire: Vermont:</t>
  </si>
  <si>
    <t>32000</t>
  </si>
  <si>
    <t>12/01/2018</t>
  </si>
  <si>
    <t>12/04/2018</t>
  </si>
  <si>
    <t>Florida: Leon County;</t>
  </si>
  <si>
    <t>12/02/2018</t>
  </si>
  <si>
    <t>12/03/2018</t>
  </si>
  <si>
    <t>16</t>
  </si>
  <si>
    <t>12/05/2018</t>
  </si>
  <si>
    <t>12/06/2018</t>
  </si>
  <si>
    <t>Alabama: Chambers County;</t>
  </si>
  <si>
    <t>12/07/2018</t>
  </si>
  <si>
    <t>Utah: Weber County;</t>
  </si>
  <si>
    <t>12/09/2018</t>
  </si>
  <si>
    <t>12/10/2018</t>
  </si>
  <si>
    <t>Virginia: Loudoun County;</t>
  </si>
  <si>
    <t>137</t>
  </si>
  <si>
    <t>41126</t>
  </si>
  <si>
    <t>12/11/2018</t>
  </si>
  <si>
    <t>12/13/2018</t>
  </si>
  <si>
    <t>Texas: Travis County;</t>
  </si>
  <si>
    <t>12/12/2018</t>
  </si>
  <si>
    <t>Oregon: Gilliam County;</t>
  </si>
  <si>
    <t>California: Stanislaus County, San Joaquin County;</t>
  </si>
  <si>
    <t>12/14/2018</t>
  </si>
  <si>
    <t>12/17/2018</t>
  </si>
  <si>
    <t>Washington: King County, Kitsap County, Island County, Pierce County, Thurston County, Whatcom County, Skagit County, Kittitas County;</t>
  </si>
  <si>
    <t>Texas: Jasper County;</t>
  </si>
  <si>
    <t>12/18/2018</t>
  </si>
  <si>
    <t>Utah: Salt Lake County; California: Oregon:</t>
  </si>
  <si>
    <t>12/20/2018</t>
  </si>
  <si>
    <t>Washington: Skagit County, Snohomish County, King County, Kitsap County, Island County;</t>
  </si>
  <si>
    <t>165000</t>
  </si>
  <si>
    <t>12/26/2018</t>
  </si>
  <si>
    <t>01/03/2019</t>
  </si>
  <si>
    <t>12/27/2018</t>
  </si>
  <si>
    <t>Maryland: Montgomery County, Prince George's County; District of Columbia:</t>
  </si>
  <si>
    <t>12/30/2018</t>
  </si>
  <si>
    <t>OE-417 Electric Emergency and Disturbance Report - Calendar Year 2019</t>
  </si>
  <si>
    <t>01/05/2019</t>
  </si>
  <si>
    <t>Complete loss of Interpersonal Communication and Alternative Interpersonal Communication capability affecting its staffed Bulk Electric System control center for 30 continuous minutes or more.</t>
  </si>
  <si>
    <t>01/06/2019</t>
  </si>
  <si>
    <t>01/09/2019</t>
  </si>
  <si>
    <t>230</t>
  </si>
  <si>
    <t>230000</t>
  </si>
  <si>
    <t>California: Sacramento County;</t>
  </si>
  <si>
    <t>90382</t>
  </si>
  <si>
    <t>Washington: King County, Thurston County, Pierce County;</t>
  </si>
  <si>
    <t>01/07/2019</t>
  </si>
  <si>
    <t>New Mexico: San Juan County;</t>
  </si>
  <si>
    <t>01/10/2019</t>
  </si>
  <si>
    <t>Montana: Valley County;</t>
  </si>
  <si>
    <t>11</t>
  </si>
  <si>
    <t>01/11/2019</t>
  </si>
  <si>
    <t>01/12/2019</t>
  </si>
  <si>
    <t>01/13/2019</t>
  </si>
  <si>
    <t>Missouri: Jackson County; Kansas: Johnson County;</t>
  </si>
  <si>
    <t>112530</t>
  </si>
  <si>
    <t>Missouri: Nebraska:</t>
  </si>
  <si>
    <t>116600</t>
  </si>
  <si>
    <t>New Hampshire:</t>
  </si>
  <si>
    <t>01/15/2019</t>
  </si>
  <si>
    <t>133200</t>
  </si>
  <si>
    <t>01/14/2019</t>
  </si>
  <si>
    <t>01/16/2019</t>
  </si>
  <si>
    <t>01/17/2019</t>
  </si>
  <si>
    <t>190</t>
  </si>
  <si>
    <t>126700</t>
  </si>
  <si>
    <t>Texas: Nueces County;</t>
  </si>
  <si>
    <t>01/18/2019</t>
  </si>
  <si>
    <t>01/19/2019</t>
  </si>
  <si>
    <t>Nebraska:</t>
  </si>
  <si>
    <t>8</t>
  </si>
  <si>
    <t>01/23/2019</t>
  </si>
  <si>
    <t>Colorado: Larimer County;</t>
  </si>
  <si>
    <t>01/24/2019</t>
  </si>
  <si>
    <t>01/28/2019</t>
  </si>
  <si>
    <t>Utah: Iron County;</t>
  </si>
  <si>
    <t>01/29/2019</t>
  </si>
  <si>
    <t>Louisiana: Washington Parish;</t>
  </si>
  <si>
    <t>01/30/2019</t>
  </si>
  <si>
    <t>02/02/2019</t>
  </si>
  <si>
    <t>Illinois: Scott County;</t>
  </si>
  <si>
    <t>Fuel supply emergencies that could impact electric power system adequacy or reliability.</t>
  </si>
  <si>
    <t>01/31/2019</t>
  </si>
  <si>
    <t>Illinois: Pike County;</t>
  </si>
  <si>
    <t>02/01/2019</t>
  </si>
  <si>
    <t>02/05/2019</t>
  </si>
  <si>
    <t>42</t>
  </si>
  <si>
    <t>33200</t>
  </si>
  <si>
    <t>02/07/2019</t>
  </si>
  <si>
    <t>3370</t>
  </si>
  <si>
    <t>02/09/2019</t>
  </si>
  <si>
    <t>233000</t>
  </si>
  <si>
    <t>02/08/2019</t>
  </si>
  <si>
    <t>50940</t>
  </si>
  <si>
    <t>02/13/2019</t>
  </si>
  <si>
    <t>02/15/2019</t>
  </si>
  <si>
    <t>182</t>
  </si>
  <si>
    <t>121000</t>
  </si>
  <si>
    <t>02/14/2019</t>
  </si>
  <si>
    <t>02/19/2019</t>
  </si>
  <si>
    <t>02/20/2019</t>
  </si>
  <si>
    <t>Wisconsin, Minnesota, Iowa, Illinois</t>
  </si>
  <si>
    <t>740</t>
  </si>
  <si>
    <t>02/23/2019</t>
  </si>
  <si>
    <t>02/24/2019</t>
  </si>
  <si>
    <t>02/25/2019</t>
  </si>
  <si>
    <t>132000</t>
  </si>
  <si>
    <t>02/26/2019</t>
  </si>
  <si>
    <t>Ohio, Virginia, West Virginia</t>
  </si>
  <si>
    <t>118781</t>
  </si>
  <si>
    <t>137216</t>
  </si>
  <si>
    <t>157274</t>
  </si>
  <si>
    <t>94048</t>
  </si>
  <si>
    <t>Connecticut, Massachusetts, New Hampshire, Maine, Vermont, Rhode Island</t>
  </si>
  <si>
    <t>72332</t>
  </si>
  <si>
    <t>02/27/2019</t>
  </si>
  <si>
    <t>02/28/2019</t>
  </si>
  <si>
    <t>Oklahoma, Arkansas, Louisiana</t>
  </si>
  <si>
    <t>03/04/2019</t>
  </si>
  <si>
    <t>03/08/2019</t>
  </si>
  <si>
    <t>Oklahoma:</t>
  </si>
  <si>
    <t>03/05/2019</t>
  </si>
  <si>
    <t>California: Kern County, Los Angeles County; Utah: Salt Lake County; Wyoming: Converse County;</t>
  </si>
  <si>
    <t>Cyber event that causes interruptions of electrical system operations.</t>
  </si>
  <si>
    <t>03/13/2019</t>
  </si>
  <si>
    <t>03/16/2019</t>
  </si>
  <si>
    <t>54290</t>
  </si>
  <si>
    <t>03/14/2019</t>
  </si>
  <si>
    <t>Colorado: Jefferson County;</t>
  </si>
  <si>
    <t>58</t>
  </si>
  <si>
    <t>58379</t>
  </si>
  <si>
    <t>Texas: Midland County, Ector County, Tarrant County, Dallas County, Wichita County, Brown County;</t>
  </si>
  <si>
    <t>154124</t>
  </si>
  <si>
    <t>Texas: Kansas: Oklahoma:</t>
  </si>
  <si>
    <t>66000</t>
  </si>
  <si>
    <t>03/19/2019</t>
  </si>
  <si>
    <t>03/21/2019</t>
  </si>
  <si>
    <t xml:space="preserve">Physical attack that could potentially impact electric power system adequacy or reliability; or vandalism which targets components of any security systems. </t>
  </si>
  <si>
    <t>03/25/2019</t>
  </si>
  <si>
    <t>Oregon: Lane County;</t>
  </si>
  <si>
    <t>03/29/2019</t>
  </si>
  <si>
    <t>03/30/2019</t>
  </si>
  <si>
    <t>California: San Diego County, Los Angeles County;</t>
  </si>
  <si>
    <t>04/01/2019</t>
  </si>
  <si>
    <t>04/06/2019</t>
  </si>
  <si>
    <t>Nevada: Carson City, Consolidated Municipality of[19], Washoe County, Churchill County;</t>
  </si>
  <si>
    <t>New York: Broome County;</t>
  </si>
  <si>
    <t>New York: Monroe County;</t>
  </si>
  <si>
    <t>04/02/2019</t>
  </si>
  <si>
    <t>04/03/2019</t>
  </si>
  <si>
    <t>04/04/2019</t>
  </si>
  <si>
    <t>04/07/2019</t>
  </si>
  <si>
    <t>04/08/2019</t>
  </si>
  <si>
    <t>537</t>
  </si>
  <si>
    <t>231956</t>
  </si>
  <si>
    <t>04/10/2019</t>
  </si>
  <si>
    <t>04/11/2019</t>
  </si>
  <si>
    <t>Oregon: Washington:</t>
  </si>
  <si>
    <t>04/12/2019</t>
  </si>
  <si>
    <t>Minnesota: Martin County;</t>
  </si>
  <si>
    <t>04/13/2019</t>
  </si>
  <si>
    <t>Mississippi: Arkansas: Texas: Louisiana:</t>
  </si>
  <si>
    <t>60467</t>
  </si>
  <si>
    <t>04/15/2019</t>
  </si>
  <si>
    <t>75290</t>
  </si>
  <si>
    <t>Minnesota:</t>
  </si>
  <si>
    <t>04/16/2019</t>
  </si>
  <si>
    <t>04/17/2019</t>
  </si>
  <si>
    <t>Arizona:</t>
  </si>
  <si>
    <t>04/18/2019</t>
  </si>
  <si>
    <t>04/19/2019</t>
  </si>
  <si>
    <t>Colorado: Clear Creek County;</t>
  </si>
  <si>
    <t>Alabama: Mississippi: Georgia: Florida:</t>
  </si>
  <si>
    <t>116</t>
  </si>
  <si>
    <t>34695</t>
  </si>
  <si>
    <t>04/21/2019</t>
  </si>
  <si>
    <t>04/25/2019</t>
  </si>
  <si>
    <t>Firm load shedding of 100 Megawatts or more implemented under emergency operational policy.</t>
  </si>
  <si>
    <t>150</t>
  </si>
  <si>
    <t>51366</t>
  </si>
  <si>
    <t>04/26/2019</t>
  </si>
  <si>
    <t>7</t>
  </si>
  <si>
    <t>5830</t>
  </si>
  <si>
    <t>04/27/2019</t>
  </si>
  <si>
    <t>54071</t>
  </si>
  <si>
    <t>Massachusetts: Hampden County[13];</t>
  </si>
  <si>
    <t>04/28/2019</t>
  </si>
  <si>
    <t>04/29/2019</t>
  </si>
  <si>
    <t>04/30/2019</t>
  </si>
  <si>
    <t>Virginia: Surry County;</t>
  </si>
  <si>
    <t>05/08/2019</t>
  </si>
  <si>
    <t>Pennsylvania: Mercer County;</t>
  </si>
  <si>
    <t>29</t>
  </si>
  <si>
    <t>05/13/2019</t>
  </si>
  <si>
    <t>Louisiana: Texas:</t>
  </si>
  <si>
    <t>Severe Weather/Distribution Interruption</t>
  </si>
  <si>
    <t>65844</t>
  </si>
  <si>
    <t>05/09/2019</t>
  </si>
  <si>
    <t>05/11/2019</t>
  </si>
  <si>
    <t>691</t>
  </si>
  <si>
    <t>238015</t>
  </si>
  <si>
    <t>05/10/2019</t>
  </si>
  <si>
    <t>61008</t>
  </si>
  <si>
    <t>05/15/2019</t>
  </si>
  <si>
    <t>05/18/2019</t>
  </si>
  <si>
    <t>05/20/2019</t>
  </si>
  <si>
    <t>Texas: Ector County, Midland County, Tarrant County, Dallas County, Stephens County, Anderson County, McLennan County, Ellis County, Hunt County, Young County, Bell County, Limestone County, Collin County, Rockwall County, Henderson County, Parker County, Falls County, Freestone County, Kaufman County, Grayson County, Smith County;</t>
  </si>
  <si>
    <t>68000</t>
  </si>
  <si>
    <t>Colorado: Wyoming: Nebraska: Utah: Daggett County; New Mexico:</t>
  </si>
  <si>
    <t>05/23/2019</t>
  </si>
  <si>
    <t>05/24/2019</t>
  </si>
  <si>
    <t>Kentucky: Shelby County;</t>
  </si>
  <si>
    <t>05/25/2019</t>
  </si>
  <si>
    <t>North Dakota: Minnesota:</t>
  </si>
  <si>
    <t>20</t>
  </si>
  <si>
    <t>10961</t>
  </si>
  <si>
    <t>05/27/2019</t>
  </si>
  <si>
    <t>05/28/2019</t>
  </si>
  <si>
    <t>Ohio: Montgomery County, Darke County, Mercer County, Miami County, Greene County;</t>
  </si>
  <si>
    <t>347</t>
  </si>
  <si>
    <t>06/02/2019</t>
  </si>
  <si>
    <t>06/04/2019</t>
  </si>
  <si>
    <t>Nevada: Washoe County;</t>
  </si>
  <si>
    <t>06/05/2019</t>
  </si>
  <si>
    <t>South Dakota: Lincoln County;</t>
  </si>
  <si>
    <t>06/06/2019</t>
  </si>
  <si>
    <t>55017</t>
  </si>
  <si>
    <t>06/07/2019</t>
  </si>
  <si>
    <t>Texas: Pecos County;</t>
  </si>
  <si>
    <t>06/08/2019</t>
  </si>
  <si>
    <t>Texas: Potter County;</t>
  </si>
  <si>
    <t>06/09/2019</t>
  </si>
  <si>
    <t>06/13/2019</t>
  </si>
  <si>
    <t>Texas: Collin County, Dallas County, Denton County, Palo Pinto County, Tarrant County, Ellis County, Williamson County;</t>
  </si>
  <si>
    <t>558000</t>
  </si>
  <si>
    <t>06/11/2019</t>
  </si>
  <si>
    <t>North Dakota: Mountrail County, Williams County;</t>
  </si>
  <si>
    <t>06/12/2019</t>
  </si>
  <si>
    <t>California: Imperial County, Riverside County;</t>
  </si>
  <si>
    <t>982</t>
  </si>
  <si>
    <t>30907</t>
  </si>
  <si>
    <t>06/16/2019</t>
  </si>
  <si>
    <t>06/17/2019</t>
  </si>
  <si>
    <t>Texas: Dallas County, Tarrant County, Collin County, Denton County;</t>
  </si>
  <si>
    <t>340000</t>
  </si>
  <si>
    <t>06/18/2019</t>
  </si>
  <si>
    <t>Washington: Grant County;</t>
  </si>
  <si>
    <t>06/19/2019</t>
  </si>
  <si>
    <t>06/20/2019</t>
  </si>
  <si>
    <t>82045</t>
  </si>
  <si>
    <t>06/21/2019</t>
  </si>
  <si>
    <t>Kentucky: Tennessee:</t>
  </si>
  <si>
    <t>06/22/2019</t>
  </si>
  <si>
    <t>06/23/2019</t>
  </si>
  <si>
    <t>115</t>
  </si>
  <si>
    <t>34637</t>
  </si>
  <si>
    <t>06/25/2019</t>
  </si>
  <si>
    <t>Texas: Dallas County, Denton County, Ellis County, Collin County, Ellis County, Hood County, Johnson County, Kaufman County;</t>
  </si>
  <si>
    <t>265000</t>
  </si>
  <si>
    <t>47</t>
  </si>
  <si>
    <t>16199</t>
  </si>
  <si>
    <t>06/24/2019</t>
  </si>
  <si>
    <t>Oklahoma: Oklahoma County;</t>
  </si>
  <si>
    <t>56451</t>
  </si>
  <si>
    <t>06/26/2019</t>
  </si>
  <si>
    <t>North Dakota: Williams County;</t>
  </si>
  <si>
    <t>53</t>
  </si>
  <si>
    <t>06/28/2019</t>
  </si>
  <si>
    <t>Idaho: Nez Perce County;</t>
  </si>
  <si>
    <t>06/30/2019</t>
  </si>
  <si>
    <t>New York: Nassau County, Suffolk County;</t>
  </si>
  <si>
    <t>3189</t>
  </si>
  <si>
    <t>52498</t>
  </si>
  <si>
    <t>Illinois: Cook County, DeKalb County, DuPage County, Grundy County, Iroquois County, Ford County, Lake County, Kendall County, Kankakee County, Kane County, Ogle County;</t>
  </si>
  <si>
    <t>07/02/2019</t>
  </si>
  <si>
    <t>07/06/2019</t>
  </si>
  <si>
    <t>07/07/2019</t>
  </si>
  <si>
    <t>Mississippi: Panola County;</t>
  </si>
  <si>
    <t>3000</t>
  </si>
  <si>
    <t>07/09/2019</t>
  </si>
  <si>
    <t>Texas: Louisiana: Arkansas: Mississippi:</t>
  </si>
  <si>
    <t>07/10/2019</t>
  </si>
  <si>
    <t>07/12/2019</t>
  </si>
  <si>
    <t>Texas: Collin County, Dallas County, Denton County, Hood County, Johnson County, Tarrant County;</t>
  </si>
  <si>
    <t>07/11/2019</t>
  </si>
  <si>
    <t>Texas: Lynn County;</t>
  </si>
  <si>
    <t>26</t>
  </si>
  <si>
    <t>2043</t>
  </si>
  <si>
    <t>07/13/2019</t>
  </si>
  <si>
    <t>07/14/2019</t>
  </si>
  <si>
    <t>Louisiana: Acadia Parish, Avoyelles Parish, Catahoula Parish, Evangeline Parish, Grant Parish, Iberia Parish, LaSalle Parish, Natchitoches Parish, Rapides Parish, Sabine Parish, St. Landry Parish, St. Martin Parish, St. Mary Parish, St. Tammany Parish, Allen Parish, Beauregard Parish, Calcasieu Parish, Vermilion Parish, De Soto Parish, Jefferson Davis Parish, Red River Parish, Tangipahoa Parish, Vernon Parish, Washington Parish;</t>
  </si>
  <si>
    <t>63000</t>
  </si>
  <si>
    <t>55730</t>
  </si>
  <si>
    <t>452</t>
  </si>
  <si>
    <t>72669</t>
  </si>
  <si>
    <t>07/17/2019</t>
  </si>
  <si>
    <t>07/19/2019</t>
  </si>
  <si>
    <t>07/21/2019</t>
  </si>
  <si>
    <t>400000</t>
  </si>
  <si>
    <t>Wisconsin: Dane County;</t>
  </si>
  <si>
    <t>07/20/2019</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</si>
  <si>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</si>
  <si>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07/23/2019</t>
  </si>
  <si>
    <t>Wisconsin: Michigan:</t>
  </si>
  <si>
    <t>07/22/2019</t>
  </si>
  <si>
    <t>Michigan: Kent County, Newaygo County, Mecosta County, Montcalm County, Isabella County, Ionia County, Allegan County, Barry County;</t>
  </si>
  <si>
    <t>New York: Kings County, New York County, Queens County, Bronx County, Westchester County, Richmond County;</t>
  </si>
  <si>
    <t>60</t>
  </si>
  <si>
    <t>45000</t>
  </si>
  <si>
    <t>07/24/2019</t>
  </si>
  <si>
    <t>Pennsylvania: Bucks County, Delaware County;</t>
  </si>
  <si>
    <t>07/25/2019</t>
  </si>
  <si>
    <t>New Jersey: Gloucester County;</t>
  </si>
  <si>
    <t>49</t>
  </si>
  <si>
    <t>95600</t>
  </si>
  <si>
    <t>California: Santa Cruz County;</t>
  </si>
  <si>
    <t>25</t>
  </si>
  <si>
    <t>Nebraska: Scotts Bluff County;</t>
  </si>
  <si>
    <t>54</t>
  </si>
  <si>
    <t>54535</t>
  </si>
  <si>
    <t>07/28/2019</t>
  </si>
  <si>
    <t>07/30/2019</t>
  </si>
  <si>
    <t>13720</t>
  </si>
  <si>
    <t>08/02/2019</t>
  </si>
  <si>
    <t>Minnesota: Chisago County;</t>
  </si>
  <si>
    <t>08/05/2019</t>
  </si>
  <si>
    <t>08/06/2019</t>
  </si>
  <si>
    <t>Oregon: Umatilla County;</t>
  </si>
  <si>
    <t>66</t>
  </si>
  <si>
    <t>08/07/2019</t>
  </si>
  <si>
    <t>Washington: Pierce County;</t>
  </si>
  <si>
    <t>08/08/2019</t>
  </si>
  <si>
    <t>5600</t>
  </si>
  <si>
    <t>08/09/2019</t>
  </si>
  <si>
    <t>08/10/2019</t>
  </si>
  <si>
    <t>08/13/2019</t>
  </si>
  <si>
    <t>California: Placer County;</t>
  </si>
  <si>
    <t>Uncontrolled loss of 300 Megawatts or more of firm system loads for 15 minutes or more from a single incident.</t>
  </si>
  <si>
    <t>North Dakota: Mercer County;</t>
  </si>
  <si>
    <t>08/15/2019</t>
  </si>
  <si>
    <t>08/16/2019</t>
  </si>
  <si>
    <t>California: Marin County;</t>
  </si>
  <si>
    <t>61318</t>
  </si>
  <si>
    <t>Kentucky: Ohio County;</t>
  </si>
  <si>
    <t>District of Columbia: Maryland:</t>
  </si>
  <si>
    <t>08/18/2019</t>
  </si>
  <si>
    <t>08/18/2018</t>
  </si>
  <si>
    <t>752</t>
  </si>
  <si>
    <t>86373</t>
  </si>
  <si>
    <t>Transmission Interruption/Distribution Interruption</t>
  </si>
  <si>
    <t>259</t>
  </si>
  <si>
    <t>271</t>
  </si>
  <si>
    <t>08/21/2019</t>
  </si>
  <si>
    <t>1397</t>
  </si>
  <si>
    <t>08/24/2019</t>
  </si>
  <si>
    <t>Cyber event that could potentially impact electric power system adequacy or reliability.</t>
  </si>
  <si>
    <t>08/25/2019</t>
  </si>
  <si>
    <t>08/26/2019</t>
  </si>
  <si>
    <t>North Dakota:</t>
  </si>
  <si>
    <t>08/27/2019</t>
  </si>
  <si>
    <t>08/29/2019</t>
  </si>
  <si>
    <t>103779</t>
  </si>
  <si>
    <t>08/30/2019</t>
  </si>
  <si>
    <t>08/31/2019</t>
  </si>
  <si>
    <t>Pennsylvania: New Jersey:</t>
  </si>
  <si>
    <t>09/02/2019</t>
  </si>
  <si>
    <t>California: Calaveras County;</t>
  </si>
  <si>
    <t>09/04/2019</t>
  </si>
  <si>
    <t>09/06/2019</t>
  </si>
  <si>
    <t>Maryland: District of Columbia:</t>
  </si>
  <si>
    <t>09/05/2019</t>
  </si>
  <si>
    <t>2000</t>
  </si>
  <si>
    <t>116000</t>
  </si>
  <si>
    <t>172278</t>
  </si>
  <si>
    <t>77000</t>
  </si>
  <si>
    <t>09/10/2019</t>
  </si>
  <si>
    <t>885</t>
  </si>
  <si>
    <t>09/11/2019</t>
  </si>
  <si>
    <t>Michigan: Ionia County, Kent County, Barry County, Montcalm County, Allegan County, Ottawa County, Newaygo County;</t>
  </si>
  <si>
    <t>54000</t>
  </si>
  <si>
    <t>09/13/2019</t>
  </si>
  <si>
    <t>09/16/2019</t>
  </si>
  <si>
    <t>09/19/2019</t>
  </si>
  <si>
    <t>Minnesota: Washington County;</t>
  </si>
  <si>
    <t>Arizona: Pima County;</t>
  </si>
  <si>
    <t>09/20/2019</t>
  </si>
  <si>
    <t>09/24/2019</t>
  </si>
  <si>
    <t>09/26/2019</t>
  </si>
  <si>
    <t>09/25/2019</t>
  </si>
  <si>
    <t>Wisconsin: Marathon County;</t>
  </si>
  <si>
    <t>California: Napa County, Nevada County, Placer County, Plumas County, Sonoma County, Butte County, Yuba County;</t>
  </si>
  <si>
    <t>69524</t>
  </si>
  <si>
    <t>Maryland: Baltimore County;</t>
  </si>
  <si>
    <t>09/29/2019</t>
  </si>
  <si>
    <t>California: Alameda County;</t>
  </si>
  <si>
    <t>50072</t>
  </si>
  <si>
    <t>09/30/2019</t>
  </si>
  <si>
    <t>3736</t>
  </si>
  <si>
    <t>Idaho: Bonneville County;</t>
  </si>
  <si>
    <t>10/03/2019</t>
  </si>
  <si>
    <t>Missouri: Reynolds County;</t>
  </si>
  <si>
    <t>10/04/2019</t>
  </si>
  <si>
    <t>10/06/2019</t>
  </si>
  <si>
    <t>Texas: Hidalgo County, Cameron County;</t>
  </si>
  <si>
    <t>10/09/2019</t>
  </si>
  <si>
    <t>2400</t>
  </si>
  <si>
    <t>737808</t>
  </si>
  <si>
    <t>10/10/2019</t>
  </si>
  <si>
    <t>10/11/2019</t>
  </si>
  <si>
    <t>10/12/2019</t>
  </si>
  <si>
    <t>10/15/2019</t>
  </si>
  <si>
    <t>Kansas: Shawnee County;</t>
  </si>
  <si>
    <t>10/16/2019</t>
  </si>
  <si>
    <t>10/17/2019</t>
  </si>
  <si>
    <t>10/19/2019</t>
  </si>
  <si>
    <t>101683</t>
  </si>
  <si>
    <t>South Dakota: Codington County; Nebraska: Scotts Bluff County;</t>
  </si>
  <si>
    <t>10/20/2019</t>
  </si>
  <si>
    <t>10/25/2019</t>
  </si>
  <si>
    <t>Texas: Cass County, Cameron County, Collin County, Dallas County, Ellis County, Erath County, Hunt County, Kaufman County, Lamar County, Panola County, Rains County, Rockwall County, Rusk County, Tarrant County, Van Zandt County, Wood County;</t>
  </si>
  <si>
    <t>10/23/2019</t>
  </si>
  <si>
    <t>10/24/2019</t>
  </si>
  <si>
    <t>Ohio: Lorain County;</t>
  </si>
  <si>
    <t>South Carolina: Cherokee County;</t>
  </si>
  <si>
    <t>10/26/2019</t>
  </si>
  <si>
    <t>10/31/2019</t>
  </si>
  <si>
    <t>3190</t>
  </si>
  <si>
    <t>972000</t>
  </si>
  <si>
    <t>82124</t>
  </si>
  <si>
    <t>10/29/2019</t>
  </si>
  <si>
    <t>Wisconsin: Brown County, Manitowoc County, Calumet County, Winnebago County, Kewaunee County, Door County, Oconto County, Marinette County, Forest County, Langlade County, Oneida County, Vilas County, Lincoln County, Oneida County, Portage County;</t>
  </si>
  <si>
    <t>10/30/2019</t>
  </si>
  <si>
    <t>11/01/2019</t>
  </si>
  <si>
    <t>California: Los Angeles County, Orange County, Riverside County, San Bernardino County, Ventura County, Kern County;</t>
  </si>
  <si>
    <t>285</t>
  </si>
  <si>
    <t>114402</t>
  </si>
  <si>
    <t>53943</t>
  </si>
  <si>
    <t>11/02/2019</t>
  </si>
  <si>
    <t>11/03/2019</t>
  </si>
  <si>
    <t>8000</t>
  </si>
  <si>
    <t>Connecticut: Maine: Massachusetts: Rhode Island: New Hampshire: Vermont:</t>
  </si>
  <si>
    <t>80066</t>
  </si>
  <si>
    <t>66325</t>
  </si>
  <si>
    <t>11/04/2019</t>
  </si>
  <si>
    <t>Minnesota: Sherburne County;</t>
  </si>
  <si>
    <t>11/05/2019</t>
  </si>
  <si>
    <t>Florida: Duval County;</t>
  </si>
  <si>
    <t>1500</t>
  </si>
  <si>
    <t>Idaho: Elmore County;</t>
  </si>
  <si>
    <t>131</t>
  </si>
  <si>
    <t>11/08/2019</t>
  </si>
  <si>
    <t>Utah: California: Oregon: Wyoming:</t>
  </si>
  <si>
    <t>72</t>
  </si>
  <si>
    <t>11/16/2019</t>
  </si>
  <si>
    <t>Texas: New York: Dutchess County;</t>
  </si>
  <si>
    <t>11/20/2019</t>
  </si>
  <si>
    <t>California: Colusa County, Lake County, Mendocino County, Napa County, Solano County, Sonoma County, Yolo County, Shasta County, Tehama County;</t>
  </si>
  <si>
    <t>178</t>
  </si>
  <si>
    <t>11/22/2019</t>
  </si>
  <si>
    <t>11/26/2019</t>
  </si>
  <si>
    <t>11/27/2019</t>
  </si>
  <si>
    <t>93000</t>
  </si>
  <si>
    <t>California: Santa Clara County;</t>
  </si>
  <si>
    <t>35</t>
  </si>
  <si>
    <t>11/30/2019</t>
  </si>
  <si>
    <t>Michigan: Tuscola County, Sanilac County, Huron County, St. Clair County, Macomb County, Oakland County, Wayne County, Livingston County, Washtenaw County, Monroe County;</t>
  </si>
  <si>
    <t>107000</t>
  </si>
  <si>
    <t>11/29/2019</t>
  </si>
  <si>
    <t>12/01/2019</t>
  </si>
  <si>
    <t>Texas: Dawson County;</t>
  </si>
  <si>
    <t>Damage or destruction of a Facility within its Reliability Coordinator Area, Balancing Authority Area or Transmission Operator Area that results in action(s) to avoid a Bulk Electric System Emergency.</t>
  </si>
  <si>
    <t>12/03/2019</t>
  </si>
  <si>
    <t>Alabama: Covington County;</t>
  </si>
  <si>
    <t>12/05/2019</t>
  </si>
  <si>
    <t>12/09/2019</t>
  </si>
  <si>
    <t>Ohio: Kentucky:</t>
  </si>
  <si>
    <t>Washington: Chelan County;</t>
  </si>
  <si>
    <t>12/07/2019</t>
  </si>
  <si>
    <t>12/08/2019</t>
  </si>
  <si>
    <t>Oklahoma: Stephens County;</t>
  </si>
  <si>
    <t>400</t>
  </si>
  <si>
    <t>Texas: Dallas County;</t>
  </si>
  <si>
    <t>12/11/2019</t>
  </si>
  <si>
    <t>392</t>
  </si>
  <si>
    <t>North Dakota: Burleigh County;</t>
  </si>
  <si>
    <t>18</t>
  </si>
  <si>
    <t>12/16/2019</t>
  </si>
  <si>
    <t>12/17/2019</t>
  </si>
  <si>
    <t>12/18/2019</t>
  </si>
  <si>
    <t>12/19/2019</t>
  </si>
  <si>
    <t>12/24/2019</t>
  </si>
  <si>
    <t>12/31/2019</t>
  </si>
  <si>
    <t>01/01/2020</t>
  </si>
  <si>
    <t>OE-417 Electric Emergency and Disturbance Report - Calendar Year 2020</t>
  </si>
  <si>
    <t>01/09/2020</t>
  </si>
  <si>
    <t>Arkansas: Yell County;</t>
  </si>
  <si>
    <t>01/10/2020</t>
  </si>
  <si>
    <t>Minnesota: North Dakota: Wisconsin:</t>
  </si>
  <si>
    <t>Electrical System Separation (Islanding) where part or parts of power grid remain(s) operational in an otherwise blacked out area or within the partial failure of an integrated electrical system.</t>
  </si>
  <si>
    <t>Tennessee: Hamilton County;</t>
  </si>
  <si>
    <t>01/11/2020</t>
  </si>
  <si>
    <t>Arkansas: Cross County;</t>
  </si>
  <si>
    <t>22</t>
  </si>
  <si>
    <t>7541</t>
  </si>
  <si>
    <t>01/12/2020</t>
  </si>
  <si>
    <t>66475</t>
  </si>
  <si>
    <t>Arkansas: Texas:</t>
  </si>
  <si>
    <t>68138</t>
  </si>
  <si>
    <t>219</t>
  </si>
  <si>
    <t>30715</t>
  </si>
  <si>
    <t>Texas: Brazos County;</t>
  </si>
  <si>
    <t>01/14/2020</t>
  </si>
  <si>
    <t>01/16/2020</t>
  </si>
  <si>
    <t>01/17/2020</t>
  </si>
  <si>
    <t>87</t>
  </si>
  <si>
    <t>67864</t>
  </si>
  <si>
    <t>01/20/2020</t>
  </si>
  <si>
    <t>01/22/2020</t>
  </si>
  <si>
    <t>Nevada: Humboldt County;</t>
  </si>
  <si>
    <t>3120</t>
  </si>
  <si>
    <t>01/23/2020</t>
  </si>
  <si>
    <t>01/24/2020</t>
  </si>
  <si>
    <t>Florida: Manatee County;</t>
  </si>
  <si>
    <t>01/27/2020</t>
  </si>
  <si>
    <t>North Dakota: South Dakota: Montana:</t>
  </si>
  <si>
    <t>130000</t>
  </si>
  <si>
    <t>01/30/2020</t>
  </si>
  <si>
    <t>75</t>
  </si>
  <si>
    <t>01/31/2020</t>
  </si>
  <si>
    <t>02/03/2020</t>
  </si>
  <si>
    <t>02/06/2020</t>
  </si>
  <si>
    <t>02/07/2020</t>
  </si>
  <si>
    <t>284256</t>
  </si>
  <si>
    <t>89500</t>
  </si>
  <si>
    <t>02/08/2020</t>
  </si>
  <si>
    <t>123359</t>
  </si>
  <si>
    <t>02/10/2020</t>
  </si>
  <si>
    <t>7500</t>
  </si>
  <si>
    <t>52000</t>
  </si>
  <si>
    <t>Virginia: North Carolina:</t>
  </si>
  <si>
    <t>87000</t>
  </si>
  <si>
    <t>02/09/2020</t>
  </si>
  <si>
    <t>California: Alameda County, Contra Costa County, El Dorado County, Nevada County, Placer County, Sierra County, Santa Clara County, Napa County, Marin County, Santa Cruz County;</t>
  </si>
  <si>
    <t>145000</t>
  </si>
  <si>
    <t>02/11/2020</t>
  </si>
  <si>
    <t>Texas: Sterling County;</t>
  </si>
  <si>
    <t>Oregon: Clackamas County;</t>
  </si>
  <si>
    <t>02/12/2020</t>
  </si>
  <si>
    <t>02/13/2020</t>
  </si>
  <si>
    <t>02/17/2020</t>
  </si>
  <si>
    <t>97</t>
  </si>
  <si>
    <t>02/20/2020</t>
  </si>
  <si>
    <t>Michigan: Eaton County;</t>
  </si>
  <si>
    <t>Northern and Central California;</t>
  </si>
  <si>
    <t>91</t>
  </si>
  <si>
    <t>02/18/2020</t>
  </si>
  <si>
    <t>02/25/2020</t>
  </si>
  <si>
    <t>02/26/2020</t>
  </si>
  <si>
    <t>South Dakota: Wyoming: Colorado:</t>
  </si>
  <si>
    <t>02/29/2020</t>
  </si>
  <si>
    <t>Nevada: Clark County, Washoe County;</t>
  </si>
  <si>
    <t>03/01/2020</t>
  </si>
  <si>
    <t>Mississippi: Rankin County;</t>
  </si>
  <si>
    <t>19</t>
  </si>
  <si>
    <t>3136</t>
  </si>
  <si>
    <t>Western NY</t>
  </si>
  <si>
    <t>03/02/2020</t>
  </si>
  <si>
    <t>03/03/2020</t>
  </si>
  <si>
    <t>Alabama:</t>
  </si>
  <si>
    <t>03/08/2020</t>
  </si>
  <si>
    <t>03/09/2020</t>
  </si>
  <si>
    <t>Texas: Llano County;</t>
  </si>
  <si>
    <t>03/12/2020</t>
  </si>
  <si>
    <t>15864</t>
  </si>
  <si>
    <t>03/16/2020</t>
  </si>
  <si>
    <t>165</t>
  </si>
  <si>
    <t>110800</t>
  </si>
  <si>
    <t>03/17/2020</t>
  </si>
  <si>
    <t>Michigan: Washtenaw County;</t>
  </si>
  <si>
    <t>6062</t>
  </si>
  <si>
    <t>03/18/2020</t>
  </si>
  <si>
    <t>237</t>
  </si>
  <si>
    <t>73000</t>
  </si>
  <si>
    <t>03/19/2020</t>
  </si>
  <si>
    <t>03/20/2020</t>
  </si>
  <si>
    <t>Connecticut: Massachusetts: Rhode Island: Maine: New Hampshire: Vermont:</t>
  </si>
  <si>
    <t>03/21/2020</t>
  </si>
  <si>
    <t>Connecticut: Massachusetts:</t>
  </si>
  <si>
    <t>03/23/2020</t>
  </si>
  <si>
    <t>03/25/2020</t>
  </si>
  <si>
    <t>Wisconsin: Columbia County;</t>
  </si>
  <si>
    <t>1018</t>
  </si>
  <si>
    <t>03/24/2020</t>
  </si>
  <si>
    <t>California: Nevada County;</t>
  </si>
  <si>
    <t>51026</t>
  </si>
  <si>
    <t>03/26/2020</t>
  </si>
  <si>
    <t>11964</t>
  </si>
  <si>
    <t>03/27/2020</t>
  </si>
  <si>
    <t>Delaware: Kent County, New Castle County, Sussex County; Maryland: Cecil County, Harford County, Talbot County, Kent County, Queen Anne&amp;#39;s County, Dorchester County, Wicomico County, Worcester County, Somerset County;</t>
  </si>
  <si>
    <t>New Jersey: Atlantic County, Cape May County, Cumberland County, Gloucester County, Salem County;</t>
  </si>
  <si>
    <t>03/29/2020</t>
  </si>
  <si>
    <t>1558</t>
  </si>
  <si>
    <t>03/31/2020</t>
  </si>
  <si>
    <t>412</t>
  </si>
  <si>
    <t>57744</t>
  </si>
  <si>
    <t>04/01/2020</t>
  </si>
  <si>
    <t>Illinois: Williamson County;</t>
  </si>
  <si>
    <t>04/02/2020</t>
  </si>
  <si>
    <t>Nebraska: York County;</t>
  </si>
  <si>
    <t>Washington: Wallula</t>
  </si>
  <si>
    <t>04/03/2020</t>
  </si>
  <si>
    <t>04/05/2020</t>
  </si>
  <si>
    <t>Texas: Cameron County;</t>
  </si>
  <si>
    <t>6814</t>
  </si>
  <si>
    <t>04/07/2020</t>
  </si>
  <si>
    <t>04/08/2020</t>
  </si>
  <si>
    <t>04/09/2020</t>
  </si>
  <si>
    <t>78314</t>
  </si>
  <si>
    <t>82509</t>
  </si>
  <si>
    <t>04/10/2020</t>
  </si>
  <si>
    <t>04/11/2020</t>
  </si>
  <si>
    <t>Nevada: White Pine County;</t>
  </si>
  <si>
    <t>Wyoming:</t>
  </si>
  <si>
    <t>Utah: Salt Lake City</t>
  </si>
  <si>
    <t>04/12/2020</t>
  </si>
  <si>
    <t>95318</t>
  </si>
  <si>
    <t>Louisiana: Acadia Parish, Iberville Parish, Jefferson Davis Parish, Concordia Parish, Winn Parish, Catahoula Parish, Terrebonne Parish, St. Mary Parish;</t>
  </si>
  <si>
    <t>122</t>
  </si>
  <si>
    <t>37991</t>
  </si>
  <si>
    <t>04/14/2020</t>
  </si>
  <si>
    <t>51000</t>
  </si>
  <si>
    <t>04/15/2020</t>
  </si>
  <si>
    <t>Mississippi: Alabama: Georgia:</t>
  </si>
  <si>
    <t>448</t>
  </si>
  <si>
    <t>62828</t>
  </si>
  <si>
    <t>04/13/2020</t>
  </si>
  <si>
    <t>63289</t>
  </si>
  <si>
    <t>216400</t>
  </si>
  <si>
    <t>72233</t>
  </si>
  <si>
    <t>68476</t>
  </si>
  <si>
    <t>04/16/2020</t>
  </si>
  <si>
    <t>04/18/2020</t>
  </si>
  <si>
    <t>04/19/2020</t>
  </si>
  <si>
    <t>04/20/2020</t>
  </si>
  <si>
    <t>South Dakota: Deuel County;</t>
  </si>
  <si>
    <t>552</t>
  </si>
  <si>
    <t>77341</t>
  </si>
  <si>
    <t>04/23/2020</t>
  </si>
  <si>
    <t>Mississippi: Arkansas: Louisiana:</t>
  </si>
  <si>
    <t>55184</t>
  </si>
  <si>
    <t>375</t>
  </si>
  <si>
    <t>52163</t>
  </si>
  <si>
    <t>04/24/2020</t>
  </si>
  <si>
    <t>California: Placer County, Nevada County;</t>
  </si>
  <si>
    <t>945</t>
  </si>
  <si>
    <t>04/25/2020</t>
  </si>
  <si>
    <t>04/26/2020</t>
  </si>
  <si>
    <t>04/28/2020</t>
  </si>
  <si>
    <t>Texas: Jefferson County;</t>
  </si>
  <si>
    <t>14</t>
  </si>
  <si>
    <t>04/29/2020</t>
  </si>
  <si>
    <t>77933</t>
  </si>
  <si>
    <t>146660</t>
  </si>
  <si>
    <t>04/30/2020</t>
  </si>
  <si>
    <t>Pennsylvania: Bucks County, Chester County, Delaware County, Montgomery County, Philadelphia County, York County;</t>
  </si>
  <si>
    <t>78007</t>
  </si>
  <si>
    <t>05/04/2020</t>
  </si>
  <si>
    <t>05/07/2020</t>
  </si>
  <si>
    <t>Tennessee: Davidson County;</t>
  </si>
  <si>
    <t>05/08/2020</t>
  </si>
  <si>
    <t>05/13/2020</t>
  </si>
  <si>
    <t>05/14/2020</t>
  </si>
  <si>
    <t>Indiana: Hendricks County;</t>
  </si>
  <si>
    <t>Oregon: Jackson County;</t>
  </si>
  <si>
    <t>05/15/2020</t>
  </si>
  <si>
    <t>05/17/2020</t>
  </si>
  <si>
    <t>52</t>
  </si>
  <si>
    <t>05/16/2020</t>
  </si>
  <si>
    <t>05/18/2020</t>
  </si>
  <si>
    <t>05/19/2020</t>
  </si>
  <si>
    <t>Alabama: Jefferson County;</t>
  </si>
  <si>
    <t>6000</t>
  </si>
  <si>
    <t>05/20/2020</t>
  </si>
  <si>
    <t>05/22/2020</t>
  </si>
  <si>
    <t>05/23/2020</t>
  </si>
  <si>
    <t>108190</t>
  </si>
  <si>
    <t>05/24/2020</t>
  </si>
  <si>
    <t>05/25/2020</t>
  </si>
  <si>
    <t>Texas: Kerr County;</t>
  </si>
  <si>
    <t>3745</t>
  </si>
  <si>
    <t>05/27/2020</t>
  </si>
  <si>
    <t>05/29/2020</t>
  </si>
  <si>
    <t>382000</t>
  </si>
  <si>
    <t>273269</t>
  </si>
  <si>
    <t>Pennsylvania: Warren County;</t>
  </si>
  <si>
    <t>05/31/2020</t>
  </si>
  <si>
    <t>Minnesota: Hennepin County;</t>
  </si>
  <si>
    <t>05/30/2020</t>
  </si>
  <si>
    <t>Ohio: Franklin County;</t>
  </si>
  <si>
    <t>06/01/2020</t>
  </si>
  <si>
    <t>06/02/2020</t>
  </si>
  <si>
    <t>Idaho: Blaine County, Jerome County, Minidoka County, Power County;</t>
  </si>
  <si>
    <t>06/03/2020</t>
  </si>
  <si>
    <t>06/06/2020</t>
  </si>
  <si>
    <t>708000</t>
  </si>
  <si>
    <t>78079</t>
  </si>
  <si>
    <t>06/09/2020</t>
  </si>
  <si>
    <t>06/10/2020</t>
  </si>
  <si>
    <t>Michigan: Oakland County, Macomb County, Wayne County, Sanilac County, Tuscola County, Huron County, Lapeer County, Livingston County, Monroe County;</t>
  </si>
  <si>
    <t>237000</t>
  </si>
  <si>
    <t>Michigan: Gratiot County, Lake County, Missaukee County, Benzie County, Leelanau County, Manistee County, Wexford County, Montcalm County, Kent County, Ottawa County, Van Buren County, St. Joseph County, Arenac County, Saginaw County, Calhoun County, Branch County;</t>
  </si>
  <si>
    <t>270000</t>
  </si>
  <si>
    <t>06/11/2020</t>
  </si>
  <si>
    <t>Ohio: Indiana: Kentucky: West Virginia:</t>
  </si>
  <si>
    <t>85822</t>
  </si>
  <si>
    <t>06/12/2020</t>
  </si>
  <si>
    <t>Michigan: Houghton County;</t>
  </si>
  <si>
    <t>06/18/2020</t>
  </si>
  <si>
    <t>06/22/2020</t>
  </si>
  <si>
    <t>Kentucky: Gallatin County;</t>
  </si>
  <si>
    <t>06/21/2020</t>
  </si>
  <si>
    <t>Pennsylvania: Allegheny County, Beaver County;</t>
  </si>
  <si>
    <t>06/25/2020</t>
  </si>
  <si>
    <t>Kentucky: Madison County;</t>
  </si>
  <si>
    <t>06/26/2020</t>
  </si>
  <si>
    <t>06/29/2020</t>
  </si>
  <si>
    <t>North Dakota: Mountrail County;</t>
  </si>
  <si>
    <t>06/27/2020</t>
  </si>
  <si>
    <t>06/28/2020</t>
  </si>
  <si>
    <t>33480</t>
  </si>
  <si>
    <t>78109</t>
  </si>
  <si>
    <t>Arkansas: Garland County;</t>
  </si>
  <si>
    <t>06/30/2020</t>
  </si>
  <si>
    <t>07/01/2020</t>
  </si>
  <si>
    <t>2013</t>
  </si>
  <si>
    <t>07/02/2020</t>
  </si>
  <si>
    <t>07/06/2020</t>
  </si>
  <si>
    <t>New York: Kings County;</t>
  </si>
  <si>
    <t>07/07/2020</t>
  </si>
  <si>
    <t>07/08/2020</t>
  </si>
  <si>
    <t>West Virginia: Wyoming County;</t>
  </si>
  <si>
    <t>07/09/2020</t>
  </si>
  <si>
    <t>Washington: Thurston County;</t>
  </si>
  <si>
    <t>07/11/2020</t>
  </si>
  <si>
    <t>07/12/2020</t>
  </si>
  <si>
    <t>Oklahoma: Arkansas:</t>
  </si>
  <si>
    <t>94700</t>
  </si>
  <si>
    <t>07/13/2020</t>
  </si>
  <si>
    <t>Texas: Collin County, Dallas County, Denton County, Rockwall County, Tarrant County;</t>
  </si>
  <si>
    <t>48000</t>
  </si>
  <si>
    <t>36</t>
  </si>
  <si>
    <t>07/14/2020</t>
  </si>
  <si>
    <t>07/15/2020</t>
  </si>
  <si>
    <t>07/16/2020</t>
  </si>
  <si>
    <t>475</t>
  </si>
  <si>
    <t>07/17/2020</t>
  </si>
  <si>
    <t>07/19/2020</t>
  </si>
  <si>
    <t>07/21/2020</t>
  </si>
  <si>
    <t>158500</t>
  </si>
  <si>
    <t>New York: Niagara County</t>
  </si>
  <si>
    <t>07/20/2020</t>
  </si>
  <si>
    <t>21</t>
  </si>
  <si>
    <t>14096</t>
  </si>
  <si>
    <t>11000</t>
  </si>
  <si>
    <t>07/22/2020</t>
  </si>
  <si>
    <t>West Virginia: Tucker County;</t>
  </si>
  <si>
    <t>07/24/2020</t>
  </si>
  <si>
    <t>New York: Bronx County;</t>
  </si>
  <si>
    <t>07/25/2020</t>
  </si>
  <si>
    <t>07/26/2020</t>
  </si>
  <si>
    <t>Texas: Hidalgo County, Cameron County, Starr County, Kenedy County, Willacy County, Brooks County, Jim Hogg County;</t>
  </si>
  <si>
    <t>125</t>
  </si>
  <si>
    <t>84000</t>
  </si>
  <si>
    <t>07/27/2020</t>
  </si>
  <si>
    <t>Texas: Nueces County, Kleberg County, Cameron County, Willacy County, Hidalgo County, Starr County, Kenedy County;</t>
  </si>
  <si>
    <t>201208</t>
  </si>
  <si>
    <t>07/28/2020</t>
  </si>
  <si>
    <t>Michigan: Jackson County;</t>
  </si>
  <si>
    <t>07/30/2020</t>
  </si>
  <si>
    <t>08/01/2020</t>
  </si>
  <si>
    <t>08/10/2020</t>
  </si>
  <si>
    <t>Texas: Cameron County, Willacy County, Hidalgo County, Starr County;</t>
  </si>
  <si>
    <t>California: San Diego County;</t>
  </si>
  <si>
    <t>Texas: Cameron County, Hidalgo County, Starr County, Willacy County;</t>
  </si>
  <si>
    <t>08/02/2020</t>
  </si>
  <si>
    <t>Illinois: Rock Island County;</t>
  </si>
  <si>
    <t>08/03/2020</t>
  </si>
  <si>
    <t>Texas: Ector County;</t>
  </si>
  <si>
    <t>08/06/2020</t>
  </si>
  <si>
    <t>Complete loss of off-site power (LOOP) affecting a nuclear generating station per the Nuclear Plant Interface Requirements.</t>
  </si>
  <si>
    <t>08/04/2020</t>
  </si>
  <si>
    <t>08/07/2020</t>
  </si>
  <si>
    <t>New York: Rockland County, Orange County, Sullivan County; New Jersey: Bergen County, Passaic County, Sussex County;</t>
  </si>
  <si>
    <t>New York: Nassau County, Suffolk County, Queens County;</t>
  </si>
  <si>
    <t>3907</t>
  </si>
  <si>
    <t>75000</t>
  </si>
  <si>
    <t>08/05/2020</t>
  </si>
  <si>
    <t>08/08/2020</t>
  </si>
  <si>
    <t>New York: Dutchess County, Orange County, Ulster County;</t>
  </si>
  <si>
    <t>116818</t>
  </si>
  <si>
    <t>508000</t>
  </si>
  <si>
    <t>788000</t>
  </si>
  <si>
    <t>76120</t>
  </si>
  <si>
    <t>1188247</t>
  </si>
  <si>
    <t>New York: Bronx County, Richmond County, Queens County, Kings County, Westchester County, New York County;</t>
  </si>
  <si>
    <t>271119</t>
  </si>
  <si>
    <t>North Carolina: Brunswick County, Columbus County, Pender County, Duplin County, Onslow County, Jones County, Craven County, Jones County, Beaufort County, Bertie County, Chowan County, Gates County, Perquimans County;</t>
  </si>
  <si>
    <t>311</t>
  </si>
  <si>
    <t>125987</t>
  </si>
  <si>
    <t>137103</t>
  </si>
  <si>
    <t>Texas: Orange County;</t>
  </si>
  <si>
    <t>89</t>
  </si>
  <si>
    <t>19785</t>
  </si>
  <si>
    <t>New York: Queens County, New York County;</t>
  </si>
  <si>
    <t>187068</t>
  </si>
  <si>
    <t>Iowa: Webster County, Greene County, Dallas County, Hamilton County, Boone County, Polk County, Hardin County, Story County, Jasper County, Grundy County, Marshall County, Tama County, Poweshiek County, Benton County, Iowa County, Linn County, Johnson County, Jones County, Cedar County, Muscatine County, Jackson County, Clinton County, Scott County;</t>
  </si>
  <si>
    <t>Uncontrolled loss of 200 Megawatts or more of firm system loads for 15 minutes or more from a single incident for entities with previous year's peak demand less than or equal to 3,000 Megawatts.</t>
  </si>
  <si>
    <t>550</t>
  </si>
  <si>
    <t>08/13/2020</t>
  </si>
  <si>
    <t>Illinois: Missouri:</t>
  </si>
  <si>
    <t>135000</t>
  </si>
  <si>
    <t>Iowa:</t>
  </si>
  <si>
    <t>95300</t>
  </si>
  <si>
    <t>Illinois: Cook County, Will County, DuPage County, Lake County, Kane County, Grundy County, LaSalle County, DeKalb County, McHenry County, Lee County;</t>
  </si>
  <si>
    <t>856000</t>
  </si>
  <si>
    <t>New York: Onondaga County;</t>
  </si>
  <si>
    <t>1400</t>
  </si>
  <si>
    <t>Iowa: Dallas County, Polk County, Warren County, Madison County, Johnson County, Scott County; Illinois: Rock Island County, Henry County, Mercer County;</t>
  </si>
  <si>
    <t>950</t>
  </si>
  <si>
    <t>Texas: El Paso County;</t>
  </si>
  <si>
    <t>218</t>
  </si>
  <si>
    <t>57060</t>
  </si>
  <si>
    <t>08/14/2020</t>
  </si>
  <si>
    <t>560</t>
  </si>
  <si>
    <t>220000</t>
  </si>
  <si>
    <t>Louisiana: St. Charles Parish;</t>
  </si>
  <si>
    <t>101</t>
  </si>
  <si>
    <t>12671</t>
  </si>
  <si>
    <t>08/15/2020</t>
  </si>
  <si>
    <t>1120</t>
  </si>
  <si>
    <t>California: Kern County, Kings County, Los Angeles County, Orange County, Riverside County, San Bernardino County, Santa Barbara County, Tulare County, Ventura County;</t>
  </si>
  <si>
    <t>1419</t>
  </si>
  <si>
    <t>08/16/2020</t>
  </si>
  <si>
    <t>Minnesota: Anoka County, Hennepin County, Ramsey County, Washington County;</t>
  </si>
  <si>
    <t>459</t>
  </si>
  <si>
    <t>795</t>
  </si>
  <si>
    <t>California: Inyo County, Kern County, Los Angeles County, Orange County, Riverside County, San Bernardino County, Tulare County, Ventura County;</t>
  </si>
  <si>
    <t>08/18/2020</t>
  </si>
  <si>
    <t>Texas: Collin County, Dallas County, Denton County, Tarrant County, Ellis County, Kaufman County, Johnson County, Anderson County, Angelina County, Grayson County, Smith County, Wichita County;</t>
  </si>
  <si>
    <t>08/17/2020</t>
  </si>
  <si>
    <t>409</t>
  </si>
  <si>
    <t>124266</t>
  </si>
  <si>
    <t>712</t>
  </si>
  <si>
    <t>California: Yuba County;</t>
  </si>
  <si>
    <t>829</t>
  </si>
  <si>
    <t>California: Kings County;</t>
  </si>
  <si>
    <t>Potential Physical Attack</t>
  </si>
  <si>
    <t>Nevada:</t>
  </si>
  <si>
    <t>7800</t>
  </si>
  <si>
    <t>1400000</t>
  </si>
  <si>
    <t>917</t>
  </si>
  <si>
    <t>Texas: Culberson County, Reeves County;</t>
  </si>
  <si>
    <t>205</t>
  </si>
  <si>
    <t>238</t>
  </si>
  <si>
    <t>08/19/2020</t>
  </si>
  <si>
    <t>Ohio: Trumbull County;</t>
  </si>
  <si>
    <t>16107</t>
  </si>
  <si>
    <t>1200</t>
  </si>
  <si>
    <t>08/20/2020</t>
  </si>
  <si>
    <t>Mississippi: Jasper County;</t>
  </si>
  <si>
    <t>Nebraska: Custer County;</t>
  </si>
  <si>
    <t>08/23/2020</t>
  </si>
  <si>
    <t>West Virginia: Putnam County;</t>
  </si>
  <si>
    <t>Texas panhandle, SE NM</t>
  </si>
  <si>
    <t>08/24/2020</t>
  </si>
  <si>
    <t>Texas: Denton County;</t>
  </si>
  <si>
    <t>08/25/2020</t>
  </si>
  <si>
    <t>08/27/2020</t>
  </si>
  <si>
    <t>09/03/2020</t>
  </si>
  <si>
    <t>08/30/2020</t>
  </si>
  <si>
    <t>Complete operational failure or shut-down of the transmission and/or distribution of electrical system.</t>
  </si>
  <si>
    <t>48</t>
  </si>
  <si>
    <t>581</t>
  </si>
  <si>
    <t>08/31/2020</t>
  </si>
  <si>
    <t>Texas: Louisiana:</t>
  </si>
  <si>
    <t>615992</t>
  </si>
  <si>
    <t>47927</t>
  </si>
  <si>
    <t>573</t>
  </si>
  <si>
    <t>Nebraska: Douglas County, Burt County, Washington County, Dodge County, Colfax County, Saunders County, Sarpy County, Cass County, Otoe County, Johnson County, Nemaha County, Pawnee County, Richardson County;</t>
  </si>
  <si>
    <t>08/28/2020</t>
  </si>
  <si>
    <t>60687</t>
  </si>
  <si>
    <t>Texas: Montgomery County, Liberty County;</t>
  </si>
  <si>
    <t>208</t>
  </si>
  <si>
    <t>2900</t>
  </si>
  <si>
    <t>Louisiana: Calcasieu Parish, Beauregard Parish, Iberia Parish, Acadia Parish, Evangeline Parish, Rapides Parish, St. Landry Parish, Vernon Parish;</t>
  </si>
  <si>
    <t>Washington: Oregon:</t>
  </si>
  <si>
    <t>08/29/2020</t>
  </si>
  <si>
    <t>09/01/2020</t>
  </si>
  <si>
    <t>09/04/2020</t>
  </si>
  <si>
    <t>09/05/2020</t>
  </si>
  <si>
    <t>986</t>
  </si>
  <si>
    <t>09/06/2020</t>
  </si>
  <si>
    <t>8180</t>
  </si>
  <si>
    <t>1071</t>
  </si>
  <si>
    <t>Washington: Oregon: California:</t>
  </si>
  <si>
    <t>09/07/2020</t>
  </si>
  <si>
    <t>09/09/2020</t>
  </si>
  <si>
    <t>610</t>
  </si>
  <si>
    <t>172000</t>
  </si>
  <si>
    <t>09/08/2020</t>
  </si>
  <si>
    <t>Washington: Kitsap County, King County, Pierce County;</t>
  </si>
  <si>
    <t>71500</t>
  </si>
  <si>
    <t>21000</t>
  </si>
  <si>
    <t>Oregon: Multnomah County, Washington County, Clackamas County, Marion County, Yamhill County, Polk County;</t>
  </si>
  <si>
    <t>2859</t>
  </si>
  <si>
    <t>103000</t>
  </si>
  <si>
    <t>Michigan: Ingham County;</t>
  </si>
  <si>
    <t>265</t>
  </si>
  <si>
    <t>09/11/2020</t>
  </si>
  <si>
    <t>Idaho:</t>
  </si>
  <si>
    <t>09/15/2020</t>
  </si>
  <si>
    <t>09/20/2020</t>
  </si>
  <si>
    <t>Alabama: Florida: Georgia: Mississippi:</t>
  </si>
  <si>
    <t>236</t>
  </si>
  <si>
    <t>34096</t>
  </si>
  <si>
    <t>09/16/2020</t>
  </si>
  <si>
    <t>09/18/2020</t>
  </si>
  <si>
    <t>Florida: Escambia County;</t>
  </si>
  <si>
    <t>09/21/2020</t>
  </si>
  <si>
    <t>Alabama: Baldwin County;</t>
  </si>
  <si>
    <t>77600</t>
  </si>
  <si>
    <t>Maine: Oxford County;</t>
  </si>
  <si>
    <t>Oklahoma: Canadian County;</t>
  </si>
  <si>
    <t>09/22/2020</t>
  </si>
  <si>
    <t>4350</t>
  </si>
  <si>
    <t>09/23/2020</t>
  </si>
  <si>
    <t>09/26/2020</t>
  </si>
  <si>
    <t>13000</t>
  </si>
  <si>
    <t>09/27/2020</t>
  </si>
  <si>
    <t>09/28/2020</t>
  </si>
  <si>
    <t>102267</t>
  </si>
  <si>
    <t>09/30/2020</t>
  </si>
  <si>
    <t>Connecticut: Maine: Rhode Island: Massachusetts: New Hampshire: Vermont:</t>
  </si>
  <si>
    <t>155000</t>
  </si>
  <si>
    <t>10/02/2020</t>
  </si>
  <si>
    <t>10/04/2020</t>
  </si>
  <si>
    <t>10/07/2020</t>
  </si>
  <si>
    <t>Louisiana: Orleans Parish;</t>
  </si>
  <si>
    <t>183</t>
  </si>
  <si>
    <t>39089</t>
  </si>
  <si>
    <t>10/09/2020</t>
  </si>
  <si>
    <t>186600</t>
  </si>
  <si>
    <t>10/15/2020</t>
  </si>
  <si>
    <t>10/11/2020</t>
  </si>
  <si>
    <t>Louisiana: Acadia Parish, Beauregard Parish, Calcasieu Parish, Evangeline Parish, Iberia Parish, Rapides Parish, Vernon Parish, Avoyelles Parish, Grant Parish, Natchitoches Parish, St. Landry Parish, St. Mary Parish, St. Tammany Parish;</t>
  </si>
  <si>
    <t>132200</t>
  </si>
  <si>
    <t>10/10/2020</t>
  </si>
  <si>
    <t>Louisiana: Texas: Arkansas: Mississippi:</t>
  </si>
  <si>
    <t>477966</t>
  </si>
  <si>
    <t>Louisiana: Lafayette Parish;</t>
  </si>
  <si>
    <t>10/12/2020</t>
  </si>
  <si>
    <t>Florida: Polk County;</t>
  </si>
  <si>
    <t>10/13/2020</t>
  </si>
  <si>
    <t>10/14/2020</t>
  </si>
  <si>
    <t>Washington: Whatcom County, King County, Pierce County, Thurston County, Kittitas County, Kitsap County;</t>
  </si>
  <si>
    <t>76000</t>
  </si>
  <si>
    <t>10/16/2020</t>
  </si>
  <si>
    <t>62</t>
  </si>
  <si>
    <t>10/20/2020</t>
  </si>
  <si>
    <t>Illinois: Massac County;</t>
  </si>
  <si>
    <t>10/22/2020</t>
  </si>
  <si>
    <t>10/23/2020</t>
  </si>
  <si>
    <t>55506</t>
  </si>
  <si>
    <t>10/24/2020</t>
  </si>
  <si>
    <t>10/25/2020</t>
  </si>
  <si>
    <t>10/27/2020</t>
  </si>
  <si>
    <t>1218</t>
  </si>
  <si>
    <t>370000</t>
  </si>
  <si>
    <t>Wisconsin: Milwaukee County; Michigan:</t>
  </si>
  <si>
    <t>10/26/2020</t>
  </si>
  <si>
    <t>11/07/2020</t>
  </si>
  <si>
    <t>Oklahoma: Oklahoma County, Canadian County, Logan County, Cleveland County, Pottawatomie County;</t>
  </si>
  <si>
    <t>447000</t>
  </si>
  <si>
    <t>California: Los Angeles County, Riverside County, San Bernardino County, Orange County, Kern County, Ventura County;</t>
  </si>
  <si>
    <t>136833</t>
  </si>
  <si>
    <t>64</t>
  </si>
  <si>
    <t>235000</t>
  </si>
  <si>
    <t>10/28/2020</t>
  </si>
  <si>
    <t>11/02/2020</t>
  </si>
  <si>
    <t>Alabama: Florida: Mississippi: Georgia:</t>
  </si>
  <si>
    <t>253</t>
  </si>
  <si>
    <t>35478</t>
  </si>
  <si>
    <t>10/29/2020</t>
  </si>
  <si>
    <t>481268</t>
  </si>
  <si>
    <t>Louisiana: St. Tammany Parish, St. Mary Parish;</t>
  </si>
  <si>
    <t>72707</t>
  </si>
  <si>
    <t>10/31/2020</t>
  </si>
  <si>
    <t>461580</t>
  </si>
  <si>
    <t>Alabama: Baldwin County, Butler County, Clarke County, Conecuh County, Escambia County, Lee County, Lowndes County, Macon County, Montgomery County, Pike County, Russell County, Tallapoosa County, Talladega County, Washington County, Monroe County; Florida: Escambia County, Okaloosa County, Walton County, Santa Rosa County;</t>
  </si>
  <si>
    <t>11/01/2020</t>
  </si>
  <si>
    <t>85677</t>
  </si>
  <si>
    <t>11/09/2020</t>
  </si>
  <si>
    <t>11/10/2020</t>
  </si>
  <si>
    <t>New Hampshire: Coos County;</t>
  </si>
  <si>
    <t>11/13/2020</t>
  </si>
  <si>
    <t>11/14/2020</t>
  </si>
  <si>
    <t>11/15/2020</t>
  </si>
  <si>
    <t>123361</t>
  </si>
  <si>
    <t>11/16/2020</t>
  </si>
  <si>
    <t>96809</t>
  </si>
  <si>
    <t>11/18/2020</t>
  </si>
  <si>
    <t>Michigan: Huron County, Livingston County, Macomb County, Monroe County, Wayne County, Washtenaw County, Tuscola County, St. Clair County, Lapeer County, Oakland County;</t>
  </si>
  <si>
    <t>11/17/2020</t>
  </si>
  <si>
    <t>Michigan: Iosco County, Oscoda County, Ogemaw County, Livingston County, Ionia County, Barry County;</t>
  </si>
  <si>
    <t>57327</t>
  </si>
  <si>
    <t>62408</t>
  </si>
  <si>
    <t>Ohio: West Virginia: Virginia: Indiana:</t>
  </si>
  <si>
    <t>Missouri: Jackson County;</t>
  </si>
  <si>
    <t>11/20/2020</t>
  </si>
  <si>
    <t>Texas: Kentucky: Arizona: New Mexico: Oregon: Washington:</t>
  </si>
  <si>
    <t>11/21/2020</t>
  </si>
  <si>
    <t>577</t>
  </si>
  <si>
    <t>11/23/2020</t>
  </si>
  <si>
    <t>11/30/2020</t>
  </si>
  <si>
    <t>12/01/2020</t>
  </si>
  <si>
    <t>Massachusetts: Maine: Connecticut: Rhode Island: Vermont: New Hampshire:</t>
  </si>
  <si>
    <t>170190</t>
  </si>
  <si>
    <t>12/03/2020</t>
  </si>
  <si>
    <t>12/05/2020</t>
  </si>
  <si>
    <t>93</t>
  </si>
  <si>
    <t>12/04/2020</t>
  </si>
  <si>
    <t>California: Kern County, Los Angeles County, Orange County, Riverside County, San Bernardino County, San Diego County, Tulare County, Ventura County;</t>
  </si>
  <si>
    <t>51686</t>
  </si>
  <si>
    <t>271231</t>
  </si>
  <si>
    <t>12/06/2020</t>
  </si>
  <si>
    <t>12/07/2020</t>
  </si>
  <si>
    <t>12/08/2020</t>
  </si>
  <si>
    <t>California: Kern County, Los Angeles County, Orange County, Riverside County, San Bernardino County, Ventura County, Tulare County;</t>
  </si>
  <si>
    <t>286</t>
  </si>
  <si>
    <t>76234</t>
  </si>
  <si>
    <t>12/09/2020</t>
  </si>
  <si>
    <t>Missouri: Kansas:</t>
  </si>
  <si>
    <t>12/10/2020</t>
  </si>
  <si>
    <t>12/12/2020</t>
  </si>
  <si>
    <t>12/11/2020</t>
  </si>
  <si>
    <t>12/13/2020</t>
  </si>
  <si>
    <t>298</t>
  </si>
  <si>
    <t>159239</t>
  </si>
  <si>
    <t>12/14/2020</t>
  </si>
  <si>
    <t>Idaho: Oregon:</t>
  </si>
  <si>
    <t>New Jersey: Pennsylvania: Maryland: Illinois: Delaware: District of Columbia:</t>
  </si>
  <si>
    <t>12/16/2020</t>
  </si>
  <si>
    <t>12/17/2020</t>
  </si>
  <si>
    <t>17000</t>
  </si>
  <si>
    <t>12/18/2020</t>
  </si>
  <si>
    <t>12/20/2020</t>
  </si>
  <si>
    <t>12/22/2020</t>
  </si>
  <si>
    <t>12/24/2020</t>
  </si>
  <si>
    <t>68114</t>
  </si>
  <si>
    <t>12/25/2020</t>
  </si>
  <si>
    <t>Connecticut: Maine: New Hampshire: Massachusetts: Rhode Island: Vermont:</t>
  </si>
  <si>
    <t>19000</t>
  </si>
  <si>
    <t>12/28/2020</t>
  </si>
  <si>
    <t>12/29/2020</t>
  </si>
  <si>
    <t>OE-417 Electric Emergency and Disturbance Report - Calendar Year 2021</t>
  </si>
  <si>
    <t>01/01/2021</t>
  </si>
  <si>
    <t>01/02/2021</t>
  </si>
  <si>
    <t>5803</t>
  </si>
  <si>
    <t>01/04/2021</t>
  </si>
  <si>
    <t>6</t>
  </si>
  <si>
    <t>3825</t>
  </si>
  <si>
    <t>01/08/2021</t>
  </si>
  <si>
    <t>Arkansas: Prairie County;</t>
  </si>
  <si>
    <t>1908</t>
  </si>
  <si>
    <t>01/10/2021</t>
  </si>
  <si>
    <t>01/13/2021</t>
  </si>
  <si>
    <t>Texas: Anderson County, Angelina County, Dallas County, Freestone County, Henderson County, Houston County, Leon County, Nacogdoches County, Smith County, Tarrant County;</t>
  </si>
  <si>
    <t>188000</t>
  </si>
  <si>
    <t>01/11/2021</t>
  </si>
  <si>
    <t>01/12/2021</t>
  </si>
  <si>
    <t>01/15/2021</t>
  </si>
  <si>
    <t>Washington: Kitsap County, Thurston County, King County, Pierce County, Skagit County, Whatcom County;</t>
  </si>
  <si>
    <t>320000</t>
  </si>
  <si>
    <t>Oregon: Clackamas County, Multnomah County, Washington County;</t>
  </si>
  <si>
    <t>94231</t>
  </si>
  <si>
    <t>01/14/2021</t>
  </si>
  <si>
    <t>Washington: Idaho:</t>
  </si>
  <si>
    <t>185</t>
  </si>
  <si>
    <t>70417</t>
  </si>
  <si>
    <t>Georgia: Houston County;</t>
  </si>
  <si>
    <t>01/18/2021</t>
  </si>
  <si>
    <t>Connecticut:</t>
  </si>
  <si>
    <t>01/19/2021</t>
  </si>
  <si>
    <t>01/21/2021</t>
  </si>
  <si>
    <t>California: Kern County, Los Angeles County, Riverside County, San Bernardino County, Ventura County, Orange County;</t>
  </si>
  <si>
    <t>173746</t>
  </si>
  <si>
    <t>01/20/2021</t>
  </si>
  <si>
    <t>411</t>
  </si>
  <si>
    <t>124888</t>
  </si>
  <si>
    <t>02/03/2021</t>
  </si>
  <si>
    <t>Texas: Louisiana: Arkansas: Pulaski County; Mississippi:</t>
  </si>
  <si>
    <t>01/23/2021</t>
  </si>
  <si>
    <t>01/27/2021</t>
  </si>
  <si>
    <t>Georgia: Laurens County;</t>
  </si>
  <si>
    <t>45</t>
  </si>
  <si>
    <t>01/26/2021</t>
  </si>
  <si>
    <t>01/28/2021</t>
  </si>
  <si>
    <t>841</t>
  </si>
  <si>
    <t>255715</t>
  </si>
  <si>
    <t>New Hampshire: Hillsborough County;</t>
  </si>
  <si>
    <t>02/01/2021</t>
  </si>
  <si>
    <t>02/02/2021</t>
  </si>
  <si>
    <t>Texas: Kleberg County;</t>
  </si>
  <si>
    <t>13</t>
  </si>
  <si>
    <t>6102</t>
  </si>
  <si>
    <t>South Dakota: Hughes County;</t>
  </si>
  <si>
    <t>02/04/2021</t>
  </si>
  <si>
    <t>North Dakota: Logan County, Emmons County, McIntosh County;</t>
  </si>
  <si>
    <t>02/05/2021</t>
  </si>
  <si>
    <t>Arkansas: Arkansas County;</t>
  </si>
  <si>
    <t>02/06/2021</t>
  </si>
  <si>
    <t>02/07/2021</t>
  </si>
  <si>
    <t>02/08/2021</t>
  </si>
  <si>
    <t>02/09/2021</t>
  </si>
  <si>
    <t>02/10/2021</t>
  </si>
  <si>
    <t>02/23/2021</t>
  </si>
  <si>
    <t>2000000</t>
  </si>
  <si>
    <t>02/11/2021</t>
  </si>
  <si>
    <t>02/22/2021</t>
  </si>
  <si>
    <t>Colorado: Morgan County;</t>
  </si>
  <si>
    <t>Kansas:</t>
  </si>
  <si>
    <t>02/12/2021</t>
  </si>
  <si>
    <t>02/20/2021</t>
  </si>
  <si>
    <t>Oregon: Clackamas County, Marion County, Polk County, Multnomah County, Washington County, Yamhill County;</t>
  </si>
  <si>
    <t>300187</t>
  </si>
  <si>
    <t>02/13/2021</t>
  </si>
  <si>
    <t>Washington: Lewis County;</t>
  </si>
  <si>
    <t>164</t>
  </si>
  <si>
    <t>37583</t>
  </si>
  <si>
    <t>02/19/2021</t>
  </si>
  <si>
    <t>West Virginia: Virginia:</t>
  </si>
  <si>
    <t>55097</t>
  </si>
  <si>
    <t>02/14/2021</t>
  </si>
  <si>
    <t>South Carolina: North Carolina:</t>
  </si>
  <si>
    <t>129000</t>
  </si>
  <si>
    <t>7214</t>
  </si>
  <si>
    <t>02/18/2021</t>
  </si>
  <si>
    <t>Arkansas: Louisiana: Texas: Oklahoma:</t>
  </si>
  <si>
    <t>461</t>
  </si>
  <si>
    <t>125484</t>
  </si>
  <si>
    <t>North Dakota: South Dakota: Nebraska: Kansas: Oklahoma: Texas:</t>
  </si>
  <si>
    <t>Nebraska: Lancaster County;</t>
  </si>
  <si>
    <t>02/16/2021</t>
  </si>
  <si>
    <t>Missouri: Jasper County;</t>
  </si>
  <si>
    <t>02/15/2021</t>
  </si>
  <si>
    <t>4966</t>
  </si>
  <si>
    <t>1390000</t>
  </si>
  <si>
    <t>175000</t>
  </si>
  <si>
    <t>02/17/2021</t>
  </si>
  <si>
    <t>524</t>
  </si>
  <si>
    <t>219306</t>
  </si>
  <si>
    <t>724</t>
  </si>
  <si>
    <t>154000</t>
  </si>
  <si>
    <t>Oklahoma: Kay County;</t>
  </si>
  <si>
    <t>29942</t>
  </si>
  <si>
    <t>800</t>
  </si>
  <si>
    <t>Texas: Arkansas:</t>
  </si>
  <si>
    <t>Arkansas: Pulaski County;</t>
  </si>
  <si>
    <t>Texas: Austin County, Bastrop County, Burleson County, Caldwell County, Colorado County, Fayette County, Gonzales County, Guadalupe County, Hays County, Lee County, Milam County, Travis County, Washington County, Williamson County;</t>
  </si>
  <si>
    <t>107</t>
  </si>
  <si>
    <t>25000</t>
  </si>
  <si>
    <t>200000</t>
  </si>
  <si>
    <t>360</t>
  </si>
  <si>
    <t>613</t>
  </si>
  <si>
    <t>Texas: Randall County;</t>
  </si>
  <si>
    <t>Kansas: Missouri:</t>
  </si>
  <si>
    <t>222000</t>
  </si>
  <si>
    <t>126</t>
  </si>
  <si>
    <t>81100</t>
  </si>
  <si>
    <t>Louisiana: Texas: Illinois:</t>
  </si>
  <si>
    <t>1420</t>
  </si>
  <si>
    <t>Louisiana: Arkansas: Texas: Mississippi:</t>
  </si>
  <si>
    <t>538</t>
  </si>
  <si>
    <t>168</t>
  </si>
  <si>
    <t>840000</t>
  </si>
  <si>
    <t>31</t>
  </si>
  <si>
    <t>18150</t>
  </si>
  <si>
    <t>54167</t>
  </si>
  <si>
    <t>130</t>
  </si>
  <si>
    <t>New Jersey: Pennsylvania: Texas: California: Illinois: Colorado:</t>
  </si>
  <si>
    <t>Louisiana: Allen Parish, St. Landry Parish, Evangeline Parish;</t>
  </si>
  <si>
    <t>153</t>
  </si>
  <si>
    <t>02/27/2021</t>
  </si>
  <si>
    <t>Oregon: Multnomah County, Clackamas County;</t>
  </si>
  <si>
    <t>02/28/2021</t>
  </si>
  <si>
    <t>03/01/2021</t>
  </si>
  <si>
    <t>03/09/2021</t>
  </si>
  <si>
    <t>New York: Greene County;</t>
  </si>
  <si>
    <t>03/02/2021</t>
  </si>
  <si>
    <t>69260</t>
  </si>
  <si>
    <t>03/05/2021</t>
  </si>
  <si>
    <t>Indiana: Hamilton County;</t>
  </si>
  <si>
    <t>03/06/2021</t>
  </si>
  <si>
    <t>California: Tuolumne County;</t>
  </si>
  <si>
    <t>24000</t>
  </si>
  <si>
    <t>03/08/2021</t>
  </si>
  <si>
    <t>Washington: Yakima County;</t>
  </si>
  <si>
    <t>03/11/2021</t>
  </si>
  <si>
    <t>03/17/2021</t>
  </si>
  <si>
    <t>43</t>
  </si>
  <si>
    <t>7381</t>
  </si>
  <si>
    <t>03/18/2021</t>
  </si>
  <si>
    <t>Texas: Dallas County, Tarrant County;</t>
  </si>
  <si>
    <t>148000</t>
  </si>
  <si>
    <t>03/19/2021</t>
  </si>
  <si>
    <t>Washington: Okanogan County;</t>
  </si>
  <si>
    <t>916</t>
  </si>
  <si>
    <t>Louisiana: Lafourche Parish;</t>
  </si>
  <si>
    <t>4200</t>
  </si>
  <si>
    <t>03/21/2021</t>
  </si>
  <si>
    <t>03/22/2021</t>
  </si>
  <si>
    <t>03/29/2021</t>
  </si>
  <si>
    <t>Connecticut: Massachusetts: Maine: Vermont: Rhode Island: New Hampshire:</t>
  </si>
  <si>
    <t>New Mexico:</t>
  </si>
  <si>
    <t>03/30/2021</t>
  </si>
  <si>
    <t>Texas: Hidalgo County;</t>
  </si>
  <si>
    <t>04/06/2021</t>
  </si>
  <si>
    <t>04/07/2021</t>
  </si>
  <si>
    <t>Ohio: Lake County;</t>
  </si>
  <si>
    <t>04/08/2021</t>
  </si>
  <si>
    <t>04/10/2021</t>
  </si>
  <si>
    <t>04/09/2021</t>
  </si>
  <si>
    <t>04/12/2021</t>
  </si>
  <si>
    <t>04/13/2021</t>
  </si>
  <si>
    <t>Wisconsin: Eau Claire County;</t>
  </si>
  <si>
    <t>04/14/2021</t>
  </si>
  <si>
    <t>District of Columbia: Delaware: Maryland: New Jersey: Pennsylvania:</t>
  </si>
  <si>
    <t>04/21/2021</t>
  </si>
  <si>
    <t>Minnesota: Dakota County;</t>
  </si>
  <si>
    <t>04/22/2021</t>
  </si>
  <si>
    <t>04/24/2021</t>
  </si>
  <si>
    <t>04/25/2021</t>
  </si>
  <si>
    <t>Alabama: Calhoun County; Georgia:</t>
  </si>
  <si>
    <t>18860</t>
  </si>
  <si>
    <t>04/26/2021</t>
  </si>
  <si>
    <t>Maine: Kennebec County;</t>
  </si>
  <si>
    <t>05/02/2021</t>
  </si>
  <si>
    <t xml:space="preserve">Unplanned evacuation from its Bulk Electric System control center facility for 30 continuous minutes or more. </t>
  </si>
  <si>
    <t>05/03/2021</t>
  </si>
  <si>
    <t>Complete loss of monitoring or control capability at its staffed Bulk Electric System control center for 30 
                continuous minutes or more.</t>
  </si>
  <si>
    <t>05/04/2021</t>
  </si>
  <si>
    <t>05/05/2021</t>
  </si>
  <si>
    <t>104027</t>
  </si>
  <si>
    <t>175</t>
  </si>
  <si>
    <t>24457</t>
  </si>
  <si>
    <t>05/08/2021</t>
  </si>
  <si>
    <t>Michigan: Huron County;</t>
  </si>
  <si>
    <t>05/06/2021</t>
  </si>
  <si>
    <t>05/10/2021</t>
  </si>
  <si>
    <t>Indiana: Vanderburgh County, Warrick County, Posey County, Daviess County, Gibson County, Knox County, Spencer County;</t>
  </si>
  <si>
    <t>05/11/2021</t>
  </si>
  <si>
    <t>05/12/2021</t>
  </si>
  <si>
    <t>Texas: Kinney County;</t>
  </si>
  <si>
    <t>Wisconsin: Iowa:</t>
  </si>
  <si>
    <t>05/14/2021</t>
  </si>
  <si>
    <t>05/17/2021</t>
  </si>
  <si>
    <t>05/18/2021</t>
  </si>
  <si>
    <t>05/19/2021</t>
  </si>
  <si>
    <t>125000</t>
  </si>
  <si>
    <t>05/20/2021</t>
  </si>
  <si>
    <t>Florida: Brevard County;</t>
  </si>
  <si>
    <t>35000</t>
  </si>
  <si>
    <t>05/24/2021</t>
  </si>
  <si>
    <t>Utah: San Juan County;</t>
  </si>
  <si>
    <t>05/25/2021</t>
  </si>
  <si>
    <t>05/27/2021</t>
  </si>
  <si>
    <t>05/28/2021</t>
  </si>
  <si>
    <t>California: Nevada:</t>
  </si>
  <si>
    <t>1850</t>
  </si>
  <si>
    <t>655</t>
  </si>
  <si>
    <t>06/06/2021</t>
  </si>
  <si>
    <t>Indiana: Clay County;</t>
  </si>
  <si>
    <t>06/07/2021</t>
  </si>
  <si>
    <t>06/08/2021</t>
  </si>
  <si>
    <t>Minnesota: North Dakota:</t>
  </si>
  <si>
    <t>23</t>
  </si>
  <si>
    <t>Texas: Somervell County, Ellis County;</t>
  </si>
  <si>
    <t>1435</t>
  </si>
  <si>
    <t>Texas: Liberty County;</t>
  </si>
  <si>
    <t>06/09/2021</t>
  </si>
  <si>
    <t>06/10/2021</t>
  </si>
  <si>
    <t>Kansas: Wyandotte County;</t>
  </si>
  <si>
    <t>90</t>
  </si>
  <si>
    <t>9800</t>
  </si>
  <si>
    <t>06/11/2021</t>
  </si>
  <si>
    <t>South Dakota: Brown County;</t>
  </si>
  <si>
    <t>06/14/2021</t>
  </si>
  <si>
    <t>06/18/2021</t>
  </si>
  <si>
    <t>06/15/2021</t>
  </si>
  <si>
    <t>06/16/2021</t>
  </si>
  <si>
    <t>Louisiana: West Baton Rouge Parish;</t>
  </si>
  <si>
    <t>1841</t>
  </si>
  <si>
    <t>06/19/2021</t>
  </si>
  <si>
    <t>51806</t>
  </si>
  <si>
    <t>06/21/2021</t>
  </si>
  <si>
    <t>Arkansas: Benton County;</t>
  </si>
  <si>
    <t>151852</t>
  </si>
  <si>
    <t>06/23/2021</t>
  </si>
  <si>
    <t>06/24/2021</t>
  </si>
  <si>
    <t>Electrical System Separation (Islanding) where part or parts of a power grid remain(s) operational in an otherwise blacked out area or within the partial failure of an integrated electrical system.</t>
  </si>
  <si>
    <t>7621</t>
  </si>
  <si>
    <t>Washington: Kittitas County;</t>
  </si>
  <si>
    <t>06/27/2021</t>
  </si>
  <si>
    <t>North Dakota: Morton County;</t>
  </si>
  <si>
    <t>1003</t>
  </si>
  <si>
    <t>New York: Jefferson County;</t>
  </si>
  <si>
    <t>06/28/2021</t>
  </si>
  <si>
    <t>Washington: Spokane County, Stevens County, Lincoln County, Adams County, Whitman County; Idaho: Kootenai County, Bonner County, Shoshone County, Boundary County, Benewah County, Latah County, Nez Perce County;</t>
  </si>
  <si>
    <t>44</t>
  </si>
  <si>
    <t>06/29/2021</t>
  </si>
  <si>
    <t>Michigan: Oakland County, Macomb County, Wayne County;</t>
  </si>
  <si>
    <t>53000</t>
  </si>
  <si>
    <t>06/30/2021</t>
  </si>
  <si>
    <t>Connecticut: Massachusetts: Rhode Island: Vermont: New Hampshire: Maine:</t>
  </si>
  <si>
    <t>53103</t>
  </si>
  <si>
    <t>07/03/2021</t>
  </si>
  <si>
    <t>07/04/2021</t>
  </si>
  <si>
    <t>Damage or destruction of its Facility that results from actual or suspected intentional human action. - 17. Facility Physical Threat</t>
  </si>
  <si>
    <t>34509</t>
  </si>
  <si>
    <t>07/05/2021</t>
  </si>
  <si>
    <t>RF/SERC</t>
  </si>
  <si>
    <t>07/06/2021</t>
  </si>
  <si>
    <t>Severe Weather/Transmisison Interruption</t>
  </si>
  <si>
    <t>136827</t>
  </si>
  <si>
    <t>07/07/2021</t>
  </si>
  <si>
    <t>450</t>
  </si>
  <si>
    <t>Michigan: Macomb County, Oakland County, Monroe County, Livingston County, St. Clair County, Washtenaw County, Wayne County;</t>
  </si>
  <si>
    <t>07/08/2021</t>
  </si>
  <si>
    <t>North Dakota: Stark County;</t>
  </si>
  <si>
    <t>88</t>
  </si>
  <si>
    <t>07/09/2021</t>
  </si>
  <si>
    <t>810</t>
  </si>
  <si>
    <t>07/10/2021</t>
  </si>
  <si>
    <t>47000</t>
  </si>
  <si>
    <t>Nebraska: Missouri:</t>
  </si>
  <si>
    <t>MRO/SERC</t>
  </si>
  <si>
    <t>211500</t>
  </si>
  <si>
    <t>07/11/2021</t>
  </si>
  <si>
    <t>9000</t>
  </si>
  <si>
    <t>1300000</t>
  </si>
  <si>
    <t>212500</t>
  </si>
  <si>
    <t>07/12/2021</t>
  </si>
  <si>
    <t>07/13/2021</t>
  </si>
  <si>
    <t>07/14/2021</t>
  </si>
  <si>
    <t>07/18/2021</t>
  </si>
  <si>
    <t>Illinois: Cook County;</t>
  </si>
  <si>
    <t>07/20/2021</t>
  </si>
  <si>
    <t>07/21/2021</t>
  </si>
  <si>
    <t>07/22/2021</t>
  </si>
  <si>
    <t>81503</t>
  </si>
  <si>
    <t>220</t>
  </si>
  <si>
    <t>07/23/2021</t>
  </si>
  <si>
    <t>MRO/RF</t>
  </si>
  <si>
    <t>15</t>
  </si>
  <si>
    <t>3500</t>
  </si>
  <si>
    <t>07/24/2021</t>
  </si>
  <si>
    <t>Michigan: Wayne County, Oakland County, Livingston County, Macomb County;</t>
  </si>
  <si>
    <t>225949</t>
  </si>
  <si>
    <t>07/26/2021</t>
  </si>
  <si>
    <t>07/28/2021</t>
  </si>
  <si>
    <t>07/30/2021</t>
  </si>
  <si>
    <t>08/01/2021</t>
  </si>
  <si>
    <t>08/04/2021</t>
  </si>
  <si>
    <t>08/02/2021</t>
  </si>
  <si>
    <t>California: Humboldt County, Trinity County;</t>
  </si>
  <si>
    <t>95</t>
  </si>
  <si>
    <t>65888</t>
  </si>
  <si>
    <t>Texas: Hays County;</t>
  </si>
  <si>
    <t>24</t>
  </si>
  <si>
    <t>9400</t>
  </si>
  <si>
    <t>08/03/2021</t>
  </si>
  <si>
    <t>Oregon: Linn County;</t>
  </si>
  <si>
    <t>08/10/2021</t>
  </si>
  <si>
    <t>08/13/2021</t>
  </si>
  <si>
    <t>Michigan: Allegan County, Antrim County, Barry County, Benzie County, Branch County, Calhoun County, Clare County, Clinton County, Crawford County, Eaton County, Genesee County, Gladwin County, Grand Traverse County, Gratiot County, Hillsdale County, Ingham County, Ionia County, Isabella County, Jackson County, Kalamazoo County, Kalkaska County, Kent County, Lake County, Leelanau County, Manistee County, Mason County, Mecosta County, Midland County, Missaukee County, Montcalm County, Muskegon County, Newaygo County, Oakland County, Oceana County, Ogemaw County, Osceola County, Oscoda County, Otsego County, Ottawa County, Roscommon County, Saginaw County, Shiawassee County, St. Joseph County, Van Buren County, Wexford County;</t>
  </si>
  <si>
    <t>372600</t>
  </si>
  <si>
    <t>08/11/2021</t>
  </si>
  <si>
    <t>318761</t>
  </si>
  <si>
    <t>Wisconsin: Waukesha County, Milwaukee County, Kenosha County, Racine County, Washington County, Ozaukee County;</t>
  </si>
  <si>
    <t>Michigan: Huron County, Macomb County, Lapeer County, Macomb County, Monroe County, Oakland County, St. Clair County, Tuscola County, Wayne County, Washtenaw County, Livingston County;</t>
  </si>
  <si>
    <t>700000</t>
  </si>
  <si>
    <t>92109</t>
  </si>
  <si>
    <t>08/12/2021</t>
  </si>
  <si>
    <t>101000</t>
  </si>
  <si>
    <t>08/15/2021</t>
  </si>
  <si>
    <t>08/16/2021</t>
  </si>
  <si>
    <t>California: Solano County;</t>
  </si>
  <si>
    <t>Montana: Flathead County;</t>
  </si>
  <si>
    <t>08/17/2021</t>
  </si>
  <si>
    <t>08/18/2021</t>
  </si>
  <si>
    <t>California: Butte County, Colusa County, Glenn County, Lake County, Lassen County, Mendocino County, Napa County, Plumas County, Shasta County, Sierra County, Solano County, Sonoma County, Tehama County, Trinity County, Yolo County;</t>
  </si>
  <si>
    <t>234</t>
  </si>
  <si>
    <t>71000</t>
  </si>
  <si>
    <t>08/20/2021</t>
  </si>
  <si>
    <t>Oregon: Washington: Idaho: Utah: Salt Lake County; Wyoming:</t>
  </si>
  <si>
    <t>08/21/2021</t>
  </si>
  <si>
    <t>418</t>
  </si>
  <si>
    <t>08/22/2021</t>
  </si>
  <si>
    <t>08/23/2021</t>
  </si>
  <si>
    <t>Connecticut: Massachusetts: Maine: Rhode Island: Vermont:</t>
  </si>
  <si>
    <t>28134</t>
  </si>
  <si>
    <t>08/24/2021</t>
  </si>
  <si>
    <t>Michigan: Huron County, Lapeer County, Macomb County, Monroe County, Oakland County, St. Clair County, Wayne County, Washtenaw County;</t>
  </si>
  <si>
    <t>65000</t>
  </si>
  <si>
    <t>08/26/2021</t>
  </si>
  <si>
    <t>Michigan: Arenac County, Bay County, Clare County, Genesee County, Gladwin County, Gratiot County, Isabella County, Iosco County, Kalamazoo County, Kent County, Barry County, Missaukee County, Montcalm County, Muskegon County, Newaygo County, Mecosta County, Midland County, Saginaw County, Ottawa County, Van Buren County;</t>
  </si>
  <si>
    <t>84987</t>
  </si>
  <si>
    <t>08/27/2021</t>
  </si>
  <si>
    <t>08/29/2021</t>
  </si>
  <si>
    <t>08/31/2021</t>
  </si>
  <si>
    <t>09/03/2021</t>
  </si>
  <si>
    <t>91315</t>
  </si>
  <si>
    <t>796</t>
  </si>
  <si>
    <t>Louisiana: Pointe Coupee Parish;</t>
  </si>
  <si>
    <t>08/30/2021</t>
  </si>
  <si>
    <t>09/01/2021</t>
  </si>
  <si>
    <t>09/02/2021</t>
  </si>
  <si>
    <t>252740</t>
  </si>
  <si>
    <t>09/07/2021</t>
  </si>
  <si>
    <t>09/09/2021</t>
  </si>
  <si>
    <t>Michigan: Osceola County, Kalamazoo County, Van Buren County, Saginaw County, Arenac County, Lake County, Clare County, Mecosta County;</t>
  </si>
  <si>
    <t>80000</t>
  </si>
  <si>
    <t>09/08/2021</t>
  </si>
  <si>
    <t>North Dakota: Cass County;</t>
  </si>
  <si>
    <t>37</t>
  </si>
  <si>
    <t>09/10/2021</t>
  </si>
  <si>
    <t>North Dakota: McKenzie County;</t>
  </si>
  <si>
    <t>Iowa: Polk County;</t>
  </si>
  <si>
    <t>59649</t>
  </si>
  <si>
    <t>Florida: Citrus County;</t>
  </si>
  <si>
    <t>09/11/2021</t>
  </si>
  <si>
    <t>Texas: Austin County; California: Los Angeles County;</t>
  </si>
  <si>
    <t>TRE/SERC</t>
  </si>
  <si>
    <t>09/13/2021</t>
  </si>
  <si>
    <t>Washington: Skagit County;</t>
  </si>
  <si>
    <t>204280</t>
  </si>
  <si>
    <t>09/14/2021</t>
  </si>
  <si>
    <t>66589</t>
  </si>
  <si>
    <t>09/18/2021</t>
  </si>
  <si>
    <t>1905</t>
  </si>
  <si>
    <t>705415</t>
  </si>
  <si>
    <t>09/15/2021</t>
  </si>
  <si>
    <t>09/16/2021</t>
  </si>
  <si>
    <t>TRE/SERC/WECC</t>
  </si>
  <si>
    <t>4000</t>
  </si>
  <si>
    <t>09/17/2021</t>
  </si>
  <si>
    <t>09/19/2021</t>
  </si>
  <si>
    <t>Washington: Pierce County, Whatcom County, Skagit County, King County;</t>
  </si>
  <si>
    <t>09/22/2021</t>
  </si>
  <si>
    <t>Michigan: Lenawee County, Livingston County, Genesee County, Tuscola County, Huron County, Sanilac County, Lapeer County, St. Clair County, Macomb County, Oakland County, Washtenaw County, Wayne County, Monroe County;</t>
  </si>
  <si>
    <t>136000</t>
  </si>
  <si>
    <t>09/23/2021</t>
  </si>
  <si>
    <t>09/28/2021</t>
  </si>
  <si>
    <t>Kentucky: Henderson County;</t>
  </si>
  <si>
    <t>5000</t>
  </si>
  <si>
    <t>09/29/2021</t>
  </si>
  <si>
    <t>10/03/2021</t>
  </si>
  <si>
    <t>10/04/2021</t>
  </si>
  <si>
    <t>Utah: Uintah County;</t>
  </si>
  <si>
    <t>10/05/2021</t>
  </si>
  <si>
    <t>10/07/2021</t>
  </si>
  <si>
    <t>10/09/2021</t>
  </si>
  <si>
    <t>10/08/2021</t>
  </si>
  <si>
    <t>Ohio: Cuyahoga County;</t>
  </si>
  <si>
    <t>10/10/2021</t>
  </si>
  <si>
    <t>10/12/2021</t>
  </si>
  <si>
    <t>Texas: Collin County, Dallas County, Denton County, Ellis County, Hunt County, Johnson County, Palo Pinto County, Tarrant County, Wichita County;</t>
  </si>
  <si>
    <t>10/11/2021</t>
  </si>
  <si>
    <t>10/16/2021</t>
  </si>
  <si>
    <t>10/18/2021</t>
  </si>
  <si>
    <t>10/19/2021</t>
  </si>
  <si>
    <t>Georgia: DeKalb County;</t>
  </si>
  <si>
    <t>SERC/MRO</t>
  </si>
  <si>
    <t>Florida: Putnam County;</t>
  </si>
  <si>
    <t>Ohio: Summit County;</t>
  </si>
  <si>
    <t>10/20/2021</t>
  </si>
  <si>
    <t>10/21/2021</t>
  </si>
  <si>
    <t>10/22/2021</t>
  </si>
  <si>
    <t>10/23/2021</t>
  </si>
  <si>
    <t>10/24/2021</t>
  </si>
  <si>
    <t>10/25/2021</t>
  </si>
  <si>
    <t>59000</t>
  </si>
  <si>
    <t>10/26/2021</t>
  </si>
  <si>
    <t>Washington: King County, Pierce County, Skagit County, Thurston County;</t>
  </si>
  <si>
    <t>10/27/2021</t>
  </si>
  <si>
    <t>10/28/2021</t>
  </si>
  <si>
    <t>Louisiana: Ascension Parish;</t>
  </si>
  <si>
    <t>10/29/2021</t>
  </si>
  <si>
    <t>169000</t>
  </si>
  <si>
    <t>10/30/2021</t>
  </si>
  <si>
    <t>Texas: Angelina County, Bell County, Cherokee County, Collin County, Denton County, Dallas County, Ellis County, Hunt County, Johnson County, McLennan County, Nacogdoches County, Smith County, Tarrant County, Travis County, Williamson County;</t>
  </si>
  <si>
    <t>Texas: Haskell County;</t>
  </si>
  <si>
    <t>Actual Physical Attack/Vandalism</t>
  </si>
  <si>
    <t>Vermont: Lamoille County;</t>
  </si>
  <si>
    <t>10/31/2021</t>
  </si>
  <si>
    <t>11/04/2021</t>
  </si>
  <si>
    <t>Montana: Hill County;</t>
  </si>
  <si>
    <t>11/06/2021</t>
  </si>
  <si>
    <t>Pennsylvania: York County;</t>
  </si>
  <si>
    <t>11/08/2021</t>
  </si>
  <si>
    <t>9</t>
  </si>
  <si>
    <t>11/09/2021</t>
  </si>
  <si>
    <t> Public appeal to reduce the use of electricity for purposes of maintaining the continuity of the Bulk Electric System</t>
  </si>
  <si>
    <t>Indiana: Floyd County;</t>
  </si>
  <si>
    <t>11/10/2021</t>
  </si>
  <si>
    <t>11/11/2021</t>
  </si>
  <si>
    <t>Texas: Montgomery County;</t>
  </si>
  <si>
    <t>67</t>
  </si>
  <si>
    <t>11/12/2021</t>
  </si>
  <si>
    <t>Oregon: Multnomah County; Washington: Idaho: Utah: Wyoming:</t>
  </si>
  <si>
    <t>11/15/2021</t>
  </si>
  <si>
    <t>11/17/2021</t>
  </si>
  <si>
    <t>Washington: King County, Kitsap County, Whatcom County, Thurston County, Pierce County;</t>
  </si>
  <si>
    <t>11/16/2021</t>
  </si>
  <si>
    <t>Michigan: Wexford County;</t>
  </si>
  <si>
    <t>11/21/2021</t>
  </si>
  <si>
    <t>Cyber Security Incident that was an attempt to compromise a High or Medium Impact Bulk Electric System Cyber System or their associated Electronic Access Control or Monitoring Systems</t>
  </si>
  <si>
    <t>11/24/2021</t>
  </si>
  <si>
    <t>11/26/2021</t>
  </si>
  <si>
    <t>California: Riverside County, Ventura County, San Bernardino County, Orange County, Los Angeles County;</t>
  </si>
  <si>
    <t>81406</t>
  </si>
  <si>
    <t>11/30/2021</t>
  </si>
  <si>
    <t>10</t>
  </si>
  <si>
    <t>12/01/2021</t>
  </si>
  <si>
    <t>12/02/2021</t>
  </si>
  <si>
    <t>12/07/2021</t>
  </si>
  <si>
    <t>Indiana: Putnam County;</t>
  </si>
  <si>
    <t>12/08/2021</t>
  </si>
  <si>
    <t>12/10/2021</t>
  </si>
  <si>
    <t>12/11/2021</t>
  </si>
  <si>
    <t>12/15/2021</t>
  </si>
  <si>
    <t>Tennessee: Davidson County, Sumner County;</t>
  </si>
  <si>
    <t>107344</t>
  </si>
  <si>
    <t>12/13/2021</t>
  </si>
  <si>
    <t>12/12/2021</t>
  </si>
  <si>
    <t>182410</t>
  </si>
  <si>
    <t>Michigan: Van Buren County, Gladwin County, Montcalm County, Branch County, Allegan County, Ionia County, Newaygo County, Mecosta County, Lake County, Midland County, Ogemaw County, Osceola County, Tuscola County;</t>
  </si>
  <si>
    <t>159947</t>
  </si>
  <si>
    <t>Louisiana: De Soto Parish;</t>
  </si>
  <si>
    <t>12/14/2021</t>
  </si>
  <si>
    <t>120</t>
  </si>
  <si>
    <t>65994</t>
  </si>
  <si>
    <t>12/16/2021</t>
  </si>
  <si>
    <t>174000</t>
  </si>
  <si>
    <t>Iowa: Wisconsin:</t>
  </si>
  <si>
    <t>134000</t>
  </si>
  <si>
    <t>258000</t>
  </si>
  <si>
    <t>156000</t>
  </si>
  <si>
    <t>Iowa: Minnesota:</t>
  </si>
  <si>
    <t> Damage or destruction of a Facility within its Reliability Coordinator Area, Balancing Authority Area or Transmission Operator Area that results in action(s) to avoid a Bulk Electric System Emergency.</t>
  </si>
  <si>
    <t>Nebraska: Burt County;</t>
  </si>
  <si>
    <t>Michigan: Antrim County, Kalkaska County, Grand Traverse County, Leelanau County, Benzie County, Manistee County, Wexford County, Missaukee County, Lake County, Osceola County, Oceana County, Newaygo County, Mecosta County, Emmet County, Charlevoix County, Cheboygan County, Clare County, Roscommon County, Crawford County, Ogemaw County;</t>
  </si>
  <si>
    <t>200675</t>
  </si>
  <si>
    <t>12/18/2021</t>
  </si>
  <si>
    <t>Physical attack that causes major interruptions or impacts to critical infrastructure or to operations</t>
  </si>
  <si>
    <t>11770</t>
  </si>
  <si>
    <t>12/19/2021</t>
  </si>
  <si>
    <t>12/21/2021</t>
  </si>
  <si>
    <t>12/22/2021</t>
  </si>
  <si>
    <t>12/23/2021</t>
  </si>
  <si>
    <t>Massachusetts: Suffolk County[13];</t>
  </si>
  <si>
    <t>12/24/2021</t>
  </si>
  <si>
    <t>Texas: Rusk County;</t>
  </si>
  <si>
    <t>12/27/2021</t>
  </si>
  <si>
    <t>01/01/2022</t>
  </si>
  <si>
    <t>381</t>
  </si>
  <si>
    <t>115830</t>
  </si>
  <si>
    <t>12/30/2021</t>
  </si>
  <si>
    <t>12/29/2021</t>
  </si>
  <si>
    <t>Missouri: Adair County, Putnam County;</t>
  </si>
  <si>
    <t>OE-417 Electric Emergency and Disturbance Report - Calendar Year 2022</t>
  </si>
  <si>
    <t>01/02/2022</t>
  </si>
  <si>
    <t>Georgia: Clayton County;</t>
  </si>
  <si>
    <t>New Hampshire: Merrimack County;</t>
  </si>
  <si>
    <t>845</t>
  </si>
  <si>
    <t>1706</t>
  </si>
  <si>
    <t>01/03/2022</t>
  </si>
  <si>
    <t>01/04/2022</t>
  </si>
  <si>
    <t>60424</t>
  </si>
  <si>
    <t>142000</t>
  </si>
  <si>
    <t>Georgia: Alabama: Mississippi:</t>
  </si>
  <si>
    <t>283</t>
  </si>
  <si>
    <t>40885</t>
  </si>
  <si>
    <t>01/05/2022</t>
  </si>
  <si>
    <t>Massachusetts: Plymouth County;</t>
  </si>
  <si>
    <t>01/08/2022</t>
  </si>
  <si>
    <t>01/12/2022</t>
  </si>
  <si>
    <t>Texas: Cameron County, Willacy County;</t>
  </si>
  <si>
    <t>01/09/2022</t>
  </si>
  <si>
    <t>Mississippi: Adams County;</t>
  </si>
  <si>
    <t>Indiana: Kentucky: Ohio:</t>
  </si>
  <si>
    <t>SERC/RF</t>
  </si>
  <si>
    <t>01/13/2022</t>
  </si>
  <si>
    <t>01/14/2022</t>
  </si>
  <si>
    <t>Pennsylvania: Bucks County;</t>
  </si>
  <si>
    <t>Texas: Potter County; New Mexico:</t>
  </si>
  <si>
    <t>TRE/WECC</t>
  </si>
  <si>
    <t>01/15/2022</t>
  </si>
  <si>
    <t>New York: Orange County;</t>
  </si>
  <si>
    <t>01/16/2022</t>
  </si>
  <si>
    <t>01/17/2022</t>
  </si>
  <si>
    <t>North Carolina: Jackson County; South Carolina: Greenville County;</t>
  </si>
  <si>
    <t>51289</t>
  </si>
  <si>
    <t>74638</t>
  </si>
  <si>
    <t>Georgia: Alabama:</t>
  </si>
  <si>
    <t>436</t>
  </si>
  <si>
    <t>61113</t>
  </si>
  <si>
    <t>01/18/2022</t>
  </si>
  <si>
    <t>01/19/2022</t>
  </si>
  <si>
    <t>01/20/2022</t>
  </si>
  <si>
    <t>01/21/2022</t>
  </si>
  <si>
    <t>Mississippi: Arkansas: Louisiana: Texas:</t>
  </si>
  <si>
    <t>01/23/2022</t>
  </si>
  <si>
    <t>Pennsylvania: Westmoreland County;</t>
  </si>
  <si>
    <t>01/24/2022</t>
  </si>
  <si>
    <t>New York: Dutchess County, Greene County;</t>
  </si>
  <si>
    <t>01/26/2022</t>
  </si>
  <si>
    <t>01/27/2022</t>
  </si>
  <si>
    <t>01/28/2022</t>
  </si>
  <si>
    <t>Colorado: Douglas County, Pueblo County, El Paso County, Prowers County;</t>
  </si>
  <si>
    <t>01/29/2022</t>
  </si>
  <si>
    <t>01/30/2022</t>
  </si>
  <si>
    <t>12000</t>
  </si>
  <si>
    <t>01/31/2022</t>
  </si>
  <si>
    <t>West Virginia: Monongalia County;</t>
  </si>
  <si>
    <t>02/01/2022</t>
  </si>
  <si>
    <t>8124</t>
  </si>
  <si>
    <t>02/03/2022</t>
  </si>
  <si>
    <t>02/07/2022</t>
  </si>
  <si>
    <t>255000</t>
  </si>
  <si>
    <t>02/04/2022</t>
  </si>
  <si>
    <t>New York: Ulster County;</t>
  </si>
  <si>
    <t>67404</t>
  </si>
  <si>
    <t>02/09/2022</t>
  </si>
  <si>
    <t>02/12/2022</t>
  </si>
  <si>
    <t>02/17/2022</t>
  </si>
  <si>
    <t>Rhode Island: Providence County[13];</t>
  </si>
  <si>
    <t>02/18/2022</t>
  </si>
  <si>
    <t>Connecticut: Maine: Massachusetts: New Hampshire: Vermont: Rhode Island:</t>
  </si>
  <si>
    <t>7047</t>
  </si>
  <si>
    <t>02/22/2022</t>
  </si>
  <si>
    <t>02/24/2022</t>
  </si>
  <si>
    <t>1405</t>
  </si>
  <si>
    <t>California: San Bernardino County, Kern County, Solano County, San Diego County;</t>
  </si>
  <si>
    <t>246</t>
  </si>
  <si>
    <t>02/25/2022</t>
  </si>
  <si>
    <t>Texas: Travis County; California: San Diego County;</t>
  </si>
  <si>
    <t> Unplanned evacuation from its Bulk Electric System control center facility for 30 continuous minutes or more.</t>
  </si>
  <si>
    <t>02/26/2022</t>
  </si>
  <si>
    <t>02/28/2022</t>
  </si>
  <si>
    <t>Texas: Mitchell County;</t>
  </si>
  <si>
    <t> Damage or destruction of its Facility that results from actual or suspected intentional human action.</t>
  </si>
  <si>
    <t>03/01/2022</t>
  </si>
  <si>
    <t>Indiana: Marion County, Shelby County, Hendricks County;</t>
  </si>
  <si>
    <t>03/02/2022</t>
  </si>
  <si>
    <t>03/05/2022</t>
  </si>
  <si>
    <t>03/06/2022</t>
  </si>
  <si>
    <t>Illinois: DuPage County;</t>
  </si>
  <si>
    <t>03/08/2022</t>
  </si>
  <si>
    <t>Georgia: Terrell County;</t>
  </si>
  <si>
    <t>5855</t>
  </si>
  <si>
    <t>03/10/2022</t>
  </si>
  <si>
    <t>03/11/2022</t>
  </si>
  <si>
    <t>03/12/2022</t>
  </si>
  <si>
    <t>139</t>
  </si>
  <si>
    <t>19380</t>
  </si>
  <si>
    <t>03/13/2022</t>
  </si>
  <si>
    <t>03/14/2022</t>
  </si>
  <si>
    <t>03/15/2022</t>
  </si>
  <si>
    <t>California: Lake County;</t>
  </si>
  <si>
    <t>3958</t>
  </si>
  <si>
    <t>03/16/2022</t>
  </si>
  <si>
    <t>03/17/2022</t>
  </si>
  <si>
    <t>North Carolina: Durham County;</t>
  </si>
  <si>
    <t>03/18/2022</t>
  </si>
  <si>
    <t>78</t>
  </si>
  <si>
    <t>20423</t>
  </si>
  <si>
    <t>03/20/2022</t>
  </si>
  <si>
    <t>03/21/2022</t>
  </si>
  <si>
    <t>03/24/2022</t>
  </si>
  <si>
    <t>Texas: Anderson County, Bell County, Bosque County, Comanche County, Coryell County, Falls County, Freestone County, Hamilton County, Henderson County, Hill County, Lampasas County, Leon County, Limestone County, McLennan County, Milam County, Mills County, Robertson County, Collin County, Cooke County, Dallas County, Denton County, Ellis County, Erath County, Fannin County, Grayson County, Hood County, Hunt County, Johnson County, Kaufman County, Navarro County, Parker County, Rains County, Rockwall County, Somervell County, Tarrant County, Van Zandt County, Wise County;</t>
  </si>
  <si>
    <t>170000</t>
  </si>
  <si>
    <t>03/22/2022</t>
  </si>
  <si>
    <t>Maryland: Prince George's County;</t>
  </si>
  <si>
    <t>South Dakota:</t>
  </si>
  <si>
    <t>03/25/2022</t>
  </si>
  <si>
    <t>03/29/2022</t>
  </si>
  <si>
    <t>03/30/2022</t>
  </si>
  <si>
    <t>Louisiana: Mississippi: Arkansas:</t>
  </si>
  <si>
    <t>66448</t>
  </si>
  <si>
    <t>03/31/2022</t>
  </si>
  <si>
    <t>04/01/2022</t>
  </si>
  <si>
    <t>Michigan: Huron County, Tuscola County, St. Clair County, Washtenaw County, Macomb County, Wayne County, Monroe County, Oakland County, Livingston County;</t>
  </si>
  <si>
    <t>Montana: Toole County; Florida: Palm Beach County;</t>
  </si>
  <si>
    <t>WECC/SERC</t>
  </si>
  <si>
    <t>Georgia: Alabama: Mississippi: Florida:</t>
  </si>
  <si>
    <t>157</t>
  </si>
  <si>
    <t>22000</t>
  </si>
  <si>
    <t>04/05/2022</t>
  </si>
  <si>
    <t>16299</t>
  </si>
  <si>
    <t>04/10/2022</t>
  </si>
  <si>
    <t>04/11/2022</t>
  </si>
  <si>
    <t>04/13/2022</t>
  </si>
  <si>
    <t>Oregon: Multnomah County, Clackamas County, Marion County, Yamhill County, Washington County;</t>
  </si>
  <si>
    <t>3140</t>
  </si>
  <si>
    <t>73717</t>
  </si>
  <si>
    <t>1337</t>
  </si>
  <si>
    <t>Maryland: Calvert County;</t>
  </si>
  <si>
    <t>04/12/2022</t>
  </si>
  <si>
    <t>Arkansas: Ouachita County;</t>
  </si>
  <si>
    <t>04/14/2022</t>
  </si>
  <si>
    <t>Louisiana: Iberia Parish;</t>
  </si>
  <si>
    <t>2429</t>
  </si>
  <si>
    <t>262268</t>
  </si>
  <si>
    <t>04/16/2022</t>
  </si>
  <si>
    <t>Iowa: Polk County; Illinois:</t>
  </si>
  <si>
    <t>9290</t>
  </si>
  <si>
    <t>04/19/2022</t>
  </si>
  <si>
    <t>97000</t>
  </si>
  <si>
    <t>67754</t>
  </si>
  <si>
    <t>New York: Broome County, Chemung County, Chenango County, Clinton County, Columbia County, Cortland County, Delaware County, Dutchess County, Erie County, Essex County, Greene County, Hamilton County, Herkimer County, Madison County, Oneida County, Otsego County, Putnam County, Saratoga County, Schoharie County, Schuyler County, Steuben County, Sullivan County, Tioga County, Tompkins County, Ulster County, Westchester County;</t>
  </si>
  <si>
    <t>84033</t>
  </si>
  <si>
    <t>04/22/2022</t>
  </si>
  <si>
    <t>04/24/2022</t>
  </si>
  <si>
    <t>1000</t>
  </si>
  <si>
    <t>North Dakota: Mountrail County, Williams County, Ward County, Burke County, Bottineau County, McLean County, Walsh County, Bowman County, Stark County, Dunn County, Mercer County; Montana: Wibaux County, Richland County;</t>
  </si>
  <si>
    <t>WECC/MRO</t>
  </si>
  <si>
    <t>04/23/2022</t>
  </si>
  <si>
    <t>480</t>
  </si>
  <si>
    <t>18430</t>
  </si>
  <si>
    <t>Iowa: Polk County, Warren County; Illinois:</t>
  </si>
  <si>
    <t>22400</t>
  </si>
  <si>
    <t>04/26/2022</t>
  </si>
  <si>
    <t>17</t>
  </si>
  <si>
    <t>04/27/2022</t>
  </si>
  <si>
    <t>Ohio: Muskingum County;</t>
  </si>
  <si>
    <t>04/28/2022</t>
  </si>
  <si>
    <t>74</t>
  </si>
  <si>
    <t>04/29/2022</t>
  </si>
  <si>
    <t>05/02/2022</t>
  </si>
  <si>
    <t>05/03/2022</t>
  </si>
  <si>
    <t>New Hampshire: Carroll County;</t>
  </si>
  <si>
    <t>05/04/2022</t>
  </si>
  <si>
    <t>05/05/2022</t>
  </si>
  <si>
    <t>05/06/2022</t>
  </si>
  <si>
    <t>05/09/2022</t>
  </si>
  <si>
    <t>05/11/2022</t>
  </si>
  <si>
    <t>105000</t>
  </si>
  <si>
    <t>Iowa: Clinton County;</t>
  </si>
  <si>
    <t>Physical attack that could potentially impact electric power system adequacy or reliability; or vandalism which targets components of any security systems; Damage or destruction of its Facility that results from actual or suspected intentional human action.</t>
  </si>
  <si>
    <t>05/12/2022</t>
  </si>
  <si>
    <t>05/13/2022</t>
  </si>
  <si>
    <t>South Dakota: Davison County;</t>
  </si>
  <si>
    <t>Mississippi: Harrison County;</t>
  </si>
  <si>
    <t>Mississippi: Lamar County;</t>
  </si>
  <si>
    <t>Texas: Frio County;</t>
  </si>
  <si>
    <t>Missouri: Barry County, Dade County, Lawrence County;</t>
  </si>
  <si>
    <t>05/14/2022</t>
  </si>
  <si>
    <t>05/15/2022</t>
  </si>
  <si>
    <t>05/17/2022</t>
  </si>
  <si>
    <t>Texas: Collin County, Dallas County, Denton County, Ellis County, Grayson County, Henderson County, Hunt County, Kaufman County, Navarro County, Rockwall County, Smith County, Tarrant County, Van Zandt County;</t>
  </si>
  <si>
    <t>05/16/2022</t>
  </si>
  <si>
    <t>California: Solano County, Santa Clara County;</t>
  </si>
  <si>
    <t>Unplanned evacuation from its Bulk Electric System control center facility for 30 continuous minutes or more; Complete loss of monitoring or control capability at its staffed Bulk Electric System control center for 30 continuous minutes or more.</t>
  </si>
  <si>
    <t>New Mexico: Roosevelt County;</t>
  </si>
  <si>
    <t>05/18/2022</t>
  </si>
  <si>
    <t>05/31/2022</t>
  </si>
  <si>
    <t>Idaho: Madison County;</t>
  </si>
  <si>
    <t>Pennsylvania: Philadelphia County;</t>
  </si>
  <si>
    <t>05/20/2022</t>
  </si>
  <si>
    <t>New York: Broome County, Monroe County;</t>
  </si>
  <si>
    <t>05/21/2022</t>
  </si>
  <si>
    <t>05/22/2022</t>
  </si>
  <si>
    <t>52172</t>
  </si>
  <si>
    <t>05/25/2022</t>
  </si>
  <si>
    <t>California: Siskiyou County;</t>
  </si>
  <si>
    <t>05/27/2022</t>
  </si>
  <si>
    <t>Arizona: California: Nevada: New Mexico:</t>
  </si>
  <si>
    <t>05/29/2022</t>
  </si>
  <si>
    <t>05/30/2022</t>
  </si>
  <si>
    <t>06/01/2022</t>
  </si>
  <si>
    <t>Utah: California: Oregon: Umatilla County;</t>
  </si>
  <si>
    <t>06/02/2022</t>
  </si>
  <si>
    <t>06/03/2022</t>
  </si>
  <si>
    <t>06/04/2022</t>
  </si>
  <si>
    <t>06/05/2022</t>
  </si>
  <si>
    <t>Firm load shedding of 100 Megawatts or more implemented under emergency operational polic</t>
  </si>
  <si>
    <t>06/06/2022</t>
  </si>
  <si>
    <t>06/08/2022</t>
  </si>
  <si>
    <t>Missouri: Clay County, Jackson County; Kansas: Johnson County;</t>
  </si>
  <si>
    <t> Loss of electric service to more than 50,000 customers for 1 hour or more</t>
  </si>
  <si>
    <t>Kansas: Missouri: Nebraska:</t>
  </si>
  <si>
    <t>06/09/2022</t>
  </si>
  <si>
    <t>Oregon: Douglas County; Washington: Idaho: Utah: Wyoming:</t>
  </si>
  <si>
    <t>06/10/2022</t>
  </si>
  <si>
    <t>39094</t>
  </si>
  <si>
    <t>13437</t>
  </si>
  <si>
    <t>445</t>
  </si>
  <si>
    <t>06/12/2022</t>
  </si>
  <si>
    <t>06/13/2022</t>
  </si>
  <si>
    <t>14000</t>
  </si>
  <si>
    <t>06/14/2022</t>
  </si>
  <si>
    <t>162551</t>
  </si>
  <si>
    <t>Complete loss of Interpersonal Communication and Alternative Interpersonal Communication capability affecting its staffed Bulk Electric System control center for 30 continuous minutes or more. Complete loss of monitoring or control capability at its staffed Bulk Electric System control center for 30 continuous minutes or more.</t>
  </si>
  <si>
    <t>373</t>
  </si>
  <si>
    <t>06/15/2022</t>
  </si>
  <si>
    <t>Wisconsin: Outagamie County, Waupaca County, Winnebago County, Brown County, Sheboygan County, Ozaukee County, Waukesha County; Michigan: Iron County;</t>
  </si>
  <si>
    <t>RF/MRO</t>
  </si>
  <si>
    <t>06/16/2022</t>
  </si>
  <si>
    <t>77908</t>
  </si>
  <si>
    <t>06/17/2022</t>
  </si>
  <si>
    <t>06/18/2022</t>
  </si>
  <si>
    <t>44000</t>
  </si>
  <si>
    <t>06/19/2022</t>
  </si>
  <si>
    <t>West Virginia: Virginia: Kentucky:</t>
  </si>
  <si>
    <t>91056</t>
  </si>
  <si>
    <t>06/20/2022</t>
  </si>
  <si>
    <t>15604</t>
  </si>
  <si>
    <t>06/22/2022</t>
  </si>
  <si>
    <t>06/23/2022</t>
  </si>
  <si>
    <t>New Jersey: Cape May County;</t>
  </si>
  <si>
    <t>06/24/2022</t>
  </si>
  <si>
    <t>06/25/2022</t>
  </si>
  <si>
    <t>06/26/2022</t>
  </si>
  <si>
    <t>06/27/2022</t>
  </si>
  <si>
    <t>06/28/2022</t>
  </si>
  <si>
    <t>Texas: Victoria County;</t>
  </si>
  <si>
    <t>2491</t>
  </si>
  <si>
    <t>Kentucky: Clark County;</t>
  </si>
  <si>
    <t>06/30/2022</t>
  </si>
  <si>
    <t>Unplanned evacuation from its Bulk Electric System control center facility for 30 continuous minutes or more. Complete loss of monitoring or control capability at its staffed Bulk Electric System control center for 30 continuous minutes or more.</t>
  </si>
  <si>
    <t>07/01/2022</t>
  </si>
  <si>
    <t>07/03/2022</t>
  </si>
  <si>
    <t>1079</t>
  </si>
  <si>
    <t>07/04/2022</t>
  </si>
  <si>
    <t>California: Amador County;</t>
  </si>
  <si>
    <t>3001</t>
  </si>
  <si>
    <t>07/05/2022</t>
  </si>
  <si>
    <t>Washington: Pierce County; Oregon: Idaho: Montana:</t>
  </si>
  <si>
    <t>Iowa: Illinois:</t>
  </si>
  <si>
    <t>07/06/2022</t>
  </si>
  <si>
    <t>07/07/2022</t>
  </si>
  <si>
    <t>104700</t>
  </si>
  <si>
    <t>Virginia: Fluvanna County;</t>
  </si>
  <si>
    <t>Kentucky: Nelson County;</t>
  </si>
  <si>
    <t>Utah: California: Oregon: Douglas County;</t>
  </si>
  <si>
    <t>Oklahoma: Okmulgee County;</t>
  </si>
  <si>
    <t>4836</t>
  </si>
  <si>
    <t>07/09/2022</t>
  </si>
  <si>
    <t>4724</t>
  </si>
  <si>
    <t>07/10/2022</t>
  </si>
  <si>
    <t>07/11/2022</t>
  </si>
  <si>
    <t>07/12/2022</t>
  </si>
  <si>
    <t>Maryland: Baltimore County, Carroll County, Harford County;</t>
  </si>
  <si>
    <t>Washington: Oregon: Clatsop County; Idaho: Montana:</t>
  </si>
  <si>
    <t>50200</t>
  </si>
  <si>
    <t>07/13/2022</t>
  </si>
  <si>
    <t>Colorado: La Plata County;</t>
  </si>
  <si>
    <t>07/15/2022</t>
  </si>
  <si>
    <t>Nebraska: Wayne County;</t>
  </si>
  <si>
    <t>07/18/2022</t>
  </si>
  <si>
    <t>07/19/2022</t>
  </si>
  <si>
    <t>07/23/2022</t>
  </si>
  <si>
    <t>07/24/2022</t>
  </si>
  <si>
    <t>Michigan: Muskegon County, Ottawa County, Kent County, Montcalm County, Ionia County, Allegan County, Van Buren County, Kalamazoo County, Barry County, Mason County, Shiawassee County, Ingham County, Genesee County, Saginaw County, Midland County, Wexford County, Grand Traverse County;</t>
  </si>
  <si>
    <t>93750</t>
  </si>
  <si>
    <t>07/25/2022</t>
  </si>
  <si>
    <t>Pennsylvania: Erie County;</t>
  </si>
  <si>
    <t>07/26/2022</t>
  </si>
  <si>
    <t>California: Santa Barbara County;</t>
  </si>
  <si>
    <t>07/28/2022</t>
  </si>
  <si>
    <t>Damage or destruction of its Facility that results from actual or suspected intentional human action. Physical threat to its Facility excluding weather or natural disaster related threats, which has the potential to degrade the normal operation of the Facility. Or suspicious device or activity at its Facility.</t>
  </si>
  <si>
    <t>07/29/2022</t>
  </si>
  <si>
    <t>07/30/2022</t>
  </si>
  <si>
    <t>08/01/2022</t>
  </si>
  <si>
    <t>07/31/2022</t>
  </si>
  <si>
    <t>08/03/2022</t>
  </si>
  <si>
    <t>Minnesota: Wisconsin:</t>
  </si>
  <si>
    <t>08/05/2022</t>
  </si>
  <si>
    <t>Michigan: Wayne County, Washtenaw County, St. Clair County, Macomb County, Monroe County, Oakland County;</t>
  </si>
  <si>
    <t>Michigan: Allegan County, Van Buren County, Barry County, Kalamazoo County, Calhoun County, Jackson County, Calhoun County, Washtenaw County;</t>
  </si>
  <si>
    <t>91264</t>
  </si>
  <si>
    <t>08/04/2022</t>
  </si>
  <si>
    <t>Maryland: Anne Arundel County, Baltimore County, Baltimore, City of[16];</t>
  </si>
  <si>
    <t>75500</t>
  </si>
  <si>
    <t>08/09/2022</t>
  </si>
  <si>
    <t>Washington: Kitsap County;</t>
  </si>
  <si>
    <t>62464</t>
  </si>
  <si>
    <t>08/10/2022</t>
  </si>
  <si>
    <t>Arkansas: Lawrence County;</t>
  </si>
  <si>
    <t>08/11/2022</t>
  </si>
  <si>
    <t>140464</t>
  </si>
  <si>
    <t>08/12/2022</t>
  </si>
  <si>
    <t>Georgia: Sumter County;</t>
  </si>
  <si>
    <t>08/15/2022</t>
  </si>
  <si>
    <t>08/16/2022</t>
  </si>
  <si>
    <t>Wyoming: Nebraska:</t>
  </si>
  <si>
    <t>08/18/2022</t>
  </si>
  <si>
    <t>08/19/2022</t>
  </si>
  <si>
    <t>Massachusetts: Bristol County;</t>
  </si>
  <si>
    <t>08/20/2022</t>
  </si>
  <si>
    <t>08/22/2022</t>
  </si>
  <si>
    <t>Texas: DeWitt County;</t>
  </si>
  <si>
    <t>6385</t>
  </si>
  <si>
    <t>08/24/2022</t>
  </si>
  <si>
    <t>08/25/2022</t>
  </si>
  <si>
    <t>08/26/2022</t>
  </si>
  <si>
    <t>08/27/2022</t>
  </si>
  <si>
    <t>08/28/2022</t>
  </si>
  <si>
    <t>08/29/2022</t>
  </si>
  <si>
    <t>09/01/2022</t>
  </si>
  <si>
    <t>Michigan: Ottawa County, Allegan County, Van Buren County, Montcalm County, Kent County, Barry County, Kalamazoo County, St. Joseph County, Branch County, Hillsdale County, Calhoun County, Jackson County, Eaton County, Clinton County, Shiawassee County, Montcalm County, Isabella County, Mecosta County, Midland County;</t>
  </si>
  <si>
    <t>197740</t>
  </si>
  <si>
    <t>Texas: Collin County;</t>
  </si>
  <si>
    <t>08/31/2022</t>
  </si>
  <si>
    <t>242</t>
  </si>
  <si>
    <t>09/04/2022</t>
  </si>
  <si>
    <t>09/06/2022</t>
  </si>
  <si>
    <t>Texas: Tarrant County, Collin County, Dallas County, Ellis County, Kaufman County, Rockwall County, Williamson County, Denton County, Archer County;</t>
  </si>
  <si>
    <t>190000</t>
  </si>
  <si>
    <t>09/05/2022</t>
  </si>
  <si>
    <t>09/07/2022</t>
  </si>
  <si>
    <t>272</t>
  </si>
  <si>
    <t>8800</t>
  </si>
  <si>
    <t>8600</t>
  </si>
  <si>
    <t>257</t>
  </si>
  <si>
    <t>09/08/2022</t>
  </si>
  <si>
    <t>09/09/2022</t>
  </si>
  <si>
    <t>258</t>
  </si>
  <si>
    <t>8250</t>
  </si>
  <si>
    <t>09/10/2022</t>
  </si>
  <si>
    <t>Indiana: Spencer County;</t>
  </si>
  <si>
    <t>09/11/2022</t>
  </si>
  <si>
    <t>Texas: Fayette County;</t>
  </si>
  <si>
    <t>09/13/2022</t>
  </si>
  <si>
    <t>09/15/2022</t>
  </si>
  <si>
    <t>09/16/2022</t>
  </si>
  <si>
    <t>Oregon: Multnomah County; Washington: Clark County;</t>
  </si>
  <si>
    <t>09/21/2022</t>
  </si>
  <si>
    <t>Texas: Louisiana: Arkansas: Jefferson County; Mississippi:</t>
  </si>
  <si>
    <t>1521</t>
  </si>
  <si>
    <t>09/22/2022</t>
  </si>
  <si>
    <t>Florida: Pinellas County, Pasco County, Orange County, Lake County;</t>
  </si>
  <si>
    <t>09/23/2022</t>
  </si>
  <si>
    <t>09/27/2022</t>
  </si>
  <si>
    <t>09/28/2022</t>
  </si>
  <si>
    <t>10/03/2022</t>
  </si>
  <si>
    <t>676000</t>
  </si>
  <si>
    <t>09/30/2022</t>
  </si>
  <si>
    <t>116937</t>
  </si>
  <si>
    <t>Florida: Hillsborough County, Polk County, Pasco County, Pinellas County;</t>
  </si>
  <si>
    <t>750</t>
  </si>
  <si>
    <t>291361</t>
  </si>
  <si>
    <t>09/29/2022</t>
  </si>
  <si>
    <t>Florida: Orange County, Osceola County;</t>
  </si>
  <si>
    <t>15797</t>
  </si>
  <si>
    <t>10/01/2022</t>
  </si>
  <si>
    <t>154100</t>
  </si>
  <si>
    <t>108930</t>
  </si>
  <si>
    <t>48323</t>
  </si>
  <si>
    <t>10/04/2022</t>
  </si>
  <si>
    <t>Alabama: Barbour County; Virginia:</t>
  </si>
  <si>
    <t>Suspicious activity</t>
  </si>
  <si>
    <t>10/08/2022</t>
  </si>
  <si>
    <t>New York: Queens County;</t>
  </si>
  <si>
    <t>10/10/2022</t>
  </si>
  <si>
    <t>Texas: Louisiana: Arkansas: Pope County; Mississippi:</t>
  </si>
  <si>
    <t>10/13/2022</t>
  </si>
  <si>
    <t>10/14/2022</t>
  </si>
  <si>
    <t>Connecticut: Massachusetts: Maine: Rhode Island: New Hampshire: Vermont:</t>
  </si>
  <si>
    <t>Sever Weather</t>
  </si>
  <si>
    <t>76388</t>
  </si>
  <si>
    <t>Texas: Bee County;</t>
  </si>
  <si>
    <t xml:space="preserve">RE </t>
  </si>
  <si>
    <t>Reportable Cyber Security Incident</t>
  </si>
  <si>
    <t>10/15/2022</t>
  </si>
  <si>
    <t>10/18/2022</t>
  </si>
  <si>
    <t>69</t>
  </si>
  <si>
    <t>16225</t>
  </si>
  <si>
    <t>10/21/2022</t>
  </si>
  <si>
    <t>California: Trinity County;</t>
  </si>
  <si>
    <t>10/24/2022</t>
  </si>
  <si>
    <t>10/28/2022</t>
  </si>
  <si>
    <t>Massachusetts: Essex County[13];</t>
  </si>
  <si>
    <t>Texas: New Mexico: Chaves County;</t>
  </si>
  <si>
    <t>34</t>
  </si>
  <si>
    <t>7551</t>
  </si>
  <si>
    <t>10/25/2022</t>
  </si>
  <si>
    <t>109865</t>
  </si>
  <si>
    <t>10/26/2022</t>
  </si>
  <si>
    <t>10/27/2022</t>
  </si>
  <si>
    <t>10/31/2022</t>
  </si>
  <si>
    <t>11/02/2022</t>
  </si>
  <si>
    <t>11/03/2022</t>
  </si>
  <si>
    <t>Washington: Douglas County;</t>
  </si>
  <si>
    <t>11/04/2022</t>
  </si>
  <si>
    <t>11/07/2022</t>
  </si>
  <si>
    <t>Washington: Island County, King County, Kittitas County, Thurston County, Kitsap County, Pierce County, Skagit County, Whatcom County;</t>
  </si>
  <si>
    <t>214000</t>
  </si>
  <si>
    <t>11/05/2022</t>
  </si>
  <si>
    <t>11/08/2022</t>
  </si>
  <si>
    <t>Michigan: Kalamazoo County, Kent County, Calhoun County, Genesee County, Ottawa County, Muskegon County, Eaton County, Saginaw County, Van Buren County, Hillsdale County, Shiawassee County, Jackson County, Lenawee County, Branch County, Montcalm County, Monroe County, Manistee County, Roscommon County, Clinton County, Ingham County, Gladwin County, Arenac County, Ogemaw County, Iosco County, Alcona County;</t>
  </si>
  <si>
    <t>158450</t>
  </si>
  <si>
    <t>Michigan: Oakland County, Wayne County, Monroe County, Lapeer County, St. Clair County, Washtenaw County, Macomb County, Tuscola County, Sanilac County, Huron County;</t>
  </si>
  <si>
    <t>Texas: Hockley County;</t>
  </si>
  <si>
    <t>11/10/2022</t>
  </si>
  <si>
    <t>11/11/2022</t>
  </si>
  <si>
    <t>11/14/2022</t>
  </si>
  <si>
    <t>Ohio: Knox County;</t>
  </si>
  <si>
    <t>1775</t>
  </si>
  <si>
    <t>11/15/2022</t>
  </si>
  <si>
    <t>Oregon: Josephine County; Washington: Idaho: Utah: Wyoming:</t>
  </si>
  <si>
    <t>11/18/2022</t>
  </si>
  <si>
    <t>Washington: Cowlitz County;</t>
  </si>
  <si>
    <t>1454</t>
  </si>
  <si>
    <t>11/22/2022</t>
  </si>
  <si>
    <t>Maine: Penobscot County;</t>
  </si>
  <si>
    <t>11/23/2022</t>
  </si>
  <si>
    <t>Maryland: Delaware: New Jersey: Pennsylvania: Illinois: District of Columbia:</t>
  </si>
  <si>
    <t>11/24/2022</t>
  </si>
  <si>
    <t>11/25/2022</t>
  </si>
  <si>
    <t>11/27/2022</t>
  </si>
  <si>
    <t>Maryland: Montgomery County;</t>
  </si>
  <si>
    <t>87500</t>
  </si>
  <si>
    <t>11/28/2022</t>
  </si>
  <si>
    <t>6337</t>
  </si>
  <si>
    <t>11/30/2022</t>
  </si>
  <si>
    <t>12/02/2022</t>
  </si>
  <si>
    <t>Maine: Massachusetts: Connecticut: Rhode Island: Vermont: New Hampshire:</t>
  </si>
  <si>
    <t>113</t>
  </si>
  <si>
    <t>113000</t>
  </si>
  <si>
    <t>Alabama: Mississippi: Georgia:</t>
  </si>
  <si>
    <t>386</t>
  </si>
  <si>
    <t>54110</t>
  </si>
  <si>
    <t>12/03/2022</t>
  </si>
  <si>
    <t>North Carolina: Moore County;</t>
  </si>
  <si>
    <t>99</t>
  </si>
  <si>
    <t>12/05/2022</t>
  </si>
  <si>
    <t>12/06/2022</t>
  </si>
  <si>
    <t>Kentucky: Jefferson County;</t>
  </si>
  <si>
    <t>Georgia: Heard County;</t>
  </si>
  <si>
    <t>Georgia: Bartow County;</t>
  </si>
  <si>
    <t>2600</t>
  </si>
  <si>
    <t>1883</t>
  </si>
  <si>
    <t>12/07/2022</t>
  </si>
  <si>
    <t>12/08/2022</t>
  </si>
  <si>
    <t>Indiana: Vigo County;</t>
  </si>
  <si>
    <t>12/10/2022</t>
  </si>
  <si>
    <t>12/12/2022</t>
  </si>
  <si>
    <t>Missouri: Greene County, Dunklin County;</t>
  </si>
  <si>
    <t>12/13/2022</t>
  </si>
  <si>
    <t>12/14/2022</t>
  </si>
  <si>
    <t>Washington: Spokane County;</t>
  </si>
  <si>
    <t>583</t>
  </si>
  <si>
    <t>Montana: Richland County;</t>
  </si>
  <si>
    <t>12/15/2022</t>
  </si>
  <si>
    <t>12/16/2022</t>
  </si>
  <si>
    <t>12/18/2022</t>
  </si>
  <si>
    <t>Massachusetts: Vermont: New Hampshire: Maine:</t>
  </si>
  <si>
    <t>36600</t>
  </si>
  <si>
    <t>12/17/2022</t>
  </si>
  <si>
    <t>Texas: Kaufman County;</t>
  </si>
  <si>
    <t>12/22/2022</t>
  </si>
  <si>
    <t>12/25/2022</t>
  </si>
  <si>
    <t>Tennessee: Alabama: Mississippi: Kentucky:</t>
  </si>
  <si>
    <t>3200</t>
  </si>
  <si>
    <t>12/23/2022</t>
  </si>
  <si>
    <t>500000</t>
  </si>
  <si>
    <t>66519</t>
  </si>
  <si>
    <t>108900</t>
  </si>
  <si>
    <t>33010</t>
  </si>
  <si>
    <t>12/24/2022</t>
  </si>
  <si>
    <t>System-wide voltage reductions of 3 percent or more.</t>
  </si>
  <si>
    <t>4615</t>
  </si>
  <si>
    <t>17600</t>
  </si>
  <si>
    <t>960</t>
  </si>
  <si>
    <t>295000</t>
  </si>
  <si>
    <t>22436</t>
  </si>
  <si>
    <t>13500</t>
  </si>
  <si>
    <t>12/26/2022</t>
  </si>
  <si>
    <t>12/28/2022</t>
  </si>
  <si>
    <t>Washington: King County, Island County, Kittitas County, Kitsap County, Pierce County, Skagit County, Thurston County, Whatcom County;</t>
  </si>
  <si>
    <t>12/27/2022</t>
  </si>
  <si>
    <t>Oregon: Clackamas County, Columbia County, Marion County, Multnomah County, Polk County;</t>
  </si>
  <si>
    <t>83060</t>
  </si>
  <si>
    <t>11600</t>
  </si>
  <si>
    <t>12/29/2022</t>
  </si>
  <si>
    <t>12/30/2022</t>
  </si>
  <si>
    <t>Oregon: Sherman County;</t>
  </si>
  <si>
    <t>12/31/2022</t>
  </si>
  <si>
    <t>01/03/2023</t>
  </si>
  <si>
    <t>01/01/2023</t>
  </si>
  <si>
    <t>161000</t>
  </si>
  <si>
    <t>OE-417 Electric Emergency and Disturbance (OE-417) Events, 2023</t>
  </si>
  <si>
    <t>Event Month</t>
  </si>
  <si>
    <t>3509</t>
  </si>
  <si>
    <t>01/02/2023</t>
  </si>
  <si>
    <t>432</t>
  </si>
  <si>
    <t>Arkansas: Union County; Louisiana: Ouachita Parish;</t>
  </si>
  <si>
    <t>6849</t>
  </si>
  <si>
    <t>01/05/2023</t>
  </si>
  <si>
    <t>Louisiana: Concordia Parish;</t>
  </si>
  <si>
    <t>1631</t>
  </si>
  <si>
    <t>01/06/2023</t>
  </si>
  <si>
    <t>Ohio: Sandusky County;</t>
  </si>
  <si>
    <t>01/07/2023</t>
  </si>
  <si>
    <t>01/08/2023</t>
  </si>
  <si>
    <t>458</t>
  </si>
  <si>
    <t>185434</t>
  </si>
  <si>
    <t>Texas: Jasper County, Tyler County;</t>
  </si>
  <si>
    <t>9823</t>
  </si>
  <si>
    <t>Texas: Bowie County;</t>
  </si>
  <si>
    <t>01/12/2023</t>
  </si>
  <si>
    <t>Unkonwn</t>
  </si>
  <si>
    <t>01/13/2023</t>
  </si>
  <si>
    <t>1158</t>
  </si>
  <si>
    <t>162000</t>
  </si>
  <si>
    <t>01/19/2023</t>
  </si>
  <si>
    <t>South Carolina: Sumter County;</t>
  </si>
  <si>
    <t>01/20/2023</t>
  </si>
  <si>
    <t>Michigan: Oakland County;</t>
  </si>
  <si>
    <t>01/23/2023</t>
  </si>
  <si>
    <t>01/24/2023</t>
  </si>
  <si>
    <t>41000</t>
  </si>
  <si>
    <t>01/26/2023</t>
  </si>
  <si>
    <t>100731</t>
  </si>
  <si>
    <t>01/25/2023</t>
  </si>
  <si>
    <t>Arkansas: Texas: Louisiana: Mississippi:</t>
  </si>
  <si>
    <t>60958</t>
  </si>
  <si>
    <t>01/28/2023</t>
  </si>
  <si>
    <t>Illinois: Franklin County;</t>
  </si>
  <si>
    <t>01/29/2023</t>
  </si>
  <si>
    <t>01/30/2023</t>
  </si>
  <si>
    <t>01/31/2023</t>
  </si>
  <si>
    <t>02/06/2023</t>
  </si>
  <si>
    <t>Texas: Dallas County, Anderson County, Bosque County, Collin County, Comanche County, Cooke County, Delta County, Denton County, Ellis County, Erath County, Fannin County, Freestone County, Hamilton County, Henderson County, Hill County, Hood County, Hopkins County, Hunt County, Jack County, Johnson County, Kaufman County, Lamar County, Navarro County, Palo Pinto County, Parker County, Rains County, Red River County, Rockwall County, Somervell County, Tarrant County, Van Zandt County, Wichita County, Wise County;</t>
  </si>
  <si>
    <t>360000</t>
  </si>
  <si>
    <t>02/01/2023</t>
  </si>
  <si>
    <t>02/04/2023</t>
  </si>
  <si>
    <t>370</t>
  </si>
  <si>
    <t>173879</t>
  </si>
  <si>
    <t>02/02/2023</t>
  </si>
  <si>
    <t>02/03/2023</t>
  </si>
  <si>
    <t>Arkansas: Mississippi: Texas:</t>
  </si>
  <si>
    <t>74426</t>
  </si>
  <si>
    <t>Maryland: Cecil County;</t>
  </si>
  <si>
    <t>Oregon: Washington: Yakima County; Idaho: Utah: Wyoming:</t>
  </si>
  <si>
    <t>Ohio: Gallia County;</t>
  </si>
  <si>
    <t>02/07/2023</t>
  </si>
  <si>
    <t>Wisconsin: La Crosse County;</t>
  </si>
  <si>
    <t>02/08/2023</t>
  </si>
  <si>
    <t>Pennsylvania: Lawrence County;</t>
  </si>
  <si>
    <t>02/11/2023</t>
  </si>
  <si>
    <t>Texas: Taylor County;</t>
  </si>
  <si>
    <t>02/13/2023</t>
  </si>
  <si>
    <t>02/14/2023</t>
  </si>
  <si>
    <t>Wisconsin: Chippewa County;</t>
  </si>
  <si>
    <t>02/15/2023</t>
  </si>
  <si>
    <t>Florida: Clay County;</t>
  </si>
  <si>
    <t>02/18/2023</t>
  </si>
  <si>
    <t>02/19/2023</t>
  </si>
  <si>
    <t>02/21/2023</t>
  </si>
  <si>
    <t>Florida: Orange County;</t>
  </si>
  <si>
    <t>2547</t>
  </si>
  <si>
    <t>02/22/2023</t>
  </si>
  <si>
    <t>02/25/2023</t>
  </si>
  <si>
    <t>Michigan: Van Buren County, Kalamazoo County, St. Joseph County, Calhoun County, Branch County, Hillsdale County, Jackson County, Washtenaw County, Monroe County, Lenawee County, Ingham County, Barry County, Allegan County, Ottawa County, Eaton County, Ingham County, Shiawassee County, Clinton County;</t>
  </si>
  <si>
    <t>261043</t>
  </si>
  <si>
    <t>6200</t>
  </si>
  <si>
    <t>623358</t>
  </si>
  <si>
    <t>02/23/2023</t>
  </si>
  <si>
    <t>Wisconsin: Kenosha County, Racine County, Milwaukee County, Walworth County, Jefferson County, Waukesha County; Michigan:</t>
  </si>
  <si>
    <t>02/24/2023</t>
  </si>
  <si>
    <t>Florida: Pasco County;</t>
  </si>
  <si>
    <t>02/26/2023</t>
  </si>
  <si>
    <t>153555</t>
  </si>
  <si>
    <t>02/27/2023</t>
  </si>
  <si>
    <t>Michigan: Newaygo County, Oceana County, Ionia County, Montcalm County, Jackson County, Van Buren County, Washtenaw County, Hillsdale County, Lenawee County;</t>
  </si>
  <si>
    <t>02/28/2023</t>
  </si>
  <si>
    <t>Wisconsin: Outagamie County;</t>
  </si>
  <si>
    <t>03/01/2023</t>
  </si>
  <si>
    <t>03/02/2023</t>
  </si>
  <si>
    <t>03/04/2023</t>
  </si>
  <si>
    <t>Texas: Montague County, Cooke County, Grayson County, Fannin County, Lamar County, Young County, Jack County, Wise County, Denton County, Collin County, Hunt County, Delta County, Hopkins County, Stephens County, Palo Pinto County, Parker County, Tarrant County, Dallas County, Rockwall County, Kaufman County, Van Zandt County, Rains County, Eastland County, Erath County, Hood County, Somervell County, Johnson County, Ellis County, Henderson County, Comanche County, Mills County, Hamilton County, Bosque County, Hill County, Navarro County, Freestone County, Anderson County, Lampasas County, Coryell County, Bell County, McLennan County, Falls County, Limestone County, Leon County, Milam County, Robertson County;</t>
  </si>
  <si>
    <t>470000</t>
  </si>
  <si>
    <t>03/03/2023</t>
  </si>
  <si>
    <t>12014</t>
  </si>
  <si>
    <t>Texas: Tarrant County;</t>
  </si>
  <si>
    <t>Kentucky: Oldham County, Jefferson County, Fayette County, Franklin County, Hardin County, Hart County, Hopkins County, Jessamine County, Muhlenberg County, Nelson County, Scott County, Shelby County, Spencer County, Washington County, Woodford County, Bullitt County, Meade County, Lyon County, LaRue County, Henry County, Grayson County, Boyle County, Christian County, Anderson County; Virginia: Wise County;</t>
  </si>
  <si>
    <t>346000</t>
  </si>
  <si>
    <t>57186</t>
  </si>
  <si>
    <t>03/05/2023</t>
  </si>
  <si>
    <t>346</t>
  </si>
  <si>
    <t>48384</t>
  </si>
  <si>
    <t>Kentucky: Oldham County, Jefferson County, Fayette County, Franklin County, Hardin County, Hart County, Hopkins County, Jessamine County, Muhlenberg County, Nelson County, Scott County, Shelby County, Spencer County, Washington County, Woodford County, Bullitt County, Meade County, Lyon County, LaRue County, Henry County, Grayson County, Boyle County, Christian County, Anderson County; Virginia: Williamsburg, City of[23], Wise County;</t>
  </si>
  <si>
    <t>965</t>
  </si>
  <si>
    <t>33</t>
  </si>
  <si>
    <t>03/06/2023</t>
  </si>
  <si>
    <t>Georgia: Fulton County;</t>
  </si>
  <si>
    <t>West Virginia: Randolph County, Barbour County;</t>
  </si>
  <si>
    <t>Virginia: Orange County;</t>
  </si>
  <si>
    <t>03/07/2023</t>
  </si>
  <si>
    <t>Texas: Lubbock County; New Mexico:</t>
  </si>
  <si>
    <t>03/08/2023</t>
  </si>
  <si>
    <t>03/09/2023</t>
  </si>
  <si>
    <t>03/10/2023</t>
  </si>
  <si>
    <t>Wisconsin: Walworth County, Waukesha County, Milwaukee County, Racine County, Ozaukee County, Kenosha County;</t>
  </si>
  <si>
    <t>250</t>
  </si>
  <si>
    <t>Texas: Webb County, Hidalgo County;</t>
  </si>
  <si>
    <t>03/14/2023</t>
  </si>
  <si>
    <t>03/16/2023</t>
  </si>
  <si>
    <t>Connecticut: Massachusetts: Vermont: Rhode Island: New Hampshire: Maine:</t>
  </si>
  <si>
    <t>83000</t>
  </si>
  <si>
    <t>03/15/2023</t>
  </si>
  <si>
    <t>03/22/2023</t>
  </si>
  <si>
    <t>Pennsylvania: Greene County;</t>
  </si>
  <si>
    <t>621</t>
  </si>
  <si>
    <t>03/23/2023</t>
  </si>
  <si>
    <t>11479</t>
  </si>
  <si>
    <t>03/25/2023</t>
  </si>
  <si>
    <t>03/27/2023</t>
  </si>
  <si>
    <t>5800</t>
  </si>
  <si>
    <t>67893</t>
  </si>
  <si>
    <t>Ohio: West Virginia: Virginia:</t>
  </si>
  <si>
    <t>160801</t>
  </si>
  <si>
    <t>03/26/2023</t>
  </si>
  <si>
    <t>Washington: Oregon: Josephine County; California: Idaho: Utah: Wyoming: Montana:</t>
  </si>
  <si>
    <t>03/28/2023</t>
  </si>
  <si>
    <t>Texas: Hartley County;</t>
  </si>
  <si>
    <t>03/29/2023</t>
  </si>
  <si>
    <t>Nebraska: Kearney County;</t>
  </si>
  <si>
    <t>MRO / RF</t>
  </si>
  <si>
    <t>03/30/2023</t>
  </si>
  <si>
    <t>Pennsylvania: Indiana County;</t>
  </si>
  <si>
    <t>1711</t>
  </si>
  <si>
    <t>03/31/2023</t>
  </si>
  <si>
    <t>58368</t>
  </si>
  <si>
    <t>04/01/2023</t>
  </si>
  <si>
    <t>Minnesota: Ramsey County, Hennepin County, Dakota County, Washington County;</t>
  </si>
  <si>
    <t>SERC / RF</t>
  </si>
  <si>
    <t>04/03/2023</t>
  </si>
  <si>
    <t>118000</t>
  </si>
  <si>
    <t>Alabama: Walker County;</t>
  </si>
  <si>
    <t>Colorado: Wyoming: Nebraska: Arizona: New Mexico: Utah: California:</t>
  </si>
  <si>
    <t>04/08/2023</t>
  </si>
  <si>
    <t>04/11/2023</t>
  </si>
  <si>
    <t>04/14/2023</t>
  </si>
  <si>
    <t> Cyber event that could potentially impact electric power system adequacy or reliability</t>
  </si>
  <si>
    <t>04/15/2023</t>
  </si>
  <si>
    <t>Texas: Kentucky: New Mexico: Washington: Oregon: Arizona: California: Nebraska: Pennsylvania: Ohio:</t>
  </si>
  <si>
    <t>04/16/2023</t>
  </si>
  <si>
    <t>3900</t>
  </si>
  <si>
    <t>04/17/2023</t>
  </si>
  <si>
    <t>South Carolina: Aiken County;</t>
  </si>
  <si>
    <t>39</t>
  </si>
  <si>
    <t>04/18/2023</t>
  </si>
  <si>
    <t>04/19/2023</t>
  </si>
  <si>
    <t>South Dakota: Stanley County;</t>
  </si>
  <si>
    <t>04/20/2023</t>
  </si>
  <si>
    <t>04/21/2023</t>
  </si>
  <si>
    <t>04/23/2023</t>
  </si>
  <si>
    <t>04/24/2023</t>
  </si>
  <si>
    <t>Washington: Mason County;</t>
  </si>
  <si>
    <t>04/25/2023</t>
  </si>
  <si>
    <t>04/26/2023</t>
  </si>
  <si>
    <t>Idaho: Bonner County;</t>
  </si>
  <si>
    <t>04/27/2023</t>
  </si>
  <si>
    <t>Texas: Blanco County;</t>
  </si>
  <si>
    <t>04/28/2023</t>
  </si>
  <si>
    <t>04/29/2023</t>
  </si>
  <si>
    <t>Texas: Hidalgo County, Cameron County, Willacy County, Starr County;</t>
  </si>
  <si>
    <t>168419</t>
  </si>
  <si>
    <t>Texas: San Patricio County;</t>
  </si>
  <si>
    <t xml:space="preserve">RF </t>
  </si>
  <si>
    <t>Washington: Whatcom County;</t>
  </si>
  <si>
    <t>Complete operational failure or shut down of the transmission and/or distribution electrical system</t>
  </si>
  <si>
    <t>Georgia: Gwinnett County;</t>
  </si>
  <si>
    <t>Alabama: Tuscaloosa County;</t>
  </si>
  <si>
    <t>- Weather or natural disaster</t>
  </si>
  <si>
    <t>- 10. Suspected Physical Attack</t>
  </si>
  <si>
    <t>- Vandalism - Theft</t>
  </si>
  <si>
    <t>Georgia, Alabama</t>
  </si>
  <si>
    <t>Wisconsin, Michigan</t>
  </si>
  <si>
    <t>- Vandalism</t>
  </si>
  <si>
    <t>Arkansas, Mississippi</t>
  </si>
  <si>
    <t>Washington, Idaho, Montana</t>
  </si>
  <si>
    <t>- Failure at high voltage substation or switchyard</t>
  </si>
  <si>
    <t>- Transmission equipment failure</t>
  </si>
  <si>
    <t>- Unknown</t>
  </si>
  <si>
    <t>Year</t>
  </si>
  <si>
    <t>\N</t>
  </si>
  <si>
    <t>Number Affected</t>
  </si>
  <si>
    <t>Location \N</t>
  </si>
  <si>
    <t>Distribution Interruption - \N Cause</t>
  </si>
  <si>
    <t xml:space="preserve">\N </t>
  </si>
  <si>
    <t>FRCC/SERC</t>
  </si>
  <si>
    <t>RFC, SERC</t>
  </si>
  <si>
    <t>RE</t>
  </si>
  <si>
    <t>Complete loss of monitoring or control capability at its staffed Bulk Electric System control center for 30 
 continuous minutes or more.</t>
  </si>
  <si>
    <t>Load Shed/Severe Weather - Lightning Storm</t>
  </si>
  <si>
    <t>Weather or natural disaster</t>
  </si>
  <si>
    <t>Vandalism - Theft</t>
  </si>
  <si>
    <t>Failure at high voltage substation or switchyard</t>
  </si>
  <si>
    <t>Transmission equipment failure</t>
  </si>
  <si>
    <t>- Other</t>
  </si>
  <si>
    <t>- Failure at high voltage substation or switchyard - Other</t>
  </si>
  <si>
    <t>Nebraska: Sarpy County;</t>
  </si>
  <si>
    <t>- Suspicious activity</t>
  </si>
  <si>
    <t>Texas: Randall County; New Mexico:</t>
  </si>
  <si>
    <t>Mississippi: Washington County, Sharkey County, Sunflower County;</t>
  </si>
  <si>
    <t>- Unknown - Failure at high voltage substation or switchyard</t>
  </si>
  <si>
    <t>Michigan: Oakland County, Wayne County, Macomb County, Washtenaw County, Livingston County;</t>
  </si>
  <si>
    <t>Idaho: Kootenai County;</t>
  </si>
  <si>
    <t>- Physical attack - Vandalism - Suspicious activity</t>
  </si>
  <si>
    <t>- Failure at high voltage substation or switchyard - Weather or natural disaster</t>
  </si>
  <si>
    <t>- Physical attack - Vandalism - Other</t>
  </si>
  <si>
    <t>Wisconsin: Jefferson County, Waukesha County, Milwaukee County, Sheboygan County, Washington County, Ozaukee County, Walworth County, Kenosha County, Racine County; Michigan:</t>
  </si>
  <si>
    <t>Illinois: Winnebago County, Cook County, Will County, DeKalb County, Kendall County;</t>
  </si>
  <si>
    <t>Maryland: Harford County;</t>
  </si>
  <si>
    <t>- Physical attack - Vandalism</t>
  </si>
  <si>
    <t>Massachusetts: Franklin County[13];</t>
  </si>
  <si>
    <t>Physical threat to its Facility excluding weather or natural disaster related threats, which has the potential to degrade the normal operation of the Facility. Or suspicious device or activity at its Facility. Physical threat to its Bulk Electric System control center, excluding weather or natural disaster related threats, which has the potential to degrade the normal operation of the control center. Or suspicious device or activity at its Bulk Electric System control center.</t>
  </si>
  <si>
    <t>- Threat of physical attack</t>
  </si>
  <si>
    <t>SERC,MRO</t>
  </si>
  <si>
    <t>09/29/2023</t>
  </si>
  <si>
    <t>09/30/2023</t>
  </si>
  <si>
    <t>Texas: New Mexico: Lea County;</t>
  </si>
  <si>
    <t>TRE,WECC</t>
  </si>
  <si>
    <t> Unexpected Transmission loss within its area, contrary to design, of three or more Bulk Electric System Facilities caused by a common disturbance (excluding successful automatic reclosing).</t>
  </si>
  <si>
    <t>09/28/2023</t>
  </si>
  <si>
    <t>09/25/2023</t>
  </si>
  <si>
    <t>Louisiana: East Baton Rouge Parish;</t>
  </si>
  <si>
    <t>09/24/2023</t>
  </si>
  <si>
    <t>09/26/2023</t>
  </si>
  <si>
    <t>Texas: Dallas County, Tarrant County, McLennan County, Angelina County, Bell County, Williamson County, Smith County;</t>
  </si>
  <si>
    <t>09/18/2023</t>
  </si>
  <si>
    <t>09/20/2023</t>
  </si>
  <si>
    <t>Damage or destruction of a Facility within its Reliability Coordinator Area, Balancing Authority Area or Transmission Operator Area that results in action(s) to avoid a Bulk Electric System Emergency</t>
  </si>
  <si>
    <t>09/16/2023</t>
  </si>
  <si>
    <t>09/15/2023</t>
  </si>
  <si>
    <t>Illinois: Grundy County;</t>
  </si>
  <si>
    <t>09/17/2023</t>
  </si>
  <si>
    <t>Connecticut: Massachusetts: Maine: Rhode Island: Vermont: New Hampshire:</t>
  </si>
  <si>
    <t>09/13/2023</t>
  </si>
  <si>
    <t>- Physical attack</t>
  </si>
  <si>
    <t>09/08/2023</t>
  </si>
  <si>
    <t>09/10/2023</t>
  </si>
  <si>
    <t>Texas: Tarrant County, Dallas County;</t>
  </si>
  <si>
    <t>09/09/2023</t>
  </si>
  <si>
    <t>09/07/2023</t>
  </si>
  <si>
    <t>- Weather or natural disaster - Other</t>
  </si>
  <si>
    <t>09/06/2023</t>
  </si>
  <si>
    <t>Michigan: Gratiot County;</t>
  </si>
  <si>
    <t>Weather or natural disaster - Other</t>
  </si>
  <si>
    <t>09/05/2023</t>
  </si>
  <si>
    <t xml:space="preserve">October </t>
  </si>
  <si>
    <t>10/03/2023</t>
  </si>
  <si>
    <t>Missouri: St. Louis County;</t>
  </si>
  <si>
    <t>- Vandalism - Theft - Suspicious activity</t>
  </si>
  <si>
    <t>10/04/2023</t>
  </si>
  <si>
    <t>10/06/2023</t>
  </si>
  <si>
    <t>10/05/2023</t>
  </si>
  <si>
    <t>Texas: New Mexico: Lea County, Eddy County;</t>
  </si>
  <si>
    <t>RE,WECC</t>
  </si>
  <si>
    <t>10/07/2023</t>
  </si>
  <si>
    <t>10/08/2023</t>
  </si>
  <si>
    <t>- Vandalism - Suspicious activity</t>
  </si>
  <si>
    <t>- Vandalism - Theft</t>
  </si>
  <si>
    <t>New Jersey: Essex County;</t>
  </si>
  <si>
    <t>10/12/2023</t>
  </si>
  <si>
    <t>Pennsylvania: Armstrong County;</t>
  </si>
  <si>
    <t>- Physical attack - Other</t>
  </si>
  <si>
    <t>10/14/2023</t>
  </si>
  <si>
    <t>- Unknown - Vandalism</t>
  </si>
  <si>
    <t>10/16/2023</t>
  </si>
  <si>
    <t>10/15/2023</t>
  </si>
  <si>
    <t>10/18/2023</t>
  </si>
  <si>
    <t>10/19/2023</t>
  </si>
  <si>
    <t>Texas: Lamb County; New Mexico:</t>
  </si>
  <si>
    <t>Minnesota: Goodhue County;</t>
  </si>
  <si>
    <t>10/21/2023</t>
  </si>
  <si>
    <t>California: San Joaquin County;</t>
  </si>
  <si>
    <t>10/22/2023</t>
  </si>
  <si>
    <t>10/23/2023</t>
  </si>
  <si>
    <t>- Physical attack - Vandalism - Theft - Suspicious activity</t>
  </si>
  <si>
    <t>10/25/2023</t>
  </si>
  <si>
    <t>10/29/2023</t>
  </si>
  <si>
    <t>Oklahoma: Texas County;</t>
  </si>
  <si>
    <t>- Physical attack - Generator loss or failure</t>
  </si>
  <si>
    <t>10/26/2023</t>
  </si>
  <si>
    <t>Oregon: Jefferson County;</t>
  </si>
  <si>
    <t>10/30/2023</t>
  </si>
  <si>
    <t>11/02/2023</t>
  </si>
  <si>
    <t>South Carolina: Oconee County;</t>
  </si>
  <si>
    <t>Oregon: Washington: Idaho: Bannock County; Utah: Wyoming:</t>
  </si>
  <si>
    <t>- Theft</t>
  </si>
  <si>
    <t>11/06/2023</t>
  </si>
  <si>
    <t>11/09/2023</t>
  </si>
  <si>
    <t>Oklahoma: Louisiana: Texas:</t>
  </si>
  <si>
    <t>MRO/SERC/RE</t>
  </si>
  <si>
    <t>11/10/2023</t>
  </si>
  <si>
    <t>11/11/2023</t>
  </si>
  <si>
    <t>11/12/2023</t>
  </si>
  <si>
    <t>11/13/2023</t>
  </si>
  <si>
    <t>11/15/2023</t>
  </si>
  <si>
    <t>11/16/2023</t>
  </si>
  <si>
    <t>- Fuel supply emergency</t>
  </si>
  <si>
    <t>Florida: Miami-Dade County, Broward County;</t>
  </si>
  <si>
    <t>11/17/2023</t>
  </si>
  <si>
    <t>16:41</t>
  </si>
  <si>
    <t>Colorado: Douglas County;</t>
  </si>
  <si>
    <t>11/19/2023</t>
  </si>
  <si>
    <t>11/20/2023</t>
  </si>
  <si>
    <t>- Theft - Suspicious activity</t>
  </si>
  <si>
    <t>11/21/2023</t>
  </si>
  <si>
    <t>11/25/2023</t>
  </si>
  <si>
    <t>Cyber event that is not a Reportable Cyber Security Incident that causes interruptions of electrical system operations.</t>
  </si>
  <si>
    <t>11/26/2023</t>
  </si>
  <si>
    <t>California: Sutter County;</t>
  </si>
  <si>
    <t>- Theft - Other</t>
  </si>
  <si>
    <t>11/27/2023</t>
  </si>
  <si>
    <t>11/29/2023</t>
  </si>
  <si>
    <t>Texas: Callahan County;</t>
  </si>
  <si>
    <t>- Physical attack - Vandalism - Suspicious activity</t>
  </si>
  <si>
    <t>Pacificorp</t>
  </si>
  <si>
    <t>Tampa Electric Company</t>
  </si>
  <si>
    <t>Pacific Gas &amp; Electric Co</t>
  </si>
  <si>
    <t>Pacific Gas and Electric</t>
  </si>
  <si>
    <t>Tucson Electric Power</t>
  </si>
  <si>
    <t>Seminole Electric Cooperative Inc</t>
  </si>
  <si>
    <t>- Cyber event (information technology)</t>
  </si>
  <si>
    <t>GenOn Energy – New Castle Power LLC</t>
  </si>
  <si>
    <t>Physical threat to its Facility excluding weather or natural disaster related threats, which has the potential to degrade the normal operation of the Facility. Or suspicious device or activity at its Facility</t>
  </si>
  <si>
    <t>Orsted Americas</t>
  </si>
  <si>
    <t>New York State Electric &amp; Gas</t>
  </si>
  <si>
    <t>WEC Energy Group (WEPCO, WPSC, UMERC, WEP-MIUP)</t>
  </si>
  <si>
    <t>Apex Generating Station</t>
  </si>
  <si>
    <t>- Vandalism - Theft - Suspicious activity - Other</t>
  </si>
  <si>
    <t>Bonneville Power Administration</t>
  </si>
  <si>
    <t>Austin Energy</t>
  </si>
  <si>
    <t>Texas RE</t>
  </si>
  <si>
    <t>Oncor Electric Delivery Company LLC</t>
  </si>
  <si>
    <t>1/0/1900</t>
  </si>
  <si>
    <t>Western Area Power Administration - Upper Great Plains Region - (NCR01036)</t>
  </si>
  <si>
    <t>Consolidated Edison of New York, Inc.</t>
  </si>
  <si>
    <t>MPCC</t>
  </si>
  <si>
    <t>Consumers Energy Co</t>
  </si>
  <si>
    <t>LUMA Energy</t>
  </si>
  <si>
    <t>Firm load shedding of 100 Megawatts or more implemented under emergency operational policy</t>
  </si>
  <si>
    <t>- Generator loss or failure</t>
  </si>
  <si>
    <t>ISO New England</t>
  </si>
  <si>
    <t>First Energy Solutions Corp.</t>
  </si>
  <si>
    <t>NV Energy</t>
  </si>
  <si>
    <t>Otter Tail Power Co</t>
  </si>
  <si>
    <t>- Suspicious activity - Transmission equipment failure</t>
  </si>
  <si>
    <t>American Electric Power (Regulated Generation)</t>
  </si>
  <si>
    <t>Lower Colorado River Authority</t>
  </si>
  <si>
    <t>Failure at high voltage substation or switchyard - Other</t>
  </si>
  <si>
    <t>Unknown - Failure at high voltage substation or switchyard</t>
  </si>
  <si>
    <t>Physical attack - Vandalism - Suspicious activity</t>
  </si>
  <si>
    <t>Failure at high voltage substation or switchyard - Weather or natural disaster</t>
  </si>
  <si>
    <t>Physical attack - Vandalism - Other</t>
  </si>
  <si>
    <t>Physical attack - Vandalism</t>
  </si>
  <si>
    <t>Threat of physical attack</t>
  </si>
  <si>
    <t>Physical attack</t>
  </si>
  <si>
    <t>Vandalism - Theft - Suspicious activity</t>
  </si>
  <si>
    <t>Vandalism - Suspicious activity</t>
  </si>
  <si>
    <t>Vandalism - Theft</t>
  </si>
  <si>
    <t>Physical attack - Other</t>
  </si>
  <si>
    <t>Unknown - Vandalism</t>
  </si>
  <si>
    <t>Physical attack - Vandalism - Theft - Suspicious activity</t>
  </si>
  <si>
    <t>Physical attack - Generator loss or failure</t>
  </si>
  <si>
    <t>Theft</t>
  </si>
  <si>
    <t>Fuel supply emergency</t>
  </si>
  <si>
    <t>Theft - Suspicious activity</t>
  </si>
  <si>
    <t>Theft - Other</t>
  </si>
  <si>
    <t>Physical attack - Vandalism - Suspicious activity</t>
  </si>
  <si>
    <t>Cyber event (information technology)</t>
  </si>
  <si>
    <t>Vandalism - Theft - Suspicious activity - Other</t>
  </si>
  <si>
    <t>Generator loss or failure</t>
  </si>
  <si>
    <t>Suspicious activity - Transmission equipment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</si>
</sst>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409]h:mm\ AM/PM;@"/>
    <numFmt numFmtId="165" formatCode="m/d/yyyy;@"/>
    <numFmt numFmtId="166" formatCode="[$-F400]h:mm:ss\ AM/PM"/>
    <numFmt numFmtId="167" formatCode="h:mm;@"/>
    <numFmt numFmtId="168" formatCode="yyyy\-mm\-dd;@"/>
    <numFmt numFmtId="169" formatCode="0;[Red]0"/>
  </numFmts>
  <fonts count="53">
    <font>
      <sz val="10"/>
      <name val="Arial"/>
    </font>
    <font>
      <sz val="11"/>
      <color theme="1"/>
      <name val="Calibri"/>
      <family val="2"/>
      <scheme val="minor"/>
    </font>
    <font>
      <b/>
      <sz val="8"/>
      <name val="Times New Roman"/>
      <family val="1"/>
    </font>
    <font>
      <b/>
      <sz val="10"/>
      <name val="Times New Roman"/>
      <family val="1"/>
    </font>
    <font>
      <sz val="12"/>
      <name val="Times New Roman"/>
      <family val="1"/>
    </font>
    <font>
      <b/>
      <sz val="7"/>
      <name val="Times New Roman"/>
      <family val="1"/>
    </font>
    <font>
      <sz val="7"/>
      <name val="Times New Roman"/>
      <family val="1"/>
    </font>
    <font>
      <sz val="8"/>
      <name val="Times New Roman"/>
      <family val="1"/>
    </font>
    <font>
      <sz val="10"/>
      <name val="Arial"/>
      <family val="2"/>
    </font>
    <font>
      <sz val="11"/>
      <color theme="1"/>
      <name val="Calibri"/>
      <family val="2"/>
      <scheme val="minor"/>
    </font>
    <font>
      <sz val="11"/>
      <color rgb="FF9C0006"/>
      <name val="Calibri"/>
      <family val="2"/>
      <scheme val="minor"/>
    </font>
    <font>
      <b/>
      <vertAlign val="superscript"/>
      <sz val="8"/>
      <name val="Times New Roman"/>
      <family val="1"/>
    </font>
    <font>
      <sz val="10"/>
      <name val="Times New Roman"/>
      <family val="1"/>
    </font>
    <font>
      <vertAlign val="superscript"/>
      <sz val="8"/>
      <name val="Times New Roman"/>
      <family val="1"/>
    </font>
    <font>
      <u/>
      <sz val="10"/>
      <color indexed="12"/>
      <name val="Arial"/>
      <family val="2"/>
    </font>
    <font>
      <b/>
      <vertAlign val="superscript"/>
      <sz val="8"/>
      <name val="Symbol"/>
      <family val="1"/>
      <charset val="2"/>
    </font>
    <font>
      <b/>
      <sz val="11"/>
      <name val="Times New Roman"/>
      <family val="1"/>
    </font>
    <font>
      <b/>
      <vertAlign val="superscript"/>
      <sz val="11"/>
      <name val="Times New Roman"/>
      <family val="1"/>
    </font>
    <font>
      <sz val="11"/>
      <name val="Arial"/>
      <family val="2"/>
    </font>
    <font>
      <b/>
      <sz val="8"/>
      <color rgb="FF000000"/>
      <name val="Times New Roman"/>
      <family val="1"/>
    </font>
    <font>
      <sz val="7"/>
      <color rgb="FF000000"/>
      <name val="Times New Roman"/>
      <family val="1"/>
    </font>
    <font>
      <sz val="7"/>
      <color theme="1"/>
      <name val="Times New Roman"/>
      <family val="1"/>
    </font>
    <font>
      <sz val="7"/>
      <color theme="1"/>
      <name val="Calibri"/>
      <family val="2"/>
      <scheme val="minor"/>
    </font>
    <font>
      <vertAlign val="superscript"/>
      <sz val="7"/>
      <name val="Times New Roman"/>
      <family val="1"/>
    </font>
    <font>
      <sz val="8"/>
      <color rgb="FF006100"/>
      <name val="Calibri"/>
      <family val="2"/>
      <scheme val="minor"/>
    </font>
    <font>
      <sz val="8"/>
      <color theme="1"/>
      <name val="Calibri"/>
      <family val="2"/>
      <scheme val="minor"/>
    </font>
    <font>
      <sz val="11"/>
      <color theme="1"/>
      <name val="Times New Roman"/>
      <family val="1"/>
    </font>
    <font>
      <b/>
      <sz val="11"/>
      <color theme="1"/>
      <name val="Arial"/>
      <family val="2"/>
    </font>
    <font>
      <sz val="8"/>
      <color theme="1"/>
      <name val="Arial"/>
      <family val="2"/>
    </font>
    <font>
      <b/>
      <sz val="8"/>
      <color theme="1"/>
      <name val="Arial"/>
      <family val="2"/>
    </font>
    <font>
      <b/>
      <sz val="8"/>
      <color rgb="FF000000"/>
      <name val="Arial"/>
      <family val="2"/>
    </font>
    <font>
      <sz val="11"/>
      <color theme="1"/>
      <name val="Arial"/>
      <family val="2"/>
    </font>
    <font>
      <sz val="7"/>
      <color theme="1"/>
      <name val="Arial"/>
      <family val="2"/>
    </font>
    <font>
      <sz val="8"/>
      <color rgb="FF000000"/>
      <name val="Arial"/>
      <family val="2"/>
    </font>
    <font>
      <sz val="11"/>
      <color rgb="FF9C0006"/>
      <name val="Arial"/>
      <family val="2"/>
    </font>
    <font>
      <sz val="8"/>
      <name val="Arial"/>
      <family val="2"/>
    </font>
    <font>
      <sz val="8"/>
      <color theme="1"/>
      <name val="Arial "/>
    </font>
    <font>
      <sz val="7"/>
      <color rgb="FF0000FF"/>
      <name val="Times New Roman"/>
      <family val="1"/>
    </font>
    <font>
      <b/>
      <sz val="7"/>
      <color rgb="FF0000FF"/>
      <name val="Times New Roman"/>
      <family val="1"/>
    </font>
    <font>
      <b/>
      <sz val="7"/>
      <color rgb="FF000000"/>
      <name val="Times New Roman"/>
      <family val="1"/>
    </font>
    <font>
      <sz val="7"/>
      <color rgb="FF0000FF"/>
      <name val="Calibri"/>
      <family val="2"/>
      <scheme val="minor"/>
    </font>
    <font>
      <sz val="15"/>
      <name val="Arial"/>
      <family val="2"/>
    </font>
    <font>
      <sz val="12"/>
      <name val="Calibri"/>
      <family val="2"/>
      <scheme val="minor"/>
    </font>
    <font>
      <sz val="15"/>
      <name val="Times New Roman"/>
      <family val="1"/>
    </font>
    <font>
      <sz val="15"/>
      <color rgb="FF000000"/>
      <name val="Times New Roman"/>
      <family val="1"/>
    </font>
    <font>
      <sz val="15"/>
      <color theme="1"/>
      <name val="Times New Roman"/>
      <family val="1"/>
    </font>
    <font>
      <sz val="15"/>
      <color theme="1"/>
      <name val="Calibri"/>
      <family val="2"/>
      <scheme val="minor"/>
    </font>
    <font>
      <sz val="20"/>
      <name val="Arial"/>
      <family val="2"/>
    </font>
    <font>
      <sz val="15"/>
      <name val="Calibri"/>
      <family val="2"/>
      <scheme val="minor"/>
    </font>
    <font>
      <sz val="15"/>
      <color theme="1"/>
      <name val="Arial"/>
      <family val="2"/>
    </font>
    <font>
      <sz val="15"/>
      <color rgb="FF000000"/>
      <name val="Arial"/>
      <family val="2"/>
    </font>
    <font>
      <sz val="15"/>
      <color theme="1"/>
      <name val="Arial "/>
    </font>
    <font>
      <sz val="8"/>
      <color theme="1"/>
      <name val="Times New Roman"/>
      <family val="1"/>
    </font>
  </fonts>
  <fills count="8">
    <fill>
      <patternFill patternType="none"/>
    </fill>
    <fill>
      <patternFill patternType="gray125"/>
    </fill>
    <fill>
      <patternFill patternType="solid">
        <fgColor indexed="22"/>
        <bgColor indexed="64"/>
      </patternFill>
    </fill>
    <fill>
      <patternFill patternType="solid">
        <fgColor rgb="FFFFC7CE"/>
      </patternFill>
    </fill>
    <fill>
      <patternFill patternType="solid">
        <fgColor rgb="FFC6EFCE"/>
      </patternFill>
    </fill>
    <fill>
      <patternFill patternType="solid">
        <fgColor theme="0"/>
        <bgColor indexed="64"/>
      </patternFill>
    </fill>
    <fill>
      <patternFill patternType="solid">
        <fgColor theme="0" tint="-0.14999847407452621"/>
        <bgColor indexed="64"/>
      </patternFill>
    </fill>
    <fill>
      <patternFill patternType="solid">
        <fgColor rgb="FF00B0F0"/>
        <bgColor indexed="64"/>
      </patternFill>
    </fill>
  </fills>
  <borders count="85">
    <border>
      <left/>
      <right/>
      <top/>
      <bottom/>
      <diagonal/>
    </border>
    <border>
      <left/>
      <right style="medium">
        <color indexed="64"/>
      </right>
      <top style="thick">
        <color indexed="64"/>
      </top>
      <bottom style="thick">
        <color indexed="64"/>
      </bottom>
      <diagonal/>
    </border>
    <border>
      <left/>
      <right/>
      <top style="thick">
        <color indexed="64"/>
      </top>
      <bottom style="thick">
        <color indexed="64"/>
      </bottom>
      <diagonal/>
    </border>
    <border>
      <left/>
      <right/>
      <top/>
      <bottom style="thick">
        <color indexed="64"/>
      </bottom>
      <diagonal/>
    </border>
    <border>
      <left/>
      <right style="medium">
        <color indexed="64"/>
      </right>
      <top style="thick">
        <color indexed="64"/>
      </top>
      <bottom/>
      <diagonal/>
    </border>
    <border>
      <left style="medium">
        <color indexed="64"/>
      </left>
      <right style="medium">
        <color indexed="64"/>
      </right>
      <top style="thick">
        <color indexed="64"/>
      </top>
      <bottom/>
      <diagonal/>
    </border>
    <border>
      <left/>
      <right/>
      <top style="thick">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style="thick">
        <color indexed="64"/>
      </top>
      <bottom style="medium">
        <color indexed="64"/>
      </bottom>
      <diagonal/>
    </border>
    <border>
      <left/>
      <right/>
      <top style="thick">
        <color indexed="64"/>
      </top>
      <bottom style="medium">
        <color indexed="64"/>
      </bottom>
      <diagonal/>
    </border>
    <border>
      <left/>
      <right/>
      <top style="thin">
        <color indexed="64"/>
      </top>
      <bottom style="medium">
        <color indexed="64"/>
      </bottom>
      <diagonal/>
    </border>
    <border>
      <left/>
      <right/>
      <top style="medium">
        <color indexed="64"/>
      </top>
      <bottom/>
      <diagonal/>
    </border>
    <border>
      <left/>
      <right style="medium">
        <color indexed="64"/>
      </right>
      <top/>
      <bottom style="thick">
        <color indexed="64"/>
      </bottom>
      <diagonal/>
    </border>
    <border>
      <left style="medium">
        <color indexed="64"/>
      </left>
      <right style="medium">
        <color indexed="64"/>
      </right>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rgb="FF000000"/>
      </top>
      <bottom style="thin">
        <color rgb="FF000000"/>
      </bottom>
      <diagonal/>
    </border>
    <border>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diagonal/>
    </border>
    <border>
      <left/>
      <right/>
      <top style="thin">
        <color rgb="FF000000"/>
      </top>
      <bottom/>
      <diagonal/>
    </border>
    <border>
      <left/>
      <right style="medium">
        <color indexed="64"/>
      </right>
      <top style="thin">
        <color rgb="FF000000"/>
      </top>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top style="thin">
        <color rgb="FF000000"/>
      </top>
      <bottom style="medium">
        <color rgb="FF000000"/>
      </bottom>
      <diagonal/>
    </border>
    <border>
      <left/>
      <right style="medium">
        <color indexed="64"/>
      </right>
      <top style="thin">
        <color rgb="FF000000"/>
      </top>
      <bottom style="medium">
        <color rgb="FF000000"/>
      </bottom>
      <diagonal/>
    </border>
    <border>
      <left style="medium">
        <color indexed="64"/>
      </left>
      <right/>
      <top style="medium">
        <color rgb="FF000000"/>
      </top>
      <bottom/>
      <diagonal/>
    </border>
    <border>
      <left/>
      <right/>
      <top style="medium">
        <color rgb="FF000000"/>
      </top>
      <bottom/>
      <diagonal/>
    </border>
    <border>
      <left/>
      <right style="medium">
        <color indexed="64"/>
      </right>
      <top style="medium">
        <color rgb="FF000000"/>
      </top>
      <bottom/>
      <diagonal/>
    </border>
    <border>
      <left style="medium">
        <color rgb="FF000000"/>
      </left>
      <right/>
      <top style="thin">
        <color rgb="FF000000"/>
      </top>
      <bottom style="medium">
        <color indexed="64"/>
      </bottom>
      <diagonal/>
    </border>
    <border>
      <left/>
      <right style="medium">
        <color rgb="FF000000"/>
      </right>
      <top style="thin">
        <color rgb="FF000000"/>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rgb="FF000000"/>
      </bottom>
      <diagonal/>
    </border>
    <border>
      <left/>
      <right/>
      <top style="thin">
        <color indexed="64"/>
      </top>
      <bottom style="thin">
        <color rgb="FF000000"/>
      </bottom>
      <diagonal/>
    </border>
    <border>
      <left/>
      <right style="medium">
        <color indexed="64"/>
      </right>
      <top style="thin">
        <color indexed="64"/>
      </top>
      <bottom style="thin">
        <color rgb="FF000000"/>
      </bottom>
      <diagonal/>
    </border>
    <border>
      <left/>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s>
  <cellStyleXfs count="8">
    <xf numFmtId="0" fontId="0" fillId="0" borderId="0"/>
    <xf numFmtId="0" fontId="10" fillId="3" borderId="0" applyNumberFormat="0" applyBorder="0" applyAlignment="0" applyProtection="0"/>
    <xf numFmtId="0" fontId="8" fillId="0" borderId="0"/>
    <xf numFmtId="0" fontId="14" fillId="0" borderId="0" applyNumberFormat="0" applyFill="0" applyBorder="0" applyAlignment="0" applyProtection="0">
      <alignment vertical="top"/>
      <protection locked="0"/>
    </xf>
    <xf numFmtId="0" fontId="9" fillId="0" borderId="0"/>
    <xf numFmtId="0" fontId="24" fillId="4" borderId="0" applyNumberFormat="0" applyBorder="0" applyAlignment="0" applyProtection="0"/>
    <xf numFmtId="43" fontId="9" fillId="0" borderId="0" applyFont="0" applyFill="0" applyBorder="0" applyAlignment="0" applyProtection="0"/>
    <xf numFmtId="0" fontId="1" fillId="0" borderId="0"/>
  </cellStyleXfs>
  <cellXfs count="858">
    <xf numFmtId="0" fontId="0" fillId="0" borderId="0" xfId="0"/>
    <xf numFmtId="0" fontId="3" fillId="0" borderId="0" xfId="0" applyFont="1" applyAlignment="1">
      <alignment horizontal="left" indent="6"/>
    </xf>
    <xf numFmtId="0" fontId="4" fillId="0" borderId="0" xfId="0" applyFont="1"/>
    <xf numFmtId="0" fontId="2" fillId="0" borderId="1" xfId="0" applyFont="1" applyBorder="1" applyAlignment="1">
      <alignment horizontal="center" wrapText="1"/>
    </xf>
    <xf numFmtId="0" fontId="2" fillId="0" borderId="2" xfId="0" applyFont="1" applyBorder="1" applyAlignment="1">
      <alignment horizontal="center" wrapText="1"/>
    </xf>
    <xf numFmtId="0" fontId="5" fillId="2" borderId="0" xfId="0" applyFont="1" applyFill="1" applyAlignment="1">
      <alignment vertical="top" wrapText="1"/>
    </xf>
    <xf numFmtId="0" fontId="6" fillId="2" borderId="0" xfId="0" applyFont="1" applyFill="1" applyAlignment="1">
      <alignment vertical="top" wrapText="1"/>
    </xf>
    <xf numFmtId="0" fontId="6" fillId="2" borderId="0" xfId="0" applyFont="1" applyFill="1" applyAlignment="1">
      <alignment horizontal="center" vertical="top" wrapText="1"/>
    </xf>
    <xf numFmtId="14" fontId="6" fillId="0" borderId="0" xfId="0" applyNumberFormat="1" applyFont="1" applyAlignment="1">
      <alignment vertical="top" wrapText="1"/>
    </xf>
    <xf numFmtId="0" fontId="6" fillId="0" borderId="0" xfId="0" applyFont="1" applyAlignment="1">
      <alignment vertical="top" wrapText="1"/>
    </xf>
    <xf numFmtId="18" fontId="6" fillId="0" borderId="0" xfId="0" applyNumberFormat="1" applyFont="1" applyAlignment="1">
      <alignment horizontal="center" vertical="top" wrapText="1"/>
    </xf>
    <xf numFmtId="0" fontId="6" fillId="0" borderId="0" xfId="0" applyFont="1" applyAlignment="1">
      <alignment horizontal="center" vertical="top" wrapText="1"/>
    </xf>
    <xf numFmtId="3" fontId="6" fillId="0" borderId="0" xfId="0" applyNumberFormat="1" applyFont="1" applyAlignment="1">
      <alignment horizontal="center" vertical="top" wrapText="1"/>
    </xf>
    <xf numFmtId="22" fontId="6" fillId="0" borderId="0" xfId="0" applyNumberFormat="1" applyFont="1" applyAlignment="1">
      <alignment horizontal="center" vertical="top" wrapText="1"/>
    </xf>
    <xf numFmtId="16" fontId="6" fillId="0" borderId="0" xfId="0" applyNumberFormat="1" applyFont="1" applyAlignment="1">
      <alignment horizontal="center" vertical="top" wrapText="1"/>
    </xf>
    <xf numFmtId="0" fontId="6" fillId="0" borderId="3" xfId="0" applyFont="1" applyBorder="1" applyAlignment="1">
      <alignment wrapText="1"/>
    </xf>
    <xf numFmtId="0" fontId="6" fillId="0" borderId="3" xfId="0" applyFont="1" applyBorder="1" applyAlignment="1">
      <alignment horizontal="center" wrapText="1"/>
    </xf>
    <xf numFmtId="0" fontId="7" fillId="0" borderId="0" xfId="0" applyFont="1"/>
    <xf numFmtId="0" fontId="3" fillId="0" borderId="0" xfId="0" applyFont="1"/>
    <xf numFmtId="0" fontId="3" fillId="0" borderId="0" xfId="2" applyFont="1"/>
    <xf numFmtId="0" fontId="8" fillId="0" borderId="0" xfId="2"/>
    <xf numFmtId="0" fontId="2" fillId="0" borderId="5" xfId="2" applyFont="1" applyBorder="1" applyAlignment="1">
      <alignment horizontal="center" wrapText="1"/>
    </xf>
    <xf numFmtId="0" fontId="2" fillId="0" borderId="6" xfId="2" applyFont="1" applyBorder="1" applyAlignment="1">
      <alignment horizontal="center" wrapText="1"/>
    </xf>
    <xf numFmtId="0" fontId="2" fillId="0" borderId="9" xfId="2" applyFont="1" applyBorder="1" applyAlignment="1">
      <alignment horizontal="center" wrapText="1"/>
    </xf>
    <xf numFmtId="0" fontId="5" fillId="2" borderId="0" xfId="2" applyFont="1" applyFill="1" applyAlignment="1">
      <alignment vertical="top" wrapText="1"/>
    </xf>
    <xf numFmtId="14" fontId="6" fillId="0" borderId="0" xfId="2" applyNumberFormat="1" applyFont="1" applyAlignment="1">
      <alignment vertical="top" wrapText="1"/>
    </xf>
    <xf numFmtId="0" fontId="6" fillId="0" borderId="0" xfId="2" applyFont="1" applyAlignment="1">
      <alignment vertical="top" wrapText="1"/>
    </xf>
    <xf numFmtId="3" fontId="6" fillId="0" borderId="0" xfId="2" applyNumberFormat="1" applyFont="1" applyAlignment="1">
      <alignment vertical="top" wrapText="1"/>
    </xf>
    <xf numFmtId="0" fontId="8" fillId="0" borderId="0" xfId="2" applyAlignment="1">
      <alignment vertical="top" wrapText="1"/>
    </xf>
    <xf numFmtId="14" fontId="6" fillId="0" borderId="3" xfId="2" applyNumberFormat="1" applyFont="1" applyBorder="1" applyAlignment="1">
      <alignment vertical="top" wrapText="1"/>
    </xf>
    <xf numFmtId="0" fontId="6" fillId="0" borderId="3" xfId="2" applyFont="1" applyBorder="1" applyAlignment="1">
      <alignment vertical="top" wrapText="1"/>
    </xf>
    <xf numFmtId="3" fontId="6" fillId="0" borderId="3" xfId="2" applyNumberFormat="1" applyFont="1" applyBorder="1" applyAlignment="1">
      <alignment vertical="top" wrapText="1"/>
    </xf>
    <xf numFmtId="0" fontId="4" fillId="0" borderId="0" xfId="2" applyFont="1"/>
    <xf numFmtId="0" fontId="3" fillId="0" borderId="0" xfId="2" applyFont="1" applyAlignment="1">
      <alignment horizontal="left" indent="6"/>
    </xf>
    <xf numFmtId="0" fontId="12" fillId="0" borderId="0" xfId="2" applyFont="1"/>
    <xf numFmtId="0" fontId="2" fillId="0" borderId="10" xfId="2" applyFont="1" applyBorder="1" applyAlignment="1">
      <alignment horizontal="center" wrapText="1"/>
    </xf>
    <xf numFmtId="0" fontId="2" fillId="0" borderId="11" xfId="2" applyFont="1" applyBorder="1" applyAlignment="1">
      <alignment horizontal="center" wrapText="1"/>
    </xf>
    <xf numFmtId="0" fontId="7" fillId="0" borderId="0" xfId="2" applyFont="1"/>
    <xf numFmtId="0" fontId="13" fillId="0" borderId="0" xfId="2" applyFont="1"/>
    <xf numFmtId="0" fontId="14" fillId="0" borderId="0" xfId="3" applyAlignment="1" applyProtection="1"/>
    <xf numFmtId="0" fontId="6" fillId="0" borderId="0" xfId="2" applyFont="1" applyAlignment="1">
      <alignment horizontal="right" vertical="top" wrapText="1"/>
    </xf>
    <xf numFmtId="0" fontId="6" fillId="2" borderId="0" xfId="2" applyFont="1" applyFill="1" applyAlignment="1">
      <alignment vertical="top" wrapText="1"/>
    </xf>
    <xf numFmtId="14" fontId="6" fillId="0" borderId="12" xfId="2" applyNumberFormat="1" applyFont="1" applyBorder="1" applyAlignment="1">
      <alignment vertical="top" wrapText="1"/>
    </xf>
    <xf numFmtId="0" fontId="6" fillId="0" borderId="12" xfId="2" applyFont="1" applyBorder="1" applyAlignment="1">
      <alignment vertical="top" wrapText="1"/>
    </xf>
    <xf numFmtId="3" fontId="6" fillId="0" borderId="12" xfId="2" applyNumberFormat="1" applyFont="1" applyBorder="1" applyAlignment="1">
      <alignment vertical="top" wrapText="1"/>
    </xf>
    <xf numFmtId="0" fontId="3" fillId="0" borderId="0" xfId="2" applyFont="1" applyAlignment="1">
      <alignment horizontal="left"/>
    </xf>
    <xf numFmtId="0" fontId="2" fillId="0" borderId="4" xfId="2" applyFont="1" applyBorder="1" applyAlignment="1">
      <alignment horizontal="left" wrapText="1"/>
    </xf>
    <xf numFmtId="0" fontId="5" fillId="2" borderId="0" xfId="2" applyFont="1" applyFill="1" applyAlignment="1">
      <alignment horizontal="left" vertical="top" wrapText="1"/>
    </xf>
    <xf numFmtId="0" fontId="5" fillId="2" borderId="0" xfId="2" applyFont="1" applyFill="1" applyAlignment="1">
      <alignment horizontal="right" vertical="top" wrapText="1"/>
    </xf>
    <xf numFmtId="14" fontId="6" fillId="0" borderId="0" xfId="2" applyNumberFormat="1" applyFont="1" applyAlignment="1">
      <alignment horizontal="left" vertical="top" wrapText="1"/>
    </xf>
    <xf numFmtId="3" fontId="6" fillId="0" borderId="0" xfId="2" applyNumberFormat="1" applyFont="1" applyAlignment="1">
      <alignment horizontal="right" vertical="top" wrapText="1"/>
    </xf>
    <xf numFmtId="14" fontId="6" fillId="0" borderId="3" xfId="2" applyNumberFormat="1" applyFont="1" applyBorder="1" applyAlignment="1">
      <alignment horizontal="left" vertical="top" wrapText="1"/>
    </xf>
    <xf numFmtId="0" fontId="6" fillId="0" borderId="3" xfId="2" applyFont="1" applyBorder="1" applyAlignment="1">
      <alignment horizontal="right" vertical="top" wrapText="1"/>
    </xf>
    <xf numFmtId="3" fontId="6" fillId="0" borderId="3" xfId="2" applyNumberFormat="1" applyFont="1" applyBorder="1" applyAlignment="1">
      <alignment horizontal="right" vertical="top" wrapText="1"/>
    </xf>
    <xf numFmtId="0" fontId="14" fillId="0" borderId="5" xfId="3" applyBorder="1" applyAlignment="1" applyProtection="1">
      <alignment horizontal="center" wrapText="1"/>
    </xf>
    <xf numFmtId="14" fontId="6" fillId="0" borderId="9" xfId="2" applyNumberFormat="1" applyFont="1" applyBorder="1" applyAlignment="1">
      <alignment horizontal="left" vertical="top" wrapText="1"/>
    </xf>
    <xf numFmtId="0" fontId="6" fillId="0" borderId="9" xfId="2" applyFont="1" applyBorder="1" applyAlignment="1">
      <alignment vertical="top" wrapText="1"/>
    </xf>
    <xf numFmtId="0" fontId="6" fillId="0" borderId="9" xfId="2" applyFont="1" applyBorder="1" applyAlignment="1">
      <alignment horizontal="right" vertical="top" wrapText="1"/>
    </xf>
    <xf numFmtId="3" fontId="6" fillId="0" borderId="9" xfId="2" applyNumberFormat="1" applyFont="1" applyBorder="1" applyAlignment="1">
      <alignment horizontal="right" vertical="top" wrapText="1"/>
    </xf>
    <xf numFmtId="0" fontId="14" fillId="0" borderId="0" xfId="3" applyAlignment="1" applyProtection="1">
      <alignment horizontal="left"/>
    </xf>
    <xf numFmtId="0" fontId="8" fillId="0" borderId="0" xfId="2" applyAlignment="1">
      <alignment horizontal="left"/>
    </xf>
    <xf numFmtId="0" fontId="2" fillId="0" borderId="3" xfId="2" applyFont="1" applyBorder="1" applyAlignment="1">
      <alignment horizontal="center" wrapText="1"/>
    </xf>
    <xf numFmtId="0" fontId="4" fillId="0" borderId="0" xfId="2" applyFont="1" applyAlignment="1">
      <alignment horizontal="left"/>
    </xf>
    <xf numFmtId="0" fontId="2" fillId="0" borderId="3" xfId="2" applyFont="1" applyBorder="1" applyAlignment="1">
      <alignment horizontal="left" wrapText="1"/>
    </xf>
    <xf numFmtId="0" fontId="15" fillId="0" borderId="3" xfId="2" applyFont="1" applyBorder="1" applyAlignment="1">
      <alignment horizontal="center" wrapText="1"/>
    </xf>
    <xf numFmtId="16" fontId="6" fillId="0" borderId="0" xfId="2" applyNumberFormat="1" applyFont="1" applyAlignment="1">
      <alignment horizontal="right" vertical="top" wrapText="1"/>
    </xf>
    <xf numFmtId="0" fontId="9" fillId="0" borderId="0" xfId="4"/>
    <xf numFmtId="0" fontId="19" fillId="0" borderId="16" xfId="4" applyFont="1" applyBorder="1" applyAlignment="1">
      <alignment horizontal="center" vertical="center" wrapText="1"/>
    </xf>
    <xf numFmtId="0" fontId="19" fillId="0" borderId="17" xfId="4" applyFont="1" applyBorder="1" applyAlignment="1">
      <alignment horizontal="center" vertical="center" wrapText="1"/>
    </xf>
    <xf numFmtId="0" fontId="19" fillId="0" borderId="18" xfId="4" applyFont="1" applyBorder="1" applyAlignment="1">
      <alignment horizontal="center" vertical="center" wrapText="1"/>
    </xf>
    <xf numFmtId="0" fontId="5" fillId="2" borderId="13" xfId="4" applyFont="1" applyFill="1" applyBorder="1" applyAlignment="1">
      <alignment horizontal="left" wrapText="1"/>
    </xf>
    <xf numFmtId="164" fontId="5" fillId="2" borderId="13" xfId="4" applyNumberFormat="1" applyFont="1" applyFill="1" applyBorder="1" applyAlignment="1">
      <alignment horizontal="left" wrapText="1"/>
    </xf>
    <xf numFmtId="0" fontId="5" fillId="2" borderId="13" xfId="4" applyFont="1" applyFill="1" applyBorder="1" applyAlignment="1">
      <alignment horizontal="center" wrapText="1"/>
    </xf>
    <xf numFmtId="3" fontId="5" fillId="2" borderId="13" xfId="4" applyNumberFormat="1" applyFont="1" applyFill="1" applyBorder="1" applyAlignment="1">
      <alignment horizontal="left" wrapText="1"/>
    </xf>
    <xf numFmtId="3" fontId="5" fillId="2" borderId="20" xfId="4" applyNumberFormat="1" applyFont="1" applyFill="1" applyBorder="1" applyAlignment="1">
      <alignment horizontal="left" wrapText="1"/>
    </xf>
    <xf numFmtId="14" fontId="6" fillId="0" borderId="21" xfId="4" applyNumberFormat="1" applyFont="1" applyBorder="1" applyAlignment="1">
      <alignment horizontal="left" vertical="center" wrapText="1"/>
    </xf>
    <xf numFmtId="164" fontId="6" fillId="0" borderId="22" xfId="4" applyNumberFormat="1" applyFont="1" applyBorder="1" applyAlignment="1">
      <alignment horizontal="left" vertical="center" wrapText="1"/>
    </xf>
    <xf numFmtId="14" fontId="6" fillId="0" borderId="22" xfId="4" applyNumberFormat="1" applyFont="1" applyBorder="1" applyAlignment="1">
      <alignment horizontal="left" vertical="center" wrapText="1"/>
    </xf>
    <xf numFmtId="0" fontId="6" fillId="0" borderId="22" xfId="4" applyFont="1" applyBorder="1" applyAlignment="1">
      <alignment horizontal="left" vertical="center" wrapText="1"/>
    </xf>
    <xf numFmtId="0" fontId="6" fillId="0" borderId="22" xfId="4" applyFont="1" applyBorder="1" applyAlignment="1">
      <alignment horizontal="center" vertical="center" wrapText="1"/>
    </xf>
    <xf numFmtId="3" fontId="6" fillId="0" borderId="22" xfId="4" applyNumberFormat="1" applyFont="1" applyBorder="1" applyAlignment="1">
      <alignment horizontal="left" vertical="center"/>
    </xf>
    <xf numFmtId="3" fontId="6" fillId="0" borderId="23" xfId="4" applyNumberFormat="1" applyFont="1" applyBorder="1" applyAlignment="1">
      <alignment horizontal="left" vertical="center"/>
    </xf>
    <xf numFmtId="3" fontId="6" fillId="0" borderId="22" xfId="4" applyNumberFormat="1" applyFont="1" applyBorder="1" applyAlignment="1">
      <alignment horizontal="left" vertical="center" wrapText="1"/>
    </xf>
    <xf numFmtId="3" fontId="6" fillId="0" borderId="23" xfId="4" applyNumberFormat="1" applyFont="1" applyBorder="1" applyAlignment="1">
      <alignment horizontal="left" vertical="center" wrapText="1"/>
    </xf>
    <xf numFmtId="0" fontId="5" fillId="2" borderId="22" xfId="4" applyFont="1" applyFill="1" applyBorder="1" applyAlignment="1">
      <alignment horizontal="left" wrapText="1"/>
    </xf>
    <xf numFmtId="164" fontId="5" fillId="2" borderId="22" xfId="4" applyNumberFormat="1" applyFont="1" applyFill="1" applyBorder="1" applyAlignment="1">
      <alignment horizontal="left" wrapText="1"/>
    </xf>
    <xf numFmtId="0" fontId="5" fillId="2" borderId="22" xfId="4" applyFont="1" applyFill="1" applyBorder="1" applyAlignment="1">
      <alignment horizontal="center" vertical="center" wrapText="1"/>
    </xf>
    <xf numFmtId="3" fontId="5" fillId="2" borderId="22" xfId="4" applyNumberFormat="1" applyFont="1" applyFill="1" applyBorder="1" applyAlignment="1">
      <alignment horizontal="left" wrapText="1"/>
    </xf>
    <xf numFmtId="3" fontId="5" fillId="2" borderId="23" xfId="4" applyNumberFormat="1" applyFont="1" applyFill="1" applyBorder="1" applyAlignment="1">
      <alignment horizontal="left" wrapText="1"/>
    </xf>
    <xf numFmtId="14" fontId="20" fillId="0" borderId="21" xfId="4" applyNumberFormat="1" applyFont="1" applyBorder="1" applyAlignment="1">
      <alignment horizontal="left" vertical="center" wrapText="1"/>
    </xf>
    <xf numFmtId="18" fontId="20" fillId="0" borderId="22" xfId="4" applyNumberFormat="1" applyFont="1" applyBorder="1" applyAlignment="1">
      <alignment horizontal="left" vertical="center" wrapText="1"/>
    </xf>
    <xf numFmtId="14" fontId="20" fillId="0" borderId="22" xfId="4" applyNumberFormat="1" applyFont="1" applyBorder="1" applyAlignment="1">
      <alignment horizontal="left" vertical="center" wrapText="1"/>
    </xf>
    <xf numFmtId="0" fontId="20" fillId="0" borderId="22" xfId="4" applyFont="1" applyBorder="1" applyAlignment="1">
      <alignment horizontal="left" vertical="center" wrapText="1"/>
    </xf>
    <xf numFmtId="0" fontId="20" fillId="0" borderId="22" xfId="4" applyFont="1" applyBorder="1" applyAlignment="1">
      <alignment horizontal="center" vertical="center" wrapText="1"/>
    </xf>
    <xf numFmtId="3" fontId="20" fillId="0" borderId="23" xfId="4" applyNumberFormat="1" applyFont="1" applyBorder="1" applyAlignment="1">
      <alignment horizontal="left" vertical="center" wrapText="1"/>
    </xf>
    <xf numFmtId="3" fontId="20" fillId="0" borderId="22" xfId="4" applyNumberFormat="1" applyFont="1" applyBorder="1" applyAlignment="1">
      <alignment horizontal="left" vertical="center" wrapText="1"/>
    </xf>
    <xf numFmtId="0" fontId="20" fillId="0" borderId="23" xfId="4" applyFont="1" applyBorder="1" applyAlignment="1">
      <alignment horizontal="left" vertical="center" wrapText="1"/>
    </xf>
    <xf numFmtId="14" fontId="21" fillId="0" borderId="21" xfId="4" applyNumberFormat="1" applyFont="1" applyBorder="1" applyAlignment="1">
      <alignment horizontal="left" vertical="center" wrapText="1"/>
    </xf>
    <xf numFmtId="18" fontId="21" fillId="0" borderId="22" xfId="4" applyNumberFormat="1" applyFont="1" applyBorder="1" applyAlignment="1">
      <alignment horizontal="left" vertical="center" wrapText="1"/>
    </xf>
    <xf numFmtId="14" fontId="21" fillId="0" borderId="22" xfId="4" applyNumberFormat="1" applyFont="1" applyBorder="1" applyAlignment="1">
      <alignment horizontal="left" vertical="center" wrapText="1"/>
    </xf>
    <xf numFmtId="0" fontId="21" fillId="0" borderId="22" xfId="4" applyFont="1" applyBorder="1" applyAlignment="1">
      <alignment horizontal="left" vertical="center" wrapText="1"/>
    </xf>
    <xf numFmtId="0" fontId="21" fillId="0" borderId="22" xfId="4" applyFont="1" applyBorder="1" applyAlignment="1">
      <alignment horizontal="center" vertical="center" wrapText="1"/>
    </xf>
    <xf numFmtId="3" fontId="21" fillId="0" borderId="23" xfId="4" applyNumberFormat="1" applyFont="1" applyBorder="1" applyAlignment="1">
      <alignment horizontal="left" vertical="center" wrapText="1"/>
    </xf>
    <xf numFmtId="0" fontId="21" fillId="0" borderId="23" xfId="4" applyFont="1" applyBorder="1" applyAlignment="1">
      <alignment horizontal="left" vertical="center" wrapText="1"/>
    </xf>
    <xf numFmtId="0" fontId="21" fillId="5" borderId="22" xfId="4" applyFont="1" applyFill="1" applyBorder="1" applyAlignment="1">
      <alignment horizontal="left" vertical="center" wrapText="1"/>
    </xf>
    <xf numFmtId="3" fontId="21" fillId="0" borderId="22" xfId="4" applyNumberFormat="1" applyFont="1" applyBorder="1" applyAlignment="1">
      <alignment horizontal="left" vertical="center" wrapText="1"/>
    </xf>
    <xf numFmtId="1" fontId="21" fillId="0" borderId="22" xfId="4" applyNumberFormat="1" applyFont="1" applyBorder="1" applyAlignment="1">
      <alignment horizontal="left" vertical="center" wrapText="1"/>
    </xf>
    <xf numFmtId="2" fontId="21" fillId="0" borderId="22" xfId="4" applyNumberFormat="1" applyFont="1" applyBorder="1" applyAlignment="1">
      <alignment horizontal="left" vertical="center" wrapText="1"/>
    </xf>
    <xf numFmtId="18" fontId="22" fillId="0" borderId="22" xfId="4" applyNumberFormat="1" applyFont="1" applyBorder="1" applyAlignment="1">
      <alignment horizontal="left" vertical="center" wrapText="1"/>
    </xf>
    <xf numFmtId="14" fontId="6" fillId="0" borderId="22" xfId="4" applyNumberFormat="1" applyFont="1" applyBorder="1" applyAlignment="1">
      <alignment horizontal="left" wrapText="1"/>
    </xf>
    <xf numFmtId="164" fontId="6" fillId="0" borderId="22" xfId="4" applyNumberFormat="1" applyFont="1" applyBorder="1" applyAlignment="1">
      <alignment horizontal="left" wrapText="1"/>
    </xf>
    <xf numFmtId="0" fontId="21" fillId="0" borderId="22" xfId="4" applyFont="1" applyBorder="1" applyAlignment="1">
      <alignment horizontal="left" wrapText="1"/>
    </xf>
    <xf numFmtId="3" fontId="6" fillId="0" borderId="22" xfId="4" applyNumberFormat="1" applyFont="1" applyBorder="1" applyAlignment="1">
      <alignment horizontal="left" wrapText="1"/>
    </xf>
    <xf numFmtId="3" fontId="6" fillId="0" borderId="23" xfId="4" applyNumberFormat="1" applyFont="1" applyBorder="1" applyAlignment="1">
      <alignment horizontal="left" wrapText="1"/>
    </xf>
    <xf numFmtId="164" fontId="21" fillId="0" borderId="22" xfId="4" applyNumberFormat="1" applyFont="1" applyBorder="1" applyAlignment="1">
      <alignment horizontal="left" vertical="center" wrapText="1"/>
    </xf>
    <xf numFmtId="0" fontId="21" fillId="0" borderId="0" xfId="4" applyFont="1" applyAlignment="1">
      <alignment vertical="center"/>
    </xf>
    <xf numFmtId="0" fontId="21" fillId="0" borderId="22" xfId="4" applyFont="1" applyBorder="1" applyAlignment="1">
      <alignment vertical="center" wrapText="1"/>
    </xf>
    <xf numFmtId="3" fontId="21" fillId="0" borderId="22" xfId="4" applyNumberFormat="1" applyFont="1" applyBorder="1" applyAlignment="1">
      <alignment horizontal="center" vertical="center" wrapText="1"/>
    </xf>
    <xf numFmtId="3" fontId="21" fillId="0" borderId="23" xfId="4" applyNumberFormat="1" applyFont="1" applyBorder="1" applyAlignment="1">
      <alignment horizontal="center" vertical="center" wrapText="1"/>
    </xf>
    <xf numFmtId="0" fontId="21" fillId="0" borderId="23" xfId="4" applyFont="1" applyBorder="1" applyAlignment="1">
      <alignment horizontal="center" vertical="center" wrapText="1"/>
    </xf>
    <xf numFmtId="14" fontId="21" fillId="0" borderId="24" xfId="4" applyNumberFormat="1" applyFont="1" applyBorder="1" applyAlignment="1">
      <alignment horizontal="left" vertical="center" wrapText="1"/>
    </xf>
    <xf numFmtId="18" fontId="21" fillId="0" borderId="12" xfId="4" applyNumberFormat="1" applyFont="1" applyBorder="1" applyAlignment="1">
      <alignment horizontal="left" vertical="center" wrapText="1"/>
    </xf>
    <xf numFmtId="14" fontId="21" fillId="0" borderId="12" xfId="4" applyNumberFormat="1" applyFont="1" applyBorder="1" applyAlignment="1">
      <alignment horizontal="left" vertical="center" wrapText="1"/>
    </xf>
    <xf numFmtId="0" fontId="21" fillId="0" borderId="12" xfId="4" applyFont="1" applyBorder="1" applyAlignment="1">
      <alignment horizontal="left" vertical="center" wrapText="1"/>
    </xf>
    <xf numFmtId="0" fontId="21" fillId="0" borderId="12" xfId="4" applyFont="1" applyBorder="1" applyAlignment="1">
      <alignment horizontal="center" vertical="center" wrapText="1"/>
    </xf>
    <xf numFmtId="0" fontId="21" fillId="0" borderId="12" xfId="4" applyFont="1" applyBorder="1" applyAlignment="1">
      <alignment vertical="center" wrapText="1"/>
    </xf>
    <xf numFmtId="3" fontId="21" fillId="0" borderId="25" xfId="4" applyNumberFormat="1" applyFont="1" applyBorder="1" applyAlignment="1">
      <alignment horizontal="center" vertical="center" wrapText="1"/>
    </xf>
    <xf numFmtId="0" fontId="22" fillId="0" borderId="0" xfId="4" applyFont="1"/>
    <xf numFmtId="0" fontId="22" fillId="0" borderId="0" xfId="4" applyFont="1" applyAlignment="1">
      <alignment horizontal="left"/>
    </xf>
    <xf numFmtId="0" fontId="22" fillId="0" borderId="0" xfId="4" applyFont="1" applyAlignment="1">
      <alignment horizontal="center"/>
    </xf>
    <xf numFmtId="20" fontId="21" fillId="0" borderId="22" xfId="4" applyNumberFormat="1" applyFont="1" applyBorder="1" applyAlignment="1">
      <alignment horizontal="left" vertical="center" wrapText="1"/>
    </xf>
    <xf numFmtId="0" fontId="5" fillId="2" borderId="22" xfId="4" applyFont="1" applyFill="1" applyBorder="1" applyAlignment="1">
      <alignment horizontal="left" vertical="center" wrapText="1"/>
    </xf>
    <xf numFmtId="164" fontId="5" fillId="2" borderId="22" xfId="4" applyNumberFormat="1" applyFont="1" applyFill="1" applyBorder="1" applyAlignment="1">
      <alignment horizontal="left" vertical="center" wrapText="1"/>
    </xf>
    <xf numFmtId="3" fontId="5" fillId="2" borderId="22" xfId="4" applyNumberFormat="1" applyFont="1" applyFill="1" applyBorder="1" applyAlignment="1">
      <alignment horizontal="left" vertical="center" wrapText="1"/>
    </xf>
    <xf numFmtId="3" fontId="5" fillId="2" borderId="23" xfId="4" applyNumberFormat="1" applyFont="1" applyFill="1" applyBorder="1" applyAlignment="1">
      <alignment horizontal="left" vertical="center" wrapText="1"/>
    </xf>
    <xf numFmtId="0" fontId="22" fillId="0" borderId="0" xfId="4" applyFont="1" applyAlignment="1">
      <alignment vertical="center"/>
    </xf>
    <xf numFmtId="0" fontId="9" fillId="0" borderId="0" xfId="4" applyAlignment="1">
      <alignment horizontal="left"/>
    </xf>
    <xf numFmtId="0" fontId="9" fillId="0" borderId="0" xfId="4" applyAlignment="1">
      <alignment horizontal="center"/>
    </xf>
    <xf numFmtId="14" fontId="6" fillId="0" borderId="0" xfId="4" applyNumberFormat="1" applyFont="1" applyAlignment="1">
      <alignment horizontal="left"/>
    </xf>
    <xf numFmtId="14" fontId="21" fillId="0" borderId="26" xfId="4" applyNumberFormat="1" applyFont="1" applyBorder="1" applyAlignment="1">
      <alignment horizontal="left" vertical="center" wrapText="1"/>
    </xf>
    <xf numFmtId="18" fontId="21" fillId="0" borderId="27" xfId="4" applyNumberFormat="1" applyFont="1" applyBorder="1" applyAlignment="1">
      <alignment horizontal="left" vertical="center" wrapText="1"/>
    </xf>
    <xf numFmtId="14" fontId="21" fillId="0" borderId="27" xfId="4" applyNumberFormat="1" applyFont="1" applyBorder="1" applyAlignment="1">
      <alignment horizontal="left" vertical="center" wrapText="1"/>
    </xf>
    <xf numFmtId="0" fontId="21" fillId="0" borderId="27" xfId="4" applyFont="1" applyBorder="1" applyAlignment="1">
      <alignment vertical="center" wrapText="1"/>
    </xf>
    <xf numFmtId="0" fontId="21" fillId="0" borderId="27" xfId="4" applyFont="1" applyBorder="1" applyAlignment="1">
      <alignment horizontal="center" vertical="center" wrapText="1"/>
    </xf>
    <xf numFmtId="3" fontId="21" fillId="0" borderId="27" xfId="4" applyNumberFormat="1" applyFont="1" applyBorder="1" applyAlignment="1">
      <alignment horizontal="center" vertical="center" wrapText="1"/>
    </xf>
    <xf numFmtId="3" fontId="21" fillId="0" borderId="28" xfId="4" applyNumberFormat="1" applyFont="1" applyBorder="1" applyAlignment="1">
      <alignment horizontal="center" vertical="center" wrapText="1"/>
    </xf>
    <xf numFmtId="14" fontId="21" fillId="0" borderId="29" xfId="4" applyNumberFormat="1" applyFont="1" applyBorder="1" applyAlignment="1">
      <alignment horizontal="left" vertical="center" wrapText="1"/>
    </xf>
    <xf numFmtId="18" fontId="21" fillId="0" borderId="30" xfId="4" applyNumberFormat="1" applyFont="1" applyBorder="1" applyAlignment="1">
      <alignment horizontal="left" vertical="center" wrapText="1"/>
    </xf>
    <xf numFmtId="14" fontId="21" fillId="0" borderId="30" xfId="4" applyNumberFormat="1" applyFont="1" applyBorder="1" applyAlignment="1">
      <alignment horizontal="left" vertical="center" wrapText="1"/>
    </xf>
    <xf numFmtId="0" fontId="21" fillId="0" borderId="30" xfId="4" applyFont="1" applyBorder="1" applyAlignment="1">
      <alignment vertical="center" wrapText="1"/>
    </xf>
    <xf numFmtId="0" fontId="21" fillId="0" borderId="30" xfId="4" applyFont="1" applyBorder="1" applyAlignment="1">
      <alignment horizontal="center" vertical="center" wrapText="1"/>
    </xf>
    <xf numFmtId="3" fontId="21" fillId="0" borderId="31" xfId="4" applyNumberFormat="1" applyFont="1" applyBorder="1" applyAlignment="1">
      <alignment horizontal="center" vertical="center" wrapText="1"/>
    </xf>
    <xf numFmtId="3" fontId="21" fillId="0" borderId="30" xfId="4" applyNumberFormat="1" applyFont="1" applyBorder="1" applyAlignment="1">
      <alignment horizontal="center" vertical="center" wrapText="1"/>
    </xf>
    <xf numFmtId="14" fontId="21" fillId="0" borderId="32" xfId="4" applyNumberFormat="1" applyFont="1" applyBorder="1" applyAlignment="1">
      <alignment horizontal="left" vertical="center" wrapText="1"/>
    </xf>
    <xf numFmtId="18" fontId="21" fillId="0" borderId="33" xfId="4" applyNumberFormat="1" applyFont="1" applyBorder="1" applyAlignment="1">
      <alignment horizontal="left" vertical="center" wrapText="1"/>
    </xf>
    <xf numFmtId="14" fontId="21" fillId="0" borderId="33" xfId="4" applyNumberFormat="1" applyFont="1" applyBorder="1" applyAlignment="1">
      <alignment horizontal="left" vertical="center" wrapText="1"/>
    </xf>
    <xf numFmtId="0" fontId="21" fillId="0" borderId="33" xfId="4" applyFont="1" applyBorder="1" applyAlignment="1">
      <alignment vertical="center" wrapText="1"/>
    </xf>
    <xf numFmtId="0" fontId="21" fillId="0" borderId="33" xfId="4" applyFont="1" applyBorder="1" applyAlignment="1">
      <alignment horizontal="center" vertical="center" wrapText="1"/>
    </xf>
    <xf numFmtId="3" fontId="21" fillId="0" borderId="33" xfId="4" applyNumberFormat="1" applyFont="1" applyBorder="1" applyAlignment="1">
      <alignment horizontal="center" vertical="center" wrapText="1"/>
    </xf>
    <xf numFmtId="3" fontId="21" fillId="0" borderId="34" xfId="4" applyNumberFormat="1" applyFont="1" applyBorder="1" applyAlignment="1">
      <alignment horizontal="center" vertical="center" wrapText="1"/>
    </xf>
    <xf numFmtId="14" fontId="21" fillId="0" borderId="21" xfId="4" applyNumberFormat="1" applyFont="1" applyBorder="1" applyAlignment="1">
      <alignment horizontal="left" wrapText="1"/>
    </xf>
    <xf numFmtId="18" fontId="21" fillId="0" borderId="22" xfId="4" applyNumberFormat="1" applyFont="1" applyBorder="1" applyAlignment="1">
      <alignment horizontal="left" wrapText="1"/>
    </xf>
    <xf numFmtId="14" fontId="21" fillId="0" borderId="22" xfId="4" applyNumberFormat="1" applyFont="1" applyBorder="1" applyAlignment="1">
      <alignment horizontal="left" wrapText="1"/>
    </xf>
    <xf numFmtId="0" fontId="21" fillId="0" borderId="22" xfId="4" applyFont="1" applyBorder="1" applyAlignment="1">
      <alignment wrapText="1"/>
    </xf>
    <xf numFmtId="0" fontId="21" fillId="0" borderId="22" xfId="4" applyFont="1" applyBorder="1" applyAlignment="1">
      <alignment horizontal="center" wrapText="1"/>
    </xf>
    <xf numFmtId="3" fontId="21" fillId="0" borderId="23" xfId="4" applyNumberFormat="1" applyFont="1" applyBorder="1" applyAlignment="1">
      <alignment horizontal="center" wrapText="1"/>
    </xf>
    <xf numFmtId="0" fontId="9" fillId="0" borderId="0" xfId="4" applyAlignment="1">
      <alignment vertical="center"/>
    </xf>
    <xf numFmtId="0" fontId="5" fillId="2" borderId="13" xfId="4" applyFont="1" applyFill="1" applyBorder="1" applyAlignment="1">
      <alignment horizontal="left" vertical="center" wrapText="1"/>
    </xf>
    <xf numFmtId="164" fontId="5" fillId="2" borderId="13" xfId="4" applyNumberFormat="1" applyFont="1" applyFill="1" applyBorder="1" applyAlignment="1">
      <alignment horizontal="left" vertical="center" wrapText="1"/>
    </xf>
    <xf numFmtId="0" fontId="5" fillId="2" borderId="13" xfId="4" applyFont="1" applyFill="1" applyBorder="1" applyAlignment="1">
      <alignment horizontal="center" vertical="center" wrapText="1"/>
    </xf>
    <xf numFmtId="3" fontId="5" fillId="2" borderId="13" xfId="4" applyNumberFormat="1" applyFont="1" applyFill="1" applyBorder="1" applyAlignment="1">
      <alignment horizontal="left" vertical="center" wrapText="1"/>
    </xf>
    <xf numFmtId="3" fontId="5" fillId="2" borderId="20" xfId="4" applyNumberFormat="1" applyFont="1" applyFill="1" applyBorder="1" applyAlignment="1">
      <alignment horizontal="left" vertical="center" wrapText="1"/>
    </xf>
    <xf numFmtId="0" fontId="21" fillId="0" borderId="27" xfId="4" applyFont="1" applyBorder="1" applyAlignment="1">
      <alignment horizontal="left" vertical="center" wrapText="1"/>
    </xf>
    <xf numFmtId="0" fontId="21" fillId="0" borderId="30" xfId="4" applyFont="1" applyBorder="1" applyAlignment="1">
      <alignment horizontal="left" vertical="center" wrapText="1"/>
    </xf>
    <xf numFmtId="0" fontId="21" fillId="0" borderId="33" xfId="4" applyFont="1" applyBorder="1" applyAlignment="1">
      <alignment horizontal="left" vertical="center" wrapText="1"/>
    </xf>
    <xf numFmtId="3" fontId="5" fillId="2" borderId="13" xfId="4" applyNumberFormat="1" applyFont="1" applyFill="1" applyBorder="1" applyAlignment="1">
      <alignment horizontal="center" vertical="center" wrapText="1"/>
    </xf>
    <xf numFmtId="3" fontId="5" fillId="2" borderId="20" xfId="4" applyNumberFormat="1" applyFont="1" applyFill="1" applyBorder="1" applyAlignment="1">
      <alignment horizontal="center" vertical="center" wrapText="1"/>
    </xf>
    <xf numFmtId="0" fontId="21" fillId="0" borderId="28" xfId="4" applyFont="1" applyBorder="1" applyAlignment="1">
      <alignment horizontal="center" vertical="center" wrapText="1"/>
    </xf>
    <xf numFmtId="14" fontId="21" fillId="0" borderId="26" xfId="4" applyNumberFormat="1" applyFont="1" applyBorder="1" applyAlignment="1">
      <alignment horizontal="left" vertical="center"/>
    </xf>
    <xf numFmtId="18" fontId="21" fillId="0" borderId="27" xfId="4" applyNumberFormat="1" applyFont="1" applyBorder="1" applyAlignment="1">
      <alignment horizontal="left" vertical="center"/>
    </xf>
    <xf numFmtId="14" fontId="21" fillId="0" borderId="27" xfId="4" applyNumberFormat="1" applyFont="1" applyBorder="1" applyAlignment="1">
      <alignment horizontal="left" vertical="center"/>
    </xf>
    <xf numFmtId="0" fontId="21" fillId="0" borderId="27" xfId="4" applyFont="1" applyBorder="1" applyAlignment="1">
      <alignment horizontal="left" vertical="center"/>
    </xf>
    <xf numFmtId="0" fontId="21" fillId="0" borderId="27" xfId="4" applyFont="1" applyBorder="1" applyAlignment="1">
      <alignment vertical="center"/>
    </xf>
    <xf numFmtId="0" fontId="21" fillId="0" borderId="27" xfId="4" applyFont="1" applyBorder="1" applyAlignment="1">
      <alignment horizontal="center" vertical="center"/>
    </xf>
    <xf numFmtId="0" fontId="21" fillId="0" borderId="28" xfId="4" applyFont="1" applyBorder="1" applyAlignment="1">
      <alignment horizontal="center" vertical="center"/>
    </xf>
    <xf numFmtId="0" fontId="5" fillId="2" borderId="36" xfId="4" applyFont="1" applyFill="1" applyBorder="1" applyAlignment="1">
      <alignment horizontal="left" vertical="center" wrapText="1"/>
    </xf>
    <xf numFmtId="164" fontId="5" fillId="2" borderId="36" xfId="4" applyNumberFormat="1" applyFont="1" applyFill="1" applyBorder="1" applyAlignment="1">
      <alignment horizontal="left" vertical="center" wrapText="1"/>
    </xf>
    <xf numFmtId="0" fontId="5" fillId="2" borderId="36" xfId="4" applyFont="1" applyFill="1" applyBorder="1" applyAlignment="1">
      <alignment horizontal="center" vertical="center" wrapText="1"/>
    </xf>
    <xf numFmtId="3" fontId="5" fillId="2" borderId="36" xfId="4" applyNumberFormat="1" applyFont="1" applyFill="1" applyBorder="1" applyAlignment="1">
      <alignment horizontal="center" vertical="center" wrapText="1"/>
    </xf>
    <xf numFmtId="3" fontId="5" fillId="2" borderId="37" xfId="4" applyNumberFormat="1" applyFont="1" applyFill="1" applyBorder="1" applyAlignment="1">
      <alignment horizontal="center" vertical="center" wrapText="1"/>
    </xf>
    <xf numFmtId="14" fontId="21" fillId="0" borderId="38" xfId="4" applyNumberFormat="1" applyFont="1" applyBorder="1" applyAlignment="1">
      <alignment horizontal="left" vertical="center" wrapText="1"/>
    </xf>
    <xf numFmtId="18" fontId="21" fillId="0" borderId="39" xfId="4" applyNumberFormat="1" applyFont="1" applyBorder="1" applyAlignment="1">
      <alignment horizontal="left" vertical="center" wrapText="1"/>
    </xf>
    <xf numFmtId="14" fontId="21" fillId="0" borderId="39" xfId="4" applyNumberFormat="1" applyFont="1" applyBorder="1" applyAlignment="1">
      <alignment horizontal="left" vertical="center" wrapText="1"/>
    </xf>
    <xf numFmtId="0" fontId="21" fillId="0" borderId="39" xfId="4" applyFont="1" applyBorder="1" applyAlignment="1">
      <alignment vertical="center" wrapText="1"/>
    </xf>
    <xf numFmtId="0" fontId="21" fillId="0" borderId="39" xfId="4" applyFont="1" applyBorder="1" applyAlignment="1">
      <alignment horizontal="center" vertical="center" wrapText="1"/>
    </xf>
    <xf numFmtId="3" fontId="21" fillId="0" borderId="39" xfId="4" applyNumberFormat="1" applyFont="1" applyBorder="1" applyAlignment="1">
      <alignment horizontal="center" vertical="center" wrapText="1"/>
    </xf>
    <xf numFmtId="3" fontId="21" fillId="0" borderId="40" xfId="4" applyNumberFormat="1" applyFont="1" applyBorder="1" applyAlignment="1">
      <alignment horizontal="center" vertical="center" wrapText="1"/>
    </xf>
    <xf numFmtId="3" fontId="21" fillId="0" borderId="12" xfId="4" applyNumberFormat="1" applyFont="1" applyBorder="1" applyAlignment="1">
      <alignment horizontal="center" vertical="center" wrapText="1"/>
    </xf>
    <xf numFmtId="49" fontId="21" fillId="0" borderId="22" xfId="4" applyNumberFormat="1" applyFont="1" applyBorder="1" applyAlignment="1">
      <alignment vertical="center" wrapText="1"/>
    </xf>
    <xf numFmtId="49" fontId="21" fillId="0" borderId="22" xfId="4" applyNumberFormat="1" applyFont="1" applyBorder="1" applyAlignment="1">
      <alignment horizontal="center" vertical="center" wrapText="1"/>
    </xf>
    <xf numFmtId="164" fontId="21" fillId="0" borderId="12" xfId="4" applyNumberFormat="1" applyFont="1" applyBorder="1" applyAlignment="1">
      <alignment horizontal="left" vertical="center" wrapText="1"/>
    </xf>
    <xf numFmtId="49" fontId="21" fillId="0" borderId="12" xfId="4" applyNumberFormat="1" applyFont="1" applyBorder="1" applyAlignment="1">
      <alignment vertical="center" wrapText="1"/>
    </xf>
    <xf numFmtId="49" fontId="21" fillId="0" borderId="12" xfId="4" applyNumberFormat="1" applyFont="1" applyBorder="1" applyAlignment="1">
      <alignment horizontal="center" vertical="center" wrapText="1"/>
    </xf>
    <xf numFmtId="165" fontId="21" fillId="0" borderId="35" xfId="4" applyNumberFormat="1" applyFont="1" applyBorder="1" applyAlignment="1">
      <alignment horizontal="left" vertical="center" wrapText="1"/>
    </xf>
    <xf numFmtId="164" fontId="21" fillId="0" borderId="36" xfId="4" applyNumberFormat="1" applyFont="1" applyBorder="1" applyAlignment="1">
      <alignment horizontal="left" vertical="center" wrapText="1"/>
    </xf>
    <xf numFmtId="165" fontId="21" fillId="0" borderId="36" xfId="4" applyNumberFormat="1" applyFont="1" applyBorder="1" applyAlignment="1">
      <alignment horizontal="left" vertical="center" wrapText="1"/>
    </xf>
    <xf numFmtId="0" fontId="21" fillId="0" borderId="36" xfId="4" applyFont="1" applyBorder="1" applyAlignment="1">
      <alignment vertical="center" wrapText="1"/>
    </xf>
    <xf numFmtId="0" fontId="21" fillId="0" borderId="36" xfId="4" applyFont="1" applyBorder="1" applyAlignment="1">
      <alignment horizontal="center" vertical="center" wrapText="1"/>
    </xf>
    <xf numFmtId="3" fontId="21" fillId="0" borderId="37" xfId="4" applyNumberFormat="1" applyFont="1" applyBorder="1" applyAlignment="1">
      <alignment horizontal="center" vertical="center" wrapText="1"/>
    </xf>
    <xf numFmtId="165" fontId="21" fillId="0" borderId="21" xfId="4" applyNumberFormat="1" applyFont="1" applyBorder="1" applyAlignment="1">
      <alignment horizontal="left" vertical="center" wrapText="1"/>
    </xf>
    <xf numFmtId="165" fontId="21" fillId="0" borderId="22" xfId="4" applyNumberFormat="1" applyFont="1" applyBorder="1" applyAlignment="1">
      <alignment horizontal="left" vertical="center" wrapText="1"/>
    </xf>
    <xf numFmtId="165" fontId="21" fillId="0" borderId="24" xfId="4" applyNumberFormat="1" applyFont="1" applyBorder="1" applyAlignment="1">
      <alignment horizontal="left" vertical="center" wrapText="1"/>
    </xf>
    <xf numFmtId="165" fontId="21" fillId="0" borderId="12" xfId="4" applyNumberFormat="1" applyFont="1" applyBorder="1" applyAlignment="1">
      <alignment horizontal="left" vertical="center" wrapText="1"/>
    </xf>
    <xf numFmtId="164" fontId="21" fillId="0" borderId="27" xfId="4" applyNumberFormat="1" applyFont="1" applyBorder="1" applyAlignment="1">
      <alignment horizontal="left" vertical="center" wrapText="1"/>
    </xf>
    <xf numFmtId="49" fontId="21" fillId="0" borderId="27" xfId="4" applyNumberFormat="1" applyFont="1" applyBorder="1" applyAlignment="1">
      <alignment horizontal="left" vertical="center" wrapText="1"/>
    </xf>
    <xf numFmtId="164" fontId="21" fillId="0" borderId="30" xfId="4" applyNumberFormat="1" applyFont="1" applyBorder="1" applyAlignment="1">
      <alignment horizontal="left" vertical="center" wrapText="1"/>
    </xf>
    <xf numFmtId="0" fontId="5" fillId="2" borderId="22" xfId="4" applyFont="1" applyFill="1" applyBorder="1" applyAlignment="1">
      <alignment horizontal="center" wrapText="1"/>
    </xf>
    <xf numFmtId="14" fontId="21" fillId="0" borderId="21" xfId="4" applyNumberFormat="1" applyFont="1" applyBorder="1" applyAlignment="1">
      <alignment horizontal="center" vertical="center" wrapText="1"/>
    </xf>
    <xf numFmtId="164" fontId="21" fillId="0" borderId="22" xfId="4" applyNumberFormat="1" applyFont="1" applyBorder="1" applyAlignment="1">
      <alignment horizontal="center" vertical="center" wrapText="1"/>
    </xf>
    <xf numFmtId="14" fontId="21" fillId="0" borderId="22" xfId="4" applyNumberFormat="1" applyFont="1" applyBorder="1" applyAlignment="1">
      <alignment horizontal="center" vertical="center" wrapText="1"/>
    </xf>
    <xf numFmtId="14" fontId="21" fillId="0" borderId="24" xfId="4" applyNumberFormat="1" applyFont="1" applyBorder="1" applyAlignment="1">
      <alignment horizontal="center" vertical="center" wrapText="1"/>
    </xf>
    <xf numFmtId="164" fontId="21" fillId="0" borderId="12" xfId="4" applyNumberFormat="1" applyFont="1" applyBorder="1" applyAlignment="1">
      <alignment horizontal="center" vertical="center" wrapText="1"/>
    </xf>
    <xf numFmtId="14" fontId="21" fillId="0" borderId="12" xfId="4" applyNumberFormat="1" applyFont="1" applyBorder="1" applyAlignment="1">
      <alignment horizontal="center" vertical="center" wrapText="1"/>
    </xf>
    <xf numFmtId="14" fontId="21" fillId="0" borderId="43" xfId="4" applyNumberFormat="1" applyFont="1" applyBorder="1" applyAlignment="1">
      <alignment horizontal="center" vertical="center" wrapText="1"/>
    </xf>
    <xf numFmtId="164" fontId="21" fillId="0" borderId="44" xfId="4" applyNumberFormat="1" applyFont="1" applyBorder="1" applyAlignment="1">
      <alignment horizontal="center" vertical="center" wrapText="1"/>
    </xf>
    <xf numFmtId="14" fontId="21" fillId="0" borderId="44" xfId="4" applyNumberFormat="1" applyFont="1" applyBorder="1" applyAlignment="1">
      <alignment horizontal="center" vertical="center" wrapText="1"/>
    </xf>
    <xf numFmtId="0" fontId="21" fillId="0" borderId="44" xfId="4" applyFont="1" applyBorder="1" applyAlignment="1">
      <alignment vertical="center" wrapText="1"/>
    </xf>
    <xf numFmtId="0" fontId="21" fillId="0" borderId="44" xfId="4" applyFont="1" applyBorder="1" applyAlignment="1">
      <alignment horizontal="center" vertical="center" wrapText="1"/>
    </xf>
    <xf numFmtId="3" fontId="21" fillId="0" borderId="45" xfId="4" applyNumberFormat="1" applyFont="1" applyBorder="1" applyAlignment="1">
      <alignment horizontal="center" vertical="center" wrapText="1"/>
    </xf>
    <xf numFmtId="14" fontId="21" fillId="0" borderId="46" xfId="4" applyNumberFormat="1" applyFont="1" applyBorder="1" applyAlignment="1">
      <alignment horizontal="center" vertical="center" wrapText="1"/>
    </xf>
    <xf numFmtId="164" fontId="21" fillId="0" borderId="27" xfId="4" applyNumberFormat="1" applyFont="1" applyBorder="1" applyAlignment="1">
      <alignment horizontal="center" vertical="center" wrapText="1"/>
    </xf>
    <xf numFmtId="14" fontId="21" fillId="0" borderId="27" xfId="4" applyNumberFormat="1" applyFont="1" applyBorder="1" applyAlignment="1">
      <alignment horizontal="center" vertical="center" wrapText="1"/>
    </xf>
    <xf numFmtId="3" fontId="21" fillId="0" borderId="47" xfId="4" applyNumberFormat="1" applyFont="1" applyBorder="1" applyAlignment="1">
      <alignment horizontal="center" vertical="center" wrapText="1"/>
    </xf>
    <xf numFmtId="14" fontId="21" fillId="0" borderId="48" xfId="4" applyNumberFormat="1" applyFont="1" applyBorder="1" applyAlignment="1">
      <alignment horizontal="center" vertical="center" wrapText="1"/>
    </xf>
    <xf numFmtId="164" fontId="21" fillId="0" borderId="49" xfId="4" applyNumberFormat="1" applyFont="1" applyBorder="1" applyAlignment="1">
      <alignment horizontal="center" vertical="center" wrapText="1"/>
    </xf>
    <xf numFmtId="14" fontId="21" fillId="0" borderId="49" xfId="4" applyNumberFormat="1" applyFont="1" applyBorder="1" applyAlignment="1">
      <alignment horizontal="center" vertical="center" wrapText="1"/>
    </xf>
    <xf numFmtId="0" fontId="21" fillId="0" borderId="49" xfId="4" applyFont="1" applyBorder="1" applyAlignment="1">
      <alignment vertical="center" wrapText="1"/>
    </xf>
    <xf numFmtId="0" fontId="21" fillId="0" borderId="49" xfId="4" applyFont="1" applyBorder="1" applyAlignment="1">
      <alignment horizontal="center" vertical="center" wrapText="1"/>
    </xf>
    <xf numFmtId="3" fontId="21" fillId="0" borderId="50" xfId="4" applyNumberFormat="1" applyFont="1" applyBorder="1" applyAlignment="1">
      <alignment horizontal="center" vertical="center" wrapText="1"/>
    </xf>
    <xf numFmtId="3" fontId="21" fillId="0" borderId="28" xfId="4" applyNumberFormat="1" applyFont="1" applyBorder="1" applyAlignment="1">
      <alignment horizontal="left" vertical="center" wrapText="1"/>
    </xf>
    <xf numFmtId="3" fontId="21" fillId="0" borderId="27" xfId="4" applyNumberFormat="1" applyFont="1" applyBorder="1" applyAlignment="1">
      <alignment horizontal="left" vertical="center" wrapText="1"/>
    </xf>
    <xf numFmtId="3" fontId="21" fillId="0" borderId="31" xfId="4" applyNumberFormat="1" applyFont="1" applyBorder="1" applyAlignment="1">
      <alignment horizontal="left" vertical="center" wrapText="1"/>
    </xf>
    <xf numFmtId="3" fontId="21" fillId="0" borderId="25" xfId="4" applyNumberFormat="1" applyFont="1" applyBorder="1" applyAlignment="1">
      <alignment horizontal="left" vertical="center" wrapText="1"/>
    </xf>
    <xf numFmtId="0" fontId="5" fillId="2" borderId="17" xfId="4" applyFont="1" applyFill="1" applyBorder="1" applyAlignment="1">
      <alignment horizontal="left" vertical="center" wrapText="1"/>
    </xf>
    <xf numFmtId="164" fontId="5" fillId="2" borderId="17" xfId="4" applyNumberFormat="1" applyFont="1" applyFill="1" applyBorder="1" applyAlignment="1">
      <alignment horizontal="left" vertical="center" wrapText="1"/>
    </xf>
    <xf numFmtId="0" fontId="5" fillId="2" borderId="17" xfId="4" applyFont="1" applyFill="1" applyBorder="1" applyAlignment="1">
      <alignment horizontal="center" vertical="center" wrapText="1"/>
    </xf>
    <xf numFmtId="3" fontId="5" fillId="2" borderId="17" xfId="4" applyNumberFormat="1" applyFont="1" applyFill="1" applyBorder="1" applyAlignment="1">
      <alignment horizontal="left" vertical="center" wrapText="1"/>
    </xf>
    <xf numFmtId="3" fontId="5" fillId="2" borderId="18" xfId="4" applyNumberFormat="1" applyFont="1" applyFill="1" applyBorder="1" applyAlignment="1">
      <alignment horizontal="left" vertical="center" wrapText="1"/>
    </xf>
    <xf numFmtId="14" fontId="21" fillId="0" borderId="51" xfId="4" applyNumberFormat="1" applyFont="1" applyBorder="1" applyAlignment="1">
      <alignment horizontal="left" vertical="center" wrapText="1"/>
    </xf>
    <xf numFmtId="164" fontId="21" fillId="0" borderId="44" xfId="4" applyNumberFormat="1" applyFont="1" applyBorder="1" applyAlignment="1">
      <alignment horizontal="left" vertical="center" wrapText="1"/>
    </xf>
    <xf numFmtId="14" fontId="21" fillId="0" borderId="44" xfId="4" applyNumberFormat="1" applyFont="1" applyBorder="1" applyAlignment="1">
      <alignment horizontal="left" vertical="center" wrapText="1"/>
    </xf>
    <xf numFmtId="0" fontId="21" fillId="0" borderId="44" xfId="4" applyFont="1" applyBorder="1" applyAlignment="1">
      <alignment horizontal="left" vertical="center" wrapText="1"/>
    </xf>
    <xf numFmtId="3" fontId="21" fillId="0" borderId="52" xfId="4" applyNumberFormat="1" applyFont="1" applyBorder="1" applyAlignment="1">
      <alignment horizontal="left" vertical="center" wrapText="1"/>
    </xf>
    <xf numFmtId="14" fontId="21" fillId="0" borderId="53" xfId="4" applyNumberFormat="1" applyFont="1" applyBorder="1" applyAlignment="1">
      <alignment horizontal="left" vertical="center" wrapText="1"/>
    </xf>
    <xf numFmtId="164" fontId="21" fillId="0" borderId="49" xfId="4" applyNumberFormat="1" applyFont="1" applyBorder="1" applyAlignment="1">
      <alignment horizontal="left" vertical="center" wrapText="1"/>
    </xf>
    <xf numFmtId="14" fontId="21" fillId="0" borderId="49" xfId="4" applyNumberFormat="1" applyFont="1" applyBorder="1" applyAlignment="1">
      <alignment horizontal="left" vertical="center" wrapText="1"/>
    </xf>
    <xf numFmtId="0" fontId="21" fillId="0" borderId="49" xfId="4" applyFont="1" applyBorder="1" applyAlignment="1">
      <alignment horizontal="left" vertical="center" wrapText="1"/>
    </xf>
    <xf numFmtId="3" fontId="21" fillId="0" borderId="54" xfId="4" applyNumberFormat="1" applyFont="1" applyBorder="1" applyAlignment="1">
      <alignment horizontal="left" vertical="center" wrapText="1"/>
    </xf>
    <xf numFmtId="0" fontId="5" fillId="2" borderId="56" xfId="4" applyFont="1" applyFill="1" applyBorder="1" applyAlignment="1">
      <alignment horizontal="left" vertical="center" wrapText="1"/>
    </xf>
    <xf numFmtId="164" fontId="5" fillId="2" borderId="56" xfId="4" applyNumberFormat="1" applyFont="1" applyFill="1" applyBorder="1" applyAlignment="1">
      <alignment horizontal="left" vertical="center" wrapText="1"/>
    </xf>
    <xf numFmtId="0" fontId="5" fillId="2" borderId="56" xfId="4" applyFont="1" applyFill="1" applyBorder="1" applyAlignment="1">
      <alignment horizontal="center" vertical="center" wrapText="1"/>
    </xf>
    <xf numFmtId="3" fontId="5" fillId="2" borderId="56" xfId="4" applyNumberFormat="1" applyFont="1" applyFill="1" applyBorder="1" applyAlignment="1">
      <alignment horizontal="left" vertical="center" wrapText="1"/>
    </xf>
    <xf numFmtId="3" fontId="5" fillId="2" borderId="57" xfId="4" applyNumberFormat="1" applyFont="1" applyFill="1" applyBorder="1" applyAlignment="1">
      <alignment horizontal="left" vertical="center" wrapText="1"/>
    </xf>
    <xf numFmtId="3" fontId="21" fillId="0" borderId="49" xfId="4" applyNumberFormat="1" applyFont="1" applyBorder="1" applyAlignment="1">
      <alignment horizontal="left" vertical="center" wrapText="1"/>
    </xf>
    <xf numFmtId="0" fontId="5" fillId="2" borderId="44" xfId="4" applyFont="1" applyFill="1" applyBorder="1" applyAlignment="1">
      <alignment horizontal="left" vertical="center" wrapText="1"/>
    </xf>
    <xf numFmtId="164" fontId="5" fillId="2" borderId="44" xfId="4" applyNumberFormat="1" applyFont="1" applyFill="1" applyBorder="1" applyAlignment="1">
      <alignment horizontal="left" vertical="center" wrapText="1"/>
    </xf>
    <xf numFmtId="3" fontId="5" fillId="2" borderId="44" xfId="4" applyNumberFormat="1" applyFont="1" applyFill="1" applyBorder="1" applyAlignment="1">
      <alignment horizontal="left" vertical="center" wrapText="1"/>
    </xf>
    <xf numFmtId="3" fontId="5" fillId="2" borderId="52" xfId="4" applyNumberFormat="1" applyFont="1" applyFill="1" applyBorder="1" applyAlignment="1">
      <alignment horizontal="left" vertical="center" wrapText="1"/>
    </xf>
    <xf numFmtId="0" fontId="21" fillId="0" borderId="0" xfId="4" applyFont="1"/>
    <xf numFmtId="14" fontId="6" fillId="0" borderId="26" xfId="4" applyNumberFormat="1" applyFont="1" applyBorder="1" applyAlignment="1">
      <alignment horizontal="left" vertical="center" wrapText="1"/>
    </xf>
    <xf numFmtId="164" fontId="6" fillId="0" borderId="27" xfId="4" applyNumberFormat="1" applyFont="1" applyBorder="1" applyAlignment="1">
      <alignment horizontal="left" vertical="center" wrapText="1"/>
    </xf>
    <xf numFmtId="14" fontId="6" fillId="0" borderId="27" xfId="4" applyNumberFormat="1" applyFont="1" applyBorder="1" applyAlignment="1">
      <alignment horizontal="left" vertical="center" wrapText="1"/>
    </xf>
    <xf numFmtId="0" fontId="6" fillId="0" borderId="27" xfId="4" applyFont="1" applyBorder="1" applyAlignment="1">
      <alignment vertical="center" wrapText="1"/>
    </xf>
    <xf numFmtId="0" fontId="6" fillId="0" borderId="27" xfId="4" applyFont="1" applyBorder="1" applyAlignment="1">
      <alignment horizontal="left" vertical="center" wrapText="1"/>
    </xf>
    <xf numFmtId="3" fontId="6" fillId="0" borderId="28" xfId="4" applyNumberFormat="1" applyFont="1" applyBorder="1" applyAlignment="1">
      <alignment horizontal="left" vertical="center" wrapText="1"/>
    </xf>
    <xf numFmtId="164" fontId="21" fillId="0" borderId="27" xfId="4" quotePrefix="1" applyNumberFormat="1" applyFont="1" applyBorder="1" applyAlignment="1">
      <alignment horizontal="left" vertical="center" wrapText="1"/>
    </xf>
    <xf numFmtId="14" fontId="21" fillId="0" borderId="58" xfId="4" applyNumberFormat="1" applyFont="1" applyBorder="1" applyAlignment="1">
      <alignment horizontal="left" vertical="center" wrapText="1"/>
    </xf>
    <xf numFmtId="164" fontId="21" fillId="0" borderId="33" xfId="4" applyNumberFormat="1" applyFont="1" applyBorder="1" applyAlignment="1">
      <alignment horizontal="left" vertical="center" wrapText="1"/>
    </xf>
    <xf numFmtId="3" fontId="21" fillId="0" borderId="33" xfId="4" applyNumberFormat="1" applyFont="1" applyBorder="1" applyAlignment="1">
      <alignment horizontal="left" vertical="center" wrapText="1"/>
    </xf>
    <xf numFmtId="3" fontId="21" fillId="0" borderId="59" xfId="4" applyNumberFormat="1" applyFont="1" applyBorder="1" applyAlignment="1">
      <alignment horizontal="left" vertical="center" wrapText="1"/>
    </xf>
    <xf numFmtId="14" fontId="6" fillId="0" borderId="46" xfId="5" applyNumberFormat="1" applyFont="1" applyFill="1" applyBorder="1" applyAlignment="1">
      <alignment horizontal="left" vertical="center" wrapText="1"/>
    </xf>
    <xf numFmtId="164" fontId="6" fillId="0" borderId="27" xfId="5" applyNumberFormat="1" applyFont="1" applyFill="1" applyBorder="1" applyAlignment="1">
      <alignment horizontal="left" vertical="center" wrapText="1"/>
    </xf>
    <xf numFmtId="14" fontId="6" fillId="0" borderId="27" xfId="5" applyNumberFormat="1" applyFont="1" applyFill="1" applyBorder="1" applyAlignment="1">
      <alignment horizontal="left" vertical="center" wrapText="1"/>
    </xf>
    <xf numFmtId="0" fontId="6" fillId="0" borderId="27" xfId="5" applyFont="1" applyFill="1" applyBorder="1" applyAlignment="1">
      <alignment horizontal="left" vertical="center" wrapText="1"/>
    </xf>
    <xf numFmtId="3" fontId="6" fillId="0" borderId="47" xfId="5" applyNumberFormat="1" applyFont="1" applyFill="1" applyBorder="1" applyAlignment="1">
      <alignment horizontal="left" vertical="center" wrapText="1"/>
    </xf>
    <xf numFmtId="164" fontId="6" fillId="0" borderId="27" xfId="1" applyNumberFormat="1" applyFont="1" applyFill="1" applyBorder="1" applyAlignment="1">
      <alignment horizontal="left" vertical="center" wrapText="1"/>
    </xf>
    <xf numFmtId="14" fontId="6" fillId="0" borderId="48" xfId="5" applyNumberFormat="1" applyFont="1" applyFill="1" applyBorder="1" applyAlignment="1">
      <alignment horizontal="left" vertical="center" wrapText="1"/>
    </xf>
    <xf numFmtId="164" fontId="6" fillId="0" borderId="49" xfId="5" applyNumberFormat="1" applyFont="1" applyFill="1" applyBorder="1" applyAlignment="1">
      <alignment horizontal="left" vertical="center" wrapText="1"/>
    </xf>
    <xf numFmtId="14" fontId="6" fillId="0" borderId="49" xfId="5" applyNumberFormat="1" applyFont="1" applyFill="1" applyBorder="1" applyAlignment="1">
      <alignment horizontal="left" vertical="center" wrapText="1"/>
    </xf>
    <xf numFmtId="0" fontId="6" fillId="0" borderId="49" xfId="5" applyFont="1" applyFill="1" applyBorder="1" applyAlignment="1">
      <alignment horizontal="left" vertical="center" wrapText="1"/>
    </xf>
    <xf numFmtId="3" fontId="6" fillId="0" borderId="50" xfId="5" applyNumberFormat="1" applyFont="1" applyFill="1" applyBorder="1" applyAlignment="1">
      <alignment horizontal="left" vertical="center" wrapText="1"/>
    </xf>
    <xf numFmtId="166" fontId="19" fillId="0" borderId="35" xfId="4" applyNumberFormat="1" applyFont="1" applyBorder="1" applyAlignment="1">
      <alignment horizontal="center" vertical="center" wrapText="1"/>
    </xf>
    <xf numFmtId="164" fontId="19" fillId="0" borderId="36" xfId="4" applyNumberFormat="1" applyFont="1" applyBorder="1" applyAlignment="1">
      <alignment horizontal="center" vertical="center" wrapText="1"/>
    </xf>
    <xf numFmtId="14" fontId="19" fillId="0" borderId="36" xfId="4" applyNumberFormat="1" applyFont="1" applyBorder="1" applyAlignment="1">
      <alignment horizontal="center" vertical="center" wrapText="1"/>
    </xf>
    <xf numFmtId="0" fontId="19" fillId="0" borderId="36" xfId="4" applyFont="1" applyBorder="1" applyAlignment="1">
      <alignment horizontal="center" vertical="center" wrapText="1"/>
    </xf>
    <xf numFmtId="3" fontId="19" fillId="0" borderId="37" xfId="4" applyNumberFormat="1" applyFont="1" applyBorder="1" applyAlignment="1">
      <alignment horizontal="center" vertical="center" wrapText="1"/>
    </xf>
    <xf numFmtId="0" fontId="25" fillId="0" borderId="0" xfId="4" applyFont="1"/>
    <xf numFmtId="14" fontId="5" fillId="6" borderId="61" xfId="4" applyNumberFormat="1" applyFont="1" applyFill="1" applyBorder="1" applyAlignment="1">
      <alignment horizontal="left" vertical="center" wrapText="1"/>
    </xf>
    <xf numFmtId="164" fontId="5" fillId="6" borderId="61" xfId="4" applyNumberFormat="1" applyFont="1" applyFill="1" applyBorder="1" applyAlignment="1">
      <alignment horizontal="left" vertical="center" wrapText="1"/>
    </xf>
    <xf numFmtId="0" fontId="5" fillId="6" borderId="61" xfId="4" applyFont="1" applyFill="1" applyBorder="1" applyAlignment="1">
      <alignment horizontal="left" vertical="center" wrapText="1"/>
    </xf>
    <xf numFmtId="0" fontId="5" fillId="6" borderId="61" xfId="4" applyFont="1" applyFill="1" applyBorder="1" applyAlignment="1">
      <alignment horizontal="center" vertical="center" wrapText="1"/>
    </xf>
    <xf numFmtId="3" fontId="5" fillId="6" borderId="61" xfId="4" applyNumberFormat="1" applyFont="1" applyFill="1" applyBorder="1" applyAlignment="1">
      <alignment horizontal="left" vertical="center" wrapText="1"/>
    </xf>
    <xf numFmtId="3" fontId="5" fillId="6" borderId="62" xfId="4" applyNumberFormat="1" applyFont="1" applyFill="1" applyBorder="1" applyAlignment="1">
      <alignment horizontal="left" vertical="center" wrapText="1"/>
    </xf>
    <xf numFmtId="0" fontId="21" fillId="0" borderId="22" xfId="4" applyFont="1" applyBorder="1" applyAlignment="1">
      <alignment horizontal="left" vertical="center"/>
    </xf>
    <xf numFmtId="0" fontId="21" fillId="0" borderId="27" xfId="4" applyFont="1" applyBorder="1" applyAlignment="1">
      <alignment horizontal="left" wrapText="1"/>
    </xf>
    <xf numFmtId="3" fontId="21" fillId="0" borderId="27" xfId="4" applyNumberFormat="1" applyFont="1" applyBorder="1" applyAlignment="1">
      <alignment horizontal="left" wrapText="1"/>
    </xf>
    <xf numFmtId="3" fontId="21" fillId="0" borderId="28" xfId="4" applyNumberFormat="1" applyFont="1" applyBorder="1" applyAlignment="1">
      <alignment horizontal="left" wrapText="1"/>
    </xf>
    <xf numFmtId="14" fontId="22" fillId="0" borderId="60" xfId="4" applyNumberFormat="1" applyFont="1" applyBorder="1" applyAlignment="1">
      <alignment horizontal="left" vertical="center"/>
    </xf>
    <xf numFmtId="164" fontId="21" fillId="0" borderId="61" xfId="4" applyNumberFormat="1" applyFont="1" applyBorder="1" applyAlignment="1">
      <alignment horizontal="left" vertical="center" wrapText="1"/>
    </xf>
    <xf numFmtId="0" fontId="21" fillId="0" borderId="61" xfId="4" applyFont="1" applyBorder="1" applyAlignment="1">
      <alignment horizontal="left" vertical="center" wrapText="1"/>
    </xf>
    <xf numFmtId="0" fontId="21" fillId="0" borderId="61" xfId="4" applyFont="1" applyBorder="1" applyAlignment="1">
      <alignment horizontal="left" vertical="center"/>
    </xf>
    <xf numFmtId="3" fontId="21" fillId="0" borderId="61" xfId="4" applyNumberFormat="1" applyFont="1" applyBorder="1" applyAlignment="1">
      <alignment horizontal="left" vertical="center" wrapText="1"/>
    </xf>
    <xf numFmtId="3" fontId="21" fillId="0" borderId="62" xfId="4" applyNumberFormat="1" applyFont="1" applyBorder="1" applyAlignment="1">
      <alignment horizontal="left" vertical="center" wrapText="1"/>
    </xf>
    <xf numFmtId="14" fontId="5" fillId="6" borderId="64" xfId="4" applyNumberFormat="1" applyFont="1" applyFill="1" applyBorder="1" applyAlignment="1">
      <alignment horizontal="left" vertical="center" wrapText="1"/>
    </xf>
    <xf numFmtId="164" fontId="5" fillId="6" borderId="64" xfId="4" applyNumberFormat="1" applyFont="1" applyFill="1" applyBorder="1" applyAlignment="1">
      <alignment horizontal="left" vertical="center" wrapText="1"/>
    </xf>
    <xf numFmtId="0" fontId="5" fillId="6" borderId="64" xfId="4" applyFont="1" applyFill="1" applyBorder="1" applyAlignment="1">
      <alignment horizontal="left" vertical="center" wrapText="1"/>
    </xf>
    <xf numFmtId="0" fontId="5" fillId="6" borderId="64" xfId="4" applyFont="1" applyFill="1" applyBorder="1" applyAlignment="1">
      <alignment horizontal="center" vertical="center" wrapText="1"/>
    </xf>
    <xf numFmtId="3" fontId="5" fillId="6" borderId="64" xfId="4" applyNumberFormat="1" applyFont="1" applyFill="1" applyBorder="1" applyAlignment="1">
      <alignment horizontal="left" vertical="center" wrapText="1"/>
    </xf>
    <xf numFmtId="3" fontId="5" fillId="6" borderId="65" xfId="4" applyNumberFormat="1" applyFont="1" applyFill="1" applyBorder="1" applyAlignment="1">
      <alignment horizontal="left" vertical="center" wrapText="1"/>
    </xf>
    <xf numFmtId="0" fontId="26" fillId="0" borderId="0" xfId="4" applyFont="1"/>
    <xf numFmtId="14" fontId="21" fillId="0" borderId="26" xfId="4" applyNumberFormat="1" applyFont="1" applyBorder="1" applyAlignment="1">
      <alignment horizontal="left" wrapText="1"/>
    </xf>
    <xf numFmtId="164" fontId="21" fillId="0" borderId="27" xfId="4" applyNumberFormat="1" applyFont="1" applyBorder="1" applyAlignment="1">
      <alignment horizontal="left" wrapText="1"/>
    </xf>
    <xf numFmtId="14" fontId="21" fillId="0" borderId="27" xfId="4" applyNumberFormat="1" applyFont="1" applyBorder="1" applyAlignment="1">
      <alignment horizontal="left" wrapText="1"/>
    </xf>
    <xf numFmtId="14" fontId="21" fillId="0" borderId="29" xfId="4" applyNumberFormat="1" applyFont="1" applyBorder="1" applyAlignment="1">
      <alignment horizontal="left" wrapText="1"/>
    </xf>
    <xf numFmtId="164" fontId="21" fillId="0" borderId="30" xfId="4" applyNumberFormat="1" applyFont="1" applyBorder="1" applyAlignment="1">
      <alignment horizontal="left" wrapText="1"/>
    </xf>
    <xf numFmtId="14" fontId="21" fillId="0" borderId="30" xfId="4" applyNumberFormat="1" applyFont="1" applyBorder="1" applyAlignment="1">
      <alignment horizontal="left" wrapText="1"/>
    </xf>
    <xf numFmtId="0" fontId="21" fillId="0" borderId="30" xfId="4" applyFont="1" applyBorder="1" applyAlignment="1">
      <alignment horizontal="left" wrapText="1"/>
    </xf>
    <xf numFmtId="3" fontId="21" fillId="0" borderId="30" xfId="4" applyNumberFormat="1" applyFont="1" applyBorder="1" applyAlignment="1">
      <alignment horizontal="left" wrapText="1"/>
    </xf>
    <xf numFmtId="3" fontId="21" fillId="0" borderId="31" xfId="4" applyNumberFormat="1" applyFont="1" applyBorder="1" applyAlignment="1">
      <alignment horizontal="left" wrapText="1"/>
    </xf>
    <xf numFmtId="14" fontId="5" fillId="6" borderId="22" xfId="4" applyNumberFormat="1" applyFont="1" applyFill="1" applyBorder="1" applyAlignment="1">
      <alignment horizontal="left" vertical="center" wrapText="1"/>
    </xf>
    <xf numFmtId="164" fontId="5" fillId="6" borderId="22" xfId="4" applyNumberFormat="1" applyFont="1" applyFill="1" applyBorder="1" applyAlignment="1">
      <alignment horizontal="left" vertical="center" wrapText="1"/>
    </xf>
    <xf numFmtId="0" fontId="5" fillId="6" borderId="22" xfId="4" applyFont="1" applyFill="1" applyBorder="1" applyAlignment="1">
      <alignment horizontal="left" vertical="center" wrapText="1"/>
    </xf>
    <xf numFmtId="0" fontId="5" fillId="6" borderId="22" xfId="4" applyFont="1" applyFill="1" applyBorder="1" applyAlignment="1">
      <alignment horizontal="center" vertical="center" wrapText="1"/>
    </xf>
    <xf numFmtId="3" fontId="5" fillId="6" borderId="22" xfId="4" applyNumberFormat="1" applyFont="1" applyFill="1" applyBorder="1" applyAlignment="1">
      <alignment horizontal="left" vertical="center" wrapText="1"/>
    </xf>
    <xf numFmtId="3" fontId="5" fillId="6" borderId="23" xfId="4" applyNumberFormat="1" applyFont="1" applyFill="1" applyBorder="1" applyAlignment="1">
      <alignment horizontal="left" vertical="center" wrapText="1"/>
    </xf>
    <xf numFmtId="3" fontId="21" fillId="0" borderId="23" xfId="6" applyNumberFormat="1" applyFont="1" applyBorder="1" applyAlignment="1">
      <alignment horizontal="left" vertical="center" wrapText="1"/>
    </xf>
    <xf numFmtId="14" fontId="21" fillId="0" borderId="60" xfId="4" applyNumberFormat="1" applyFont="1" applyBorder="1" applyAlignment="1">
      <alignment horizontal="left" vertical="center" wrapText="1"/>
    </xf>
    <xf numFmtId="14" fontId="21" fillId="0" borderId="61" xfId="4" applyNumberFormat="1" applyFont="1" applyBorder="1" applyAlignment="1">
      <alignment horizontal="left" vertical="center" wrapText="1"/>
    </xf>
    <xf numFmtId="0" fontId="21" fillId="0" borderId="61" xfId="4" applyFont="1" applyBorder="1" applyAlignment="1">
      <alignment vertical="center" wrapText="1"/>
    </xf>
    <xf numFmtId="164" fontId="21" fillId="0" borderId="39" xfId="4" applyNumberFormat="1" applyFont="1" applyBorder="1" applyAlignment="1">
      <alignment horizontal="left" vertical="center" wrapText="1"/>
    </xf>
    <xf numFmtId="0" fontId="21" fillId="0" borderId="39" xfId="4" applyFont="1" applyBorder="1" applyAlignment="1">
      <alignment horizontal="left" vertical="center" wrapText="1"/>
    </xf>
    <xf numFmtId="0" fontId="21" fillId="0" borderId="66" xfId="4" applyFont="1" applyBorder="1" applyAlignment="1">
      <alignment horizontal="left" vertical="center" wrapText="1"/>
    </xf>
    <xf numFmtId="3" fontId="21" fillId="0" borderId="40" xfId="4" applyNumberFormat="1" applyFont="1" applyBorder="1" applyAlignment="1">
      <alignment horizontal="left" vertical="center" wrapText="1"/>
    </xf>
    <xf numFmtId="0" fontId="21" fillId="0" borderId="28" xfId="4" applyFont="1" applyBorder="1" applyAlignment="1">
      <alignment horizontal="left" vertical="center" wrapText="1"/>
    </xf>
    <xf numFmtId="14" fontId="21" fillId="0" borderId="21" xfId="4" applyNumberFormat="1" applyFont="1" applyBorder="1" applyAlignment="1">
      <alignment wrapText="1"/>
    </xf>
    <xf numFmtId="164" fontId="21" fillId="0" borderId="22" xfId="4" applyNumberFormat="1" applyFont="1" applyBorder="1" applyAlignment="1">
      <alignment wrapText="1"/>
    </xf>
    <xf numFmtId="14" fontId="21" fillId="0" borderId="22" xfId="4" applyNumberFormat="1" applyFont="1" applyBorder="1" applyAlignment="1">
      <alignment horizontal="right" wrapText="1"/>
    </xf>
    <xf numFmtId="164" fontId="21" fillId="0" borderId="22" xfId="4" applyNumberFormat="1" applyFont="1" applyBorder="1" applyAlignment="1">
      <alignment horizontal="right" wrapText="1"/>
    </xf>
    <xf numFmtId="0" fontId="21" fillId="0" borderId="22" xfId="4" applyFont="1" applyBorder="1" applyAlignment="1">
      <alignment horizontal="right" wrapText="1"/>
    </xf>
    <xf numFmtId="14" fontId="21" fillId="0" borderId="38" xfId="4" applyNumberFormat="1" applyFont="1" applyBorder="1" applyAlignment="1">
      <alignment vertical="center" wrapText="1"/>
    </xf>
    <xf numFmtId="164" fontId="21" fillId="0" borderId="39" xfId="4" applyNumberFormat="1" applyFont="1" applyBorder="1" applyAlignment="1">
      <alignment vertical="center" wrapText="1"/>
    </xf>
    <xf numFmtId="14" fontId="21" fillId="0" borderId="39" xfId="4" applyNumberFormat="1" applyFont="1" applyBorder="1" applyAlignment="1">
      <alignment horizontal="right" vertical="center" wrapText="1"/>
    </xf>
    <xf numFmtId="164" fontId="21" fillId="0" borderId="39" xfId="4" applyNumberFormat="1" applyFont="1" applyBorder="1" applyAlignment="1">
      <alignment horizontal="right" vertical="center" wrapText="1"/>
    </xf>
    <xf numFmtId="0" fontId="21" fillId="0" borderId="39" xfId="4" applyFont="1" applyBorder="1" applyAlignment="1">
      <alignment horizontal="left" vertical="center"/>
    </xf>
    <xf numFmtId="3" fontId="6" fillId="0" borderId="40" xfId="4" applyNumberFormat="1" applyFont="1" applyBorder="1" applyAlignment="1">
      <alignment horizontal="left" vertical="center" wrapText="1"/>
    </xf>
    <xf numFmtId="14" fontId="21" fillId="0" borderId="21" xfId="4" applyNumberFormat="1" applyFont="1" applyBorder="1" applyAlignment="1">
      <alignment vertical="center" wrapText="1"/>
    </xf>
    <xf numFmtId="164" fontId="21" fillId="0" borderId="22" xfId="4" applyNumberFormat="1" applyFont="1" applyBorder="1" applyAlignment="1">
      <alignment vertical="center" wrapText="1"/>
    </xf>
    <xf numFmtId="14" fontId="21" fillId="0" borderId="22" xfId="4" applyNumberFormat="1" applyFont="1" applyBorder="1" applyAlignment="1">
      <alignment horizontal="right" vertical="center" wrapText="1"/>
    </xf>
    <xf numFmtId="164" fontId="21" fillId="0" borderId="22" xfId="4" applyNumberFormat="1" applyFont="1" applyBorder="1" applyAlignment="1">
      <alignment horizontal="right" vertical="center" wrapText="1"/>
    </xf>
    <xf numFmtId="0" fontId="21" fillId="0" borderId="23" xfId="4" applyFont="1" applyBorder="1" applyAlignment="1">
      <alignment horizontal="left" vertical="center"/>
    </xf>
    <xf numFmtId="0" fontId="10" fillId="0" borderId="0" xfId="1" applyFill="1" applyBorder="1"/>
    <xf numFmtId="14" fontId="6" fillId="0" borderId="21" xfId="4" applyNumberFormat="1" applyFont="1" applyBorder="1" applyAlignment="1">
      <alignment horizontal="center" vertical="center" wrapText="1"/>
    </xf>
    <xf numFmtId="0" fontId="21" fillId="0" borderId="22" xfId="4" applyFont="1" applyBorder="1" applyAlignment="1">
      <alignment vertical="center"/>
    </xf>
    <xf numFmtId="0" fontId="21" fillId="0" borderId="23" xfId="4" applyFont="1" applyBorder="1" applyAlignment="1">
      <alignment vertical="center"/>
    </xf>
    <xf numFmtId="14" fontId="21" fillId="0" borderId="22" xfId="4" applyNumberFormat="1" applyFont="1" applyBorder="1" applyAlignment="1">
      <alignment vertical="center" wrapText="1"/>
    </xf>
    <xf numFmtId="3" fontId="21" fillId="0" borderId="22" xfId="4" applyNumberFormat="1" applyFont="1" applyBorder="1" applyAlignment="1">
      <alignment horizontal="left" vertical="center"/>
    </xf>
    <xf numFmtId="14" fontId="21" fillId="0" borderId="60" xfId="4" applyNumberFormat="1" applyFont="1" applyBorder="1" applyAlignment="1">
      <alignment vertical="center" wrapText="1"/>
    </xf>
    <xf numFmtId="164" fontId="21" fillId="0" borderId="61" xfId="4" applyNumberFormat="1" applyFont="1" applyBorder="1" applyAlignment="1">
      <alignment vertical="center" wrapText="1"/>
    </xf>
    <xf numFmtId="14" fontId="21" fillId="0" borderId="61" xfId="4" applyNumberFormat="1" applyFont="1" applyBorder="1" applyAlignment="1">
      <alignment horizontal="right" vertical="center" wrapText="1"/>
    </xf>
    <xf numFmtId="164" fontId="21" fillId="0" borderId="61" xfId="4" applyNumberFormat="1" applyFont="1" applyBorder="1" applyAlignment="1">
      <alignment horizontal="right" vertical="center" wrapText="1"/>
    </xf>
    <xf numFmtId="3" fontId="6" fillId="0" borderId="62" xfId="4" applyNumberFormat="1" applyFont="1" applyBorder="1" applyAlignment="1">
      <alignment horizontal="left" vertical="center" wrapText="1"/>
    </xf>
    <xf numFmtId="14" fontId="21" fillId="0" borderId="63" xfId="4" applyNumberFormat="1" applyFont="1" applyBorder="1" applyAlignment="1">
      <alignment horizontal="right" vertical="center" wrapText="1"/>
    </xf>
    <xf numFmtId="164" fontId="21" fillId="0" borderId="64" xfId="4" applyNumberFormat="1" applyFont="1" applyBorder="1" applyAlignment="1">
      <alignment horizontal="right" vertical="center" wrapText="1"/>
    </xf>
    <xf numFmtId="14" fontId="21" fillId="0" borderId="64" xfId="4" applyNumberFormat="1" applyFont="1" applyBorder="1" applyAlignment="1">
      <alignment horizontal="right" vertical="center" wrapText="1"/>
    </xf>
    <xf numFmtId="0" fontId="21" fillId="0" borderId="64" xfId="4" applyFont="1" applyBorder="1" applyAlignment="1">
      <alignment horizontal="left" vertical="center" wrapText="1"/>
    </xf>
    <xf numFmtId="0" fontId="21" fillId="0" borderId="64" xfId="4" applyFont="1" applyBorder="1" applyAlignment="1">
      <alignment horizontal="center" vertical="center"/>
    </xf>
    <xf numFmtId="0" fontId="21" fillId="0" borderId="64" xfId="4" applyFont="1" applyBorder="1" applyAlignment="1">
      <alignment horizontal="center" vertical="center" wrapText="1"/>
    </xf>
    <xf numFmtId="3" fontId="21" fillId="0" borderId="65" xfId="4" applyNumberFormat="1" applyFont="1" applyBorder="1" applyAlignment="1">
      <alignment horizontal="center" vertical="center" wrapText="1"/>
    </xf>
    <xf numFmtId="14" fontId="21" fillId="0" borderId="26" xfId="4" applyNumberFormat="1" applyFont="1" applyBorder="1" applyAlignment="1">
      <alignment horizontal="right" vertical="center" wrapText="1"/>
    </xf>
    <xf numFmtId="164" fontId="21" fillId="0" borderId="27" xfId="4" applyNumberFormat="1" applyFont="1" applyBorder="1" applyAlignment="1">
      <alignment horizontal="right" vertical="center" wrapText="1"/>
    </xf>
    <xf numFmtId="14" fontId="21" fillId="0" borderId="27" xfId="4" applyNumberFormat="1" applyFont="1" applyBorder="1" applyAlignment="1">
      <alignment horizontal="right" vertical="center" wrapText="1"/>
    </xf>
    <xf numFmtId="0" fontId="21" fillId="0" borderId="27" xfId="4" applyFont="1" applyBorder="1" applyAlignment="1">
      <alignment horizontal="right" vertical="center" wrapText="1"/>
    </xf>
    <xf numFmtId="14" fontId="6" fillId="0" borderId="26" xfId="4" applyNumberFormat="1" applyFont="1" applyBorder="1" applyAlignment="1">
      <alignment horizontal="right" vertical="center" wrapText="1"/>
    </xf>
    <xf numFmtId="164" fontId="6" fillId="0" borderId="27" xfId="4" applyNumberFormat="1" applyFont="1" applyBorder="1" applyAlignment="1">
      <alignment horizontal="right" vertical="center" wrapText="1"/>
    </xf>
    <xf numFmtId="0" fontId="6" fillId="0" borderId="27" xfId="4" applyFont="1" applyBorder="1" applyAlignment="1">
      <alignment horizontal="right" vertical="center" wrapText="1"/>
    </xf>
    <xf numFmtId="0" fontId="6" fillId="0" borderId="27" xfId="4" applyFont="1" applyBorder="1" applyAlignment="1">
      <alignment horizontal="left" vertical="center"/>
    </xf>
    <xf numFmtId="0" fontId="6" fillId="0" borderId="27" xfId="4" applyFont="1" applyBorder="1" applyAlignment="1">
      <alignment horizontal="center" vertical="center"/>
    </xf>
    <xf numFmtId="0" fontId="6" fillId="0" borderId="27" xfId="4" applyFont="1" applyBorder="1" applyAlignment="1">
      <alignment horizontal="center" vertical="center" wrapText="1"/>
    </xf>
    <xf numFmtId="3" fontId="6" fillId="0" borderId="28" xfId="4" applyNumberFormat="1" applyFont="1" applyBorder="1" applyAlignment="1">
      <alignment horizontal="center" vertical="center" wrapText="1"/>
    </xf>
    <xf numFmtId="14" fontId="21" fillId="0" borderId="32" xfId="4" applyNumberFormat="1" applyFont="1" applyBorder="1" applyAlignment="1">
      <alignment horizontal="right" vertical="center" wrapText="1"/>
    </xf>
    <xf numFmtId="164" fontId="21" fillId="0" borderId="33" xfId="4" applyNumberFormat="1" applyFont="1" applyBorder="1" applyAlignment="1">
      <alignment horizontal="right" vertical="center" wrapText="1"/>
    </xf>
    <xf numFmtId="14" fontId="21" fillId="0" borderId="33" xfId="4" applyNumberFormat="1" applyFont="1" applyBorder="1" applyAlignment="1">
      <alignment horizontal="right" vertical="center" wrapText="1"/>
    </xf>
    <xf numFmtId="0" fontId="21" fillId="0" borderId="33" xfId="4" applyFont="1" applyBorder="1" applyAlignment="1">
      <alignment horizontal="center" vertical="center"/>
    </xf>
    <xf numFmtId="164" fontId="21" fillId="0" borderId="0" xfId="4" applyNumberFormat="1" applyFont="1" applyAlignment="1">
      <alignment vertical="center" wrapText="1"/>
    </xf>
    <xf numFmtId="14" fontId="21" fillId="0" borderId="0" xfId="4" applyNumberFormat="1" applyFont="1" applyAlignment="1">
      <alignment horizontal="right" vertical="center" wrapText="1"/>
    </xf>
    <xf numFmtId="164" fontId="21" fillId="0" borderId="0" xfId="4" applyNumberFormat="1" applyFont="1" applyAlignment="1">
      <alignment horizontal="right" vertical="center" wrapText="1"/>
    </xf>
    <xf numFmtId="0" fontId="21" fillId="0" borderId="0" xfId="4" applyFont="1" applyAlignment="1">
      <alignment vertical="center" wrapText="1"/>
    </xf>
    <xf numFmtId="0" fontId="21" fillId="0" borderId="0" xfId="4" applyFont="1" applyAlignment="1">
      <alignment horizontal="left" vertical="center"/>
    </xf>
    <xf numFmtId="3" fontId="6" fillId="0" borderId="0" xfId="4" applyNumberFormat="1" applyFont="1" applyAlignment="1">
      <alignment horizontal="left" vertical="center" wrapText="1"/>
    </xf>
    <xf numFmtId="14" fontId="21" fillId="0" borderId="0" xfId="4" applyNumberFormat="1" applyFont="1" applyAlignment="1">
      <alignment vertical="center" wrapText="1"/>
    </xf>
    <xf numFmtId="164" fontId="21" fillId="0" borderId="0" xfId="4" applyNumberFormat="1" applyFont="1" applyAlignment="1">
      <alignment wrapText="1"/>
    </xf>
    <xf numFmtId="14" fontId="21" fillId="0" borderId="0" xfId="4" applyNumberFormat="1" applyFont="1" applyAlignment="1">
      <alignment horizontal="right" wrapText="1"/>
    </xf>
    <xf numFmtId="164" fontId="21" fillId="0" borderId="0" xfId="4" applyNumberFormat="1" applyFont="1" applyAlignment="1">
      <alignment horizontal="right" wrapText="1"/>
    </xf>
    <xf numFmtId="0" fontId="21" fillId="0" borderId="0" xfId="4" applyFont="1" applyAlignment="1">
      <alignment wrapText="1"/>
    </xf>
    <xf numFmtId="164" fontId="21" fillId="0" borderId="0" xfId="4" applyNumberFormat="1" applyFont="1"/>
    <xf numFmtId="14" fontId="21" fillId="0" borderId="0" xfId="4" applyNumberFormat="1" applyFont="1"/>
    <xf numFmtId="3" fontId="21" fillId="0" borderId="0" xfId="4" applyNumberFormat="1" applyFont="1"/>
    <xf numFmtId="166" fontId="22" fillId="0" borderId="0" xfId="4" applyNumberFormat="1" applyFont="1"/>
    <xf numFmtId="164" fontId="22" fillId="0" borderId="0" xfId="4" applyNumberFormat="1" applyFont="1"/>
    <xf numFmtId="14" fontId="22" fillId="0" borderId="0" xfId="4" applyNumberFormat="1" applyFont="1"/>
    <xf numFmtId="0" fontId="9" fillId="0" borderId="0" xfId="4" applyAlignment="1">
      <alignment wrapText="1"/>
    </xf>
    <xf numFmtId="3" fontId="9" fillId="0" borderId="0" xfId="4" applyNumberFormat="1"/>
    <xf numFmtId="0" fontId="28" fillId="0" borderId="0" xfId="4" applyFont="1" applyAlignment="1">
      <alignment vertical="center"/>
    </xf>
    <xf numFmtId="0" fontId="29" fillId="0" borderId="70" xfId="4" applyFont="1" applyBorder="1" applyAlignment="1">
      <alignment horizontal="center" vertical="center"/>
    </xf>
    <xf numFmtId="14" fontId="30" fillId="0" borderId="71" xfId="4" applyNumberFormat="1" applyFont="1" applyBorder="1" applyAlignment="1">
      <alignment horizontal="center" vertical="center" wrapText="1"/>
    </xf>
    <xf numFmtId="164" fontId="30" fillId="0" borderId="71" xfId="4" applyNumberFormat="1" applyFont="1" applyBorder="1" applyAlignment="1">
      <alignment horizontal="center" vertical="center" wrapText="1"/>
    </xf>
    <xf numFmtId="0" fontId="30" fillId="0" borderId="71" xfId="4" applyFont="1" applyBorder="1" applyAlignment="1">
      <alignment horizontal="center" vertical="center" wrapText="1"/>
    </xf>
    <xf numFmtId="3" fontId="30" fillId="0" borderId="71" xfId="4" applyNumberFormat="1" applyFont="1" applyBorder="1" applyAlignment="1">
      <alignment horizontal="center" vertical="center" wrapText="1"/>
    </xf>
    <xf numFmtId="3" fontId="30" fillId="0" borderId="72" xfId="6" applyNumberFormat="1" applyFont="1" applyFill="1" applyBorder="1" applyAlignment="1">
      <alignment horizontal="center" vertical="center" wrapText="1"/>
    </xf>
    <xf numFmtId="0" fontId="31" fillId="0" borderId="0" xfId="4" applyFont="1" applyAlignment="1">
      <alignment vertical="center"/>
    </xf>
    <xf numFmtId="0" fontId="28" fillId="0" borderId="73" xfId="4" applyFont="1" applyBorder="1" applyAlignment="1">
      <alignment horizontal="center" vertical="center" wrapText="1"/>
    </xf>
    <xf numFmtId="14" fontId="28" fillId="0" borderId="0" xfId="4" applyNumberFormat="1" applyFont="1" applyAlignment="1">
      <alignment horizontal="center" vertical="center" wrapText="1"/>
    </xf>
    <xf numFmtId="164" fontId="28" fillId="0" borderId="0" xfId="4" applyNumberFormat="1" applyFont="1" applyAlignment="1">
      <alignment horizontal="center" vertical="center" wrapText="1"/>
    </xf>
    <xf numFmtId="0" fontId="28" fillId="0" borderId="0" xfId="4" applyFont="1" applyAlignment="1">
      <alignment vertical="center" wrapText="1"/>
    </xf>
    <xf numFmtId="0" fontId="28" fillId="0" borderId="0" xfId="4" applyFont="1" applyAlignment="1">
      <alignment horizontal="center" vertical="center" wrapText="1"/>
    </xf>
    <xf numFmtId="3" fontId="28" fillId="0" borderId="0" xfId="4" applyNumberFormat="1" applyFont="1" applyAlignment="1">
      <alignment horizontal="center" vertical="center" wrapText="1"/>
    </xf>
    <xf numFmtId="3" fontId="28" fillId="0" borderId="74" xfId="6" applyNumberFormat="1" applyFont="1" applyBorder="1" applyAlignment="1">
      <alignment horizontal="center" vertical="center" wrapText="1"/>
    </xf>
    <xf numFmtId="3" fontId="28" fillId="0" borderId="74" xfId="6" applyNumberFormat="1" applyFont="1" applyFill="1" applyBorder="1" applyAlignment="1">
      <alignment horizontal="center" vertical="center" wrapText="1"/>
    </xf>
    <xf numFmtId="0" fontId="28" fillId="0" borderId="73" xfId="4" applyFont="1" applyBorder="1" applyAlignment="1">
      <alignment horizontal="center" vertical="center"/>
    </xf>
    <xf numFmtId="14" fontId="28" fillId="0" borderId="0" xfId="4" applyNumberFormat="1" applyFont="1" applyAlignment="1">
      <alignment horizontal="center" wrapText="1"/>
    </xf>
    <xf numFmtId="164" fontId="28" fillId="0" borderId="0" xfId="4" applyNumberFormat="1" applyFont="1" applyAlignment="1">
      <alignment horizontal="center" wrapText="1"/>
    </xf>
    <xf numFmtId="3" fontId="28" fillId="0" borderId="0" xfId="4" applyNumberFormat="1" applyFont="1" applyAlignment="1">
      <alignment vertical="center"/>
    </xf>
    <xf numFmtId="3" fontId="28" fillId="0" borderId="74" xfId="4" applyNumberFormat="1" applyFont="1" applyBorder="1" applyAlignment="1">
      <alignment horizontal="center" vertical="center"/>
    </xf>
    <xf numFmtId="14" fontId="28" fillId="0" borderId="0" xfId="4" applyNumberFormat="1" applyFont="1" applyAlignment="1">
      <alignment horizontal="center" vertical="center"/>
    </xf>
    <xf numFmtId="164" fontId="28" fillId="0" borderId="0" xfId="4" applyNumberFormat="1" applyFont="1" applyAlignment="1">
      <alignment horizontal="center" vertical="center"/>
    </xf>
    <xf numFmtId="0" fontId="28" fillId="0" borderId="0" xfId="4" applyFont="1" applyAlignment="1">
      <alignment horizontal="left" vertical="center" wrapText="1"/>
    </xf>
    <xf numFmtId="3" fontId="28" fillId="0" borderId="0" xfId="4" applyNumberFormat="1" applyFont="1" applyAlignment="1">
      <alignment horizontal="center" vertical="center"/>
    </xf>
    <xf numFmtId="3" fontId="28" fillId="0" borderId="74" xfId="6" applyNumberFormat="1" applyFont="1" applyFill="1" applyBorder="1" applyAlignment="1">
      <alignment horizontal="center" vertical="center"/>
    </xf>
    <xf numFmtId="0" fontId="32" fillId="0" borderId="0" xfId="4" applyFont="1" applyAlignment="1">
      <alignment vertical="center"/>
    </xf>
    <xf numFmtId="14" fontId="33" fillId="0" borderId="0" xfId="4" applyNumberFormat="1" applyFont="1" applyAlignment="1">
      <alignment horizontal="center" vertical="center" wrapText="1"/>
    </xf>
    <xf numFmtId="164" fontId="33" fillId="0" borderId="0" xfId="4" applyNumberFormat="1" applyFont="1" applyAlignment="1">
      <alignment horizontal="center" vertical="center" wrapText="1"/>
    </xf>
    <xf numFmtId="0" fontId="33" fillId="0" borderId="0" xfId="4" applyFont="1" applyAlignment="1">
      <alignment horizontal="left" vertical="center" wrapText="1"/>
    </xf>
    <xf numFmtId="0" fontId="33" fillId="0" borderId="0" xfId="4" applyFont="1" applyAlignment="1">
      <alignment horizontal="center" vertical="center" wrapText="1"/>
    </xf>
    <xf numFmtId="3" fontId="33" fillId="0" borderId="0" xfId="4" applyNumberFormat="1" applyFont="1" applyAlignment="1">
      <alignment horizontal="center" vertical="center" wrapText="1"/>
    </xf>
    <xf numFmtId="3" fontId="33" fillId="0" borderId="74" xfId="4" applyNumberFormat="1" applyFont="1" applyBorder="1" applyAlignment="1">
      <alignment horizontal="center" vertical="center" wrapText="1"/>
    </xf>
    <xf numFmtId="0" fontId="34" fillId="0" borderId="0" xfId="1" applyFont="1" applyFill="1" applyBorder="1" applyAlignment="1">
      <alignment vertical="center"/>
    </xf>
    <xf numFmtId="3" fontId="28" fillId="0" borderId="74" xfId="4" applyNumberFormat="1" applyFont="1" applyBorder="1" applyAlignment="1">
      <alignment horizontal="center" vertical="center" wrapText="1"/>
    </xf>
    <xf numFmtId="0" fontId="28" fillId="0" borderId="0" xfId="4" applyFont="1" applyAlignment="1">
      <alignment horizontal="center" vertical="center"/>
    </xf>
    <xf numFmtId="0" fontId="28" fillId="0" borderId="75" xfId="4" applyFont="1" applyBorder="1" applyAlignment="1">
      <alignment horizontal="center" vertical="center"/>
    </xf>
    <xf numFmtId="14" fontId="28" fillId="0" borderId="9" xfId="4" applyNumberFormat="1" applyFont="1" applyBorder="1" applyAlignment="1">
      <alignment horizontal="center" vertical="center" wrapText="1"/>
    </xf>
    <xf numFmtId="164" fontId="28" fillId="0" borderId="9" xfId="4" applyNumberFormat="1" applyFont="1" applyBorder="1" applyAlignment="1">
      <alignment horizontal="center" vertical="center" wrapText="1"/>
    </xf>
    <xf numFmtId="0" fontId="28" fillId="0" borderId="9" xfId="4" applyFont="1" applyBorder="1" applyAlignment="1">
      <alignment horizontal="center" vertical="center" wrapText="1"/>
    </xf>
    <xf numFmtId="0" fontId="28" fillId="0" borderId="9" xfId="4" applyFont="1" applyBorder="1" applyAlignment="1">
      <alignment horizontal="left" vertical="center" wrapText="1"/>
    </xf>
    <xf numFmtId="0" fontId="28" fillId="0" borderId="9" xfId="4" applyFont="1" applyBorder="1" applyAlignment="1">
      <alignment horizontal="center" vertical="center"/>
    </xf>
    <xf numFmtId="3" fontId="28" fillId="0" borderId="7" xfId="4" applyNumberFormat="1" applyFont="1" applyBorder="1" applyAlignment="1">
      <alignment horizontal="center" vertical="center" wrapText="1"/>
    </xf>
    <xf numFmtId="0" fontId="32" fillId="0" borderId="0" xfId="4" applyFont="1" applyAlignment="1">
      <alignment horizontal="center" vertical="center"/>
    </xf>
    <xf numFmtId="14" fontId="32" fillId="0" borderId="0" xfId="4" applyNumberFormat="1" applyFont="1" applyAlignment="1">
      <alignment horizontal="center" vertical="center"/>
    </xf>
    <xf numFmtId="164" fontId="32" fillId="0" borderId="0" xfId="4" applyNumberFormat="1" applyFont="1" applyAlignment="1">
      <alignment horizontal="center" vertical="center"/>
    </xf>
    <xf numFmtId="0" fontId="31" fillId="0" borderId="0" xfId="4" applyFont="1" applyAlignment="1">
      <alignment vertical="center" wrapText="1"/>
    </xf>
    <xf numFmtId="0" fontId="31" fillId="0" borderId="0" xfId="4" applyFont="1" applyAlignment="1">
      <alignment horizontal="center" vertical="center" wrapText="1"/>
    </xf>
    <xf numFmtId="0" fontId="31" fillId="0" borderId="0" xfId="4" applyFont="1" applyAlignment="1">
      <alignment horizontal="left" vertical="center" wrapText="1"/>
    </xf>
    <xf numFmtId="3" fontId="31" fillId="0" borderId="0" xfId="4" applyNumberFormat="1" applyFont="1" applyAlignment="1">
      <alignment horizontal="center" vertical="center"/>
    </xf>
    <xf numFmtId="3" fontId="31" fillId="0" borderId="0" xfId="6" applyNumberFormat="1" applyFont="1" applyFill="1" applyAlignment="1">
      <alignment horizontal="center" vertical="center"/>
    </xf>
    <xf numFmtId="0" fontId="31" fillId="0" borderId="0" xfId="4" applyFont="1" applyAlignment="1">
      <alignment horizontal="center" vertical="center"/>
    </xf>
    <xf numFmtId="0" fontId="29" fillId="0" borderId="76" xfId="4" applyFont="1" applyBorder="1" applyAlignment="1">
      <alignment horizontal="center" vertical="center"/>
    </xf>
    <xf numFmtId="14" fontId="30" fillId="0" borderId="77" xfId="4" applyNumberFormat="1" applyFont="1" applyBorder="1" applyAlignment="1">
      <alignment horizontal="center" vertical="center" wrapText="1"/>
    </xf>
    <xf numFmtId="164" fontId="30" fillId="0" borderId="77" xfId="4" applyNumberFormat="1" applyFont="1" applyBorder="1" applyAlignment="1">
      <alignment horizontal="center" vertical="center" wrapText="1"/>
    </xf>
    <xf numFmtId="0" fontId="30" fillId="0" borderId="77" xfId="4" applyFont="1" applyBorder="1" applyAlignment="1">
      <alignment horizontal="center" vertical="center" wrapText="1"/>
    </xf>
    <xf numFmtId="3" fontId="30" fillId="0" borderId="77" xfId="4" applyNumberFormat="1" applyFont="1" applyBorder="1" applyAlignment="1">
      <alignment horizontal="center" vertical="center" wrapText="1"/>
    </xf>
    <xf numFmtId="3" fontId="30" fillId="0" borderId="78" xfId="6" applyNumberFormat="1" applyFont="1" applyFill="1" applyBorder="1" applyAlignment="1">
      <alignment horizontal="center" vertical="center" wrapText="1"/>
    </xf>
    <xf numFmtId="0" fontId="28" fillId="0" borderId="67" xfId="4" applyFont="1" applyBorder="1" applyAlignment="1">
      <alignment horizontal="center" vertical="center" wrapText="1"/>
    </xf>
    <xf numFmtId="14" fontId="28" fillId="0" borderId="68" xfId="4" applyNumberFormat="1" applyFont="1" applyBorder="1" applyAlignment="1">
      <alignment horizontal="center" vertical="center" wrapText="1"/>
    </xf>
    <xf numFmtId="164" fontId="28" fillId="0" borderId="68" xfId="4" applyNumberFormat="1" applyFont="1" applyBorder="1" applyAlignment="1">
      <alignment horizontal="center" vertical="center" wrapText="1"/>
    </xf>
    <xf numFmtId="0" fontId="28" fillId="0" borderId="68" xfId="4" applyFont="1" applyBorder="1" applyAlignment="1">
      <alignment vertical="center" wrapText="1"/>
    </xf>
    <xf numFmtId="0" fontId="28" fillId="0" borderId="68" xfId="4" applyFont="1" applyBorder="1" applyAlignment="1">
      <alignment horizontal="center" vertical="center" wrapText="1"/>
    </xf>
    <xf numFmtId="3" fontId="28" fillId="0" borderId="68" xfId="4" applyNumberFormat="1" applyFont="1" applyBorder="1" applyAlignment="1">
      <alignment horizontal="center" vertical="center" wrapText="1"/>
    </xf>
    <xf numFmtId="3" fontId="28" fillId="0" borderId="69" xfId="6" applyNumberFormat="1" applyFont="1" applyFill="1" applyBorder="1" applyAlignment="1">
      <alignment horizontal="center" vertical="center" wrapText="1"/>
    </xf>
    <xf numFmtId="0" fontId="28" fillId="0" borderId="70" xfId="4" applyFont="1" applyBorder="1" applyAlignment="1">
      <alignment horizontal="center" vertical="center" wrapText="1"/>
    </xf>
    <xf numFmtId="14" fontId="28" fillId="0" borderId="71" xfId="4" applyNumberFormat="1" applyFont="1" applyBorder="1" applyAlignment="1">
      <alignment horizontal="center" vertical="center" wrapText="1"/>
    </xf>
    <xf numFmtId="164" fontId="28" fillId="0" borderId="71" xfId="4" applyNumberFormat="1" applyFont="1" applyBorder="1" applyAlignment="1">
      <alignment horizontal="center" vertical="center" wrapText="1"/>
    </xf>
    <xf numFmtId="0" fontId="28" fillId="0" borderId="71" xfId="4" applyFont="1" applyBorder="1" applyAlignment="1">
      <alignment vertical="center" wrapText="1"/>
    </xf>
    <xf numFmtId="0" fontId="28" fillId="0" borderId="71" xfId="4" applyFont="1" applyBorder="1" applyAlignment="1">
      <alignment horizontal="center" vertical="center" wrapText="1"/>
    </xf>
    <xf numFmtId="3" fontId="28" fillId="0" borderId="71" xfId="4" applyNumberFormat="1" applyFont="1" applyBorder="1" applyAlignment="1">
      <alignment horizontal="center" vertical="center" wrapText="1"/>
    </xf>
    <xf numFmtId="3" fontId="28" fillId="0" borderId="72" xfId="6" applyNumberFormat="1" applyFont="1" applyFill="1" applyBorder="1" applyAlignment="1">
      <alignment horizontal="center" vertical="center" wrapText="1"/>
    </xf>
    <xf numFmtId="0" fontId="28" fillId="0" borderId="71" xfId="4" applyFont="1" applyBorder="1" applyAlignment="1">
      <alignment horizontal="left" vertical="center" wrapText="1"/>
    </xf>
    <xf numFmtId="0" fontId="35" fillId="0" borderId="71" xfId="4" applyFont="1" applyBorder="1" applyAlignment="1">
      <alignment horizontal="center" vertical="center" wrapText="1"/>
    </xf>
    <xf numFmtId="0" fontId="28" fillId="0" borderId="72" xfId="4" applyFont="1" applyBorder="1" applyAlignment="1">
      <alignment horizontal="center" vertical="center" wrapText="1"/>
    </xf>
    <xf numFmtId="0" fontId="28" fillId="0" borderId="71" xfId="4" applyFont="1" applyBorder="1" applyAlignment="1">
      <alignment wrapText="1"/>
    </xf>
    <xf numFmtId="0" fontId="28" fillId="5" borderId="71" xfId="4" applyFont="1" applyFill="1" applyBorder="1" applyAlignment="1">
      <alignment horizontal="center" vertical="center" wrapText="1"/>
    </xf>
    <xf numFmtId="0" fontId="36" fillId="0" borderId="71" xfId="4" applyFont="1" applyBorder="1" applyAlignment="1">
      <alignment horizontal="center" vertical="center" wrapText="1"/>
    </xf>
    <xf numFmtId="0" fontId="36" fillId="0" borderId="72" xfId="4" applyFont="1" applyBorder="1" applyAlignment="1">
      <alignment horizontal="center" vertical="center" wrapText="1"/>
    </xf>
    <xf numFmtId="0" fontId="35" fillId="0" borderId="71" xfId="4" applyFont="1" applyBorder="1" applyAlignment="1">
      <alignment horizontal="left" vertical="center" wrapText="1"/>
    </xf>
    <xf numFmtId="0" fontId="22" fillId="0" borderId="71" xfId="4" applyFont="1" applyBorder="1" applyAlignment="1">
      <alignment horizontal="left" vertical="center" wrapText="1"/>
    </xf>
    <xf numFmtId="0" fontId="28" fillId="0" borderId="71" xfId="4" applyFont="1" applyBorder="1" applyAlignment="1">
      <alignment horizontal="left" vertical="center"/>
    </xf>
    <xf numFmtId="18" fontId="28" fillId="0" borderId="71" xfId="4" applyNumberFormat="1" applyFont="1" applyBorder="1" applyAlignment="1">
      <alignment horizontal="center" vertical="center" wrapText="1"/>
    </xf>
    <xf numFmtId="0" fontId="28" fillId="0" borderId="71" xfId="4" applyFont="1" applyBorder="1" applyAlignment="1">
      <alignment horizontal="center" vertical="center"/>
    </xf>
    <xf numFmtId="0" fontId="28" fillId="0" borderId="72" xfId="4" applyFont="1" applyBorder="1" applyAlignment="1">
      <alignment horizontal="center" vertical="center"/>
    </xf>
    <xf numFmtId="0" fontId="33" fillId="0" borderId="71" xfId="4" applyFont="1" applyBorder="1" applyAlignment="1">
      <alignment horizontal="center" vertical="center" wrapText="1"/>
    </xf>
    <xf numFmtId="164" fontId="33" fillId="0" borderId="71" xfId="4" applyNumberFormat="1" applyFont="1" applyBorder="1" applyAlignment="1">
      <alignment horizontal="center" vertical="center" wrapText="1"/>
    </xf>
    <xf numFmtId="0" fontId="33" fillId="0" borderId="71" xfId="4" applyFont="1" applyBorder="1" applyAlignment="1">
      <alignment horizontal="left" vertical="center" wrapText="1"/>
    </xf>
    <xf numFmtId="0" fontId="33" fillId="0" borderId="72" xfId="4" applyFont="1" applyBorder="1" applyAlignment="1">
      <alignment horizontal="center" vertical="center" wrapText="1"/>
    </xf>
    <xf numFmtId="14" fontId="33" fillId="0" borderId="71" xfId="4" applyNumberFormat="1" applyFont="1" applyBorder="1" applyAlignment="1">
      <alignment horizontal="center" vertical="center" wrapText="1"/>
    </xf>
    <xf numFmtId="164" fontId="28" fillId="0" borderId="71" xfId="4" applyNumberFormat="1" applyFont="1" applyBorder="1" applyAlignment="1">
      <alignment horizontal="center" vertical="center"/>
    </xf>
    <xf numFmtId="0" fontId="28" fillId="0" borderId="76" xfId="4" applyFont="1" applyBorder="1" applyAlignment="1">
      <alignment horizontal="center" vertical="center" wrapText="1"/>
    </xf>
    <xf numFmtId="0" fontId="33" fillId="0" borderId="77" xfId="4" applyFont="1" applyBorder="1" applyAlignment="1">
      <alignment horizontal="center" vertical="center" wrapText="1"/>
    </xf>
    <xf numFmtId="164" fontId="33" fillId="0" borderId="77" xfId="4" applyNumberFormat="1" applyFont="1" applyBorder="1" applyAlignment="1">
      <alignment horizontal="center" vertical="center" wrapText="1"/>
    </xf>
    <xf numFmtId="0" fontId="33" fillId="0" borderId="77" xfId="4" applyFont="1" applyBorder="1" applyAlignment="1">
      <alignment horizontal="left" vertical="center" wrapText="1"/>
    </xf>
    <xf numFmtId="0" fontId="28" fillId="0" borderId="77" xfId="4" applyFont="1" applyBorder="1" applyAlignment="1">
      <alignment horizontal="left" vertical="center" wrapText="1"/>
    </xf>
    <xf numFmtId="0" fontId="28" fillId="0" borderId="77" xfId="4" applyFont="1" applyBorder="1" applyAlignment="1">
      <alignment horizontal="center" vertical="center" wrapText="1"/>
    </xf>
    <xf numFmtId="0" fontId="33" fillId="0" borderId="78" xfId="4" applyFont="1" applyBorder="1" applyAlignment="1">
      <alignment horizontal="center" vertical="center" wrapText="1"/>
    </xf>
    <xf numFmtId="164" fontId="28" fillId="0" borderId="77" xfId="4" applyNumberFormat="1" applyFont="1" applyBorder="1" applyAlignment="1">
      <alignment horizontal="center" vertical="center" wrapText="1"/>
    </xf>
    <xf numFmtId="0" fontId="28" fillId="0" borderId="78" xfId="4" applyFont="1" applyBorder="1" applyAlignment="1">
      <alignment horizontal="center" vertical="center" wrapText="1"/>
    </xf>
    <xf numFmtId="0" fontId="28" fillId="0" borderId="79" xfId="4" applyFont="1" applyBorder="1" applyAlignment="1">
      <alignment horizontal="center" vertical="center" wrapText="1"/>
    </xf>
    <xf numFmtId="0" fontId="28" fillId="0" borderId="80" xfId="4" applyFont="1" applyBorder="1" applyAlignment="1">
      <alignment horizontal="center" vertical="center" wrapText="1"/>
    </xf>
    <xf numFmtId="164" fontId="28" fillId="0" borderId="80" xfId="4" applyNumberFormat="1" applyFont="1" applyBorder="1" applyAlignment="1">
      <alignment horizontal="center" vertical="center" wrapText="1"/>
    </xf>
    <xf numFmtId="0" fontId="28" fillId="0" borderId="80" xfId="4" applyFont="1" applyBorder="1" applyAlignment="1">
      <alignment horizontal="left" vertical="center" wrapText="1"/>
    </xf>
    <xf numFmtId="0" fontId="28" fillId="0" borderId="80" xfId="4" applyFont="1" applyBorder="1" applyAlignment="1">
      <alignment horizontal="left" vertical="center"/>
    </xf>
    <xf numFmtId="0" fontId="28" fillId="0" borderId="81" xfId="4" applyFont="1" applyBorder="1" applyAlignment="1">
      <alignment horizontal="center" vertical="center" wrapText="1"/>
    </xf>
    <xf numFmtId="0" fontId="29" fillId="0" borderId="71" xfId="4" applyFont="1" applyBorder="1" applyAlignment="1">
      <alignment horizontal="center" vertical="center"/>
    </xf>
    <xf numFmtId="3" fontId="30" fillId="0" borderId="71" xfId="6" applyNumberFormat="1" applyFont="1" applyFill="1" applyBorder="1" applyAlignment="1">
      <alignment horizontal="center" vertical="center" wrapText="1"/>
    </xf>
    <xf numFmtId="164" fontId="28" fillId="5" borderId="71" xfId="4" applyNumberFormat="1" applyFont="1" applyFill="1" applyBorder="1" applyAlignment="1">
      <alignment horizontal="center" vertical="center" wrapText="1"/>
    </xf>
    <xf numFmtId="14" fontId="28" fillId="5" borderId="71" xfId="4" applyNumberFormat="1" applyFont="1" applyFill="1" applyBorder="1" applyAlignment="1">
      <alignment horizontal="center" vertical="center" wrapText="1"/>
    </xf>
    <xf numFmtId="0" fontId="35" fillId="5" borderId="71" xfId="4" applyFont="1" applyFill="1" applyBorder="1" applyAlignment="1">
      <alignment horizontal="center" vertical="center" wrapText="1"/>
    </xf>
    <xf numFmtId="3" fontId="30" fillId="0" borderId="71" xfId="6" applyNumberFormat="1" applyFont="1" applyBorder="1" applyAlignment="1">
      <alignment horizontal="center" vertical="center" wrapText="1"/>
    </xf>
    <xf numFmtId="3" fontId="31" fillId="0" borderId="0" xfId="6" applyNumberFormat="1" applyFont="1" applyAlignment="1">
      <alignment horizontal="center" vertical="center"/>
    </xf>
    <xf numFmtId="164" fontId="35" fillId="5" borderId="71" xfId="4" applyNumberFormat="1" applyFont="1" applyFill="1" applyBorder="1" applyAlignment="1">
      <alignment horizontal="center" vertical="center" wrapText="1"/>
    </xf>
    <xf numFmtId="14" fontId="35" fillId="5" borderId="71" xfId="4" applyNumberFormat="1" applyFont="1" applyFill="1" applyBorder="1" applyAlignment="1">
      <alignment horizontal="center" vertical="center" wrapText="1"/>
    </xf>
    <xf numFmtId="0" fontId="31" fillId="0" borderId="0" xfId="4" applyFont="1"/>
    <xf numFmtId="0" fontId="18" fillId="0" borderId="0" xfId="4" applyFont="1"/>
    <xf numFmtId="0" fontId="32" fillId="0" borderId="0" xfId="4" applyFont="1"/>
    <xf numFmtId="3" fontId="43" fillId="0" borderId="22" xfId="4" applyNumberFormat="1" applyFont="1" applyBorder="1" applyAlignment="1">
      <alignment horizontal="left" vertical="center"/>
    </xf>
    <xf numFmtId="3" fontId="43" fillId="0" borderId="23" xfId="4" applyNumberFormat="1" applyFont="1" applyBorder="1" applyAlignment="1">
      <alignment horizontal="left" vertical="center"/>
    </xf>
    <xf numFmtId="167" fontId="0" fillId="0" borderId="0" xfId="0" applyNumberFormat="1"/>
    <xf numFmtId="0" fontId="45" fillId="0" borderId="27" xfId="4" applyFont="1" applyBorder="1" applyAlignment="1">
      <alignment horizontal="left" vertical="center"/>
    </xf>
    <xf numFmtId="0" fontId="45" fillId="0" borderId="27" xfId="4" applyFont="1" applyBorder="1" applyAlignment="1">
      <alignment vertical="center"/>
    </xf>
    <xf numFmtId="0" fontId="45" fillId="0" borderId="27" xfId="4" applyFont="1" applyBorder="1" applyAlignment="1">
      <alignment horizontal="center" vertical="center"/>
    </xf>
    <xf numFmtId="0" fontId="45" fillId="0" borderId="28" xfId="4" applyFont="1" applyBorder="1" applyAlignment="1">
      <alignment horizontal="center" vertical="center"/>
    </xf>
    <xf numFmtId="0" fontId="45" fillId="0" borderId="22" xfId="4" applyFont="1" applyBorder="1" applyAlignment="1">
      <alignment horizontal="left" vertical="center"/>
    </xf>
    <xf numFmtId="0" fontId="45" fillId="0" borderId="61" xfId="4" applyFont="1" applyBorder="1" applyAlignment="1">
      <alignment horizontal="left" vertical="center"/>
    </xf>
    <xf numFmtId="0" fontId="45" fillId="0" borderId="39" xfId="4" applyFont="1" applyBorder="1" applyAlignment="1">
      <alignment horizontal="left" vertical="center"/>
    </xf>
    <xf numFmtId="0" fontId="45" fillId="0" borderId="23" xfId="4" applyFont="1" applyBorder="1" applyAlignment="1">
      <alignment horizontal="left" vertical="center"/>
    </xf>
    <xf numFmtId="0" fontId="45" fillId="0" borderId="22" xfId="4" applyFont="1" applyBorder="1" applyAlignment="1">
      <alignment vertical="center"/>
    </xf>
    <xf numFmtId="0" fontId="45" fillId="0" borderId="23" xfId="4" applyFont="1" applyBorder="1" applyAlignment="1">
      <alignment vertical="center"/>
    </xf>
    <xf numFmtId="3" fontId="45" fillId="0" borderId="22" xfId="4" applyNumberFormat="1" applyFont="1" applyBorder="1" applyAlignment="1">
      <alignment horizontal="left" vertical="center"/>
    </xf>
    <xf numFmtId="0" fontId="45" fillId="0" borderId="64" xfId="4" applyFont="1" applyBorder="1" applyAlignment="1">
      <alignment horizontal="center" vertical="center"/>
    </xf>
    <xf numFmtId="0" fontId="43" fillId="0" borderId="27" xfId="4" applyFont="1" applyBorder="1" applyAlignment="1">
      <alignment horizontal="left" vertical="center"/>
    </xf>
    <xf numFmtId="0" fontId="43" fillId="0" borderId="27" xfId="4" applyFont="1" applyBorder="1" applyAlignment="1">
      <alignment horizontal="center" vertical="center"/>
    </xf>
    <xf numFmtId="0" fontId="45" fillId="0" borderId="33" xfId="4" applyFont="1" applyBorder="1" applyAlignment="1">
      <alignment horizontal="center" vertical="center"/>
    </xf>
    <xf numFmtId="3" fontId="49" fillId="0" borderId="0" xfId="4" applyNumberFormat="1" applyFont="1" applyAlignment="1">
      <alignment vertical="center"/>
    </xf>
    <xf numFmtId="3" fontId="49" fillId="0" borderId="74" xfId="4" applyNumberFormat="1" applyFont="1" applyBorder="1" applyAlignment="1">
      <alignment horizontal="center" vertical="center"/>
    </xf>
    <xf numFmtId="3" fontId="49" fillId="0" borderId="0" xfId="4" applyNumberFormat="1" applyFont="1" applyAlignment="1">
      <alignment horizontal="center" vertical="center"/>
    </xf>
    <xf numFmtId="3" fontId="49" fillId="0" borderId="74" xfId="6" applyNumberFormat="1" applyFont="1" applyFill="1" applyBorder="1" applyAlignment="1">
      <alignment horizontal="center" vertical="center"/>
    </xf>
    <xf numFmtId="0" fontId="49" fillId="0" borderId="0" xfId="4" applyFont="1" applyAlignment="1">
      <alignment horizontal="center" vertical="center"/>
    </xf>
    <xf numFmtId="0" fontId="49" fillId="0" borderId="9" xfId="4" applyFont="1" applyBorder="1" applyAlignment="1">
      <alignment horizontal="center" vertical="center"/>
    </xf>
    <xf numFmtId="0" fontId="49" fillId="0" borderId="71" xfId="4" applyFont="1" applyBorder="1" applyAlignment="1">
      <alignment horizontal="left" vertical="center"/>
    </xf>
    <xf numFmtId="0" fontId="49" fillId="0" borderId="71" xfId="4" applyFont="1" applyBorder="1" applyAlignment="1">
      <alignment horizontal="center" vertical="center"/>
    </xf>
    <xf numFmtId="0" fontId="49" fillId="0" borderId="72" xfId="4" applyFont="1" applyBorder="1" applyAlignment="1">
      <alignment horizontal="center" vertical="center"/>
    </xf>
    <xf numFmtId="0" fontId="49" fillId="0" borderId="80" xfId="4" applyFont="1" applyBorder="1" applyAlignment="1">
      <alignment horizontal="left" vertical="center"/>
    </xf>
    <xf numFmtId="0" fontId="42" fillId="0" borderId="0" xfId="2" applyFont="1" applyAlignment="1">
      <alignment vertical="top"/>
    </xf>
    <xf numFmtId="0" fontId="42" fillId="0" borderId="3" xfId="2" applyFont="1" applyBorder="1" applyAlignment="1">
      <alignment vertical="top"/>
    </xf>
    <xf numFmtId="0" fontId="42" fillId="0" borderId="9" xfId="2" applyFont="1" applyBorder="1" applyAlignment="1">
      <alignment vertical="top"/>
    </xf>
    <xf numFmtId="0" fontId="43" fillId="0" borderId="22" xfId="4" applyFont="1" applyBorder="1" applyAlignment="1">
      <alignment horizontal="center" vertical="center"/>
    </xf>
    <xf numFmtId="0" fontId="44" fillId="0" borderId="22" xfId="4" applyFont="1" applyBorder="1" applyAlignment="1">
      <alignment horizontal="center" vertical="center"/>
    </xf>
    <xf numFmtId="0" fontId="45" fillId="0" borderId="22" xfId="4" applyFont="1" applyBorder="1" applyAlignment="1">
      <alignment horizontal="center" vertical="center"/>
    </xf>
    <xf numFmtId="0" fontId="45" fillId="0" borderId="12" xfId="4" applyFont="1" applyBorder="1" applyAlignment="1">
      <alignment horizontal="center" vertical="center"/>
    </xf>
    <xf numFmtId="0" fontId="45" fillId="0" borderId="30" xfId="4" applyFont="1" applyBorder="1" applyAlignment="1">
      <alignment horizontal="center" vertical="center"/>
    </xf>
    <xf numFmtId="0" fontId="45" fillId="0" borderId="22" xfId="4" applyFont="1" applyBorder="1" applyAlignment="1">
      <alignment horizontal="center"/>
    </xf>
    <xf numFmtId="0" fontId="45" fillId="0" borderId="30" xfId="4" applyFont="1" applyBorder="1" applyAlignment="1">
      <alignment horizontal="left" vertical="center"/>
    </xf>
    <xf numFmtId="0" fontId="45" fillId="0" borderId="33" xfId="4" applyFont="1" applyBorder="1" applyAlignment="1">
      <alignment horizontal="left" vertical="center"/>
    </xf>
    <xf numFmtId="0" fontId="45" fillId="0" borderId="12" xfId="4" applyFont="1" applyBorder="1" applyAlignment="1">
      <alignment horizontal="left" vertical="center"/>
    </xf>
    <xf numFmtId="0" fontId="45" fillId="0" borderId="39" xfId="4" applyFont="1" applyBorder="1" applyAlignment="1">
      <alignment horizontal="center" vertical="center"/>
    </xf>
    <xf numFmtId="49" fontId="45" fillId="0" borderId="22" xfId="4" applyNumberFormat="1" applyFont="1" applyBorder="1" applyAlignment="1">
      <alignment horizontal="center" vertical="center"/>
    </xf>
    <xf numFmtId="49" fontId="45" fillId="0" borderId="12" xfId="4" applyNumberFormat="1" applyFont="1" applyBorder="1" applyAlignment="1">
      <alignment horizontal="center" vertical="center"/>
    </xf>
    <xf numFmtId="0" fontId="45" fillId="0" borderId="36" xfId="4" applyFont="1" applyBorder="1" applyAlignment="1">
      <alignment vertical="center"/>
    </xf>
    <xf numFmtId="0" fontId="45" fillId="0" borderId="12" xfId="4" applyFont="1" applyBorder="1" applyAlignment="1">
      <alignment vertical="center"/>
    </xf>
    <xf numFmtId="0" fontId="45" fillId="0" borderId="30" xfId="4" applyFont="1" applyBorder="1" applyAlignment="1">
      <alignment vertical="center"/>
    </xf>
    <xf numFmtId="0" fontId="45" fillId="0" borderId="44" xfId="4" applyFont="1" applyBorder="1" applyAlignment="1">
      <alignment vertical="center"/>
    </xf>
    <xf numFmtId="0" fontId="45" fillId="0" borderId="49" xfId="4" applyFont="1" applyBorder="1" applyAlignment="1">
      <alignment vertical="center"/>
    </xf>
    <xf numFmtId="0" fontId="45" fillId="0" borderId="49" xfId="4" applyFont="1" applyBorder="1" applyAlignment="1">
      <alignment horizontal="left" vertical="center"/>
    </xf>
    <xf numFmtId="0" fontId="43" fillId="0" borderId="27" xfId="4" applyFont="1" applyBorder="1" applyAlignment="1">
      <alignment vertical="center"/>
    </xf>
    <xf numFmtId="0" fontId="45" fillId="0" borderId="33" xfId="4" applyFont="1" applyBorder="1" applyAlignment="1">
      <alignment vertical="center"/>
    </xf>
    <xf numFmtId="0" fontId="43" fillId="0" borderId="27" xfId="5" applyFont="1" applyFill="1" applyBorder="1" applyAlignment="1">
      <alignment horizontal="left" vertical="center"/>
    </xf>
    <xf numFmtId="0" fontId="43" fillId="0" borderId="49" xfId="5" applyFont="1" applyFill="1" applyBorder="1" applyAlignment="1">
      <alignment horizontal="left" vertical="center"/>
    </xf>
    <xf numFmtId="0" fontId="45" fillId="0" borderId="27" xfId="4" applyFont="1" applyBorder="1" applyAlignment="1">
      <alignment horizontal="left"/>
    </xf>
    <xf numFmtId="0" fontId="45" fillId="0" borderId="30" xfId="4" applyFont="1" applyBorder="1" applyAlignment="1">
      <alignment horizontal="left"/>
    </xf>
    <xf numFmtId="0" fontId="45" fillId="0" borderId="39" xfId="4" applyFont="1" applyBorder="1" applyAlignment="1">
      <alignment vertical="center"/>
    </xf>
    <xf numFmtId="0" fontId="43" fillId="0" borderId="22" xfId="4" applyFont="1" applyBorder="1" applyAlignment="1">
      <alignment horizontal="left" vertical="center"/>
    </xf>
    <xf numFmtId="0" fontId="45" fillId="0" borderId="61" xfId="4" applyFont="1" applyBorder="1" applyAlignment="1">
      <alignment vertical="center"/>
    </xf>
    <xf numFmtId="0" fontId="50" fillId="0" borderId="0" xfId="4" applyFont="1" applyAlignment="1">
      <alignment horizontal="center" vertical="center"/>
    </xf>
    <xf numFmtId="0" fontId="42" fillId="0" borderId="0" xfId="2" applyFont="1" applyAlignment="1">
      <alignment horizontal="right" vertical="top"/>
    </xf>
    <xf numFmtId="3" fontId="42" fillId="0" borderId="0" xfId="2" applyNumberFormat="1" applyFont="1" applyAlignment="1">
      <alignment horizontal="right" vertical="top"/>
    </xf>
    <xf numFmtId="0" fontId="42" fillId="0" borderId="3" xfId="2" applyFont="1" applyBorder="1" applyAlignment="1">
      <alignment horizontal="right" vertical="top"/>
    </xf>
    <xf numFmtId="16" fontId="42" fillId="0" borderId="0" xfId="2" applyNumberFormat="1" applyFont="1" applyAlignment="1">
      <alignment horizontal="right" vertical="top"/>
    </xf>
    <xf numFmtId="0" fontId="42" fillId="0" borderId="9" xfId="2" applyFont="1" applyBorder="1" applyAlignment="1">
      <alignment horizontal="right" vertical="top"/>
    </xf>
    <xf numFmtId="0" fontId="44" fillId="0" borderId="22" xfId="4" applyFont="1" applyBorder="1" applyAlignment="1">
      <alignment horizontal="left" vertical="center"/>
    </xf>
    <xf numFmtId="3" fontId="44" fillId="0" borderId="22" xfId="4" applyNumberFormat="1" applyFont="1" applyBorder="1" applyAlignment="1">
      <alignment horizontal="left" vertical="center"/>
    </xf>
    <xf numFmtId="1" fontId="45" fillId="0" borderId="22" xfId="4" applyNumberFormat="1" applyFont="1" applyBorder="1" applyAlignment="1">
      <alignment horizontal="left" vertical="center"/>
    </xf>
    <xf numFmtId="2" fontId="45" fillId="0" borderId="22" xfId="4" applyNumberFormat="1" applyFont="1" applyBorder="1" applyAlignment="1">
      <alignment horizontal="left" vertical="center"/>
    </xf>
    <xf numFmtId="3" fontId="43" fillId="0" borderId="22" xfId="4" applyNumberFormat="1" applyFont="1" applyBorder="1" applyAlignment="1">
      <alignment horizontal="left"/>
    </xf>
    <xf numFmtId="3" fontId="45" fillId="0" borderId="22" xfId="4" applyNumberFormat="1" applyFont="1" applyBorder="1" applyAlignment="1">
      <alignment horizontal="center" vertical="center"/>
    </xf>
    <xf numFmtId="3" fontId="45" fillId="0" borderId="27" xfId="4" applyNumberFormat="1" applyFont="1" applyBorder="1" applyAlignment="1">
      <alignment horizontal="center" vertical="center"/>
    </xf>
    <xf numFmtId="3" fontId="45" fillId="0" borderId="30" xfId="4" applyNumberFormat="1" applyFont="1" applyBorder="1" applyAlignment="1">
      <alignment horizontal="center" vertical="center"/>
    </xf>
    <xf numFmtId="3" fontId="45" fillId="0" borderId="33" xfId="4" applyNumberFormat="1" applyFont="1" applyBorder="1" applyAlignment="1">
      <alignment horizontal="center" vertical="center"/>
    </xf>
    <xf numFmtId="3" fontId="45" fillId="0" borderId="39" xfId="4" applyNumberFormat="1" applyFont="1" applyBorder="1" applyAlignment="1">
      <alignment horizontal="center" vertical="center"/>
    </xf>
    <xf numFmtId="3" fontId="45" fillId="0" borderId="12" xfId="4" applyNumberFormat="1" applyFont="1" applyBorder="1" applyAlignment="1">
      <alignment horizontal="center" vertical="center"/>
    </xf>
    <xf numFmtId="0" fontId="45" fillId="0" borderId="36" xfId="4" applyFont="1" applyBorder="1" applyAlignment="1">
      <alignment horizontal="center" vertical="center"/>
    </xf>
    <xf numFmtId="0" fontId="45" fillId="0" borderId="44" xfId="4" applyFont="1" applyBorder="1" applyAlignment="1">
      <alignment horizontal="center" vertical="center"/>
    </xf>
    <xf numFmtId="0" fontId="45" fillId="0" borderId="49" xfId="4" applyFont="1" applyBorder="1" applyAlignment="1">
      <alignment horizontal="center" vertical="center"/>
    </xf>
    <xf numFmtId="3" fontId="45" fillId="0" borderId="27" xfId="4" applyNumberFormat="1" applyFont="1" applyBorder="1" applyAlignment="1">
      <alignment horizontal="left" vertical="center"/>
    </xf>
    <xf numFmtId="0" fontId="45" fillId="0" borderId="44" xfId="4" applyFont="1" applyBorder="1" applyAlignment="1">
      <alignment horizontal="left" vertical="center"/>
    </xf>
    <xf numFmtId="3" fontId="45" fillId="0" borderId="49" xfId="4" applyNumberFormat="1" applyFont="1" applyBorder="1" applyAlignment="1">
      <alignment horizontal="left" vertical="center"/>
    </xf>
    <xf numFmtId="3" fontId="45" fillId="0" borderId="33" xfId="4" applyNumberFormat="1" applyFont="1" applyBorder="1" applyAlignment="1">
      <alignment horizontal="left" vertical="center"/>
    </xf>
    <xf numFmtId="3" fontId="45" fillId="0" borderId="27" xfId="4" applyNumberFormat="1" applyFont="1" applyBorder="1" applyAlignment="1">
      <alignment horizontal="left"/>
    </xf>
    <xf numFmtId="3" fontId="45" fillId="0" borderId="61" xfId="4" applyNumberFormat="1" applyFont="1" applyBorder="1" applyAlignment="1">
      <alignment horizontal="left" vertical="center"/>
    </xf>
    <xf numFmtId="3" fontId="45" fillId="0" borderId="30" xfId="4" applyNumberFormat="1" applyFont="1" applyBorder="1" applyAlignment="1">
      <alignment horizontal="left"/>
    </xf>
    <xf numFmtId="3" fontId="50" fillId="0" borderId="0" xfId="4" applyNumberFormat="1" applyFont="1" applyAlignment="1">
      <alignment horizontal="center" vertical="center"/>
    </xf>
    <xf numFmtId="3" fontId="49" fillId="0" borderId="68" xfId="4" applyNumberFormat="1" applyFont="1" applyBorder="1" applyAlignment="1">
      <alignment horizontal="center" vertical="center"/>
    </xf>
    <xf numFmtId="3" fontId="49" fillId="0" borderId="71" xfId="4" applyNumberFormat="1" applyFont="1" applyBorder="1" applyAlignment="1">
      <alignment horizontal="center" vertical="center"/>
    </xf>
    <xf numFmtId="0" fontId="51" fillId="0" borderId="71" xfId="4" applyFont="1" applyBorder="1" applyAlignment="1">
      <alignment horizontal="center" vertical="center"/>
    </xf>
    <xf numFmtId="0" fontId="50" fillId="0" borderId="71" xfId="4" applyFont="1" applyBorder="1" applyAlignment="1">
      <alignment horizontal="center" vertical="center"/>
    </xf>
    <xf numFmtId="0" fontId="50" fillId="0" borderId="77" xfId="4" applyFont="1" applyBorder="1" applyAlignment="1">
      <alignment horizontal="center" vertical="center"/>
    </xf>
    <xf numFmtId="0" fontId="49" fillId="0" borderId="77" xfId="4" applyFont="1" applyBorder="1" applyAlignment="1">
      <alignment horizontal="center" vertical="center"/>
    </xf>
    <xf numFmtId="0" fontId="49" fillId="0" borderId="80" xfId="4" applyFont="1" applyBorder="1" applyAlignment="1">
      <alignment horizontal="center" vertical="center"/>
    </xf>
    <xf numFmtId="0" fontId="49" fillId="5" borderId="71" xfId="4" applyFont="1" applyFill="1" applyBorder="1" applyAlignment="1">
      <alignment horizontal="center" vertical="center"/>
    </xf>
    <xf numFmtId="0" fontId="41" fillId="5" borderId="71" xfId="4" applyFont="1" applyFill="1" applyBorder="1" applyAlignment="1">
      <alignment horizontal="center" vertical="center"/>
    </xf>
    <xf numFmtId="0" fontId="46" fillId="0" borderId="71" xfId="4" applyFont="1" applyBorder="1" applyAlignment="1">
      <alignment horizontal="left" vertical="center"/>
    </xf>
    <xf numFmtId="0" fontId="46" fillId="0" borderId="80" xfId="4" applyFont="1" applyBorder="1" applyAlignment="1">
      <alignment horizontal="left" vertical="center"/>
    </xf>
    <xf numFmtId="0" fontId="45" fillId="0" borderId="68" xfId="4" applyFont="1" applyBorder="1" applyAlignment="1">
      <alignment horizontal="left" vertical="center"/>
    </xf>
    <xf numFmtId="0" fontId="45" fillId="0" borderId="71" xfId="4" applyFont="1" applyBorder="1" applyAlignment="1">
      <alignment horizontal="left" vertical="center"/>
    </xf>
    <xf numFmtId="0" fontId="43" fillId="0" borderId="71" xfId="4" applyFont="1" applyBorder="1" applyAlignment="1">
      <alignment horizontal="left" vertical="center"/>
    </xf>
    <xf numFmtId="3" fontId="42" fillId="0" borderId="3" xfId="2" applyNumberFormat="1" applyFont="1" applyBorder="1" applyAlignment="1">
      <alignment horizontal="right" vertical="top"/>
    </xf>
    <xf numFmtId="3" fontId="44" fillId="0" borderId="23" xfId="4" applyNumberFormat="1" applyFont="1" applyBorder="1" applyAlignment="1">
      <alignment horizontal="left" vertical="center"/>
    </xf>
    <xf numFmtId="0" fontId="44" fillId="0" borderId="23" xfId="4" applyFont="1" applyBorder="1" applyAlignment="1">
      <alignment horizontal="left" vertical="center"/>
    </xf>
    <xf numFmtId="3" fontId="45" fillId="0" borderId="23" xfId="4" applyNumberFormat="1" applyFont="1" applyBorder="1" applyAlignment="1">
      <alignment horizontal="left" vertical="center"/>
    </xf>
    <xf numFmtId="3" fontId="43" fillId="0" borderId="23" xfId="4" applyNumberFormat="1" applyFont="1" applyBorder="1" applyAlignment="1">
      <alignment horizontal="left"/>
    </xf>
    <xf numFmtId="3" fontId="45" fillId="0" borderId="23" xfId="4" applyNumberFormat="1" applyFont="1" applyBorder="1" applyAlignment="1">
      <alignment horizontal="center" vertical="center"/>
    </xf>
    <xf numFmtId="0" fontId="45" fillId="0" borderId="23" xfId="4" applyFont="1" applyBorder="1" applyAlignment="1">
      <alignment horizontal="center" vertical="center"/>
    </xf>
    <xf numFmtId="3" fontId="45" fillId="0" borderId="25" xfId="4" applyNumberFormat="1" applyFont="1" applyBorder="1" applyAlignment="1">
      <alignment horizontal="center" vertical="center"/>
    </xf>
    <xf numFmtId="3" fontId="45" fillId="0" borderId="28" xfId="4" applyNumberFormat="1" applyFont="1" applyBorder="1" applyAlignment="1">
      <alignment horizontal="center" vertical="center"/>
    </xf>
    <xf numFmtId="3" fontId="45" fillId="0" borderId="31" xfId="4" applyNumberFormat="1" applyFont="1" applyBorder="1" applyAlignment="1">
      <alignment horizontal="center" vertical="center"/>
    </xf>
    <xf numFmtId="3" fontId="45" fillId="0" borderId="34" xfId="4" applyNumberFormat="1" applyFont="1" applyBorder="1" applyAlignment="1">
      <alignment horizontal="center" vertical="center"/>
    </xf>
    <xf numFmtId="3" fontId="45" fillId="0" borderId="23" xfId="4" applyNumberFormat="1" applyFont="1" applyBorder="1" applyAlignment="1">
      <alignment horizontal="center"/>
    </xf>
    <xf numFmtId="3" fontId="45" fillId="0" borderId="40" xfId="4" applyNumberFormat="1" applyFont="1" applyBorder="1" applyAlignment="1">
      <alignment horizontal="center" vertical="center"/>
    </xf>
    <xf numFmtId="3" fontId="45" fillId="0" borderId="37" xfId="4" applyNumberFormat="1" applyFont="1" applyBorder="1" applyAlignment="1">
      <alignment horizontal="center" vertical="center"/>
    </xf>
    <xf numFmtId="3" fontId="45" fillId="0" borderId="45" xfId="4" applyNumberFormat="1" applyFont="1" applyBorder="1" applyAlignment="1">
      <alignment horizontal="center" vertical="center"/>
    </xf>
    <xf numFmtId="3" fontId="45" fillId="0" borderId="47" xfId="4" applyNumberFormat="1" applyFont="1" applyBorder="1" applyAlignment="1">
      <alignment horizontal="center" vertical="center"/>
    </xf>
    <xf numFmtId="3" fontId="45" fillId="0" borderId="50" xfId="4" applyNumberFormat="1" applyFont="1" applyBorder="1" applyAlignment="1">
      <alignment horizontal="center" vertical="center"/>
    </xf>
    <xf numFmtId="3" fontId="45" fillId="0" borderId="28" xfId="4" applyNumberFormat="1" applyFont="1" applyBorder="1" applyAlignment="1">
      <alignment horizontal="left" vertical="center"/>
    </xf>
    <xf numFmtId="3" fontId="45" fillId="0" borderId="31" xfId="4" applyNumberFormat="1" applyFont="1" applyBorder="1" applyAlignment="1">
      <alignment horizontal="left" vertical="center"/>
    </xf>
    <xf numFmtId="3" fontId="45" fillId="0" borderId="25" xfId="4" applyNumberFormat="1" applyFont="1" applyBorder="1" applyAlignment="1">
      <alignment horizontal="left" vertical="center"/>
    </xf>
    <xf numFmtId="3" fontId="45" fillId="0" borderId="52" xfId="4" applyNumberFormat="1" applyFont="1" applyBorder="1" applyAlignment="1">
      <alignment horizontal="left" vertical="center"/>
    </xf>
    <xf numFmtId="3" fontId="45" fillId="0" borderId="54" xfId="4" applyNumberFormat="1" applyFont="1" applyBorder="1" applyAlignment="1">
      <alignment horizontal="left" vertical="center"/>
    </xf>
    <xf numFmtId="3" fontId="43" fillId="0" borderId="28" xfId="4" applyNumberFormat="1" applyFont="1" applyBorder="1" applyAlignment="1">
      <alignment horizontal="left" vertical="center"/>
    </xf>
    <xf numFmtId="3" fontId="45" fillId="0" borderId="59" xfId="4" applyNumberFormat="1" applyFont="1" applyBorder="1" applyAlignment="1">
      <alignment horizontal="left" vertical="center"/>
    </xf>
    <xf numFmtId="3" fontId="43" fillId="0" borderId="47" xfId="5" applyNumberFormat="1" applyFont="1" applyFill="1" applyBorder="1" applyAlignment="1">
      <alignment horizontal="left" vertical="center"/>
    </xf>
    <xf numFmtId="3" fontId="43" fillId="0" borderId="50" xfId="5" applyNumberFormat="1" applyFont="1" applyFill="1" applyBorder="1" applyAlignment="1">
      <alignment horizontal="left" vertical="center"/>
    </xf>
    <xf numFmtId="3" fontId="45" fillId="0" borderId="28" xfId="4" applyNumberFormat="1" applyFont="1" applyBorder="1" applyAlignment="1">
      <alignment horizontal="left"/>
    </xf>
    <xf numFmtId="3" fontId="45" fillId="0" borderId="62" xfId="4" applyNumberFormat="1" applyFont="1" applyBorder="1" applyAlignment="1">
      <alignment horizontal="left" vertical="center"/>
    </xf>
    <xf numFmtId="3" fontId="45" fillId="0" borderId="31" xfId="4" applyNumberFormat="1" applyFont="1" applyBorder="1" applyAlignment="1">
      <alignment horizontal="left"/>
    </xf>
    <xf numFmtId="3" fontId="45" fillId="0" borderId="23" xfId="6" applyNumberFormat="1" applyFont="1" applyBorder="1" applyAlignment="1">
      <alignment horizontal="left" vertical="center"/>
    </xf>
    <xf numFmtId="3" fontId="45" fillId="0" borderId="40" xfId="4" applyNumberFormat="1" applyFont="1" applyBorder="1" applyAlignment="1">
      <alignment horizontal="left" vertical="center"/>
    </xf>
    <xf numFmtId="0" fontId="45" fillId="0" borderId="28" xfId="4" applyFont="1" applyBorder="1" applyAlignment="1">
      <alignment horizontal="left" vertical="center"/>
    </xf>
    <xf numFmtId="3" fontId="43" fillId="0" borderId="40" xfId="4" applyNumberFormat="1" applyFont="1" applyBorder="1" applyAlignment="1">
      <alignment horizontal="left" vertical="center"/>
    </xf>
    <xf numFmtId="3" fontId="43" fillId="0" borderId="62" xfId="4" applyNumberFormat="1" applyFont="1" applyBorder="1" applyAlignment="1">
      <alignment horizontal="left" vertical="center"/>
    </xf>
    <xf numFmtId="3" fontId="45" fillId="0" borderId="65" xfId="4" applyNumberFormat="1" applyFont="1" applyBorder="1" applyAlignment="1">
      <alignment horizontal="center" vertical="center"/>
    </xf>
    <xf numFmtId="3" fontId="43" fillId="0" borderId="28" xfId="4" applyNumberFormat="1" applyFont="1" applyBorder="1" applyAlignment="1">
      <alignment horizontal="center" vertical="center"/>
    </xf>
    <xf numFmtId="3" fontId="49" fillId="0" borderId="74" xfId="6" applyNumberFormat="1" applyFont="1" applyBorder="1" applyAlignment="1">
      <alignment horizontal="center" vertical="center"/>
    </xf>
    <xf numFmtId="3" fontId="50" fillId="0" borderId="74" xfId="4" applyNumberFormat="1" applyFont="1" applyBorder="1" applyAlignment="1">
      <alignment horizontal="center" vertical="center"/>
    </xf>
    <xf numFmtId="3" fontId="49" fillId="0" borderId="7" xfId="4" applyNumberFormat="1" applyFont="1" applyBorder="1" applyAlignment="1">
      <alignment horizontal="center" vertical="center"/>
    </xf>
    <xf numFmtId="3" fontId="49" fillId="0" borderId="69" xfId="6" applyNumberFormat="1" applyFont="1" applyFill="1" applyBorder="1" applyAlignment="1">
      <alignment horizontal="center" vertical="center"/>
    </xf>
    <xf numFmtId="3" fontId="49" fillId="0" borderId="72" xfId="6" applyNumberFormat="1" applyFont="1" applyFill="1" applyBorder="1" applyAlignment="1">
      <alignment horizontal="center" vertical="center"/>
    </xf>
    <xf numFmtId="0" fontId="51" fillId="0" borderId="72" xfId="4" applyFont="1" applyBorder="1" applyAlignment="1">
      <alignment horizontal="center" vertical="center"/>
    </xf>
    <xf numFmtId="0" fontId="50" fillId="0" borderId="72" xfId="4" applyFont="1" applyBorder="1" applyAlignment="1">
      <alignment horizontal="center" vertical="center"/>
    </xf>
    <xf numFmtId="0" fontId="50" fillId="0" borderId="78" xfId="4" applyFont="1" applyBorder="1" applyAlignment="1">
      <alignment horizontal="center" vertical="center"/>
    </xf>
    <xf numFmtId="0" fontId="49" fillId="0" borderId="78" xfId="4" applyFont="1" applyBorder="1" applyAlignment="1">
      <alignment horizontal="center" vertical="center"/>
    </xf>
    <xf numFmtId="0" fontId="49" fillId="0" borderId="81" xfId="4" applyFont="1" applyBorder="1" applyAlignment="1">
      <alignment horizontal="center" vertical="center"/>
    </xf>
    <xf numFmtId="1" fontId="42" fillId="0" borderId="0" xfId="2" applyNumberFormat="1" applyFont="1" applyAlignment="1">
      <alignment horizontal="right" vertical="top"/>
    </xf>
    <xf numFmtId="49" fontId="0" fillId="0" borderId="0" xfId="0" applyNumberFormat="1"/>
    <xf numFmtId="168" fontId="0" fillId="0" borderId="0" xfId="0" applyNumberFormat="1"/>
    <xf numFmtId="49" fontId="42" fillId="0" borderId="0" xfId="2" applyNumberFormat="1" applyFont="1" applyAlignment="1">
      <alignment vertical="top"/>
    </xf>
    <xf numFmtId="0" fontId="37" fillId="0" borderId="71" xfId="7" applyFont="1" applyBorder="1" applyAlignment="1">
      <alignment horizontal="center" vertical="center"/>
    </xf>
    <xf numFmtId="0" fontId="5" fillId="0" borderId="71" xfId="7" applyFont="1" applyBorder="1" applyAlignment="1">
      <alignment horizontal="center"/>
    </xf>
    <xf numFmtId="164" fontId="6" fillId="0" borderId="71" xfId="7" applyNumberFormat="1" applyFont="1" applyBorder="1" applyAlignment="1">
      <alignment horizontal="center" wrapText="1"/>
    </xf>
    <xf numFmtId="0" fontId="6" fillId="0" borderId="71" xfId="7" applyFont="1" applyBorder="1" applyAlignment="1">
      <alignment horizontal="center" wrapText="1"/>
    </xf>
    <xf numFmtId="0" fontId="22" fillId="0" borderId="71" xfId="7" applyFont="1" applyBorder="1" applyAlignment="1">
      <alignment horizontal="center"/>
    </xf>
    <xf numFmtId="0" fontId="38" fillId="0" borderId="71" xfId="7" applyFont="1" applyBorder="1" applyAlignment="1">
      <alignment horizontal="center" vertical="center" wrapText="1"/>
    </xf>
    <xf numFmtId="0" fontId="39" fillId="0" borderId="71" xfId="7" applyFont="1" applyBorder="1" applyAlignment="1">
      <alignment horizontal="center" vertical="center" wrapText="1"/>
    </xf>
    <xf numFmtId="164" fontId="39" fillId="0" borderId="71" xfId="7" applyNumberFormat="1" applyFont="1" applyBorder="1" applyAlignment="1">
      <alignment horizontal="center" vertical="center" wrapText="1"/>
    </xf>
    <xf numFmtId="14" fontId="40" fillId="0" borderId="71" xfId="7" applyNumberFormat="1" applyFont="1" applyBorder="1" applyAlignment="1">
      <alignment horizontal="center" vertical="center"/>
    </xf>
    <xf numFmtId="0" fontId="22" fillId="0" borderId="71" xfId="7" applyFont="1" applyBorder="1" applyAlignment="1">
      <alignment horizontal="center" vertical="center" wrapText="1"/>
    </xf>
    <xf numFmtId="164" fontId="22" fillId="0" borderId="71" xfId="7" applyNumberFormat="1" applyFont="1" applyBorder="1" applyAlignment="1">
      <alignment horizontal="center" vertical="center" wrapText="1"/>
    </xf>
    <xf numFmtId="14" fontId="22" fillId="0" borderId="71" xfId="7" applyNumberFormat="1" applyFont="1" applyBorder="1" applyAlignment="1">
      <alignment horizontal="center" vertical="center" wrapText="1"/>
    </xf>
    <xf numFmtId="0" fontId="37" fillId="5" borderId="71" xfId="7" applyFont="1" applyFill="1" applyBorder="1" applyAlignment="1">
      <alignment horizontal="center" vertical="center"/>
    </xf>
    <xf numFmtId="14" fontId="21" fillId="0" borderId="71" xfId="7" applyNumberFormat="1" applyFont="1" applyBorder="1" applyAlignment="1">
      <alignment horizontal="center" vertical="center" wrapText="1"/>
    </xf>
    <xf numFmtId="164" fontId="21" fillId="0" borderId="71" xfId="7" applyNumberFormat="1" applyFont="1" applyBorder="1" applyAlignment="1">
      <alignment horizontal="center" vertical="center" wrapText="1"/>
    </xf>
    <xf numFmtId="0" fontId="21" fillId="0" borderId="71" xfId="7" applyFont="1" applyBorder="1" applyAlignment="1">
      <alignment horizontal="center" vertical="center" wrapText="1"/>
    </xf>
    <xf numFmtId="14" fontId="37" fillId="0" borderId="71" xfId="7" applyNumberFormat="1" applyFont="1" applyBorder="1" applyAlignment="1">
      <alignment horizontal="center" vertical="center"/>
    </xf>
    <xf numFmtId="14" fontId="21" fillId="5" borderId="71" xfId="7" applyNumberFormat="1" applyFont="1" applyFill="1" applyBorder="1" applyAlignment="1">
      <alignment horizontal="center" vertical="center" wrapText="1"/>
    </xf>
    <xf numFmtId="14" fontId="6" fillId="0" borderId="71" xfId="7" applyNumberFormat="1" applyFont="1" applyBorder="1" applyAlignment="1">
      <alignment horizontal="center" vertical="center" wrapText="1"/>
    </xf>
    <xf numFmtId="0" fontId="6" fillId="0" borderId="71" xfId="7" applyFont="1" applyBorder="1" applyAlignment="1">
      <alignment horizontal="center" vertical="center" wrapText="1"/>
    </xf>
    <xf numFmtId="18" fontId="21" fillId="5" borderId="71" xfId="7" applyNumberFormat="1" applyFont="1" applyFill="1" applyBorder="1" applyAlignment="1">
      <alignment horizontal="center" vertical="center" wrapText="1"/>
    </xf>
    <xf numFmtId="19" fontId="21" fillId="5" borderId="71" xfId="7" applyNumberFormat="1" applyFont="1" applyFill="1" applyBorder="1" applyAlignment="1">
      <alignment horizontal="center" vertical="center" wrapText="1"/>
    </xf>
    <xf numFmtId="0" fontId="37" fillId="5" borderId="71" xfId="7" applyFont="1" applyFill="1" applyBorder="1" applyAlignment="1">
      <alignment horizontal="center"/>
    </xf>
    <xf numFmtId="14" fontId="21" fillId="0" borderId="71" xfId="7" applyNumberFormat="1" applyFont="1" applyBorder="1" applyAlignment="1">
      <alignment horizontal="center" wrapText="1"/>
    </xf>
    <xf numFmtId="164" fontId="21" fillId="0" borderId="71" xfId="7" applyNumberFormat="1" applyFont="1" applyBorder="1" applyAlignment="1">
      <alignment horizontal="center" wrapText="1"/>
    </xf>
    <xf numFmtId="0" fontId="21" fillId="0" borderId="71" xfId="7" applyFont="1" applyBorder="1" applyAlignment="1">
      <alignment horizontal="center" wrapText="1"/>
    </xf>
    <xf numFmtId="14" fontId="37" fillId="0" borderId="71" xfId="7" applyNumberFormat="1" applyFont="1" applyBorder="1" applyAlignment="1">
      <alignment horizontal="center"/>
    </xf>
    <xf numFmtId="14" fontId="21" fillId="5" borderId="71" xfId="7" applyNumberFormat="1" applyFont="1" applyFill="1" applyBorder="1" applyAlignment="1">
      <alignment horizontal="center" wrapText="1"/>
    </xf>
    <xf numFmtId="18" fontId="21" fillId="5" borderId="71" xfId="7" applyNumberFormat="1" applyFont="1" applyFill="1" applyBorder="1" applyAlignment="1">
      <alignment horizontal="center" wrapText="1"/>
    </xf>
    <xf numFmtId="14" fontId="6" fillId="0" borderId="71" xfId="7" applyNumberFormat="1" applyFont="1" applyBorder="1" applyAlignment="1">
      <alignment horizontal="center" wrapText="1"/>
    </xf>
    <xf numFmtId="19" fontId="21" fillId="5" borderId="71" xfId="7" applyNumberFormat="1" applyFont="1" applyFill="1" applyBorder="1" applyAlignment="1">
      <alignment horizontal="center" wrapText="1"/>
    </xf>
    <xf numFmtId="20" fontId="21" fillId="5" borderId="71" xfId="7" applyNumberFormat="1" applyFont="1" applyFill="1" applyBorder="1" applyAlignment="1">
      <alignment horizontal="center" wrapText="1"/>
    </xf>
    <xf numFmtId="0" fontId="21" fillId="0" borderId="71" xfId="7" applyFont="1" applyBorder="1" applyAlignment="1">
      <alignment horizontal="center"/>
    </xf>
    <xf numFmtId="164" fontId="21" fillId="0" borderId="71" xfId="7" applyNumberFormat="1" applyFont="1" applyBorder="1" applyAlignment="1">
      <alignment horizontal="center"/>
    </xf>
    <xf numFmtId="0" fontId="37" fillId="5" borderId="71" xfId="7" applyFont="1" applyFill="1" applyBorder="1" applyAlignment="1">
      <alignment horizontal="center" wrapText="1"/>
    </xf>
    <xf numFmtId="169" fontId="21" fillId="0" borderId="71" xfId="7" applyNumberFormat="1" applyFont="1" applyBorder="1" applyAlignment="1">
      <alignment horizontal="center" wrapText="1"/>
    </xf>
    <xf numFmtId="14" fontId="37" fillId="0" borderId="71" xfId="7" applyNumberFormat="1" applyFont="1" applyBorder="1" applyAlignment="1">
      <alignment horizontal="center" wrapText="1"/>
    </xf>
    <xf numFmtId="164" fontId="21" fillId="5" borderId="71" xfId="7" applyNumberFormat="1" applyFont="1" applyFill="1" applyBorder="1" applyAlignment="1">
      <alignment horizontal="center" wrapText="1"/>
    </xf>
    <xf numFmtId="0" fontId="21" fillId="0" borderId="71" xfId="7" applyFont="1" applyBorder="1" applyAlignment="1">
      <alignment horizontal="center" vertical="center"/>
    </xf>
    <xf numFmtId="14" fontId="52" fillId="0" borderId="71" xfId="7" applyNumberFormat="1" applyFont="1" applyBorder="1" applyAlignment="1">
      <alignment horizontal="center" vertical="center" wrapText="1"/>
    </xf>
    <xf numFmtId="20" fontId="21" fillId="0" borderId="71" xfId="7" applyNumberFormat="1" applyFont="1" applyBorder="1" applyAlignment="1">
      <alignment horizontal="center" wrapText="1"/>
    </xf>
    <xf numFmtId="169" fontId="21" fillId="0" borderId="71" xfId="7" applyNumberFormat="1" applyFont="1" applyBorder="1" applyAlignment="1">
      <alignment horizontal="center" vertical="center" wrapText="1"/>
    </xf>
    <xf numFmtId="166" fontId="21" fillId="0" borderId="71" xfId="7" applyNumberFormat="1" applyFont="1" applyBorder="1" applyAlignment="1">
      <alignment horizontal="center" wrapText="1"/>
    </xf>
    <xf numFmtId="18" fontId="21" fillId="0" borderId="71" xfId="7" applyNumberFormat="1" applyFont="1" applyBorder="1" applyAlignment="1">
      <alignment horizontal="center" wrapText="1"/>
    </xf>
    <xf numFmtId="14" fontId="22" fillId="0" borderId="71" xfId="7" applyNumberFormat="1" applyFont="1" applyBorder="1" applyAlignment="1">
      <alignment horizontal="center" wrapText="1"/>
    </xf>
    <xf numFmtId="164" fontId="22" fillId="0" borderId="71" xfId="7" applyNumberFormat="1" applyFont="1" applyBorder="1" applyAlignment="1">
      <alignment horizontal="center" wrapText="1"/>
    </xf>
    <xf numFmtId="0" fontId="22" fillId="0" borderId="71" xfId="7" applyFont="1" applyBorder="1" applyAlignment="1">
      <alignment horizontal="center" wrapText="1"/>
    </xf>
    <xf numFmtId="0" fontId="22" fillId="0" borderId="71" xfId="7" applyFont="1" applyBorder="1" applyAlignment="1">
      <alignment horizontal="center" vertical="center"/>
    </xf>
    <xf numFmtId="0" fontId="42" fillId="0" borderId="0" xfId="0" applyFont="1"/>
    <xf numFmtId="14" fontId="42" fillId="0" borderId="0" xfId="2" applyNumberFormat="1" applyFont="1" applyAlignment="1">
      <alignment horizontal="left" vertical="top"/>
    </xf>
    <xf numFmtId="167" fontId="42" fillId="0" borderId="0" xfId="2" applyNumberFormat="1" applyFont="1" applyAlignment="1">
      <alignment vertical="top"/>
    </xf>
    <xf numFmtId="14" fontId="42" fillId="0" borderId="0" xfId="0" applyNumberFormat="1" applyFont="1"/>
    <xf numFmtId="0" fontId="8" fillId="0" borderId="0" xfId="0" applyFont="1"/>
    <xf numFmtId="0" fontId="45" fillId="5" borderId="22" xfId="4" applyFont="1" applyFill="1" applyBorder="1" applyAlignment="1">
      <alignment horizontal="left" vertical="center"/>
    </xf>
    <xf numFmtId="0" fontId="45" fillId="0" borderId="22" xfId="4" applyFont="1" applyBorder="1" applyAlignment="1">
      <alignment horizontal="left"/>
    </xf>
    <xf numFmtId="0" fontId="41" fillId="0" borderId="0" xfId="0" applyFont="1"/>
    <xf numFmtId="14" fontId="48" fillId="0" borderId="0" xfId="2" applyNumberFormat="1" applyFont="1" applyAlignment="1">
      <alignment horizontal="left" vertical="top"/>
    </xf>
    <xf numFmtId="167" fontId="48" fillId="0" borderId="0" xfId="2" applyNumberFormat="1" applyFont="1" applyAlignment="1">
      <alignment vertical="top"/>
    </xf>
    <xf numFmtId="0" fontId="48" fillId="0" borderId="0" xfId="2" applyFont="1" applyAlignment="1">
      <alignment horizontal="right" vertical="top"/>
    </xf>
    <xf numFmtId="0" fontId="45" fillId="0" borderId="22" xfId="4" applyFont="1" applyBorder="1"/>
    <xf numFmtId="49" fontId="45" fillId="0" borderId="22" xfId="4" applyNumberFormat="1" applyFont="1" applyBorder="1" applyAlignment="1">
      <alignment vertical="center"/>
    </xf>
    <xf numFmtId="49" fontId="45" fillId="0" borderId="12" xfId="4" applyNumberFormat="1" applyFont="1" applyBorder="1" applyAlignment="1">
      <alignment vertical="center"/>
    </xf>
    <xf numFmtId="0" fontId="45" fillId="0" borderId="66" xfId="4" applyFont="1" applyBorder="1" applyAlignment="1">
      <alignment horizontal="left" vertical="center"/>
    </xf>
    <xf numFmtId="0" fontId="45" fillId="0" borderId="64" xfId="4" applyFont="1" applyBorder="1" applyAlignment="1">
      <alignment horizontal="left" vertical="center"/>
    </xf>
    <xf numFmtId="0" fontId="49" fillId="0" borderId="0" xfId="4" applyFont="1" applyAlignment="1">
      <alignment vertical="center"/>
    </xf>
    <xf numFmtId="0" fontId="49" fillId="0" borderId="0" xfId="4" applyFont="1" applyAlignment="1">
      <alignment horizontal="left" vertical="center"/>
    </xf>
    <xf numFmtId="0" fontId="50" fillId="0" borderId="0" xfId="4" applyFont="1" applyAlignment="1">
      <alignment horizontal="left" vertical="center"/>
    </xf>
    <xf numFmtId="0" fontId="49" fillId="0" borderId="9" xfId="4" applyFont="1" applyBorder="1" applyAlignment="1">
      <alignment horizontal="left" vertical="center"/>
    </xf>
    <xf numFmtId="0" fontId="49" fillId="0" borderId="68" xfId="4" applyFont="1" applyBorder="1" applyAlignment="1">
      <alignment vertical="center"/>
    </xf>
    <xf numFmtId="0" fontId="49" fillId="0" borderId="68" xfId="4" applyFont="1" applyBorder="1" applyAlignment="1">
      <alignment horizontal="center" vertical="center"/>
    </xf>
    <xf numFmtId="0" fontId="49" fillId="0" borderId="71" xfId="4" applyFont="1" applyBorder="1" applyAlignment="1">
      <alignment vertical="center"/>
    </xf>
    <xf numFmtId="0" fontId="41" fillId="0" borderId="71" xfId="4" applyFont="1" applyBorder="1" applyAlignment="1">
      <alignment horizontal="center" vertical="center"/>
    </xf>
    <xf numFmtId="0" fontId="49" fillId="0" borderId="71" xfId="4" applyFont="1" applyBorder="1"/>
    <xf numFmtId="0" fontId="41" fillId="0" borderId="71" xfId="4" applyFont="1" applyBorder="1" applyAlignment="1">
      <alignment horizontal="left" vertical="center"/>
    </xf>
    <xf numFmtId="0" fontId="50" fillId="0" borderId="71" xfId="4" applyFont="1" applyBorder="1" applyAlignment="1">
      <alignment horizontal="left" vertical="center"/>
    </xf>
    <xf numFmtId="0" fontId="50" fillId="0" borderId="77" xfId="4" applyFont="1" applyBorder="1" applyAlignment="1">
      <alignment horizontal="left" vertical="center"/>
    </xf>
    <xf numFmtId="0" fontId="49" fillId="0" borderId="77" xfId="4" applyFont="1" applyBorder="1" applyAlignment="1">
      <alignment horizontal="left" vertical="center"/>
    </xf>
    <xf numFmtId="164" fontId="49" fillId="0" borderId="71" xfId="4" applyNumberFormat="1" applyFont="1" applyBorder="1" applyAlignment="1">
      <alignment horizontal="center" vertical="center"/>
    </xf>
    <xf numFmtId="164" fontId="49" fillId="5" borderId="71" xfId="4" applyNumberFormat="1" applyFont="1" applyFill="1" applyBorder="1" applyAlignment="1">
      <alignment horizontal="center" vertical="center"/>
    </xf>
    <xf numFmtId="164" fontId="41" fillId="5" borderId="71" xfId="4" applyNumberFormat="1" applyFont="1" applyFill="1" applyBorder="1" applyAlignment="1">
      <alignment horizontal="center" vertical="center"/>
    </xf>
    <xf numFmtId="164" fontId="46" fillId="0" borderId="71" xfId="4" applyNumberFormat="1" applyFont="1" applyBorder="1" applyAlignment="1">
      <alignment horizontal="left" vertical="center"/>
    </xf>
    <xf numFmtId="0" fontId="46" fillId="0" borderId="82" xfId="4" applyFont="1" applyBorder="1" applyAlignment="1">
      <alignment horizontal="left" vertical="center"/>
    </xf>
    <xf numFmtId="0" fontId="46" fillId="0" borderId="72" xfId="4" applyFont="1" applyBorder="1" applyAlignment="1">
      <alignment horizontal="left" vertical="center"/>
    </xf>
    <xf numFmtId="164" fontId="46" fillId="0" borderId="80" xfId="4" applyNumberFormat="1" applyFont="1" applyBorder="1" applyAlignment="1">
      <alignment horizontal="left" vertical="center"/>
    </xf>
    <xf numFmtId="0" fontId="46" fillId="0" borderId="83" xfId="4" applyFont="1" applyBorder="1" applyAlignment="1">
      <alignment horizontal="left" vertical="center"/>
    </xf>
    <xf numFmtId="0" fontId="46" fillId="0" borderId="81" xfId="4" applyFont="1" applyBorder="1" applyAlignment="1">
      <alignment horizontal="left" vertical="center"/>
    </xf>
    <xf numFmtId="14" fontId="45" fillId="0" borderId="71" xfId="4" applyNumberFormat="1" applyFont="1" applyBorder="1" applyAlignment="1">
      <alignment horizontal="left" vertical="center"/>
    </xf>
    <xf numFmtId="164" fontId="45" fillId="0" borderId="68" xfId="4" applyNumberFormat="1" applyFont="1" applyBorder="1" applyAlignment="1">
      <alignment horizontal="left" vertical="center"/>
    </xf>
    <xf numFmtId="0" fontId="45" fillId="0" borderId="69" xfId="4" applyFont="1" applyBorder="1" applyAlignment="1">
      <alignment horizontal="left" vertical="center"/>
    </xf>
    <xf numFmtId="164" fontId="45" fillId="0" borderId="71" xfId="4" applyNumberFormat="1" applyFont="1" applyBorder="1" applyAlignment="1">
      <alignment horizontal="left" vertical="center"/>
    </xf>
    <xf numFmtId="0" fontId="45" fillId="0" borderId="72" xfId="4" applyFont="1" applyBorder="1" applyAlignment="1">
      <alignment horizontal="left" vertical="center"/>
    </xf>
    <xf numFmtId="0" fontId="43" fillId="0" borderId="72" xfId="4" applyFont="1" applyBorder="1" applyAlignment="1">
      <alignment horizontal="left" vertical="center"/>
    </xf>
    <xf numFmtId="0" fontId="45" fillId="0" borderId="77" xfId="4" applyFont="1" applyBorder="1" applyAlignment="1">
      <alignment horizontal="left" vertical="center"/>
    </xf>
    <xf numFmtId="164" fontId="45" fillId="0" borderId="84" xfId="4" applyNumberFormat="1" applyFont="1" applyBorder="1" applyAlignment="1">
      <alignment horizontal="left" vertical="center"/>
    </xf>
    <xf numFmtId="0" fontId="47" fillId="7" borderId="0" xfId="0" applyFont="1" applyFill="1" applyAlignment="1">
      <alignment wrapText="1"/>
    </xf>
    <xf numFmtId="167" fontId="47" fillId="7" borderId="0" xfId="0" applyNumberFormat="1" applyFont="1" applyFill="1" applyAlignment="1">
      <alignment wrapText="1"/>
    </xf>
    <xf numFmtId="0" fontId="0" fillId="0" borderId="0" xfId="0" applyAlignment="1">
      <alignment wrapText="1"/>
    </xf>
    <xf numFmtId="168" fontId="42" fillId="0" borderId="0" xfId="0" applyNumberFormat="1" applyFont="1"/>
    <xf numFmtId="0" fontId="48" fillId="0" borderId="39" xfId="0" applyFont="1" applyBorder="1"/>
    <xf numFmtId="168" fontId="48" fillId="0" borderId="39" xfId="0" applyNumberFormat="1" applyFont="1" applyBorder="1"/>
    <xf numFmtId="167" fontId="48" fillId="0" borderId="39" xfId="0" applyNumberFormat="1" applyFont="1" applyBorder="1"/>
    <xf numFmtId="49" fontId="48" fillId="0" borderId="39" xfId="0" applyNumberFormat="1" applyFont="1" applyBorder="1"/>
    <xf numFmtId="167" fontId="42" fillId="0" borderId="0" xfId="0" applyNumberFormat="1" applyFont="1"/>
    <xf numFmtId="1" fontId="0" fillId="0" borderId="0" xfId="0" applyNumberFormat="1"/>
    <xf numFmtId="1" fontId="48" fillId="0" borderId="39" xfId="0" applyNumberFormat="1" applyFont="1" applyBorder="1"/>
    <xf numFmtId="1" fontId="42" fillId="0" borderId="0" xfId="0" applyNumberFormat="1" applyFont="1"/>
    <xf numFmtId="22" fontId="6" fillId="0" borderId="0" xfId="0" applyNumberFormat="1" applyFont="1" applyAlignment="1">
      <alignment horizontal="center" vertical="top" wrapText="1"/>
    </xf>
    <xf numFmtId="14" fontId="6" fillId="0" borderId="0" xfId="0" applyNumberFormat="1" applyFont="1" applyAlignment="1">
      <alignment vertical="top" wrapText="1"/>
    </xf>
    <xf numFmtId="0" fontId="6" fillId="0" borderId="0" xfId="0" applyFont="1" applyAlignment="1">
      <alignment vertical="top" wrapText="1"/>
    </xf>
    <xf numFmtId="18" fontId="6" fillId="0" borderId="0" xfId="0" applyNumberFormat="1" applyFont="1" applyAlignment="1">
      <alignment horizontal="center" vertical="top" wrapText="1"/>
    </xf>
    <xf numFmtId="0" fontId="6" fillId="0" borderId="0" xfId="0" applyFont="1" applyAlignment="1">
      <alignment horizontal="center" vertical="top" wrapText="1"/>
    </xf>
    <xf numFmtId="16" fontId="6" fillId="0" borderId="0" xfId="0" applyNumberFormat="1" applyFont="1" applyAlignment="1">
      <alignment horizontal="center" vertical="top" wrapText="1"/>
    </xf>
    <xf numFmtId="3" fontId="6" fillId="0" borderId="0" xfId="0" applyNumberFormat="1" applyFont="1" applyAlignment="1">
      <alignment horizontal="center" vertical="top" wrapText="1"/>
    </xf>
    <xf numFmtId="0" fontId="2" fillId="0" borderId="5" xfId="2" applyFont="1" applyBorder="1" applyAlignment="1">
      <alignment horizontal="center" wrapText="1"/>
    </xf>
    <xf numFmtId="0" fontId="2" fillId="0" borderId="8" xfId="2" applyFont="1" applyBorder="1" applyAlignment="1">
      <alignment horizontal="center" wrapText="1"/>
    </xf>
    <xf numFmtId="14" fontId="6" fillId="0" borderId="0" xfId="2" applyNumberFormat="1" applyFont="1" applyAlignment="1">
      <alignment vertical="top" wrapText="1"/>
    </xf>
    <xf numFmtId="0" fontId="6" fillId="0" borderId="0" xfId="2" applyFont="1" applyAlignment="1">
      <alignment vertical="top" wrapText="1"/>
    </xf>
    <xf numFmtId="3" fontId="6" fillId="0" borderId="0" xfId="2" applyNumberFormat="1" applyFont="1" applyAlignment="1">
      <alignment vertical="top" wrapText="1"/>
    </xf>
    <xf numFmtId="0" fontId="2" fillId="0" borderId="4" xfId="2" applyFont="1" applyBorder="1" applyAlignment="1">
      <alignment horizontal="center" wrapText="1"/>
    </xf>
    <xf numFmtId="0" fontId="2" fillId="0" borderId="7" xfId="2" applyFont="1" applyBorder="1" applyAlignment="1">
      <alignment horizontal="center" wrapText="1"/>
    </xf>
    <xf numFmtId="14" fontId="6" fillId="0" borderId="3" xfId="2" applyNumberFormat="1" applyFont="1" applyBorder="1" applyAlignment="1">
      <alignment vertical="top" wrapText="1"/>
    </xf>
    <xf numFmtId="0" fontId="6" fillId="0" borderId="3" xfId="2" applyFont="1" applyBorder="1" applyAlignment="1">
      <alignment vertical="top" wrapText="1"/>
    </xf>
    <xf numFmtId="0" fontId="13" fillId="0" borderId="6" xfId="2" applyFont="1" applyBorder="1" applyAlignment="1">
      <alignment horizontal="left"/>
    </xf>
    <xf numFmtId="0" fontId="7" fillId="0" borderId="0" xfId="2" applyFont="1" applyAlignment="1">
      <alignment horizontal="left"/>
    </xf>
    <xf numFmtId="0" fontId="13" fillId="0" borderId="0" xfId="2" applyFont="1" applyAlignment="1">
      <alignment horizontal="left"/>
    </xf>
    <xf numFmtId="0" fontId="14" fillId="0" borderId="13" xfId="3" applyBorder="1" applyAlignment="1" applyProtection="1">
      <alignment horizontal="left"/>
    </xf>
    <xf numFmtId="0" fontId="8" fillId="0" borderId="13" xfId="2" applyBorder="1" applyAlignment="1">
      <alignment horizontal="left"/>
    </xf>
    <xf numFmtId="0" fontId="14" fillId="0" borderId="0" xfId="3" applyAlignment="1" applyProtection="1">
      <alignment horizontal="left"/>
    </xf>
    <xf numFmtId="0" fontId="8" fillId="0" borderId="0" xfId="2" applyAlignment="1">
      <alignment horizontal="left"/>
    </xf>
    <xf numFmtId="0" fontId="8" fillId="0" borderId="0" xfId="2" applyAlignment="1">
      <alignment horizontal="left" wrapText="1"/>
    </xf>
    <xf numFmtId="0" fontId="2" fillId="0" borderId="4" xfId="2" applyFont="1" applyBorder="1" applyAlignment="1">
      <alignment horizontal="left" wrapText="1"/>
    </xf>
    <xf numFmtId="0" fontId="2" fillId="0" borderId="14" xfId="2" applyFont="1" applyBorder="1" applyAlignment="1">
      <alignment horizontal="left" wrapText="1"/>
    </xf>
    <xf numFmtId="0" fontId="2" fillId="0" borderId="15" xfId="2" applyFont="1" applyBorder="1" applyAlignment="1">
      <alignment horizontal="center" wrapText="1"/>
    </xf>
    <xf numFmtId="0" fontId="14" fillId="0" borderId="5" xfId="3" applyBorder="1" applyAlignment="1" applyProtection="1">
      <alignment horizontal="center" wrapText="1"/>
    </xf>
    <xf numFmtId="0" fontId="14" fillId="0" borderId="15" xfId="3" applyBorder="1" applyAlignment="1" applyProtection="1">
      <alignment horizontal="center" wrapText="1"/>
    </xf>
    <xf numFmtId="0" fontId="2" fillId="0" borderId="14" xfId="2" applyFont="1" applyBorder="1" applyAlignment="1">
      <alignment horizontal="center" wrapText="1"/>
    </xf>
    <xf numFmtId="0" fontId="5" fillId="2" borderId="21" xfId="4" applyFont="1" applyFill="1" applyBorder="1" applyAlignment="1">
      <alignment horizontal="left" vertical="center" wrapText="1"/>
    </xf>
    <xf numFmtId="0" fontId="22" fillId="0" borderId="22" xfId="4" applyFont="1" applyBorder="1" applyAlignment="1">
      <alignment horizontal="left" vertical="center" wrapText="1"/>
    </xf>
    <xf numFmtId="0" fontId="16" fillId="0" borderId="0" xfId="4" applyFont="1" applyAlignment="1">
      <alignment horizontal="center" wrapText="1"/>
    </xf>
    <xf numFmtId="0" fontId="18" fillId="0" borderId="0" xfId="4" applyFont="1" applyAlignment="1">
      <alignment horizontal="center"/>
    </xf>
    <xf numFmtId="0" fontId="5" fillId="2" borderId="19" xfId="4" applyFont="1" applyFill="1" applyBorder="1" applyAlignment="1">
      <alignment horizontal="left" wrapText="1"/>
    </xf>
    <xf numFmtId="0" fontId="9" fillId="0" borderId="13" xfId="4" applyBorder="1" applyAlignment="1">
      <alignment horizontal="left" wrapText="1"/>
    </xf>
    <xf numFmtId="0" fontId="5" fillId="2" borderId="21" xfId="4" applyFont="1" applyFill="1" applyBorder="1" applyAlignment="1">
      <alignment horizontal="left" wrapText="1"/>
    </xf>
    <xf numFmtId="0" fontId="9" fillId="0" borderId="22" xfId="4" applyBorder="1" applyAlignment="1">
      <alignment horizontal="left" wrapText="1"/>
    </xf>
    <xf numFmtId="0" fontId="9" fillId="0" borderId="22" xfId="4" applyBorder="1" applyAlignment="1">
      <alignment horizontal="left" vertical="center" wrapText="1"/>
    </xf>
    <xf numFmtId="0" fontId="5" fillId="2" borderId="22" xfId="4" applyFont="1" applyFill="1" applyBorder="1" applyAlignment="1">
      <alignment horizontal="left" vertical="center" wrapText="1"/>
    </xf>
    <xf numFmtId="0" fontId="5" fillId="2" borderId="19" xfId="4" applyFont="1" applyFill="1" applyBorder="1" applyAlignment="1">
      <alignment horizontal="left" vertical="center" wrapText="1"/>
    </xf>
    <xf numFmtId="0" fontId="9" fillId="0" borderId="13" xfId="4" applyBorder="1" applyAlignment="1">
      <alignment horizontal="left" vertical="center" wrapText="1"/>
    </xf>
    <xf numFmtId="0" fontId="22" fillId="0" borderId="13" xfId="4" applyFont="1" applyBorder="1" applyAlignment="1">
      <alignment horizontal="left" vertical="center" wrapText="1"/>
    </xf>
    <xf numFmtId="0" fontId="5" fillId="2" borderId="35" xfId="4" applyFont="1" applyFill="1" applyBorder="1" applyAlignment="1">
      <alignment horizontal="left" vertical="center" wrapText="1"/>
    </xf>
    <xf numFmtId="0" fontId="22" fillId="0" borderId="36" xfId="4" applyFont="1" applyBorder="1" applyAlignment="1">
      <alignment horizontal="left" vertical="center" wrapText="1"/>
    </xf>
    <xf numFmtId="0" fontId="5" fillId="2" borderId="41" xfId="4" applyFont="1" applyFill="1" applyBorder="1" applyAlignment="1">
      <alignment horizontal="left" wrapText="1"/>
    </xf>
    <xf numFmtId="0" fontId="5" fillId="2" borderId="42" xfId="4" applyFont="1" applyFill="1" applyBorder="1" applyAlignment="1">
      <alignment horizontal="left" wrapText="1"/>
    </xf>
    <xf numFmtId="0" fontId="5" fillId="2" borderId="35" xfId="4" applyFont="1" applyFill="1" applyBorder="1" applyAlignment="1">
      <alignment horizontal="left" vertical="center"/>
    </xf>
    <xf numFmtId="0" fontId="9" fillId="0" borderId="36" xfId="4" applyBorder="1" applyAlignment="1">
      <alignment horizontal="left" vertical="center"/>
    </xf>
    <xf numFmtId="0" fontId="9" fillId="0" borderId="36" xfId="4" applyBorder="1" applyAlignment="1">
      <alignment vertical="center"/>
    </xf>
    <xf numFmtId="0" fontId="9" fillId="0" borderId="37" xfId="4" applyBorder="1" applyAlignment="1">
      <alignment vertical="center"/>
    </xf>
    <xf numFmtId="0" fontId="5" fillId="2" borderId="16" xfId="4" applyFont="1" applyFill="1" applyBorder="1" applyAlignment="1">
      <alignment horizontal="left" vertical="center" wrapText="1"/>
    </xf>
    <xf numFmtId="0" fontId="9" fillId="0" borderId="17" xfId="4" applyBorder="1" applyAlignment="1">
      <alignment horizontal="left" vertical="center" wrapText="1"/>
    </xf>
    <xf numFmtId="0" fontId="5" fillId="2" borderId="51" xfId="4" applyFont="1" applyFill="1" applyBorder="1" applyAlignment="1">
      <alignment horizontal="left" vertical="center" wrapText="1"/>
    </xf>
    <xf numFmtId="0" fontId="21" fillId="0" borderId="44" xfId="4" applyFont="1" applyBorder="1" applyAlignment="1">
      <alignment horizontal="left" vertical="center" wrapText="1"/>
    </xf>
    <xf numFmtId="0" fontId="5" fillId="2" borderId="55" xfId="4" applyFont="1" applyFill="1" applyBorder="1" applyAlignment="1">
      <alignment horizontal="left" vertical="center" wrapText="1"/>
    </xf>
    <xf numFmtId="0" fontId="9" fillId="0" borderId="56" xfId="4" applyBorder="1" applyAlignment="1">
      <alignment horizontal="left" vertical="center" wrapText="1"/>
    </xf>
    <xf numFmtId="0" fontId="22" fillId="0" borderId="44" xfId="4" applyFont="1" applyBorder="1" applyAlignment="1">
      <alignment horizontal="left" vertical="center" wrapText="1"/>
    </xf>
    <xf numFmtId="0" fontId="5" fillId="6" borderId="21" xfId="4" applyFont="1" applyFill="1" applyBorder="1" applyAlignment="1">
      <alignment horizontal="left" vertical="center" wrapText="1"/>
    </xf>
    <xf numFmtId="0" fontId="21" fillId="6" borderId="22" xfId="4" applyFont="1" applyFill="1" applyBorder="1" applyAlignment="1">
      <alignment horizontal="left" vertical="center" wrapText="1"/>
    </xf>
    <xf numFmtId="0" fontId="16" fillId="0" borderId="19" xfId="4" applyFont="1" applyBorder="1" applyAlignment="1">
      <alignment horizontal="center" wrapText="1"/>
    </xf>
    <xf numFmtId="0" fontId="18" fillId="0" borderId="13" xfId="4" applyFont="1" applyBorder="1" applyAlignment="1">
      <alignment horizontal="center"/>
    </xf>
    <xf numFmtId="0" fontId="18" fillId="0" borderId="20" xfId="4" applyFont="1" applyBorder="1" applyAlignment="1">
      <alignment horizontal="center"/>
    </xf>
    <xf numFmtId="0" fontId="5" fillId="6" borderId="60" xfId="4" applyFont="1" applyFill="1" applyBorder="1" applyAlignment="1">
      <alignment horizontal="left" vertical="center" wrapText="1"/>
    </xf>
    <xf numFmtId="0" fontId="22" fillId="6" borderId="61" xfId="4" applyFont="1" applyFill="1" applyBorder="1" applyAlignment="1">
      <alignment horizontal="left" vertical="center" wrapText="1"/>
    </xf>
    <xf numFmtId="0" fontId="5" fillId="6" borderId="63" xfId="4" applyFont="1" applyFill="1" applyBorder="1" applyAlignment="1">
      <alignment horizontal="left" vertical="center" wrapText="1"/>
    </xf>
    <xf numFmtId="0" fontId="21" fillId="6" borderId="64" xfId="4" applyFont="1" applyFill="1" applyBorder="1" applyAlignment="1">
      <alignment horizontal="left" vertical="center" wrapText="1"/>
    </xf>
    <xf numFmtId="0" fontId="21" fillId="6" borderId="61" xfId="4" applyFont="1" applyFill="1" applyBorder="1" applyAlignment="1">
      <alignment horizontal="left" vertical="center" wrapText="1"/>
    </xf>
    <xf numFmtId="0" fontId="27" fillId="0" borderId="67" xfId="4" applyFont="1" applyBorder="1" applyAlignment="1">
      <alignment horizontal="center" vertical="center"/>
    </xf>
    <xf numFmtId="0" fontId="27" fillId="0" borderId="68" xfId="4" applyFont="1" applyBorder="1" applyAlignment="1">
      <alignment horizontal="center" vertical="center"/>
    </xf>
    <xf numFmtId="0" fontId="27" fillId="0" borderId="69" xfId="4" applyFont="1" applyBorder="1" applyAlignment="1">
      <alignment horizontal="center" vertical="center"/>
    </xf>
    <xf numFmtId="0" fontId="27" fillId="0" borderId="71" xfId="4" applyFont="1" applyBorder="1" applyAlignment="1">
      <alignment horizontal="center" vertical="center"/>
    </xf>
  </cellXfs>
  <cellStyles count="8">
    <cellStyle name="Bad" xfId="1" builtinId="27"/>
    <cellStyle name="Comma 2" xfId="6" xr:uid="{00000000-0005-0000-0000-000001000000}"/>
    <cellStyle name="Good 2" xfId="5" xr:uid="{00000000-0005-0000-0000-000002000000}"/>
    <cellStyle name="Hyperlink 2" xfId="3" xr:uid="{00000000-0005-0000-0000-000003000000}"/>
    <cellStyle name="Normal" xfId="0" builtinId="0"/>
    <cellStyle name="Normal 2" xfId="2" xr:uid="{00000000-0005-0000-0000-000005000000}"/>
    <cellStyle name="Normal 3" xfId="4" xr:uid="{00000000-0005-0000-0000-000006000000}"/>
    <cellStyle name="Normal 4" xfId="7" xr:uid="{73D1AFC1-5BA1-45EF-95F5-D317DA9D88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56726/Downloads/12_14_2023-OE-417_Data_Ex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yTable"/>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nergy.gov/engine/content.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zoomScale="145" zoomScaleNormal="145" workbookViewId="0"/>
  </sheetViews>
  <sheetFormatPr defaultRowHeight="12.75"/>
  <cols>
    <col min="2" max="2" width="20.85546875" customWidth="1"/>
    <col min="5" max="5" width="10.5703125" customWidth="1"/>
    <col min="6" max="6" width="10.28515625" customWidth="1"/>
    <col min="8" max="8" width="12.140625" customWidth="1"/>
  </cols>
  <sheetData>
    <row r="1" spans="1:8">
      <c r="A1" s="18" t="s">
        <v>0</v>
      </c>
      <c r="B1" s="1" t="s">
        <v>1</v>
      </c>
    </row>
    <row r="2" spans="1:8" ht="16.5" thickBot="1">
      <c r="A2" s="2"/>
    </row>
    <row r="3" spans="1:8" ht="33.75" thickTop="1" thickBot="1">
      <c r="A3" s="3" t="s">
        <v>2</v>
      </c>
      <c r="B3" s="3" t="s">
        <v>57</v>
      </c>
      <c r="C3" s="3" t="s">
        <v>3</v>
      </c>
      <c r="D3" s="3" t="s">
        <v>4</v>
      </c>
      <c r="E3" s="3" t="s">
        <v>5</v>
      </c>
      <c r="F3" s="3" t="s">
        <v>6</v>
      </c>
      <c r="G3" s="3" t="s">
        <v>7</v>
      </c>
      <c r="H3" s="4" t="s">
        <v>8</v>
      </c>
    </row>
    <row r="4" spans="1:8" ht="13.5" thickTop="1">
      <c r="A4" s="5" t="s">
        <v>9</v>
      </c>
      <c r="B4" s="6"/>
      <c r="C4" s="7"/>
      <c r="D4" s="6"/>
      <c r="E4" s="7"/>
      <c r="F4" s="7"/>
      <c r="G4" s="7"/>
      <c r="H4" s="7"/>
    </row>
    <row r="5" spans="1:8">
      <c r="A5" s="787">
        <v>37286</v>
      </c>
      <c r="B5" s="9" t="s">
        <v>58</v>
      </c>
      <c r="C5" s="789">
        <v>0.25</v>
      </c>
      <c r="D5" s="788" t="s">
        <v>10</v>
      </c>
      <c r="E5" s="790" t="s">
        <v>11</v>
      </c>
      <c r="F5" s="790">
        <v>500</v>
      </c>
      <c r="G5" s="792">
        <v>1881134</v>
      </c>
      <c r="H5" s="786">
        <v>37294.5</v>
      </c>
    </row>
    <row r="6" spans="1:8">
      <c r="A6" s="787"/>
      <c r="C6" s="789"/>
      <c r="D6" s="788"/>
      <c r="E6" s="790"/>
      <c r="F6" s="790"/>
      <c r="G6" s="792"/>
      <c r="H6" s="786"/>
    </row>
    <row r="7" spans="1:8" ht="27">
      <c r="A7" s="8">
        <v>37285</v>
      </c>
      <c r="B7" s="9" t="s">
        <v>58</v>
      </c>
      <c r="C7" s="11" t="s">
        <v>12</v>
      </c>
      <c r="D7" s="9" t="s">
        <v>13</v>
      </c>
      <c r="E7" s="11" t="s">
        <v>11</v>
      </c>
      <c r="F7" s="11" t="s">
        <v>14</v>
      </c>
      <c r="G7" s="12">
        <v>270000</v>
      </c>
      <c r="H7" s="11" t="s">
        <v>15</v>
      </c>
    </row>
    <row r="8" spans="1:8">
      <c r="A8" s="8">
        <v>37286</v>
      </c>
      <c r="B8" s="9" t="s">
        <v>58</v>
      </c>
      <c r="C8" s="10">
        <v>0.66666666666666663</v>
      </c>
      <c r="D8" s="9" t="s">
        <v>16</v>
      </c>
      <c r="E8" s="11" t="s">
        <v>11</v>
      </c>
      <c r="F8" s="11">
        <v>210</v>
      </c>
      <c r="G8" s="12">
        <v>95000</v>
      </c>
      <c r="H8" s="13">
        <v>37297.875</v>
      </c>
    </row>
    <row r="9" spans="1:8">
      <c r="A9" s="5" t="s">
        <v>17</v>
      </c>
      <c r="B9" s="6"/>
      <c r="C9" s="7"/>
      <c r="D9" s="6"/>
      <c r="E9" s="7"/>
      <c r="F9" s="7"/>
      <c r="G9" s="7"/>
      <c r="H9" s="7"/>
    </row>
    <row r="10" spans="1:8" ht="18">
      <c r="A10" s="8">
        <v>37314</v>
      </c>
      <c r="B10" s="9" t="s">
        <v>59</v>
      </c>
      <c r="C10" s="10">
        <v>0.45</v>
      </c>
      <c r="D10" s="9" t="s">
        <v>18</v>
      </c>
      <c r="E10" s="11" t="s">
        <v>19</v>
      </c>
      <c r="F10" s="11">
        <v>300</v>
      </c>
      <c r="G10" s="12">
        <v>255000</v>
      </c>
      <c r="H10" s="13">
        <v>37314.482638888891</v>
      </c>
    </row>
    <row r="11" spans="1:8">
      <c r="A11" s="5" t="s">
        <v>20</v>
      </c>
      <c r="B11" s="6"/>
      <c r="C11" s="7"/>
      <c r="D11" s="6"/>
      <c r="E11" s="7"/>
      <c r="F11" s="7"/>
      <c r="G11" s="7"/>
      <c r="H11" s="7"/>
    </row>
    <row r="12" spans="1:8" ht="27">
      <c r="A12" s="8">
        <v>37324</v>
      </c>
      <c r="B12" s="9" t="s">
        <v>60</v>
      </c>
      <c r="C12" s="10">
        <v>0</v>
      </c>
      <c r="D12" s="9" t="s">
        <v>21</v>
      </c>
      <c r="E12" s="11" t="s">
        <v>22</v>
      </c>
      <c r="F12" s="11">
        <v>190</v>
      </c>
      <c r="G12" s="12">
        <v>190000</v>
      </c>
      <c r="H12" s="13">
        <v>37326.5</v>
      </c>
    </row>
    <row r="13" spans="1:8">
      <c r="A13" s="5" t="s">
        <v>23</v>
      </c>
      <c r="B13" s="6"/>
      <c r="C13" s="7"/>
      <c r="D13" s="6"/>
      <c r="E13" s="7"/>
      <c r="F13" s="7"/>
      <c r="G13" s="7"/>
      <c r="H13" s="7"/>
    </row>
    <row r="14" spans="1:8" ht="14.25" customHeight="1">
      <c r="A14" s="787">
        <v>37354</v>
      </c>
      <c r="B14" s="788" t="s">
        <v>59</v>
      </c>
      <c r="C14" s="789">
        <v>0.625</v>
      </c>
      <c r="D14" s="788" t="s">
        <v>24</v>
      </c>
      <c r="E14" s="11" t="s">
        <v>25</v>
      </c>
      <c r="F14" s="790">
        <v>0</v>
      </c>
      <c r="G14" s="790">
        <v>0</v>
      </c>
      <c r="H14" s="791">
        <v>37355</v>
      </c>
    </row>
    <row r="15" spans="1:8">
      <c r="A15" s="787"/>
      <c r="B15" s="788"/>
      <c r="C15" s="789"/>
      <c r="D15" s="788"/>
      <c r="E15" s="11" t="s">
        <v>56</v>
      </c>
      <c r="F15" s="790"/>
      <c r="G15" s="790"/>
      <c r="H15" s="791"/>
    </row>
    <row r="16" spans="1:8">
      <c r="A16" s="5" t="s">
        <v>26</v>
      </c>
      <c r="B16" s="6"/>
      <c r="C16" s="7"/>
      <c r="D16" s="6"/>
      <c r="E16" s="7"/>
      <c r="F16" s="7"/>
      <c r="G16" s="7"/>
      <c r="H16" s="7"/>
    </row>
    <row r="17" spans="1:8" ht="18">
      <c r="A17" s="8">
        <v>37446</v>
      </c>
      <c r="B17" s="9" t="s">
        <v>59</v>
      </c>
      <c r="C17" s="10">
        <v>0.51875000000000004</v>
      </c>
      <c r="D17" s="9" t="s">
        <v>18</v>
      </c>
      <c r="E17" s="11" t="s">
        <v>27</v>
      </c>
      <c r="F17" s="11">
        <v>240</v>
      </c>
      <c r="G17" s="11" t="s">
        <v>28</v>
      </c>
      <c r="H17" s="13">
        <v>37446.82916666667</v>
      </c>
    </row>
    <row r="18" spans="1:8" ht="27">
      <c r="A18" s="8">
        <v>37456</v>
      </c>
      <c r="B18" s="9" t="s">
        <v>59</v>
      </c>
      <c r="C18" s="10">
        <v>0.49375000000000002</v>
      </c>
      <c r="D18" s="9" t="s">
        <v>18</v>
      </c>
      <c r="E18" s="11" t="s">
        <v>29</v>
      </c>
      <c r="F18" s="11">
        <v>240</v>
      </c>
      <c r="G18" s="11" t="s">
        <v>28</v>
      </c>
      <c r="H18" s="13">
        <v>37456.6875</v>
      </c>
    </row>
    <row r="19" spans="1:8">
      <c r="A19" s="8">
        <v>37457</v>
      </c>
      <c r="B19" s="9" t="s">
        <v>61</v>
      </c>
      <c r="C19" s="10">
        <v>0.52777777777777779</v>
      </c>
      <c r="D19" s="9" t="s">
        <v>30</v>
      </c>
      <c r="E19" s="11" t="s">
        <v>31</v>
      </c>
      <c r="F19" s="11">
        <v>278</v>
      </c>
      <c r="G19" s="12">
        <v>63500</v>
      </c>
      <c r="H19" s="13">
        <v>37457.841666666667</v>
      </c>
    </row>
    <row r="20" spans="1:8">
      <c r="A20" s="5" t="s">
        <v>32</v>
      </c>
      <c r="B20" s="6"/>
      <c r="C20" s="7"/>
      <c r="D20" s="6"/>
      <c r="E20" s="7"/>
      <c r="F20" s="7"/>
      <c r="G20" s="7"/>
      <c r="H20" s="7"/>
    </row>
    <row r="21" spans="1:8" ht="18">
      <c r="A21" s="8">
        <v>37470</v>
      </c>
      <c r="B21" s="9" t="s">
        <v>62</v>
      </c>
      <c r="C21" s="10">
        <v>0.52986111111111112</v>
      </c>
      <c r="D21" s="9" t="s">
        <v>33</v>
      </c>
      <c r="E21" s="11" t="s">
        <v>27</v>
      </c>
      <c r="F21" s="11">
        <v>232</v>
      </c>
      <c r="G21" s="12">
        <v>53565</v>
      </c>
      <c r="H21" s="13">
        <v>37470.775000000001</v>
      </c>
    </row>
    <row r="22" spans="1:8" ht="18">
      <c r="A22" s="8">
        <v>37477</v>
      </c>
      <c r="B22" s="9" t="s">
        <v>63</v>
      </c>
      <c r="C22" s="10">
        <v>0.34930555555555554</v>
      </c>
      <c r="D22" s="9" t="s">
        <v>34</v>
      </c>
      <c r="E22" s="11" t="s">
        <v>27</v>
      </c>
      <c r="F22" s="11">
        <v>51</v>
      </c>
      <c r="G22" s="12">
        <v>25000</v>
      </c>
      <c r="H22" s="13">
        <v>37477.509027777778</v>
      </c>
    </row>
    <row r="23" spans="1:8" ht="18">
      <c r="A23" s="8">
        <v>37493</v>
      </c>
      <c r="B23" s="9" t="s">
        <v>59</v>
      </c>
      <c r="C23" s="10">
        <v>0.15347222222222223</v>
      </c>
      <c r="D23" s="9" t="s">
        <v>18</v>
      </c>
      <c r="E23" s="11" t="s">
        <v>27</v>
      </c>
      <c r="F23" s="11">
        <v>120</v>
      </c>
      <c r="G23" s="11" t="s">
        <v>28</v>
      </c>
      <c r="H23" s="13">
        <v>37493.386805555558</v>
      </c>
    </row>
    <row r="24" spans="1:8">
      <c r="A24" s="8">
        <v>37496</v>
      </c>
      <c r="B24" s="9" t="s">
        <v>63</v>
      </c>
      <c r="C24" s="10">
        <v>0.58958333333333335</v>
      </c>
      <c r="D24" s="9" t="s">
        <v>34</v>
      </c>
      <c r="E24" s="11" t="s">
        <v>22</v>
      </c>
      <c r="F24" s="11">
        <v>67.599999999999994</v>
      </c>
      <c r="G24" s="12">
        <v>25000</v>
      </c>
      <c r="H24" s="13">
        <v>37496.651388888888</v>
      </c>
    </row>
    <row r="25" spans="1:8">
      <c r="A25" s="5" t="s">
        <v>35</v>
      </c>
      <c r="B25" s="6"/>
      <c r="C25" s="7"/>
      <c r="D25" s="6"/>
      <c r="E25" s="7"/>
      <c r="F25" s="7"/>
      <c r="G25" s="7"/>
      <c r="H25" s="7"/>
    </row>
    <row r="26" spans="1:8" ht="36">
      <c r="A26" s="8">
        <v>37532</v>
      </c>
      <c r="B26" s="9" t="s">
        <v>58</v>
      </c>
      <c r="C26" s="10">
        <v>0.14791666666666667</v>
      </c>
      <c r="D26" s="9" t="s">
        <v>36</v>
      </c>
      <c r="E26" s="11" t="s">
        <v>37</v>
      </c>
      <c r="F26" s="11" t="s">
        <v>15</v>
      </c>
      <c r="G26" s="12">
        <v>242910</v>
      </c>
      <c r="H26" s="14">
        <v>37541</v>
      </c>
    </row>
    <row r="27" spans="1:8">
      <c r="A27" s="5" t="s">
        <v>38</v>
      </c>
      <c r="B27" s="6"/>
      <c r="C27" s="7"/>
      <c r="D27" s="6"/>
      <c r="E27" s="7"/>
      <c r="F27" s="7"/>
      <c r="G27" s="7"/>
      <c r="H27" s="7"/>
    </row>
    <row r="28" spans="1:8" ht="27">
      <c r="A28" s="8">
        <v>37566</v>
      </c>
      <c r="B28" s="9" t="s">
        <v>59</v>
      </c>
      <c r="C28" s="10">
        <v>0.91666666666666663</v>
      </c>
      <c r="D28" s="9" t="s">
        <v>39</v>
      </c>
      <c r="E28" s="11" t="s">
        <v>40</v>
      </c>
      <c r="F28" s="11">
        <v>270</v>
      </c>
      <c r="G28" s="12">
        <v>939000</v>
      </c>
      <c r="H28" s="11" t="s">
        <v>41</v>
      </c>
    </row>
    <row r="29" spans="1:8" ht="23.25" customHeight="1">
      <c r="A29" s="787">
        <v>37577</v>
      </c>
      <c r="B29" s="788" t="s">
        <v>64</v>
      </c>
      <c r="C29" s="789">
        <v>0.65833333333333333</v>
      </c>
      <c r="D29" s="9" t="s">
        <v>42</v>
      </c>
      <c r="E29" s="790" t="s">
        <v>44</v>
      </c>
      <c r="F29" s="790">
        <v>0</v>
      </c>
      <c r="G29" s="790">
        <v>0</v>
      </c>
      <c r="H29" s="790" t="s">
        <v>45</v>
      </c>
    </row>
    <row r="30" spans="1:8">
      <c r="A30" s="787"/>
      <c r="B30" s="788"/>
      <c r="C30" s="789"/>
      <c r="D30" s="9" t="s">
        <v>43</v>
      </c>
      <c r="E30" s="790"/>
      <c r="F30" s="790"/>
      <c r="G30" s="790"/>
      <c r="H30" s="790"/>
    </row>
    <row r="31" spans="1:8" ht="36">
      <c r="A31" s="8">
        <v>37577</v>
      </c>
      <c r="B31" s="9" t="s">
        <v>61</v>
      </c>
      <c r="C31" s="10">
        <v>0.25</v>
      </c>
      <c r="D31" s="9" t="s">
        <v>46</v>
      </c>
      <c r="E31" s="11" t="s">
        <v>11</v>
      </c>
      <c r="F31" s="11" t="s">
        <v>15</v>
      </c>
      <c r="G31" s="12">
        <v>224912</v>
      </c>
      <c r="H31" s="13">
        <v>37581.333333333336</v>
      </c>
    </row>
    <row r="32" spans="1:8">
      <c r="A32" s="5" t="s">
        <v>47</v>
      </c>
      <c r="B32" s="6"/>
      <c r="C32" s="7"/>
      <c r="D32" s="6"/>
      <c r="E32" s="7"/>
      <c r="F32" s="7"/>
      <c r="G32" s="7"/>
      <c r="H32" s="7"/>
    </row>
    <row r="33" spans="1:8">
      <c r="A33" s="8">
        <v>37593</v>
      </c>
      <c r="B33" s="9" t="s">
        <v>58</v>
      </c>
      <c r="C33" s="10">
        <v>0.77083333333333337</v>
      </c>
      <c r="D33" s="9" t="s">
        <v>48</v>
      </c>
      <c r="E33" s="11" t="s">
        <v>11</v>
      </c>
      <c r="F33" s="11" t="s">
        <v>15</v>
      </c>
      <c r="G33" s="12">
        <v>43000</v>
      </c>
      <c r="H33" s="13">
        <v>37599.9375</v>
      </c>
    </row>
    <row r="34" spans="1:8" ht="36" customHeight="1">
      <c r="A34" s="787">
        <v>37601</v>
      </c>
      <c r="B34" s="788" t="s">
        <v>63</v>
      </c>
      <c r="C34" s="789">
        <v>0.54791666666666672</v>
      </c>
      <c r="D34" s="9" t="s">
        <v>49</v>
      </c>
      <c r="E34" s="790" t="s">
        <v>40</v>
      </c>
      <c r="F34" s="790">
        <v>63</v>
      </c>
      <c r="G34" s="792">
        <v>130000</v>
      </c>
      <c r="H34" s="786">
        <v>37603.916666666664</v>
      </c>
    </row>
    <row r="35" spans="1:8" ht="18">
      <c r="A35" s="787"/>
      <c r="B35" s="788"/>
      <c r="C35" s="789"/>
      <c r="D35" s="9" t="s">
        <v>50</v>
      </c>
      <c r="E35" s="790"/>
      <c r="F35" s="790"/>
      <c r="G35" s="792"/>
      <c r="H35" s="786"/>
    </row>
    <row r="36" spans="1:8" ht="27">
      <c r="A36" s="8">
        <v>37604</v>
      </c>
      <c r="B36" s="9" t="s">
        <v>59</v>
      </c>
      <c r="C36" s="10">
        <v>0.45833333333333331</v>
      </c>
      <c r="D36" s="9" t="s">
        <v>39</v>
      </c>
      <c r="E36" s="11" t="s">
        <v>40</v>
      </c>
      <c r="F36" s="11">
        <v>180</v>
      </c>
      <c r="G36" s="11" t="s">
        <v>51</v>
      </c>
      <c r="H36" s="13">
        <v>37609.666666666664</v>
      </c>
    </row>
    <row r="37" spans="1:8" ht="27">
      <c r="A37" s="8">
        <v>37609</v>
      </c>
      <c r="B37" s="9" t="s">
        <v>59</v>
      </c>
      <c r="C37" s="10">
        <v>0.25</v>
      </c>
      <c r="D37" s="9" t="s">
        <v>39</v>
      </c>
      <c r="E37" s="11" t="s">
        <v>40</v>
      </c>
      <c r="F37" s="11">
        <v>56</v>
      </c>
      <c r="G37" s="12">
        <v>385000</v>
      </c>
      <c r="H37" s="13">
        <v>37611.708333333336</v>
      </c>
    </row>
    <row r="38" spans="1:8" ht="18">
      <c r="A38" s="8">
        <v>37615</v>
      </c>
      <c r="B38" s="9" t="s">
        <v>65</v>
      </c>
      <c r="C38" s="10">
        <v>0.70833333333333337</v>
      </c>
      <c r="D38" s="9" t="s">
        <v>52</v>
      </c>
      <c r="E38" s="11" t="s">
        <v>40</v>
      </c>
      <c r="F38" s="11">
        <v>250</v>
      </c>
      <c r="G38" s="12">
        <v>106000</v>
      </c>
      <c r="H38" s="13">
        <v>37616.208333333336</v>
      </c>
    </row>
    <row r="39" spans="1:8" ht="45">
      <c r="A39" s="8">
        <v>37615</v>
      </c>
      <c r="B39" s="9" t="s">
        <v>65</v>
      </c>
      <c r="C39" s="10">
        <v>0.41666666666666669</v>
      </c>
      <c r="D39" s="9" t="s">
        <v>53</v>
      </c>
      <c r="E39" s="11" t="s">
        <v>40</v>
      </c>
      <c r="F39" s="11" t="s">
        <v>15</v>
      </c>
      <c r="G39" s="12">
        <v>95630</v>
      </c>
      <c r="H39" s="13">
        <v>37617.354166666664</v>
      </c>
    </row>
    <row r="40" spans="1:8" ht="13.5" thickBot="1">
      <c r="A40" s="15"/>
      <c r="B40" s="15"/>
      <c r="C40" s="16"/>
      <c r="D40" s="15"/>
      <c r="E40" s="16"/>
      <c r="F40" s="16"/>
      <c r="G40" s="16"/>
      <c r="H40" s="16"/>
    </row>
    <row r="41" spans="1:8" ht="13.5" thickTop="1">
      <c r="A41" s="17" t="s">
        <v>54</v>
      </c>
    </row>
    <row r="42" spans="1:8">
      <c r="A42" s="17" t="s">
        <v>55</v>
      </c>
    </row>
  </sheetData>
  <mergeCells count="28">
    <mergeCell ref="F29:F30"/>
    <mergeCell ref="G29:G30"/>
    <mergeCell ref="H29:H30"/>
    <mergeCell ref="A34:A35"/>
    <mergeCell ref="B34:B35"/>
    <mergeCell ref="C34:C35"/>
    <mergeCell ref="E34:E35"/>
    <mergeCell ref="F34:F35"/>
    <mergeCell ref="G34:G35"/>
    <mergeCell ref="H34:H35"/>
    <mergeCell ref="A29:A30"/>
    <mergeCell ref="B29:B30"/>
    <mergeCell ref="C29:C30"/>
    <mergeCell ref="E29:E30"/>
    <mergeCell ref="H5:H6"/>
    <mergeCell ref="A14:A15"/>
    <mergeCell ref="B14:B15"/>
    <mergeCell ref="C14:C15"/>
    <mergeCell ref="D14:D15"/>
    <mergeCell ref="F14:F15"/>
    <mergeCell ref="G14:G15"/>
    <mergeCell ref="H14:H15"/>
    <mergeCell ref="A5:A6"/>
    <mergeCell ref="C5:C6"/>
    <mergeCell ref="F5:F6"/>
    <mergeCell ref="G5:G6"/>
    <mergeCell ref="D5:D6"/>
    <mergeCell ref="E5:E6"/>
  </mergeCells>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9"/>
  <sheetViews>
    <sheetView workbookViewId="0"/>
  </sheetViews>
  <sheetFormatPr defaultRowHeight="12.75"/>
  <cols>
    <col min="1" max="1" width="9.140625" style="20"/>
    <col min="2" max="2" width="10.85546875" style="20" customWidth="1"/>
    <col min="3" max="4" width="9.140625" style="20"/>
    <col min="5" max="5" width="10.140625" style="20" customWidth="1"/>
    <col min="6" max="6" width="9.85546875" style="20" customWidth="1"/>
    <col min="7" max="7" width="9.140625" style="20"/>
    <col min="8" max="8" width="10.5703125" style="20" customWidth="1"/>
    <col min="9" max="16384" width="9.140625" style="20"/>
  </cols>
  <sheetData>
    <row r="1" spans="1:8" ht="13.5" thickBot="1">
      <c r="A1" s="19" t="s">
        <v>0</v>
      </c>
      <c r="B1" s="19" t="s">
        <v>66</v>
      </c>
    </row>
    <row r="2" spans="1:8" ht="18" customHeight="1" thickTop="1">
      <c r="A2" s="798" t="s">
        <v>2</v>
      </c>
      <c r="B2" s="793" t="s">
        <v>57</v>
      </c>
      <c r="C2" s="793" t="s">
        <v>3</v>
      </c>
      <c r="D2" s="793" t="s">
        <v>67</v>
      </c>
      <c r="E2" s="793" t="s">
        <v>5</v>
      </c>
      <c r="F2" s="793" t="s">
        <v>6</v>
      </c>
      <c r="G2" s="793" t="s">
        <v>68</v>
      </c>
      <c r="H2" s="22" t="s">
        <v>69</v>
      </c>
    </row>
    <row r="3" spans="1:8" ht="13.5" thickBot="1">
      <c r="A3" s="799"/>
      <c r="B3" s="794"/>
      <c r="C3" s="794"/>
      <c r="D3" s="794"/>
      <c r="E3" s="794"/>
      <c r="F3" s="794"/>
      <c r="G3" s="794"/>
      <c r="H3" s="23" t="s">
        <v>70</v>
      </c>
    </row>
    <row r="4" spans="1:8">
      <c r="A4" s="24" t="s">
        <v>9</v>
      </c>
      <c r="B4" s="24"/>
      <c r="C4" s="24"/>
      <c r="D4" s="24"/>
      <c r="E4" s="24"/>
      <c r="F4" s="24"/>
      <c r="G4" s="24"/>
      <c r="H4" s="24"/>
    </row>
    <row r="5" spans="1:8" ht="18">
      <c r="A5" s="25">
        <v>37646</v>
      </c>
      <c r="B5" s="26" t="s">
        <v>60</v>
      </c>
      <c r="C5" s="26" t="s">
        <v>71</v>
      </c>
      <c r="D5" s="26" t="s">
        <v>72</v>
      </c>
      <c r="E5" s="26" t="s">
        <v>73</v>
      </c>
      <c r="F5" s="26" t="s">
        <v>15</v>
      </c>
      <c r="G5" s="26" t="s">
        <v>15</v>
      </c>
      <c r="H5" s="26" t="s">
        <v>74</v>
      </c>
    </row>
    <row r="6" spans="1:8">
      <c r="A6" s="24" t="s">
        <v>17</v>
      </c>
      <c r="B6" s="24"/>
      <c r="C6" s="24"/>
      <c r="D6" s="24"/>
      <c r="E6" s="24"/>
      <c r="F6" s="24"/>
      <c r="G6" s="24"/>
      <c r="H6" s="24"/>
    </row>
    <row r="7" spans="1:8" ht="27">
      <c r="A7" s="25">
        <v>37679</v>
      </c>
      <c r="B7" s="26" t="s">
        <v>63</v>
      </c>
      <c r="C7" s="26" t="s">
        <v>75</v>
      </c>
      <c r="D7" s="26" t="s">
        <v>76</v>
      </c>
      <c r="E7" s="26" t="s">
        <v>77</v>
      </c>
      <c r="F7" s="27">
        <v>1000</v>
      </c>
      <c r="G7" s="26" t="s">
        <v>78</v>
      </c>
      <c r="H7" s="26" t="s">
        <v>79</v>
      </c>
    </row>
    <row r="8" spans="1:8">
      <c r="A8" s="24" t="s">
        <v>20</v>
      </c>
      <c r="B8" s="24"/>
      <c r="C8" s="24"/>
      <c r="D8" s="24"/>
      <c r="E8" s="24"/>
      <c r="F8" s="24"/>
      <c r="G8" s="24"/>
      <c r="H8" s="24"/>
    </row>
    <row r="9" spans="1:8">
      <c r="A9" s="26" t="s">
        <v>80</v>
      </c>
      <c r="B9" s="26"/>
      <c r="C9" s="26"/>
      <c r="D9" s="26"/>
      <c r="E9" s="26"/>
      <c r="F9" s="26"/>
      <c r="G9" s="26"/>
      <c r="H9" s="26"/>
    </row>
    <row r="10" spans="1:8">
      <c r="A10" s="24" t="s">
        <v>23</v>
      </c>
      <c r="B10" s="24"/>
      <c r="C10" s="24"/>
      <c r="D10" s="24"/>
      <c r="E10" s="24"/>
      <c r="F10" s="24"/>
      <c r="G10" s="24"/>
      <c r="H10" s="24"/>
    </row>
    <row r="11" spans="1:8" ht="27">
      <c r="A11" s="25">
        <v>37714</v>
      </c>
      <c r="B11" s="26" t="s">
        <v>60</v>
      </c>
      <c r="C11" s="26" t="s">
        <v>81</v>
      </c>
      <c r="D11" s="26" t="s">
        <v>82</v>
      </c>
      <c r="E11" s="26" t="s">
        <v>11</v>
      </c>
      <c r="F11" s="26">
        <v>300</v>
      </c>
      <c r="G11" s="27">
        <v>425000</v>
      </c>
      <c r="H11" s="26" t="s">
        <v>83</v>
      </c>
    </row>
    <row r="12" spans="1:8">
      <c r="A12" s="795">
        <v>37715</v>
      </c>
      <c r="B12" s="26" t="s">
        <v>61</v>
      </c>
      <c r="C12" s="796" t="s">
        <v>84</v>
      </c>
      <c r="D12" s="26" t="s">
        <v>85</v>
      </c>
      <c r="E12" s="796" t="s">
        <v>86</v>
      </c>
      <c r="F12" s="796" t="s">
        <v>87</v>
      </c>
      <c r="G12" s="797">
        <v>160000</v>
      </c>
      <c r="H12" s="796" t="s">
        <v>88</v>
      </c>
    </row>
    <row r="13" spans="1:8" ht="18">
      <c r="A13" s="795"/>
      <c r="B13" s="26"/>
      <c r="C13" s="796"/>
      <c r="D13" s="26" t="s">
        <v>89</v>
      </c>
      <c r="E13" s="796"/>
      <c r="F13" s="796"/>
      <c r="G13" s="797"/>
      <c r="H13" s="796"/>
    </row>
    <row r="14" spans="1:8">
      <c r="A14" s="795"/>
      <c r="C14" s="796"/>
      <c r="D14" s="28"/>
      <c r="E14" s="796"/>
      <c r="F14" s="796"/>
      <c r="G14" s="797"/>
      <c r="H14" s="796"/>
    </row>
    <row r="15" spans="1:8" ht="18">
      <c r="A15" s="795">
        <v>37726</v>
      </c>
      <c r="B15" s="26" t="s">
        <v>90</v>
      </c>
      <c r="C15" s="796" t="s">
        <v>91</v>
      </c>
      <c r="D15" s="26" t="s">
        <v>92</v>
      </c>
      <c r="E15" s="796" t="s">
        <v>93</v>
      </c>
      <c r="F15" s="796">
        <v>212</v>
      </c>
      <c r="G15" s="797">
        <v>68530</v>
      </c>
      <c r="H15" s="796" t="s">
        <v>94</v>
      </c>
    </row>
    <row r="16" spans="1:8" ht="18">
      <c r="A16" s="795"/>
      <c r="C16" s="796"/>
      <c r="D16" s="26" t="s">
        <v>95</v>
      </c>
      <c r="E16" s="796"/>
      <c r="F16" s="796"/>
      <c r="G16" s="797"/>
      <c r="H16" s="796"/>
    </row>
    <row r="17" spans="1:8" ht="18">
      <c r="A17" s="795"/>
      <c r="B17" s="28"/>
      <c r="C17" s="796"/>
      <c r="D17" s="26" t="s">
        <v>96</v>
      </c>
      <c r="E17" s="796"/>
      <c r="F17" s="796"/>
      <c r="G17" s="797"/>
      <c r="H17" s="796"/>
    </row>
    <row r="18" spans="1:8">
      <c r="A18" s="795"/>
      <c r="B18" s="28"/>
      <c r="C18" s="796"/>
      <c r="D18" s="26" t="s">
        <v>97</v>
      </c>
      <c r="E18" s="796"/>
      <c r="F18" s="796"/>
      <c r="G18" s="797"/>
      <c r="H18" s="796"/>
    </row>
    <row r="19" spans="1:8" ht="27">
      <c r="A19" s="795">
        <v>37739</v>
      </c>
      <c r="B19" s="26" t="s">
        <v>62</v>
      </c>
      <c r="C19" s="796" t="s">
        <v>98</v>
      </c>
      <c r="D19" s="26" t="s">
        <v>99</v>
      </c>
      <c r="E19" s="796" t="s">
        <v>100</v>
      </c>
      <c r="F19" s="796">
        <v>0</v>
      </c>
      <c r="G19" s="796">
        <v>0</v>
      </c>
      <c r="H19" s="796" t="s">
        <v>101</v>
      </c>
    </row>
    <row r="20" spans="1:8" ht="27">
      <c r="A20" s="795"/>
      <c r="B20" s="26"/>
      <c r="C20" s="796"/>
      <c r="D20" s="26" t="s">
        <v>102</v>
      </c>
      <c r="E20" s="796"/>
      <c r="F20" s="796"/>
      <c r="G20" s="796"/>
      <c r="H20" s="796"/>
    </row>
    <row r="21" spans="1:8">
      <c r="A21" s="795"/>
      <c r="C21" s="796"/>
      <c r="D21" s="28"/>
      <c r="E21" s="796"/>
      <c r="F21" s="796"/>
      <c r="G21" s="796"/>
      <c r="H21" s="796"/>
    </row>
    <row r="22" spans="1:8">
      <c r="A22" s="24" t="s">
        <v>103</v>
      </c>
      <c r="B22" s="24"/>
      <c r="C22" s="24"/>
      <c r="D22" s="24"/>
      <c r="E22" s="24"/>
      <c r="F22" s="24"/>
      <c r="G22" s="24"/>
      <c r="H22" s="24"/>
    </row>
    <row r="23" spans="1:8" ht="18">
      <c r="A23" s="795">
        <v>37743</v>
      </c>
      <c r="B23" s="26" t="s">
        <v>63</v>
      </c>
      <c r="C23" s="796" t="s">
        <v>104</v>
      </c>
      <c r="D23" s="26" t="s">
        <v>105</v>
      </c>
      <c r="E23" s="796" t="s">
        <v>106</v>
      </c>
      <c r="F23" s="797">
        <v>1500</v>
      </c>
      <c r="G23" s="797">
        <v>139000</v>
      </c>
      <c r="H23" s="796" t="s">
        <v>107</v>
      </c>
    </row>
    <row r="24" spans="1:8" ht="18">
      <c r="A24" s="795"/>
      <c r="B24" s="26"/>
      <c r="C24" s="796"/>
      <c r="D24" s="26" t="s">
        <v>108</v>
      </c>
      <c r="E24" s="796"/>
      <c r="F24" s="797"/>
      <c r="G24" s="797"/>
      <c r="H24" s="796"/>
    </row>
    <row r="25" spans="1:8">
      <c r="A25" s="795"/>
      <c r="C25" s="796"/>
      <c r="D25" s="28"/>
      <c r="E25" s="796"/>
      <c r="F25" s="797"/>
      <c r="G25" s="797"/>
      <c r="H25" s="796"/>
    </row>
    <row r="26" spans="1:8" ht="18">
      <c r="A26" s="795">
        <v>37743</v>
      </c>
      <c r="B26" s="26" t="s">
        <v>63</v>
      </c>
      <c r="C26" s="796" t="s">
        <v>109</v>
      </c>
      <c r="D26" s="26" t="s">
        <v>110</v>
      </c>
      <c r="E26" s="796" t="s">
        <v>106</v>
      </c>
      <c r="F26" s="796">
        <v>130</v>
      </c>
      <c r="G26" s="26" t="s">
        <v>111</v>
      </c>
      <c r="H26" s="796" t="s">
        <v>112</v>
      </c>
    </row>
    <row r="27" spans="1:8" ht="18">
      <c r="A27" s="795"/>
      <c r="C27" s="796"/>
      <c r="D27" s="26" t="s">
        <v>113</v>
      </c>
      <c r="E27" s="796"/>
      <c r="F27" s="796"/>
      <c r="G27" s="26" t="s">
        <v>114</v>
      </c>
      <c r="H27" s="796"/>
    </row>
    <row r="28" spans="1:8" ht="18">
      <c r="A28" s="795">
        <v>37756</v>
      </c>
      <c r="B28" s="26" t="s">
        <v>90</v>
      </c>
      <c r="C28" s="796" t="s">
        <v>115</v>
      </c>
      <c r="D28" s="796" t="s">
        <v>116</v>
      </c>
      <c r="E28" s="26" t="s">
        <v>117</v>
      </c>
      <c r="F28" s="796">
        <v>476</v>
      </c>
      <c r="G28" s="797">
        <v>192000</v>
      </c>
      <c r="H28" s="796" t="s">
        <v>118</v>
      </c>
    </row>
    <row r="29" spans="1:8">
      <c r="A29" s="795"/>
      <c r="C29" s="796"/>
      <c r="D29" s="796"/>
      <c r="E29" s="26" t="s">
        <v>119</v>
      </c>
      <c r="F29" s="796"/>
      <c r="G29" s="797"/>
      <c r="H29" s="796"/>
    </row>
    <row r="30" spans="1:8" ht="14.25" customHeight="1">
      <c r="A30" s="795">
        <v>37756</v>
      </c>
      <c r="B30" s="26" t="s">
        <v>62</v>
      </c>
      <c r="C30" s="796" t="s">
        <v>71</v>
      </c>
      <c r="D30" s="796" t="s">
        <v>120</v>
      </c>
      <c r="E30" s="796" t="s">
        <v>121</v>
      </c>
      <c r="F30" s="796">
        <v>240</v>
      </c>
      <c r="G30" s="796">
        <v>2</v>
      </c>
      <c r="H30" s="796" t="s">
        <v>122</v>
      </c>
    </row>
    <row r="31" spans="1:8">
      <c r="A31" s="795"/>
      <c r="C31" s="796"/>
      <c r="D31" s="796"/>
      <c r="E31" s="796"/>
      <c r="F31" s="796"/>
      <c r="G31" s="796"/>
      <c r="H31" s="796"/>
    </row>
    <row r="32" spans="1:8">
      <c r="A32" s="24" t="s">
        <v>123</v>
      </c>
      <c r="B32" s="24"/>
      <c r="C32" s="24"/>
      <c r="D32" s="24"/>
      <c r="E32" s="24"/>
      <c r="F32" s="24"/>
      <c r="G32" s="24"/>
      <c r="H32" s="24"/>
    </row>
    <row r="33" spans="1:8">
      <c r="A33" s="795">
        <v>37787</v>
      </c>
      <c r="B33" s="26" t="s">
        <v>124</v>
      </c>
      <c r="C33" s="796" t="s">
        <v>125</v>
      </c>
      <c r="D33" s="796" t="s">
        <v>126</v>
      </c>
      <c r="E33" s="796" t="s">
        <v>127</v>
      </c>
      <c r="F33" s="796">
        <v>0</v>
      </c>
      <c r="G33" s="796">
        <v>0</v>
      </c>
      <c r="H33" s="796" t="s">
        <v>128</v>
      </c>
    </row>
    <row r="34" spans="1:8">
      <c r="A34" s="795"/>
      <c r="B34" s="26"/>
      <c r="C34" s="796"/>
      <c r="D34" s="796"/>
      <c r="E34" s="796"/>
      <c r="F34" s="796"/>
      <c r="G34" s="796"/>
      <c r="H34" s="796"/>
    </row>
    <row r="35" spans="1:8">
      <c r="A35" s="795"/>
      <c r="C35" s="796"/>
      <c r="D35" s="796"/>
      <c r="E35" s="796"/>
      <c r="F35" s="796"/>
      <c r="G35" s="796"/>
      <c r="H35" s="796"/>
    </row>
    <row r="36" spans="1:8" ht="18">
      <c r="A36" s="795">
        <v>37802</v>
      </c>
      <c r="B36" s="26" t="s">
        <v>58</v>
      </c>
      <c r="C36" s="796" t="s">
        <v>129</v>
      </c>
      <c r="D36" s="26" t="s">
        <v>130</v>
      </c>
      <c r="E36" s="796" t="s">
        <v>131</v>
      </c>
      <c r="F36" s="796" t="s">
        <v>15</v>
      </c>
      <c r="G36" s="797">
        <v>179299</v>
      </c>
      <c r="H36" s="796" t="s">
        <v>132</v>
      </c>
    </row>
    <row r="37" spans="1:8" ht="18">
      <c r="A37" s="795"/>
      <c r="C37" s="796"/>
      <c r="D37" s="26" t="s">
        <v>133</v>
      </c>
      <c r="E37" s="796"/>
      <c r="F37" s="796"/>
      <c r="G37" s="797"/>
      <c r="H37" s="796"/>
    </row>
    <row r="38" spans="1:8" ht="18">
      <c r="A38" s="795"/>
      <c r="B38" s="28"/>
      <c r="C38" s="796"/>
      <c r="D38" s="26" t="s">
        <v>134</v>
      </c>
      <c r="E38" s="796"/>
      <c r="F38" s="796"/>
      <c r="G38" s="797"/>
      <c r="H38" s="796"/>
    </row>
    <row r="39" spans="1:8" ht="18">
      <c r="A39" s="795"/>
      <c r="B39" s="28"/>
      <c r="C39" s="796"/>
      <c r="D39" s="26" t="s">
        <v>135</v>
      </c>
      <c r="E39" s="796"/>
      <c r="F39" s="796"/>
      <c r="G39" s="797"/>
      <c r="H39" s="796"/>
    </row>
    <row r="40" spans="1:8">
      <c r="A40" s="24" t="s">
        <v>26</v>
      </c>
      <c r="B40" s="24"/>
      <c r="C40" s="24"/>
      <c r="D40" s="24"/>
      <c r="E40" s="24"/>
      <c r="F40" s="24"/>
      <c r="G40" s="24"/>
      <c r="H40" s="24"/>
    </row>
    <row r="41" spans="1:8" ht="18">
      <c r="A41" s="25">
        <v>37803</v>
      </c>
      <c r="B41" s="26" t="s">
        <v>124</v>
      </c>
      <c r="C41" s="26" t="s">
        <v>136</v>
      </c>
      <c r="D41" s="26" t="s">
        <v>137</v>
      </c>
      <c r="E41" s="26" t="s">
        <v>138</v>
      </c>
      <c r="F41" s="27">
        <v>1000</v>
      </c>
      <c r="G41" s="27">
        <v>47000</v>
      </c>
      <c r="H41" s="26" t="s">
        <v>139</v>
      </c>
    </row>
    <row r="42" spans="1:8" ht="18">
      <c r="A42" s="25">
        <v>37804</v>
      </c>
      <c r="B42" s="26" t="s">
        <v>124</v>
      </c>
      <c r="C42" s="26" t="s">
        <v>140</v>
      </c>
      <c r="D42" s="26" t="s">
        <v>141</v>
      </c>
      <c r="E42" s="26" t="s">
        <v>142</v>
      </c>
      <c r="F42" s="26">
        <v>200</v>
      </c>
      <c r="G42" s="26">
        <v>1</v>
      </c>
      <c r="H42" s="26" t="s">
        <v>143</v>
      </c>
    </row>
    <row r="43" spans="1:8" ht="18">
      <c r="A43" s="25">
        <v>37806</v>
      </c>
      <c r="B43" s="26" t="s">
        <v>62</v>
      </c>
      <c r="C43" s="26" t="s">
        <v>144</v>
      </c>
      <c r="D43" s="26" t="s">
        <v>145</v>
      </c>
      <c r="E43" s="26" t="s">
        <v>106</v>
      </c>
      <c r="F43" s="26">
        <v>150</v>
      </c>
      <c r="G43" s="27">
        <v>52000</v>
      </c>
      <c r="H43" s="26" t="s">
        <v>146</v>
      </c>
    </row>
    <row r="44" spans="1:8" ht="27">
      <c r="A44" s="25">
        <v>37806</v>
      </c>
      <c r="B44" s="26" t="s">
        <v>60</v>
      </c>
      <c r="C44" s="26" t="s">
        <v>147</v>
      </c>
      <c r="D44" s="26" t="s">
        <v>148</v>
      </c>
      <c r="E44" s="26" t="s">
        <v>106</v>
      </c>
      <c r="F44" s="26" t="s">
        <v>149</v>
      </c>
      <c r="G44" s="27">
        <v>131000</v>
      </c>
      <c r="H44" s="26" t="s">
        <v>150</v>
      </c>
    </row>
    <row r="45" spans="1:8" ht="36">
      <c r="A45" s="25">
        <v>37806</v>
      </c>
      <c r="B45" s="26" t="s">
        <v>60</v>
      </c>
      <c r="C45" s="26" t="s">
        <v>151</v>
      </c>
      <c r="D45" s="26" t="s">
        <v>152</v>
      </c>
      <c r="E45" s="26" t="s">
        <v>153</v>
      </c>
      <c r="F45" s="26">
        <v>200</v>
      </c>
      <c r="G45" s="27">
        <v>55142</v>
      </c>
      <c r="H45" s="26" t="s">
        <v>154</v>
      </c>
    </row>
    <row r="46" spans="1:8" ht="18">
      <c r="A46" s="25">
        <v>37807</v>
      </c>
      <c r="B46" s="26" t="s">
        <v>62</v>
      </c>
      <c r="C46" s="26" t="s">
        <v>155</v>
      </c>
      <c r="D46" s="26" t="s">
        <v>156</v>
      </c>
      <c r="E46" s="26" t="s">
        <v>153</v>
      </c>
      <c r="F46" s="26">
        <v>80</v>
      </c>
      <c r="G46" s="27">
        <v>130000</v>
      </c>
      <c r="H46" s="26" t="s">
        <v>157</v>
      </c>
    </row>
    <row r="47" spans="1:8" ht="18">
      <c r="A47" s="25">
        <v>37809</v>
      </c>
      <c r="B47" s="26" t="s">
        <v>62</v>
      </c>
      <c r="C47" s="26" t="s">
        <v>147</v>
      </c>
      <c r="D47" s="26" t="s">
        <v>156</v>
      </c>
      <c r="E47" s="26" t="s">
        <v>106</v>
      </c>
      <c r="F47" s="26" t="s">
        <v>15</v>
      </c>
      <c r="G47" s="27">
        <v>72000</v>
      </c>
      <c r="H47" s="26" t="s">
        <v>158</v>
      </c>
    </row>
    <row r="48" spans="1:8" ht="18">
      <c r="A48" s="25">
        <v>37810</v>
      </c>
      <c r="B48" s="26" t="s">
        <v>60</v>
      </c>
      <c r="C48" s="26" t="s">
        <v>159</v>
      </c>
      <c r="D48" s="26" t="s">
        <v>160</v>
      </c>
      <c r="E48" s="26" t="s">
        <v>106</v>
      </c>
      <c r="F48" s="27">
        <v>11000</v>
      </c>
      <c r="G48" s="27">
        <v>134500</v>
      </c>
      <c r="H48" s="26" t="s">
        <v>161</v>
      </c>
    </row>
    <row r="49" spans="1:8" ht="36">
      <c r="A49" s="25">
        <v>37811</v>
      </c>
      <c r="B49" s="26" t="s">
        <v>63</v>
      </c>
      <c r="C49" s="26" t="s">
        <v>162</v>
      </c>
      <c r="D49" s="26" t="s">
        <v>163</v>
      </c>
      <c r="E49" s="26" t="s">
        <v>106</v>
      </c>
      <c r="F49" s="26">
        <v>120</v>
      </c>
      <c r="G49" s="27">
        <v>80000</v>
      </c>
      <c r="H49" s="26" t="s">
        <v>164</v>
      </c>
    </row>
    <row r="50" spans="1:8" ht="18">
      <c r="A50" s="25">
        <v>37817</v>
      </c>
      <c r="B50" s="26" t="s">
        <v>90</v>
      </c>
      <c r="C50" s="26" t="s">
        <v>165</v>
      </c>
      <c r="D50" s="26" t="s">
        <v>166</v>
      </c>
      <c r="E50" s="26" t="s">
        <v>167</v>
      </c>
      <c r="F50" s="26" t="s">
        <v>168</v>
      </c>
      <c r="G50" s="27">
        <v>108000</v>
      </c>
      <c r="H50" s="26" t="s">
        <v>169</v>
      </c>
    </row>
    <row r="51" spans="1:8" ht="18">
      <c r="A51" s="25">
        <v>37823</v>
      </c>
      <c r="B51" s="26" t="s">
        <v>65</v>
      </c>
      <c r="C51" s="26" t="s">
        <v>170</v>
      </c>
      <c r="D51" s="26" t="s">
        <v>171</v>
      </c>
      <c r="E51" s="26" t="s">
        <v>153</v>
      </c>
      <c r="F51" s="26" t="s">
        <v>172</v>
      </c>
      <c r="G51" s="27">
        <v>185000</v>
      </c>
      <c r="H51" s="26" t="s">
        <v>173</v>
      </c>
    </row>
    <row r="52" spans="1:8" ht="18.75" thickBot="1">
      <c r="A52" s="29">
        <v>37830</v>
      </c>
      <c r="B52" s="30" t="s">
        <v>124</v>
      </c>
      <c r="C52" s="30" t="s">
        <v>174</v>
      </c>
      <c r="D52" s="30" t="s">
        <v>24</v>
      </c>
      <c r="E52" s="30" t="s">
        <v>175</v>
      </c>
      <c r="F52" s="30">
        <v>440</v>
      </c>
      <c r="G52" s="31">
        <v>90000</v>
      </c>
      <c r="H52" s="30" t="s">
        <v>176</v>
      </c>
    </row>
    <row r="53" spans="1:8" ht="16.5" thickTop="1">
      <c r="A53" s="32"/>
    </row>
    <row r="54" spans="1:8">
      <c r="A54" s="33"/>
    </row>
    <row r="55" spans="1:8">
      <c r="A55" s="19" t="s">
        <v>0</v>
      </c>
      <c r="B55" s="19" t="s">
        <v>66</v>
      </c>
    </row>
    <row r="56" spans="1:8" ht="13.5" thickBot="1">
      <c r="A56" s="34" t="s">
        <v>177</v>
      </c>
    </row>
    <row r="57" spans="1:8" ht="33.75" thickTop="1" thickBot="1">
      <c r="A57" s="35" t="s">
        <v>2</v>
      </c>
      <c r="B57" s="35" t="s">
        <v>57</v>
      </c>
      <c r="C57" s="35" t="s">
        <v>3</v>
      </c>
      <c r="D57" s="35" t="s">
        <v>4</v>
      </c>
      <c r="E57" s="35" t="s">
        <v>5</v>
      </c>
      <c r="F57" s="35" t="s">
        <v>6</v>
      </c>
      <c r="G57" s="35" t="s">
        <v>68</v>
      </c>
      <c r="H57" s="36" t="s">
        <v>8</v>
      </c>
    </row>
    <row r="58" spans="1:8">
      <c r="A58" s="24" t="s">
        <v>32</v>
      </c>
      <c r="B58" s="24"/>
      <c r="C58" s="24"/>
      <c r="D58" s="24"/>
      <c r="E58" s="24"/>
      <c r="F58" s="24"/>
      <c r="G58" s="24"/>
      <c r="H58" s="24"/>
    </row>
    <row r="59" spans="1:8" ht="27">
      <c r="A59" s="795">
        <v>37847</v>
      </c>
      <c r="B59" s="796" t="s">
        <v>60</v>
      </c>
      <c r="C59" s="796" t="s">
        <v>178</v>
      </c>
      <c r="D59" s="796" t="s">
        <v>179</v>
      </c>
      <c r="E59" s="796" t="s">
        <v>180</v>
      </c>
      <c r="F59" s="26" t="s">
        <v>181</v>
      </c>
      <c r="G59" s="796" t="s">
        <v>15</v>
      </c>
      <c r="H59" s="26" t="s">
        <v>182</v>
      </c>
    </row>
    <row r="60" spans="1:8" ht="18">
      <c r="A60" s="795"/>
      <c r="B60" s="796"/>
      <c r="C60" s="796"/>
      <c r="D60" s="796"/>
      <c r="E60" s="796"/>
      <c r="F60" s="26" t="s">
        <v>183</v>
      </c>
      <c r="G60" s="796"/>
      <c r="H60" s="26" t="s">
        <v>184</v>
      </c>
    </row>
    <row r="61" spans="1:8" ht="18">
      <c r="A61" s="795"/>
      <c r="B61" s="796"/>
      <c r="C61" s="796"/>
      <c r="D61" s="796"/>
      <c r="E61" s="796"/>
      <c r="F61" s="26" t="s">
        <v>185</v>
      </c>
      <c r="G61" s="796"/>
      <c r="H61" s="28"/>
    </row>
    <row r="62" spans="1:8" ht="18">
      <c r="A62" s="795"/>
      <c r="B62" s="796"/>
      <c r="C62" s="796"/>
      <c r="D62" s="796"/>
      <c r="E62" s="796"/>
      <c r="F62" s="26" t="s">
        <v>186</v>
      </c>
      <c r="G62" s="796"/>
      <c r="H62" s="28"/>
    </row>
    <row r="63" spans="1:8" ht="36">
      <c r="A63" s="25">
        <v>37847</v>
      </c>
      <c r="B63" s="26" t="s">
        <v>60</v>
      </c>
      <c r="C63" s="26" t="s">
        <v>187</v>
      </c>
      <c r="D63" s="26" t="s">
        <v>188</v>
      </c>
      <c r="E63" s="26" t="s">
        <v>180</v>
      </c>
      <c r="F63" s="27">
        <v>11000</v>
      </c>
      <c r="G63" s="27">
        <v>2100000</v>
      </c>
      <c r="H63" s="26" t="s">
        <v>189</v>
      </c>
    </row>
    <row r="64" spans="1:8" ht="81">
      <c r="A64" s="25">
        <v>37847</v>
      </c>
      <c r="B64" s="26" t="s">
        <v>60</v>
      </c>
      <c r="C64" s="26" t="s">
        <v>187</v>
      </c>
      <c r="D64" s="26" t="s">
        <v>190</v>
      </c>
      <c r="E64" s="26" t="s">
        <v>180</v>
      </c>
      <c r="F64" s="27">
        <v>1007</v>
      </c>
      <c r="G64" s="27">
        <v>101000</v>
      </c>
      <c r="H64" s="26" t="s">
        <v>191</v>
      </c>
    </row>
    <row r="65" spans="1:8" ht="18">
      <c r="A65" s="25">
        <v>37847</v>
      </c>
      <c r="B65" s="26" t="s">
        <v>60</v>
      </c>
      <c r="C65" s="26" t="s">
        <v>192</v>
      </c>
      <c r="D65" s="26" t="s">
        <v>193</v>
      </c>
      <c r="E65" s="26" t="s">
        <v>180</v>
      </c>
      <c r="F65" s="27">
        <v>7000</v>
      </c>
      <c r="G65" s="27">
        <v>1203000</v>
      </c>
      <c r="H65" s="26" t="s">
        <v>194</v>
      </c>
    </row>
    <row r="66" spans="1:8" ht="23.25" customHeight="1">
      <c r="A66" s="795">
        <v>37847</v>
      </c>
      <c r="B66" s="796" t="s">
        <v>61</v>
      </c>
      <c r="C66" s="796" t="s">
        <v>192</v>
      </c>
      <c r="D66" s="796" t="s">
        <v>195</v>
      </c>
      <c r="E66" s="796" t="s">
        <v>180</v>
      </c>
      <c r="F66" s="797">
        <v>2500</v>
      </c>
      <c r="G66" s="796" t="s">
        <v>15</v>
      </c>
      <c r="H66" s="26" t="s">
        <v>196</v>
      </c>
    </row>
    <row r="67" spans="1:8" ht="18">
      <c r="A67" s="795"/>
      <c r="B67" s="796"/>
      <c r="C67" s="796"/>
      <c r="D67" s="796"/>
      <c r="E67" s="796"/>
      <c r="F67" s="797"/>
      <c r="G67" s="796"/>
      <c r="H67" s="26" t="s">
        <v>197</v>
      </c>
    </row>
    <row r="68" spans="1:8" ht="18">
      <c r="A68" s="795"/>
      <c r="B68" s="796"/>
      <c r="C68" s="796"/>
      <c r="D68" s="796"/>
      <c r="E68" s="796"/>
      <c r="F68" s="797"/>
      <c r="G68" s="796"/>
      <c r="H68" s="26" t="s">
        <v>198</v>
      </c>
    </row>
    <row r="69" spans="1:8">
      <c r="A69" s="795"/>
      <c r="B69" s="796"/>
      <c r="C69" s="796"/>
      <c r="D69" s="796"/>
      <c r="E69" s="796"/>
      <c r="F69" s="797"/>
      <c r="G69" s="796"/>
      <c r="H69" s="26" t="s">
        <v>199</v>
      </c>
    </row>
    <row r="70" spans="1:8" ht="18">
      <c r="A70" s="25">
        <v>37847</v>
      </c>
      <c r="B70" s="26" t="s">
        <v>61</v>
      </c>
      <c r="C70" s="26" t="s">
        <v>192</v>
      </c>
      <c r="D70" s="26" t="s">
        <v>200</v>
      </c>
      <c r="E70" s="26" t="s">
        <v>180</v>
      </c>
      <c r="F70" s="27">
        <v>22934</v>
      </c>
      <c r="G70" s="26" t="s">
        <v>201</v>
      </c>
      <c r="H70" s="26" t="s">
        <v>202</v>
      </c>
    </row>
    <row r="71" spans="1:8" ht="54">
      <c r="A71" s="25">
        <v>37847</v>
      </c>
      <c r="B71" s="26" t="s">
        <v>61</v>
      </c>
      <c r="C71" s="26" t="s">
        <v>192</v>
      </c>
      <c r="D71" s="26" t="s">
        <v>203</v>
      </c>
      <c r="E71" s="26" t="s">
        <v>180</v>
      </c>
      <c r="F71" s="26" t="s">
        <v>15</v>
      </c>
      <c r="G71" s="27">
        <v>840137</v>
      </c>
      <c r="H71" s="26" t="s">
        <v>204</v>
      </c>
    </row>
    <row r="72" spans="1:8" ht="18" customHeight="1">
      <c r="A72" s="795">
        <v>37847</v>
      </c>
      <c r="B72" s="796" t="s">
        <v>65</v>
      </c>
      <c r="C72" s="796" t="s">
        <v>192</v>
      </c>
      <c r="D72" s="796" t="s">
        <v>205</v>
      </c>
      <c r="E72" s="796" t="s">
        <v>180</v>
      </c>
      <c r="F72" s="796" t="s">
        <v>206</v>
      </c>
      <c r="G72" s="796" t="s">
        <v>15</v>
      </c>
      <c r="H72" s="26" t="s">
        <v>207</v>
      </c>
    </row>
    <row r="73" spans="1:8" ht="18">
      <c r="A73" s="795"/>
      <c r="B73" s="796"/>
      <c r="C73" s="796"/>
      <c r="D73" s="796"/>
      <c r="E73" s="796"/>
      <c r="F73" s="796"/>
      <c r="G73" s="796"/>
      <c r="H73" s="26" t="s">
        <v>208</v>
      </c>
    </row>
    <row r="74" spans="1:8" ht="63">
      <c r="A74" s="25">
        <v>37847</v>
      </c>
      <c r="B74" s="26" t="s">
        <v>61</v>
      </c>
      <c r="C74" s="26" t="s">
        <v>209</v>
      </c>
      <c r="D74" s="26" t="s">
        <v>210</v>
      </c>
      <c r="E74" s="26" t="s">
        <v>180</v>
      </c>
      <c r="F74" s="27">
        <v>11202</v>
      </c>
      <c r="G74" s="27">
        <v>3125350</v>
      </c>
      <c r="H74" s="26" t="s">
        <v>211</v>
      </c>
    </row>
    <row r="75" spans="1:8" ht="153">
      <c r="A75" s="25">
        <v>37859</v>
      </c>
      <c r="B75" s="26" t="s">
        <v>65</v>
      </c>
      <c r="C75" s="26" t="s">
        <v>212</v>
      </c>
      <c r="D75" s="26" t="s">
        <v>213</v>
      </c>
      <c r="E75" s="26" t="s">
        <v>106</v>
      </c>
      <c r="F75" s="26">
        <v>625</v>
      </c>
      <c r="G75" s="26" t="s">
        <v>214</v>
      </c>
      <c r="H75" s="26" t="s">
        <v>215</v>
      </c>
    </row>
    <row r="76" spans="1:8" ht="72">
      <c r="A76" s="25">
        <v>37859</v>
      </c>
      <c r="B76" s="26" t="s">
        <v>65</v>
      </c>
      <c r="C76" s="26" t="s">
        <v>216</v>
      </c>
      <c r="D76" s="26" t="s">
        <v>217</v>
      </c>
      <c r="E76" s="26" t="s">
        <v>106</v>
      </c>
      <c r="F76" s="27">
        <v>1500</v>
      </c>
      <c r="G76" s="27">
        <v>153000</v>
      </c>
      <c r="H76" s="26" t="s">
        <v>218</v>
      </c>
    </row>
    <row r="77" spans="1:8">
      <c r="A77" s="24" t="s">
        <v>219</v>
      </c>
      <c r="B77" s="24"/>
      <c r="C77" s="24"/>
      <c r="D77" s="24"/>
      <c r="E77" s="24"/>
      <c r="F77" s="24"/>
      <c r="G77" s="24"/>
      <c r="H77" s="24"/>
    </row>
    <row r="78" spans="1:8" ht="27">
      <c r="A78" s="25">
        <v>37871</v>
      </c>
      <c r="B78" s="26" t="s">
        <v>62</v>
      </c>
      <c r="C78" s="26" t="s">
        <v>220</v>
      </c>
      <c r="D78" s="26" t="s">
        <v>120</v>
      </c>
      <c r="E78" s="26" t="s">
        <v>221</v>
      </c>
      <c r="F78" s="26">
        <v>310</v>
      </c>
      <c r="G78" s="26" t="s">
        <v>222</v>
      </c>
      <c r="H78" s="26" t="s">
        <v>223</v>
      </c>
    </row>
    <row r="79" spans="1:8" ht="72">
      <c r="A79" s="25">
        <v>37882</v>
      </c>
      <c r="B79" s="26" t="s">
        <v>63</v>
      </c>
      <c r="C79" s="26" t="s">
        <v>224</v>
      </c>
      <c r="D79" s="26" t="s">
        <v>225</v>
      </c>
      <c r="E79" s="26" t="s">
        <v>226</v>
      </c>
      <c r="F79" s="27">
        <v>6512</v>
      </c>
      <c r="G79" s="26" t="s">
        <v>227</v>
      </c>
      <c r="H79" s="26" t="s">
        <v>228</v>
      </c>
    </row>
    <row r="80" spans="1:8" ht="27">
      <c r="A80" s="25">
        <v>37882</v>
      </c>
      <c r="B80" s="26" t="s">
        <v>63</v>
      </c>
      <c r="C80" s="26" t="s">
        <v>229</v>
      </c>
      <c r="D80" s="26" t="s">
        <v>230</v>
      </c>
      <c r="E80" s="26" t="s">
        <v>226</v>
      </c>
      <c r="F80" s="26" t="s">
        <v>231</v>
      </c>
      <c r="G80" s="26" t="s">
        <v>232</v>
      </c>
      <c r="H80" s="26" t="s">
        <v>233</v>
      </c>
    </row>
    <row r="81" spans="1:8" ht="189">
      <c r="A81" s="25">
        <v>37882</v>
      </c>
      <c r="B81" s="26" t="s">
        <v>65</v>
      </c>
      <c r="C81" s="26" t="s">
        <v>234</v>
      </c>
      <c r="D81" s="26" t="s">
        <v>235</v>
      </c>
      <c r="E81" s="26" t="s">
        <v>226</v>
      </c>
      <c r="F81" s="27">
        <v>2000</v>
      </c>
      <c r="G81" s="27">
        <v>650000</v>
      </c>
      <c r="H81" s="26" t="s">
        <v>236</v>
      </c>
    </row>
    <row r="82" spans="1:8" ht="36">
      <c r="A82" s="25">
        <v>37882</v>
      </c>
      <c r="B82" s="26" t="s">
        <v>65</v>
      </c>
      <c r="C82" s="26" t="s">
        <v>71</v>
      </c>
      <c r="D82" s="26" t="s">
        <v>237</v>
      </c>
      <c r="E82" s="26" t="s">
        <v>226</v>
      </c>
      <c r="F82" s="27">
        <v>3085</v>
      </c>
      <c r="G82" s="27">
        <v>237366</v>
      </c>
      <c r="H82" s="26" t="s">
        <v>238</v>
      </c>
    </row>
    <row r="83" spans="1:8" ht="72.75" thickBot="1">
      <c r="A83" s="29">
        <v>37882</v>
      </c>
      <c r="B83" s="30" t="s">
        <v>63</v>
      </c>
      <c r="C83" s="30" t="s">
        <v>239</v>
      </c>
      <c r="D83" s="30" t="s">
        <v>240</v>
      </c>
      <c r="E83" s="30" t="s">
        <v>226</v>
      </c>
      <c r="F83" s="30" t="s">
        <v>241</v>
      </c>
      <c r="G83" s="30" t="s">
        <v>242</v>
      </c>
      <c r="H83" s="30" t="s">
        <v>243</v>
      </c>
    </row>
    <row r="84" spans="1:8" ht="16.5" thickTop="1">
      <c r="A84" s="32"/>
    </row>
    <row r="85" spans="1:8">
      <c r="A85" s="33"/>
    </row>
    <row r="86" spans="1:8">
      <c r="A86" s="19" t="s">
        <v>0</v>
      </c>
      <c r="B86" s="19" t="s">
        <v>66</v>
      </c>
    </row>
    <row r="87" spans="1:8" ht="13.5" thickBot="1">
      <c r="A87" s="34" t="s">
        <v>177</v>
      </c>
    </row>
    <row r="88" spans="1:8" ht="33.75" thickTop="1" thickBot="1">
      <c r="A88" s="35" t="s">
        <v>2</v>
      </c>
      <c r="B88" s="35" t="s">
        <v>57</v>
      </c>
      <c r="C88" s="35" t="s">
        <v>3</v>
      </c>
      <c r="D88" s="35" t="s">
        <v>4</v>
      </c>
      <c r="E88" s="35" t="s">
        <v>5</v>
      </c>
      <c r="F88" s="35" t="s">
        <v>6</v>
      </c>
      <c r="G88" s="35" t="s">
        <v>68</v>
      </c>
      <c r="H88" s="36" t="s">
        <v>8</v>
      </c>
    </row>
    <row r="89" spans="1:8">
      <c r="A89" s="37"/>
    </row>
    <row r="90" spans="1:8" ht="63">
      <c r="A90" s="25">
        <v>37882</v>
      </c>
      <c r="B90" s="26" t="s">
        <v>65</v>
      </c>
      <c r="C90" s="26" t="s">
        <v>244</v>
      </c>
      <c r="D90" s="26" t="s">
        <v>245</v>
      </c>
      <c r="E90" s="26" t="s">
        <v>226</v>
      </c>
      <c r="F90" s="26" t="s">
        <v>15</v>
      </c>
      <c r="G90" s="26" t="s">
        <v>246</v>
      </c>
      <c r="H90" s="26" t="s">
        <v>247</v>
      </c>
    </row>
    <row r="91" spans="1:8" ht="72">
      <c r="A91" s="25">
        <v>37882</v>
      </c>
      <c r="B91" s="26" t="s">
        <v>65</v>
      </c>
      <c r="C91" s="26" t="s">
        <v>248</v>
      </c>
      <c r="D91" s="26" t="s">
        <v>249</v>
      </c>
      <c r="E91" s="26" t="s">
        <v>226</v>
      </c>
      <c r="F91" s="27">
        <v>1300</v>
      </c>
      <c r="G91" s="27">
        <v>425000</v>
      </c>
      <c r="H91" s="26" t="s">
        <v>250</v>
      </c>
    </row>
    <row r="92" spans="1:8">
      <c r="A92" s="24" t="s">
        <v>35</v>
      </c>
      <c r="B92" s="24"/>
      <c r="C92" s="24"/>
      <c r="D92" s="24"/>
      <c r="E92" s="24"/>
      <c r="F92" s="24"/>
      <c r="G92" s="24"/>
      <c r="H92" s="24"/>
    </row>
    <row r="93" spans="1:8" ht="27">
      <c r="A93" s="25">
        <v>37920</v>
      </c>
      <c r="B93" s="26" t="s">
        <v>251</v>
      </c>
      <c r="C93" s="26" t="s">
        <v>252</v>
      </c>
      <c r="D93" s="26" t="s">
        <v>253</v>
      </c>
      <c r="E93" s="26" t="s">
        <v>254</v>
      </c>
      <c r="F93" s="26" t="s">
        <v>255</v>
      </c>
      <c r="G93" s="26" t="s">
        <v>256</v>
      </c>
      <c r="H93" s="26" t="s">
        <v>257</v>
      </c>
    </row>
    <row r="94" spans="1:8">
      <c r="A94" s="24" t="s">
        <v>38</v>
      </c>
      <c r="B94" s="24"/>
      <c r="C94" s="24"/>
      <c r="D94" s="24"/>
      <c r="E94" s="24"/>
      <c r="F94" s="24"/>
      <c r="G94" s="24"/>
      <c r="H94" s="24"/>
    </row>
    <row r="95" spans="1:8" ht="18">
      <c r="A95" s="25">
        <v>37930</v>
      </c>
      <c r="B95" s="26" t="s">
        <v>65</v>
      </c>
      <c r="C95" s="26" t="s">
        <v>258</v>
      </c>
      <c r="D95" s="26" t="s">
        <v>259</v>
      </c>
      <c r="E95" s="26" t="s">
        <v>260</v>
      </c>
      <c r="F95" s="26">
        <v>350</v>
      </c>
      <c r="G95" s="26">
        <v>1</v>
      </c>
      <c r="H95" s="26" t="s">
        <v>261</v>
      </c>
    </row>
    <row r="96" spans="1:8" ht="27">
      <c r="A96" s="25">
        <v>37937</v>
      </c>
      <c r="B96" s="26" t="s">
        <v>60</v>
      </c>
      <c r="C96" s="26" t="s">
        <v>104</v>
      </c>
      <c r="D96" s="26" t="s">
        <v>148</v>
      </c>
      <c r="E96" s="26" t="s">
        <v>262</v>
      </c>
      <c r="F96" s="26" t="s">
        <v>149</v>
      </c>
      <c r="G96" s="27">
        <v>245000</v>
      </c>
      <c r="H96" s="26" t="s">
        <v>263</v>
      </c>
    </row>
    <row r="97" spans="1:8" ht="18">
      <c r="A97" s="25">
        <v>37937</v>
      </c>
      <c r="B97" s="26" t="s">
        <v>62</v>
      </c>
      <c r="C97" s="26" t="s">
        <v>104</v>
      </c>
      <c r="D97" s="26" t="s">
        <v>156</v>
      </c>
      <c r="E97" s="26" t="s">
        <v>264</v>
      </c>
      <c r="F97" s="26" t="s">
        <v>265</v>
      </c>
      <c r="G97" s="27">
        <v>51000</v>
      </c>
      <c r="H97" s="26" t="s">
        <v>266</v>
      </c>
    </row>
    <row r="98" spans="1:8" ht="18">
      <c r="A98" s="25">
        <v>37937</v>
      </c>
      <c r="B98" s="26" t="s">
        <v>60</v>
      </c>
      <c r="C98" s="26" t="s">
        <v>267</v>
      </c>
      <c r="D98" s="26" t="s">
        <v>268</v>
      </c>
      <c r="E98" s="26" t="s">
        <v>269</v>
      </c>
      <c r="F98" s="26" t="s">
        <v>270</v>
      </c>
      <c r="G98" s="27">
        <v>160000</v>
      </c>
      <c r="H98" s="26" t="s">
        <v>271</v>
      </c>
    </row>
    <row r="99" spans="1:8" ht="189">
      <c r="A99" s="25">
        <v>37938</v>
      </c>
      <c r="B99" s="26" t="s">
        <v>65</v>
      </c>
      <c r="C99" s="26" t="s">
        <v>144</v>
      </c>
      <c r="D99" s="26" t="s">
        <v>272</v>
      </c>
      <c r="E99" s="26" t="s">
        <v>264</v>
      </c>
      <c r="F99" s="26">
        <v>375</v>
      </c>
      <c r="G99" s="27">
        <v>110000</v>
      </c>
      <c r="H99" s="26" t="s">
        <v>273</v>
      </c>
    </row>
    <row r="100" spans="1:8" ht="18">
      <c r="A100" s="25">
        <v>37938</v>
      </c>
      <c r="B100" s="26" t="s">
        <v>61</v>
      </c>
      <c r="C100" s="26" t="s">
        <v>274</v>
      </c>
      <c r="D100" s="26" t="s">
        <v>30</v>
      </c>
      <c r="E100" s="26" t="s">
        <v>269</v>
      </c>
      <c r="F100" s="26" t="s">
        <v>275</v>
      </c>
      <c r="G100" s="27">
        <v>50280</v>
      </c>
      <c r="H100" s="26" t="s">
        <v>276</v>
      </c>
    </row>
    <row r="101" spans="1:8" ht="63">
      <c r="A101" s="25">
        <v>37938</v>
      </c>
      <c r="B101" s="26" t="s">
        <v>65</v>
      </c>
      <c r="C101" s="26" t="s">
        <v>91</v>
      </c>
      <c r="D101" s="26" t="s">
        <v>277</v>
      </c>
      <c r="E101" s="26" t="s">
        <v>278</v>
      </c>
      <c r="F101" s="26" t="s">
        <v>279</v>
      </c>
      <c r="G101" s="26" t="s">
        <v>280</v>
      </c>
      <c r="H101" s="26" t="s">
        <v>281</v>
      </c>
    </row>
    <row r="102" spans="1:8" ht="45">
      <c r="A102" s="25">
        <v>37938</v>
      </c>
      <c r="B102" s="26" t="s">
        <v>63</v>
      </c>
      <c r="C102" s="26" t="s">
        <v>282</v>
      </c>
      <c r="D102" s="26" t="s">
        <v>283</v>
      </c>
      <c r="E102" s="26" t="s">
        <v>262</v>
      </c>
      <c r="F102" s="26">
        <v>300</v>
      </c>
      <c r="G102" s="27">
        <v>67000</v>
      </c>
      <c r="H102" s="26" t="s">
        <v>284</v>
      </c>
    </row>
    <row r="103" spans="1:8">
      <c r="A103" s="24" t="s">
        <v>47</v>
      </c>
      <c r="B103" s="24"/>
      <c r="C103" s="24"/>
      <c r="D103" s="24"/>
      <c r="E103" s="24"/>
      <c r="F103" s="24"/>
      <c r="G103" s="24"/>
      <c r="H103" s="24"/>
    </row>
    <row r="104" spans="1:8" ht="45">
      <c r="A104" s="25">
        <v>37956</v>
      </c>
      <c r="B104" s="26" t="s">
        <v>61</v>
      </c>
      <c r="C104" s="26" t="s">
        <v>285</v>
      </c>
      <c r="D104" s="26" t="s">
        <v>286</v>
      </c>
      <c r="E104" s="26" t="s">
        <v>287</v>
      </c>
      <c r="F104" s="26">
        <v>630</v>
      </c>
      <c r="G104" s="27">
        <v>300000</v>
      </c>
      <c r="H104" s="26" t="s">
        <v>288</v>
      </c>
    </row>
    <row r="105" spans="1:8" ht="45">
      <c r="A105" s="25">
        <v>37959</v>
      </c>
      <c r="B105" s="26" t="s">
        <v>124</v>
      </c>
      <c r="C105" s="26" t="s">
        <v>289</v>
      </c>
      <c r="D105" s="26" t="s">
        <v>290</v>
      </c>
      <c r="E105" s="26" t="s">
        <v>264</v>
      </c>
      <c r="F105" s="26">
        <v>175</v>
      </c>
      <c r="G105" s="26" t="s">
        <v>291</v>
      </c>
      <c r="H105" s="26" t="s">
        <v>292</v>
      </c>
    </row>
    <row r="106" spans="1:8" ht="63">
      <c r="A106" s="25">
        <v>37959</v>
      </c>
      <c r="B106" s="26" t="s">
        <v>62</v>
      </c>
      <c r="C106" s="26" t="s">
        <v>293</v>
      </c>
      <c r="D106" s="26" t="s">
        <v>294</v>
      </c>
      <c r="E106" s="26" t="s">
        <v>295</v>
      </c>
      <c r="F106" s="26">
        <v>650</v>
      </c>
      <c r="G106" s="26" t="s">
        <v>296</v>
      </c>
      <c r="H106" s="26" t="s">
        <v>297</v>
      </c>
    </row>
    <row r="107" spans="1:8" ht="45">
      <c r="A107" s="25">
        <v>37959</v>
      </c>
      <c r="B107" s="26" t="s">
        <v>62</v>
      </c>
      <c r="C107" s="26" t="s">
        <v>298</v>
      </c>
      <c r="D107" s="26" t="s">
        <v>299</v>
      </c>
      <c r="E107" s="26" t="s">
        <v>295</v>
      </c>
      <c r="F107" s="26">
        <v>500</v>
      </c>
      <c r="G107" s="27">
        <v>36000</v>
      </c>
      <c r="H107" s="26" t="s">
        <v>300</v>
      </c>
    </row>
    <row r="108" spans="1:8" ht="27">
      <c r="A108" s="25">
        <v>37960</v>
      </c>
      <c r="B108" s="26" t="s">
        <v>301</v>
      </c>
      <c r="C108" s="26" t="s">
        <v>302</v>
      </c>
      <c r="D108" s="26" t="s">
        <v>303</v>
      </c>
      <c r="E108" s="26" t="s">
        <v>304</v>
      </c>
      <c r="F108" s="26">
        <v>27</v>
      </c>
      <c r="G108" s="27">
        <v>16500</v>
      </c>
      <c r="H108" s="26" t="s">
        <v>305</v>
      </c>
    </row>
    <row r="109" spans="1:8" ht="63">
      <c r="A109" s="25">
        <v>37960</v>
      </c>
      <c r="B109" s="26" t="s">
        <v>62</v>
      </c>
      <c r="C109" s="26" t="s">
        <v>289</v>
      </c>
      <c r="D109" s="26" t="s">
        <v>294</v>
      </c>
      <c r="E109" s="26" t="s">
        <v>304</v>
      </c>
      <c r="F109" s="26">
        <v>14</v>
      </c>
      <c r="G109" s="26">
        <v>2</v>
      </c>
      <c r="H109" s="26" t="s">
        <v>306</v>
      </c>
    </row>
    <row r="110" spans="1:8" ht="27">
      <c r="A110" s="25">
        <v>37975</v>
      </c>
      <c r="B110" s="26" t="s">
        <v>124</v>
      </c>
      <c r="C110" s="26" t="s">
        <v>307</v>
      </c>
      <c r="D110" s="26" t="s">
        <v>308</v>
      </c>
      <c r="E110" s="26" t="s">
        <v>309</v>
      </c>
      <c r="F110" s="26">
        <v>150</v>
      </c>
      <c r="G110" s="27">
        <v>120000</v>
      </c>
      <c r="H110" s="26" t="s">
        <v>310</v>
      </c>
    </row>
    <row r="111" spans="1:8" ht="27">
      <c r="A111" s="25">
        <v>37977</v>
      </c>
      <c r="B111" s="26" t="s">
        <v>124</v>
      </c>
      <c r="C111" s="26" t="s">
        <v>311</v>
      </c>
      <c r="D111" s="26" t="s">
        <v>312</v>
      </c>
      <c r="E111" s="26" t="s">
        <v>313</v>
      </c>
      <c r="F111" s="26">
        <v>220</v>
      </c>
      <c r="G111" s="27">
        <v>109750</v>
      </c>
      <c r="H111" s="26" t="s">
        <v>314</v>
      </c>
    </row>
    <row r="112" spans="1:8" ht="18.75" thickBot="1">
      <c r="A112" s="29">
        <v>37983</v>
      </c>
      <c r="B112" s="30" t="s">
        <v>124</v>
      </c>
      <c r="C112" s="30" t="s">
        <v>248</v>
      </c>
      <c r="D112" s="30" t="s">
        <v>141</v>
      </c>
      <c r="E112" s="30" t="s">
        <v>40</v>
      </c>
      <c r="F112" s="30">
        <v>160</v>
      </c>
      <c r="G112" s="31">
        <v>241000</v>
      </c>
      <c r="H112" s="30" t="s">
        <v>315</v>
      </c>
    </row>
    <row r="113" spans="1:1" ht="13.5" thickTop="1">
      <c r="A113" s="38" t="s">
        <v>316</v>
      </c>
    </row>
    <row r="114" spans="1:1">
      <c r="A114" s="39" t="s">
        <v>317</v>
      </c>
    </row>
    <row r="115" spans="1:1">
      <c r="A115" s="39" t="s">
        <v>318</v>
      </c>
    </row>
    <row r="116" spans="1:1">
      <c r="A116" s="39" t="s">
        <v>319</v>
      </c>
    </row>
    <row r="117" spans="1:1">
      <c r="A117" s="39" t="s">
        <v>320</v>
      </c>
    </row>
    <row r="118" spans="1:1">
      <c r="A118" s="37" t="s">
        <v>54</v>
      </c>
    </row>
    <row r="119" spans="1:1">
      <c r="A119" s="37" t="s">
        <v>321</v>
      </c>
    </row>
  </sheetData>
  <mergeCells count="82">
    <mergeCell ref="C59:C62"/>
    <mergeCell ref="D59:D62"/>
    <mergeCell ref="E59:E62"/>
    <mergeCell ref="G66:G69"/>
    <mergeCell ref="G59:G62"/>
    <mergeCell ref="F72:F73"/>
    <mergeCell ref="G72:G73"/>
    <mergeCell ref="A66:A69"/>
    <mergeCell ref="B66:B69"/>
    <mergeCell ref="C66:C69"/>
    <mergeCell ref="D66:D69"/>
    <mergeCell ref="E66:E69"/>
    <mergeCell ref="A72:A73"/>
    <mergeCell ref="B72:B73"/>
    <mergeCell ref="C72:C73"/>
    <mergeCell ref="D72:D73"/>
    <mergeCell ref="E72:E73"/>
    <mergeCell ref="F66:F69"/>
    <mergeCell ref="H36:H39"/>
    <mergeCell ref="A33:A35"/>
    <mergeCell ref="C33:C35"/>
    <mergeCell ref="D33:D35"/>
    <mergeCell ref="E33:E35"/>
    <mergeCell ref="F33:F35"/>
    <mergeCell ref="G33:G35"/>
    <mergeCell ref="A36:A39"/>
    <mergeCell ref="C36:C39"/>
    <mergeCell ref="E36:E39"/>
    <mergeCell ref="F36:F39"/>
    <mergeCell ref="G36:G39"/>
    <mergeCell ref="A59:A62"/>
    <mergeCell ref="B59:B62"/>
    <mergeCell ref="H28:H29"/>
    <mergeCell ref="A30:A31"/>
    <mergeCell ref="C30:C31"/>
    <mergeCell ref="D30:D31"/>
    <mergeCell ref="E30:E31"/>
    <mergeCell ref="F30:F31"/>
    <mergeCell ref="G30:G31"/>
    <mergeCell ref="H30:H31"/>
    <mergeCell ref="A28:A29"/>
    <mergeCell ref="C28:C29"/>
    <mergeCell ref="D28:D29"/>
    <mergeCell ref="F28:F29"/>
    <mergeCell ref="G28:G29"/>
    <mergeCell ref="H33:H35"/>
    <mergeCell ref="A26:A27"/>
    <mergeCell ref="C26:C27"/>
    <mergeCell ref="E26:E27"/>
    <mergeCell ref="F26:F27"/>
    <mergeCell ref="H26:H27"/>
    <mergeCell ref="H23:H25"/>
    <mergeCell ref="A19:A21"/>
    <mergeCell ref="C19:C21"/>
    <mergeCell ref="E19:E21"/>
    <mergeCell ref="F19:F21"/>
    <mergeCell ref="G19:G21"/>
    <mergeCell ref="H19:H21"/>
    <mergeCell ref="A23:A25"/>
    <mergeCell ref="C23:C25"/>
    <mergeCell ref="E23:E25"/>
    <mergeCell ref="F23:F25"/>
    <mergeCell ref="G23:G25"/>
    <mergeCell ref="H12:H14"/>
    <mergeCell ref="A15:A18"/>
    <mergeCell ref="C15:C18"/>
    <mergeCell ref="E15:E18"/>
    <mergeCell ref="F15:F18"/>
    <mergeCell ref="G15:G18"/>
    <mergeCell ref="H15:H18"/>
    <mergeCell ref="G2:G3"/>
    <mergeCell ref="A12:A14"/>
    <mergeCell ref="C12:C14"/>
    <mergeCell ref="E12:E14"/>
    <mergeCell ref="F12:F14"/>
    <mergeCell ref="G12:G14"/>
    <mergeCell ref="A2:A3"/>
    <mergeCell ref="B2:B3"/>
    <mergeCell ref="C2:C3"/>
    <mergeCell ref="D2:D3"/>
    <mergeCell ref="E2:E3"/>
    <mergeCell ref="F2:F3"/>
  </mergeCells>
  <hyperlinks>
    <hyperlink ref="A114" r:id="rId1" display="http://www.energy.gov/engine/content.do" xr:uid="{00000000-0004-0000-0100-000000000000}"/>
  </hyperlinks>
  <pageMargins left="0.75" right="0.75" top="1" bottom="1" header="0.5" footer="0.5"/>
  <pageSetup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6"/>
  <sheetViews>
    <sheetView workbookViewId="0"/>
  </sheetViews>
  <sheetFormatPr defaultRowHeight="12.75"/>
  <cols>
    <col min="1" max="1" width="9.140625" style="20"/>
    <col min="2" max="2" width="18.140625" style="20" customWidth="1"/>
    <col min="3" max="3" width="9.140625" style="20"/>
    <col min="4" max="4" width="12.42578125" style="20" customWidth="1"/>
    <col min="5" max="6" width="10.42578125" style="20" customWidth="1"/>
    <col min="7" max="7" width="9.7109375" style="20" customWidth="1"/>
    <col min="8" max="8" width="12" style="20" customWidth="1"/>
    <col min="9" max="16384" width="9.140625" style="20"/>
  </cols>
  <sheetData>
    <row r="1" spans="1:8" ht="13.5" thickBot="1">
      <c r="A1" s="19" t="s">
        <v>0</v>
      </c>
      <c r="B1" s="19" t="s">
        <v>322</v>
      </c>
    </row>
    <row r="2" spans="1:8" ht="28.5" customHeight="1" thickTop="1">
      <c r="A2" s="798" t="s">
        <v>2</v>
      </c>
      <c r="B2" s="793" t="s">
        <v>57</v>
      </c>
      <c r="C2" s="793" t="s">
        <v>3</v>
      </c>
      <c r="D2" s="793" t="s">
        <v>67</v>
      </c>
      <c r="E2" s="793" t="s">
        <v>5</v>
      </c>
      <c r="F2" s="793" t="s">
        <v>6</v>
      </c>
      <c r="G2" s="793" t="s">
        <v>68</v>
      </c>
      <c r="H2" s="22" t="s">
        <v>69</v>
      </c>
    </row>
    <row r="3" spans="1:8" ht="13.5" thickBot="1">
      <c r="A3" s="799"/>
      <c r="B3" s="794"/>
      <c r="C3" s="794"/>
      <c r="D3" s="794"/>
      <c r="E3" s="794"/>
      <c r="F3" s="794"/>
      <c r="G3" s="794"/>
      <c r="H3" s="23" t="s">
        <v>70</v>
      </c>
    </row>
    <row r="4" spans="1:8">
      <c r="A4" s="24" t="s">
        <v>9</v>
      </c>
      <c r="B4" s="24"/>
      <c r="C4" s="24"/>
      <c r="D4" s="24"/>
      <c r="E4" s="24"/>
      <c r="F4" s="24"/>
      <c r="G4" s="24"/>
      <c r="H4" s="24"/>
    </row>
    <row r="5" spans="1:8">
      <c r="A5" s="25">
        <v>37987</v>
      </c>
      <c r="B5" s="26" t="s">
        <v>124</v>
      </c>
      <c r="C5" s="26" t="s">
        <v>274</v>
      </c>
      <c r="D5" s="26" t="s">
        <v>141</v>
      </c>
      <c r="E5" s="26" t="s">
        <v>40</v>
      </c>
      <c r="F5" s="26">
        <v>170</v>
      </c>
      <c r="G5" s="27">
        <v>263000</v>
      </c>
      <c r="H5" s="26" t="s">
        <v>323</v>
      </c>
    </row>
    <row r="6" spans="1:8">
      <c r="A6" s="25">
        <v>37993</v>
      </c>
      <c r="B6" s="26" t="s">
        <v>124</v>
      </c>
      <c r="C6" s="26" t="s">
        <v>324</v>
      </c>
      <c r="D6" s="26" t="s">
        <v>325</v>
      </c>
      <c r="E6" s="26" t="s">
        <v>326</v>
      </c>
      <c r="F6" s="26">
        <v>150</v>
      </c>
      <c r="G6" s="27">
        <v>145000</v>
      </c>
      <c r="H6" s="26" t="s">
        <v>327</v>
      </c>
    </row>
    <row r="7" spans="1:8" ht="27">
      <c r="A7" s="25">
        <v>37994</v>
      </c>
      <c r="B7" s="26" t="s">
        <v>61</v>
      </c>
      <c r="C7" s="26" t="s">
        <v>328</v>
      </c>
      <c r="D7" s="26" t="s">
        <v>329</v>
      </c>
      <c r="E7" s="26" t="s">
        <v>330</v>
      </c>
      <c r="F7" s="26">
        <v>100</v>
      </c>
      <c r="G7" s="27">
        <v>18600</v>
      </c>
      <c r="H7" s="26" t="s">
        <v>331</v>
      </c>
    </row>
    <row r="8" spans="1:8" ht="27">
      <c r="A8" s="25">
        <v>38000</v>
      </c>
      <c r="B8" s="26" t="s">
        <v>61</v>
      </c>
      <c r="C8" s="26" t="s">
        <v>144</v>
      </c>
      <c r="D8" s="26" t="s">
        <v>329</v>
      </c>
      <c r="E8" s="26" t="s">
        <v>330</v>
      </c>
      <c r="F8" s="26">
        <v>100</v>
      </c>
      <c r="G8" s="27">
        <v>18600</v>
      </c>
      <c r="H8" s="26" t="s">
        <v>332</v>
      </c>
    </row>
    <row r="9" spans="1:8" ht="18">
      <c r="A9" s="25">
        <v>38012</v>
      </c>
      <c r="B9" s="26" t="s">
        <v>333</v>
      </c>
      <c r="C9" s="26" t="s">
        <v>334</v>
      </c>
      <c r="D9" s="26" t="s">
        <v>335</v>
      </c>
      <c r="E9" s="26" t="s">
        <v>11</v>
      </c>
      <c r="F9" s="26" t="s">
        <v>241</v>
      </c>
      <c r="G9" s="27">
        <v>150000</v>
      </c>
      <c r="H9" s="26" t="s">
        <v>336</v>
      </c>
    </row>
    <row r="10" spans="1:8" ht="18">
      <c r="A10" s="25">
        <v>38012</v>
      </c>
      <c r="B10" s="26" t="s">
        <v>63</v>
      </c>
      <c r="C10" s="26" t="s">
        <v>71</v>
      </c>
      <c r="D10" s="26" t="s">
        <v>337</v>
      </c>
      <c r="E10" s="26" t="s">
        <v>11</v>
      </c>
      <c r="F10" s="26" t="s">
        <v>338</v>
      </c>
      <c r="G10" s="27">
        <v>30689</v>
      </c>
      <c r="H10" s="26" t="s">
        <v>339</v>
      </c>
    </row>
    <row r="11" spans="1:8" ht="54">
      <c r="A11" s="25">
        <v>38012</v>
      </c>
      <c r="B11" s="26" t="s">
        <v>63</v>
      </c>
      <c r="C11" s="26" t="s">
        <v>212</v>
      </c>
      <c r="D11" s="26" t="s">
        <v>340</v>
      </c>
      <c r="E11" s="26" t="s">
        <v>11</v>
      </c>
      <c r="F11" s="26">
        <v>475</v>
      </c>
      <c r="G11" s="27">
        <v>9905</v>
      </c>
      <c r="H11" s="26" t="s">
        <v>341</v>
      </c>
    </row>
    <row r="12" spans="1:8" ht="18">
      <c r="A12" s="25">
        <v>38014</v>
      </c>
      <c r="B12" s="26" t="s">
        <v>342</v>
      </c>
      <c r="C12" s="26" t="s">
        <v>343</v>
      </c>
      <c r="D12" s="26" t="s">
        <v>344</v>
      </c>
      <c r="E12" s="26" t="s">
        <v>11</v>
      </c>
      <c r="F12" s="26" t="s">
        <v>345</v>
      </c>
      <c r="G12" s="26" t="s">
        <v>346</v>
      </c>
      <c r="H12" s="26" t="s">
        <v>347</v>
      </c>
    </row>
    <row r="13" spans="1:8">
      <c r="A13" s="24" t="s">
        <v>17</v>
      </c>
      <c r="B13" s="24"/>
      <c r="C13" s="24"/>
      <c r="D13" s="24"/>
      <c r="E13" s="24"/>
      <c r="F13" s="24"/>
      <c r="G13" s="24"/>
      <c r="H13" s="24"/>
    </row>
    <row r="14" spans="1:8" ht="63">
      <c r="A14" s="25">
        <v>38022</v>
      </c>
      <c r="B14" s="26" t="s">
        <v>65</v>
      </c>
      <c r="C14" s="26" t="s">
        <v>109</v>
      </c>
      <c r="D14" s="26" t="s">
        <v>348</v>
      </c>
      <c r="E14" s="26" t="s">
        <v>11</v>
      </c>
      <c r="F14" s="26">
        <v>60</v>
      </c>
      <c r="G14" s="27">
        <v>87456</v>
      </c>
      <c r="H14" s="26" t="s">
        <v>349</v>
      </c>
    </row>
    <row r="15" spans="1:8" ht="27">
      <c r="A15" s="25">
        <v>38031</v>
      </c>
      <c r="B15" s="26" t="s">
        <v>61</v>
      </c>
      <c r="C15" s="26" t="s">
        <v>109</v>
      </c>
      <c r="D15" s="26" t="s">
        <v>350</v>
      </c>
      <c r="E15" s="26" t="s">
        <v>330</v>
      </c>
      <c r="F15" s="26" t="s">
        <v>351</v>
      </c>
      <c r="G15" s="27">
        <v>18600</v>
      </c>
      <c r="H15" s="26" t="s">
        <v>352</v>
      </c>
    </row>
    <row r="16" spans="1:8" ht="18">
      <c r="A16" s="25">
        <v>38034</v>
      </c>
      <c r="B16" s="26" t="s">
        <v>124</v>
      </c>
      <c r="C16" s="26" t="s">
        <v>353</v>
      </c>
      <c r="D16" s="26" t="s">
        <v>354</v>
      </c>
      <c r="E16" s="26" t="s">
        <v>355</v>
      </c>
      <c r="F16" s="26">
        <v>220</v>
      </c>
      <c r="G16" s="26" t="s">
        <v>356</v>
      </c>
      <c r="H16" s="26" t="s">
        <v>357</v>
      </c>
    </row>
    <row r="17" spans="1:8">
      <c r="A17" s="25">
        <v>38042</v>
      </c>
      <c r="B17" s="26" t="s">
        <v>124</v>
      </c>
      <c r="C17" s="26" t="s">
        <v>358</v>
      </c>
      <c r="D17" s="26" t="s">
        <v>141</v>
      </c>
      <c r="E17" s="26" t="s">
        <v>40</v>
      </c>
      <c r="F17" s="26">
        <v>240</v>
      </c>
      <c r="G17" s="27">
        <v>505000</v>
      </c>
      <c r="H17" s="26" t="s">
        <v>359</v>
      </c>
    </row>
    <row r="18" spans="1:8">
      <c r="A18" s="25">
        <v>38043</v>
      </c>
      <c r="B18" s="26" t="s">
        <v>63</v>
      </c>
      <c r="C18" s="26" t="s">
        <v>360</v>
      </c>
      <c r="D18" s="26" t="s">
        <v>361</v>
      </c>
      <c r="E18" s="26" t="s">
        <v>362</v>
      </c>
      <c r="F18" s="26">
        <v>10</v>
      </c>
      <c r="G18" s="27">
        <v>47165</v>
      </c>
      <c r="H18" s="26" t="s">
        <v>363</v>
      </c>
    </row>
    <row r="19" spans="1:8">
      <c r="A19" s="24" t="s">
        <v>20</v>
      </c>
      <c r="B19" s="24"/>
      <c r="C19" s="24"/>
      <c r="D19" s="24"/>
      <c r="E19" s="24"/>
      <c r="F19" s="24"/>
      <c r="G19" s="24"/>
      <c r="H19" s="24"/>
    </row>
    <row r="20" spans="1:8" ht="18">
      <c r="A20" s="25">
        <v>38050</v>
      </c>
      <c r="B20" s="26" t="s">
        <v>90</v>
      </c>
      <c r="C20" s="26" t="s">
        <v>364</v>
      </c>
      <c r="D20" s="26" t="s">
        <v>116</v>
      </c>
      <c r="E20" s="26" t="s">
        <v>365</v>
      </c>
      <c r="F20" s="26" t="s">
        <v>366</v>
      </c>
      <c r="G20" s="27">
        <v>63000</v>
      </c>
      <c r="H20" s="26" t="s">
        <v>367</v>
      </c>
    </row>
    <row r="21" spans="1:8" ht="18">
      <c r="A21" s="25">
        <v>38053</v>
      </c>
      <c r="B21" s="26" t="s">
        <v>63</v>
      </c>
      <c r="C21" s="26" t="s">
        <v>368</v>
      </c>
      <c r="D21" s="26" t="s">
        <v>369</v>
      </c>
      <c r="E21" s="26" t="s">
        <v>362</v>
      </c>
      <c r="F21" s="27">
        <v>1000</v>
      </c>
      <c r="G21" s="27">
        <v>206000</v>
      </c>
      <c r="H21" s="26" t="s">
        <v>370</v>
      </c>
    </row>
    <row r="22" spans="1:8" ht="18">
      <c r="A22" s="25">
        <v>38054</v>
      </c>
      <c r="B22" s="26" t="s">
        <v>124</v>
      </c>
      <c r="C22" s="26" t="s">
        <v>371</v>
      </c>
      <c r="D22" s="26" t="s">
        <v>372</v>
      </c>
      <c r="E22" s="26" t="s">
        <v>373</v>
      </c>
      <c r="F22" s="26">
        <v>300</v>
      </c>
      <c r="G22" s="26" t="s">
        <v>346</v>
      </c>
      <c r="H22" s="26" t="s">
        <v>374</v>
      </c>
    </row>
    <row r="23" spans="1:8" ht="18">
      <c r="A23" s="25">
        <v>38063</v>
      </c>
      <c r="B23" s="26" t="s">
        <v>124</v>
      </c>
      <c r="C23" s="26" t="s">
        <v>375</v>
      </c>
      <c r="D23" s="26" t="s">
        <v>376</v>
      </c>
      <c r="E23" s="26" t="s">
        <v>377</v>
      </c>
      <c r="F23" s="26" t="s">
        <v>345</v>
      </c>
      <c r="G23" s="26" t="s">
        <v>378</v>
      </c>
      <c r="H23" s="26" t="s">
        <v>379</v>
      </c>
    </row>
    <row r="24" spans="1:8">
      <c r="A24" s="24" t="s">
        <v>23</v>
      </c>
      <c r="B24" s="24"/>
      <c r="C24" s="24"/>
      <c r="D24" s="24"/>
      <c r="E24" s="24"/>
      <c r="F24" s="24"/>
      <c r="G24" s="24"/>
      <c r="H24" s="24"/>
    </row>
    <row r="25" spans="1:8" ht="27">
      <c r="A25" s="25">
        <v>38087</v>
      </c>
      <c r="B25" s="26" t="s">
        <v>90</v>
      </c>
      <c r="C25" s="26" t="s">
        <v>109</v>
      </c>
      <c r="D25" s="26" t="s">
        <v>380</v>
      </c>
      <c r="E25" s="26" t="s">
        <v>381</v>
      </c>
      <c r="F25" s="26" t="s">
        <v>382</v>
      </c>
      <c r="G25" s="26" t="s">
        <v>383</v>
      </c>
      <c r="H25" s="26" t="s">
        <v>384</v>
      </c>
    </row>
    <row r="26" spans="1:8" ht="36">
      <c r="A26" s="25">
        <v>38089</v>
      </c>
      <c r="B26" s="26" t="s">
        <v>301</v>
      </c>
      <c r="C26" s="26" t="s">
        <v>385</v>
      </c>
      <c r="D26" s="26" t="s">
        <v>386</v>
      </c>
      <c r="E26" s="26" t="s">
        <v>269</v>
      </c>
      <c r="F26" s="26">
        <v>250</v>
      </c>
      <c r="G26" s="27">
        <v>179000</v>
      </c>
      <c r="H26" s="26" t="s">
        <v>387</v>
      </c>
    </row>
    <row r="27" spans="1:8" ht="18">
      <c r="A27" s="25">
        <v>38104</v>
      </c>
      <c r="B27" s="26" t="s">
        <v>124</v>
      </c>
      <c r="C27" s="26" t="s">
        <v>388</v>
      </c>
      <c r="D27" s="26" t="s">
        <v>389</v>
      </c>
      <c r="E27" s="26" t="s">
        <v>390</v>
      </c>
      <c r="F27" s="26" t="s">
        <v>345</v>
      </c>
      <c r="G27" s="27">
        <v>187000</v>
      </c>
      <c r="H27" s="26" t="s">
        <v>391</v>
      </c>
    </row>
    <row r="28" spans="1:8">
      <c r="A28" s="24" t="s">
        <v>103</v>
      </c>
      <c r="B28" s="24"/>
      <c r="C28" s="24"/>
      <c r="D28" s="24"/>
      <c r="E28" s="24"/>
      <c r="F28" s="24"/>
      <c r="G28" s="24"/>
      <c r="H28" s="24"/>
    </row>
    <row r="29" spans="1:8" ht="18">
      <c r="A29" s="25">
        <v>38110</v>
      </c>
      <c r="B29" s="26" t="s">
        <v>124</v>
      </c>
      <c r="C29" s="26" t="s">
        <v>392</v>
      </c>
      <c r="D29" s="26" t="s">
        <v>393</v>
      </c>
      <c r="E29" s="26" t="s">
        <v>394</v>
      </c>
      <c r="F29" s="26">
        <v>662</v>
      </c>
      <c r="G29" s="26" t="s">
        <v>395</v>
      </c>
      <c r="H29" s="26" t="s">
        <v>396</v>
      </c>
    </row>
    <row r="30" spans="1:8" ht="27">
      <c r="A30" s="25">
        <v>38118</v>
      </c>
      <c r="B30" s="26" t="s">
        <v>90</v>
      </c>
      <c r="C30" s="26" t="s">
        <v>397</v>
      </c>
      <c r="D30" s="26" t="s">
        <v>380</v>
      </c>
      <c r="E30" s="26" t="s">
        <v>398</v>
      </c>
      <c r="F30" s="26" t="s">
        <v>399</v>
      </c>
      <c r="G30" s="26" t="s">
        <v>400</v>
      </c>
      <c r="H30" s="26" t="s">
        <v>401</v>
      </c>
    </row>
    <row r="31" spans="1:8" ht="63">
      <c r="A31" s="25">
        <v>38128</v>
      </c>
      <c r="B31" s="26" t="s">
        <v>60</v>
      </c>
      <c r="C31" s="26" t="s">
        <v>402</v>
      </c>
      <c r="D31" s="26" t="s">
        <v>403</v>
      </c>
      <c r="E31" s="26" t="s">
        <v>106</v>
      </c>
      <c r="F31" s="26" t="s">
        <v>404</v>
      </c>
      <c r="G31" s="27">
        <v>281000</v>
      </c>
      <c r="H31" s="26" t="s">
        <v>405</v>
      </c>
    </row>
    <row r="32" spans="1:8" ht="36">
      <c r="A32" s="25">
        <v>38128</v>
      </c>
      <c r="B32" s="26" t="s">
        <v>60</v>
      </c>
      <c r="C32" s="26" t="s">
        <v>402</v>
      </c>
      <c r="D32" s="26" t="s">
        <v>406</v>
      </c>
      <c r="E32" s="26" t="s">
        <v>106</v>
      </c>
      <c r="F32" s="26" t="s">
        <v>407</v>
      </c>
      <c r="G32" s="27">
        <v>127000</v>
      </c>
      <c r="H32" s="26" t="s">
        <v>405</v>
      </c>
    </row>
    <row r="33" spans="1:8" ht="58.5" customHeight="1">
      <c r="A33" s="795">
        <v>38128</v>
      </c>
      <c r="B33" s="796" t="s">
        <v>65</v>
      </c>
      <c r="C33" s="796" t="s">
        <v>385</v>
      </c>
      <c r="D33" s="796" t="s">
        <v>408</v>
      </c>
      <c r="E33" s="796" t="s">
        <v>409</v>
      </c>
      <c r="F33" s="26" t="s">
        <v>410</v>
      </c>
      <c r="G33" s="26" t="s">
        <v>411</v>
      </c>
      <c r="H33" s="796" t="s">
        <v>412</v>
      </c>
    </row>
    <row r="34" spans="1:8" ht="13.5" thickBot="1">
      <c r="A34" s="800"/>
      <c r="B34" s="801"/>
      <c r="C34" s="801"/>
      <c r="D34" s="801"/>
      <c r="E34" s="801"/>
      <c r="F34" s="30" t="s">
        <v>413</v>
      </c>
      <c r="G34" s="30" t="s">
        <v>414</v>
      </c>
      <c r="H34" s="801"/>
    </row>
    <row r="35" spans="1:8" ht="16.5" thickTop="1">
      <c r="A35" s="32"/>
    </row>
    <row r="36" spans="1:8">
      <c r="A36" s="33"/>
    </row>
    <row r="37" spans="1:8">
      <c r="A37" s="19" t="s">
        <v>0</v>
      </c>
      <c r="B37" s="19" t="s">
        <v>322</v>
      </c>
    </row>
    <row r="38" spans="1:8" ht="13.5" thickBot="1">
      <c r="A38" s="34" t="s">
        <v>177</v>
      </c>
    </row>
    <row r="39" spans="1:8" ht="28.5" customHeight="1" thickTop="1">
      <c r="A39" s="798" t="s">
        <v>2</v>
      </c>
      <c r="B39" s="793" t="s">
        <v>57</v>
      </c>
      <c r="C39" s="793" t="s">
        <v>3</v>
      </c>
      <c r="D39" s="793" t="s">
        <v>67</v>
      </c>
      <c r="E39" s="793" t="s">
        <v>5</v>
      </c>
      <c r="F39" s="793" t="s">
        <v>6</v>
      </c>
      <c r="G39" s="793" t="s">
        <v>68</v>
      </c>
      <c r="H39" s="22" t="s">
        <v>69</v>
      </c>
    </row>
    <row r="40" spans="1:8" ht="13.5" thickBot="1">
      <c r="A40" s="799"/>
      <c r="B40" s="794"/>
      <c r="C40" s="794"/>
      <c r="D40" s="794"/>
      <c r="E40" s="794"/>
      <c r="F40" s="794"/>
      <c r="G40" s="794"/>
      <c r="H40" s="23" t="s">
        <v>70</v>
      </c>
    </row>
    <row r="41" spans="1:8" ht="81">
      <c r="A41" s="25">
        <v>38128</v>
      </c>
      <c r="B41" s="26" t="s">
        <v>60</v>
      </c>
      <c r="C41" s="26" t="s">
        <v>91</v>
      </c>
      <c r="D41" s="26" t="s">
        <v>415</v>
      </c>
      <c r="E41" s="26" t="s">
        <v>106</v>
      </c>
      <c r="F41" s="26">
        <v>303</v>
      </c>
      <c r="G41" s="27">
        <v>122600</v>
      </c>
      <c r="H41" s="26" t="s">
        <v>416</v>
      </c>
    </row>
    <row r="42" spans="1:8" ht="72">
      <c r="A42" s="25">
        <v>38128</v>
      </c>
      <c r="B42" s="26" t="s">
        <v>60</v>
      </c>
      <c r="C42" s="26" t="s">
        <v>129</v>
      </c>
      <c r="D42" s="26" t="s">
        <v>417</v>
      </c>
      <c r="E42" s="26" t="s">
        <v>106</v>
      </c>
      <c r="F42" s="26">
        <v>200</v>
      </c>
      <c r="G42" s="27">
        <v>248209</v>
      </c>
      <c r="H42" s="26" t="s">
        <v>418</v>
      </c>
    </row>
    <row r="43" spans="1:8" ht="18">
      <c r="A43" s="25">
        <v>38128</v>
      </c>
      <c r="B43" s="26" t="s">
        <v>60</v>
      </c>
      <c r="C43" s="26" t="s">
        <v>419</v>
      </c>
      <c r="D43" s="26" t="s">
        <v>420</v>
      </c>
      <c r="E43" s="26" t="s">
        <v>106</v>
      </c>
      <c r="F43" s="26">
        <v>630</v>
      </c>
      <c r="G43" s="26" t="s">
        <v>421</v>
      </c>
      <c r="H43" s="26" t="s">
        <v>422</v>
      </c>
    </row>
    <row r="44" spans="1:8" ht="27">
      <c r="A44" s="25">
        <v>38135</v>
      </c>
      <c r="B44" s="26" t="s">
        <v>423</v>
      </c>
      <c r="C44" s="26" t="s">
        <v>424</v>
      </c>
      <c r="D44" s="26" t="s">
        <v>425</v>
      </c>
      <c r="E44" s="26" t="s">
        <v>426</v>
      </c>
      <c r="F44" s="26">
        <v>0</v>
      </c>
      <c r="G44" s="26">
        <v>0</v>
      </c>
      <c r="H44" s="26" t="s">
        <v>427</v>
      </c>
    </row>
    <row r="45" spans="1:8" ht="27">
      <c r="A45" s="25">
        <v>38135</v>
      </c>
      <c r="B45" s="26" t="s">
        <v>301</v>
      </c>
      <c r="C45" s="26" t="s">
        <v>424</v>
      </c>
      <c r="D45" s="26" t="s">
        <v>425</v>
      </c>
      <c r="E45" s="26" t="s">
        <v>426</v>
      </c>
      <c r="F45" s="26">
        <v>0</v>
      </c>
      <c r="G45" s="26">
        <v>0</v>
      </c>
      <c r="H45" s="26" t="s">
        <v>427</v>
      </c>
    </row>
    <row r="46" spans="1:8" ht="27">
      <c r="A46" s="25">
        <v>38135</v>
      </c>
      <c r="B46" s="26" t="s">
        <v>301</v>
      </c>
      <c r="C46" s="26" t="s">
        <v>424</v>
      </c>
      <c r="D46" s="26" t="s">
        <v>425</v>
      </c>
      <c r="E46" s="26" t="s">
        <v>428</v>
      </c>
      <c r="F46" s="26">
        <v>0</v>
      </c>
      <c r="G46" s="26">
        <v>0</v>
      </c>
      <c r="H46" s="26" t="s">
        <v>427</v>
      </c>
    </row>
    <row r="47" spans="1:8">
      <c r="A47" s="24" t="s">
        <v>123</v>
      </c>
      <c r="B47" s="24"/>
      <c r="C47" s="24"/>
      <c r="D47" s="24"/>
      <c r="E47" s="24"/>
      <c r="F47" s="24"/>
      <c r="G47" s="24"/>
      <c r="H47" s="24"/>
    </row>
    <row r="48" spans="1:8" ht="36">
      <c r="A48" s="25">
        <v>38139</v>
      </c>
      <c r="B48" s="26" t="s">
        <v>90</v>
      </c>
      <c r="C48" s="26" t="s">
        <v>104</v>
      </c>
      <c r="D48" s="26" t="s">
        <v>429</v>
      </c>
      <c r="E48" s="26" t="s">
        <v>430</v>
      </c>
      <c r="F48" s="27">
        <v>1900</v>
      </c>
      <c r="G48" s="27">
        <v>500000</v>
      </c>
      <c r="H48" s="26" t="s">
        <v>431</v>
      </c>
    </row>
    <row r="49" spans="1:8" ht="36">
      <c r="A49" s="25">
        <v>38140</v>
      </c>
      <c r="B49" s="26" t="s">
        <v>60</v>
      </c>
      <c r="C49" s="26" t="s">
        <v>432</v>
      </c>
      <c r="D49" s="26" t="s">
        <v>433</v>
      </c>
      <c r="E49" s="26" t="s">
        <v>434</v>
      </c>
      <c r="F49" s="26">
        <v>350</v>
      </c>
      <c r="G49" s="27">
        <v>59057</v>
      </c>
      <c r="H49" s="26" t="s">
        <v>435</v>
      </c>
    </row>
    <row r="50" spans="1:8" ht="36">
      <c r="A50" s="25">
        <v>38140</v>
      </c>
      <c r="B50" s="26" t="s">
        <v>60</v>
      </c>
      <c r="C50" s="26" t="s">
        <v>436</v>
      </c>
      <c r="D50" s="26" t="s">
        <v>437</v>
      </c>
      <c r="E50" s="26" t="s">
        <v>438</v>
      </c>
      <c r="F50" s="26">
        <v>280</v>
      </c>
      <c r="G50" s="27">
        <v>56874</v>
      </c>
      <c r="H50" s="26" t="s">
        <v>439</v>
      </c>
    </row>
    <row r="51" spans="1:8">
      <c r="A51" s="25">
        <v>38150</v>
      </c>
      <c r="B51" s="26" t="s">
        <v>440</v>
      </c>
      <c r="C51" s="26" t="s">
        <v>441</v>
      </c>
      <c r="D51" s="26" t="s">
        <v>442</v>
      </c>
      <c r="E51" s="26" t="s">
        <v>260</v>
      </c>
      <c r="F51" s="26">
        <v>428</v>
      </c>
      <c r="G51" s="27">
        <v>120212</v>
      </c>
      <c r="H51" s="26" t="s">
        <v>443</v>
      </c>
    </row>
    <row r="52" spans="1:8">
      <c r="A52" s="25">
        <v>38152</v>
      </c>
      <c r="B52" s="26" t="s">
        <v>251</v>
      </c>
      <c r="C52" s="26" t="s">
        <v>444</v>
      </c>
      <c r="D52" s="26" t="s">
        <v>137</v>
      </c>
      <c r="E52" s="26" t="s">
        <v>445</v>
      </c>
      <c r="F52" s="26">
        <v>200</v>
      </c>
      <c r="G52" s="27">
        <v>30000</v>
      </c>
      <c r="H52" s="26" t="s">
        <v>446</v>
      </c>
    </row>
    <row r="53" spans="1:8">
      <c r="A53" s="25">
        <v>38161</v>
      </c>
      <c r="B53" s="26" t="s">
        <v>124</v>
      </c>
      <c r="C53" s="26" t="s">
        <v>447</v>
      </c>
      <c r="D53" s="26" t="s">
        <v>448</v>
      </c>
      <c r="E53" s="26" t="s">
        <v>449</v>
      </c>
      <c r="F53" s="26">
        <v>157</v>
      </c>
      <c r="G53" s="27">
        <v>35000</v>
      </c>
      <c r="H53" s="26" t="s">
        <v>450</v>
      </c>
    </row>
    <row r="54" spans="1:8" ht="18">
      <c r="A54" s="25">
        <v>38161</v>
      </c>
      <c r="B54" s="26" t="s">
        <v>63</v>
      </c>
      <c r="C54" s="26" t="s">
        <v>81</v>
      </c>
      <c r="D54" s="26" t="s">
        <v>451</v>
      </c>
      <c r="E54" s="26" t="s">
        <v>381</v>
      </c>
      <c r="F54" s="26">
        <v>50</v>
      </c>
      <c r="G54" s="27">
        <v>50595</v>
      </c>
      <c r="H54" s="26" t="s">
        <v>452</v>
      </c>
    </row>
    <row r="55" spans="1:8">
      <c r="A55" s="24" t="s">
        <v>26</v>
      </c>
      <c r="B55" s="24"/>
      <c r="C55" s="24"/>
      <c r="D55" s="24"/>
      <c r="E55" s="24"/>
      <c r="F55" s="24"/>
      <c r="G55" s="24"/>
      <c r="H55" s="24"/>
    </row>
    <row r="56" spans="1:8" ht="27">
      <c r="A56" s="25">
        <v>38174</v>
      </c>
      <c r="B56" s="26" t="s">
        <v>124</v>
      </c>
      <c r="C56" s="26" t="s">
        <v>144</v>
      </c>
      <c r="D56" s="26" t="s">
        <v>453</v>
      </c>
      <c r="E56" s="26" t="s">
        <v>454</v>
      </c>
      <c r="F56" s="26" t="s">
        <v>455</v>
      </c>
      <c r="G56" s="26" t="s">
        <v>455</v>
      </c>
      <c r="H56" s="26" t="s">
        <v>456</v>
      </c>
    </row>
    <row r="57" spans="1:8" ht="27">
      <c r="A57" s="25">
        <v>38174</v>
      </c>
      <c r="B57" s="26" t="s">
        <v>251</v>
      </c>
      <c r="C57" s="26" t="s">
        <v>457</v>
      </c>
      <c r="D57" s="26" t="s">
        <v>453</v>
      </c>
      <c r="E57" s="26" t="s">
        <v>454</v>
      </c>
      <c r="F57" s="26" t="s">
        <v>455</v>
      </c>
      <c r="G57" s="26" t="s">
        <v>455</v>
      </c>
      <c r="H57" s="26" t="s">
        <v>456</v>
      </c>
    </row>
    <row r="58" spans="1:8" ht="18">
      <c r="A58" s="25">
        <v>38175</v>
      </c>
      <c r="B58" s="26" t="s">
        <v>63</v>
      </c>
      <c r="C58" s="26" t="s">
        <v>458</v>
      </c>
      <c r="D58" s="26" t="s">
        <v>459</v>
      </c>
      <c r="E58" s="26" t="s">
        <v>106</v>
      </c>
      <c r="F58" s="26">
        <v>120</v>
      </c>
      <c r="G58" s="27">
        <v>88110</v>
      </c>
      <c r="H58" s="26" t="s">
        <v>460</v>
      </c>
    </row>
    <row r="59" spans="1:8" ht="18">
      <c r="A59" s="25">
        <v>38181</v>
      </c>
      <c r="B59" s="26" t="s">
        <v>301</v>
      </c>
      <c r="C59" s="26" t="s">
        <v>461</v>
      </c>
      <c r="D59" s="26" t="s">
        <v>462</v>
      </c>
      <c r="E59" s="26" t="s">
        <v>463</v>
      </c>
      <c r="F59" s="26">
        <v>283</v>
      </c>
      <c r="G59" s="27">
        <v>42124</v>
      </c>
      <c r="H59" s="26" t="s">
        <v>464</v>
      </c>
    </row>
    <row r="60" spans="1:8" ht="27">
      <c r="A60" s="25">
        <v>38181</v>
      </c>
      <c r="B60" s="26" t="s">
        <v>60</v>
      </c>
      <c r="C60" s="26" t="s">
        <v>465</v>
      </c>
      <c r="D60" s="26" t="s">
        <v>466</v>
      </c>
      <c r="E60" s="26" t="s">
        <v>106</v>
      </c>
      <c r="F60" s="26">
        <v>600</v>
      </c>
      <c r="G60" s="27">
        <v>135000</v>
      </c>
      <c r="H60" s="26" t="s">
        <v>467</v>
      </c>
    </row>
    <row r="61" spans="1:8" ht="27">
      <c r="A61" s="25">
        <v>38188</v>
      </c>
      <c r="B61" s="26" t="s">
        <v>124</v>
      </c>
      <c r="C61" s="26" t="s">
        <v>468</v>
      </c>
      <c r="D61" s="26" t="s">
        <v>469</v>
      </c>
      <c r="E61" s="26" t="s">
        <v>470</v>
      </c>
      <c r="F61" s="26">
        <v>214</v>
      </c>
      <c r="G61" s="26" t="s">
        <v>455</v>
      </c>
      <c r="H61" s="26" t="s">
        <v>471</v>
      </c>
    </row>
    <row r="62" spans="1:8" ht="45">
      <c r="A62" s="25">
        <v>38188</v>
      </c>
      <c r="B62" s="26" t="s">
        <v>472</v>
      </c>
      <c r="C62" s="26" t="s">
        <v>473</v>
      </c>
      <c r="D62" s="26" t="s">
        <v>474</v>
      </c>
      <c r="E62" s="26" t="s">
        <v>475</v>
      </c>
      <c r="F62" s="26">
        <v>200</v>
      </c>
      <c r="G62" s="27">
        <v>61624</v>
      </c>
      <c r="H62" s="26" t="s">
        <v>476</v>
      </c>
    </row>
    <row r="63" spans="1:8" ht="18">
      <c r="A63" s="25">
        <v>38189</v>
      </c>
      <c r="B63" s="26" t="s">
        <v>62</v>
      </c>
      <c r="C63" s="26" t="s">
        <v>477</v>
      </c>
      <c r="D63" s="26" t="s">
        <v>478</v>
      </c>
      <c r="E63" s="26" t="s">
        <v>106</v>
      </c>
      <c r="F63" s="26" t="s">
        <v>479</v>
      </c>
      <c r="G63" s="27">
        <v>200000</v>
      </c>
      <c r="H63" s="26" t="s">
        <v>480</v>
      </c>
    </row>
    <row r="64" spans="1:8" ht="36">
      <c r="A64" s="25">
        <v>38192</v>
      </c>
      <c r="B64" s="26" t="s">
        <v>58</v>
      </c>
      <c r="C64" s="26" t="s">
        <v>481</v>
      </c>
      <c r="D64" s="26" t="s">
        <v>482</v>
      </c>
      <c r="E64" s="26" t="s">
        <v>483</v>
      </c>
      <c r="F64" s="26" t="s">
        <v>455</v>
      </c>
      <c r="G64" s="26" t="s">
        <v>455</v>
      </c>
      <c r="H64" s="26" t="s">
        <v>484</v>
      </c>
    </row>
    <row r="65" spans="1:8" ht="36">
      <c r="A65" s="25">
        <v>38193</v>
      </c>
      <c r="B65" s="26" t="s">
        <v>63</v>
      </c>
      <c r="C65" s="26" t="s">
        <v>485</v>
      </c>
      <c r="D65" s="26" t="s">
        <v>486</v>
      </c>
      <c r="E65" s="26" t="s">
        <v>153</v>
      </c>
      <c r="F65" s="26">
        <v>61</v>
      </c>
      <c r="G65" s="27">
        <v>61004</v>
      </c>
      <c r="H65" s="26" t="s">
        <v>487</v>
      </c>
    </row>
    <row r="66" spans="1:8">
      <c r="A66" s="24" t="s">
        <v>32</v>
      </c>
      <c r="B66" s="24"/>
      <c r="C66" s="24"/>
      <c r="D66" s="24"/>
      <c r="E66" s="24"/>
      <c r="F66" s="24"/>
      <c r="G66" s="24"/>
      <c r="H66" s="24"/>
    </row>
    <row r="67" spans="1:8" ht="45">
      <c r="A67" s="25">
        <v>38201</v>
      </c>
      <c r="B67" s="26" t="s">
        <v>58</v>
      </c>
      <c r="C67" s="26" t="s">
        <v>334</v>
      </c>
      <c r="D67" s="26" t="s">
        <v>488</v>
      </c>
      <c r="E67" s="26" t="s">
        <v>489</v>
      </c>
      <c r="F67" s="26" t="s">
        <v>455</v>
      </c>
      <c r="G67" s="26" t="s">
        <v>455</v>
      </c>
      <c r="H67" s="26" t="s">
        <v>490</v>
      </c>
    </row>
    <row r="68" spans="1:8">
      <c r="A68" s="25">
        <v>38202</v>
      </c>
      <c r="B68" s="26" t="s">
        <v>62</v>
      </c>
      <c r="C68" s="26" t="s">
        <v>248</v>
      </c>
      <c r="D68" s="26" t="s">
        <v>156</v>
      </c>
      <c r="E68" s="26" t="s">
        <v>362</v>
      </c>
      <c r="F68" s="26">
        <v>127</v>
      </c>
      <c r="G68" s="27">
        <v>127000</v>
      </c>
      <c r="H68" s="26" t="s">
        <v>491</v>
      </c>
    </row>
    <row r="69" spans="1:8" ht="18">
      <c r="A69" s="25">
        <v>38203</v>
      </c>
      <c r="B69" s="26" t="s">
        <v>124</v>
      </c>
      <c r="C69" s="26" t="s">
        <v>492</v>
      </c>
      <c r="D69" s="26" t="s">
        <v>493</v>
      </c>
      <c r="E69" s="26" t="s">
        <v>494</v>
      </c>
      <c r="F69" s="26">
        <v>480</v>
      </c>
      <c r="G69" s="27">
        <v>182000</v>
      </c>
      <c r="H69" s="26" t="s">
        <v>495</v>
      </c>
    </row>
    <row r="70" spans="1:8" ht="18.75" thickBot="1">
      <c r="A70" s="29">
        <v>38208</v>
      </c>
      <c r="B70" s="30" t="s">
        <v>472</v>
      </c>
      <c r="C70" s="30" t="s">
        <v>496</v>
      </c>
      <c r="D70" s="30" t="s">
        <v>497</v>
      </c>
      <c r="E70" s="30" t="s">
        <v>498</v>
      </c>
      <c r="F70" s="30">
        <v>451.7</v>
      </c>
      <c r="G70" s="31">
        <v>259478</v>
      </c>
      <c r="H70" s="30" t="s">
        <v>499</v>
      </c>
    </row>
    <row r="71" spans="1:8" ht="13.5" thickTop="1">
      <c r="A71" s="33"/>
    </row>
    <row r="72" spans="1:8">
      <c r="A72" s="19" t="s">
        <v>0</v>
      </c>
      <c r="B72" s="19" t="s">
        <v>322</v>
      </c>
    </row>
    <row r="73" spans="1:8" ht="13.5" thickBot="1">
      <c r="A73" s="34" t="s">
        <v>177</v>
      </c>
    </row>
    <row r="74" spans="1:8" ht="28.5" customHeight="1" thickTop="1">
      <c r="A74" s="798" t="s">
        <v>2</v>
      </c>
      <c r="B74" s="793" t="s">
        <v>57</v>
      </c>
      <c r="C74" s="793" t="s">
        <v>3</v>
      </c>
      <c r="D74" s="793" t="s">
        <v>67</v>
      </c>
      <c r="E74" s="793" t="s">
        <v>5</v>
      </c>
      <c r="F74" s="793" t="s">
        <v>6</v>
      </c>
      <c r="G74" s="793" t="s">
        <v>68</v>
      </c>
      <c r="H74" s="22" t="s">
        <v>69</v>
      </c>
    </row>
    <row r="75" spans="1:8" ht="13.5" thickBot="1">
      <c r="A75" s="799"/>
      <c r="B75" s="794"/>
      <c r="C75" s="794"/>
      <c r="D75" s="794"/>
      <c r="E75" s="794"/>
      <c r="F75" s="794"/>
      <c r="G75" s="794"/>
      <c r="H75" s="23" t="s">
        <v>70</v>
      </c>
    </row>
    <row r="76" spans="1:8" ht="15.75">
      <c r="A76" s="32"/>
    </row>
    <row r="77" spans="1:8" ht="45">
      <c r="A77" s="25">
        <v>38212</v>
      </c>
      <c r="B77" s="26" t="s">
        <v>301</v>
      </c>
      <c r="C77" s="26" t="s">
        <v>500</v>
      </c>
      <c r="D77" s="26" t="s">
        <v>501</v>
      </c>
      <c r="E77" s="26" t="s">
        <v>502</v>
      </c>
      <c r="F77" s="27">
        <v>1300</v>
      </c>
      <c r="G77" s="27">
        <v>502000</v>
      </c>
      <c r="H77" s="26" t="s">
        <v>503</v>
      </c>
    </row>
    <row r="78" spans="1:8" ht="63">
      <c r="A78" s="25">
        <v>38212</v>
      </c>
      <c r="B78" s="26" t="s">
        <v>301</v>
      </c>
      <c r="C78" s="26" t="s">
        <v>328</v>
      </c>
      <c r="D78" s="26" t="s">
        <v>504</v>
      </c>
      <c r="E78" s="26" t="s">
        <v>502</v>
      </c>
      <c r="F78" s="27">
        <v>1400</v>
      </c>
      <c r="G78" s="27">
        <v>1200000</v>
      </c>
      <c r="H78" s="26" t="s">
        <v>505</v>
      </c>
    </row>
    <row r="79" spans="1:8" ht="54">
      <c r="A79" s="25">
        <v>38212</v>
      </c>
      <c r="B79" s="26" t="s">
        <v>423</v>
      </c>
      <c r="C79" s="26" t="s">
        <v>458</v>
      </c>
      <c r="D79" s="26" t="s">
        <v>506</v>
      </c>
      <c r="E79" s="26" t="s">
        <v>502</v>
      </c>
      <c r="F79" s="26">
        <v>700</v>
      </c>
      <c r="G79" s="27">
        <v>200000</v>
      </c>
      <c r="H79" s="26" t="s">
        <v>507</v>
      </c>
    </row>
    <row r="80" spans="1:8" ht="27">
      <c r="A80" s="25">
        <v>38212</v>
      </c>
      <c r="B80" s="26" t="s">
        <v>301</v>
      </c>
      <c r="C80" s="26" t="s">
        <v>508</v>
      </c>
      <c r="D80" s="26" t="s">
        <v>509</v>
      </c>
      <c r="E80" s="26" t="s">
        <v>502</v>
      </c>
      <c r="F80" s="26">
        <v>250</v>
      </c>
      <c r="G80" s="27">
        <v>78000</v>
      </c>
      <c r="H80" s="26" t="s">
        <v>510</v>
      </c>
    </row>
    <row r="81" spans="1:8" ht="18">
      <c r="A81" s="25">
        <v>38212</v>
      </c>
      <c r="B81" s="26" t="s">
        <v>301</v>
      </c>
      <c r="C81" s="26" t="s">
        <v>511</v>
      </c>
      <c r="D81" s="26" t="s">
        <v>512</v>
      </c>
      <c r="E81" s="26" t="s">
        <v>502</v>
      </c>
      <c r="F81" s="26">
        <v>65</v>
      </c>
      <c r="G81" s="27">
        <v>23000</v>
      </c>
      <c r="H81" s="26" t="s">
        <v>513</v>
      </c>
    </row>
    <row r="82" spans="1:8" ht="54">
      <c r="A82" s="25">
        <v>38213</v>
      </c>
      <c r="B82" s="26" t="s">
        <v>63</v>
      </c>
      <c r="C82" s="26" t="s">
        <v>514</v>
      </c>
      <c r="D82" s="26" t="s">
        <v>340</v>
      </c>
      <c r="E82" s="26" t="s">
        <v>502</v>
      </c>
      <c r="F82" s="26">
        <v>500</v>
      </c>
      <c r="G82" s="27">
        <v>94000</v>
      </c>
      <c r="H82" s="26" t="s">
        <v>515</v>
      </c>
    </row>
    <row r="83" spans="1:8" ht="45">
      <c r="A83" s="25">
        <v>38219</v>
      </c>
      <c r="B83" s="26" t="s">
        <v>61</v>
      </c>
      <c r="C83" s="26" t="s">
        <v>516</v>
      </c>
      <c r="D83" s="26" t="s">
        <v>517</v>
      </c>
      <c r="E83" s="26" t="s">
        <v>518</v>
      </c>
      <c r="F83" s="27">
        <v>22700</v>
      </c>
      <c r="G83" s="27">
        <v>380000</v>
      </c>
      <c r="H83" s="26" t="s">
        <v>519</v>
      </c>
    </row>
    <row r="84" spans="1:8" ht="18">
      <c r="A84" s="25">
        <v>38228</v>
      </c>
      <c r="B84" s="26" t="s">
        <v>63</v>
      </c>
      <c r="C84" s="26" t="s">
        <v>520</v>
      </c>
      <c r="D84" s="26" t="s">
        <v>521</v>
      </c>
      <c r="E84" s="26" t="s">
        <v>522</v>
      </c>
      <c r="F84" s="26">
        <v>450</v>
      </c>
      <c r="G84" s="27">
        <v>125000</v>
      </c>
      <c r="H84" s="26" t="s">
        <v>523</v>
      </c>
    </row>
    <row r="85" spans="1:8" ht="45">
      <c r="A85" s="25">
        <v>38229</v>
      </c>
      <c r="B85" s="26" t="s">
        <v>63</v>
      </c>
      <c r="C85" s="26" t="s">
        <v>524</v>
      </c>
      <c r="D85" s="26" t="s">
        <v>525</v>
      </c>
      <c r="E85" s="26" t="s">
        <v>522</v>
      </c>
      <c r="F85" s="26">
        <v>150</v>
      </c>
      <c r="G85" s="27">
        <v>99816</v>
      </c>
      <c r="H85" s="26" t="s">
        <v>526</v>
      </c>
    </row>
    <row r="86" spans="1:8">
      <c r="A86" s="24" t="s">
        <v>219</v>
      </c>
      <c r="B86" s="24"/>
      <c r="C86" s="24"/>
      <c r="D86" s="24"/>
      <c r="E86" s="24"/>
      <c r="F86" s="24"/>
      <c r="G86" s="24"/>
      <c r="H86" s="24"/>
    </row>
    <row r="87" spans="1:8" ht="18">
      <c r="A87" s="25">
        <v>38233</v>
      </c>
      <c r="B87" s="26" t="s">
        <v>301</v>
      </c>
      <c r="C87" s="26" t="s">
        <v>248</v>
      </c>
      <c r="D87" s="26" t="s">
        <v>527</v>
      </c>
      <c r="E87" s="26" t="s">
        <v>528</v>
      </c>
      <c r="F87" s="26">
        <v>125</v>
      </c>
      <c r="G87" s="27">
        <v>26000</v>
      </c>
      <c r="H87" s="26" t="s">
        <v>529</v>
      </c>
    </row>
    <row r="88" spans="1:8" ht="27">
      <c r="A88" s="25">
        <v>38234</v>
      </c>
      <c r="B88" s="26" t="s">
        <v>301</v>
      </c>
      <c r="C88" s="26" t="s">
        <v>500</v>
      </c>
      <c r="D88" s="26" t="s">
        <v>530</v>
      </c>
      <c r="E88" s="26" t="s">
        <v>528</v>
      </c>
      <c r="F88" s="27">
        <v>6000</v>
      </c>
      <c r="G88" s="27">
        <v>2775093</v>
      </c>
      <c r="H88" s="26" t="s">
        <v>531</v>
      </c>
    </row>
    <row r="89" spans="1:8" ht="27">
      <c r="A89" s="25">
        <v>38234</v>
      </c>
      <c r="B89" s="26" t="s">
        <v>301</v>
      </c>
      <c r="C89" s="26" t="s">
        <v>334</v>
      </c>
      <c r="D89" s="26" t="s">
        <v>532</v>
      </c>
      <c r="E89" s="26" t="s">
        <v>528</v>
      </c>
      <c r="F89" s="27">
        <v>1100</v>
      </c>
      <c r="G89" s="27">
        <v>268000</v>
      </c>
      <c r="H89" s="26" t="s">
        <v>533</v>
      </c>
    </row>
    <row r="90" spans="1:8" ht="18">
      <c r="A90" s="25">
        <v>38235</v>
      </c>
      <c r="B90" s="26" t="s">
        <v>301</v>
      </c>
      <c r="C90" s="26" t="s">
        <v>534</v>
      </c>
      <c r="D90" s="26" t="s">
        <v>535</v>
      </c>
      <c r="E90" s="26" t="s">
        <v>528</v>
      </c>
      <c r="F90" s="26">
        <v>200</v>
      </c>
      <c r="G90" s="27">
        <v>65000</v>
      </c>
      <c r="H90" s="26" t="s">
        <v>536</v>
      </c>
    </row>
    <row r="91" spans="1:8" ht="153">
      <c r="A91" s="25">
        <v>38235</v>
      </c>
      <c r="B91" s="26" t="s">
        <v>301</v>
      </c>
      <c r="C91" s="26" t="s">
        <v>289</v>
      </c>
      <c r="D91" s="26" t="s">
        <v>537</v>
      </c>
      <c r="E91" s="26" t="s">
        <v>528</v>
      </c>
      <c r="F91" s="27">
        <v>2100</v>
      </c>
      <c r="G91" s="27">
        <v>832898</v>
      </c>
      <c r="H91" s="26" t="s">
        <v>538</v>
      </c>
    </row>
    <row r="92" spans="1:8" ht="27">
      <c r="A92" s="25">
        <v>38236</v>
      </c>
      <c r="B92" s="26" t="s">
        <v>63</v>
      </c>
      <c r="C92" s="26" t="s">
        <v>129</v>
      </c>
      <c r="D92" s="26" t="s">
        <v>539</v>
      </c>
      <c r="E92" s="26" t="s">
        <v>528</v>
      </c>
      <c r="F92" s="27">
        <v>3000</v>
      </c>
      <c r="G92" s="27">
        <v>99000</v>
      </c>
      <c r="H92" s="26" t="s">
        <v>540</v>
      </c>
    </row>
    <row r="93" spans="1:8" ht="18">
      <c r="A93" s="25">
        <v>38237</v>
      </c>
      <c r="B93" s="26" t="s">
        <v>63</v>
      </c>
      <c r="C93" s="26" t="s">
        <v>334</v>
      </c>
      <c r="D93" s="26" t="s">
        <v>361</v>
      </c>
      <c r="E93" s="26" t="s">
        <v>528</v>
      </c>
      <c r="F93" s="27">
        <v>2200</v>
      </c>
      <c r="G93" s="27">
        <v>150000</v>
      </c>
      <c r="H93" s="26" t="s">
        <v>541</v>
      </c>
    </row>
    <row r="94" spans="1:8" ht="18">
      <c r="A94" s="25">
        <v>38245</v>
      </c>
      <c r="B94" s="26" t="s">
        <v>472</v>
      </c>
      <c r="C94" s="26" t="s">
        <v>542</v>
      </c>
      <c r="D94" s="26" t="s">
        <v>497</v>
      </c>
      <c r="E94" s="26" t="s">
        <v>543</v>
      </c>
      <c r="F94" s="27">
        <v>1243</v>
      </c>
      <c r="G94" s="27">
        <v>1423590</v>
      </c>
      <c r="H94" s="26" t="s">
        <v>544</v>
      </c>
    </row>
    <row r="95" spans="1:8" ht="27">
      <c r="A95" s="25">
        <v>38245</v>
      </c>
      <c r="B95" s="26" t="s">
        <v>63</v>
      </c>
      <c r="C95" s="26" t="s">
        <v>81</v>
      </c>
      <c r="D95" s="26" t="s">
        <v>539</v>
      </c>
      <c r="E95" s="26" t="s">
        <v>545</v>
      </c>
      <c r="F95" s="26">
        <v>916</v>
      </c>
      <c r="G95" s="27">
        <v>916316</v>
      </c>
      <c r="H95" s="26" t="s">
        <v>546</v>
      </c>
    </row>
    <row r="96" spans="1:8" ht="54">
      <c r="A96" s="25">
        <v>38246</v>
      </c>
      <c r="B96" s="26" t="s">
        <v>63</v>
      </c>
      <c r="C96" s="26" t="s">
        <v>402</v>
      </c>
      <c r="D96" s="26" t="s">
        <v>547</v>
      </c>
      <c r="E96" s="26" t="s">
        <v>545</v>
      </c>
      <c r="F96" s="26">
        <v>263</v>
      </c>
      <c r="G96" s="27">
        <v>75000</v>
      </c>
      <c r="H96" s="26" t="s">
        <v>548</v>
      </c>
    </row>
    <row r="97" spans="1:8" ht="18">
      <c r="A97" s="25">
        <v>38246</v>
      </c>
      <c r="B97" s="26" t="s">
        <v>63</v>
      </c>
      <c r="C97" s="26" t="s">
        <v>248</v>
      </c>
      <c r="D97" s="26" t="s">
        <v>549</v>
      </c>
      <c r="E97" s="26" t="s">
        <v>545</v>
      </c>
      <c r="F97" s="26">
        <v>500</v>
      </c>
      <c r="G97" s="27">
        <v>175000</v>
      </c>
      <c r="H97" s="26" t="s">
        <v>550</v>
      </c>
    </row>
    <row r="98" spans="1:8" ht="18">
      <c r="A98" s="25">
        <v>38247</v>
      </c>
      <c r="B98" s="26" t="s">
        <v>63</v>
      </c>
      <c r="C98" s="26" t="s">
        <v>551</v>
      </c>
      <c r="D98" s="26" t="s">
        <v>552</v>
      </c>
      <c r="E98" s="26" t="s">
        <v>545</v>
      </c>
      <c r="F98" s="26">
        <v>400</v>
      </c>
      <c r="G98" s="27">
        <v>112000</v>
      </c>
      <c r="H98" s="26" t="s">
        <v>553</v>
      </c>
    </row>
    <row r="99" spans="1:8" ht="18">
      <c r="A99" s="25">
        <v>38255</v>
      </c>
      <c r="B99" s="26" t="s">
        <v>301</v>
      </c>
      <c r="C99" s="26" t="s">
        <v>104</v>
      </c>
      <c r="D99" s="26" t="s">
        <v>527</v>
      </c>
      <c r="E99" s="26" t="s">
        <v>543</v>
      </c>
      <c r="F99" s="26">
        <v>125</v>
      </c>
      <c r="G99" s="27">
        <v>26000</v>
      </c>
      <c r="H99" s="26" t="s">
        <v>554</v>
      </c>
    </row>
    <row r="100" spans="1:8" ht="27">
      <c r="A100" s="25">
        <v>38256</v>
      </c>
      <c r="B100" s="26" t="s">
        <v>301</v>
      </c>
      <c r="C100" s="26" t="s">
        <v>402</v>
      </c>
      <c r="D100" s="26" t="s">
        <v>532</v>
      </c>
      <c r="E100" s="26" t="s">
        <v>543</v>
      </c>
      <c r="F100" s="27">
        <v>1250</v>
      </c>
      <c r="G100" s="27">
        <v>285300</v>
      </c>
      <c r="H100" s="26" t="s">
        <v>555</v>
      </c>
    </row>
    <row r="101" spans="1:8" ht="18.75" thickBot="1">
      <c r="A101" s="29">
        <v>38256</v>
      </c>
      <c r="B101" s="30" t="s">
        <v>301</v>
      </c>
      <c r="C101" s="30" t="s">
        <v>155</v>
      </c>
      <c r="D101" s="30" t="s">
        <v>556</v>
      </c>
      <c r="E101" s="30" t="s">
        <v>543</v>
      </c>
      <c r="F101" s="30">
        <v>350</v>
      </c>
      <c r="G101" s="31">
        <v>110000</v>
      </c>
      <c r="H101" s="30" t="s">
        <v>557</v>
      </c>
    </row>
    <row r="102" spans="1:8" ht="13.5" thickTop="1">
      <c r="A102" s="33"/>
    </row>
    <row r="103" spans="1:8">
      <c r="A103" s="19" t="s">
        <v>0</v>
      </c>
      <c r="B103" s="19" t="s">
        <v>322</v>
      </c>
    </row>
    <row r="104" spans="1:8" ht="13.5" thickBot="1">
      <c r="A104" s="34" t="s">
        <v>177</v>
      </c>
    </row>
    <row r="105" spans="1:8" ht="28.5" customHeight="1" thickTop="1">
      <c r="A105" s="798" t="s">
        <v>2</v>
      </c>
      <c r="B105" s="793" t="s">
        <v>57</v>
      </c>
      <c r="C105" s="793" t="s">
        <v>3</v>
      </c>
      <c r="D105" s="793" t="s">
        <v>67</v>
      </c>
      <c r="E105" s="793" t="s">
        <v>5</v>
      </c>
      <c r="F105" s="793" t="s">
        <v>6</v>
      </c>
      <c r="G105" s="793" t="s">
        <v>68</v>
      </c>
      <c r="H105" s="22" t="s">
        <v>69</v>
      </c>
    </row>
    <row r="106" spans="1:8" ht="13.5" thickBot="1">
      <c r="A106" s="799"/>
      <c r="B106" s="794"/>
      <c r="C106" s="794"/>
      <c r="D106" s="794"/>
      <c r="E106" s="794"/>
      <c r="F106" s="794"/>
      <c r="G106" s="794"/>
      <c r="H106" s="23" t="s">
        <v>70</v>
      </c>
    </row>
    <row r="107" spans="1:8" ht="180">
      <c r="A107" s="25">
        <v>38256</v>
      </c>
      <c r="B107" s="26" t="s">
        <v>301</v>
      </c>
      <c r="C107" s="26" t="s">
        <v>144</v>
      </c>
      <c r="D107" s="26" t="s">
        <v>558</v>
      </c>
      <c r="E107" s="26" t="s">
        <v>543</v>
      </c>
      <c r="F107" s="27">
        <v>1800</v>
      </c>
      <c r="G107" s="27">
        <v>722000</v>
      </c>
      <c r="H107" s="26" t="s">
        <v>559</v>
      </c>
    </row>
    <row r="108" spans="1:8" ht="18">
      <c r="A108" s="25">
        <v>38257</v>
      </c>
      <c r="B108" s="26" t="s">
        <v>63</v>
      </c>
      <c r="C108" s="26" t="s">
        <v>500</v>
      </c>
      <c r="D108" s="26" t="s">
        <v>361</v>
      </c>
      <c r="E108" s="26" t="s">
        <v>543</v>
      </c>
      <c r="F108" s="26">
        <v>854</v>
      </c>
      <c r="G108" s="27">
        <v>85455</v>
      </c>
      <c r="H108" s="26" t="s">
        <v>560</v>
      </c>
    </row>
    <row r="109" spans="1:8" ht="27">
      <c r="A109" s="25">
        <v>38257</v>
      </c>
      <c r="B109" s="26" t="s">
        <v>61</v>
      </c>
      <c r="C109" s="26" t="s">
        <v>561</v>
      </c>
      <c r="D109" s="26" t="s">
        <v>562</v>
      </c>
      <c r="E109" s="26" t="s">
        <v>563</v>
      </c>
      <c r="F109" s="26" t="s">
        <v>455</v>
      </c>
      <c r="G109" s="26" t="s">
        <v>455</v>
      </c>
      <c r="H109" s="26" t="s">
        <v>564</v>
      </c>
    </row>
    <row r="110" spans="1:8">
      <c r="A110" s="24" t="s">
        <v>35</v>
      </c>
      <c r="B110" s="24"/>
      <c r="C110" s="24"/>
      <c r="D110" s="24"/>
      <c r="E110" s="24"/>
      <c r="F110" s="24"/>
      <c r="G110" s="24"/>
      <c r="H110" s="24"/>
    </row>
    <row r="111" spans="1:8">
      <c r="A111" s="25">
        <v>38270</v>
      </c>
      <c r="B111" s="26" t="s">
        <v>472</v>
      </c>
      <c r="C111" s="26" t="s">
        <v>565</v>
      </c>
      <c r="D111" s="26" t="s">
        <v>566</v>
      </c>
      <c r="E111" s="26" t="s">
        <v>138</v>
      </c>
      <c r="F111" s="26" t="s">
        <v>567</v>
      </c>
      <c r="G111" s="26" t="s">
        <v>567</v>
      </c>
      <c r="H111" s="26" t="s">
        <v>568</v>
      </c>
    </row>
    <row r="112" spans="1:8" ht="27">
      <c r="A112" s="25">
        <v>38278</v>
      </c>
      <c r="B112" s="26" t="s">
        <v>124</v>
      </c>
      <c r="C112" s="26" t="s">
        <v>569</v>
      </c>
      <c r="D112" s="26" t="s">
        <v>141</v>
      </c>
      <c r="E112" s="26" t="s">
        <v>570</v>
      </c>
      <c r="F112" s="26">
        <v>140</v>
      </c>
      <c r="G112" s="27">
        <v>407440</v>
      </c>
      <c r="H112" s="26" t="s">
        <v>571</v>
      </c>
    </row>
    <row r="113" spans="1:8" ht="27">
      <c r="A113" s="25">
        <v>38285</v>
      </c>
      <c r="B113" s="26" t="s">
        <v>58</v>
      </c>
      <c r="C113" s="26" t="s">
        <v>91</v>
      </c>
      <c r="D113" s="26" t="s">
        <v>572</v>
      </c>
      <c r="E113" s="26" t="s">
        <v>573</v>
      </c>
      <c r="F113" s="26" t="s">
        <v>455</v>
      </c>
      <c r="G113" s="26" t="s">
        <v>455</v>
      </c>
      <c r="H113" s="26" t="s">
        <v>574</v>
      </c>
    </row>
    <row r="114" spans="1:8" ht="45">
      <c r="A114" s="25">
        <v>38288</v>
      </c>
      <c r="B114" s="26" t="s">
        <v>124</v>
      </c>
      <c r="C114" s="26" t="s">
        <v>575</v>
      </c>
      <c r="D114" s="26" t="s">
        <v>576</v>
      </c>
      <c r="E114" s="26" t="s">
        <v>577</v>
      </c>
      <c r="F114" s="26">
        <v>103</v>
      </c>
      <c r="G114" s="27">
        <v>59458</v>
      </c>
      <c r="H114" s="26" t="s">
        <v>578</v>
      </c>
    </row>
    <row r="115" spans="1:8" ht="81">
      <c r="A115" s="25">
        <v>38290</v>
      </c>
      <c r="B115" s="26" t="s">
        <v>60</v>
      </c>
      <c r="C115" s="26" t="s">
        <v>334</v>
      </c>
      <c r="D115" s="26" t="s">
        <v>579</v>
      </c>
      <c r="E115" s="26" t="s">
        <v>570</v>
      </c>
      <c r="F115" s="26">
        <v>60</v>
      </c>
      <c r="G115" s="27">
        <v>122000</v>
      </c>
      <c r="H115" s="26" t="s">
        <v>580</v>
      </c>
    </row>
    <row r="116" spans="1:8" ht="18">
      <c r="A116" s="25">
        <v>38290</v>
      </c>
      <c r="B116" s="26" t="s">
        <v>60</v>
      </c>
      <c r="C116" s="26" t="s">
        <v>581</v>
      </c>
      <c r="D116" s="26" t="s">
        <v>268</v>
      </c>
      <c r="E116" s="26" t="s">
        <v>582</v>
      </c>
      <c r="F116" s="26">
        <v>700</v>
      </c>
      <c r="G116" s="27">
        <v>159870</v>
      </c>
      <c r="H116" s="26" t="s">
        <v>583</v>
      </c>
    </row>
    <row r="117" spans="1:8">
      <c r="A117" s="24" t="s">
        <v>38</v>
      </c>
      <c r="B117" s="24"/>
      <c r="C117" s="24"/>
      <c r="D117" s="24"/>
      <c r="E117" s="24"/>
      <c r="F117" s="24"/>
      <c r="G117" s="24"/>
      <c r="H117" s="24"/>
    </row>
    <row r="118" spans="1:8" ht="63">
      <c r="A118" s="25">
        <v>38300</v>
      </c>
      <c r="B118" s="26" t="s">
        <v>61</v>
      </c>
      <c r="C118" s="26" t="s">
        <v>584</v>
      </c>
      <c r="D118" s="26" t="s">
        <v>585</v>
      </c>
      <c r="E118" s="26" t="s">
        <v>586</v>
      </c>
      <c r="F118" s="26">
        <v>0</v>
      </c>
      <c r="G118" s="26">
        <v>0</v>
      </c>
      <c r="H118" s="26" t="s">
        <v>587</v>
      </c>
    </row>
    <row r="119" spans="1:8" ht="54">
      <c r="A119" s="25">
        <v>38305</v>
      </c>
      <c r="B119" s="26" t="s">
        <v>61</v>
      </c>
      <c r="C119" s="26" t="s">
        <v>588</v>
      </c>
      <c r="D119" s="26" t="s">
        <v>589</v>
      </c>
      <c r="E119" s="26" t="s">
        <v>590</v>
      </c>
      <c r="F119" s="26">
        <v>165</v>
      </c>
      <c r="G119" s="27">
        <v>165000</v>
      </c>
      <c r="H119" s="26" t="s">
        <v>591</v>
      </c>
    </row>
    <row r="120" spans="1:8" ht="27">
      <c r="A120" s="25">
        <v>38314</v>
      </c>
      <c r="B120" s="26" t="s">
        <v>90</v>
      </c>
      <c r="C120" s="26" t="s">
        <v>485</v>
      </c>
      <c r="D120" s="26" t="s">
        <v>380</v>
      </c>
      <c r="E120" s="26" t="s">
        <v>398</v>
      </c>
      <c r="F120" s="26">
        <v>150</v>
      </c>
      <c r="G120" s="27">
        <v>119000</v>
      </c>
      <c r="H120" s="26" t="s">
        <v>592</v>
      </c>
    </row>
    <row r="121" spans="1:8" ht="18">
      <c r="A121" s="25">
        <v>38315</v>
      </c>
      <c r="B121" s="26" t="s">
        <v>63</v>
      </c>
      <c r="C121" s="26" t="s">
        <v>334</v>
      </c>
      <c r="D121" s="26" t="s">
        <v>361</v>
      </c>
      <c r="E121" s="26" t="s">
        <v>398</v>
      </c>
      <c r="F121" s="26">
        <v>100</v>
      </c>
      <c r="G121" s="27">
        <v>83450</v>
      </c>
      <c r="H121" s="26" t="s">
        <v>593</v>
      </c>
    </row>
    <row r="122" spans="1:8">
      <c r="A122" s="24" t="s">
        <v>47</v>
      </c>
      <c r="B122" s="24"/>
      <c r="C122" s="24"/>
      <c r="D122" s="24"/>
      <c r="E122" s="24"/>
      <c r="F122" s="24"/>
      <c r="G122" s="24"/>
      <c r="H122" s="24"/>
    </row>
    <row r="123" spans="1:8" ht="108">
      <c r="A123" s="25">
        <v>38322</v>
      </c>
      <c r="B123" s="26" t="s">
        <v>342</v>
      </c>
      <c r="C123" s="26" t="s">
        <v>334</v>
      </c>
      <c r="D123" s="26" t="s">
        <v>235</v>
      </c>
      <c r="E123" s="26" t="s">
        <v>264</v>
      </c>
      <c r="F123" s="26">
        <v>270</v>
      </c>
      <c r="G123" s="27">
        <v>122000</v>
      </c>
      <c r="H123" s="26" t="s">
        <v>594</v>
      </c>
    </row>
    <row r="124" spans="1:8" ht="54">
      <c r="A124" s="25">
        <v>38322</v>
      </c>
      <c r="B124" s="26" t="s">
        <v>65</v>
      </c>
      <c r="C124" s="26" t="s">
        <v>274</v>
      </c>
      <c r="D124" s="26" t="s">
        <v>595</v>
      </c>
      <c r="E124" s="26" t="s">
        <v>596</v>
      </c>
      <c r="F124" s="26" t="s">
        <v>455</v>
      </c>
      <c r="G124" s="27">
        <v>105312</v>
      </c>
      <c r="H124" s="26" t="s">
        <v>597</v>
      </c>
    </row>
    <row r="125" spans="1:8" ht="27">
      <c r="A125" s="25">
        <v>38344</v>
      </c>
      <c r="B125" s="26" t="s">
        <v>60</v>
      </c>
      <c r="C125" s="26" t="s">
        <v>598</v>
      </c>
      <c r="D125" s="26" t="s">
        <v>599</v>
      </c>
      <c r="E125" s="26" t="s">
        <v>600</v>
      </c>
      <c r="F125" s="26">
        <v>800</v>
      </c>
      <c r="G125" s="27">
        <v>359171</v>
      </c>
      <c r="H125" s="26" t="s">
        <v>601</v>
      </c>
    </row>
    <row r="126" spans="1:8" ht="13.5" thickBot="1">
      <c r="A126" s="30"/>
      <c r="B126" s="30"/>
      <c r="C126" s="30"/>
      <c r="D126" s="30"/>
      <c r="E126" s="30"/>
      <c r="F126" s="30"/>
      <c r="G126" s="30"/>
      <c r="H126" s="30"/>
    </row>
    <row r="127" spans="1:8" ht="13.5" thickTop="1">
      <c r="A127" s="33"/>
    </row>
    <row r="128" spans="1:8">
      <c r="A128" s="19" t="s">
        <v>0</v>
      </c>
      <c r="B128" s="19" t="s">
        <v>322</v>
      </c>
    </row>
    <row r="129" spans="1:8" ht="13.5" thickBot="1">
      <c r="A129" s="34" t="s">
        <v>177</v>
      </c>
    </row>
    <row r="130" spans="1:8" ht="28.5" customHeight="1" thickTop="1">
      <c r="A130" s="798" t="s">
        <v>2</v>
      </c>
      <c r="B130" s="793" t="s">
        <v>57</v>
      </c>
      <c r="C130" s="793" t="s">
        <v>3</v>
      </c>
      <c r="D130" s="793" t="s">
        <v>67</v>
      </c>
      <c r="E130" s="793" t="s">
        <v>5</v>
      </c>
      <c r="F130" s="793" t="s">
        <v>6</v>
      </c>
      <c r="G130" s="793" t="s">
        <v>68</v>
      </c>
      <c r="H130" s="22" t="s">
        <v>69</v>
      </c>
    </row>
    <row r="131" spans="1:8" ht="13.5" thickBot="1">
      <c r="A131" s="799"/>
      <c r="B131" s="794"/>
      <c r="C131" s="794"/>
      <c r="D131" s="794"/>
      <c r="E131" s="794"/>
      <c r="F131" s="794"/>
      <c r="G131" s="794"/>
      <c r="H131" s="23" t="s">
        <v>70</v>
      </c>
    </row>
    <row r="132" spans="1:8" ht="27">
      <c r="A132" s="25">
        <v>38348</v>
      </c>
      <c r="B132" s="26" t="s">
        <v>124</v>
      </c>
      <c r="C132" s="26" t="s">
        <v>602</v>
      </c>
      <c r="D132" s="26" t="s">
        <v>603</v>
      </c>
      <c r="E132" s="26" t="s">
        <v>604</v>
      </c>
      <c r="F132" s="26">
        <v>100</v>
      </c>
      <c r="G132" s="27">
        <v>95000</v>
      </c>
      <c r="H132" s="26" t="s">
        <v>605</v>
      </c>
    </row>
    <row r="133" spans="1:8" ht="13.5" thickBot="1">
      <c r="A133" s="30"/>
      <c r="B133" s="30"/>
      <c r="C133" s="30"/>
      <c r="D133" s="30"/>
      <c r="E133" s="30"/>
      <c r="F133" s="30"/>
      <c r="G133" s="30"/>
      <c r="H133" s="30"/>
    </row>
    <row r="134" spans="1:8" ht="13.5" thickTop="1">
      <c r="A134" s="802" t="s">
        <v>316</v>
      </c>
      <c r="B134" s="802"/>
      <c r="C134" s="802"/>
      <c r="D134" s="802"/>
      <c r="E134" s="802"/>
      <c r="F134" s="802"/>
      <c r="G134" s="802"/>
      <c r="H134" s="802"/>
    </row>
    <row r="135" spans="1:8">
      <c r="A135" s="803" t="s">
        <v>54</v>
      </c>
      <c r="B135" s="803"/>
      <c r="C135" s="803"/>
      <c r="D135" s="803"/>
      <c r="E135" s="803"/>
      <c r="F135" s="803"/>
      <c r="G135" s="803"/>
      <c r="H135" s="803"/>
    </row>
    <row r="136" spans="1:8">
      <c r="A136" s="803" t="s">
        <v>321</v>
      </c>
      <c r="B136" s="803"/>
      <c r="C136" s="803"/>
      <c r="D136" s="803"/>
      <c r="E136" s="803"/>
      <c r="F136" s="803"/>
      <c r="G136" s="803"/>
      <c r="H136" s="803"/>
    </row>
  </sheetData>
  <mergeCells count="44">
    <mergeCell ref="G130:G131"/>
    <mergeCell ref="A134:H134"/>
    <mergeCell ref="A135:H135"/>
    <mergeCell ref="A136:H136"/>
    <mergeCell ref="A130:A131"/>
    <mergeCell ref="B130:B131"/>
    <mergeCell ref="C130:C131"/>
    <mergeCell ref="D130:D131"/>
    <mergeCell ref="E130:E131"/>
    <mergeCell ref="F130:F131"/>
    <mergeCell ref="G74:G75"/>
    <mergeCell ref="A105:A106"/>
    <mergeCell ref="B105:B106"/>
    <mergeCell ref="C105:C106"/>
    <mergeCell ref="D105:D106"/>
    <mergeCell ref="E105:E106"/>
    <mergeCell ref="F105:F106"/>
    <mergeCell ref="G105:G106"/>
    <mergeCell ref="A74:A75"/>
    <mergeCell ref="B74:B75"/>
    <mergeCell ref="C74:C75"/>
    <mergeCell ref="D74:D75"/>
    <mergeCell ref="E74:E75"/>
    <mergeCell ref="F74:F75"/>
    <mergeCell ref="H33:H34"/>
    <mergeCell ref="A39:A40"/>
    <mergeCell ref="B39:B40"/>
    <mergeCell ref="C39:C40"/>
    <mergeCell ref="D39:D40"/>
    <mergeCell ref="E39:E40"/>
    <mergeCell ref="F39:F40"/>
    <mergeCell ref="G39:G40"/>
    <mergeCell ref="G2:G3"/>
    <mergeCell ref="A33:A34"/>
    <mergeCell ref="B33:B34"/>
    <mergeCell ref="C33:C34"/>
    <mergeCell ref="D33:D34"/>
    <mergeCell ref="E33:E34"/>
    <mergeCell ref="A2:A3"/>
    <mergeCell ref="B2:B3"/>
    <mergeCell ref="C2:C3"/>
    <mergeCell ref="D2:D3"/>
    <mergeCell ref="E2:E3"/>
    <mergeCell ref="F2:F3"/>
  </mergeCell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0"/>
  <sheetViews>
    <sheetView workbookViewId="0"/>
  </sheetViews>
  <sheetFormatPr defaultRowHeight="12.75"/>
  <cols>
    <col min="1" max="1" width="10.28515625" style="20" customWidth="1"/>
    <col min="2" max="2" width="7.85546875" style="20" customWidth="1"/>
    <col min="3" max="3" width="9.140625" style="20"/>
    <col min="4" max="4" width="12.42578125" style="20" customWidth="1"/>
    <col min="5" max="6" width="10.42578125" style="20" customWidth="1"/>
    <col min="7" max="7" width="9.7109375" style="20" customWidth="1"/>
    <col min="8" max="8" width="12" style="20" customWidth="1"/>
    <col min="9" max="16384" width="9.140625" style="20"/>
  </cols>
  <sheetData>
    <row r="1" spans="1:8" ht="13.5" thickBot="1">
      <c r="A1" s="19" t="s">
        <v>0</v>
      </c>
      <c r="B1" s="19" t="s">
        <v>606</v>
      </c>
    </row>
    <row r="2" spans="1:8" ht="28.5" customHeight="1" thickTop="1">
      <c r="A2" s="798" t="s">
        <v>2</v>
      </c>
      <c r="B2" s="793" t="s">
        <v>57</v>
      </c>
      <c r="C2" s="793" t="s">
        <v>3</v>
      </c>
      <c r="D2" s="793" t="s">
        <v>67</v>
      </c>
      <c r="E2" s="793" t="s">
        <v>5</v>
      </c>
      <c r="F2" s="793" t="s">
        <v>6</v>
      </c>
      <c r="G2" s="793" t="s">
        <v>68</v>
      </c>
      <c r="H2" s="22" t="s">
        <v>69</v>
      </c>
    </row>
    <row r="3" spans="1:8" ht="13.5" thickBot="1">
      <c r="A3" s="799"/>
      <c r="B3" s="794"/>
      <c r="C3" s="794"/>
      <c r="D3" s="794"/>
      <c r="E3" s="794"/>
      <c r="F3" s="794"/>
      <c r="G3" s="794"/>
      <c r="H3" s="23" t="s">
        <v>70</v>
      </c>
    </row>
    <row r="4" spans="1:8">
      <c r="A4" s="24" t="s">
        <v>9</v>
      </c>
      <c r="B4" s="24"/>
      <c r="C4" s="24"/>
      <c r="D4" s="24"/>
      <c r="E4" s="24"/>
      <c r="F4" s="24"/>
      <c r="G4" s="24"/>
      <c r="H4" s="24"/>
    </row>
    <row r="5" spans="1:8" ht="27">
      <c r="A5" s="25">
        <v>38356</v>
      </c>
      <c r="B5" s="26" t="s">
        <v>58</v>
      </c>
      <c r="C5" s="26" t="s">
        <v>607</v>
      </c>
      <c r="D5" s="26" t="s">
        <v>608</v>
      </c>
      <c r="E5" s="26" t="s">
        <v>40</v>
      </c>
      <c r="F5" s="26">
        <v>200</v>
      </c>
      <c r="G5" s="27">
        <v>211000</v>
      </c>
      <c r="H5" s="26" t="s">
        <v>609</v>
      </c>
    </row>
    <row r="6" spans="1:8" ht="18">
      <c r="A6" s="25">
        <v>38357</v>
      </c>
      <c r="B6" s="26" t="s">
        <v>60</v>
      </c>
      <c r="C6" s="26" t="s">
        <v>212</v>
      </c>
      <c r="D6" s="26" t="s">
        <v>610</v>
      </c>
      <c r="E6" s="26" t="s">
        <v>11</v>
      </c>
      <c r="F6" s="26">
        <v>250</v>
      </c>
      <c r="G6" s="27">
        <v>246990</v>
      </c>
      <c r="H6" s="26" t="s">
        <v>611</v>
      </c>
    </row>
    <row r="7" spans="1:8" ht="27">
      <c r="A7" s="25">
        <v>38357</v>
      </c>
      <c r="B7" s="26" t="s">
        <v>60</v>
      </c>
      <c r="C7" s="26" t="s">
        <v>612</v>
      </c>
      <c r="D7" s="26" t="s">
        <v>613</v>
      </c>
      <c r="E7" s="26" t="s">
        <v>77</v>
      </c>
      <c r="F7" s="26">
        <v>545</v>
      </c>
      <c r="G7" s="27">
        <v>114791</v>
      </c>
      <c r="H7" s="26" t="s">
        <v>614</v>
      </c>
    </row>
    <row r="8" spans="1:8">
      <c r="A8" s="25">
        <v>38359</v>
      </c>
      <c r="B8" s="26" t="s">
        <v>124</v>
      </c>
      <c r="C8" s="26" t="s">
        <v>129</v>
      </c>
      <c r="D8" s="26" t="s">
        <v>141</v>
      </c>
      <c r="E8" s="26" t="s">
        <v>40</v>
      </c>
      <c r="F8" s="26">
        <v>120</v>
      </c>
      <c r="G8" s="27">
        <v>442000</v>
      </c>
      <c r="H8" s="26" t="s">
        <v>615</v>
      </c>
    </row>
    <row r="9" spans="1:8" ht="18">
      <c r="A9" s="40" t="s">
        <v>616</v>
      </c>
      <c r="B9" s="26" t="s">
        <v>472</v>
      </c>
      <c r="C9" s="26" t="s">
        <v>617</v>
      </c>
      <c r="D9" s="26" t="s">
        <v>618</v>
      </c>
      <c r="E9" s="26" t="s">
        <v>619</v>
      </c>
      <c r="F9" s="26">
        <v>209</v>
      </c>
      <c r="G9" s="26" t="s">
        <v>255</v>
      </c>
      <c r="H9" s="26" t="s">
        <v>620</v>
      </c>
    </row>
    <row r="10" spans="1:8" ht="18">
      <c r="A10" s="25">
        <v>38375</v>
      </c>
      <c r="B10" s="26" t="s">
        <v>472</v>
      </c>
      <c r="C10" s="26" t="s">
        <v>621</v>
      </c>
      <c r="D10" s="26" t="s">
        <v>618</v>
      </c>
      <c r="E10" s="26" t="s">
        <v>619</v>
      </c>
      <c r="F10" s="26">
        <v>140</v>
      </c>
      <c r="G10" s="26" t="s">
        <v>255</v>
      </c>
      <c r="H10" s="26" t="s">
        <v>622</v>
      </c>
    </row>
    <row r="11" spans="1:8" ht="27">
      <c r="A11" s="25">
        <v>38376</v>
      </c>
      <c r="B11" s="26" t="s">
        <v>472</v>
      </c>
      <c r="C11" s="26" t="s">
        <v>623</v>
      </c>
      <c r="D11" s="26" t="s">
        <v>618</v>
      </c>
      <c r="E11" s="26" t="s">
        <v>624</v>
      </c>
      <c r="F11" s="26">
        <v>225</v>
      </c>
      <c r="G11" s="27">
        <v>70717</v>
      </c>
      <c r="H11" s="26" t="s">
        <v>625</v>
      </c>
    </row>
    <row r="12" spans="1:8" ht="27">
      <c r="A12" s="25">
        <v>38376</v>
      </c>
      <c r="B12" s="26" t="s">
        <v>472</v>
      </c>
      <c r="C12" s="26" t="s">
        <v>626</v>
      </c>
      <c r="D12" s="26" t="s">
        <v>618</v>
      </c>
      <c r="E12" s="26" t="s">
        <v>624</v>
      </c>
      <c r="F12" s="26">
        <v>385</v>
      </c>
      <c r="G12" s="26" t="s">
        <v>255</v>
      </c>
      <c r="H12" s="26" t="s">
        <v>627</v>
      </c>
    </row>
    <row r="13" spans="1:8" ht="18">
      <c r="A13" s="25">
        <v>38381</v>
      </c>
      <c r="B13" s="26" t="s">
        <v>63</v>
      </c>
      <c r="C13" s="26" t="s">
        <v>334</v>
      </c>
      <c r="D13" s="26" t="s">
        <v>628</v>
      </c>
      <c r="E13" s="26" t="s">
        <v>11</v>
      </c>
      <c r="F13" s="26">
        <v>100</v>
      </c>
      <c r="G13" s="27">
        <v>150000</v>
      </c>
      <c r="H13" s="26" t="s">
        <v>629</v>
      </c>
    </row>
    <row r="14" spans="1:8">
      <c r="A14" s="25">
        <v>38381</v>
      </c>
      <c r="B14" s="26" t="s">
        <v>63</v>
      </c>
      <c r="C14" s="26" t="s">
        <v>212</v>
      </c>
      <c r="D14" s="26" t="s">
        <v>361</v>
      </c>
      <c r="E14" s="26" t="s">
        <v>11</v>
      </c>
      <c r="F14" s="26" t="s">
        <v>630</v>
      </c>
      <c r="G14" s="27">
        <v>82000</v>
      </c>
      <c r="H14" s="26" t="s">
        <v>631</v>
      </c>
    </row>
    <row r="15" spans="1:8">
      <c r="A15" s="24" t="s">
        <v>632</v>
      </c>
      <c r="B15" s="24"/>
      <c r="C15" s="24"/>
      <c r="D15" s="24"/>
      <c r="E15" s="24"/>
      <c r="F15" s="24"/>
      <c r="G15" s="24"/>
      <c r="H15" s="24"/>
    </row>
    <row r="16" spans="1:8" ht="18">
      <c r="A16" s="25">
        <v>38384</v>
      </c>
      <c r="B16" s="26" t="s">
        <v>472</v>
      </c>
      <c r="C16" s="26" t="s">
        <v>633</v>
      </c>
      <c r="D16" s="26" t="s">
        <v>618</v>
      </c>
      <c r="E16" s="26" t="s">
        <v>619</v>
      </c>
      <c r="F16" s="26">
        <v>460</v>
      </c>
      <c r="G16" s="26" t="s">
        <v>255</v>
      </c>
      <c r="H16" s="26" t="s">
        <v>634</v>
      </c>
    </row>
    <row r="17" spans="1:8" ht="18">
      <c r="A17" s="25">
        <v>38398</v>
      </c>
      <c r="B17" s="26" t="s">
        <v>472</v>
      </c>
      <c r="C17" s="26" t="s">
        <v>635</v>
      </c>
      <c r="D17" s="26" t="s">
        <v>618</v>
      </c>
      <c r="E17" s="26" t="s">
        <v>636</v>
      </c>
      <c r="F17" s="26">
        <v>380</v>
      </c>
      <c r="G17" s="26" t="s">
        <v>255</v>
      </c>
      <c r="H17" s="26" t="s">
        <v>637</v>
      </c>
    </row>
    <row r="18" spans="1:8" ht="18">
      <c r="A18" s="25">
        <v>38399</v>
      </c>
      <c r="B18" s="26" t="s">
        <v>472</v>
      </c>
      <c r="C18" s="26" t="s">
        <v>638</v>
      </c>
      <c r="D18" s="26" t="s">
        <v>618</v>
      </c>
      <c r="E18" s="26" t="s">
        <v>449</v>
      </c>
      <c r="F18" s="26">
        <v>325</v>
      </c>
      <c r="G18" s="27">
        <v>139438</v>
      </c>
      <c r="H18" s="26" t="s">
        <v>639</v>
      </c>
    </row>
    <row r="19" spans="1:8" ht="27">
      <c r="A19" s="25">
        <v>38401</v>
      </c>
      <c r="B19" s="26" t="s">
        <v>472</v>
      </c>
      <c r="C19" s="26" t="s">
        <v>640</v>
      </c>
      <c r="D19" s="26" t="s">
        <v>618</v>
      </c>
      <c r="E19" s="26" t="s">
        <v>641</v>
      </c>
      <c r="F19" s="26">
        <v>648</v>
      </c>
      <c r="G19" s="27">
        <v>372288</v>
      </c>
      <c r="H19" s="26" t="s">
        <v>642</v>
      </c>
    </row>
    <row r="20" spans="1:8" ht="18">
      <c r="A20" s="25">
        <v>38407</v>
      </c>
      <c r="B20" s="26" t="s">
        <v>472</v>
      </c>
      <c r="C20" s="26" t="s">
        <v>643</v>
      </c>
      <c r="D20" s="26" t="s">
        <v>618</v>
      </c>
      <c r="E20" s="26" t="s">
        <v>619</v>
      </c>
      <c r="F20" s="26">
        <v>200</v>
      </c>
      <c r="G20" s="26" t="s">
        <v>255</v>
      </c>
      <c r="H20" s="26" t="s">
        <v>644</v>
      </c>
    </row>
    <row r="21" spans="1:8">
      <c r="A21" s="24" t="s">
        <v>20</v>
      </c>
      <c r="B21" s="41"/>
      <c r="C21" s="41"/>
      <c r="D21" s="41"/>
      <c r="E21" s="41"/>
      <c r="F21" s="41"/>
      <c r="G21" s="41"/>
      <c r="H21" s="41"/>
    </row>
    <row r="22" spans="1:8" ht="27">
      <c r="A22" s="25">
        <v>38419</v>
      </c>
      <c r="B22" s="26" t="s">
        <v>63</v>
      </c>
      <c r="C22" s="26" t="s">
        <v>91</v>
      </c>
      <c r="D22" s="26" t="s">
        <v>645</v>
      </c>
      <c r="E22" s="26" t="s">
        <v>646</v>
      </c>
      <c r="F22" s="26">
        <v>180</v>
      </c>
      <c r="G22" s="27">
        <v>51600</v>
      </c>
      <c r="H22" s="26" t="s">
        <v>647</v>
      </c>
    </row>
    <row r="23" spans="1:8">
      <c r="A23" s="24" t="s">
        <v>23</v>
      </c>
      <c r="B23" s="24"/>
      <c r="C23" s="24"/>
      <c r="D23" s="24"/>
      <c r="E23" s="24"/>
      <c r="F23" s="24"/>
      <c r="G23" s="24"/>
      <c r="H23" s="24"/>
    </row>
    <row r="24" spans="1:8" ht="18">
      <c r="A24" s="25">
        <v>38443</v>
      </c>
      <c r="B24" s="26" t="s">
        <v>60</v>
      </c>
      <c r="C24" s="26" t="s">
        <v>324</v>
      </c>
      <c r="D24" s="26" t="s">
        <v>648</v>
      </c>
      <c r="E24" s="26" t="s">
        <v>40</v>
      </c>
      <c r="F24" s="26" t="s">
        <v>255</v>
      </c>
      <c r="G24" s="27">
        <v>211000</v>
      </c>
      <c r="H24" s="26" t="s">
        <v>649</v>
      </c>
    </row>
    <row r="25" spans="1:8" ht="18">
      <c r="A25" s="25">
        <v>38464</v>
      </c>
      <c r="B25" s="26" t="s">
        <v>124</v>
      </c>
      <c r="C25" s="26" t="s">
        <v>307</v>
      </c>
      <c r="D25" s="26" t="s">
        <v>354</v>
      </c>
      <c r="E25" s="26" t="s">
        <v>650</v>
      </c>
      <c r="F25" s="26">
        <v>126</v>
      </c>
      <c r="G25" s="26" t="s">
        <v>651</v>
      </c>
      <c r="H25" s="26" t="s">
        <v>652</v>
      </c>
    </row>
    <row r="26" spans="1:8" ht="18">
      <c r="A26" s="25">
        <v>38465</v>
      </c>
      <c r="B26" s="26" t="s">
        <v>472</v>
      </c>
      <c r="C26" s="26" t="s">
        <v>653</v>
      </c>
      <c r="D26" s="26" t="s">
        <v>618</v>
      </c>
      <c r="E26" s="26" t="s">
        <v>619</v>
      </c>
      <c r="F26" s="26">
        <v>345</v>
      </c>
      <c r="G26" s="27">
        <v>116552</v>
      </c>
      <c r="H26" s="26" t="s">
        <v>654</v>
      </c>
    </row>
    <row r="27" spans="1:8" ht="18">
      <c r="A27" s="25">
        <v>38465</v>
      </c>
      <c r="B27" s="26" t="s">
        <v>60</v>
      </c>
      <c r="C27" s="26" t="s">
        <v>655</v>
      </c>
      <c r="D27" s="26" t="s">
        <v>648</v>
      </c>
      <c r="E27" s="26" t="s">
        <v>40</v>
      </c>
      <c r="F27" s="26" t="s">
        <v>255</v>
      </c>
      <c r="G27" s="27">
        <v>150000</v>
      </c>
      <c r="H27" s="26" t="s">
        <v>656</v>
      </c>
    </row>
    <row r="28" spans="1:8" ht="18">
      <c r="A28" s="25">
        <v>38472</v>
      </c>
      <c r="B28" s="26" t="s">
        <v>63</v>
      </c>
      <c r="C28" s="26" t="s">
        <v>500</v>
      </c>
      <c r="D28" s="26" t="s">
        <v>657</v>
      </c>
      <c r="E28" s="26" t="s">
        <v>381</v>
      </c>
      <c r="F28" s="26">
        <v>100</v>
      </c>
      <c r="G28" s="27">
        <v>51808</v>
      </c>
      <c r="H28" s="26" t="s">
        <v>658</v>
      </c>
    </row>
    <row r="29" spans="1:8">
      <c r="A29" s="24" t="s">
        <v>103</v>
      </c>
      <c r="B29" s="24"/>
      <c r="C29" s="24"/>
      <c r="D29" s="24"/>
      <c r="E29" s="24"/>
      <c r="F29" s="24"/>
      <c r="G29" s="24"/>
      <c r="H29" s="24"/>
    </row>
    <row r="30" spans="1:8" ht="27">
      <c r="A30" s="25">
        <v>38480</v>
      </c>
      <c r="B30" s="26" t="s">
        <v>90</v>
      </c>
      <c r="C30" s="26" t="s">
        <v>328</v>
      </c>
      <c r="D30" s="26" t="s">
        <v>380</v>
      </c>
      <c r="E30" s="26" t="s">
        <v>398</v>
      </c>
      <c r="F30" s="26">
        <v>672</v>
      </c>
      <c r="G30" s="27">
        <v>243000</v>
      </c>
      <c r="H30" s="26" t="s">
        <v>659</v>
      </c>
    </row>
    <row r="31" spans="1:8" ht="18">
      <c r="A31" s="25">
        <v>38483</v>
      </c>
      <c r="B31" s="26" t="s">
        <v>472</v>
      </c>
      <c r="C31" s="26" t="s">
        <v>81</v>
      </c>
      <c r="D31" s="26" t="s">
        <v>618</v>
      </c>
      <c r="E31" s="26" t="s">
        <v>619</v>
      </c>
      <c r="F31" s="26">
        <v>529</v>
      </c>
      <c r="G31" s="26" t="s">
        <v>255</v>
      </c>
      <c r="H31" s="26" t="s">
        <v>660</v>
      </c>
    </row>
    <row r="32" spans="1:8" ht="27">
      <c r="A32" s="25">
        <v>38501</v>
      </c>
      <c r="B32" s="26" t="s">
        <v>90</v>
      </c>
      <c r="C32" s="26" t="s">
        <v>109</v>
      </c>
      <c r="D32" s="26" t="s">
        <v>380</v>
      </c>
      <c r="E32" s="26" t="s">
        <v>398</v>
      </c>
      <c r="F32" s="26">
        <v>328</v>
      </c>
      <c r="G32" s="27">
        <v>123000</v>
      </c>
      <c r="H32" s="26" t="s">
        <v>661</v>
      </c>
    </row>
    <row r="33" spans="1:8">
      <c r="A33" s="24" t="s">
        <v>123</v>
      </c>
      <c r="B33" s="24"/>
      <c r="C33" s="24"/>
      <c r="D33" s="24"/>
      <c r="E33" s="24"/>
      <c r="F33" s="24"/>
      <c r="G33" s="24"/>
      <c r="H33" s="24"/>
    </row>
    <row r="34" spans="1:8" ht="27">
      <c r="A34" s="25">
        <v>38508</v>
      </c>
      <c r="B34" s="26" t="s">
        <v>60</v>
      </c>
      <c r="C34" s="26" t="s">
        <v>71</v>
      </c>
      <c r="D34" s="26" t="s">
        <v>662</v>
      </c>
      <c r="E34" s="26" t="s">
        <v>663</v>
      </c>
      <c r="F34" s="27">
        <v>1826</v>
      </c>
      <c r="G34" s="27">
        <v>201580</v>
      </c>
      <c r="H34" s="26" t="s">
        <v>664</v>
      </c>
    </row>
    <row r="35" spans="1:8" ht="36">
      <c r="A35" s="25">
        <v>38508</v>
      </c>
      <c r="B35" s="26" t="s">
        <v>60</v>
      </c>
      <c r="C35" s="26" t="s">
        <v>71</v>
      </c>
      <c r="D35" s="26" t="s">
        <v>665</v>
      </c>
      <c r="E35" s="26" t="s">
        <v>666</v>
      </c>
      <c r="F35" s="26" t="s">
        <v>667</v>
      </c>
      <c r="G35" s="27">
        <v>105000</v>
      </c>
      <c r="H35" s="26" t="s">
        <v>668</v>
      </c>
    </row>
    <row r="36" spans="1:8" ht="18.75" thickBot="1">
      <c r="A36" s="29">
        <v>38509</v>
      </c>
      <c r="B36" s="30" t="s">
        <v>61</v>
      </c>
      <c r="C36" s="30" t="s">
        <v>424</v>
      </c>
      <c r="D36" s="30" t="s">
        <v>669</v>
      </c>
      <c r="E36" s="30" t="s">
        <v>398</v>
      </c>
      <c r="F36" s="30" t="s">
        <v>255</v>
      </c>
      <c r="G36" s="31">
        <v>65000</v>
      </c>
      <c r="H36" s="30" t="s">
        <v>670</v>
      </c>
    </row>
    <row r="37" spans="1:8" ht="16.5" thickTop="1">
      <c r="A37" s="32"/>
    </row>
    <row r="38" spans="1:8">
      <c r="A38" s="33"/>
    </row>
    <row r="39" spans="1:8">
      <c r="A39" s="19" t="s">
        <v>0</v>
      </c>
      <c r="B39" s="19" t="s">
        <v>606</v>
      </c>
    </row>
    <row r="40" spans="1:8" ht="13.5" thickBot="1">
      <c r="A40" s="19" t="s">
        <v>177</v>
      </c>
    </row>
    <row r="41" spans="1:8" ht="28.5" customHeight="1" thickTop="1">
      <c r="A41" s="798" t="s">
        <v>2</v>
      </c>
      <c r="B41" s="793" t="s">
        <v>57</v>
      </c>
      <c r="C41" s="793" t="s">
        <v>3</v>
      </c>
      <c r="D41" s="793" t="s">
        <v>67</v>
      </c>
      <c r="E41" s="793" t="s">
        <v>5</v>
      </c>
      <c r="F41" s="793" t="s">
        <v>6</v>
      </c>
      <c r="G41" s="793" t="s">
        <v>68</v>
      </c>
      <c r="H41" s="22" t="s">
        <v>69</v>
      </c>
    </row>
    <row r="42" spans="1:8" ht="13.5" thickBot="1">
      <c r="A42" s="799"/>
      <c r="B42" s="794"/>
      <c r="C42" s="794"/>
      <c r="D42" s="794"/>
      <c r="E42" s="794"/>
      <c r="F42" s="794"/>
      <c r="G42" s="794"/>
      <c r="H42" s="23" t="s">
        <v>70</v>
      </c>
    </row>
    <row r="43" spans="1:8" ht="54">
      <c r="A43" s="25">
        <v>38509</v>
      </c>
      <c r="B43" s="26" t="s">
        <v>65</v>
      </c>
      <c r="C43" s="26" t="s">
        <v>671</v>
      </c>
      <c r="D43" s="26" t="s">
        <v>672</v>
      </c>
      <c r="E43" s="26" t="s">
        <v>666</v>
      </c>
      <c r="F43" s="26" t="s">
        <v>255</v>
      </c>
      <c r="G43" s="27">
        <v>143000</v>
      </c>
      <c r="H43" s="26" t="s">
        <v>673</v>
      </c>
    </row>
    <row r="44" spans="1:8" ht="18">
      <c r="A44" s="25">
        <v>38511</v>
      </c>
      <c r="B44" s="26" t="s">
        <v>674</v>
      </c>
      <c r="C44" s="26" t="s">
        <v>159</v>
      </c>
      <c r="D44" s="26" t="s">
        <v>675</v>
      </c>
      <c r="E44" s="26" t="s">
        <v>666</v>
      </c>
      <c r="F44" s="26" t="s">
        <v>676</v>
      </c>
      <c r="G44" s="27">
        <v>300000</v>
      </c>
      <c r="H44" s="26" t="s">
        <v>677</v>
      </c>
    </row>
    <row r="45" spans="1:8" ht="18">
      <c r="A45" s="25">
        <v>38523</v>
      </c>
      <c r="B45" s="26" t="s">
        <v>472</v>
      </c>
      <c r="C45" s="26" t="s">
        <v>678</v>
      </c>
      <c r="D45" s="26" t="s">
        <v>618</v>
      </c>
      <c r="E45" s="26" t="s">
        <v>619</v>
      </c>
      <c r="F45" s="26">
        <v>35</v>
      </c>
      <c r="G45" s="27">
        <v>600000</v>
      </c>
      <c r="H45" s="26" t="s">
        <v>679</v>
      </c>
    </row>
    <row r="46" spans="1:8" ht="27">
      <c r="A46" s="25">
        <v>38527</v>
      </c>
      <c r="B46" s="26" t="s">
        <v>62</v>
      </c>
      <c r="C46" s="26" t="s">
        <v>680</v>
      </c>
      <c r="D46" s="26" t="s">
        <v>478</v>
      </c>
      <c r="E46" s="26" t="s">
        <v>681</v>
      </c>
      <c r="F46" s="26">
        <v>350</v>
      </c>
      <c r="G46" s="27">
        <v>51500</v>
      </c>
      <c r="H46" s="26" t="s">
        <v>682</v>
      </c>
    </row>
    <row r="47" spans="1:8" ht="45">
      <c r="A47" s="25">
        <v>38531</v>
      </c>
      <c r="B47" s="26" t="s">
        <v>124</v>
      </c>
      <c r="C47" s="26" t="s">
        <v>683</v>
      </c>
      <c r="D47" s="26" t="s">
        <v>684</v>
      </c>
      <c r="E47" s="26" t="s">
        <v>685</v>
      </c>
      <c r="F47" s="26">
        <v>0</v>
      </c>
      <c r="G47" s="26">
        <v>0</v>
      </c>
      <c r="H47" s="26" t="s">
        <v>686</v>
      </c>
    </row>
    <row r="48" spans="1:8" ht="27">
      <c r="A48" s="25">
        <v>38532</v>
      </c>
      <c r="B48" s="26" t="s">
        <v>60</v>
      </c>
      <c r="C48" s="26" t="s">
        <v>465</v>
      </c>
      <c r="D48" s="26" t="s">
        <v>662</v>
      </c>
      <c r="E48" s="26" t="s">
        <v>663</v>
      </c>
      <c r="F48" s="27">
        <v>1000</v>
      </c>
      <c r="G48" s="27">
        <v>114711</v>
      </c>
      <c r="H48" s="26" t="s">
        <v>687</v>
      </c>
    </row>
    <row r="49" spans="1:8">
      <c r="A49" s="24" t="s">
        <v>26</v>
      </c>
      <c r="B49" s="24"/>
      <c r="C49" s="24"/>
      <c r="D49" s="24"/>
      <c r="E49" s="24"/>
      <c r="F49" s="24"/>
      <c r="G49" s="24"/>
      <c r="H49" s="24"/>
    </row>
    <row r="50" spans="1:8" ht="45">
      <c r="A50" s="26" t="s">
        <v>688</v>
      </c>
      <c r="B50" s="26" t="s">
        <v>90</v>
      </c>
      <c r="C50" s="26" t="s">
        <v>255</v>
      </c>
      <c r="D50" s="26" t="s">
        <v>689</v>
      </c>
      <c r="E50" s="26" t="s">
        <v>690</v>
      </c>
      <c r="F50" s="26">
        <v>0</v>
      </c>
      <c r="G50" s="26">
        <v>0</v>
      </c>
      <c r="H50" s="26" t="s">
        <v>686</v>
      </c>
    </row>
    <row r="51" spans="1:8" ht="18">
      <c r="A51" s="25">
        <v>38535</v>
      </c>
      <c r="B51" s="26" t="s">
        <v>472</v>
      </c>
      <c r="C51" s="26" t="s">
        <v>691</v>
      </c>
      <c r="D51" s="26" t="s">
        <v>618</v>
      </c>
      <c r="E51" s="26" t="s">
        <v>449</v>
      </c>
      <c r="F51" s="26">
        <v>226</v>
      </c>
      <c r="G51" s="27">
        <v>132290</v>
      </c>
      <c r="H51" s="26" t="s">
        <v>692</v>
      </c>
    </row>
    <row r="52" spans="1:8">
      <c r="A52" s="26"/>
      <c r="B52" s="26"/>
      <c r="C52" s="26"/>
      <c r="D52" s="26"/>
      <c r="E52" s="26"/>
      <c r="F52" s="26"/>
      <c r="G52" s="26"/>
      <c r="H52" s="26"/>
    </row>
    <row r="53" spans="1:8" ht="45">
      <c r="A53" s="25">
        <v>38538</v>
      </c>
      <c r="B53" s="26" t="s">
        <v>58</v>
      </c>
      <c r="C53" s="26" t="s">
        <v>248</v>
      </c>
      <c r="D53" s="26" t="s">
        <v>693</v>
      </c>
      <c r="E53" s="26" t="s">
        <v>694</v>
      </c>
      <c r="F53" s="26" t="s">
        <v>201</v>
      </c>
      <c r="G53" s="27">
        <v>287000</v>
      </c>
      <c r="H53" s="26" t="s">
        <v>695</v>
      </c>
    </row>
    <row r="54" spans="1:8" ht="27">
      <c r="A54" s="25">
        <v>38543</v>
      </c>
      <c r="B54" s="26" t="s">
        <v>63</v>
      </c>
      <c r="C54" s="26" t="s">
        <v>500</v>
      </c>
      <c r="D54" s="26" t="s">
        <v>696</v>
      </c>
      <c r="E54" s="26" t="s">
        <v>697</v>
      </c>
      <c r="F54" s="26">
        <v>45</v>
      </c>
      <c r="G54" s="27">
        <v>228102</v>
      </c>
      <c r="H54" s="26" t="s">
        <v>698</v>
      </c>
    </row>
    <row r="55" spans="1:8" ht="36">
      <c r="A55" s="25">
        <v>38543</v>
      </c>
      <c r="B55" s="26" t="s">
        <v>63</v>
      </c>
      <c r="C55" s="26" t="s">
        <v>699</v>
      </c>
      <c r="D55" s="26" t="s">
        <v>700</v>
      </c>
      <c r="E55" s="26" t="s">
        <v>697</v>
      </c>
      <c r="F55" s="26">
        <v>51.2</v>
      </c>
      <c r="G55" s="27">
        <v>50000</v>
      </c>
      <c r="H55" s="26" t="s">
        <v>701</v>
      </c>
    </row>
    <row r="56" spans="1:8" ht="63">
      <c r="A56" s="25">
        <v>38554</v>
      </c>
      <c r="B56" s="26" t="s">
        <v>124</v>
      </c>
      <c r="C56" s="26" t="s">
        <v>702</v>
      </c>
      <c r="D56" s="26" t="s">
        <v>703</v>
      </c>
      <c r="E56" s="26" t="s">
        <v>704</v>
      </c>
      <c r="F56" s="26">
        <v>197</v>
      </c>
      <c r="G56" s="27">
        <v>128050</v>
      </c>
      <c r="H56" s="26" t="s">
        <v>705</v>
      </c>
    </row>
    <row r="57" spans="1:8" ht="63">
      <c r="A57" s="25">
        <v>38555</v>
      </c>
      <c r="B57" s="26" t="s">
        <v>124</v>
      </c>
      <c r="C57" s="26" t="s">
        <v>706</v>
      </c>
      <c r="D57" s="26" t="s">
        <v>707</v>
      </c>
      <c r="E57" s="26" t="s">
        <v>708</v>
      </c>
      <c r="F57" s="26">
        <v>206</v>
      </c>
      <c r="G57" s="27">
        <v>133900</v>
      </c>
      <c r="H57" s="26" t="s">
        <v>709</v>
      </c>
    </row>
    <row r="58" spans="1:8" ht="36">
      <c r="A58" s="25">
        <v>38556</v>
      </c>
      <c r="B58" s="26" t="s">
        <v>65</v>
      </c>
      <c r="C58" s="26" t="s">
        <v>710</v>
      </c>
      <c r="D58" s="26" t="s">
        <v>711</v>
      </c>
      <c r="E58" s="26" t="s">
        <v>106</v>
      </c>
      <c r="F58" s="26" t="s">
        <v>255</v>
      </c>
      <c r="G58" s="27">
        <v>55118</v>
      </c>
      <c r="H58" s="26" t="s">
        <v>712</v>
      </c>
    </row>
    <row r="59" spans="1:8" ht="54">
      <c r="A59" s="25">
        <v>38560</v>
      </c>
      <c r="B59" s="26" t="s">
        <v>65</v>
      </c>
      <c r="C59" s="26" t="s">
        <v>713</v>
      </c>
      <c r="D59" s="26" t="s">
        <v>714</v>
      </c>
      <c r="E59" s="26" t="s">
        <v>106</v>
      </c>
      <c r="F59" s="26" t="s">
        <v>255</v>
      </c>
      <c r="G59" s="27">
        <v>93837</v>
      </c>
      <c r="H59" s="26" t="s">
        <v>715</v>
      </c>
    </row>
    <row r="60" spans="1:8" ht="36">
      <c r="A60" s="25">
        <v>38560</v>
      </c>
      <c r="B60" s="26" t="s">
        <v>65</v>
      </c>
      <c r="C60" s="26" t="s">
        <v>716</v>
      </c>
      <c r="D60" s="26" t="s">
        <v>711</v>
      </c>
      <c r="E60" s="26" t="s">
        <v>717</v>
      </c>
      <c r="F60" s="26" t="s">
        <v>718</v>
      </c>
      <c r="G60" s="27">
        <v>64943</v>
      </c>
      <c r="H60" s="26" t="s">
        <v>719</v>
      </c>
    </row>
    <row r="61" spans="1:8" ht="45">
      <c r="A61" s="25">
        <v>38560</v>
      </c>
      <c r="B61" s="26" t="s">
        <v>65</v>
      </c>
      <c r="C61" s="26" t="s">
        <v>267</v>
      </c>
      <c r="D61" s="26" t="s">
        <v>720</v>
      </c>
      <c r="E61" s="26" t="s">
        <v>106</v>
      </c>
      <c r="F61" s="26" t="s">
        <v>255</v>
      </c>
      <c r="G61" s="27">
        <v>87600</v>
      </c>
      <c r="H61" s="26" t="s">
        <v>721</v>
      </c>
    </row>
    <row r="62" spans="1:8" ht="18">
      <c r="A62" s="25">
        <v>38561</v>
      </c>
      <c r="B62" s="26" t="s">
        <v>63</v>
      </c>
      <c r="C62" s="26" t="s">
        <v>722</v>
      </c>
      <c r="D62" s="26" t="s">
        <v>723</v>
      </c>
      <c r="E62" s="26" t="s">
        <v>717</v>
      </c>
      <c r="F62" s="26">
        <v>300</v>
      </c>
      <c r="G62" s="27">
        <v>52200</v>
      </c>
      <c r="H62" s="26" t="s">
        <v>724</v>
      </c>
    </row>
    <row r="63" spans="1:8">
      <c r="A63" s="24" t="s">
        <v>32</v>
      </c>
      <c r="B63" s="24"/>
      <c r="C63" s="24"/>
      <c r="D63" s="24"/>
      <c r="E63" s="24"/>
      <c r="F63" s="24"/>
      <c r="G63" s="24"/>
      <c r="H63" s="24"/>
    </row>
    <row r="64" spans="1:8" ht="27">
      <c r="A64" s="25">
        <v>38565</v>
      </c>
      <c r="B64" s="26" t="s">
        <v>472</v>
      </c>
      <c r="C64" s="26" t="s">
        <v>725</v>
      </c>
      <c r="D64" s="26" t="s">
        <v>618</v>
      </c>
      <c r="E64" s="26" t="s">
        <v>726</v>
      </c>
      <c r="F64" s="26">
        <v>175</v>
      </c>
      <c r="G64" s="27">
        <v>47116</v>
      </c>
      <c r="H64" s="26" t="s">
        <v>727</v>
      </c>
    </row>
    <row r="65" spans="1:8" ht="18.75" thickBot="1">
      <c r="A65" s="29">
        <v>38572</v>
      </c>
      <c r="B65" s="30" t="s">
        <v>124</v>
      </c>
      <c r="C65" s="30" t="s">
        <v>728</v>
      </c>
      <c r="D65" s="30" t="s">
        <v>354</v>
      </c>
      <c r="E65" s="30" t="s">
        <v>729</v>
      </c>
      <c r="F65" s="30">
        <v>240</v>
      </c>
      <c r="G65" s="30" t="s">
        <v>651</v>
      </c>
      <c r="H65" s="30" t="s">
        <v>730</v>
      </c>
    </row>
    <row r="66" spans="1:8" ht="13.5" thickTop="1">
      <c r="A66" s="33"/>
    </row>
    <row r="67" spans="1:8">
      <c r="A67" s="19" t="s">
        <v>0</v>
      </c>
      <c r="B67" s="19" t="s">
        <v>606</v>
      </c>
    </row>
    <row r="68" spans="1:8" ht="13.5" thickBot="1">
      <c r="A68" s="19" t="s">
        <v>177</v>
      </c>
    </row>
    <row r="69" spans="1:8" ht="28.5" customHeight="1" thickTop="1">
      <c r="A69" s="798" t="s">
        <v>2</v>
      </c>
      <c r="B69" s="793" t="s">
        <v>57</v>
      </c>
      <c r="C69" s="793" t="s">
        <v>3</v>
      </c>
      <c r="D69" s="793" t="s">
        <v>67</v>
      </c>
      <c r="E69" s="793" t="s">
        <v>5</v>
      </c>
      <c r="F69" s="793" t="s">
        <v>6</v>
      </c>
      <c r="G69" s="793" t="s">
        <v>68</v>
      </c>
      <c r="H69" s="22" t="s">
        <v>69</v>
      </c>
    </row>
    <row r="70" spans="1:8" ht="13.5" thickBot="1">
      <c r="A70" s="799"/>
      <c r="B70" s="794"/>
      <c r="C70" s="794"/>
      <c r="D70" s="794"/>
      <c r="E70" s="794"/>
      <c r="F70" s="794"/>
      <c r="G70" s="794"/>
      <c r="H70" s="23" t="s">
        <v>70</v>
      </c>
    </row>
    <row r="71" spans="1:8" ht="27">
      <c r="A71" s="25">
        <v>38583</v>
      </c>
      <c r="B71" s="26" t="s">
        <v>472</v>
      </c>
      <c r="C71" s="26" t="s">
        <v>731</v>
      </c>
      <c r="D71" s="26" t="s">
        <v>618</v>
      </c>
      <c r="E71" s="26" t="s">
        <v>726</v>
      </c>
      <c r="F71" s="26">
        <v>259</v>
      </c>
      <c r="G71" s="27">
        <v>71864</v>
      </c>
      <c r="H71" s="26" t="s">
        <v>732</v>
      </c>
    </row>
    <row r="72" spans="1:8" ht="18">
      <c r="A72" s="25">
        <v>38584</v>
      </c>
      <c r="B72" s="26" t="s">
        <v>60</v>
      </c>
      <c r="C72" s="26" t="s">
        <v>584</v>
      </c>
      <c r="D72" s="26" t="s">
        <v>733</v>
      </c>
      <c r="E72" s="26" t="s">
        <v>106</v>
      </c>
      <c r="F72" s="26">
        <v>650</v>
      </c>
      <c r="G72" s="27">
        <v>50797</v>
      </c>
      <c r="H72" s="26" t="s">
        <v>734</v>
      </c>
    </row>
    <row r="73" spans="1:8" ht="108">
      <c r="A73" s="25">
        <v>38589</v>
      </c>
      <c r="B73" s="26" t="s">
        <v>124</v>
      </c>
      <c r="C73" s="26" t="s">
        <v>735</v>
      </c>
      <c r="D73" s="26" t="s">
        <v>703</v>
      </c>
      <c r="E73" s="26" t="s">
        <v>736</v>
      </c>
      <c r="F73" s="26" t="s">
        <v>455</v>
      </c>
      <c r="G73" s="26" t="s">
        <v>455</v>
      </c>
      <c r="H73" s="26" t="s">
        <v>737</v>
      </c>
    </row>
    <row r="74" spans="1:8" ht="81">
      <c r="A74" s="25">
        <v>38589</v>
      </c>
      <c r="B74" s="26" t="s">
        <v>124</v>
      </c>
      <c r="C74" s="26" t="s">
        <v>307</v>
      </c>
      <c r="D74" s="26" t="s">
        <v>703</v>
      </c>
      <c r="E74" s="26" t="s">
        <v>738</v>
      </c>
      <c r="F74" s="26">
        <v>864</v>
      </c>
      <c r="G74" s="27">
        <v>409000</v>
      </c>
      <c r="H74" s="26" t="s">
        <v>739</v>
      </c>
    </row>
    <row r="75" spans="1:8" ht="27">
      <c r="A75" s="25">
        <v>38593</v>
      </c>
      <c r="B75" s="26" t="s">
        <v>58</v>
      </c>
      <c r="C75" s="26" t="s">
        <v>740</v>
      </c>
      <c r="D75" s="26" t="s">
        <v>741</v>
      </c>
      <c r="E75" s="26" t="s">
        <v>742</v>
      </c>
      <c r="F75" s="26">
        <v>300</v>
      </c>
      <c r="G75" s="27">
        <v>143000</v>
      </c>
      <c r="H75" s="26" t="s">
        <v>743</v>
      </c>
    </row>
    <row r="76" spans="1:8" ht="27">
      <c r="A76" s="25">
        <v>38593</v>
      </c>
      <c r="B76" s="26" t="s">
        <v>58</v>
      </c>
      <c r="C76" s="26" t="s">
        <v>144</v>
      </c>
      <c r="D76" s="26" t="s">
        <v>744</v>
      </c>
      <c r="E76" s="26" t="s">
        <v>742</v>
      </c>
      <c r="F76" s="26" t="s">
        <v>255</v>
      </c>
      <c r="G76" s="26" t="s">
        <v>745</v>
      </c>
      <c r="H76" s="26" t="s">
        <v>746</v>
      </c>
    </row>
    <row r="77" spans="1:8" ht="162">
      <c r="A77" s="25">
        <v>38593</v>
      </c>
      <c r="B77" s="26" t="s">
        <v>301</v>
      </c>
      <c r="C77" s="26" t="s">
        <v>747</v>
      </c>
      <c r="D77" s="26" t="s">
        <v>748</v>
      </c>
      <c r="E77" s="26" t="s">
        <v>749</v>
      </c>
      <c r="F77" s="26">
        <v>0</v>
      </c>
      <c r="G77" s="26">
        <v>0</v>
      </c>
      <c r="H77" s="26" t="s">
        <v>750</v>
      </c>
    </row>
    <row r="78" spans="1:8" ht="18">
      <c r="A78" s="25">
        <v>38593</v>
      </c>
      <c r="B78" s="26" t="s">
        <v>63</v>
      </c>
      <c r="C78" s="26" t="s">
        <v>747</v>
      </c>
      <c r="D78" s="26" t="s">
        <v>751</v>
      </c>
      <c r="E78" s="26" t="s">
        <v>752</v>
      </c>
      <c r="F78" s="27">
        <v>5120</v>
      </c>
      <c r="G78" s="27">
        <v>512049</v>
      </c>
      <c r="H78" s="26" t="s">
        <v>753</v>
      </c>
    </row>
    <row r="79" spans="1:8" ht="27">
      <c r="A79" s="25">
        <v>38593</v>
      </c>
      <c r="B79" s="26" t="s">
        <v>63</v>
      </c>
      <c r="C79" s="26" t="s">
        <v>735</v>
      </c>
      <c r="D79" s="26" t="s">
        <v>754</v>
      </c>
      <c r="E79" s="26" t="s">
        <v>742</v>
      </c>
      <c r="F79" s="26">
        <v>118.5</v>
      </c>
      <c r="G79" s="27">
        <v>323529</v>
      </c>
      <c r="H79" s="26" t="s">
        <v>755</v>
      </c>
    </row>
    <row r="80" spans="1:8" ht="108">
      <c r="A80" s="25">
        <v>38593</v>
      </c>
      <c r="B80" s="26" t="s">
        <v>301</v>
      </c>
      <c r="C80" s="26" t="s">
        <v>104</v>
      </c>
      <c r="D80" s="26" t="s">
        <v>756</v>
      </c>
      <c r="E80" s="26" t="s">
        <v>757</v>
      </c>
      <c r="F80" s="26">
        <v>0</v>
      </c>
      <c r="G80" s="26">
        <v>0</v>
      </c>
      <c r="H80" s="26" t="s">
        <v>758</v>
      </c>
    </row>
    <row r="81" spans="1:8" ht="90">
      <c r="A81" s="25">
        <v>38595</v>
      </c>
      <c r="B81" s="26" t="s">
        <v>301</v>
      </c>
      <c r="C81" s="26" t="s">
        <v>212</v>
      </c>
      <c r="D81" s="26" t="s">
        <v>759</v>
      </c>
      <c r="E81" s="26" t="s">
        <v>760</v>
      </c>
      <c r="F81" s="26">
        <v>0</v>
      </c>
      <c r="G81" s="26">
        <v>0</v>
      </c>
      <c r="H81" s="26" t="s">
        <v>761</v>
      </c>
    </row>
    <row r="82" spans="1:8">
      <c r="A82" s="24" t="s">
        <v>219</v>
      </c>
      <c r="B82" s="24"/>
      <c r="C82" s="24"/>
      <c r="D82" s="24"/>
      <c r="E82" s="24"/>
      <c r="F82" s="24"/>
      <c r="G82" s="24"/>
      <c r="H82" s="24"/>
    </row>
    <row r="83" spans="1:8" ht="36">
      <c r="A83" s="25">
        <v>38607</v>
      </c>
      <c r="B83" s="26" t="s">
        <v>124</v>
      </c>
      <c r="C83" s="26" t="s">
        <v>762</v>
      </c>
      <c r="D83" s="26" t="s">
        <v>763</v>
      </c>
      <c r="E83" s="26" t="s">
        <v>764</v>
      </c>
      <c r="F83" s="27">
        <v>2578</v>
      </c>
      <c r="G83" s="27">
        <v>900000</v>
      </c>
      <c r="H83" s="26" t="s">
        <v>765</v>
      </c>
    </row>
    <row r="84" spans="1:8" ht="27">
      <c r="A84" s="25">
        <v>38608</v>
      </c>
      <c r="B84" s="26" t="s">
        <v>472</v>
      </c>
      <c r="C84" s="26" t="s">
        <v>766</v>
      </c>
      <c r="D84" s="26" t="s">
        <v>618</v>
      </c>
      <c r="E84" s="26" t="s">
        <v>726</v>
      </c>
      <c r="F84" s="26">
        <v>249</v>
      </c>
      <c r="G84" s="27">
        <v>66480</v>
      </c>
      <c r="H84" s="26" t="s">
        <v>767</v>
      </c>
    </row>
    <row r="85" spans="1:8" ht="27">
      <c r="A85" s="25">
        <v>38608</v>
      </c>
      <c r="B85" s="26" t="s">
        <v>62</v>
      </c>
      <c r="C85" s="26" t="s">
        <v>368</v>
      </c>
      <c r="D85" s="26" t="s">
        <v>768</v>
      </c>
      <c r="E85" s="26" t="s">
        <v>362</v>
      </c>
      <c r="F85" s="26">
        <v>600</v>
      </c>
      <c r="G85" s="27">
        <v>110000</v>
      </c>
      <c r="H85" s="26" t="s">
        <v>769</v>
      </c>
    </row>
    <row r="86" spans="1:8" ht="18">
      <c r="A86" s="25">
        <v>38609</v>
      </c>
      <c r="B86" s="26" t="s">
        <v>63</v>
      </c>
      <c r="C86" s="26" t="s">
        <v>328</v>
      </c>
      <c r="D86" s="26" t="s">
        <v>230</v>
      </c>
      <c r="E86" s="26" t="s">
        <v>770</v>
      </c>
      <c r="F86" s="26">
        <v>215</v>
      </c>
      <c r="G86" s="27">
        <v>60000</v>
      </c>
      <c r="H86" s="26" t="s">
        <v>771</v>
      </c>
    </row>
    <row r="87" spans="1:8" ht="27">
      <c r="A87" s="25">
        <v>38616</v>
      </c>
      <c r="B87" s="26" t="s">
        <v>674</v>
      </c>
      <c r="C87" s="26" t="s">
        <v>81</v>
      </c>
      <c r="D87" s="26" t="s">
        <v>675</v>
      </c>
      <c r="E87" s="26" t="s">
        <v>772</v>
      </c>
      <c r="F87" s="26" t="s">
        <v>255</v>
      </c>
      <c r="G87" s="27">
        <v>200000</v>
      </c>
      <c r="H87" s="26" t="s">
        <v>773</v>
      </c>
    </row>
    <row r="88" spans="1:8" ht="18.75" thickBot="1">
      <c r="A88" s="29">
        <v>38617</v>
      </c>
      <c r="B88" s="30" t="s">
        <v>60</v>
      </c>
      <c r="C88" s="30" t="s">
        <v>91</v>
      </c>
      <c r="D88" s="30" t="s">
        <v>420</v>
      </c>
      <c r="E88" s="30" t="s">
        <v>717</v>
      </c>
      <c r="F88" s="30">
        <v>366</v>
      </c>
      <c r="G88" s="31">
        <v>53000</v>
      </c>
      <c r="H88" s="30" t="s">
        <v>774</v>
      </c>
    </row>
    <row r="89" spans="1:8" ht="16.5" thickTop="1">
      <c r="A89" s="32"/>
    </row>
    <row r="90" spans="1:8">
      <c r="A90" s="33"/>
    </row>
    <row r="91" spans="1:8">
      <c r="A91" s="19" t="s">
        <v>0</v>
      </c>
      <c r="B91" s="19" t="s">
        <v>606</v>
      </c>
    </row>
    <row r="92" spans="1:8" ht="13.5" thickBot="1">
      <c r="A92" s="19" t="s">
        <v>177</v>
      </c>
    </row>
    <row r="93" spans="1:8" ht="28.5" customHeight="1" thickTop="1">
      <c r="A93" s="798" t="s">
        <v>2</v>
      </c>
      <c r="B93" s="793" t="s">
        <v>57</v>
      </c>
      <c r="C93" s="793" t="s">
        <v>3</v>
      </c>
      <c r="D93" s="793" t="s">
        <v>67</v>
      </c>
      <c r="E93" s="793" t="s">
        <v>5</v>
      </c>
      <c r="F93" s="793" t="s">
        <v>6</v>
      </c>
      <c r="G93" s="793" t="s">
        <v>68</v>
      </c>
      <c r="H93" s="22" t="s">
        <v>69</v>
      </c>
    </row>
    <row r="94" spans="1:8" ht="13.5" thickBot="1">
      <c r="A94" s="799"/>
      <c r="B94" s="794"/>
      <c r="C94" s="794"/>
      <c r="D94" s="794"/>
      <c r="E94" s="794"/>
      <c r="F94" s="794"/>
      <c r="G94" s="794"/>
      <c r="H94" s="23" t="s">
        <v>70</v>
      </c>
    </row>
    <row r="95" spans="1:8">
      <c r="A95" s="37"/>
    </row>
    <row r="96" spans="1:8" ht="162">
      <c r="A96" s="25">
        <v>38617</v>
      </c>
      <c r="B96" s="26" t="s">
        <v>301</v>
      </c>
      <c r="C96" s="26" t="s">
        <v>424</v>
      </c>
      <c r="D96" s="26" t="s">
        <v>748</v>
      </c>
      <c r="E96" s="26" t="s">
        <v>775</v>
      </c>
      <c r="F96" s="26">
        <v>0</v>
      </c>
      <c r="G96" s="26">
        <v>0</v>
      </c>
      <c r="H96" s="26" t="s">
        <v>776</v>
      </c>
    </row>
    <row r="97" spans="1:8" ht="99">
      <c r="A97" s="25">
        <v>38618</v>
      </c>
      <c r="B97" s="26" t="s">
        <v>301</v>
      </c>
      <c r="C97" s="26" t="s">
        <v>289</v>
      </c>
      <c r="D97" s="26" t="s">
        <v>777</v>
      </c>
      <c r="E97" s="26" t="s">
        <v>778</v>
      </c>
      <c r="F97" s="26">
        <v>0</v>
      </c>
      <c r="G97" s="26">
        <v>0</v>
      </c>
      <c r="H97" s="26" t="s">
        <v>779</v>
      </c>
    </row>
    <row r="98" spans="1:8" ht="27">
      <c r="A98" s="25">
        <v>38618</v>
      </c>
      <c r="B98" s="26" t="s">
        <v>58</v>
      </c>
      <c r="C98" s="26" t="s">
        <v>780</v>
      </c>
      <c r="D98" s="26" t="s">
        <v>781</v>
      </c>
      <c r="E98" s="26" t="s">
        <v>782</v>
      </c>
      <c r="F98" s="26">
        <v>350</v>
      </c>
      <c r="G98" s="27">
        <v>125000</v>
      </c>
      <c r="H98" s="26" t="s">
        <v>783</v>
      </c>
    </row>
    <row r="99" spans="1:8" ht="36">
      <c r="A99" s="25">
        <v>38618</v>
      </c>
      <c r="B99" s="26" t="s">
        <v>90</v>
      </c>
      <c r="C99" s="26" t="s">
        <v>104</v>
      </c>
      <c r="D99" s="26" t="s">
        <v>784</v>
      </c>
      <c r="E99" s="26" t="s">
        <v>782</v>
      </c>
      <c r="F99" s="27">
        <v>1950</v>
      </c>
      <c r="G99" s="27">
        <v>715000</v>
      </c>
      <c r="H99" s="26" t="s">
        <v>785</v>
      </c>
    </row>
    <row r="100" spans="1:8" ht="27">
      <c r="A100" s="25">
        <v>38618</v>
      </c>
      <c r="B100" s="26" t="s">
        <v>58</v>
      </c>
      <c r="C100" s="26" t="s">
        <v>248</v>
      </c>
      <c r="D100" s="26" t="s">
        <v>786</v>
      </c>
      <c r="E100" s="26" t="s">
        <v>782</v>
      </c>
      <c r="F100" s="26" t="s">
        <v>255</v>
      </c>
      <c r="G100" s="27">
        <v>766000</v>
      </c>
      <c r="H100" s="26" t="s">
        <v>787</v>
      </c>
    </row>
    <row r="101" spans="1:8" ht="45">
      <c r="A101" s="25">
        <v>38619</v>
      </c>
      <c r="B101" s="26" t="s">
        <v>90</v>
      </c>
      <c r="C101" s="26" t="s">
        <v>144</v>
      </c>
      <c r="D101" s="26" t="s">
        <v>788</v>
      </c>
      <c r="E101" s="26" t="s">
        <v>782</v>
      </c>
      <c r="F101" s="26">
        <v>260</v>
      </c>
      <c r="G101" s="27">
        <v>200000</v>
      </c>
      <c r="H101" s="26" t="s">
        <v>789</v>
      </c>
    </row>
    <row r="102" spans="1:8" ht="18">
      <c r="A102" s="25">
        <v>38619</v>
      </c>
      <c r="B102" s="26" t="s">
        <v>60</v>
      </c>
      <c r="C102" s="26" t="s">
        <v>334</v>
      </c>
      <c r="D102" s="26" t="s">
        <v>433</v>
      </c>
      <c r="E102" s="26" t="s">
        <v>782</v>
      </c>
      <c r="F102" s="26">
        <v>700</v>
      </c>
      <c r="G102" s="27">
        <v>190000</v>
      </c>
      <c r="H102" s="26" t="s">
        <v>790</v>
      </c>
    </row>
    <row r="103" spans="1:8">
      <c r="A103" s="24" t="s">
        <v>35</v>
      </c>
      <c r="B103" s="24"/>
      <c r="C103" s="24"/>
      <c r="D103" s="24"/>
      <c r="E103" s="24"/>
      <c r="F103" s="24"/>
      <c r="G103" s="24"/>
      <c r="H103" s="24"/>
    </row>
    <row r="104" spans="1:8" ht="27">
      <c r="A104" s="25">
        <v>38627</v>
      </c>
      <c r="B104" s="26" t="s">
        <v>472</v>
      </c>
      <c r="C104" s="26" t="s">
        <v>791</v>
      </c>
      <c r="D104" s="26" t="s">
        <v>618</v>
      </c>
      <c r="E104" s="26" t="s">
        <v>726</v>
      </c>
      <c r="F104" s="26">
        <v>312</v>
      </c>
      <c r="G104" s="27">
        <v>71240</v>
      </c>
      <c r="H104" s="26" t="s">
        <v>792</v>
      </c>
    </row>
    <row r="105" spans="1:8" ht="27">
      <c r="A105" s="25">
        <v>38643</v>
      </c>
      <c r="B105" s="26" t="s">
        <v>472</v>
      </c>
      <c r="C105" s="26" t="s">
        <v>793</v>
      </c>
      <c r="D105" s="26" t="s">
        <v>618</v>
      </c>
      <c r="E105" s="26" t="s">
        <v>726</v>
      </c>
      <c r="F105" s="26">
        <v>460</v>
      </c>
      <c r="G105" s="27">
        <v>142591</v>
      </c>
      <c r="H105" s="26" t="s">
        <v>794</v>
      </c>
    </row>
    <row r="106" spans="1:8" ht="27">
      <c r="A106" s="25">
        <v>38647</v>
      </c>
      <c r="B106" s="26" t="s">
        <v>472</v>
      </c>
      <c r="C106" s="26" t="s">
        <v>795</v>
      </c>
      <c r="D106" s="26" t="s">
        <v>618</v>
      </c>
      <c r="E106" s="26" t="s">
        <v>726</v>
      </c>
      <c r="F106" s="26">
        <v>360</v>
      </c>
      <c r="G106" s="27">
        <v>85682</v>
      </c>
      <c r="H106" s="26" t="s">
        <v>796</v>
      </c>
    </row>
    <row r="107" spans="1:8" ht="54">
      <c r="A107" s="25">
        <v>38648</v>
      </c>
      <c r="B107" s="26" t="s">
        <v>301</v>
      </c>
      <c r="C107" s="26" t="s">
        <v>797</v>
      </c>
      <c r="D107" s="26" t="s">
        <v>798</v>
      </c>
      <c r="E107" s="26" t="s">
        <v>799</v>
      </c>
      <c r="F107" s="27">
        <v>10000</v>
      </c>
      <c r="G107" s="27">
        <v>3241437</v>
      </c>
      <c r="H107" s="26" t="s">
        <v>800</v>
      </c>
    </row>
    <row r="108" spans="1:8" ht="27">
      <c r="A108" s="25">
        <v>38649</v>
      </c>
      <c r="B108" s="26" t="s">
        <v>301</v>
      </c>
      <c r="C108" s="26" t="s">
        <v>159</v>
      </c>
      <c r="D108" s="26" t="s">
        <v>801</v>
      </c>
      <c r="E108" s="26" t="s">
        <v>799</v>
      </c>
      <c r="F108" s="26">
        <v>280</v>
      </c>
      <c r="G108" s="27">
        <v>105000</v>
      </c>
      <c r="H108" s="26" t="s">
        <v>802</v>
      </c>
    </row>
    <row r="109" spans="1:8" ht="45">
      <c r="A109" s="25">
        <v>38649</v>
      </c>
      <c r="B109" s="26" t="s">
        <v>301</v>
      </c>
      <c r="C109" s="26" t="s">
        <v>289</v>
      </c>
      <c r="D109" s="26" t="s">
        <v>803</v>
      </c>
      <c r="E109" s="26" t="s">
        <v>804</v>
      </c>
      <c r="F109" s="26">
        <v>148</v>
      </c>
      <c r="G109" s="27">
        <v>84900</v>
      </c>
      <c r="H109" s="26" t="s">
        <v>805</v>
      </c>
    </row>
    <row r="110" spans="1:8" ht="63">
      <c r="A110" s="25">
        <v>38649</v>
      </c>
      <c r="B110" s="26" t="s">
        <v>65</v>
      </c>
      <c r="C110" s="26" t="s">
        <v>109</v>
      </c>
      <c r="D110" s="26" t="s">
        <v>806</v>
      </c>
      <c r="E110" s="26" t="s">
        <v>799</v>
      </c>
      <c r="F110" s="26">
        <v>400</v>
      </c>
      <c r="G110" s="27">
        <v>303795</v>
      </c>
      <c r="H110" s="26" t="s">
        <v>807</v>
      </c>
    </row>
    <row r="111" spans="1:8">
      <c r="A111" s="24" t="s">
        <v>38</v>
      </c>
      <c r="B111" s="24"/>
      <c r="C111" s="24"/>
      <c r="D111" s="24"/>
      <c r="E111" s="24"/>
      <c r="F111" s="24"/>
      <c r="G111" s="24"/>
      <c r="H111" s="24"/>
    </row>
    <row r="112" spans="1:8" ht="18">
      <c r="A112" s="25">
        <v>38659</v>
      </c>
      <c r="B112" s="26" t="s">
        <v>124</v>
      </c>
      <c r="C112" s="26" t="s">
        <v>808</v>
      </c>
      <c r="D112" s="26" t="s">
        <v>354</v>
      </c>
      <c r="E112" s="26" t="s">
        <v>729</v>
      </c>
      <c r="F112" s="26">
        <v>136</v>
      </c>
      <c r="G112" s="26" t="s">
        <v>809</v>
      </c>
      <c r="H112" s="26" t="s">
        <v>810</v>
      </c>
    </row>
    <row r="113" spans="1:8" ht="18">
      <c r="A113" s="25">
        <v>38662</v>
      </c>
      <c r="B113" s="26" t="s">
        <v>60</v>
      </c>
      <c r="C113" s="26" t="s">
        <v>274</v>
      </c>
      <c r="D113" s="26" t="s">
        <v>420</v>
      </c>
      <c r="E113" s="26" t="s">
        <v>717</v>
      </c>
      <c r="F113" s="26">
        <v>212</v>
      </c>
      <c r="G113" s="27">
        <v>118000</v>
      </c>
      <c r="H113" s="26" t="s">
        <v>811</v>
      </c>
    </row>
    <row r="114" spans="1:8" ht="18">
      <c r="A114" s="25">
        <v>38668</v>
      </c>
      <c r="B114" s="26" t="s">
        <v>812</v>
      </c>
      <c r="C114" s="26" t="s">
        <v>212</v>
      </c>
      <c r="D114" s="26" t="s">
        <v>813</v>
      </c>
      <c r="E114" s="26" t="s">
        <v>106</v>
      </c>
      <c r="F114" s="26">
        <v>10</v>
      </c>
      <c r="G114" s="27">
        <v>48000</v>
      </c>
      <c r="H114" s="26" t="s">
        <v>814</v>
      </c>
    </row>
    <row r="115" spans="1:8" ht="36.75" thickBot="1">
      <c r="A115" s="29">
        <v>38668</v>
      </c>
      <c r="B115" s="30" t="s">
        <v>60</v>
      </c>
      <c r="C115" s="30" t="s">
        <v>815</v>
      </c>
      <c r="D115" s="30" t="s">
        <v>816</v>
      </c>
      <c r="E115" s="30" t="s">
        <v>717</v>
      </c>
      <c r="F115" s="30">
        <v>408</v>
      </c>
      <c r="G115" s="31">
        <v>272355</v>
      </c>
      <c r="H115" s="30" t="s">
        <v>817</v>
      </c>
    </row>
    <row r="116" spans="1:8" ht="16.5" thickTop="1">
      <c r="A116" s="32"/>
    </row>
    <row r="117" spans="1:8">
      <c r="A117" s="33"/>
    </row>
    <row r="118" spans="1:8">
      <c r="A118" s="19" t="s">
        <v>0</v>
      </c>
      <c r="B118" s="19" t="s">
        <v>606</v>
      </c>
    </row>
    <row r="119" spans="1:8" ht="13.5" thickBot="1">
      <c r="A119" s="19" t="s">
        <v>177</v>
      </c>
    </row>
    <row r="120" spans="1:8" ht="28.5" customHeight="1" thickTop="1">
      <c r="A120" s="798" t="s">
        <v>2</v>
      </c>
      <c r="B120" s="793" t="s">
        <v>57</v>
      </c>
      <c r="C120" s="793" t="s">
        <v>3</v>
      </c>
      <c r="D120" s="793" t="s">
        <v>67</v>
      </c>
      <c r="E120" s="793" t="s">
        <v>5</v>
      </c>
      <c r="F120" s="793" t="s">
        <v>6</v>
      </c>
      <c r="G120" s="793" t="s">
        <v>68</v>
      </c>
      <c r="H120" s="22" t="s">
        <v>69</v>
      </c>
    </row>
    <row r="121" spans="1:8" ht="13.5" thickBot="1">
      <c r="A121" s="799"/>
      <c r="B121" s="794"/>
      <c r="C121" s="794"/>
      <c r="D121" s="794"/>
      <c r="E121" s="794"/>
      <c r="F121" s="794"/>
      <c r="G121" s="794"/>
      <c r="H121" s="23" t="s">
        <v>70</v>
      </c>
    </row>
    <row r="122" spans="1:8">
      <c r="A122" s="37"/>
    </row>
    <row r="123" spans="1:8">
      <c r="A123" s="24" t="s">
        <v>47</v>
      </c>
      <c r="B123" s="24"/>
      <c r="C123" s="24"/>
      <c r="D123" s="24"/>
      <c r="E123" s="24"/>
      <c r="F123" s="24"/>
      <c r="G123" s="24"/>
      <c r="H123" s="24"/>
    </row>
    <row r="124" spans="1:8" ht="27">
      <c r="A124" s="25">
        <v>38701</v>
      </c>
      <c r="B124" s="26" t="s">
        <v>63</v>
      </c>
      <c r="C124" s="26" t="s">
        <v>159</v>
      </c>
      <c r="D124" s="26" t="s">
        <v>818</v>
      </c>
      <c r="E124" s="26" t="s">
        <v>11</v>
      </c>
      <c r="F124" s="27">
        <v>3500</v>
      </c>
      <c r="G124" s="27">
        <v>683000</v>
      </c>
      <c r="H124" s="26" t="s">
        <v>819</v>
      </c>
    </row>
    <row r="125" spans="1:8">
      <c r="A125" s="25">
        <v>38701</v>
      </c>
      <c r="B125" s="26" t="s">
        <v>63</v>
      </c>
      <c r="C125" s="26" t="s">
        <v>820</v>
      </c>
      <c r="D125" s="26" t="s">
        <v>821</v>
      </c>
      <c r="E125" s="26" t="s">
        <v>11</v>
      </c>
      <c r="F125" s="26">
        <v>75</v>
      </c>
      <c r="G125" s="27">
        <v>52659</v>
      </c>
      <c r="H125" s="26" t="s">
        <v>822</v>
      </c>
    </row>
    <row r="126" spans="1:8" ht="18.75" thickBot="1">
      <c r="A126" s="42">
        <v>38717</v>
      </c>
      <c r="B126" s="43" t="s">
        <v>124</v>
      </c>
      <c r="C126" s="43" t="s">
        <v>144</v>
      </c>
      <c r="D126" s="43" t="s">
        <v>39</v>
      </c>
      <c r="E126" s="43" t="s">
        <v>153</v>
      </c>
      <c r="F126" s="43">
        <v>800</v>
      </c>
      <c r="G126" s="44">
        <v>1667316</v>
      </c>
      <c r="H126" s="43" t="s">
        <v>823</v>
      </c>
    </row>
    <row r="127" spans="1:8">
      <c r="A127" s="804" t="s">
        <v>316</v>
      </c>
      <c r="B127" s="804"/>
      <c r="C127" s="804"/>
      <c r="D127" s="804"/>
      <c r="E127" s="804"/>
      <c r="F127" s="804"/>
      <c r="G127" s="804"/>
      <c r="H127" s="804"/>
    </row>
    <row r="128" spans="1:8">
      <c r="A128" s="803" t="s">
        <v>54</v>
      </c>
      <c r="B128" s="803"/>
      <c r="C128" s="803"/>
      <c r="D128" s="803"/>
      <c r="E128" s="803"/>
      <c r="F128" s="803"/>
      <c r="G128" s="803"/>
      <c r="H128" s="803"/>
    </row>
    <row r="129" spans="1:8">
      <c r="A129" s="803" t="s">
        <v>824</v>
      </c>
      <c r="B129" s="803"/>
      <c r="C129" s="803"/>
      <c r="D129" s="803"/>
      <c r="E129" s="803"/>
      <c r="F129" s="803"/>
      <c r="G129" s="803"/>
      <c r="H129" s="803"/>
    </row>
    <row r="130" spans="1:8">
      <c r="A130" s="37"/>
    </row>
  </sheetData>
  <mergeCells count="38">
    <mergeCell ref="G120:G121"/>
    <mergeCell ref="A127:H127"/>
    <mergeCell ref="A128:H128"/>
    <mergeCell ref="A129:H129"/>
    <mergeCell ref="A120:A121"/>
    <mergeCell ref="B120:B121"/>
    <mergeCell ref="C120:C121"/>
    <mergeCell ref="D120:D121"/>
    <mergeCell ref="E120:E121"/>
    <mergeCell ref="F120:F121"/>
    <mergeCell ref="G69:G70"/>
    <mergeCell ref="A93:A94"/>
    <mergeCell ref="B93:B94"/>
    <mergeCell ref="C93:C94"/>
    <mergeCell ref="D93:D94"/>
    <mergeCell ref="E93:E94"/>
    <mergeCell ref="F93:F94"/>
    <mergeCell ref="G93:G94"/>
    <mergeCell ref="A69:A70"/>
    <mergeCell ref="B69:B70"/>
    <mergeCell ref="C69:C70"/>
    <mergeCell ref="D69:D70"/>
    <mergeCell ref="E69:E70"/>
    <mergeCell ref="F69:F70"/>
    <mergeCell ref="G2:G3"/>
    <mergeCell ref="A41:A42"/>
    <mergeCell ref="B41:B42"/>
    <mergeCell ref="C41:C42"/>
    <mergeCell ref="D41:D42"/>
    <mergeCell ref="E41:E42"/>
    <mergeCell ref="F41:F42"/>
    <mergeCell ref="G41:G42"/>
    <mergeCell ref="A2:A3"/>
    <mergeCell ref="B2:B3"/>
    <mergeCell ref="C2:C3"/>
    <mergeCell ref="D2:D3"/>
    <mergeCell ref="E2:E3"/>
    <mergeCell ref="F2:F3"/>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4"/>
  <sheetViews>
    <sheetView workbookViewId="0">
      <selection activeCell="B1" sqref="B1"/>
    </sheetView>
  </sheetViews>
  <sheetFormatPr defaultRowHeight="12.75"/>
  <cols>
    <col min="1" max="1" width="11.7109375" style="60" customWidth="1"/>
    <col min="2" max="8" width="10.7109375" style="20" customWidth="1"/>
    <col min="9" max="16384" width="9.140625" style="20"/>
  </cols>
  <sheetData>
    <row r="1" spans="1:8" ht="13.5" thickBot="1">
      <c r="A1" s="45" t="s">
        <v>825</v>
      </c>
    </row>
    <row r="2" spans="1:8" ht="28.5" customHeight="1" thickTop="1">
      <c r="A2" s="46" t="s">
        <v>2</v>
      </c>
      <c r="B2" s="21" t="s">
        <v>57</v>
      </c>
      <c r="C2" s="21" t="s">
        <v>3</v>
      </c>
      <c r="D2" s="21" t="s">
        <v>67</v>
      </c>
      <c r="E2" s="21" t="s">
        <v>5</v>
      </c>
      <c r="F2" s="21" t="s">
        <v>6</v>
      </c>
      <c r="G2" s="21" t="s">
        <v>68</v>
      </c>
      <c r="H2" s="22" t="s">
        <v>69</v>
      </c>
    </row>
    <row r="3" spans="1:8">
      <c r="A3" s="47" t="s">
        <v>9</v>
      </c>
      <c r="B3" s="24"/>
      <c r="C3" s="24"/>
      <c r="D3" s="24"/>
      <c r="E3" s="24"/>
      <c r="F3" s="48"/>
      <c r="G3" s="48"/>
      <c r="H3" s="24"/>
    </row>
    <row r="4" spans="1:8" ht="63">
      <c r="A4" s="49">
        <v>38731</v>
      </c>
      <c r="B4" s="26" t="s">
        <v>826</v>
      </c>
      <c r="C4" s="26" t="s">
        <v>481</v>
      </c>
      <c r="D4" s="26" t="s">
        <v>827</v>
      </c>
      <c r="E4" s="26" t="s">
        <v>264</v>
      </c>
      <c r="F4" s="40" t="s">
        <v>809</v>
      </c>
      <c r="G4" s="50">
        <v>142315</v>
      </c>
      <c r="H4" s="26" t="s">
        <v>828</v>
      </c>
    </row>
    <row r="5" spans="1:8" ht="18">
      <c r="A5" s="49">
        <v>38735</v>
      </c>
      <c r="B5" s="26" t="s">
        <v>61</v>
      </c>
      <c r="C5" s="26" t="s">
        <v>258</v>
      </c>
      <c r="D5" s="26" t="s">
        <v>829</v>
      </c>
      <c r="E5" s="26" t="s">
        <v>362</v>
      </c>
      <c r="F5" s="40">
        <v>75</v>
      </c>
      <c r="G5" s="50">
        <v>63000</v>
      </c>
      <c r="H5" s="26" t="s">
        <v>830</v>
      </c>
    </row>
    <row r="6" spans="1:8">
      <c r="A6" s="47" t="s">
        <v>17</v>
      </c>
      <c r="B6" s="24"/>
      <c r="C6" s="24"/>
      <c r="D6" s="24"/>
      <c r="E6" s="24"/>
      <c r="F6" s="48"/>
      <c r="G6" s="48"/>
      <c r="H6" s="24"/>
    </row>
    <row r="7" spans="1:8" ht="27">
      <c r="A7" s="49">
        <v>38752</v>
      </c>
      <c r="B7" s="26" t="s">
        <v>124</v>
      </c>
      <c r="C7" s="26" t="s">
        <v>831</v>
      </c>
      <c r="D7" s="26" t="s">
        <v>832</v>
      </c>
      <c r="E7" s="26" t="s">
        <v>390</v>
      </c>
      <c r="F7" s="40">
        <v>150</v>
      </c>
      <c r="G7" s="50">
        <v>123827</v>
      </c>
      <c r="H7" s="26" t="s">
        <v>833</v>
      </c>
    </row>
    <row r="8" spans="1:8" ht="18">
      <c r="A8" s="49">
        <v>38752</v>
      </c>
      <c r="B8" s="26" t="s">
        <v>124</v>
      </c>
      <c r="C8" s="26" t="s">
        <v>551</v>
      </c>
      <c r="D8" s="26" t="s">
        <v>834</v>
      </c>
      <c r="E8" s="26" t="s">
        <v>835</v>
      </c>
      <c r="F8" s="40" t="s">
        <v>809</v>
      </c>
      <c r="G8" s="50">
        <v>140000</v>
      </c>
      <c r="H8" s="26" t="s">
        <v>836</v>
      </c>
    </row>
    <row r="9" spans="1:8" ht="36">
      <c r="A9" s="49">
        <v>38759</v>
      </c>
      <c r="B9" s="26" t="s">
        <v>826</v>
      </c>
      <c r="C9" s="26" t="s">
        <v>248</v>
      </c>
      <c r="D9" s="26" t="s">
        <v>837</v>
      </c>
      <c r="E9" s="26" t="s">
        <v>838</v>
      </c>
      <c r="F9" s="40">
        <v>500</v>
      </c>
      <c r="G9" s="50">
        <v>180000</v>
      </c>
      <c r="H9" s="26" t="s">
        <v>839</v>
      </c>
    </row>
    <row r="10" spans="1:8" ht="45">
      <c r="A10" s="49">
        <v>38760</v>
      </c>
      <c r="B10" s="26" t="s">
        <v>826</v>
      </c>
      <c r="C10" s="26" t="s">
        <v>840</v>
      </c>
      <c r="D10" s="26" t="s">
        <v>841</v>
      </c>
      <c r="E10" s="26" t="s">
        <v>838</v>
      </c>
      <c r="F10" s="40">
        <v>300</v>
      </c>
      <c r="G10" s="50">
        <v>60000</v>
      </c>
      <c r="H10" s="26" t="s">
        <v>842</v>
      </c>
    </row>
    <row r="11" spans="1:8" ht="45">
      <c r="A11" s="49">
        <v>38760</v>
      </c>
      <c r="B11" s="26" t="s">
        <v>826</v>
      </c>
      <c r="C11" s="26" t="s">
        <v>402</v>
      </c>
      <c r="D11" s="26" t="s">
        <v>843</v>
      </c>
      <c r="E11" s="26" t="s">
        <v>844</v>
      </c>
      <c r="F11" s="40">
        <v>80</v>
      </c>
      <c r="G11" s="50">
        <v>130000</v>
      </c>
      <c r="H11" s="26" t="s">
        <v>845</v>
      </c>
    </row>
    <row r="12" spans="1:8" ht="27">
      <c r="A12" s="49">
        <v>38760</v>
      </c>
      <c r="B12" s="26" t="s">
        <v>826</v>
      </c>
      <c r="C12" s="26" t="s">
        <v>402</v>
      </c>
      <c r="D12" s="26" t="s">
        <v>846</v>
      </c>
      <c r="E12" s="26" t="s">
        <v>844</v>
      </c>
      <c r="F12" s="40">
        <v>50</v>
      </c>
      <c r="G12" s="50">
        <v>58000</v>
      </c>
      <c r="H12" s="26" t="s">
        <v>847</v>
      </c>
    </row>
    <row r="13" spans="1:8" ht="27">
      <c r="A13" s="49">
        <v>38760</v>
      </c>
      <c r="B13" s="26" t="s">
        <v>826</v>
      </c>
      <c r="C13" s="26" t="s">
        <v>848</v>
      </c>
      <c r="D13" s="26" t="s">
        <v>849</v>
      </c>
      <c r="E13" s="26" t="s">
        <v>850</v>
      </c>
      <c r="F13" s="40">
        <v>250</v>
      </c>
      <c r="G13" s="50">
        <v>126000</v>
      </c>
      <c r="H13" s="26" t="s">
        <v>851</v>
      </c>
    </row>
    <row r="14" spans="1:8" ht="36">
      <c r="A14" s="49">
        <v>38764</v>
      </c>
      <c r="B14" s="26" t="s">
        <v>826</v>
      </c>
      <c r="C14" s="26" t="s">
        <v>424</v>
      </c>
      <c r="D14" s="26" t="s">
        <v>852</v>
      </c>
      <c r="E14" s="26" t="s">
        <v>853</v>
      </c>
      <c r="F14" s="40">
        <v>100</v>
      </c>
      <c r="G14" s="50">
        <v>252089</v>
      </c>
      <c r="H14" s="26" t="s">
        <v>854</v>
      </c>
    </row>
    <row r="15" spans="1:8" ht="45">
      <c r="A15" s="49">
        <v>38764</v>
      </c>
      <c r="B15" s="26" t="s">
        <v>674</v>
      </c>
      <c r="C15" s="26" t="s">
        <v>686</v>
      </c>
      <c r="D15" s="26" t="s">
        <v>855</v>
      </c>
      <c r="E15" s="26" t="s">
        <v>856</v>
      </c>
      <c r="F15" s="50">
        <v>1650</v>
      </c>
      <c r="G15" s="40">
        <v>0</v>
      </c>
      <c r="H15" s="26" t="s">
        <v>686</v>
      </c>
    </row>
    <row r="16" spans="1:8" ht="18">
      <c r="A16" s="49">
        <v>38765</v>
      </c>
      <c r="B16" s="26" t="s">
        <v>61</v>
      </c>
      <c r="C16" s="26" t="s">
        <v>857</v>
      </c>
      <c r="D16" s="26" t="s">
        <v>89</v>
      </c>
      <c r="E16" s="26" t="s">
        <v>22</v>
      </c>
      <c r="F16" s="40">
        <v>250</v>
      </c>
      <c r="G16" s="50">
        <v>200000</v>
      </c>
      <c r="H16" s="26" t="s">
        <v>858</v>
      </c>
    </row>
    <row r="17" spans="1:8" ht="36">
      <c r="A17" s="49">
        <v>38766</v>
      </c>
      <c r="B17" s="26" t="s">
        <v>124</v>
      </c>
      <c r="C17" s="26" t="s">
        <v>859</v>
      </c>
      <c r="D17" s="26" t="s">
        <v>860</v>
      </c>
      <c r="E17" s="26" t="s">
        <v>861</v>
      </c>
      <c r="F17" s="40">
        <v>428</v>
      </c>
      <c r="G17" s="40" t="s">
        <v>455</v>
      </c>
      <c r="H17" s="26" t="s">
        <v>862</v>
      </c>
    </row>
    <row r="18" spans="1:8" ht="27">
      <c r="A18" s="49">
        <v>38775</v>
      </c>
      <c r="B18" s="26" t="s">
        <v>124</v>
      </c>
      <c r="C18" s="26" t="s">
        <v>863</v>
      </c>
      <c r="D18" s="26" t="s">
        <v>39</v>
      </c>
      <c r="E18" s="26" t="s">
        <v>864</v>
      </c>
      <c r="F18" s="40" t="s">
        <v>455</v>
      </c>
      <c r="G18" s="50">
        <v>160000</v>
      </c>
      <c r="H18" s="26" t="s">
        <v>865</v>
      </c>
    </row>
    <row r="19" spans="1:8">
      <c r="A19" s="47" t="s">
        <v>20</v>
      </c>
      <c r="B19" s="24"/>
      <c r="C19" s="24"/>
      <c r="D19" s="24"/>
      <c r="E19" s="24"/>
      <c r="F19" s="48"/>
      <c r="G19" s="48"/>
      <c r="H19" s="24"/>
    </row>
    <row r="20" spans="1:8" ht="45">
      <c r="A20" s="49">
        <v>38785</v>
      </c>
      <c r="B20" s="26" t="s">
        <v>63</v>
      </c>
      <c r="C20" s="26" t="s">
        <v>71</v>
      </c>
      <c r="D20" s="26" t="s">
        <v>866</v>
      </c>
      <c r="E20" s="26" t="s">
        <v>22</v>
      </c>
      <c r="F20" s="40" t="s">
        <v>255</v>
      </c>
      <c r="G20" s="50">
        <v>73000</v>
      </c>
      <c r="H20" s="26" t="s">
        <v>867</v>
      </c>
    </row>
    <row r="21" spans="1:8" ht="27">
      <c r="A21" s="49">
        <v>38788</v>
      </c>
      <c r="B21" s="26" t="s">
        <v>826</v>
      </c>
      <c r="C21" s="26" t="s">
        <v>722</v>
      </c>
      <c r="D21" s="26" t="s">
        <v>868</v>
      </c>
      <c r="E21" s="26" t="s">
        <v>22</v>
      </c>
      <c r="F21" s="40">
        <v>200</v>
      </c>
      <c r="G21" s="50">
        <v>65400</v>
      </c>
      <c r="H21" s="26" t="s">
        <v>869</v>
      </c>
    </row>
    <row r="22" spans="1:8">
      <c r="A22" s="47" t="s">
        <v>23</v>
      </c>
      <c r="B22" s="24"/>
      <c r="C22" s="24"/>
      <c r="D22" s="24"/>
      <c r="E22" s="24"/>
      <c r="F22" s="48"/>
      <c r="G22" s="48"/>
      <c r="H22" s="24"/>
    </row>
    <row r="23" spans="1:8" ht="27">
      <c r="A23" s="49">
        <v>38809</v>
      </c>
      <c r="B23" s="26" t="s">
        <v>826</v>
      </c>
      <c r="C23" s="26" t="s">
        <v>248</v>
      </c>
      <c r="D23" s="26" t="s">
        <v>870</v>
      </c>
      <c r="E23" s="26" t="s">
        <v>871</v>
      </c>
      <c r="F23" s="50">
        <v>1000</v>
      </c>
      <c r="G23" s="50">
        <v>186000</v>
      </c>
      <c r="H23" s="26" t="s">
        <v>872</v>
      </c>
    </row>
    <row r="24" spans="1:8" ht="27">
      <c r="A24" s="49">
        <v>38814</v>
      </c>
      <c r="B24" s="26" t="s">
        <v>472</v>
      </c>
      <c r="C24" s="26" t="s">
        <v>873</v>
      </c>
      <c r="D24" s="26" t="s">
        <v>618</v>
      </c>
      <c r="E24" s="26" t="s">
        <v>726</v>
      </c>
      <c r="F24" s="40">
        <v>116</v>
      </c>
      <c r="G24" s="50">
        <v>54700</v>
      </c>
      <c r="H24" s="26" t="s">
        <v>874</v>
      </c>
    </row>
    <row r="25" spans="1:8" ht="45">
      <c r="A25" s="49">
        <v>38815</v>
      </c>
      <c r="B25" s="26" t="s">
        <v>63</v>
      </c>
      <c r="C25" s="26" t="s">
        <v>159</v>
      </c>
      <c r="D25" s="26" t="s">
        <v>875</v>
      </c>
      <c r="E25" s="26" t="s">
        <v>876</v>
      </c>
      <c r="F25" s="40">
        <v>300</v>
      </c>
      <c r="G25" s="50">
        <v>115589</v>
      </c>
      <c r="H25" s="26" t="s">
        <v>877</v>
      </c>
    </row>
    <row r="26" spans="1:8" ht="27">
      <c r="A26" s="49">
        <v>38824</v>
      </c>
      <c r="B26" s="26" t="s">
        <v>90</v>
      </c>
      <c r="C26" s="26" t="s">
        <v>878</v>
      </c>
      <c r="D26" s="26" t="s">
        <v>879</v>
      </c>
      <c r="E26" s="26" t="s">
        <v>880</v>
      </c>
      <c r="F26" s="50">
        <v>1000</v>
      </c>
      <c r="G26" s="50">
        <v>200000</v>
      </c>
      <c r="H26" s="26" t="s">
        <v>881</v>
      </c>
    </row>
    <row r="27" spans="1:8" ht="45">
      <c r="A27" s="49">
        <v>38824</v>
      </c>
      <c r="B27" s="26" t="s">
        <v>90</v>
      </c>
      <c r="C27" s="26" t="s">
        <v>192</v>
      </c>
      <c r="D27" s="26" t="s">
        <v>882</v>
      </c>
      <c r="E27" s="26" t="s">
        <v>883</v>
      </c>
      <c r="F27" s="40">
        <v>260</v>
      </c>
      <c r="G27" s="50">
        <v>68000</v>
      </c>
      <c r="H27" s="26" t="s">
        <v>884</v>
      </c>
    </row>
    <row r="28" spans="1:8" ht="18">
      <c r="A28" s="49">
        <v>38824</v>
      </c>
      <c r="B28" s="26" t="s">
        <v>90</v>
      </c>
      <c r="C28" s="26" t="s">
        <v>209</v>
      </c>
      <c r="D28" s="26" t="s">
        <v>885</v>
      </c>
      <c r="E28" s="26" t="s">
        <v>886</v>
      </c>
      <c r="F28" s="40">
        <v>380</v>
      </c>
      <c r="G28" s="50">
        <v>489478</v>
      </c>
      <c r="H28" s="26" t="s">
        <v>887</v>
      </c>
    </row>
    <row r="29" spans="1:8" ht="45">
      <c r="A29" s="49">
        <v>38824</v>
      </c>
      <c r="B29" s="26" t="s">
        <v>90</v>
      </c>
      <c r="C29" s="26" t="s">
        <v>244</v>
      </c>
      <c r="D29" s="26" t="s">
        <v>888</v>
      </c>
      <c r="E29" s="26" t="s">
        <v>883</v>
      </c>
      <c r="F29" s="40" t="s">
        <v>889</v>
      </c>
      <c r="G29" s="40" t="s">
        <v>890</v>
      </c>
      <c r="H29" s="26" t="s">
        <v>891</v>
      </c>
    </row>
    <row r="30" spans="1:8" ht="27">
      <c r="A30" s="49">
        <v>38824</v>
      </c>
      <c r="B30" s="26" t="s">
        <v>90</v>
      </c>
      <c r="C30" s="26" t="s">
        <v>892</v>
      </c>
      <c r="D30" s="26" t="s">
        <v>893</v>
      </c>
      <c r="E30" s="26" t="s">
        <v>880</v>
      </c>
      <c r="F30" s="40">
        <v>108</v>
      </c>
      <c r="G30" s="50">
        <v>51404</v>
      </c>
      <c r="H30" s="26" t="s">
        <v>894</v>
      </c>
    </row>
    <row r="31" spans="1:8" ht="27">
      <c r="A31" s="49">
        <v>38828</v>
      </c>
      <c r="B31" s="26" t="s">
        <v>90</v>
      </c>
      <c r="C31" s="26" t="s">
        <v>289</v>
      </c>
      <c r="D31" s="26" t="s">
        <v>895</v>
      </c>
      <c r="E31" s="26" t="s">
        <v>22</v>
      </c>
      <c r="F31" s="40">
        <v>219</v>
      </c>
      <c r="G31" s="50">
        <v>82000</v>
      </c>
      <c r="H31" s="26" t="s">
        <v>896</v>
      </c>
    </row>
    <row r="32" spans="1:8" ht="18.75" thickBot="1">
      <c r="A32" s="51">
        <v>38836</v>
      </c>
      <c r="B32" s="30" t="s">
        <v>472</v>
      </c>
      <c r="C32" s="30" t="s">
        <v>897</v>
      </c>
      <c r="D32" s="30" t="s">
        <v>618</v>
      </c>
      <c r="E32" s="30" t="s">
        <v>898</v>
      </c>
      <c r="F32" s="52">
        <v>237</v>
      </c>
      <c r="G32" s="53">
        <v>164105</v>
      </c>
      <c r="H32" s="30" t="s">
        <v>899</v>
      </c>
    </row>
    <row r="33" spans="1:8" ht="14.25" thickTop="1" thickBot="1">
      <c r="A33" s="45" t="s">
        <v>900</v>
      </c>
    </row>
    <row r="34" spans="1:8" ht="28.5" customHeight="1" thickTop="1">
      <c r="A34" s="46" t="s">
        <v>2</v>
      </c>
      <c r="B34" s="21" t="s">
        <v>57</v>
      </c>
      <c r="C34" s="21" t="s">
        <v>3</v>
      </c>
      <c r="D34" s="21" t="s">
        <v>67</v>
      </c>
      <c r="E34" s="21" t="s">
        <v>5</v>
      </c>
      <c r="F34" s="21" t="s">
        <v>6</v>
      </c>
      <c r="G34" s="21" t="s">
        <v>68</v>
      </c>
      <c r="H34" s="22" t="s">
        <v>69</v>
      </c>
    </row>
    <row r="35" spans="1:8">
      <c r="A35" s="47" t="s">
        <v>103</v>
      </c>
      <c r="B35" s="24"/>
      <c r="C35" s="24"/>
      <c r="D35" s="24"/>
      <c r="E35" s="24"/>
      <c r="F35" s="48"/>
      <c r="G35" s="48"/>
      <c r="H35" s="24"/>
    </row>
    <row r="36" spans="1:8" ht="27">
      <c r="A36" s="49">
        <v>38840</v>
      </c>
      <c r="B36" s="26" t="s">
        <v>124</v>
      </c>
      <c r="C36" s="26" t="s">
        <v>397</v>
      </c>
      <c r="D36" s="26" t="s">
        <v>901</v>
      </c>
      <c r="E36" s="26" t="s">
        <v>902</v>
      </c>
      <c r="F36" s="40">
        <v>300</v>
      </c>
      <c r="G36" s="50">
        <v>55655</v>
      </c>
      <c r="H36" s="26" t="s">
        <v>903</v>
      </c>
    </row>
    <row r="37" spans="1:8" ht="18">
      <c r="A37" s="49">
        <v>38841</v>
      </c>
      <c r="B37" s="26" t="s">
        <v>472</v>
      </c>
      <c r="C37" s="26" t="s">
        <v>904</v>
      </c>
      <c r="D37" s="26" t="s">
        <v>618</v>
      </c>
      <c r="E37" s="26" t="s">
        <v>905</v>
      </c>
      <c r="F37" s="40">
        <v>140</v>
      </c>
      <c r="G37" s="50">
        <v>94639</v>
      </c>
      <c r="H37" s="26" t="s">
        <v>906</v>
      </c>
    </row>
    <row r="38" spans="1:8" ht="27">
      <c r="A38" s="49">
        <v>38856</v>
      </c>
      <c r="B38" s="26" t="s">
        <v>124</v>
      </c>
      <c r="C38" s="26" t="s">
        <v>907</v>
      </c>
      <c r="D38" s="26" t="s">
        <v>354</v>
      </c>
      <c r="E38" s="26" t="s">
        <v>650</v>
      </c>
      <c r="F38" s="40">
        <v>133</v>
      </c>
      <c r="G38" s="40" t="s">
        <v>455</v>
      </c>
      <c r="H38" s="26" t="s">
        <v>908</v>
      </c>
    </row>
    <row r="39" spans="1:8" ht="36">
      <c r="A39" s="49">
        <v>38862</v>
      </c>
      <c r="B39" s="26" t="s">
        <v>826</v>
      </c>
      <c r="C39" s="26" t="s">
        <v>909</v>
      </c>
      <c r="D39" s="26" t="s">
        <v>910</v>
      </c>
      <c r="E39" s="26" t="s">
        <v>22</v>
      </c>
      <c r="F39" s="40">
        <v>800</v>
      </c>
      <c r="G39" s="50">
        <v>210000</v>
      </c>
      <c r="H39" s="26" t="s">
        <v>911</v>
      </c>
    </row>
    <row r="40" spans="1:8">
      <c r="A40" s="47" t="s">
        <v>123</v>
      </c>
      <c r="B40" s="24"/>
      <c r="C40" s="24"/>
      <c r="D40" s="24"/>
      <c r="E40" s="24"/>
      <c r="F40" s="48"/>
      <c r="G40" s="48"/>
      <c r="H40" s="24"/>
    </row>
    <row r="41" spans="1:8">
      <c r="A41" s="49">
        <v>38869</v>
      </c>
      <c r="B41" s="26" t="s">
        <v>912</v>
      </c>
      <c r="C41" s="26" t="s">
        <v>904</v>
      </c>
      <c r="D41" s="26" t="s">
        <v>913</v>
      </c>
      <c r="E41" s="26" t="s">
        <v>905</v>
      </c>
      <c r="F41" s="40">
        <v>120</v>
      </c>
      <c r="G41" s="50">
        <v>29300</v>
      </c>
      <c r="H41" s="26" t="s">
        <v>914</v>
      </c>
    </row>
    <row r="42" spans="1:8" ht="63">
      <c r="A42" s="49">
        <v>38869</v>
      </c>
      <c r="B42" s="26" t="s">
        <v>826</v>
      </c>
      <c r="C42" s="26" t="s">
        <v>267</v>
      </c>
      <c r="D42" s="26" t="s">
        <v>827</v>
      </c>
      <c r="E42" s="26" t="s">
        <v>22</v>
      </c>
      <c r="F42" s="40" t="s">
        <v>255</v>
      </c>
      <c r="G42" s="50">
        <v>111555</v>
      </c>
      <c r="H42" s="26" t="s">
        <v>915</v>
      </c>
    </row>
    <row r="43" spans="1:8" ht="18">
      <c r="A43" s="49">
        <v>38869</v>
      </c>
      <c r="B43" s="26" t="s">
        <v>826</v>
      </c>
      <c r="C43" s="26" t="s">
        <v>368</v>
      </c>
      <c r="D43" s="26" t="s">
        <v>916</v>
      </c>
      <c r="E43" s="26" t="s">
        <v>106</v>
      </c>
      <c r="F43" s="40">
        <v>335</v>
      </c>
      <c r="G43" s="50">
        <v>70000</v>
      </c>
      <c r="H43" s="26" t="s">
        <v>917</v>
      </c>
    </row>
    <row r="44" spans="1:8" ht="36">
      <c r="A44" s="49">
        <v>38879</v>
      </c>
      <c r="B44" s="26" t="s">
        <v>63</v>
      </c>
      <c r="C44" s="26" t="s">
        <v>267</v>
      </c>
      <c r="D44" s="26" t="s">
        <v>918</v>
      </c>
      <c r="E44" s="26" t="s">
        <v>717</v>
      </c>
      <c r="F44" s="40">
        <v>70</v>
      </c>
      <c r="G44" s="50">
        <v>72000</v>
      </c>
      <c r="H44" s="26" t="s">
        <v>919</v>
      </c>
    </row>
    <row r="45" spans="1:8" ht="18">
      <c r="A45" s="49">
        <v>38890</v>
      </c>
      <c r="B45" s="26" t="s">
        <v>826</v>
      </c>
      <c r="C45" s="26" t="s">
        <v>71</v>
      </c>
      <c r="D45" s="26" t="s">
        <v>920</v>
      </c>
      <c r="E45" s="26" t="s">
        <v>106</v>
      </c>
      <c r="F45" s="40">
        <v>750</v>
      </c>
      <c r="G45" s="50">
        <v>195000</v>
      </c>
      <c r="H45" s="26" t="s">
        <v>921</v>
      </c>
    </row>
    <row r="46" spans="1:8">
      <c r="A46" s="47" t="s">
        <v>26</v>
      </c>
      <c r="B46" s="24"/>
      <c r="C46" s="24"/>
      <c r="D46" s="24"/>
      <c r="E46" s="24"/>
      <c r="F46" s="48"/>
      <c r="G46" s="48"/>
      <c r="H46" s="24"/>
    </row>
    <row r="47" spans="1:8" ht="18">
      <c r="A47" s="49">
        <v>38900</v>
      </c>
      <c r="B47" s="26" t="s">
        <v>826</v>
      </c>
      <c r="C47" s="26" t="s">
        <v>922</v>
      </c>
      <c r="D47" s="26" t="s">
        <v>923</v>
      </c>
      <c r="E47" s="26" t="s">
        <v>106</v>
      </c>
      <c r="F47" s="40">
        <v>300</v>
      </c>
      <c r="G47" s="50">
        <v>75000</v>
      </c>
      <c r="H47" s="26" t="s">
        <v>924</v>
      </c>
    </row>
    <row r="48" spans="1:8" ht="18">
      <c r="A48" s="49">
        <v>38902</v>
      </c>
      <c r="B48" s="26" t="s">
        <v>63</v>
      </c>
      <c r="C48" s="26" t="s">
        <v>477</v>
      </c>
      <c r="D48" s="26" t="s">
        <v>923</v>
      </c>
      <c r="E48" s="26" t="s">
        <v>106</v>
      </c>
      <c r="F48" s="40">
        <v>335</v>
      </c>
      <c r="G48" s="50">
        <v>67000</v>
      </c>
      <c r="H48" s="26" t="s">
        <v>925</v>
      </c>
    </row>
    <row r="49" spans="1:8" ht="27">
      <c r="A49" s="49">
        <v>38914</v>
      </c>
      <c r="B49" s="26" t="s">
        <v>826</v>
      </c>
      <c r="C49" s="26" t="s">
        <v>71</v>
      </c>
      <c r="D49" s="26" t="s">
        <v>926</v>
      </c>
      <c r="E49" s="26" t="s">
        <v>927</v>
      </c>
      <c r="F49" s="40">
        <v>150</v>
      </c>
      <c r="G49" s="50">
        <v>315000</v>
      </c>
      <c r="H49" s="26" t="s">
        <v>928</v>
      </c>
    </row>
    <row r="50" spans="1:8" ht="45">
      <c r="A50" s="49">
        <v>38915</v>
      </c>
      <c r="B50" s="26" t="s">
        <v>61</v>
      </c>
      <c r="C50" s="26" t="s">
        <v>929</v>
      </c>
      <c r="D50" s="26" t="s">
        <v>930</v>
      </c>
      <c r="E50" s="26" t="s">
        <v>931</v>
      </c>
      <c r="F50" s="40" t="s">
        <v>255</v>
      </c>
      <c r="G50" s="50">
        <v>25000</v>
      </c>
      <c r="H50" s="26" t="s">
        <v>932</v>
      </c>
    </row>
    <row r="51" spans="1:8" ht="27">
      <c r="A51" s="49">
        <v>38915</v>
      </c>
      <c r="B51" s="26" t="s">
        <v>826</v>
      </c>
      <c r="C51" s="26" t="s">
        <v>248</v>
      </c>
      <c r="D51" s="26" t="s">
        <v>933</v>
      </c>
      <c r="E51" s="26" t="s">
        <v>927</v>
      </c>
      <c r="F51" s="40" t="s">
        <v>255</v>
      </c>
      <c r="G51" s="50">
        <v>170519</v>
      </c>
      <c r="H51" s="26" t="s">
        <v>934</v>
      </c>
    </row>
    <row r="52" spans="1:8" ht="63">
      <c r="A52" s="49">
        <v>38916</v>
      </c>
      <c r="B52" s="26" t="s">
        <v>826</v>
      </c>
      <c r="C52" s="26" t="s">
        <v>935</v>
      </c>
      <c r="D52" s="26" t="s">
        <v>827</v>
      </c>
      <c r="E52" s="26" t="s">
        <v>927</v>
      </c>
      <c r="F52" s="40" t="s">
        <v>255</v>
      </c>
      <c r="G52" s="50">
        <v>492955</v>
      </c>
      <c r="H52" s="26" t="s">
        <v>936</v>
      </c>
    </row>
    <row r="53" spans="1:8" ht="27">
      <c r="A53" s="49">
        <v>38916</v>
      </c>
      <c r="B53" s="26" t="s">
        <v>61</v>
      </c>
      <c r="C53" s="26" t="s">
        <v>937</v>
      </c>
      <c r="D53" s="26" t="s">
        <v>938</v>
      </c>
      <c r="E53" s="26" t="s">
        <v>939</v>
      </c>
      <c r="F53" s="40">
        <v>0</v>
      </c>
      <c r="G53" s="40">
        <v>0</v>
      </c>
      <c r="H53" s="26" t="s">
        <v>940</v>
      </c>
    </row>
    <row r="54" spans="1:8" ht="27">
      <c r="A54" s="49">
        <v>38917</v>
      </c>
      <c r="B54" s="26" t="s">
        <v>63</v>
      </c>
      <c r="C54" s="26" t="s">
        <v>91</v>
      </c>
      <c r="D54" s="26" t="s">
        <v>941</v>
      </c>
      <c r="E54" s="26" t="s">
        <v>942</v>
      </c>
      <c r="F54" s="40">
        <v>40</v>
      </c>
      <c r="G54" s="50">
        <v>8000</v>
      </c>
      <c r="H54" s="26" t="s">
        <v>943</v>
      </c>
    </row>
    <row r="55" spans="1:8" ht="54">
      <c r="A55" s="49">
        <v>38917</v>
      </c>
      <c r="B55" s="26" t="s">
        <v>674</v>
      </c>
      <c r="C55" s="26" t="s">
        <v>267</v>
      </c>
      <c r="D55" s="26" t="s">
        <v>944</v>
      </c>
      <c r="E55" s="26" t="s">
        <v>945</v>
      </c>
      <c r="F55" s="50">
        <v>1500</v>
      </c>
      <c r="G55" s="40" t="s">
        <v>946</v>
      </c>
      <c r="H55" s="26" t="s">
        <v>947</v>
      </c>
    </row>
    <row r="56" spans="1:8" ht="36">
      <c r="A56" s="49">
        <v>38920</v>
      </c>
      <c r="B56" s="26" t="s">
        <v>124</v>
      </c>
      <c r="C56" s="26" t="s">
        <v>948</v>
      </c>
      <c r="D56" s="26" t="s">
        <v>18</v>
      </c>
      <c r="E56" s="26" t="s">
        <v>949</v>
      </c>
      <c r="F56" s="40">
        <v>200</v>
      </c>
      <c r="G56" s="50">
        <v>1271893</v>
      </c>
      <c r="H56" s="26" t="s">
        <v>950</v>
      </c>
    </row>
    <row r="57" spans="1:8" ht="63">
      <c r="A57" s="49">
        <v>38922</v>
      </c>
      <c r="B57" s="26" t="s">
        <v>124</v>
      </c>
      <c r="C57" s="26" t="s">
        <v>951</v>
      </c>
      <c r="D57" s="26" t="s">
        <v>18</v>
      </c>
      <c r="E57" s="26" t="s">
        <v>952</v>
      </c>
      <c r="F57" s="40">
        <v>414</v>
      </c>
      <c r="G57" s="40" t="s">
        <v>953</v>
      </c>
      <c r="H57" s="26" t="s">
        <v>954</v>
      </c>
    </row>
    <row r="58" spans="1:8" ht="63">
      <c r="A58" s="49">
        <v>38922</v>
      </c>
      <c r="B58" s="26" t="s">
        <v>124</v>
      </c>
      <c r="C58" s="26" t="s">
        <v>951</v>
      </c>
      <c r="D58" s="26" t="s">
        <v>18</v>
      </c>
      <c r="E58" s="26" t="s">
        <v>955</v>
      </c>
      <c r="F58" s="40">
        <v>695</v>
      </c>
      <c r="G58" s="40" t="s">
        <v>255</v>
      </c>
      <c r="H58" s="26" t="s">
        <v>954</v>
      </c>
    </row>
    <row r="59" spans="1:8" ht="63.75" thickBot="1">
      <c r="A59" s="51">
        <v>38925</v>
      </c>
      <c r="B59" s="30" t="s">
        <v>826</v>
      </c>
      <c r="C59" s="30" t="s">
        <v>956</v>
      </c>
      <c r="D59" s="30" t="s">
        <v>827</v>
      </c>
      <c r="E59" s="30" t="s">
        <v>106</v>
      </c>
      <c r="F59" s="52" t="s">
        <v>255</v>
      </c>
      <c r="G59" s="53">
        <v>167564</v>
      </c>
      <c r="H59" s="30" t="s">
        <v>957</v>
      </c>
    </row>
    <row r="60" spans="1:8" ht="14.25" thickTop="1" thickBot="1">
      <c r="A60" s="45" t="s">
        <v>825</v>
      </c>
    </row>
    <row r="61" spans="1:8" ht="28.5" customHeight="1" thickTop="1">
      <c r="A61" s="46" t="s">
        <v>2</v>
      </c>
      <c r="B61" s="21" t="s">
        <v>57</v>
      </c>
      <c r="C61" s="21" t="s">
        <v>3</v>
      </c>
      <c r="D61" s="21" t="s">
        <v>67</v>
      </c>
      <c r="E61" s="21" t="s">
        <v>5</v>
      </c>
      <c r="F61" s="21" t="s">
        <v>6</v>
      </c>
      <c r="G61" s="21" t="s">
        <v>68</v>
      </c>
      <c r="H61" s="22" t="s">
        <v>69</v>
      </c>
    </row>
    <row r="62" spans="1:8">
      <c r="A62" s="47" t="s">
        <v>32</v>
      </c>
      <c r="B62" s="24"/>
      <c r="C62" s="24"/>
      <c r="D62" s="24"/>
      <c r="E62" s="24"/>
      <c r="F62" s="48"/>
      <c r="G62" s="48"/>
      <c r="H62" s="24"/>
    </row>
    <row r="63" spans="1:8" ht="27">
      <c r="A63" s="49">
        <v>38930</v>
      </c>
      <c r="B63" s="26" t="s">
        <v>826</v>
      </c>
      <c r="C63" s="26" t="s">
        <v>424</v>
      </c>
      <c r="D63" s="26" t="s">
        <v>958</v>
      </c>
      <c r="E63" s="26" t="s">
        <v>959</v>
      </c>
      <c r="F63" s="40" t="s">
        <v>255</v>
      </c>
      <c r="G63" s="40" t="s">
        <v>255</v>
      </c>
      <c r="H63" s="26" t="s">
        <v>960</v>
      </c>
    </row>
    <row r="64" spans="1:8" ht="18">
      <c r="A64" s="49">
        <v>38930</v>
      </c>
      <c r="B64" s="26" t="s">
        <v>826</v>
      </c>
      <c r="C64" s="26" t="s">
        <v>129</v>
      </c>
      <c r="D64" s="26" t="s">
        <v>961</v>
      </c>
      <c r="E64" s="26" t="s">
        <v>962</v>
      </c>
      <c r="F64" s="40">
        <v>90</v>
      </c>
      <c r="G64" s="40" t="s">
        <v>255</v>
      </c>
      <c r="H64" s="26" t="s">
        <v>963</v>
      </c>
    </row>
    <row r="65" spans="1:8" ht="81">
      <c r="A65" s="49">
        <v>38931</v>
      </c>
      <c r="B65" s="26" t="s">
        <v>674</v>
      </c>
      <c r="C65" s="26" t="s">
        <v>424</v>
      </c>
      <c r="D65" s="26" t="s">
        <v>964</v>
      </c>
      <c r="E65" s="26" t="s">
        <v>965</v>
      </c>
      <c r="F65" s="40" t="s">
        <v>255</v>
      </c>
      <c r="G65" s="40" t="s">
        <v>255</v>
      </c>
      <c r="H65" s="26" t="s">
        <v>966</v>
      </c>
    </row>
    <row r="66" spans="1:8" ht="27">
      <c r="A66" s="49">
        <v>38931</v>
      </c>
      <c r="B66" s="26" t="s">
        <v>61</v>
      </c>
      <c r="C66" s="26" t="s">
        <v>129</v>
      </c>
      <c r="D66" s="26" t="s">
        <v>967</v>
      </c>
      <c r="E66" s="26" t="s">
        <v>968</v>
      </c>
      <c r="F66" s="40" t="s">
        <v>255</v>
      </c>
      <c r="G66" s="40" t="s">
        <v>255</v>
      </c>
      <c r="H66" s="26" t="s">
        <v>969</v>
      </c>
    </row>
    <row r="67" spans="1:8" ht="18">
      <c r="A67" s="49">
        <v>38931</v>
      </c>
      <c r="B67" s="26" t="s">
        <v>61</v>
      </c>
      <c r="C67" s="26" t="s">
        <v>81</v>
      </c>
      <c r="D67" s="26" t="s">
        <v>967</v>
      </c>
      <c r="E67" s="26" t="s">
        <v>106</v>
      </c>
      <c r="F67" s="40" t="s">
        <v>970</v>
      </c>
      <c r="G67" s="50">
        <v>77000</v>
      </c>
      <c r="H67" s="26" t="s">
        <v>971</v>
      </c>
    </row>
    <row r="68" spans="1:8" ht="18">
      <c r="A68" s="49">
        <v>38932</v>
      </c>
      <c r="B68" s="26" t="s">
        <v>472</v>
      </c>
      <c r="C68" s="26" t="s">
        <v>972</v>
      </c>
      <c r="D68" s="26" t="s">
        <v>618</v>
      </c>
      <c r="E68" s="26" t="s">
        <v>973</v>
      </c>
      <c r="F68" s="40">
        <v>369</v>
      </c>
      <c r="G68" s="50">
        <v>227480</v>
      </c>
      <c r="H68" s="26" t="s">
        <v>974</v>
      </c>
    </row>
    <row r="69" spans="1:8" ht="27">
      <c r="A69" s="49">
        <v>38936</v>
      </c>
      <c r="B69" s="26" t="s">
        <v>826</v>
      </c>
      <c r="C69" s="26" t="s">
        <v>129</v>
      </c>
      <c r="D69" s="26" t="s">
        <v>437</v>
      </c>
      <c r="E69" s="26" t="s">
        <v>962</v>
      </c>
      <c r="F69" s="40">
        <v>75</v>
      </c>
      <c r="G69" s="40" t="s">
        <v>975</v>
      </c>
      <c r="H69" s="26" t="s">
        <v>976</v>
      </c>
    </row>
    <row r="70" spans="1:8" ht="27">
      <c r="A70" s="49">
        <v>38939</v>
      </c>
      <c r="B70" s="26" t="s">
        <v>124</v>
      </c>
      <c r="C70" s="26" t="s">
        <v>109</v>
      </c>
      <c r="D70" s="26" t="s">
        <v>977</v>
      </c>
      <c r="E70" s="26" t="s">
        <v>717</v>
      </c>
      <c r="F70" s="40" t="s">
        <v>978</v>
      </c>
      <c r="G70" s="50">
        <v>65000</v>
      </c>
      <c r="H70" s="26" t="s">
        <v>979</v>
      </c>
    </row>
    <row r="71" spans="1:8" ht="27">
      <c r="A71" s="49">
        <v>38953</v>
      </c>
      <c r="B71" s="26" t="s">
        <v>472</v>
      </c>
      <c r="C71" s="26" t="s">
        <v>980</v>
      </c>
      <c r="D71" s="26" t="s">
        <v>618</v>
      </c>
      <c r="E71" s="26" t="s">
        <v>981</v>
      </c>
      <c r="F71" s="40">
        <v>180</v>
      </c>
      <c r="G71" s="50">
        <v>106000</v>
      </c>
      <c r="H71" s="26" t="s">
        <v>982</v>
      </c>
    </row>
    <row r="72" spans="1:8">
      <c r="A72" s="47" t="s">
        <v>219</v>
      </c>
      <c r="B72" s="24"/>
      <c r="C72" s="24"/>
      <c r="D72" s="24"/>
      <c r="E72" s="24"/>
      <c r="F72" s="48"/>
      <c r="G72" s="48"/>
      <c r="H72" s="24"/>
    </row>
    <row r="73" spans="1:8" ht="18">
      <c r="A73" s="49">
        <v>38961</v>
      </c>
      <c r="B73" s="26" t="s">
        <v>63</v>
      </c>
      <c r="C73" s="26" t="s">
        <v>983</v>
      </c>
      <c r="D73" s="26" t="s">
        <v>230</v>
      </c>
      <c r="E73" s="26" t="s">
        <v>984</v>
      </c>
      <c r="F73" s="40" t="s">
        <v>255</v>
      </c>
      <c r="G73" s="50">
        <v>61000</v>
      </c>
      <c r="H73" s="26" t="s">
        <v>985</v>
      </c>
    </row>
    <row r="74" spans="1:8" ht="18">
      <c r="A74" s="49">
        <v>38961</v>
      </c>
      <c r="B74" s="26" t="s">
        <v>63</v>
      </c>
      <c r="C74" s="26" t="s">
        <v>986</v>
      </c>
      <c r="D74" s="26" t="s">
        <v>987</v>
      </c>
      <c r="E74" s="26" t="s">
        <v>984</v>
      </c>
      <c r="F74" s="40">
        <v>500</v>
      </c>
      <c r="G74" s="50">
        <v>333000</v>
      </c>
      <c r="H74" s="26" t="s">
        <v>988</v>
      </c>
    </row>
    <row r="75" spans="1:8" ht="27">
      <c r="A75" s="49">
        <v>38961</v>
      </c>
      <c r="B75" s="26" t="s">
        <v>826</v>
      </c>
      <c r="C75" s="26" t="s">
        <v>334</v>
      </c>
      <c r="D75" s="26" t="s">
        <v>989</v>
      </c>
      <c r="E75" s="26" t="s">
        <v>984</v>
      </c>
      <c r="F75" s="40">
        <v>380</v>
      </c>
      <c r="G75" s="50">
        <v>105000</v>
      </c>
      <c r="H75" s="26" t="s">
        <v>990</v>
      </c>
    </row>
    <row r="76" spans="1:8" ht="63">
      <c r="A76" s="49">
        <v>38961</v>
      </c>
      <c r="B76" s="26" t="s">
        <v>826</v>
      </c>
      <c r="C76" s="26" t="s">
        <v>328</v>
      </c>
      <c r="D76" s="26" t="s">
        <v>827</v>
      </c>
      <c r="E76" s="26" t="s">
        <v>984</v>
      </c>
      <c r="F76" s="40" t="s">
        <v>255</v>
      </c>
      <c r="G76" s="50">
        <v>146094</v>
      </c>
      <c r="H76" s="26" t="s">
        <v>991</v>
      </c>
    </row>
    <row r="77" spans="1:8" ht="18">
      <c r="A77" s="49">
        <v>38961</v>
      </c>
      <c r="B77" s="26" t="s">
        <v>826</v>
      </c>
      <c r="C77" s="26" t="s">
        <v>109</v>
      </c>
      <c r="D77" s="26" t="s">
        <v>992</v>
      </c>
      <c r="E77" s="26" t="s">
        <v>984</v>
      </c>
      <c r="F77" s="40">
        <v>400</v>
      </c>
      <c r="G77" s="50">
        <v>100000</v>
      </c>
      <c r="H77" s="26" t="s">
        <v>993</v>
      </c>
    </row>
    <row r="78" spans="1:8" ht="27">
      <c r="A78" s="49">
        <v>38974</v>
      </c>
      <c r="B78" s="26" t="s">
        <v>472</v>
      </c>
      <c r="C78" s="26" t="s">
        <v>994</v>
      </c>
      <c r="D78" s="26" t="s">
        <v>618</v>
      </c>
      <c r="E78" s="26" t="s">
        <v>995</v>
      </c>
      <c r="F78" s="40">
        <v>59</v>
      </c>
      <c r="G78" s="50">
        <v>34716</v>
      </c>
      <c r="H78" s="26" t="s">
        <v>996</v>
      </c>
    </row>
    <row r="79" spans="1:8" ht="45">
      <c r="A79" s="49">
        <v>38988</v>
      </c>
      <c r="B79" s="26" t="s">
        <v>63</v>
      </c>
      <c r="C79" s="26" t="s">
        <v>997</v>
      </c>
      <c r="D79" s="26" t="s">
        <v>998</v>
      </c>
      <c r="E79" s="26" t="s">
        <v>106</v>
      </c>
      <c r="F79" s="40">
        <v>84</v>
      </c>
      <c r="G79" s="50">
        <v>56500</v>
      </c>
      <c r="H79" s="26" t="s">
        <v>999</v>
      </c>
    </row>
    <row r="80" spans="1:8">
      <c r="A80" s="47" t="s">
        <v>35</v>
      </c>
      <c r="B80" s="24"/>
      <c r="C80" s="24"/>
      <c r="D80" s="24"/>
      <c r="E80" s="24"/>
      <c r="F80" s="48"/>
      <c r="G80" s="48"/>
      <c r="H80" s="24"/>
    </row>
    <row r="81" spans="1:8" ht="27">
      <c r="A81" s="49">
        <v>38992</v>
      </c>
      <c r="B81" s="26" t="s">
        <v>826</v>
      </c>
      <c r="C81" s="26" t="s">
        <v>71</v>
      </c>
      <c r="D81" s="26" t="s">
        <v>1000</v>
      </c>
      <c r="E81" s="26" t="s">
        <v>106</v>
      </c>
      <c r="F81" s="40" t="s">
        <v>255</v>
      </c>
      <c r="G81" s="50">
        <v>471932</v>
      </c>
      <c r="H81" s="26" t="s">
        <v>1001</v>
      </c>
    </row>
    <row r="82" spans="1:8" ht="45">
      <c r="A82" s="49">
        <v>38992</v>
      </c>
      <c r="B82" s="26" t="s">
        <v>124</v>
      </c>
      <c r="C82" s="26" t="s">
        <v>1002</v>
      </c>
      <c r="D82" s="26" t="s">
        <v>1003</v>
      </c>
      <c r="E82" s="26" t="s">
        <v>973</v>
      </c>
      <c r="F82" s="40">
        <v>308</v>
      </c>
      <c r="G82" s="50">
        <v>130000</v>
      </c>
      <c r="H82" s="26" t="s">
        <v>1004</v>
      </c>
    </row>
    <row r="83" spans="1:8" ht="45">
      <c r="A83" s="49">
        <v>38993</v>
      </c>
      <c r="B83" s="26" t="s">
        <v>90</v>
      </c>
      <c r="C83" s="26" t="s">
        <v>1005</v>
      </c>
      <c r="D83" s="26" t="s">
        <v>1006</v>
      </c>
      <c r="E83" s="26" t="s">
        <v>973</v>
      </c>
      <c r="F83" s="40">
        <v>339</v>
      </c>
      <c r="G83" s="40" t="s">
        <v>255</v>
      </c>
      <c r="H83" s="26" t="s">
        <v>1007</v>
      </c>
    </row>
    <row r="84" spans="1:8" ht="18">
      <c r="A84" s="49">
        <v>39002</v>
      </c>
      <c r="B84" s="26" t="s">
        <v>61</v>
      </c>
      <c r="C84" s="26" t="s">
        <v>1008</v>
      </c>
      <c r="D84" s="26" t="s">
        <v>1009</v>
      </c>
      <c r="E84" s="26" t="s">
        <v>326</v>
      </c>
      <c r="F84" s="40">
        <v>600</v>
      </c>
      <c r="G84" s="50">
        <v>250000</v>
      </c>
      <c r="H84" s="26" t="s">
        <v>1010</v>
      </c>
    </row>
    <row r="85" spans="1:8" ht="18">
      <c r="A85" s="49">
        <v>39002</v>
      </c>
      <c r="B85" s="26" t="s">
        <v>61</v>
      </c>
      <c r="C85" s="26" t="s">
        <v>109</v>
      </c>
      <c r="D85" s="26" t="s">
        <v>1009</v>
      </c>
      <c r="E85" s="26" t="s">
        <v>326</v>
      </c>
      <c r="F85" s="40">
        <v>353</v>
      </c>
      <c r="G85" s="50">
        <v>120000</v>
      </c>
      <c r="H85" s="26" t="s">
        <v>1011</v>
      </c>
    </row>
    <row r="86" spans="1:8" ht="18">
      <c r="A86" s="49">
        <v>39005</v>
      </c>
      <c r="B86" s="26" t="s">
        <v>1012</v>
      </c>
      <c r="C86" s="26" t="s">
        <v>1013</v>
      </c>
      <c r="D86" s="26" t="s">
        <v>1014</v>
      </c>
      <c r="E86" s="26" t="s">
        <v>1015</v>
      </c>
      <c r="F86" s="40">
        <v>110</v>
      </c>
      <c r="G86" s="50">
        <v>59886</v>
      </c>
      <c r="H86" s="26" t="s">
        <v>1016</v>
      </c>
    </row>
    <row r="87" spans="1:8" ht="18">
      <c r="A87" s="49">
        <v>39005</v>
      </c>
      <c r="B87" s="26" t="s">
        <v>912</v>
      </c>
      <c r="C87" s="26" t="s">
        <v>1013</v>
      </c>
      <c r="D87" s="26" t="s">
        <v>913</v>
      </c>
      <c r="E87" s="26" t="s">
        <v>1015</v>
      </c>
      <c r="F87" s="50">
        <v>1170</v>
      </c>
      <c r="G87" s="50">
        <v>291000</v>
      </c>
      <c r="H87" s="26" t="s">
        <v>1017</v>
      </c>
    </row>
    <row r="88" spans="1:8" ht="63">
      <c r="A88" s="49">
        <v>39010</v>
      </c>
      <c r="B88" s="26" t="s">
        <v>826</v>
      </c>
      <c r="C88" s="26" t="s">
        <v>129</v>
      </c>
      <c r="D88" s="26" t="s">
        <v>827</v>
      </c>
      <c r="E88" s="26" t="s">
        <v>264</v>
      </c>
      <c r="F88" s="40" t="s">
        <v>255</v>
      </c>
      <c r="G88" s="50">
        <v>90000</v>
      </c>
      <c r="H88" s="26" t="s">
        <v>1018</v>
      </c>
    </row>
    <row r="89" spans="1:8" ht="27">
      <c r="A89" s="49">
        <v>39016</v>
      </c>
      <c r="B89" s="26" t="s">
        <v>1019</v>
      </c>
      <c r="C89" s="26" t="s">
        <v>983</v>
      </c>
      <c r="D89" s="26" t="s">
        <v>1020</v>
      </c>
      <c r="E89" s="26" t="s">
        <v>1021</v>
      </c>
      <c r="F89" s="40" t="s">
        <v>255</v>
      </c>
      <c r="G89" s="50">
        <v>65000</v>
      </c>
      <c r="H89" s="26" t="s">
        <v>1022</v>
      </c>
    </row>
    <row r="90" spans="1:8">
      <c r="A90" s="47" t="s">
        <v>38</v>
      </c>
      <c r="B90" s="24"/>
      <c r="C90" s="24"/>
      <c r="D90" s="24"/>
      <c r="E90" s="24"/>
      <c r="F90" s="48"/>
      <c r="G90" s="48"/>
      <c r="H90" s="24"/>
    </row>
    <row r="91" spans="1:8" ht="27">
      <c r="A91" s="49">
        <v>39036</v>
      </c>
      <c r="B91" s="26" t="s">
        <v>90</v>
      </c>
      <c r="C91" s="26" t="s">
        <v>334</v>
      </c>
      <c r="D91" s="26" t="s">
        <v>1023</v>
      </c>
      <c r="E91" s="26" t="s">
        <v>264</v>
      </c>
      <c r="F91" s="40">
        <v>221</v>
      </c>
      <c r="G91" s="50">
        <v>83000</v>
      </c>
      <c r="H91" s="26" t="s">
        <v>1024</v>
      </c>
    </row>
    <row r="92" spans="1:8" ht="27.75" thickBot="1">
      <c r="A92" s="51">
        <v>39036</v>
      </c>
      <c r="B92" s="30" t="s">
        <v>124</v>
      </c>
      <c r="C92" s="30" t="s">
        <v>129</v>
      </c>
      <c r="D92" s="30" t="s">
        <v>1025</v>
      </c>
      <c r="E92" s="30" t="s">
        <v>264</v>
      </c>
      <c r="F92" s="52">
        <v>50</v>
      </c>
      <c r="G92" s="53">
        <v>50000</v>
      </c>
      <c r="H92" s="30" t="s">
        <v>1026</v>
      </c>
    </row>
    <row r="93" spans="1:8" ht="14.25" thickTop="1" thickBot="1">
      <c r="A93" s="45" t="s">
        <v>825</v>
      </c>
    </row>
    <row r="94" spans="1:8" ht="37.5" customHeight="1" thickTop="1">
      <c r="A94" s="46" t="s">
        <v>2</v>
      </c>
      <c r="B94" s="21" t="s">
        <v>57</v>
      </c>
      <c r="C94" s="21" t="s">
        <v>3</v>
      </c>
      <c r="D94" s="21" t="s">
        <v>67</v>
      </c>
      <c r="E94" s="21" t="s">
        <v>5</v>
      </c>
      <c r="F94" s="21" t="s">
        <v>6</v>
      </c>
      <c r="G94" s="54" t="s">
        <v>1027</v>
      </c>
      <c r="H94" s="22" t="s">
        <v>69</v>
      </c>
    </row>
    <row r="95" spans="1:8" ht="18">
      <c r="A95" s="49">
        <v>39036</v>
      </c>
      <c r="B95" s="26" t="s">
        <v>63</v>
      </c>
      <c r="C95" s="26" t="s">
        <v>328</v>
      </c>
      <c r="D95" s="26" t="s">
        <v>361</v>
      </c>
      <c r="E95" s="26" t="s">
        <v>22</v>
      </c>
      <c r="F95" s="40">
        <v>363</v>
      </c>
      <c r="G95" s="50">
        <v>109000</v>
      </c>
      <c r="H95" s="26" t="s">
        <v>1028</v>
      </c>
    </row>
    <row r="96" spans="1:8" ht="27">
      <c r="A96" s="49">
        <v>39047</v>
      </c>
      <c r="B96" s="26" t="s">
        <v>124</v>
      </c>
      <c r="C96" s="26" t="s">
        <v>129</v>
      </c>
      <c r="D96" s="26" t="s">
        <v>832</v>
      </c>
      <c r="E96" s="26" t="s">
        <v>1029</v>
      </c>
      <c r="F96" s="40">
        <v>180</v>
      </c>
      <c r="G96" s="50">
        <v>63992</v>
      </c>
      <c r="H96" s="26" t="s">
        <v>1030</v>
      </c>
    </row>
    <row r="97" spans="1:8" ht="18">
      <c r="A97" s="49">
        <v>39051</v>
      </c>
      <c r="B97" s="26" t="s">
        <v>674</v>
      </c>
      <c r="C97" s="26" t="s">
        <v>248</v>
      </c>
      <c r="D97" s="26" t="s">
        <v>1031</v>
      </c>
      <c r="E97" s="26" t="s">
        <v>11</v>
      </c>
      <c r="F97" s="40" t="s">
        <v>255</v>
      </c>
      <c r="G97" s="50">
        <v>550000</v>
      </c>
      <c r="H97" s="26" t="s">
        <v>1032</v>
      </c>
    </row>
    <row r="98" spans="1:8">
      <c r="A98" s="47" t="s">
        <v>47</v>
      </c>
      <c r="B98" s="24"/>
      <c r="C98" s="24"/>
      <c r="D98" s="24"/>
      <c r="E98" s="24"/>
      <c r="F98" s="48"/>
      <c r="G98" s="48"/>
      <c r="H98" s="24"/>
    </row>
    <row r="99" spans="1:8" ht="18">
      <c r="A99" s="49">
        <v>39052</v>
      </c>
      <c r="B99" s="26" t="s">
        <v>826</v>
      </c>
      <c r="C99" s="26" t="s">
        <v>1033</v>
      </c>
      <c r="D99" s="26" t="s">
        <v>160</v>
      </c>
      <c r="E99" s="26" t="s">
        <v>262</v>
      </c>
      <c r="F99" s="40" t="s">
        <v>255</v>
      </c>
      <c r="G99" s="50">
        <v>59106</v>
      </c>
      <c r="H99" s="26" t="s">
        <v>1034</v>
      </c>
    </row>
    <row r="100" spans="1:8" ht="27">
      <c r="A100" s="49">
        <v>39061</v>
      </c>
      <c r="B100" s="26" t="s">
        <v>124</v>
      </c>
      <c r="C100" s="26" t="s">
        <v>1035</v>
      </c>
      <c r="D100" s="26" t="s">
        <v>354</v>
      </c>
      <c r="E100" s="26" t="s">
        <v>142</v>
      </c>
      <c r="F100" s="40">
        <v>220</v>
      </c>
      <c r="G100" s="40" t="s">
        <v>255</v>
      </c>
      <c r="H100" s="26" t="s">
        <v>1036</v>
      </c>
    </row>
    <row r="101" spans="1:8" ht="18">
      <c r="A101" s="49">
        <v>39064</v>
      </c>
      <c r="B101" s="26" t="s">
        <v>124</v>
      </c>
      <c r="C101" s="26" t="s">
        <v>551</v>
      </c>
      <c r="D101" s="26" t="s">
        <v>834</v>
      </c>
      <c r="E101" s="26" t="s">
        <v>262</v>
      </c>
      <c r="F101" s="40" t="s">
        <v>255</v>
      </c>
      <c r="G101" s="50">
        <v>700000</v>
      </c>
      <c r="H101" s="26" t="s">
        <v>1037</v>
      </c>
    </row>
    <row r="102" spans="1:8" ht="18">
      <c r="A102" s="49">
        <v>39065</v>
      </c>
      <c r="B102" s="26" t="s">
        <v>124</v>
      </c>
      <c r="C102" s="26" t="s">
        <v>1038</v>
      </c>
      <c r="D102" s="26" t="s">
        <v>1039</v>
      </c>
      <c r="E102" s="26" t="s">
        <v>262</v>
      </c>
      <c r="F102" s="40">
        <v>750</v>
      </c>
      <c r="G102" s="50">
        <v>175000</v>
      </c>
      <c r="H102" s="26" t="s">
        <v>1040</v>
      </c>
    </row>
    <row r="103" spans="1:8" ht="27">
      <c r="A103" s="49">
        <v>39065</v>
      </c>
      <c r="B103" s="26" t="s">
        <v>124</v>
      </c>
      <c r="C103" s="26" t="s">
        <v>983</v>
      </c>
      <c r="D103" s="26" t="s">
        <v>832</v>
      </c>
      <c r="E103" s="26" t="s">
        <v>262</v>
      </c>
      <c r="F103" s="40">
        <v>360</v>
      </c>
      <c r="G103" s="50">
        <v>172060</v>
      </c>
      <c r="H103" s="26" t="s">
        <v>1041</v>
      </c>
    </row>
    <row r="104" spans="1:8" ht="27">
      <c r="A104" s="49">
        <v>39065</v>
      </c>
      <c r="B104" s="26" t="s">
        <v>124</v>
      </c>
      <c r="C104" s="26" t="s">
        <v>795</v>
      </c>
      <c r="D104" s="26" t="s">
        <v>1042</v>
      </c>
      <c r="E104" s="26" t="s">
        <v>262</v>
      </c>
      <c r="F104" s="40">
        <v>258</v>
      </c>
      <c r="G104" s="40">
        <v>24</v>
      </c>
      <c r="H104" s="26" t="s">
        <v>1043</v>
      </c>
    </row>
    <row r="105" spans="1:8" ht="18">
      <c r="A105" s="49">
        <v>39065</v>
      </c>
      <c r="B105" s="26" t="s">
        <v>124</v>
      </c>
      <c r="C105" s="26" t="s">
        <v>1044</v>
      </c>
      <c r="D105" s="26" t="s">
        <v>1045</v>
      </c>
      <c r="E105" s="26" t="s">
        <v>1046</v>
      </c>
      <c r="F105" s="40" t="s">
        <v>255</v>
      </c>
      <c r="G105" s="40" t="s">
        <v>1047</v>
      </c>
      <c r="H105" s="26" t="s">
        <v>1048</v>
      </c>
    </row>
    <row r="106" spans="1:8" ht="90">
      <c r="A106" s="49">
        <v>39065</v>
      </c>
      <c r="B106" s="26" t="s">
        <v>124</v>
      </c>
      <c r="C106" s="26" t="s">
        <v>104</v>
      </c>
      <c r="D106" s="26" t="s">
        <v>1049</v>
      </c>
      <c r="E106" s="26" t="s">
        <v>264</v>
      </c>
      <c r="F106" s="40">
        <v>280</v>
      </c>
      <c r="G106" s="50">
        <v>75000</v>
      </c>
      <c r="H106" s="26" t="s">
        <v>1050</v>
      </c>
    </row>
    <row r="107" spans="1:8" ht="54">
      <c r="A107" s="49">
        <v>39065</v>
      </c>
      <c r="B107" s="26" t="s">
        <v>124</v>
      </c>
      <c r="C107" s="26" t="s">
        <v>81</v>
      </c>
      <c r="D107" s="26" t="s">
        <v>1051</v>
      </c>
      <c r="E107" s="26" t="s">
        <v>264</v>
      </c>
      <c r="F107" s="40" t="s">
        <v>255</v>
      </c>
      <c r="G107" s="50">
        <v>249500</v>
      </c>
      <c r="H107" s="26" t="s">
        <v>1052</v>
      </c>
    </row>
    <row r="108" spans="1:8" ht="36">
      <c r="A108" s="49">
        <v>39067</v>
      </c>
      <c r="B108" s="26" t="s">
        <v>124</v>
      </c>
      <c r="C108" s="26" t="s">
        <v>1053</v>
      </c>
      <c r="D108" s="26" t="s">
        <v>1054</v>
      </c>
      <c r="E108" s="26" t="s">
        <v>1055</v>
      </c>
      <c r="F108" s="40">
        <v>350</v>
      </c>
      <c r="G108" s="50">
        <v>84500</v>
      </c>
      <c r="H108" s="26" t="s">
        <v>1056</v>
      </c>
    </row>
    <row r="109" spans="1:8" ht="18">
      <c r="A109" s="49">
        <v>39077</v>
      </c>
      <c r="B109" s="26" t="s">
        <v>124</v>
      </c>
      <c r="C109" s="26" t="s">
        <v>1038</v>
      </c>
      <c r="D109" s="26" t="s">
        <v>141</v>
      </c>
      <c r="E109" s="26" t="s">
        <v>22</v>
      </c>
      <c r="F109" s="40">
        <v>420</v>
      </c>
      <c r="G109" s="50">
        <v>850068</v>
      </c>
      <c r="H109" s="26" t="s">
        <v>1057</v>
      </c>
    </row>
    <row r="110" spans="1:8" ht="36">
      <c r="A110" s="49">
        <v>39080</v>
      </c>
      <c r="B110" s="26" t="s">
        <v>472</v>
      </c>
      <c r="C110" s="26" t="s">
        <v>1058</v>
      </c>
      <c r="D110" s="26" t="s">
        <v>1059</v>
      </c>
      <c r="E110" s="26" t="s">
        <v>1060</v>
      </c>
      <c r="F110" s="40">
        <v>50</v>
      </c>
      <c r="G110" s="50">
        <v>18386</v>
      </c>
      <c r="H110" s="26" t="s">
        <v>1061</v>
      </c>
    </row>
    <row r="111" spans="1:8" ht="198.75" thickBot="1">
      <c r="A111" s="55">
        <v>39081</v>
      </c>
      <c r="B111" s="56" t="s">
        <v>674</v>
      </c>
      <c r="C111" s="56" t="s">
        <v>1062</v>
      </c>
      <c r="D111" s="56" t="s">
        <v>1063</v>
      </c>
      <c r="E111" s="56" t="s">
        <v>22</v>
      </c>
      <c r="F111" s="57" t="s">
        <v>1064</v>
      </c>
      <c r="G111" s="58">
        <v>15000</v>
      </c>
      <c r="H111" s="56" t="s">
        <v>1065</v>
      </c>
    </row>
    <row r="112" spans="1:8">
      <c r="A112" s="805" t="s">
        <v>1066</v>
      </c>
      <c r="B112" s="806"/>
      <c r="C112" s="806"/>
      <c r="D112" s="806"/>
      <c r="E112" s="806"/>
      <c r="F112" s="806"/>
      <c r="G112" s="806"/>
      <c r="H112" s="806"/>
    </row>
    <row r="113" spans="1:8">
      <c r="A113" s="807" t="s">
        <v>1067</v>
      </c>
      <c r="B113" s="808"/>
      <c r="C113" s="808"/>
      <c r="D113" s="808"/>
      <c r="E113" s="808"/>
      <c r="F113" s="808"/>
      <c r="G113" s="808"/>
      <c r="H113" s="808"/>
    </row>
    <row r="114" spans="1:8">
      <c r="A114" s="807" t="s">
        <v>1068</v>
      </c>
      <c r="B114" s="808"/>
      <c r="C114" s="808"/>
      <c r="D114" s="808"/>
      <c r="E114" s="808"/>
      <c r="F114" s="808"/>
      <c r="G114" s="808"/>
      <c r="H114" s="808"/>
    </row>
  </sheetData>
  <mergeCells count="3">
    <mergeCell ref="A112:H112"/>
    <mergeCell ref="A113:H113"/>
    <mergeCell ref="A114:H114"/>
  </mergeCells>
  <hyperlinks>
    <hyperlink ref="G94" location="_ftn1" display="_ftn1" xr:uid="{00000000-0004-0000-0400-000000000000}"/>
    <hyperlink ref="A112" location="_ftnref1" display="_ftnref1" xr:uid="{00000000-0004-0000-0400-000001000000}"/>
    <hyperlink ref="A113" location="_ftnref2" display="_ftnref2" xr:uid="{00000000-0004-0000-0400-000002000000}"/>
    <hyperlink ref="A114" location="_ftnref3" display="_ftnref3" xr:uid="{00000000-0004-0000-0400-000003000000}"/>
  </hyperlink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9"/>
  <sheetViews>
    <sheetView workbookViewId="0"/>
  </sheetViews>
  <sheetFormatPr defaultRowHeight="12.75"/>
  <cols>
    <col min="1" max="1" width="8.42578125" style="60" customWidth="1"/>
    <col min="2" max="8" width="10.7109375" style="20" customWidth="1"/>
    <col min="9" max="16384" width="9.140625" style="20"/>
  </cols>
  <sheetData>
    <row r="1" spans="1:8" ht="13.5" thickBot="1">
      <c r="A1" s="45" t="s">
        <v>1069</v>
      </c>
    </row>
    <row r="2" spans="1:8" ht="37.5" customHeight="1" thickTop="1">
      <c r="A2" s="46" t="s">
        <v>2</v>
      </c>
      <c r="B2" s="21" t="s">
        <v>1070</v>
      </c>
      <c r="C2" s="21" t="s">
        <v>3</v>
      </c>
      <c r="D2" s="21" t="s">
        <v>67</v>
      </c>
      <c r="E2" s="21" t="s">
        <v>5</v>
      </c>
      <c r="F2" s="21" t="s">
        <v>6</v>
      </c>
      <c r="G2" s="54" t="s">
        <v>1071</v>
      </c>
      <c r="H2" s="22" t="s">
        <v>69</v>
      </c>
    </row>
    <row r="3" spans="1:8">
      <c r="A3" s="47" t="s">
        <v>1072</v>
      </c>
      <c r="B3" s="24"/>
      <c r="C3" s="24"/>
      <c r="D3" s="24"/>
      <c r="E3" s="24"/>
      <c r="F3" s="48"/>
      <c r="G3" s="48"/>
      <c r="H3" s="24"/>
    </row>
    <row r="4" spans="1:8" ht="18">
      <c r="A4" s="49">
        <v>39087</v>
      </c>
      <c r="B4" s="26" t="s">
        <v>472</v>
      </c>
      <c r="C4" s="26" t="s">
        <v>1073</v>
      </c>
      <c r="D4" s="26" t="s">
        <v>618</v>
      </c>
      <c r="E4" s="26" t="s">
        <v>619</v>
      </c>
      <c r="F4" s="40">
        <v>0</v>
      </c>
      <c r="G4" s="40">
        <v>0</v>
      </c>
      <c r="H4" s="26" t="s">
        <v>1074</v>
      </c>
    </row>
    <row r="5" spans="1:8" ht="18">
      <c r="A5" s="49">
        <v>39095</v>
      </c>
      <c r="B5" s="26" t="s">
        <v>674</v>
      </c>
      <c r="C5" s="26" t="s">
        <v>364</v>
      </c>
      <c r="D5" s="26" t="s">
        <v>1031</v>
      </c>
      <c r="E5" s="26" t="s">
        <v>11</v>
      </c>
      <c r="F5" s="40" t="s">
        <v>255</v>
      </c>
      <c r="G5" s="50">
        <v>225000</v>
      </c>
      <c r="H5" s="26" t="s">
        <v>1075</v>
      </c>
    </row>
    <row r="6" spans="1:8" ht="18">
      <c r="A6" s="49">
        <v>39095</v>
      </c>
      <c r="B6" s="26" t="s">
        <v>826</v>
      </c>
      <c r="C6" s="26" t="s">
        <v>274</v>
      </c>
      <c r="D6" s="26" t="s">
        <v>1076</v>
      </c>
      <c r="E6" s="26" t="s">
        <v>11</v>
      </c>
      <c r="F6" s="40">
        <v>500</v>
      </c>
      <c r="G6" s="50">
        <v>129607</v>
      </c>
      <c r="H6" s="26" t="s">
        <v>1077</v>
      </c>
    </row>
    <row r="7" spans="1:8" ht="27">
      <c r="A7" s="49">
        <v>39098</v>
      </c>
      <c r="B7" s="26" t="s">
        <v>124</v>
      </c>
      <c r="C7" s="26" t="s">
        <v>402</v>
      </c>
      <c r="D7" s="26" t="s">
        <v>832</v>
      </c>
      <c r="E7" s="26" t="s">
        <v>1078</v>
      </c>
      <c r="F7" s="40">
        <v>260</v>
      </c>
      <c r="G7" s="50">
        <v>110433</v>
      </c>
      <c r="H7" s="26" t="s">
        <v>1079</v>
      </c>
    </row>
    <row r="8" spans="1:8">
      <c r="A8" s="47" t="s">
        <v>632</v>
      </c>
      <c r="B8" s="24"/>
      <c r="C8" s="24"/>
      <c r="D8" s="24"/>
      <c r="E8" s="24"/>
      <c r="F8" s="48"/>
      <c r="G8" s="48"/>
      <c r="H8" s="24"/>
    </row>
    <row r="9" spans="1:8" ht="18">
      <c r="A9" s="49">
        <v>39126</v>
      </c>
      <c r="B9" s="26" t="s">
        <v>826</v>
      </c>
      <c r="C9" s="26" t="s">
        <v>71</v>
      </c>
      <c r="D9" s="26" t="s">
        <v>1080</v>
      </c>
      <c r="E9" s="26" t="s">
        <v>1081</v>
      </c>
      <c r="F9" s="40">
        <v>250</v>
      </c>
      <c r="G9" s="50">
        <v>367500</v>
      </c>
      <c r="H9" s="26" t="s">
        <v>1082</v>
      </c>
    </row>
    <row r="10" spans="1:8" ht="18">
      <c r="A10" s="49">
        <v>39126</v>
      </c>
      <c r="B10" s="26" t="s">
        <v>826</v>
      </c>
      <c r="C10" s="26" t="s">
        <v>104</v>
      </c>
      <c r="D10" s="26" t="s">
        <v>916</v>
      </c>
      <c r="E10" s="26" t="s">
        <v>40</v>
      </c>
      <c r="F10" s="40">
        <v>400</v>
      </c>
      <c r="G10" s="50">
        <v>155183</v>
      </c>
      <c r="H10" s="26" t="s">
        <v>1083</v>
      </c>
    </row>
    <row r="11" spans="1:8" ht="36">
      <c r="A11" s="49">
        <v>39137</v>
      </c>
      <c r="B11" s="26" t="s">
        <v>674</v>
      </c>
      <c r="C11" s="26" t="s">
        <v>212</v>
      </c>
      <c r="D11" s="26" t="s">
        <v>1084</v>
      </c>
      <c r="E11" s="26" t="s">
        <v>11</v>
      </c>
      <c r="F11" s="40">
        <v>210</v>
      </c>
      <c r="G11" s="50">
        <v>75000</v>
      </c>
      <c r="H11" s="26" t="s">
        <v>1085</v>
      </c>
    </row>
    <row r="12" spans="1:8" ht="27">
      <c r="A12" s="49">
        <v>39137</v>
      </c>
      <c r="B12" s="26" t="s">
        <v>674</v>
      </c>
      <c r="C12" s="26" t="s">
        <v>267</v>
      </c>
      <c r="D12" s="26" t="s">
        <v>1086</v>
      </c>
      <c r="E12" s="26" t="s">
        <v>11</v>
      </c>
      <c r="F12" s="40">
        <v>400</v>
      </c>
      <c r="G12" s="50">
        <v>140000</v>
      </c>
      <c r="H12" s="26" t="s">
        <v>1087</v>
      </c>
    </row>
    <row r="13" spans="1:8" ht="18">
      <c r="A13" s="49">
        <v>39137</v>
      </c>
      <c r="B13" s="26" t="s">
        <v>826</v>
      </c>
      <c r="C13" s="26" t="s">
        <v>1088</v>
      </c>
      <c r="D13" s="26" t="s">
        <v>1089</v>
      </c>
      <c r="E13" s="26" t="s">
        <v>11</v>
      </c>
      <c r="F13" s="40">
        <v>750</v>
      </c>
      <c r="G13" s="50">
        <v>215000</v>
      </c>
      <c r="H13" s="26" t="s">
        <v>1090</v>
      </c>
    </row>
    <row r="14" spans="1:8" ht="18">
      <c r="A14" s="49">
        <v>39141</v>
      </c>
      <c r="B14" s="26" t="s">
        <v>124</v>
      </c>
      <c r="C14" s="26" t="s">
        <v>1091</v>
      </c>
      <c r="D14" s="26" t="s">
        <v>141</v>
      </c>
      <c r="E14" s="26" t="s">
        <v>40</v>
      </c>
      <c r="F14" s="40">
        <v>110</v>
      </c>
      <c r="G14" s="50">
        <v>671189</v>
      </c>
      <c r="H14" s="26" t="s">
        <v>1092</v>
      </c>
    </row>
    <row r="15" spans="1:8">
      <c r="A15" s="47" t="s">
        <v>1093</v>
      </c>
      <c r="B15" s="24"/>
      <c r="C15" s="24"/>
      <c r="D15" s="24"/>
      <c r="E15" s="24"/>
      <c r="F15" s="48"/>
      <c r="G15" s="48"/>
      <c r="H15" s="24"/>
    </row>
    <row r="16" spans="1:8" ht="36">
      <c r="A16" s="49">
        <v>39142</v>
      </c>
      <c r="B16" s="26" t="s">
        <v>63</v>
      </c>
      <c r="C16" s="26" t="s">
        <v>1094</v>
      </c>
      <c r="D16" s="26" t="s">
        <v>1095</v>
      </c>
      <c r="E16" s="26" t="s">
        <v>1096</v>
      </c>
      <c r="F16" s="40">
        <v>95</v>
      </c>
      <c r="G16" s="50">
        <v>25445</v>
      </c>
      <c r="H16" s="26" t="s">
        <v>1097</v>
      </c>
    </row>
    <row r="17" spans="1:8" ht="18">
      <c r="A17" s="49">
        <v>39172</v>
      </c>
      <c r="B17" s="26" t="s">
        <v>90</v>
      </c>
      <c r="C17" s="26" t="s">
        <v>274</v>
      </c>
      <c r="D17" s="26" t="s">
        <v>1098</v>
      </c>
      <c r="E17" s="26" t="s">
        <v>106</v>
      </c>
      <c r="F17" s="40">
        <v>179</v>
      </c>
      <c r="G17" s="50">
        <v>67000</v>
      </c>
      <c r="H17" s="26" t="s">
        <v>1099</v>
      </c>
    </row>
    <row r="18" spans="1:8">
      <c r="A18" s="47" t="s">
        <v>1100</v>
      </c>
      <c r="B18" s="24"/>
      <c r="C18" s="24"/>
      <c r="D18" s="24"/>
      <c r="E18" s="24"/>
      <c r="F18" s="48"/>
      <c r="G18" s="48"/>
      <c r="H18" s="24"/>
    </row>
    <row r="19" spans="1:8" ht="18">
      <c r="A19" s="49">
        <v>39177</v>
      </c>
      <c r="B19" s="26" t="s">
        <v>61</v>
      </c>
      <c r="C19" s="26" t="s">
        <v>1101</v>
      </c>
      <c r="D19" s="26" t="s">
        <v>1102</v>
      </c>
      <c r="E19" s="26" t="s">
        <v>1103</v>
      </c>
      <c r="F19" s="40" t="s">
        <v>455</v>
      </c>
      <c r="G19" s="50">
        <v>117142</v>
      </c>
      <c r="H19" s="26" t="s">
        <v>1104</v>
      </c>
    </row>
    <row r="20" spans="1:8" ht="27">
      <c r="A20" s="49">
        <v>39184</v>
      </c>
      <c r="B20" s="26" t="s">
        <v>124</v>
      </c>
      <c r="C20" s="26" t="s">
        <v>1105</v>
      </c>
      <c r="D20" s="26" t="s">
        <v>1106</v>
      </c>
      <c r="E20" s="26" t="s">
        <v>264</v>
      </c>
      <c r="F20" s="40">
        <v>200</v>
      </c>
      <c r="G20" s="50">
        <v>158977</v>
      </c>
      <c r="H20" s="26" t="s">
        <v>1107</v>
      </c>
    </row>
    <row r="21" spans="1:8" ht="27">
      <c r="A21" s="49">
        <v>39184</v>
      </c>
      <c r="B21" s="26" t="s">
        <v>124</v>
      </c>
      <c r="C21" s="26" t="s">
        <v>1108</v>
      </c>
      <c r="D21" s="26" t="s">
        <v>1109</v>
      </c>
      <c r="E21" s="26" t="s">
        <v>1110</v>
      </c>
      <c r="F21" s="40">
        <v>130</v>
      </c>
      <c r="G21" s="40" t="s">
        <v>455</v>
      </c>
      <c r="H21" s="26" t="s">
        <v>1111</v>
      </c>
    </row>
    <row r="22" spans="1:8" ht="27">
      <c r="A22" s="49">
        <v>39186</v>
      </c>
      <c r="B22" s="26" t="s">
        <v>61</v>
      </c>
      <c r="C22" s="26" t="s">
        <v>147</v>
      </c>
      <c r="D22" s="26" t="s">
        <v>1112</v>
      </c>
      <c r="E22" s="26" t="s">
        <v>264</v>
      </c>
      <c r="F22" s="40" t="s">
        <v>1113</v>
      </c>
      <c r="G22" s="50">
        <v>70000</v>
      </c>
      <c r="H22" s="26" t="s">
        <v>1114</v>
      </c>
    </row>
    <row r="23" spans="1:8" ht="18">
      <c r="A23" s="49">
        <v>39188</v>
      </c>
      <c r="B23" s="26" t="s">
        <v>61</v>
      </c>
      <c r="C23" s="26" t="s">
        <v>500</v>
      </c>
      <c r="D23" s="26" t="s">
        <v>1115</v>
      </c>
      <c r="E23" s="26" t="s">
        <v>106</v>
      </c>
      <c r="F23" s="40" t="s">
        <v>455</v>
      </c>
      <c r="G23" s="50">
        <v>102568</v>
      </c>
      <c r="H23" s="26" t="s">
        <v>1116</v>
      </c>
    </row>
    <row r="24" spans="1:8" ht="18">
      <c r="A24" s="49">
        <v>39188</v>
      </c>
      <c r="B24" s="26" t="s">
        <v>61</v>
      </c>
      <c r="C24" s="26" t="s">
        <v>1117</v>
      </c>
      <c r="D24" s="26" t="s">
        <v>1102</v>
      </c>
      <c r="E24" s="26" t="s">
        <v>1103</v>
      </c>
      <c r="F24" s="40" t="s">
        <v>455</v>
      </c>
      <c r="G24" s="50">
        <v>127545</v>
      </c>
      <c r="H24" s="26" t="s">
        <v>1118</v>
      </c>
    </row>
    <row r="25" spans="1:8" ht="18">
      <c r="A25" s="49">
        <v>39188</v>
      </c>
      <c r="B25" s="26" t="s">
        <v>63</v>
      </c>
      <c r="C25" s="26" t="s">
        <v>91</v>
      </c>
      <c r="D25" s="26" t="s">
        <v>369</v>
      </c>
      <c r="E25" s="26" t="s">
        <v>1046</v>
      </c>
      <c r="F25" s="40" t="s">
        <v>455</v>
      </c>
      <c r="G25" s="50">
        <v>33000</v>
      </c>
      <c r="H25" s="26" t="s">
        <v>1116</v>
      </c>
    </row>
    <row r="26" spans="1:8" ht="45">
      <c r="A26" s="49">
        <v>39188</v>
      </c>
      <c r="B26" s="26" t="s">
        <v>826</v>
      </c>
      <c r="C26" s="26" t="s">
        <v>71</v>
      </c>
      <c r="D26" s="26" t="s">
        <v>1119</v>
      </c>
      <c r="E26" s="26" t="s">
        <v>106</v>
      </c>
      <c r="F26" s="40">
        <v>160</v>
      </c>
      <c r="G26" s="50">
        <v>138000</v>
      </c>
      <c r="H26" s="26" t="s">
        <v>1120</v>
      </c>
    </row>
    <row r="27" spans="1:8" ht="45">
      <c r="A27" s="49">
        <v>39188</v>
      </c>
      <c r="B27" s="26" t="s">
        <v>63</v>
      </c>
      <c r="C27" s="26" t="s">
        <v>1121</v>
      </c>
      <c r="D27" s="26" t="s">
        <v>1122</v>
      </c>
      <c r="E27" s="26" t="s">
        <v>264</v>
      </c>
      <c r="F27" s="40">
        <v>90</v>
      </c>
      <c r="G27" s="50">
        <v>242000</v>
      </c>
      <c r="H27" s="26" t="s">
        <v>1123</v>
      </c>
    </row>
    <row r="28" spans="1:8">
      <c r="A28" s="47" t="s">
        <v>1124</v>
      </c>
      <c r="B28" s="24"/>
      <c r="C28" s="24"/>
      <c r="D28" s="24"/>
      <c r="E28" s="24"/>
      <c r="F28" s="48"/>
      <c r="G28" s="48"/>
      <c r="H28" s="24"/>
    </row>
    <row r="29" spans="1:8" ht="81">
      <c r="A29" s="49">
        <v>39204</v>
      </c>
      <c r="B29" s="26" t="s">
        <v>90</v>
      </c>
      <c r="C29" s="26" t="s">
        <v>458</v>
      </c>
      <c r="D29" s="26" t="s">
        <v>1125</v>
      </c>
      <c r="E29" s="26" t="s">
        <v>153</v>
      </c>
      <c r="F29" s="40" t="s">
        <v>455</v>
      </c>
      <c r="G29" s="50">
        <v>300000</v>
      </c>
      <c r="H29" s="26" t="s">
        <v>1126</v>
      </c>
    </row>
    <row r="30" spans="1:8" ht="27">
      <c r="A30" s="49">
        <v>39212</v>
      </c>
      <c r="B30" s="26" t="s">
        <v>124</v>
      </c>
      <c r="C30" s="26" t="s">
        <v>1127</v>
      </c>
      <c r="D30" s="26" t="s">
        <v>1109</v>
      </c>
      <c r="E30" s="26" t="s">
        <v>142</v>
      </c>
      <c r="F30" s="40">
        <v>150</v>
      </c>
      <c r="G30" s="40" t="s">
        <v>455</v>
      </c>
      <c r="H30" s="26" t="s">
        <v>1128</v>
      </c>
    </row>
    <row r="31" spans="1:8" ht="27">
      <c r="A31" s="49">
        <v>39216</v>
      </c>
      <c r="B31" s="26" t="s">
        <v>124</v>
      </c>
      <c r="C31" s="26" t="s">
        <v>311</v>
      </c>
      <c r="D31" s="26" t="s">
        <v>1109</v>
      </c>
      <c r="E31" s="26" t="s">
        <v>142</v>
      </c>
      <c r="F31" s="40">
        <v>150</v>
      </c>
      <c r="G31" s="40" t="s">
        <v>455</v>
      </c>
      <c r="H31" s="26" t="s">
        <v>1129</v>
      </c>
    </row>
    <row r="32" spans="1:8" ht="18">
      <c r="A32" s="49">
        <v>39217</v>
      </c>
      <c r="B32" s="26" t="s">
        <v>826</v>
      </c>
      <c r="C32" s="26" t="s">
        <v>328</v>
      </c>
      <c r="D32" s="26" t="s">
        <v>268</v>
      </c>
      <c r="E32" s="26" t="s">
        <v>106</v>
      </c>
      <c r="F32" s="40">
        <v>500</v>
      </c>
      <c r="G32" s="50">
        <v>66000</v>
      </c>
      <c r="H32" s="26" t="s">
        <v>1130</v>
      </c>
    </row>
    <row r="33" spans="1:8" ht="18">
      <c r="A33" s="49">
        <v>39218</v>
      </c>
      <c r="B33" s="26" t="s">
        <v>61</v>
      </c>
      <c r="C33" s="26" t="s">
        <v>267</v>
      </c>
      <c r="D33" s="26" t="s">
        <v>1131</v>
      </c>
      <c r="E33" s="26" t="s">
        <v>362</v>
      </c>
      <c r="F33" s="40" t="s">
        <v>455</v>
      </c>
      <c r="G33" s="50">
        <v>67000</v>
      </c>
      <c r="H33" s="26" t="s">
        <v>1132</v>
      </c>
    </row>
    <row r="34" spans="1:8" ht="27">
      <c r="A34" s="49">
        <v>39223</v>
      </c>
      <c r="B34" s="26" t="s">
        <v>124</v>
      </c>
      <c r="C34" s="26" t="s">
        <v>1133</v>
      </c>
      <c r="D34" s="26" t="s">
        <v>1134</v>
      </c>
      <c r="E34" s="26" t="s">
        <v>142</v>
      </c>
      <c r="F34" s="40">
        <v>140</v>
      </c>
      <c r="G34" s="40" t="s">
        <v>455</v>
      </c>
      <c r="H34" s="26" t="s">
        <v>1135</v>
      </c>
    </row>
    <row r="35" spans="1:8">
      <c r="A35" s="47" t="s">
        <v>1136</v>
      </c>
      <c r="B35" s="24"/>
      <c r="C35" s="24"/>
      <c r="D35" s="24"/>
      <c r="E35" s="24"/>
      <c r="F35" s="48"/>
      <c r="G35" s="48"/>
      <c r="H35" s="24"/>
    </row>
    <row r="36" spans="1:8" ht="27">
      <c r="A36" s="49">
        <v>39234</v>
      </c>
      <c r="B36" s="26" t="s">
        <v>124</v>
      </c>
      <c r="C36" s="26" t="s">
        <v>129</v>
      </c>
      <c r="D36" s="26" t="s">
        <v>1137</v>
      </c>
      <c r="E36" s="26" t="s">
        <v>1138</v>
      </c>
      <c r="F36" s="40" t="s">
        <v>455</v>
      </c>
      <c r="G36" s="40" t="s">
        <v>455</v>
      </c>
      <c r="H36" s="26" t="s">
        <v>686</v>
      </c>
    </row>
    <row r="37" spans="1:8" ht="27">
      <c r="A37" s="49">
        <v>39238</v>
      </c>
      <c r="B37" s="26" t="s">
        <v>124</v>
      </c>
      <c r="C37" s="26" t="s">
        <v>1139</v>
      </c>
      <c r="D37" s="26" t="s">
        <v>977</v>
      </c>
      <c r="E37" s="26" t="s">
        <v>449</v>
      </c>
      <c r="F37" s="40">
        <v>424</v>
      </c>
      <c r="G37" s="50">
        <v>80000</v>
      </c>
      <c r="H37" s="26" t="s">
        <v>1140</v>
      </c>
    </row>
    <row r="38" spans="1:8" ht="72.75" thickBot="1">
      <c r="A38" s="51">
        <v>39260</v>
      </c>
      <c r="B38" s="30" t="s">
        <v>61</v>
      </c>
      <c r="C38" s="30" t="s">
        <v>98</v>
      </c>
      <c r="D38" s="30" t="s">
        <v>1141</v>
      </c>
      <c r="E38" s="30" t="s">
        <v>1142</v>
      </c>
      <c r="F38" s="52">
        <v>460</v>
      </c>
      <c r="G38" s="53">
        <v>137000</v>
      </c>
      <c r="H38" s="30" t="s">
        <v>1143</v>
      </c>
    </row>
    <row r="39" spans="1:8" ht="14.25" thickTop="1" thickBot="1">
      <c r="A39" s="45" t="s">
        <v>1069</v>
      </c>
    </row>
    <row r="40" spans="1:8" ht="28.5" customHeight="1" thickTop="1">
      <c r="A40" s="46" t="s">
        <v>2</v>
      </c>
      <c r="B40" s="21" t="s">
        <v>1070</v>
      </c>
      <c r="C40" s="21" t="s">
        <v>3</v>
      </c>
      <c r="D40" s="21" t="s">
        <v>67</v>
      </c>
      <c r="E40" s="21" t="s">
        <v>5</v>
      </c>
      <c r="F40" s="21" t="s">
        <v>6</v>
      </c>
      <c r="G40" s="21" t="s">
        <v>68</v>
      </c>
      <c r="H40" s="22" t="s">
        <v>69</v>
      </c>
    </row>
    <row r="41" spans="1:8" ht="18">
      <c r="A41" s="49">
        <v>39260</v>
      </c>
      <c r="B41" s="26" t="s">
        <v>61</v>
      </c>
      <c r="C41" s="26" t="s">
        <v>1144</v>
      </c>
      <c r="D41" s="26" t="s">
        <v>200</v>
      </c>
      <c r="E41" s="26" t="s">
        <v>1145</v>
      </c>
      <c r="F41" s="40">
        <v>460</v>
      </c>
      <c r="G41" s="40" t="s">
        <v>455</v>
      </c>
      <c r="H41" s="26" t="s">
        <v>1143</v>
      </c>
    </row>
    <row r="42" spans="1:8" ht="18">
      <c r="A42" s="49">
        <v>39262</v>
      </c>
      <c r="B42" s="26" t="s">
        <v>124</v>
      </c>
      <c r="C42" s="26" t="s">
        <v>1146</v>
      </c>
      <c r="D42" s="26" t="s">
        <v>1147</v>
      </c>
      <c r="E42" s="26" t="s">
        <v>1145</v>
      </c>
      <c r="F42" s="40">
        <v>399</v>
      </c>
      <c r="G42" s="50">
        <v>98700</v>
      </c>
      <c r="H42" s="26" t="s">
        <v>1148</v>
      </c>
    </row>
    <row r="43" spans="1:8">
      <c r="A43" s="47" t="s">
        <v>1149</v>
      </c>
      <c r="B43" s="24"/>
      <c r="C43" s="24"/>
      <c r="D43" s="24"/>
      <c r="E43" s="24"/>
      <c r="F43" s="48"/>
      <c r="G43" s="48"/>
      <c r="H43" s="24"/>
    </row>
    <row r="44" spans="1:8" ht="18">
      <c r="A44" s="49">
        <v>39266</v>
      </c>
      <c r="B44" s="26" t="s">
        <v>124</v>
      </c>
      <c r="C44" s="26" t="s">
        <v>1150</v>
      </c>
      <c r="D44" s="26" t="s">
        <v>1151</v>
      </c>
      <c r="E44" s="26" t="s">
        <v>1152</v>
      </c>
      <c r="F44" s="40" t="s">
        <v>255</v>
      </c>
      <c r="G44" s="40" t="s">
        <v>255</v>
      </c>
      <c r="H44" s="26" t="s">
        <v>1153</v>
      </c>
    </row>
    <row r="45" spans="1:8" ht="18">
      <c r="A45" s="49">
        <v>39268</v>
      </c>
      <c r="B45" s="26" t="s">
        <v>826</v>
      </c>
      <c r="C45" s="26" t="s">
        <v>81</v>
      </c>
      <c r="D45" s="26" t="s">
        <v>268</v>
      </c>
      <c r="E45" s="26" t="s">
        <v>362</v>
      </c>
      <c r="F45" s="40" t="s">
        <v>455</v>
      </c>
      <c r="G45" s="50">
        <v>69000</v>
      </c>
      <c r="H45" s="26" t="s">
        <v>1154</v>
      </c>
    </row>
    <row r="46" spans="1:8" ht="45">
      <c r="A46" s="49">
        <v>39269</v>
      </c>
      <c r="B46" s="26" t="s">
        <v>124</v>
      </c>
      <c r="C46" s="26" t="s">
        <v>1155</v>
      </c>
      <c r="D46" s="26" t="s">
        <v>1156</v>
      </c>
      <c r="E46" s="26" t="s">
        <v>1157</v>
      </c>
      <c r="F46" s="40">
        <v>60</v>
      </c>
      <c r="G46" s="40">
        <v>0</v>
      </c>
      <c r="H46" s="26" t="s">
        <v>1158</v>
      </c>
    </row>
    <row r="47" spans="1:8" ht="18">
      <c r="A47" s="49">
        <v>39273</v>
      </c>
      <c r="B47" s="26" t="s">
        <v>61</v>
      </c>
      <c r="C47" s="26" t="s">
        <v>91</v>
      </c>
      <c r="D47" s="26" t="s">
        <v>1159</v>
      </c>
      <c r="E47" s="26" t="s">
        <v>1160</v>
      </c>
      <c r="F47" s="40">
        <v>650</v>
      </c>
      <c r="G47" s="50">
        <v>300000</v>
      </c>
      <c r="H47" s="26" t="s">
        <v>1161</v>
      </c>
    </row>
    <row r="48" spans="1:8" ht="18">
      <c r="A48" s="49">
        <v>39279</v>
      </c>
      <c r="B48" s="26" t="s">
        <v>124</v>
      </c>
      <c r="C48" s="26" t="s">
        <v>1162</v>
      </c>
      <c r="D48" s="26" t="s">
        <v>1163</v>
      </c>
      <c r="E48" s="26" t="s">
        <v>1164</v>
      </c>
      <c r="F48" s="40">
        <v>306</v>
      </c>
      <c r="G48" s="40" t="s">
        <v>455</v>
      </c>
      <c r="H48" s="26" t="s">
        <v>1165</v>
      </c>
    </row>
    <row r="49" spans="1:8" ht="27">
      <c r="A49" s="49">
        <v>39281</v>
      </c>
      <c r="B49" s="26" t="s">
        <v>826</v>
      </c>
      <c r="C49" s="26" t="s">
        <v>267</v>
      </c>
      <c r="D49" s="26" t="s">
        <v>933</v>
      </c>
      <c r="E49" s="26" t="s">
        <v>22</v>
      </c>
      <c r="F49" s="40">
        <v>300</v>
      </c>
      <c r="G49" s="50">
        <v>135000</v>
      </c>
      <c r="H49" s="26" t="s">
        <v>1166</v>
      </c>
    </row>
    <row r="50" spans="1:8" ht="27">
      <c r="A50" s="49">
        <v>39282</v>
      </c>
      <c r="B50" s="26" t="s">
        <v>826</v>
      </c>
      <c r="C50" s="26" t="s">
        <v>328</v>
      </c>
      <c r="D50" s="26" t="s">
        <v>1167</v>
      </c>
      <c r="E50" s="26" t="s">
        <v>1096</v>
      </c>
      <c r="F50" s="40" t="s">
        <v>455</v>
      </c>
      <c r="G50" s="50">
        <v>60000</v>
      </c>
      <c r="H50" s="26" t="s">
        <v>1168</v>
      </c>
    </row>
    <row r="51" spans="1:8" ht="18">
      <c r="A51" s="49">
        <v>39282</v>
      </c>
      <c r="B51" s="26" t="s">
        <v>63</v>
      </c>
      <c r="C51" s="26" t="s">
        <v>735</v>
      </c>
      <c r="D51" s="26" t="s">
        <v>1169</v>
      </c>
      <c r="E51" s="26" t="s">
        <v>1160</v>
      </c>
      <c r="F51" s="40">
        <v>72</v>
      </c>
      <c r="G51" s="50">
        <v>107000</v>
      </c>
      <c r="H51" s="26" t="s">
        <v>1170</v>
      </c>
    </row>
    <row r="52" spans="1:8">
      <c r="A52" s="47" t="s">
        <v>1171</v>
      </c>
      <c r="B52" s="24"/>
      <c r="C52" s="24"/>
      <c r="D52" s="24"/>
      <c r="E52" s="24"/>
      <c r="F52" s="48"/>
      <c r="G52" s="48"/>
      <c r="H52" s="24"/>
    </row>
    <row r="53" spans="1:8" ht="36">
      <c r="A53" s="49">
        <v>39302</v>
      </c>
      <c r="B53" s="26" t="s">
        <v>63</v>
      </c>
      <c r="C53" s="26" t="s">
        <v>129</v>
      </c>
      <c r="D53" s="26" t="s">
        <v>1172</v>
      </c>
      <c r="E53" s="26" t="s">
        <v>1173</v>
      </c>
      <c r="F53" s="40" t="s">
        <v>255</v>
      </c>
      <c r="G53" s="40" t="s">
        <v>255</v>
      </c>
      <c r="H53" s="26" t="s">
        <v>1174</v>
      </c>
    </row>
    <row r="54" spans="1:8" ht="27">
      <c r="A54" s="49">
        <v>39302</v>
      </c>
      <c r="B54" s="26" t="s">
        <v>826</v>
      </c>
      <c r="C54" s="26" t="s">
        <v>1175</v>
      </c>
      <c r="D54" s="26" t="s">
        <v>1176</v>
      </c>
      <c r="E54" s="26" t="s">
        <v>1177</v>
      </c>
      <c r="F54" s="40" t="s">
        <v>255</v>
      </c>
      <c r="G54" s="40" t="s">
        <v>255</v>
      </c>
      <c r="H54" s="26" t="s">
        <v>1178</v>
      </c>
    </row>
    <row r="55" spans="1:8" ht="36">
      <c r="A55" s="49">
        <v>39303</v>
      </c>
      <c r="B55" s="26" t="s">
        <v>63</v>
      </c>
      <c r="C55" s="26" t="s">
        <v>1179</v>
      </c>
      <c r="D55" s="26" t="s">
        <v>1172</v>
      </c>
      <c r="E55" s="26" t="s">
        <v>1173</v>
      </c>
      <c r="F55" s="40" t="s">
        <v>255</v>
      </c>
      <c r="G55" s="40" t="s">
        <v>255</v>
      </c>
      <c r="H55" s="26" t="s">
        <v>1180</v>
      </c>
    </row>
    <row r="56" spans="1:8" ht="27">
      <c r="A56" s="49">
        <v>39303</v>
      </c>
      <c r="B56" s="26" t="s">
        <v>826</v>
      </c>
      <c r="C56" s="26" t="s">
        <v>1181</v>
      </c>
      <c r="D56" s="26" t="s">
        <v>1182</v>
      </c>
      <c r="E56" s="26" t="s">
        <v>106</v>
      </c>
      <c r="F56" s="40">
        <v>90</v>
      </c>
      <c r="G56" s="50">
        <v>55000</v>
      </c>
      <c r="H56" s="26" t="s">
        <v>1183</v>
      </c>
    </row>
    <row r="57" spans="1:8" ht="36">
      <c r="A57" s="49">
        <v>39304</v>
      </c>
      <c r="B57" s="26" t="s">
        <v>63</v>
      </c>
      <c r="C57" s="26" t="s">
        <v>1184</v>
      </c>
      <c r="D57" s="26" t="s">
        <v>1172</v>
      </c>
      <c r="E57" s="26" t="s">
        <v>1173</v>
      </c>
      <c r="F57" s="40" t="s">
        <v>255</v>
      </c>
      <c r="G57" s="40" t="s">
        <v>255</v>
      </c>
      <c r="H57" s="26" t="s">
        <v>1185</v>
      </c>
    </row>
    <row r="58" spans="1:8" ht="18">
      <c r="A58" s="49">
        <v>39307</v>
      </c>
      <c r="B58" s="26" t="s">
        <v>63</v>
      </c>
      <c r="C58" s="26" t="s">
        <v>1186</v>
      </c>
      <c r="D58" s="26" t="s">
        <v>1187</v>
      </c>
      <c r="E58" s="26" t="s">
        <v>717</v>
      </c>
      <c r="F58" s="40" t="s">
        <v>255</v>
      </c>
      <c r="G58" s="50">
        <v>63000</v>
      </c>
      <c r="H58" s="26" t="s">
        <v>1188</v>
      </c>
    </row>
    <row r="59" spans="1:8" ht="81">
      <c r="A59" s="49">
        <v>39308</v>
      </c>
      <c r="B59" s="26" t="s">
        <v>58</v>
      </c>
      <c r="C59" s="26" t="s">
        <v>71</v>
      </c>
      <c r="D59" s="26" t="s">
        <v>1189</v>
      </c>
      <c r="E59" s="26" t="s">
        <v>1190</v>
      </c>
      <c r="F59" s="40">
        <v>20</v>
      </c>
      <c r="G59" s="40" t="s">
        <v>455</v>
      </c>
      <c r="H59" s="26" t="s">
        <v>1191</v>
      </c>
    </row>
    <row r="60" spans="1:8" ht="45">
      <c r="A60" s="49">
        <v>39310</v>
      </c>
      <c r="B60" s="26" t="s">
        <v>63</v>
      </c>
      <c r="C60" s="26" t="s">
        <v>1192</v>
      </c>
      <c r="D60" s="26" t="s">
        <v>1193</v>
      </c>
      <c r="E60" s="26" t="s">
        <v>22</v>
      </c>
      <c r="F60" s="40">
        <v>200</v>
      </c>
      <c r="G60" s="50">
        <v>93300</v>
      </c>
      <c r="H60" s="26" t="s">
        <v>1194</v>
      </c>
    </row>
    <row r="61" spans="1:8" ht="18">
      <c r="A61" s="49">
        <v>39313</v>
      </c>
      <c r="B61" s="26" t="s">
        <v>63</v>
      </c>
      <c r="C61" s="26" t="s">
        <v>1195</v>
      </c>
      <c r="D61" s="26" t="s">
        <v>1196</v>
      </c>
      <c r="E61" s="26" t="s">
        <v>106</v>
      </c>
      <c r="F61" s="40">
        <v>100</v>
      </c>
      <c r="G61" s="50">
        <v>58500</v>
      </c>
      <c r="H61" s="26" t="s">
        <v>1197</v>
      </c>
    </row>
    <row r="62" spans="1:8" ht="18">
      <c r="A62" s="49">
        <v>39317</v>
      </c>
      <c r="B62" s="26" t="s">
        <v>826</v>
      </c>
      <c r="C62" s="26" t="s">
        <v>212</v>
      </c>
      <c r="D62" s="26" t="s">
        <v>156</v>
      </c>
      <c r="E62" s="26" t="s">
        <v>153</v>
      </c>
      <c r="F62" s="40" t="s">
        <v>255</v>
      </c>
      <c r="G62" s="50">
        <v>629590</v>
      </c>
      <c r="H62" s="26" t="s">
        <v>1198</v>
      </c>
    </row>
    <row r="63" spans="1:8" ht="18">
      <c r="A63" s="49">
        <v>39318</v>
      </c>
      <c r="B63" s="26" t="s">
        <v>826</v>
      </c>
      <c r="C63" s="26" t="s">
        <v>267</v>
      </c>
      <c r="D63" s="26" t="s">
        <v>268</v>
      </c>
      <c r="E63" s="26" t="s">
        <v>362</v>
      </c>
      <c r="F63" s="40" t="s">
        <v>255</v>
      </c>
      <c r="G63" s="50">
        <v>75000</v>
      </c>
      <c r="H63" s="26" t="s">
        <v>1199</v>
      </c>
    </row>
    <row r="64" spans="1:8" ht="36">
      <c r="A64" s="49">
        <v>39323</v>
      </c>
      <c r="B64" s="26" t="s">
        <v>124</v>
      </c>
      <c r="C64" s="26" t="s">
        <v>1200</v>
      </c>
      <c r="D64" s="26" t="s">
        <v>1201</v>
      </c>
      <c r="E64" s="26" t="s">
        <v>1202</v>
      </c>
      <c r="F64" s="40">
        <v>180</v>
      </c>
      <c r="G64" s="50">
        <v>26000</v>
      </c>
      <c r="H64" s="26" t="s">
        <v>1203</v>
      </c>
    </row>
    <row r="65" spans="1:8" ht="18">
      <c r="A65" s="49">
        <v>39323</v>
      </c>
      <c r="B65" s="26" t="s">
        <v>124</v>
      </c>
      <c r="C65" s="26" t="s">
        <v>212</v>
      </c>
      <c r="D65" s="26" t="s">
        <v>1151</v>
      </c>
      <c r="E65" s="26" t="s">
        <v>1173</v>
      </c>
      <c r="F65" s="40" t="s">
        <v>255</v>
      </c>
      <c r="G65" s="40" t="s">
        <v>255</v>
      </c>
      <c r="H65" s="26" t="s">
        <v>1204</v>
      </c>
    </row>
    <row r="66" spans="1:8" ht="27">
      <c r="A66" s="49">
        <v>39325</v>
      </c>
      <c r="B66" s="26" t="s">
        <v>124</v>
      </c>
      <c r="C66" s="26" t="s">
        <v>1179</v>
      </c>
      <c r="D66" s="26" t="s">
        <v>1151</v>
      </c>
      <c r="E66" s="26" t="s">
        <v>1205</v>
      </c>
      <c r="F66" s="40" t="s">
        <v>255</v>
      </c>
      <c r="G66" s="40" t="s">
        <v>255</v>
      </c>
      <c r="H66" s="26" t="s">
        <v>1206</v>
      </c>
    </row>
    <row r="67" spans="1:8" ht="18">
      <c r="A67" s="47" t="s">
        <v>219</v>
      </c>
      <c r="B67" s="24"/>
      <c r="C67" s="24"/>
      <c r="D67" s="24"/>
      <c r="E67" s="24"/>
      <c r="F67" s="48"/>
      <c r="G67" s="48"/>
      <c r="H67" s="24"/>
    </row>
    <row r="68" spans="1:8" ht="45">
      <c r="A68" s="49">
        <v>39328</v>
      </c>
      <c r="B68" s="26" t="s">
        <v>124</v>
      </c>
      <c r="C68" s="26" t="s">
        <v>1207</v>
      </c>
      <c r="D68" s="26" t="s">
        <v>1208</v>
      </c>
      <c r="E68" s="26" t="s">
        <v>1209</v>
      </c>
      <c r="F68" s="40" t="s">
        <v>255</v>
      </c>
      <c r="G68" s="40" t="s">
        <v>255</v>
      </c>
      <c r="H68" s="26" t="s">
        <v>1210</v>
      </c>
    </row>
    <row r="69" spans="1:8" ht="45">
      <c r="A69" s="49">
        <v>39329</v>
      </c>
      <c r="B69" s="26" t="s">
        <v>124</v>
      </c>
      <c r="C69" s="26" t="s">
        <v>1211</v>
      </c>
      <c r="D69" s="26" t="s">
        <v>1208</v>
      </c>
      <c r="E69" s="26" t="s">
        <v>1209</v>
      </c>
      <c r="F69" s="40" t="s">
        <v>255</v>
      </c>
      <c r="G69" s="40" t="s">
        <v>255</v>
      </c>
      <c r="H69" s="26" t="s">
        <v>1212</v>
      </c>
    </row>
    <row r="70" spans="1:8" ht="36">
      <c r="A70" s="49">
        <v>39330</v>
      </c>
      <c r="B70" s="26" t="s">
        <v>90</v>
      </c>
      <c r="C70" s="26" t="s">
        <v>1213</v>
      </c>
      <c r="D70" s="26" t="s">
        <v>1214</v>
      </c>
      <c r="E70" s="26" t="s">
        <v>1215</v>
      </c>
      <c r="F70" s="50">
        <v>1084</v>
      </c>
      <c r="G70" s="40" t="s">
        <v>255</v>
      </c>
      <c r="H70" s="26" t="s">
        <v>1216</v>
      </c>
    </row>
    <row r="71" spans="1:8" ht="18">
      <c r="A71" s="49">
        <v>39331</v>
      </c>
      <c r="B71" s="26" t="s">
        <v>124</v>
      </c>
      <c r="C71" s="26" t="s">
        <v>109</v>
      </c>
      <c r="D71" s="26" t="s">
        <v>1217</v>
      </c>
      <c r="E71" s="26" t="s">
        <v>1138</v>
      </c>
      <c r="F71" s="40" t="s">
        <v>255</v>
      </c>
      <c r="G71" s="40" t="s">
        <v>255</v>
      </c>
      <c r="H71" s="26" t="s">
        <v>686</v>
      </c>
    </row>
    <row r="72" spans="1:8" ht="36.75" thickBot="1">
      <c r="A72" s="51">
        <v>39338</v>
      </c>
      <c r="B72" s="30" t="s">
        <v>58</v>
      </c>
      <c r="C72" s="30" t="s">
        <v>159</v>
      </c>
      <c r="D72" s="30" t="s">
        <v>1218</v>
      </c>
      <c r="E72" s="30" t="s">
        <v>1219</v>
      </c>
      <c r="F72" s="52" t="s">
        <v>255</v>
      </c>
      <c r="G72" s="53">
        <v>118000</v>
      </c>
      <c r="H72" s="30" t="s">
        <v>1220</v>
      </c>
    </row>
    <row r="73" spans="1:8" ht="14.25" thickTop="1" thickBot="1">
      <c r="A73" s="45" t="s">
        <v>1069</v>
      </c>
    </row>
    <row r="74" spans="1:8" ht="28.5" customHeight="1" thickTop="1">
      <c r="A74" s="46" t="s">
        <v>2</v>
      </c>
      <c r="B74" s="21" t="s">
        <v>1070</v>
      </c>
      <c r="C74" s="21" t="s">
        <v>3</v>
      </c>
      <c r="D74" s="21" t="s">
        <v>67</v>
      </c>
      <c r="E74" s="21" t="s">
        <v>5</v>
      </c>
      <c r="F74" s="21" t="s">
        <v>6</v>
      </c>
      <c r="G74" s="21" t="s">
        <v>68</v>
      </c>
      <c r="H74" s="22" t="s">
        <v>69</v>
      </c>
    </row>
    <row r="75" spans="1:8" ht="27">
      <c r="A75" s="49">
        <v>39342</v>
      </c>
      <c r="B75" s="26" t="s">
        <v>826</v>
      </c>
      <c r="C75" s="26" t="s">
        <v>1221</v>
      </c>
      <c r="D75" s="26" t="s">
        <v>1222</v>
      </c>
      <c r="E75" s="26" t="s">
        <v>1223</v>
      </c>
      <c r="F75" s="40">
        <v>50</v>
      </c>
      <c r="G75" s="50">
        <v>9600</v>
      </c>
      <c r="H75" s="26" t="s">
        <v>1224</v>
      </c>
    </row>
    <row r="76" spans="1:8" ht="72">
      <c r="A76" s="49">
        <v>39343</v>
      </c>
      <c r="B76" s="26" t="s">
        <v>674</v>
      </c>
      <c r="C76" s="26" t="s">
        <v>1225</v>
      </c>
      <c r="D76" s="26" t="s">
        <v>1226</v>
      </c>
      <c r="E76" s="26" t="s">
        <v>1227</v>
      </c>
      <c r="F76" s="40">
        <v>16</v>
      </c>
      <c r="G76" s="50">
        <v>6000</v>
      </c>
      <c r="H76" s="26" t="s">
        <v>1228</v>
      </c>
    </row>
    <row r="77" spans="1:8" ht="72">
      <c r="A77" s="49">
        <v>39343</v>
      </c>
      <c r="B77" s="26" t="s">
        <v>674</v>
      </c>
      <c r="C77" s="26" t="s">
        <v>1229</v>
      </c>
      <c r="D77" s="26" t="s">
        <v>1230</v>
      </c>
      <c r="E77" s="26" t="s">
        <v>1227</v>
      </c>
      <c r="F77" s="40" t="s">
        <v>1231</v>
      </c>
      <c r="G77" s="40" t="s">
        <v>1232</v>
      </c>
      <c r="H77" s="26" t="s">
        <v>1233</v>
      </c>
    </row>
    <row r="78" spans="1:8" ht="108">
      <c r="A78" s="49">
        <v>39343</v>
      </c>
      <c r="B78" s="26" t="s">
        <v>826</v>
      </c>
      <c r="C78" s="26" t="s">
        <v>1229</v>
      </c>
      <c r="D78" s="26" t="s">
        <v>1234</v>
      </c>
      <c r="E78" s="26" t="s">
        <v>1235</v>
      </c>
      <c r="F78" s="40" t="s">
        <v>1231</v>
      </c>
      <c r="G78" s="50">
        <v>11175</v>
      </c>
      <c r="H78" s="26" t="s">
        <v>1236</v>
      </c>
    </row>
    <row r="79" spans="1:8" ht="18">
      <c r="A79" s="49">
        <v>39349</v>
      </c>
      <c r="B79" s="26" t="s">
        <v>826</v>
      </c>
      <c r="C79" s="26" t="s">
        <v>1237</v>
      </c>
      <c r="D79" s="26" t="s">
        <v>1238</v>
      </c>
      <c r="E79" s="26" t="s">
        <v>142</v>
      </c>
      <c r="F79" s="40">
        <v>320</v>
      </c>
      <c r="G79" s="40" t="s">
        <v>255</v>
      </c>
      <c r="H79" s="26" t="s">
        <v>1239</v>
      </c>
    </row>
    <row r="80" spans="1:8">
      <c r="A80" s="47" t="s">
        <v>1240</v>
      </c>
      <c r="B80" s="24"/>
      <c r="C80" s="24"/>
      <c r="D80" s="24"/>
      <c r="E80" s="24"/>
      <c r="F80" s="48"/>
      <c r="G80" s="48"/>
      <c r="H80" s="24"/>
    </row>
    <row r="81" spans="1:8" ht="18">
      <c r="A81" s="49">
        <v>39373</v>
      </c>
      <c r="B81" s="26" t="s">
        <v>124</v>
      </c>
      <c r="C81" s="26" t="s">
        <v>328</v>
      </c>
      <c r="D81" s="26" t="s">
        <v>834</v>
      </c>
      <c r="E81" s="26" t="s">
        <v>264</v>
      </c>
      <c r="F81" s="40" t="s">
        <v>255</v>
      </c>
      <c r="G81" s="50">
        <v>160000</v>
      </c>
      <c r="H81" s="26" t="s">
        <v>1241</v>
      </c>
    </row>
    <row r="82" spans="1:8" ht="36">
      <c r="A82" s="49">
        <v>39377</v>
      </c>
      <c r="B82" s="26" t="s">
        <v>124</v>
      </c>
      <c r="C82" s="26" t="s">
        <v>1242</v>
      </c>
      <c r="D82" s="26" t="s">
        <v>703</v>
      </c>
      <c r="E82" s="26" t="s">
        <v>1243</v>
      </c>
      <c r="F82" s="40">
        <v>451</v>
      </c>
      <c r="G82" s="50">
        <v>90323</v>
      </c>
      <c r="H82" s="26" t="s">
        <v>1244</v>
      </c>
    </row>
    <row r="83" spans="1:8" ht="18">
      <c r="A83" s="49">
        <v>39377</v>
      </c>
      <c r="B83" s="26" t="s">
        <v>124</v>
      </c>
      <c r="C83" s="26" t="s">
        <v>1245</v>
      </c>
      <c r="D83" s="26" t="s">
        <v>703</v>
      </c>
      <c r="E83" s="26" t="s">
        <v>1246</v>
      </c>
      <c r="F83" s="40">
        <v>700</v>
      </c>
      <c r="G83" s="50">
        <v>300000</v>
      </c>
      <c r="H83" s="26" t="s">
        <v>1244</v>
      </c>
    </row>
    <row r="84" spans="1:8" ht="27">
      <c r="A84" s="49">
        <v>39377</v>
      </c>
      <c r="B84" s="26" t="s">
        <v>124</v>
      </c>
      <c r="C84" s="26" t="s">
        <v>1247</v>
      </c>
      <c r="D84" s="26" t="s">
        <v>253</v>
      </c>
      <c r="E84" s="26" t="s">
        <v>1246</v>
      </c>
      <c r="F84" s="40">
        <v>199</v>
      </c>
      <c r="G84" s="50">
        <v>68780</v>
      </c>
      <c r="H84" s="26" t="s">
        <v>1248</v>
      </c>
    </row>
    <row r="85" spans="1:8" ht="18">
      <c r="A85" s="49">
        <v>39381</v>
      </c>
      <c r="B85" s="26" t="s">
        <v>124</v>
      </c>
      <c r="C85" s="26" t="s">
        <v>1249</v>
      </c>
      <c r="D85" s="26" t="s">
        <v>1250</v>
      </c>
      <c r="E85" s="26" t="s">
        <v>1246</v>
      </c>
      <c r="F85" s="40">
        <v>280</v>
      </c>
      <c r="G85" s="50">
        <v>20345</v>
      </c>
      <c r="H85" s="26" t="s">
        <v>1251</v>
      </c>
    </row>
    <row r="86" spans="1:8" ht="18">
      <c r="A86" s="49">
        <v>39381</v>
      </c>
      <c r="B86" s="26" t="s">
        <v>124</v>
      </c>
      <c r="C86" s="26" t="s">
        <v>1249</v>
      </c>
      <c r="D86" s="26" t="s">
        <v>1252</v>
      </c>
      <c r="E86" s="26" t="s">
        <v>449</v>
      </c>
      <c r="F86" s="40">
        <v>240</v>
      </c>
      <c r="G86" s="50">
        <v>104000</v>
      </c>
      <c r="H86" s="26" t="s">
        <v>1253</v>
      </c>
    </row>
    <row r="87" spans="1:8" ht="18">
      <c r="A87" s="47" t="s">
        <v>1254</v>
      </c>
      <c r="B87" s="24"/>
      <c r="C87" s="24"/>
      <c r="D87" s="24"/>
      <c r="E87" s="24"/>
      <c r="F87" s="48"/>
      <c r="G87" s="48"/>
      <c r="H87" s="24"/>
    </row>
    <row r="88" spans="1:8" ht="36">
      <c r="A88" s="49">
        <v>39389</v>
      </c>
      <c r="B88" s="26" t="s">
        <v>61</v>
      </c>
      <c r="C88" s="26" t="s">
        <v>267</v>
      </c>
      <c r="D88" s="26" t="s">
        <v>1255</v>
      </c>
      <c r="E88" s="26" t="s">
        <v>1256</v>
      </c>
      <c r="F88" s="40">
        <v>100</v>
      </c>
      <c r="G88" s="50">
        <v>62843</v>
      </c>
      <c r="H88" s="26" t="s">
        <v>1257</v>
      </c>
    </row>
    <row r="89" spans="1:8">
      <c r="A89" s="47" t="s">
        <v>1258</v>
      </c>
      <c r="B89" s="24"/>
      <c r="C89" s="24"/>
      <c r="D89" s="24"/>
      <c r="E89" s="24"/>
      <c r="F89" s="48"/>
      <c r="G89" s="48"/>
      <c r="H89" s="24"/>
    </row>
    <row r="90" spans="1:8" ht="45">
      <c r="A90" s="49">
        <v>39417</v>
      </c>
      <c r="B90" s="26" t="s">
        <v>61</v>
      </c>
      <c r="C90" s="26" t="s">
        <v>1259</v>
      </c>
      <c r="D90" s="26" t="s">
        <v>1260</v>
      </c>
      <c r="E90" s="26" t="s">
        <v>1261</v>
      </c>
      <c r="F90" s="40">
        <v>0</v>
      </c>
      <c r="G90" s="40">
        <v>0</v>
      </c>
      <c r="H90" s="26" t="s">
        <v>1262</v>
      </c>
    </row>
    <row r="91" spans="1:8" ht="18">
      <c r="A91" s="49">
        <v>39420</v>
      </c>
      <c r="B91" s="26" t="s">
        <v>472</v>
      </c>
      <c r="C91" s="26" t="s">
        <v>972</v>
      </c>
      <c r="D91" s="26" t="s">
        <v>618</v>
      </c>
      <c r="E91" s="26" t="s">
        <v>619</v>
      </c>
      <c r="F91" s="40">
        <v>0</v>
      </c>
      <c r="G91" s="40">
        <v>0</v>
      </c>
      <c r="H91" s="26" t="s">
        <v>1263</v>
      </c>
    </row>
    <row r="92" spans="1:8" ht="18">
      <c r="A92" s="49">
        <v>39426</v>
      </c>
      <c r="B92" s="26" t="s">
        <v>58</v>
      </c>
      <c r="C92" s="26" t="s">
        <v>1264</v>
      </c>
      <c r="D92" s="26" t="s">
        <v>437</v>
      </c>
      <c r="E92" s="26" t="s">
        <v>11</v>
      </c>
      <c r="F92" s="40" t="s">
        <v>255</v>
      </c>
      <c r="G92" s="50">
        <v>256663</v>
      </c>
      <c r="H92" s="26" t="s">
        <v>1265</v>
      </c>
    </row>
    <row r="93" spans="1:8" ht="27">
      <c r="A93" s="49">
        <v>39427</v>
      </c>
      <c r="B93" s="26" t="s">
        <v>674</v>
      </c>
      <c r="C93" s="26" t="s">
        <v>159</v>
      </c>
      <c r="D93" s="26" t="s">
        <v>1266</v>
      </c>
      <c r="E93" s="26" t="s">
        <v>11</v>
      </c>
      <c r="F93" s="40">
        <v>500</v>
      </c>
      <c r="G93" s="50">
        <v>95000</v>
      </c>
      <c r="H93" s="26" t="s">
        <v>1267</v>
      </c>
    </row>
    <row r="94" spans="1:8" ht="18">
      <c r="A94" s="49">
        <v>39427</v>
      </c>
      <c r="B94" s="26" t="s">
        <v>472</v>
      </c>
      <c r="C94" s="26" t="s">
        <v>1268</v>
      </c>
      <c r="D94" s="26" t="s">
        <v>618</v>
      </c>
      <c r="E94" s="26" t="s">
        <v>619</v>
      </c>
      <c r="F94" s="40">
        <v>0</v>
      </c>
      <c r="G94" s="40">
        <v>0</v>
      </c>
      <c r="H94" s="26" t="s">
        <v>1269</v>
      </c>
    </row>
    <row r="95" spans="1:8" ht="27">
      <c r="A95" s="49">
        <v>39439</v>
      </c>
      <c r="B95" s="26" t="s">
        <v>826</v>
      </c>
      <c r="C95" s="26" t="s">
        <v>534</v>
      </c>
      <c r="D95" s="26" t="s">
        <v>1270</v>
      </c>
      <c r="E95" s="26" t="s">
        <v>362</v>
      </c>
      <c r="F95" s="40" t="s">
        <v>255</v>
      </c>
      <c r="G95" s="50">
        <v>237000</v>
      </c>
      <c r="H95" s="26" t="s">
        <v>1271</v>
      </c>
    </row>
    <row r="96" spans="1:8" ht="27.75" thickBot="1">
      <c r="A96" s="55">
        <v>39439</v>
      </c>
      <c r="B96" s="56" t="s">
        <v>826</v>
      </c>
      <c r="C96" s="56" t="s">
        <v>983</v>
      </c>
      <c r="D96" s="56" t="s">
        <v>1272</v>
      </c>
      <c r="E96" s="56" t="s">
        <v>40</v>
      </c>
      <c r="F96" s="57">
        <v>50</v>
      </c>
      <c r="G96" s="58">
        <v>134288</v>
      </c>
      <c r="H96" s="56" t="s">
        <v>1273</v>
      </c>
    </row>
    <row r="97" spans="1:8">
      <c r="A97" s="805" t="s">
        <v>1066</v>
      </c>
      <c r="B97" s="806"/>
      <c r="C97" s="806"/>
      <c r="D97" s="806"/>
      <c r="E97" s="806"/>
      <c r="F97" s="806"/>
      <c r="G97" s="806"/>
      <c r="H97" s="806"/>
    </row>
    <row r="98" spans="1:8">
      <c r="A98" s="807" t="s">
        <v>1274</v>
      </c>
      <c r="B98" s="808"/>
      <c r="C98" s="808"/>
      <c r="D98" s="808"/>
      <c r="E98" s="808"/>
      <c r="F98" s="808"/>
      <c r="G98" s="808"/>
      <c r="H98" s="808"/>
    </row>
    <row r="99" spans="1:8">
      <c r="A99" s="807" t="s">
        <v>1068</v>
      </c>
      <c r="B99" s="808"/>
      <c r="C99" s="808"/>
      <c r="D99" s="808"/>
      <c r="E99" s="808"/>
      <c r="F99" s="808"/>
      <c r="G99" s="808"/>
      <c r="H99" s="808"/>
    </row>
  </sheetData>
  <mergeCells count="3">
    <mergeCell ref="A97:H97"/>
    <mergeCell ref="A98:H98"/>
    <mergeCell ref="A99:H99"/>
  </mergeCells>
  <hyperlinks>
    <hyperlink ref="G2" location="_ftn1" display="_ftn1" xr:uid="{00000000-0004-0000-0500-000000000000}"/>
    <hyperlink ref="A97" location="_ftnref1" display="_ftnref1" xr:uid="{00000000-0004-0000-0500-000001000000}"/>
    <hyperlink ref="A98" location="_ftnref2" display="_ftnref2" xr:uid="{00000000-0004-0000-0500-000002000000}"/>
    <hyperlink ref="A99" location="_ftnref3" display="_ftnref3" xr:uid="{00000000-0004-0000-0500-000003000000}"/>
  </hyperlink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93"/>
  <sheetViews>
    <sheetView workbookViewId="0">
      <selection sqref="A1:L1"/>
    </sheetView>
  </sheetViews>
  <sheetFormatPr defaultRowHeight="12.75"/>
  <cols>
    <col min="1" max="1" width="12.42578125" style="60" customWidth="1"/>
    <col min="2" max="8" width="10.7109375" style="20" customWidth="1"/>
    <col min="9" max="16384" width="9.140625" style="20"/>
  </cols>
  <sheetData>
    <row r="1" spans="1:12" ht="54" customHeight="1">
      <c r="A1" s="809" t="s">
        <v>1275</v>
      </c>
      <c r="B1" s="808"/>
      <c r="C1" s="808"/>
      <c r="D1" s="808"/>
      <c r="E1" s="808"/>
      <c r="F1" s="808"/>
      <c r="G1" s="808"/>
      <c r="H1" s="808"/>
      <c r="I1" s="808"/>
      <c r="J1" s="808"/>
      <c r="K1" s="808"/>
      <c r="L1" s="808"/>
    </row>
    <row r="2" spans="1:12" ht="28.5" customHeight="1" thickBot="1">
      <c r="A2" s="45" t="s">
        <v>1276</v>
      </c>
      <c r="B2" s="19"/>
    </row>
    <row r="3" spans="1:12" ht="13.5" thickTop="1">
      <c r="A3" s="810" t="s">
        <v>2</v>
      </c>
      <c r="B3" s="793" t="s">
        <v>57</v>
      </c>
      <c r="C3" s="793" t="s">
        <v>3</v>
      </c>
      <c r="D3" s="793" t="s">
        <v>67</v>
      </c>
      <c r="E3" s="793" t="s">
        <v>5</v>
      </c>
      <c r="F3" s="793" t="s">
        <v>6</v>
      </c>
      <c r="G3" s="793" t="s">
        <v>68</v>
      </c>
      <c r="H3" s="22" t="s">
        <v>69</v>
      </c>
    </row>
    <row r="4" spans="1:12" ht="13.5" thickBot="1">
      <c r="A4" s="811"/>
      <c r="B4" s="812"/>
      <c r="C4" s="812"/>
      <c r="D4" s="812"/>
      <c r="E4" s="812"/>
      <c r="F4" s="812"/>
      <c r="G4" s="812"/>
      <c r="H4" s="61" t="s">
        <v>70</v>
      </c>
    </row>
    <row r="5" spans="1:12" ht="13.5" thickTop="1">
      <c r="A5" s="47" t="s">
        <v>1072</v>
      </c>
      <c r="B5" s="24"/>
      <c r="C5" s="24"/>
      <c r="D5" s="24"/>
      <c r="E5" s="24"/>
      <c r="F5" s="48"/>
      <c r="G5" s="48"/>
      <c r="H5" s="24"/>
    </row>
    <row r="6" spans="1:12" ht="18">
      <c r="A6" s="49">
        <v>39451</v>
      </c>
      <c r="B6" s="26" t="s">
        <v>124</v>
      </c>
      <c r="C6" s="26" t="s">
        <v>159</v>
      </c>
      <c r="D6" s="26" t="s">
        <v>141</v>
      </c>
      <c r="E6" s="26" t="s">
        <v>40</v>
      </c>
      <c r="F6" s="40">
        <v>500</v>
      </c>
      <c r="G6" s="50">
        <v>2606931</v>
      </c>
      <c r="H6" s="26" t="s">
        <v>1277</v>
      </c>
    </row>
    <row r="7" spans="1:12" ht="18">
      <c r="A7" s="49">
        <v>39451</v>
      </c>
      <c r="B7" s="26" t="s">
        <v>124</v>
      </c>
      <c r="C7" s="26" t="s">
        <v>1278</v>
      </c>
      <c r="D7" s="26" t="s">
        <v>1279</v>
      </c>
      <c r="E7" s="26" t="s">
        <v>362</v>
      </c>
      <c r="F7" s="40">
        <v>300</v>
      </c>
      <c r="G7" s="50">
        <v>150000</v>
      </c>
      <c r="H7" s="26" t="s">
        <v>1280</v>
      </c>
    </row>
    <row r="8" spans="1:12" ht="27">
      <c r="A8" s="49">
        <v>39476</v>
      </c>
      <c r="B8" s="26" t="s">
        <v>124</v>
      </c>
      <c r="C8" s="26" t="s">
        <v>364</v>
      </c>
      <c r="D8" s="26" t="s">
        <v>1109</v>
      </c>
      <c r="E8" s="26" t="s">
        <v>1281</v>
      </c>
      <c r="F8" s="40" t="s">
        <v>255</v>
      </c>
      <c r="G8" s="40" t="s">
        <v>455</v>
      </c>
      <c r="H8" s="26" t="s">
        <v>1282</v>
      </c>
    </row>
    <row r="9" spans="1:12" ht="27">
      <c r="A9" s="49">
        <v>39476</v>
      </c>
      <c r="B9" s="26" t="s">
        <v>63</v>
      </c>
      <c r="C9" s="26" t="s">
        <v>212</v>
      </c>
      <c r="D9" s="26" t="s">
        <v>1283</v>
      </c>
      <c r="E9" s="26" t="s">
        <v>106</v>
      </c>
      <c r="F9" s="40" t="s">
        <v>255</v>
      </c>
      <c r="G9" s="50">
        <v>110000</v>
      </c>
      <c r="H9" s="26" t="s">
        <v>1284</v>
      </c>
    </row>
    <row r="10" spans="1:12" ht="18">
      <c r="A10" s="49">
        <v>39476</v>
      </c>
      <c r="B10" s="26" t="s">
        <v>826</v>
      </c>
      <c r="C10" s="26" t="s">
        <v>1285</v>
      </c>
      <c r="D10" s="26" t="s">
        <v>268</v>
      </c>
      <c r="E10" s="26" t="s">
        <v>1286</v>
      </c>
      <c r="F10" s="40" t="s">
        <v>255</v>
      </c>
      <c r="G10" s="50">
        <v>86915</v>
      </c>
      <c r="H10" s="26" t="s">
        <v>1287</v>
      </c>
    </row>
    <row r="11" spans="1:12" ht="36">
      <c r="A11" s="49">
        <v>39476</v>
      </c>
      <c r="B11" s="26" t="s">
        <v>826</v>
      </c>
      <c r="C11" s="26" t="s">
        <v>1288</v>
      </c>
      <c r="D11" s="26" t="s">
        <v>1289</v>
      </c>
      <c r="E11" s="26" t="s">
        <v>264</v>
      </c>
      <c r="F11" s="40">
        <v>380</v>
      </c>
      <c r="G11" s="50">
        <v>45000</v>
      </c>
      <c r="H11" s="26" t="s">
        <v>1290</v>
      </c>
    </row>
    <row r="12" spans="1:12" ht="18">
      <c r="A12" s="49">
        <v>39477</v>
      </c>
      <c r="B12" s="26" t="s">
        <v>61</v>
      </c>
      <c r="C12" s="26" t="s">
        <v>1291</v>
      </c>
      <c r="D12" s="26" t="s">
        <v>1292</v>
      </c>
      <c r="E12" s="26" t="s">
        <v>264</v>
      </c>
      <c r="F12" s="40">
        <v>50</v>
      </c>
      <c r="G12" s="50">
        <v>54316</v>
      </c>
      <c r="H12" s="26" t="s">
        <v>1293</v>
      </c>
    </row>
    <row r="13" spans="1:12">
      <c r="A13" s="47" t="s">
        <v>632</v>
      </c>
      <c r="B13" s="24"/>
      <c r="C13" s="24"/>
      <c r="D13" s="24"/>
      <c r="E13" s="24"/>
      <c r="F13" s="48"/>
      <c r="G13" s="48"/>
      <c r="H13" s="24"/>
    </row>
    <row r="14" spans="1:12" ht="27">
      <c r="A14" s="49">
        <v>39479</v>
      </c>
      <c r="B14" s="26" t="s">
        <v>124</v>
      </c>
      <c r="C14" s="26" t="s">
        <v>144</v>
      </c>
      <c r="D14" s="26" t="s">
        <v>1109</v>
      </c>
      <c r="E14" s="26" t="s">
        <v>1294</v>
      </c>
      <c r="F14" s="40" t="s">
        <v>255</v>
      </c>
      <c r="G14" s="40" t="s">
        <v>455</v>
      </c>
      <c r="H14" s="26" t="s">
        <v>1295</v>
      </c>
    </row>
    <row r="15" spans="1:12" ht="27">
      <c r="A15" s="49">
        <v>39480</v>
      </c>
      <c r="B15" s="26" t="s">
        <v>124</v>
      </c>
      <c r="C15" s="26" t="s">
        <v>1296</v>
      </c>
      <c r="D15" s="26" t="s">
        <v>1109</v>
      </c>
      <c r="E15" s="26" t="s">
        <v>1294</v>
      </c>
      <c r="F15" s="40" t="s">
        <v>255</v>
      </c>
      <c r="G15" s="40" t="s">
        <v>455</v>
      </c>
      <c r="H15" s="26" t="s">
        <v>1297</v>
      </c>
    </row>
    <row r="16" spans="1:12" ht="18">
      <c r="A16" s="49">
        <v>39483</v>
      </c>
      <c r="B16" s="26" t="s">
        <v>63</v>
      </c>
      <c r="C16" s="26" t="s">
        <v>1285</v>
      </c>
      <c r="D16" s="26" t="s">
        <v>1298</v>
      </c>
      <c r="E16" s="26" t="s">
        <v>22</v>
      </c>
      <c r="F16" s="40" t="s">
        <v>255</v>
      </c>
      <c r="G16" s="50">
        <v>76000</v>
      </c>
      <c r="H16" s="26" t="s">
        <v>1299</v>
      </c>
    </row>
    <row r="17" spans="1:8" ht="18">
      <c r="A17" s="49">
        <v>39484</v>
      </c>
      <c r="B17" s="26" t="s">
        <v>63</v>
      </c>
      <c r="C17" s="26" t="s">
        <v>147</v>
      </c>
      <c r="D17" s="26" t="s">
        <v>1300</v>
      </c>
      <c r="E17" s="26" t="s">
        <v>22</v>
      </c>
      <c r="F17" s="40" t="s">
        <v>255</v>
      </c>
      <c r="G17" s="50">
        <v>57000</v>
      </c>
      <c r="H17" s="26" t="s">
        <v>1301</v>
      </c>
    </row>
    <row r="18" spans="1:8" ht="27">
      <c r="A18" s="49">
        <v>39487</v>
      </c>
      <c r="B18" s="26" t="s">
        <v>124</v>
      </c>
      <c r="C18" s="26" t="s">
        <v>1302</v>
      </c>
      <c r="D18" s="26" t="s">
        <v>1303</v>
      </c>
      <c r="E18" s="26" t="s">
        <v>1223</v>
      </c>
      <c r="F18" s="40">
        <v>0</v>
      </c>
      <c r="G18" s="40">
        <v>0</v>
      </c>
      <c r="H18" s="26" t="s">
        <v>1304</v>
      </c>
    </row>
    <row r="19" spans="1:8" ht="45">
      <c r="A19" s="49">
        <v>39488</v>
      </c>
      <c r="B19" s="26" t="s">
        <v>826</v>
      </c>
      <c r="C19" s="26" t="s">
        <v>159</v>
      </c>
      <c r="D19" s="26" t="s">
        <v>1305</v>
      </c>
      <c r="E19" s="26" t="s">
        <v>22</v>
      </c>
      <c r="F19" s="40">
        <v>412</v>
      </c>
      <c r="G19" s="50">
        <v>100969</v>
      </c>
      <c r="H19" s="26" t="s">
        <v>1306</v>
      </c>
    </row>
    <row r="20" spans="1:8" ht="27">
      <c r="A20" s="49">
        <v>39488</v>
      </c>
      <c r="B20" s="26" t="s">
        <v>826</v>
      </c>
      <c r="C20" s="26" t="s">
        <v>91</v>
      </c>
      <c r="D20" s="26" t="s">
        <v>1307</v>
      </c>
      <c r="E20" s="26" t="s">
        <v>264</v>
      </c>
      <c r="F20" s="40" t="s">
        <v>255</v>
      </c>
      <c r="G20" s="50">
        <v>212560</v>
      </c>
      <c r="H20" s="26" t="s">
        <v>1308</v>
      </c>
    </row>
    <row r="21" spans="1:8" ht="27">
      <c r="A21" s="49">
        <v>39488</v>
      </c>
      <c r="B21" s="26" t="s">
        <v>826</v>
      </c>
      <c r="C21" s="26" t="s">
        <v>91</v>
      </c>
      <c r="D21" s="26" t="s">
        <v>1309</v>
      </c>
      <c r="E21" s="26" t="s">
        <v>264</v>
      </c>
      <c r="F21" s="40" t="s">
        <v>255</v>
      </c>
      <c r="G21" s="50">
        <v>97342</v>
      </c>
      <c r="H21" s="26" t="s">
        <v>1310</v>
      </c>
    </row>
    <row r="22" spans="1:8" ht="18">
      <c r="A22" s="49">
        <v>39488</v>
      </c>
      <c r="B22" s="26" t="s">
        <v>63</v>
      </c>
      <c r="C22" s="26" t="s">
        <v>1247</v>
      </c>
      <c r="D22" s="26" t="s">
        <v>1311</v>
      </c>
      <c r="E22" s="26" t="s">
        <v>264</v>
      </c>
      <c r="F22" s="40">
        <v>170</v>
      </c>
      <c r="G22" s="50">
        <v>114618</v>
      </c>
      <c r="H22" s="26" t="s">
        <v>1308</v>
      </c>
    </row>
    <row r="23" spans="1:8" ht="36">
      <c r="A23" s="49">
        <v>39488</v>
      </c>
      <c r="B23" s="26" t="s">
        <v>63</v>
      </c>
      <c r="C23" s="26" t="s">
        <v>1312</v>
      </c>
      <c r="D23" s="26" t="s">
        <v>1313</v>
      </c>
      <c r="E23" s="26" t="s">
        <v>264</v>
      </c>
      <c r="F23" s="40">
        <v>300</v>
      </c>
      <c r="G23" s="50">
        <v>50718</v>
      </c>
      <c r="H23" s="26" t="s">
        <v>1314</v>
      </c>
    </row>
    <row r="24" spans="1:8" ht="27">
      <c r="A24" s="49">
        <v>39490</v>
      </c>
      <c r="B24" s="26" t="s">
        <v>63</v>
      </c>
      <c r="C24" s="26" t="s">
        <v>328</v>
      </c>
      <c r="D24" s="26" t="s">
        <v>1315</v>
      </c>
      <c r="E24" s="26" t="s">
        <v>22</v>
      </c>
      <c r="F24" s="40" t="s">
        <v>255</v>
      </c>
      <c r="G24" s="50">
        <v>54000</v>
      </c>
      <c r="H24" s="26" t="s">
        <v>1316</v>
      </c>
    </row>
    <row r="25" spans="1:8" ht="18">
      <c r="A25" s="49">
        <v>39491</v>
      </c>
      <c r="B25" s="26" t="s">
        <v>61</v>
      </c>
      <c r="C25" s="26" t="s">
        <v>1317</v>
      </c>
      <c r="D25" s="26" t="s">
        <v>1260</v>
      </c>
      <c r="E25" s="26" t="s">
        <v>11</v>
      </c>
      <c r="F25" s="40">
        <v>50</v>
      </c>
      <c r="G25" s="50">
        <v>50462</v>
      </c>
      <c r="H25" s="26" t="s">
        <v>1318</v>
      </c>
    </row>
    <row r="26" spans="1:8" ht="18">
      <c r="A26" s="49">
        <v>39492</v>
      </c>
      <c r="B26" s="26" t="s">
        <v>124</v>
      </c>
      <c r="C26" s="26" t="s">
        <v>1319</v>
      </c>
      <c r="D26" s="26" t="s">
        <v>1320</v>
      </c>
      <c r="E26" s="26" t="s">
        <v>449</v>
      </c>
      <c r="F26" s="50">
        <v>2818</v>
      </c>
      <c r="G26" s="50">
        <v>74031</v>
      </c>
      <c r="H26" s="26" t="s">
        <v>1321</v>
      </c>
    </row>
    <row r="27" spans="1:8" ht="27">
      <c r="A27" s="49">
        <v>39493</v>
      </c>
      <c r="B27" s="26" t="s">
        <v>124</v>
      </c>
      <c r="C27" s="26" t="s">
        <v>1322</v>
      </c>
      <c r="D27" s="26" t="s">
        <v>1323</v>
      </c>
      <c r="E27" s="26" t="s">
        <v>1223</v>
      </c>
      <c r="F27" s="40">
        <v>10</v>
      </c>
      <c r="G27" s="50">
        <v>10008</v>
      </c>
      <c r="H27" s="26" t="s">
        <v>1324</v>
      </c>
    </row>
    <row r="28" spans="1:8" ht="18">
      <c r="A28" s="49">
        <v>39503</v>
      </c>
      <c r="B28" s="26" t="s">
        <v>826</v>
      </c>
      <c r="C28" s="26" t="s">
        <v>500</v>
      </c>
      <c r="D28" s="26" t="s">
        <v>1325</v>
      </c>
      <c r="E28" s="26" t="s">
        <v>1138</v>
      </c>
      <c r="F28" s="40" t="s">
        <v>255</v>
      </c>
      <c r="G28" s="40">
        <v>0</v>
      </c>
      <c r="H28" s="26" t="s">
        <v>1326</v>
      </c>
    </row>
    <row r="29" spans="1:8" ht="36">
      <c r="A29" s="49">
        <v>39504</v>
      </c>
      <c r="B29" s="26" t="s">
        <v>63</v>
      </c>
      <c r="C29" s="26" t="s">
        <v>364</v>
      </c>
      <c r="D29" s="26" t="s">
        <v>1327</v>
      </c>
      <c r="E29" s="26" t="s">
        <v>381</v>
      </c>
      <c r="F29" s="40">
        <v>484</v>
      </c>
      <c r="G29" s="50">
        <v>145380</v>
      </c>
      <c r="H29" s="26" t="s">
        <v>1328</v>
      </c>
    </row>
    <row r="30" spans="1:8" ht="27">
      <c r="A30" s="49">
        <v>39504</v>
      </c>
      <c r="B30" s="26" t="s">
        <v>301</v>
      </c>
      <c r="C30" s="26" t="s">
        <v>948</v>
      </c>
      <c r="D30" s="26" t="s">
        <v>1329</v>
      </c>
      <c r="E30" s="26" t="s">
        <v>1330</v>
      </c>
      <c r="F30" s="40">
        <v>140</v>
      </c>
      <c r="G30" s="50">
        <v>47661</v>
      </c>
      <c r="H30" s="26" t="s">
        <v>1331</v>
      </c>
    </row>
    <row r="31" spans="1:8" ht="27">
      <c r="A31" s="49">
        <v>39504</v>
      </c>
      <c r="B31" s="26" t="s">
        <v>301</v>
      </c>
      <c r="C31" s="26" t="s">
        <v>948</v>
      </c>
      <c r="D31" s="26" t="s">
        <v>1332</v>
      </c>
      <c r="E31" s="26" t="s">
        <v>1330</v>
      </c>
      <c r="F31" s="40">
        <v>318</v>
      </c>
      <c r="G31" s="50">
        <v>53965</v>
      </c>
      <c r="H31" s="26" t="s">
        <v>1333</v>
      </c>
    </row>
    <row r="32" spans="1:8" ht="27">
      <c r="A32" s="49">
        <v>39504</v>
      </c>
      <c r="B32" s="26" t="s">
        <v>301</v>
      </c>
      <c r="C32" s="26" t="s">
        <v>948</v>
      </c>
      <c r="D32" s="26" t="s">
        <v>1334</v>
      </c>
      <c r="E32" s="26" t="s">
        <v>681</v>
      </c>
      <c r="F32" s="50">
        <v>3200</v>
      </c>
      <c r="G32" s="50">
        <v>584384</v>
      </c>
      <c r="H32" s="26" t="s">
        <v>1335</v>
      </c>
    </row>
    <row r="33" spans="1:8" ht="27">
      <c r="A33" s="49">
        <v>39504</v>
      </c>
      <c r="B33" s="26" t="s">
        <v>301</v>
      </c>
      <c r="C33" s="26" t="s">
        <v>948</v>
      </c>
      <c r="D33" s="26" t="s">
        <v>1336</v>
      </c>
      <c r="E33" s="26" t="s">
        <v>973</v>
      </c>
      <c r="F33" s="40">
        <v>120</v>
      </c>
      <c r="G33" s="50">
        <v>56000</v>
      </c>
      <c r="H33" s="26" t="s">
        <v>1337</v>
      </c>
    </row>
    <row r="34" spans="1:8" ht="234.75" thickBot="1">
      <c r="A34" s="51">
        <v>39504</v>
      </c>
      <c r="B34" s="30" t="s">
        <v>301</v>
      </c>
      <c r="C34" s="30" t="s">
        <v>1338</v>
      </c>
      <c r="D34" s="30" t="s">
        <v>1339</v>
      </c>
      <c r="E34" s="30" t="s">
        <v>1330</v>
      </c>
      <c r="F34" s="52">
        <v>500</v>
      </c>
      <c r="G34" s="53">
        <v>150000</v>
      </c>
      <c r="H34" s="30" t="s">
        <v>1340</v>
      </c>
    </row>
    <row r="35" spans="1:8" ht="13.5" thickTop="1">
      <c r="A35" s="33"/>
    </row>
    <row r="36" spans="1:8" ht="28.5" customHeight="1" thickBot="1">
      <c r="A36" s="19" t="s">
        <v>1276</v>
      </c>
      <c r="B36" s="19"/>
    </row>
    <row r="37" spans="1:8" ht="13.5" thickTop="1">
      <c r="A37" s="810" t="s">
        <v>2</v>
      </c>
      <c r="B37" s="793" t="s">
        <v>57</v>
      </c>
      <c r="C37" s="793" t="s">
        <v>3</v>
      </c>
      <c r="D37" s="793" t="s">
        <v>67</v>
      </c>
      <c r="E37" s="793" t="s">
        <v>5</v>
      </c>
      <c r="F37" s="793" t="s">
        <v>6</v>
      </c>
      <c r="G37" s="793" t="s">
        <v>68</v>
      </c>
      <c r="H37" s="22" t="s">
        <v>69</v>
      </c>
    </row>
    <row r="38" spans="1:8" ht="13.5" thickBot="1">
      <c r="A38" s="811"/>
      <c r="B38" s="812"/>
      <c r="C38" s="812"/>
      <c r="D38" s="812"/>
      <c r="E38" s="812"/>
      <c r="F38" s="812"/>
      <c r="G38" s="812"/>
      <c r="H38" s="61" t="s">
        <v>70</v>
      </c>
    </row>
    <row r="39" spans="1:8" ht="13.5" thickTop="1">
      <c r="A39" s="47" t="s">
        <v>1093</v>
      </c>
      <c r="B39" s="24"/>
      <c r="C39" s="24"/>
      <c r="D39" s="24"/>
      <c r="E39" s="24"/>
      <c r="F39" s="48"/>
      <c r="G39" s="48"/>
      <c r="H39" s="24"/>
    </row>
    <row r="40" spans="1:8" ht="18">
      <c r="A40" s="49">
        <v>39511</v>
      </c>
      <c r="B40" s="26" t="s">
        <v>63</v>
      </c>
      <c r="C40" s="26" t="s">
        <v>1192</v>
      </c>
      <c r="D40" s="26" t="s">
        <v>369</v>
      </c>
      <c r="E40" s="26" t="s">
        <v>381</v>
      </c>
      <c r="F40" s="40">
        <v>300</v>
      </c>
      <c r="G40" s="50">
        <v>55267</v>
      </c>
      <c r="H40" s="26" t="s">
        <v>1341</v>
      </c>
    </row>
    <row r="41" spans="1:8" ht="27">
      <c r="A41" s="49">
        <v>39515</v>
      </c>
      <c r="B41" s="26" t="s">
        <v>63</v>
      </c>
      <c r="C41" s="26" t="s">
        <v>766</v>
      </c>
      <c r="D41" s="26" t="s">
        <v>1342</v>
      </c>
      <c r="E41" s="26" t="s">
        <v>1343</v>
      </c>
      <c r="F41" s="40">
        <v>210</v>
      </c>
      <c r="G41" s="50">
        <v>141130</v>
      </c>
      <c r="H41" s="26" t="s">
        <v>1344</v>
      </c>
    </row>
    <row r="42" spans="1:8" ht="54">
      <c r="A42" s="49">
        <v>39515</v>
      </c>
      <c r="B42" s="26" t="s">
        <v>826</v>
      </c>
      <c r="C42" s="26" t="s">
        <v>212</v>
      </c>
      <c r="D42" s="26" t="s">
        <v>1345</v>
      </c>
      <c r="E42" s="26" t="s">
        <v>22</v>
      </c>
      <c r="F42" s="40" t="s">
        <v>255</v>
      </c>
      <c r="G42" s="50">
        <v>168449</v>
      </c>
      <c r="H42" s="26" t="s">
        <v>1346</v>
      </c>
    </row>
    <row r="43" spans="1:8" ht="27">
      <c r="A43" s="49">
        <v>39522</v>
      </c>
      <c r="B43" s="26" t="s">
        <v>63</v>
      </c>
      <c r="C43" s="26" t="s">
        <v>1347</v>
      </c>
      <c r="D43" s="26" t="s">
        <v>628</v>
      </c>
      <c r="E43" s="26" t="s">
        <v>1096</v>
      </c>
      <c r="F43" s="40">
        <v>200</v>
      </c>
      <c r="G43" s="50">
        <v>157744</v>
      </c>
      <c r="H43" s="26" t="s">
        <v>1348</v>
      </c>
    </row>
    <row r="44" spans="1:8">
      <c r="A44" s="47" t="s">
        <v>1100</v>
      </c>
      <c r="B44" s="24"/>
      <c r="C44" s="24"/>
      <c r="D44" s="24"/>
      <c r="E44" s="24"/>
      <c r="F44" s="48"/>
      <c r="G44" s="48"/>
      <c r="H44" s="24"/>
    </row>
    <row r="45" spans="1:8" ht="27">
      <c r="A45" s="49">
        <v>39542</v>
      </c>
      <c r="B45" s="26" t="s">
        <v>63</v>
      </c>
      <c r="C45" s="26" t="s">
        <v>1349</v>
      </c>
      <c r="D45" s="26" t="s">
        <v>1350</v>
      </c>
      <c r="E45" s="26" t="s">
        <v>106</v>
      </c>
      <c r="F45" s="40" t="s">
        <v>255</v>
      </c>
      <c r="G45" s="50">
        <v>122600</v>
      </c>
      <c r="H45" s="26" t="s">
        <v>1351</v>
      </c>
    </row>
    <row r="46" spans="1:8" ht="18">
      <c r="A46" s="49">
        <v>39547</v>
      </c>
      <c r="B46" s="26" t="s">
        <v>1352</v>
      </c>
      <c r="C46" s="26" t="s">
        <v>212</v>
      </c>
      <c r="D46" s="26" t="s">
        <v>1353</v>
      </c>
      <c r="E46" s="26" t="s">
        <v>22</v>
      </c>
      <c r="F46" s="40" t="s">
        <v>255</v>
      </c>
      <c r="G46" s="50">
        <v>488689</v>
      </c>
      <c r="H46" s="26" t="s">
        <v>1354</v>
      </c>
    </row>
    <row r="47" spans="1:8">
      <c r="A47" s="47" t="s">
        <v>1124</v>
      </c>
      <c r="B47" s="24"/>
      <c r="C47" s="24"/>
      <c r="D47" s="24"/>
      <c r="E47" s="24"/>
      <c r="F47" s="48"/>
      <c r="G47" s="48"/>
      <c r="H47" s="24"/>
    </row>
    <row r="48" spans="1:8" ht="18">
      <c r="A48" s="49">
        <v>39576</v>
      </c>
      <c r="B48" s="26" t="s">
        <v>124</v>
      </c>
      <c r="C48" s="26" t="s">
        <v>1355</v>
      </c>
      <c r="D48" s="26" t="s">
        <v>18</v>
      </c>
      <c r="E48" s="26" t="s">
        <v>449</v>
      </c>
      <c r="F48" s="40">
        <v>483</v>
      </c>
      <c r="G48" s="40">
        <v>0</v>
      </c>
      <c r="H48" s="26" t="s">
        <v>1356</v>
      </c>
    </row>
    <row r="49" spans="1:8" ht="18">
      <c r="A49" s="49">
        <v>39579</v>
      </c>
      <c r="B49" s="26" t="s">
        <v>63</v>
      </c>
      <c r="C49" s="26" t="s">
        <v>144</v>
      </c>
      <c r="D49" s="26" t="s">
        <v>361</v>
      </c>
      <c r="E49" s="26" t="s">
        <v>106</v>
      </c>
      <c r="F49" s="40">
        <v>100</v>
      </c>
      <c r="G49" s="50">
        <v>80539</v>
      </c>
      <c r="H49" s="26" t="s">
        <v>1357</v>
      </c>
    </row>
    <row r="50" spans="1:8" ht="27">
      <c r="A50" s="49">
        <v>39579</v>
      </c>
      <c r="B50" s="26" t="s">
        <v>826</v>
      </c>
      <c r="C50" s="26" t="s">
        <v>1358</v>
      </c>
      <c r="D50" s="26" t="s">
        <v>1222</v>
      </c>
      <c r="E50" s="26" t="s">
        <v>1359</v>
      </c>
      <c r="F50" s="40">
        <v>47</v>
      </c>
      <c r="G50" s="50">
        <v>9700</v>
      </c>
      <c r="H50" s="26" t="s">
        <v>1360</v>
      </c>
    </row>
    <row r="51" spans="1:8" ht="72">
      <c r="A51" s="49">
        <v>39580</v>
      </c>
      <c r="B51" s="26" t="s">
        <v>826</v>
      </c>
      <c r="C51" s="26" t="s">
        <v>1038</v>
      </c>
      <c r="D51" s="26" t="s">
        <v>1361</v>
      </c>
      <c r="E51" s="26" t="s">
        <v>362</v>
      </c>
      <c r="F51" s="40">
        <v>55</v>
      </c>
      <c r="G51" s="50">
        <v>135000</v>
      </c>
      <c r="H51" s="26" t="s">
        <v>1362</v>
      </c>
    </row>
    <row r="52" spans="1:8" ht="18">
      <c r="A52" s="49">
        <v>39595</v>
      </c>
      <c r="B52" s="26" t="s">
        <v>61</v>
      </c>
      <c r="C52" s="26" t="s">
        <v>1363</v>
      </c>
      <c r="D52" s="26" t="s">
        <v>1364</v>
      </c>
      <c r="E52" s="26" t="s">
        <v>898</v>
      </c>
      <c r="F52" s="40">
        <v>130</v>
      </c>
      <c r="G52" s="50">
        <v>56400</v>
      </c>
      <c r="H52" s="26" t="s">
        <v>1365</v>
      </c>
    </row>
    <row r="53" spans="1:8" ht="36">
      <c r="A53" s="49">
        <v>39598</v>
      </c>
      <c r="B53" s="26" t="s">
        <v>826</v>
      </c>
      <c r="C53" s="26" t="s">
        <v>1366</v>
      </c>
      <c r="D53" s="26" t="s">
        <v>1367</v>
      </c>
      <c r="E53" s="26" t="s">
        <v>153</v>
      </c>
      <c r="F53" s="40" t="s">
        <v>255</v>
      </c>
      <c r="G53" s="50">
        <v>109000</v>
      </c>
      <c r="H53" s="26" t="s">
        <v>1368</v>
      </c>
    </row>
    <row r="54" spans="1:8" ht="45">
      <c r="A54" s="49">
        <v>39598</v>
      </c>
      <c r="B54" s="26" t="s">
        <v>63</v>
      </c>
      <c r="C54" s="26" t="s">
        <v>1245</v>
      </c>
      <c r="D54" s="26" t="s">
        <v>1369</v>
      </c>
      <c r="E54" s="26" t="s">
        <v>1370</v>
      </c>
      <c r="F54" s="40" t="s">
        <v>87</v>
      </c>
      <c r="G54" s="40" t="s">
        <v>255</v>
      </c>
      <c r="H54" s="26" t="s">
        <v>1371</v>
      </c>
    </row>
    <row r="55" spans="1:8" ht="27">
      <c r="A55" s="49">
        <v>39598</v>
      </c>
      <c r="B55" s="26" t="s">
        <v>826</v>
      </c>
      <c r="C55" s="26" t="s">
        <v>1285</v>
      </c>
      <c r="D55" s="26" t="s">
        <v>1372</v>
      </c>
      <c r="E55" s="26" t="s">
        <v>106</v>
      </c>
      <c r="F55" s="40" t="s">
        <v>255</v>
      </c>
      <c r="G55" s="50">
        <v>70000</v>
      </c>
      <c r="H55" s="26" t="s">
        <v>1373</v>
      </c>
    </row>
    <row r="56" spans="1:8">
      <c r="A56" s="47" t="s">
        <v>1136</v>
      </c>
      <c r="B56" s="24"/>
      <c r="C56" s="24"/>
      <c r="D56" s="24"/>
      <c r="E56" s="24"/>
      <c r="F56" s="48"/>
      <c r="G56" s="48"/>
      <c r="H56" s="24"/>
    </row>
    <row r="57" spans="1:8" ht="18">
      <c r="A57" s="49">
        <v>39602</v>
      </c>
      <c r="B57" s="26" t="s">
        <v>826</v>
      </c>
      <c r="C57" s="26" t="s">
        <v>104</v>
      </c>
      <c r="D57" s="26" t="s">
        <v>1374</v>
      </c>
      <c r="E57" s="26" t="s">
        <v>22</v>
      </c>
      <c r="F57" s="40">
        <v>634</v>
      </c>
      <c r="G57" s="50">
        <v>157168</v>
      </c>
      <c r="H57" s="26" t="s">
        <v>1375</v>
      </c>
    </row>
    <row r="58" spans="1:8" ht="45">
      <c r="A58" s="49">
        <v>39603</v>
      </c>
      <c r="B58" s="26" t="s">
        <v>826</v>
      </c>
      <c r="C58" s="26" t="s">
        <v>328</v>
      </c>
      <c r="D58" s="26" t="s">
        <v>1376</v>
      </c>
      <c r="E58" s="26" t="s">
        <v>898</v>
      </c>
      <c r="F58" s="40" t="s">
        <v>255</v>
      </c>
      <c r="G58" s="50">
        <v>249408</v>
      </c>
      <c r="H58" s="26" t="s">
        <v>1377</v>
      </c>
    </row>
    <row r="59" spans="1:8" ht="18">
      <c r="A59" s="49">
        <v>39603</v>
      </c>
      <c r="B59" s="26" t="s">
        <v>826</v>
      </c>
      <c r="C59" s="26" t="s">
        <v>328</v>
      </c>
      <c r="D59" s="26" t="s">
        <v>1378</v>
      </c>
      <c r="E59" s="26" t="s">
        <v>153</v>
      </c>
      <c r="F59" s="40" t="s">
        <v>255</v>
      </c>
      <c r="G59" s="50">
        <v>108000</v>
      </c>
      <c r="H59" s="26" t="s">
        <v>1379</v>
      </c>
    </row>
    <row r="60" spans="1:8" ht="18">
      <c r="A60" s="49">
        <v>39603</v>
      </c>
      <c r="B60" s="26" t="s">
        <v>63</v>
      </c>
      <c r="C60" s="26" t="s">
        <v>1380</v>
      </c>
      <c r="D60" s="26" t="s">
        <v>923</v>
      </c>
      <c r="E60" s="26" t="s">
        <v>381</v>
      </c>
      <c r="F60" s="40">
        <v>850</v>
      </c>
      <c r="G60" s="50">
        <v>253800</v>
      </c>
      <c r="H60" s="26" t="s">
        <v>1381</v>
      </c>
    </row>
    <row r="61" spans="1:8" ht="27">
      <c r="A61" s="49">
        <v>39603</v>
      </c>
      <c r="B61" s="26" t="s">
        <v>472</v>
      </c>
      <c r="C61" s="26" t="s">
        <v>1382</v>
      </c>
      <c r="D61" s="26" t="s">
        <v>618</v>
      </c>
      <c r="E61" s="26" t="s">
        <v>1383</v>
      </c>
      <c r="F61" s="40">
        <v>90</v>
      </c>
      <c r="G61" s="50">
        <v>100948</v>
      </c>
      <c r="H61" s="26" t="s">
        <v>1384</v>
      </c>
    </row>
    <row r="62" spans="1:8" ht="27">
      <c r="A62" s="49">
        <v>39605</v>
      </c>
      <c r="B62" s="26" t="s">
        <v>826</v>
      </c>
      <c r="C62" s="26" t="s">
        <v>1385</v>
      </c>
      <c r="D62" s="26" t="s">
        <v>1386</v>
      </c>
      <c r="E62" s="26" t="s">
        <v>898</v>
      </c>
      <c r="F62" s="40">
        <v>100</v>
      </c>
      <c r="G62" s="50">
        <v>358000</v>
      </c>
      <c r="H62" s="26" t="s">
        <v>1387</v>
      </c>
    </row>
    <row r="63" spans="1:8" ht="27">
      <c r="A63" s="49">
        <v>39607</v>
      </c>
      <c r="B63" s="26" t="s">
        <v>826</v>
      </c>
      <c r="C63" s="26" t="s">
        <v>1366</v>
      </c>
      <c r="D63" s="26" t="s">
        <v>1388</v>
      </c>
      <c r="E63" s="26" t="s">
        <v>22</v>
      </c>
      <c r="F63" s="40" t="s">
        <v>255</v>
      </c>
      <c r="G63" s="50">
        <v>125000</v>
      </c>
      <c r="H63" s="26" t="s">
        <v>1389</v>
      </c>
    </row>
    <row r="64" spans="1:8" ht="36">
      <c r="A64" s="49">
        <v>39607</v>
      </c>
      <c r="B64" s="26" t="s">
        <v>826</v>
      </c>
      <c r="C64" s="26" t="s">
        <v>267</v>
      </c>
      <c r="D64" s="26" t="s">
        <v>1390</v>
      </c>
      <c r="E64" s="26" t="s">
        <v>362</v>
      </c>
      <c r="F64" s="40">
        <v>500</v>
      </c>
      <c r="G64" s="50">
        <v>150000</v>
      </c>
      <c r="H64" s="26" t="s">
        <v>1391</v>
      </c>
    </row>
    <row r="65" spans="1:8" ht="36">
      <c r="A65" s="49">
        <v>39608</v>
      </c>
      <c r="B65" s="26" t="s">
        <v>63</v>
      </c>
      <c r="C65" s="26" t="s">
        <v>71</v>
      </c>
      <c r="D65" s="26" t="s">
        <v>1392</v>
      </c>
      <c r="E65" s="26" t="s">
        <v>1393</v>
      </c>
      <c r="F65" s="40">
        <v>300</v>
      </c>
      <c r="G65" s="40">
        <v>19</v>
      </c>
      <c r="H65" s="26" t="s">
        <v>1394</v>
      </c>
    </row>
    <row r="66" spans="1:8" ht="45">
      <c r="A66" s="49">
        <v>39608</v>
      </c>
      <c r="B66" s="26" t="s">
        <v>826</v>
      </c>
      <c r="C66" s="26" t="s">
        <v>1395</v>
      </c>
      <c r="D66" s="26" t="s">
        <v>1396</v>
      </c>
      <c r="E66" s="26" t="s">
        <v>1397</v>
      </c>
      <c r="F66" s="40">
        <v>215</v>
      </c>
      <c r="G66" s="50">
        <v>75654</v>
      </c>
      <c r="H66" s="26" t="s">
        <v>1398</v>
      </c>
    </row>
    <row r="67" spans="1:8" ht="18">
      <c r="A67" s="49">
        <v>39609</v>
      </c>
      <c r="B67" s="26" t="s">
        <v>61</v>
      </c>
      <c r="C67" s="26" t="s">
        <v>91</v>
      </c>
      <c r="D67" s="26" t="s">
        <v>89</v>
      </c>
      <c r="E67" s="26" t="s">
        <v>362</v>
      </c>
      <c r="F67" s="40">
        <v>400</v>
      </c>
      <c r="G67" s="50">
        <v>68000</v>
      </c>
      <c r="H67" s="26" t="s">
        <v>1399</v>
      </c>
    </row>
    <row r="68" spans="1:8" ht="36">
      <c r="A68" s="49">
        <v>39609</v>
      </c>
      <c r="B68" s="26" t="s">
        <v>63</v>
      </c>
      <c r="C68" s="26" t="s">
        <v>71</v>
      </c>
      <c r="D68" s="26" t="s">
        <v>1392</v>
      </c>
      <c r="E68" s="26" t="s">
        <v>861</v>
      </c>
      <c r="F68" s="40">
        <v>300</v>
      </c>
      <c r="G68" s="40">
        <v>19</v>
      </c>
      <c r="H68" s="26" t="s">
        <v>1400</v>
      </c>
    </row>
    <row r="69" spans="1:8" ht="36">
      <c r="A69" s="49">
        <v>39609</v>
      </c>
      <c r="B69" s="26" t="s">
        <v>826</v>
      </c>
      <c r="C69" s="26" t="s">
        <v>267</v>
      </c>
      <c r="D69" s="26" t="s">
        <v>1401</v>
      </c>
      <c r="E69" s="26" t="s">
        <v>153</v>
      </c>
      <c r="F69" s="40" t="s">
        <v>255</v>
      </c>
      <c r="G69" s="50">
        <v>248800</v>
      </c>
      <c r="H69" s="26" t="s">
        <v>1402</v>
      </c>
    </row>
    <row r="70" spans="1:8" ht="54">
      <c r="A70" s="49">
        <v>39609</v>
      </c>
      <c r="B70" s="26" t="s">
        <v>826</v>
      </c>
      <c r="C70" s="26" t="s">
        <v>81</v>
      </c>
      <c r="D70" s="26" t="s">
        <v>1345</v>
      </c>
      <c r="E70" s="26" t="s">
        <v>106</v>
      </c>
      <c r="F70" s="40" t="s">
        <v>255</v>
      </c>
      <c r="G70" s="50">
        <v>198000</v>
      </c>
      <c r="H70" s="26" t="s">
        <v>1403</v>
      </c>
    </row>
    <row r="71" spans="1:8" ht="18">
      <c r="A71" s="49">
        <v>39609</v>
      </c>
      <c r="B71" s="26" t="s">
        <v>61</v>
      </c>
      <c r="C71" s="26" t="s">
        <v>815</v>
      </c>
      <c r="D71" s="26" t="s">
        <v>1404</v>
      </c>
      <c r="E71" s="26" t="s">
        <v>1405</v>
      </c>
      <c r="F71" s="40">
        <v>50</v>
      </c>
      <c r="G71" s="50">
        <v>60000</v>
      </c>
      <c r="H71" s="26" t="s">
        <v>1406</v>
      </c>
    </row>
    <row r="72" spans="1:8" ht="18.75" thickBot="1">
      <c r="A72" s="51">
        <v>39610</v>
      </c>
      <c r="B72" s="30" t="s">
        <v>61</v>
      </c>
      <c r="C72" s="30" t="s">
        <v>1407</v>
      </c>
      <c r="D72" s="30" t="s">
        <v>200</v>
      </c>
      <c r="E72" s="30" t="s">
        <v>1408</v>
      </c>
      <c r="F72" s="52">
        <v>200</v>
      </c>
      <c r="G72" s="53">
        <v>61000</v>
      </c>
      <c r="H72" s="30" t="s">
        <v>1409</v>
      </c>
    </row>
    <row r="73" spans="1:8" ht="13.5" thickTop="1">
      <c r="A73" s="33"/>
    </row>
    <row r="74" spans="1:8" ht="28.5" customHeight="1" thickBot="1">
      <c r="A74" s="19" t="s">
        <v>1276</v>
      </c>
      <c r="B74" s="33"/>
    </row>
    <row r="75" spans="1:8" ht="13.5" thickTop="1">
      <c r="A75" s="810" t="s">
        <v>2</v>
      </c>
      <c r="B75" s="793" t="s">
        <v>57</v>
      </c>
      <c r="C75" s="793" t="s">
        <v>3</v>
      </c>
      <c r="D75" s="793" t="s">
        <v>67</v>
      </c>
      <c r="E75" s="793" t="s">
        <v>5</v>
      </c>
      <c r="F75" s="793" t="s">
        <v>6</v>
      </c>
      <c r="G75" s="793" t="s">
        <v>68</v>
      </c>
      <c r="H75" s="22" t="s">
        <v>69</v>
      </c>
    </row>
    <row r="76" spans="1:8" ht="13.5" thickBot="1">
      <c r="A76" s="811"/>
      <c r="B76" s="812"/>
      <c r="C76" s="812"/>
      <c r="D76" s="812"/>
      <c r="E76" s="812"/>
      <c r="F76" s="812"/>
      <c r="G76" s="812"/>
      <c r="H76" s="61" t="s">
        <v>70</v>
      </c>
    </row>
    <row r="77" spans="1:8" ht="16.5" thickTop="1">
      <c r="A77" s="62"/>
    </row>
    <row r="78" spans="1:8" ht="27">
      <c r="A78" s="49">
        <v>39611</v>
      </c>
      <c r="B78" s="26" t="s">
        <v>826</v>
      </c>
      <c r="C78" s="26" t="s">
        <v>397</v>
      </c>
      <c r="D78" s="26" t="s">
        <v>1410</v>
      </c>
      <c r="E78" s="26" t="s">
        <v>1411</v>
      </c>
      <c r="F78" s="40">
        <v>200</v>
      </c>
      <c r="G78" s="50">
        <v>21000</v>
      </c>
      <c r="H78" s="26" t="s">
        <v>1412</v>
      </c>
    </row>
    <row r="79" spans="1:8" ht="27">
      <c r="A79" s="49">
        <v>39614</v>
      </c>
      <c r="B79" s="26" t="s">
        <v>826</v>
      </c>
      <c r="C79" s="26" t="s">
        <v>500</v>
      </c>
      <c r="D79" s="26" t="s">
        <v>1388</v>
      </c>
      <c r="E79" s="26" t="s">
        <v>22</v>
      </c>
      <c r="F79" s="40" t="s">
        <v>255</v>
      </c>
      <c r="G79" s="50">
        <v>165000</v>
      </c>
      <c r="H79" s="26" t="s">
        <v>1413</v>
      </c>
    </row>
    <row r="80" spans="1:8" ht="27">
      <c r="A80" s="49">
        <v>39614</v>
      </c>
      <c r="B80" s="26" t="s">
        <v>826</v>
      </c>
      <c r="C80" s="26" t="s">
        <v>1414</v>
      </c>
      <c r="D80" s="26" t="s">
        <v>1222</v>
      </c>
      <c r="E80" s="26" t="s">
        <v>1223</v>
      </c>
      <c r="F80" s="40">
        <v>57</v>
      </c>
      <c r="G80" s="50">
        <v>9700</v>
      </c>
      <c r="H80" s="26" t="s">
        <v>1415</v>
      </c>
    </row>
    <row r="81" spans="1:8" ht="18">
      <c r="A81" s="49">
        <v>39615</v>
      </c>
      <c r="B81" s="26" t="s">
        <v>63</v>
      </c>
      <c r="C81" s="26" t="s">
        <v>1416</v>
      </c>
      <c r="D81" s="26" t="s">
        <v>923</v>
      </c>
      <c r="E81" s="26" t="s">
        <v>381</v>
      </c>
      <c r="F81" s="40" t="s">
        <v>1417</v>
      </c>
      <c r="G81" s="50">
        <v>115000</v>
      </c>
      <c r="H81" s="26" t="s">
        <v>1418</v>
      </c>
    </row>
    <row r="82" spans="1:8" ht="18">
      <c r="A82" s="49">
        <v>39616</v>
      </c>
      <c r="B82" s="26" t="s">
        <v>1352</v>
      </c>
      <c r="C82" s="26" t="s">
        <v>1419</v>
      </c>
      <c r="D82" s="26" t="s">
        <v>1353</v>
      </c>
      <c r="E82" s="26" t="s">
        <v>106</v>
      </c>
      <c r="F82" s="40" t="s">
        <v>255</v>
      </c>
      <c r="G82" s="50">
        <v>234393</v>
      </c>
      <c r="H82" s="26" t="s">
        <v>1420</v>
      </c>
    </row>
    <row r="83" spans="1:8" ht="63">
      <c r="A83" s="49">
        <v>39616</v>
      </c>
      <c r="B83" s="26" t="s">
        <v>58</v>
      </c>
      <c r="C83" s="26" t="s">
        <v>1421</v>
      </c>
      <c r="D83" s="26" t="s">
        <v>1422</v>
      </c>
      <c r="E83" s="26" t="s">
        <v>1423</v>
      </c>
      <c r="F83" s="40">
        <v>560</v>
      </c>
      <c r="G83" s="50">
        <v>18000</v>
      </c>
      <c r="H83" s="26" t="s">
        <v>1424</v>
      </c>
    </row>
    <row r="84" spans="1:8" ht="54">
      <c r="A84" s="49">
        <v>39616</v>
      </c>
      <c r="B84" s="26" t="s">
        <v>1352</v>
      </c>
      <c r="C84" s="26" t="s">
        <v>1425</v>
      </c>
      <c r="D84" s="26" t="s">
        <v>1426</v>
      </c>
      <c r="E84" s="26" t="s">
        <v>1427</v>
      </c>
      <c r="F84" s="40">
        <v>276</v>
      </c>
      <c r="G84" s="50">
        <v>37330</v>
      </c>
      <c r="H84" s="26" t="s">
        <v>1428</v>
      </c>
    </row>
    <row r="85" spans="1:8" ht="45">
      <c r="A85" s="49">
        <v>39620</v>
      </c>
      <c r="B85" s="26" t="s">
        <v>124</v>
      </c>
      <c r="C85" s="26" t="s">
        <v>1429</v>
      </c>
      <c r="D85" s="26" t="s">
        <v>1430</v>
      </c>
      <c r="E85" s="26" t="s">
        <v>1431</v>
      </c>
      <c r="F85" s="40">
        <v>3</v>
      </c>
      <c r="G85" s="40">
        <v>477</v>
      </c>
      <c r="H85" s="26" t="s">
        <v>1432</v>
      </c>
    </row>
    <row r="86" spans="1:8" ht="36">
      <c r="A86" s="49">
        <v>39621</v>
      </c>
      <c r="B86" s="26" t="s">
        <v>826</v>
      </c>
      <c r="C86" s="26" t="s">
        <v>1433</v>
      </c>
      <c r="D86" s="26" t="s">
        <v>1434</v>
      </c>
      <c r="E86" s="26" t="s">
        <v>1435</v>
      </c>
      <c r="F86" s="40">
        <v>650</v>
      </c>
      <c r="G86" s="40" t="s">
        <v>255</v>
      </c>
      <c r="H86" s="26" t="s">
        <v>1436</v>
      </c>
    </row>
    <row r="87" spans="1:8" ht="18">
      <c r="A87" s="49">
        <v>39622</v>
      </c>
      <c r="B87" s="26" t="s">
        <v>826</v>
      </c>
      <c r="C87" s="26" t="s">
        <v>1437</v>
      </c>
      <c r="D87" s="26" t="s">
        <v>1438</v>
      </c>
      <c r="E87" s="26" t="s">
        <v>1397</v>
      </c>
      <c r="F87" s="40">
        <v>425</v>
      </c>
      <c r="G87" s="40" t="s">
        <v>255</v>
      </c>
      <c r="H87" s="26" t="s">
        <v>1439</v>
      </c>
    </row>
    <row r="88" spans="1:8" ht="36">
      <c r="A88" s="49">
        <v>39622</v>
      </c>
      <c r="B88" s="26" t="s">
        <v>301</v>
      </c>
      <c r="C88" s="26" t="s">
        <v>1440</v>
      </c>
      <c r="D88" s="26" t="s">
        <v>1441</v>
      </c>
      <c r="E88" s="26" t="s">
        <v>1442</v>
      </c>
      <c r="F88" s="40">
        <v>113</v>
      </c>
      <c r="G88" s="50">
        <v>32593</v>
      </c>
      <c r="H88" s="26" t="s">
        <v>1443</v>
      </c>
    </row>
    <row r="89" spans="1:8" ht="36">
      <c r="A89" s="49">
        <v>39625</v>
      </c>
      <c r="B89" s="26" t="s">
        <v>826</v>
      </c>
      <c r="C89" s="26" t="s">
        <v>104</v>
      </c>
      <c r="D89" s="26" t="s">
        <v>1444</v>
      </c>
      <c r="E89" s="26" t="s">
        <v>381</v>
      </c>
      <c r="F89" s="40" t="s">
        <v>255</v>
      </c>
      <c r="G89" s="50">
        <v>53000</v>
      </c>
      <c r="H89" s="26" t="s">
        <v>1445</v>
      </c>
    </row>
    <row r="90" spans="1:8" ht="27">
      <c r="A90" s="49">
        <v>39626</v>
      </c>
      <c r="B90" s="26" t="s">
        <v>674</v>
      </c>
      <c r="C90" s="26" t="s">
        <v>465</v>
      </c>
      <c r="D90" s="26" t="s">
        <v>1446</v>
      </c>
      <c r="E90" s="26" t="s">
        <v>1447</v>
      </c>
      <c r="F90" s="40">
        <v>650</v>
      </c>
      <c r="G90" s="50">
        <v>126000</v>
      </c>
      <c r="H90" s="26" t="s">
        <v>1448</v>
      </c>
    </row>
    <row r="91" spans="1:8">
      <c r="A91" s="47" t="s">
        <v>1149</v>
      </c>
      <c r="B91" s="24"/>
      <c r="C91" s="24"/>
      <c r="D91" s="24"/>
      <c r="E91" s="24"/>
      <c r="F91" s="48"/>
      <c r="G91" s="48"/>
      <c r="H91" s="24"/>
    </row>
    <row r="92" spans="1:8" ht="27">
      <c r="A92" s="49">
        <v>39630</v>
      </c>
      <c r="B92" s="26" t="s">
        <v>124</v>
      </c>
      <c r="C92" s="26" t="s">
        <v>1449</v>
      </c>
      <c r="D92" s="26" t="s">
        <v>1109</v>
      </c>
      <c r="E92" s="26" t="s">
        <v>142</v>
      </c>
      <c r="F92" s="40">
        <v>160</v>
      </c>
      <c r="G92" s="40" t="s">
        <v>455</v>
      </c>
      <c r="H92" s="26" t="s">
        <v>1450</v>
      </c>
    </row>
    <row r="93" spans="1:8" ht="27">
      <c r="A93" s="49">
        <v>39631</v>
      </c>
      <c r="B93" s="26" t="s">
        <v>826</v>
      </c>
      <c r="C93" s="26" t="s">
        <v>328</v>
      </c>
      <c r="D93" s="26" t="s">
        <v>1386</v>
      </c>
      <c r="E93" s="26" t="s">
        <v>22</v>
      </c>
      <c r="F93" s="40">
        <v>125</v>
      </c>
      <c r="G93" s="50">
        <v>239663</v>
      </c>
      <c r="H93" s="26" t="s">
        <v>1451</v>
      </c>
    </row>
    <row r="94" spans="1:8" ht="27">
      <c r="A94" s="49">
        <v>39631</v>
      </c>
      <c r="B94" s="26" t="s">
        <v>124</v>
      </c>
      <c r="C94" s="26" t="s">
        <v>212</v>
      </c>
      <c r="D94" s="26" t="s">
        <v>1137</v>
      </c>
      <c r="E94" s="26" t="s">
        <v>1138</v>
      </c>
      <c r="F94" s="40" t="s">
        <v>455</v>
      </c>
      <c r="G94" s="40" t="s">
        <v>455</v>
      </c>
      <c r="H94" s="26" t="s">
        <v>686</v>
      </c>
    </row>
    <row r="95" spans="1:8" ht="36">
      <c r="A95" s="49">
        <v>39631</v>
      </c>
      <c r="B95" s="26" t="s">
        <v>124</v>
      </c>
      <c r="C95" s="26" t="s">
        <v>1452</v>
      </c>
      <c r="D95" s="26" t="s">
        <v>1453</v>
      </c>
      <c r="E95" s="26" t="s">
        <v>1454</v>
      </c>
      <c r="F95" s="40">
        <v>208</v>
      </c>
      <c r="G95" s="50">
        <v>200000</v>
      </c>
      <c r="H95" s="26" t="s">
        <v>1455</v>
      </c>
    </row>
    <row r="96" spans="1:8" ht="45">
      <c r="A96" s="49">
        <v>39631</v>
      </c>
      <c r="B96" s="26" t="s">
        <v>124</v>
      </c>
      <c r="C96" s="26" t="s">
        <v>1456</v>
      </c>
      <c r="D96" s="26" t="s">
        <v>1457</v>
      </c>
      <c r="E96" s="26" t="s">
        <v>1458</v>
      </c>
      <c r="F96" s="40">
        <v>119</v>
      </c>
      <c r="G96" s="50">
        <v>37784</v>
      </c>
      <c r="H96" s="26" t="s">
        <v>1459</v>
      </c>
    </row>
    <row r="97" spans="1:8" ht="36">
      <c r="A97" s="49">
        <v>39631</v>
      </c>
      <c r="B97" s="26" t="s">
        <v>826</v>
      </c>
      <c r="C97" s="26" t="s">
        <v>109</v>
      </c>
      <c r="D97" s="26" t="s">
        <v>1444</v>
      </c>
      <c r="E97" s="26" t="s">
        <v>381</v>
      </c>
      <c r="F97" s="40" t="s">
        <v>255</v>
      </c>
      <c r="G97" s="50">
        <v>56000</v>
      </c>
      <c r="H97" s="26" t="s">
        <v>1460</v>
      </c>
    </row>
    <row r="98" spans="1:8" ht="45">
      <c r="A98" s="49">
        <v>39636</v>
      </c>
      <c r="B98" s="26" t="s">
        <v>124</v>
      </c>
      <c r="C98" s="26" t="s">
        <v>1461</v>
      </c>
      <c r="D98" s="26" t="s">
        <v>1462</v>
      </c>
      <c r="E98" s="26" t="s">
        <v>1463</v>
      </c>
      <c r="F98" s="40">
        <v>0</v>
      </c>
      <c r="G98" s="40">
        <v>0</v>
      </c>
      <c r="H98" s="26" t="s">
        <v>1464</v>
      </c>
    </row>
    <row r="99" spans="1:8" ht="27">
      <c r="A99" s="49">
        <v>39639</v>
      </c>
      <c r="B99" s="26" t="s">
        <v>124</v>
      </c>
      <c r="C99" s="26" t="s">
        <v>1465</v>
      </c>
      <c r="D99" s="26" t="s">
        <v>1109</v>
      </c>
      <c r="E99" s="26" t="s">
        <v>142</v>
      </c>
      <c r="F99" s="40">
        <v>240</v>
      </c>
      <c r="G99" s="40" t="s">
        <v>455</v>
      </c>
      <c r="H99" s="26" t="s">
        <v>1466</v>
      </c>
    </row>
    <row r="100" spans="1:8" ht="81">
      <c r="A100" s="49">
        <v>39650</v>
      </c>
      <c r="B100" s="26" t="s">
        <v>674</v>
      </c>
      <c r="C100" s="26" t="s">
        <v>1467</v>
      </c>
      <c r="D100" s="26" t="s">
        <v>1468</v>
      </c>
      <c r="E100" s="26" t="s">
        <v>1405</v>
      </c>
      <c r="F100" s="40">
        <v>170</v>
      </c>
      <c r="G100" s="50">
        <v>185000</v>
      </c>
      <c r="H100" s="26" t="s">
        <v>1469</v>
      </c>
    </row>
    <row r="101" spans="1:8" ht="18">
      <c r="A101" s="49">
        <v>39651</v>
      </c>
      <c r="B101" s="26" t="s">
        <v>826</v>
      </c>
      <c r="C101" s="26" t="s">
        <v>155</v>
      </c>
      <c r="D101" s="26" t="s">
        <v>1470</v>
      </c>
      <c r="E101" s="26" t="s">
        <v>106</v>
      </c>
      <c r="F101" s="40" t="s">
        <v>255</v>
      </c>
      <c r="G101" s="50">
        <v>58000</v>
      </c>
      <c r="H101" s="26" t="s">
        <v>1471</v>
      </c>
    </row>
    <row r="102" spans="1:8" ht="18">
      <c r="A102" s="49">
        <v>39651</v>
      </c>
      <c r="B102" s="26" t="s">
        <v>826</v>
      </c>
      <c r="C102" s="26" t="s">
        <v>155</v>
      </c>
      <c r="D102" s="26" t="s">
        <v>1472</v>
      </c>
      <c r="E102" s="26" t="s">
        <v>106</v>
      </c>
      <c r="F102" s="40" t="s">
        <v>255</v>
      </c>
      <c r="G102" s="50">
        <v>56000</v>
      </c>
      <c r="H102" s="26" t="s">
        <v>1473</v>
      </c>
    </row>
    <row r="103" spans="1:8" ht="54">
      <c r="A103" s="49">
        <v>39651</v>
      </c>
      <c r="B103" s="26" t="s">
        <v>58</v>
      </c>
      <c r="C103" s="26" t="s">
        <v>71</v>
      </c>
      <c r="D103" s="26" t="s">
        <v>1474</v>
      </c>
      <c r="E103" s="26" t="s">
        <v>1475</v>
      </c>
      <c r="F103" s="40" t="s">
        <v>255</v>
      </c>
      <c r="G103" s="40" t="s">
        <v>455</v>
      </c>
      <c r="H103" s="26" t="s">
        <v>1476</v>
      </c>
    </row>
    <row r="104" spans="1:8" ht="63.75" thickBot="1">
      <c r="A104" s="51">
        <v>39652</v>
      </c>
      <c r="B104" s="30" t="s">
        <v>1352</v>
      </c>
      <c r="C104" s="30" t="s">
        <v>1477</v>
      </c>
      <c r="D104" s="30" t="s">
        <v>1478</v>
      </c>
      <c r="E104" s="30" t="s">
        <v>1479</v>
      </c>
      <c r="F104" s="52">
        <v>703</v>
      </c>
      <c r="G104" s="53">
        <v>211266</v>
      </c>
      <c r="H104" s="30" t="s">
        <v>1480</v>
      </c>
    </row>
    <row r="105" spans="1:8" ht="13.5" thickTop="1">
      <c r="A105" s="33"/>
    </row>
    <row r="106" spans="1:8" ht="28.5" customHeight="1" thickBot="1">
      <c r="A106" s="19" t="s">
        <v>1276</v>
      </c>
      <c r="B106" s="33"/>
    </row>
    <row r="107" spans="1:8" ht="13.5" thickTop="1">
      <c r="A107" s="810" t="s">
        <v>2</v>
      </c>
      <c r="B107" s="793" t="s">
        <v>57</v>
      </c>
      <c r="C107" s="793" t="s">
        <v>3</v>
      </c>
      <c r="D107" s="793" t="s">
        <v>67</v>
      </c>
      <c r="E107" s="793" t="s">
        <v>5</v>
      </c>
      <c r="F107" s="793" t="s">
        <v>6</v>
      </c>
      <c r="G107" s="793" t="s">
        <v>68</v>
      </c>
      <c r="H107" s="22" t="s">
        <v>69</v>
      </c>
    </row>
    <row r="108" spans="1:8" ht="13.5" thickBot="1">
      <c r="A108" s="811"/>
      <c r="B108" s="812"/>
      <c r="C108" s="812"/>
      <c r="D108" s="812"/>
      <c r="E108" s="812"/>
      <c r="F108" s="812"/>
      <c r="G108" s="812"/>
      <c r="H108" s="61" t="s">
        <v>70</v>
      </c>
    </row>
    <row r="109" spans="1:8" ht="16.5" thickTop="1">
      <c r="A109" s="62"/>
    </row>
    <row r="110" spans="1:8" ht="36">
      <c r="A110" s="49">
        <v>39653</v>
      </c>
      <c r="B110" s="26" t="s">
        <v>61</v>
      </c>
      <c r="C110" s="26" t="s">
        <v>1481</v>
      </c>
      <c r="D110" s="26" t="s">
        <v>1482</v>
      </c>
      <c r="E110" s="26" t="s">
        <v>1483</v>
      </c>
      <c r="F110" s="40">
        <v>180</v>
      </c>
      <c r="G110" s="50">
        <v>110000</v>
      </c>
      <c r="H110" s="26" t="s">
        <v>1484</v>
      </c>
    </row>
    <row r="111" spans="1:8">
      <c r="A111" s="47" t="s">
        <v>1171</v>
      </c>
      <c r="B111" s="24"/>
      <c r="C111" s="24"/>
      <c r="D111" s="24"/>
      <c r="E111" s="24"/>
      <c r="F111" s="48"/>
      <c r="G111" s="48"/>
      <c r="H111" s="24"/>
    </row>
    <row r="112" spans="1:8" ht="18">
      <c r="A112" s="49">
        <v>39662</v>
      </c>
      <c r="B112" s="26" t="s">
        <v>63</v>
      </c>
      <c r="C112" s="26" t="s">
        <v>109</v>
      </c>
      <c r="D112" s="26" t="s">
        <v>451</v>
      </c>
      <c r="E112" s="26" t="s">
        <v>106</v>
      </c>
      <c r="F112" s="40">
        <v>400</v>
      </c>
      <c r="G112" s="50">
        <v>131115</v>
      </c>
      <c r="H112" s="26" t="s">
        <v>1485</v>
      </c>
    </row>
    <row r="113" spans="1:8" ht="27">
      <c r="A113" s="49">
        <v>39663</v>
      </c>
      <c r="B113" s="26" t="s">
        <v>63</v>
      </c>
      <c r="C113" s="26" t="s">
        <v>1186</v>
      </c>
      <c r="D113" s="26" t="s">
        <v>1486</v>
      </c>
      <c r="E113" s="26" t="s">
        <v>106</v>
      </c>
      <c r="F113" s="40" t="s">
        <v>255</v>
      </c>
      <c r="G113" s="50">
        <v>59500</v>
      </c>
      <c r="H113" s="26" t="s">
        <v>1487</v>
      </c>
    </row>
    <row r="114" spans="1:8" ht="18">
      <c r="A114" s="49">
        <v>39664</v>
      </c>
      <c r="B114" s="26" t="s">
        <v>826</v>
      </c>
      <c r="C114" s="26" t="s">
        <v>267</v>
      </c>
      <c r="D114" s="26" t="s">
        <v>1488</v>
      </c>
      <c r="E114" s="26" t="s">
        <v>22</v>
      </c>
      <c r="F114" s="40" t="s">
        <v>255</v>
      </c>
      <c r="G114" s="50">
        <v>653000</v>
      </c>
      <c r="H114" s="26" t="s">
        <v>1489</v>
      </c>
    </row>
    <row r="115" spans="1:8" ht="18">
      <c r="A115" s="49">
        <v>39665</v>
      </c>
      <c r="B115" s="26" t="s">
        <v>826</v>
      </c>
      <c r="C115" s="26" t="s">
        <v>155</v>
      </c>
      <c r="D115" s="26" t="s">
        <v>1434</v>
      </c>
      <c r="E115" s="26" t="s">
        <v>153</v>
      </c>
      <c r="F115" s="40">
        <v>0</v>
      </c>
      <c r="G115" s="50">
        <v>63000</v>
      </c>
      <c r="H115" s="26" t="s">
        <v>1490</v>
      </c>
    </row>
    <row r="116" spans="1:8" ht="36">
      <c r="A116" s="49">
        <v>39669</v>
      </c>
      <c r="B116" s="26" t="s">
        <v>58</v>
      </c>
      <c r="C116" s="26" t="s">
        <v>424</v>
      </c>
      <c r="D116" s="26" t="s">
        <v>1491</v>
      </c>
      <c r="E116" s="26" t="s">
        <v>1492</v>
      </c>
      <c r="F116" s="40">
        <v>0</v>
      </c>
      <c r="G116" s="40">
        <v>0</v>
      </c>
      <c r="H116" s="26" t="s">
        <v>1493</v>
      </c>
    </row>
    <row r="117" spans="1:8" ht="18">
      <c r="A117" s="49">
        <v>39675</v>
      </c>
      <c r="B117" s="26" t="s">
        <v>124</v>
      </c>
      <c r="C117" s="26" t="s">
        <v>1494</v>
      </c>
      <c r="D117" s="26" t="s">
        <v>1495</v>
      </c>
      <c r="E117" s="26" t="s">
        <v>962</v>
      </c>
      <c r="F117" s="40">
        <v>100</v>
      </c>
      <c r="G117" s="50">
        <v>8000</v>
      </c>
      <c r="H117" s="26" t="s">
        <v>1496</v>
      </c>
    </row>
    <row r="118" spans="1:8" ht="36">
      <c r="A118" s="49">
        <v>39676</v>
      </c>
      <c r="B118" s="26" t="s">
        <v>1352</v>
      </c>
      <c r="C118" s="26" t="s">
        <v>1497</v>
      </c>
      <c r="D118" s="26" t="s">
        <v>1498</v>
      </c>
      <c r="E118" s="26" t="s">
        <v>1499</v>
      </c>
      <c r="F118" s="40">
        <v>153</v>
      </c>
      <c r="G118" s="50">
        <v>71823</v>
      </c>
      <c r="H118" s="26" t="s">
        <v>1500</v>
      </c>
    </row>
    <row r="119" spans="1:8" ht="27">
      <c r="A119" s="49">
        <v>39676</v>
      </c>
      <c r="B119" s="26" t="s">
        <v>472</v>
      </c>
      <c r="C119" s="26" t="s">
        <v>1501</v>
      </c>
      <c r="D119" s="26" t="s">
        <v>618</v>
      </c>
      <c r="E119" s="26" t="s">
        <v>1502</v>
      </c>
      <c r="F119" s="40">
        <v>300</v>
      </c>
      <c r="G119" s="50">
        <v>200000</v>
      </c>
      <c r="H119" s="26" t="s">
        <v>1503</v>
      </c>
    </row>
    <row r="120" spans="1:8" ht="18">
      <c r="A120" s="49">
        <v>39678</v>
      </c>
      <c r="B120" s="26" t="s">
        <v>472</v>
      </c>
      <c r="C120" s="26" t="s">
        <v>1504</v>
      </c>
      <c r="D120" s="26" t="s">
        <v>1505</v>
      </c>
      <c r="E120" s="26" t="s">
        <v>973</v>
      </c>
      <c r="F120" s="40">
        <v>225</v>
      </c>
      <c r="G120" s="50">
        <v>100000</v>
      </c>
      <c r="H120" s="26" t="s">
        <v>1506</v>
      </c>
    </row>
    <row r="121" spans="1:8" ht="18">
      <c r="A121" s="49">
        <v>39679</v>
      </c>
      <c r="B121" s="26" t="s">
        <v>301</v>
      </c>
      <c r="C121" s="26" t="s">
        <v>1507</v>
      </c>
      <c r="D121" s="26" t="s">
        <v>34</v>
      </c>
      <c r="E121" s="26" t="s">
        <v>1508</v>
      </c>
      <c r="F121" s="40" t="s">
        <v>255</v>
      </c>
      <c r="G121" s="50">
        <v>101950</v>
      </c>
      <c r="H121" s="26" t="s">
        <v>1509</v>
      </c>
    </row>
    <row r="122" spans="1:8" ht="207">
      <c r="A122" s="49">
        <v>39681</v>
      </c>
      <c r="B122" s="26" t="s">
        <v>301</v>
      </c>
      <c r="C122" s="26" t="s">
        <v>81</v>
      </c>
      <c r="D122" s="26" t="s">
        <v>1510</v>
      </c>
      <c r="E122" s="26" t="s">
        <v>1508</v>
      </c>
      <c r="F122" s="40" t="s">
        <v>255</v>
      </c>
      <c r="G122" s="50">
        <v>430000</v>
      </c>
      <c r="H122" s="26" t="s">
        <v>1511</v>
      </c>
    </row>
    <row r="123" spans="1:8" ht="36">
      <c r="A123" s="49">
        <v>39682</v>
      </c>
      <c r="B123" s="26" t="s">
        <v>826</v>
      </c>
      <c r="C123" s="26" t="s">
        <v>424</v>
      </c>
      <c r="D123" s="26" t="s">
        <v>455</v>
      </c>
      <c r="E123" s="26" t="s">
        <v>1512</v>
      </c>
      <c r="F123" s="40">
        <v>0</v>
      </c>
      <c r="G123" s="40">
        <v>0</v>
      </c>
      <c r="H123" s="26" t="s">
        <v>1513</v>
      </c>
    </row>
    <row r="124" spans="1:8" ht="18">
      <c r="A124" s="49">
        <v>39684</v>
      </c>
      <c r="B124" s="26" t="s">
        <v>63</v>
      </c>
      <c r="C124" s="26" t="s">
        <v>551</v>
      </c>
      <c r="D124" s="26" t="s">
        <v>451</v>
      </c>
      <c r="E124" s="26" t="s">
        <v>1508</v>
      </c>
      <c r="F124" s="40">
        <v>110</v>
      </c>
      <c r="G124" s="50">
        <v>87390</v>
      </c>
      <c r="H124" s="26" t="s">
        <v>1514</v>
      </c>
    </row>
    <row r="125" spans="1:8" ht="18">
      <c r="A125" s="49">
        <v>39691</v>
      </c>
      <c r="B125" s="26" t="s">
        <v>63</v>
      </c>
      <c r="C125" s="26" t="s">
        <v>274</v>
      </c>
      <c r="D125" s="26" t="s">
        <v>1515</v>
      </c>
      <c r="E125" s="26" t="s">
        <v>1516</v>
      </c>
      <c r="F125" s="40">
        <v>200</v>
      </c>
      <c r="G125" s="40">
        <v>0</v>
      </c>
      <c r="H125" s="26" t="s">
        <v>1517</v>
      </c>
    </row>
    <row r="126" spans="1:8" ht="27">
      <c r="A126" s="49">
        <v>39691</v>
      </c>
      <c r="B126" s="26" t="s">
        <v>63</v>
      </c>
      <c r="C126" s="26" t="s">
        <v>81</v>
      </c>
      <c r="D126" s="26" t="s">
        <v>1518</v>
      </c>
      <c r="E126" s="26" t="s">
        <v>1519</v>
      </c>
      <c r="F126" s="40" t="s">
        <v>255</v>
      </c>
      <c r="G126" s="50">
        <v>964000</v>
      </c>
      <c r="H126" s="26" t="s">
        <v>1520</v>
      </c>
    </row>
    <row r="127" spans="1:8">
      <c r="A127" s="47" t="s">
        <v>219</v>
      </c>
      <c r="B127" s="24"/>
      <c r="C127" s="24"/>
      <c r="D127" s="24"/>
      <c r="E127" s="24"/>
      <c r="F127" s="48"/>
      <c r="G127" s="48"/>
      <c r="H127" s="24"/>
    </row>
    <row r="128" spans="1:8" ht="27">
      <c r="A128" s="49">
        <v>39692</v>
      </c>
      <c r="B128" s="26" t="s">
        <v>63</v>
      </c>
      <c r="C128" s="26" t="s">
        <v>1521</v>
      </c>
      <c r="D128" s="26" t="s">
        <v>1522</v>
      </c>
      <c r="E128" s="26" t="s">
        <v>1519</v>
      </c>
      <c r="F128" s="40">
        <v>400</v>
      </c>
      <c r="G128" s="50">
        <v>150000</v>
      </c>
      <c r="H128" s="26" t="s">
        <v>1523</v>
      </c>
    </row>
    <row r="129" spans="1:8" ht="36">
      <c r="A129" s="49">
        <v>39692</v>
      </c>
      <c r="B129" s="26" t="s">
        <v>63</v>
      </c>
      <c r="C129" s="26" t="s">
        <v>229</v>
      </c>
      <c r="D129" s="26" t="s">
        <v>1524</v>
      </c>
      <c r="E129" s="26" t="s">
        <v>1519</v>
      </c>
      <c r="F129" s="40" t="s">
        <v>255</v>
      </c>
      <c r="G129" s="50">
        <v>246092</v>
      </c>
      <c r="H129" s="26" t="s">
        <v>1525</v>
      </c>
    </row>
    <row r="130" spans="1:8" ht="18">
      <c r="A130" s="49">
        <v>39697</v>
      </c>
      <c r="B130" s="26" t="s">
        <v>63</v>
      </c>
      <c r="C130" s="26" t="s">
        <v>1526</v>
      </c>
      <c r="D130" s="26" t="s">
        <v>230</v>
      </c>
      <c r="E130" s="26" t="s">
        <v>1527</v>
      </c>
      <c r="F130" s="40" t="s">
        <v>255</v>
      </c>
      <c r="G130" s="50">
        <v>57000</v>
      </c>
      <c r="H130" s="26" t="s">
        <v>1528</v>
      </c>
    </row>
    <row r="131" spans="1:8" ht="27">
      <c r="A131" s="49">
        <v>39697</v>
      </c>
      <c r="B131" s="26" t="s">
        <v>63</v>
      </c>
      <c r="C131" s="26" t="s">
        <v>584</v>
      </c>
      <c r="D131" s="26" t="s">
        <v>1529</v>
      </c>
      <c r="E131" s="26" t="s">
        <v>1527</v>
      </c>
      <c r="F131" s="40">
        <v>220</v>
      </c>
      <c r="G131" s="50">
        <v>64463</v>
      </c>
      <c r="H131" s="26" t="s">
        <v>1530</v>
      </c>
    </row>
    <row r="132" spans="1:8" ht="27">
      <c r="A132" s="49">
        <v>39699</v>
      </c>
      <c r="B132" s="26" t="s">
        <v>124</v>
      </c>
      <c r="C132" s="26" t="s">
        <v>1531</v>
      </c>
      <c r="D132" s="26" t="s">
        <v>1532</v>
      </c>
      <c r="E132" s="26" t="s">
        <v>1138</v>
      </c>
      <c r="F132" s="40">
        <v>300</v>
      </c>
      <c r="G132" s="40">
        <v>0</v>
      </c>
      <c r="H132" s="26" t="s">
        <v>1533</v>
      </c>
    </row>
    <row r="133" spans="1:8" ht="45">
      <c r="A133" s="49">
        <v>39703</v>
      </c>
      <c r="B133" s="26" t="s">
        <v>63</v>
      </c>
      <c r="C133" s="26" t="s">
        <v>1534</v>
      </c>
      <c r="D133" s="26" t="s">
        <v>1535</v>
      </c>
      <c r="E133" s="26" t="s">
        <v>1536</v>
      </c>
      <c r="F133" s="40" t="s">
        <v>255</v>
      </c>
      <c r="G133" s="50">
        <v>705000</v>
      </c>
      <c r="H133" s="26" t="s">
        <v>1537</v>
      </c>
    </row>
    <row r="134" spans="1:8" ht="36">
      <c r="A134" s="49">
        <v>39703</v>
      </c>
      <c r="B134" s="26" t="s">
        <v>1352</v>
      </c>
      <c r="C134" s="26" t="s">
        <v>1538</v>
      </c>
      <c r="D134" s="26" t="s">
        <v>1539</v>
      </c>
      <c r="E134" s="26" t="s">
        <v>1536</v>
      </c>
      <c r="F134" s="50">
        <v>8087</v>
      </c>
      <c r="G134" s="50">
        <v>2142678</v>
      </c>
      <c r="H134" s="26" t="s">
        <v>1540</v>
      </c>
    </row>
    <row r="135" spans="1:8" ht="36">
      <c r="A135" s="49">
        <v>39703</v>
      </c>
      <c r="B135" s="26" t="s">
        <v>1352</v>
      </c>
      <c r="C135" s="26" t="s">
        <v>1538</v>
      </c>
      <c r="D135" s="26" t="s">
        <v>1541</v>
      </c>
      <c r="E135" s="26" t="s">
        <v>1536</v>
      </c>
      <c r="F135" s="40" t="s">
        <v>255</v>
      </c>
      <c r="G135" s="50">
        <v>2504366</v>
      </c>
      <c r="H135" s="26" t="s">
        <v>1540</v>
      </c>
    </row>
    <row r="136" spans="1:8" ht="27">
      <c r="A136" s="49">
        <v>39703</v>
      </c>
      <c r="B136" s="26" t="s">
        <v>1352</v>
      </c>
      <c r="C136" s="26" t="s">
        <v>109</v>
      </c>
      <c r="D136" s="26" t="s">
        <v>1542</v>
      </c>
      <c r="E136" s="26" t="s">
        <v>1536</v>
      </c>
      <c r="F136" s="40">
        <v>650</v>
      </c>
      <c r="G136" s="50">
        <v>113247</v>
      </c>
      <c r="H136" s="26" t="s">
        <v>1543</v>
      </c>
    </row>
    <row r="137" spans="1:8" ht="18.75" thickBot="1">
      <c r="A137" s="51">
        <v>39704</v>
      </c>
      <c r="B137" s="30" t="s">
        <v>63</v>
      </c>
      <c r="C137" s="30" t="s">
        <v>1544</v>
      </c>
      <c r="D137" s="30" t="s">
        <v>133</v>
      </c>
      <c r="E137" s="30" t="s">
        <v>1536</v>
      </c>
      <c r="F137" s="52">
        <v>40</v>
      </c>
      <c r="G137" s="53">
        <v>50000</v>
      </c>
      <c r="H137" s="30" t="s">
        <v>1545</v>
      </c>
    </row>
    <row r="138" spans="1:8" ht="13.5" thickTop="1">
      <c r="A138" s="33"/>
    </row>
    <row r="139" spans="1:8" ht="28.5" customHeight="1" thickBot="1">
      <c r="A139" s="19" t="s">
        <v>1276</v>
      </c>
      <c r="B139" s="33"/>
    </row>
    <row r="140" spans="1:8" ht="13.5" thickTop="1">
      <c r="A140" s="810" t="s">
        <v>2</v>
      </c>
      <c r="B140" s="793" t="s">
        <v>57</v>
      </c>
      <c r="C140" s="793" t="s">
        <v>3</v>
      </c>
      <c r="D140" s="793" t="s">
        <v>67</v>
      </c>
      <c r="E140" s="793" t="s">
        <v>5</v>
      </c>
      <c r="F140" s="793" t="s">
        <v>6</v>
      </c>
      <c r="G140" s="793" t="s">
        <v>68</v>
      </c>
      <c r="H140" s="22" t="s">
        <v>69</v>
      </c>
    </row>
    <row r="141" spans="1:8" ht="13.5" thickBot="1">
      <c r="A141" s="811"/>
      <c r="B141" s="812"/>
      <c r="C141" s="812"/>
      <c r="D141" s="812"/>
      <c r="E141" s="812"/>
      <c r="F141" s="812"/>
      <c r="G141" s="812"/>
      <c r="H141" s="61" t="s">
        <v>70</v>
      </c>
    </row>
    <row r="142" spans="1:8" ht="16.5" thickTop="1">
      <c r="A142" s="62"/>
    </row>
    <row r="143" spans="1:8" ht="18">
      <c r="A143" s="49">
        <v>39704</v>
      </c>
      <c r="B143" s="26" t="s">
        <v>1352</v>
      </c>
      <c r="C143" s="26" t="s">
        <v>424</v>
      </c>
      <c r="D143" s="26" t="s">
        <v>1353</v>
      </c>
      <c r="E143" s="26" t="s">
        <v>1536</v>
      </c>
      <c r="F143" s="40" t="s">
        <v>255</v>
      </c>
      <c r="G143" s="50">
        <v>238392</v>
      </c>
      <c r="H143" s="26" t="s">
        <v>1546</v>
      </c>
    </row>
    <row r="144" spans="1:8" ht="18">
      <c r="A144" s="49">
        <v>39704</v>
      </c>
      <c r="B144" s="26" t="s">
        <v>58</v>
      </c>
      <c r="C144" s="26" t="s">
        <v>212</v>
      </c>
      <c r="D144" s="26" t="s">
        <v>1547</v>
      </c>
      <c r="E144" s="26" t="s">
        <v>1536</v>
      </c>
      <c r="F144" s="40" t="s">
        <v>255</v>
      </c>
      <c r="G144" s="50">
        <v>184501</v>
      </c>
      <c r="H144" s="26" t="s">
        <v>1548</v>
      </c>
    </row>
    <row r="145" spans="1:8" ht="18">
      <c r="A145" s="49">
        <v>39705</v>
      </c>
      <c r="B145" s="26" t="s">
        <v>826</v>
      </c>
      <c r="C145" s="26" t="s">
        <v>1549</v>
      </c>
      <c r="D145" s="26" t="s">
        <v>1550</v>
      </c>
      <c r="E145" s="26" t="s">
        <v>1551</v>
      </c>
      <c r="F145" s="40" t="s">
        <v>255</v>
      </c>
      <c r="G145" s="50">
        <v>875000</v>
      </c>
      <c r="H145" s="26" t="s">
        <v>1552</v>
      </c>
    </row>
    <row r="146" spans="1:8" ht="18">
      <c r="A146" s="49">
        <v>39705</v>
      </c>
      <c r="B146" s="26" t="s">
        <v>674</v>
      </c>
      <c r="C146" s="26" t="s">
        <v>274</v>
      </c>
      <c r="D146" s="26" t="s">
        <v>1031</v>
      </c>
      <c r="E146" s="26" t="s">
        <v>1536</v>
      </c>
      <c r="F146" s="40" t="s">
        <v>255</v>
      </c>
      <c r="G146" s="50">
        <v>107000</v>
      </c>
      <c r="H146" s="26" t="s">
        <v>1553</v>
      </c>
    </row>
    <row r="147" spans="1:8" ht="27">
      <c r="A147" s="49">
        <v>39705</v>
      </c>
      <c r="B147" s="26" t="s">
        <v>826</v>
      </c>
      <c r="C147" s="26" t="s">
        <v>1554</v>
      </c>
      <c r="D147" s="26" t="s">
        <v>1555</v>
      </c>
      <c r="E147" s="26" t="s">
        <v>264</v>
      </c>
      <c r="F147" s="40">
        <v>70</v>
      </c>
      <c r="G147" s="50">
        <v>18000</v>
      </c>
      <c r="H147" s="26" t="s">
        <v>1556</v>
      </c>
    </row>
    <row r="148" spans="1:8" ht="18">
      <c r="A148" s="49">
        <v>39705</v>
      </c>
      <c r="B148" s="26" t="s">
        <v>826</v>
      </c>
      <c r="C148" s="26" t="s">
        <v>683</v>
      </c>
      <c r="D148" s="26" t="s">
        <v>1298</v>
      </c>
      <c r="E148" s="26" t="s">
        <v>1551</v>
      </c>
      <c r="F148" s="40" t="s">
        <v>255</v>
      </c>
      <c r="G148" s="50">
        <v>375000</v>
      </c>
      <c r="H148" s="26" t="s">
        <v>1557</v>
      </c>
    </row>
    <row r="149" spans="1:8" ht="18">
      <c r="A149" s="49">
        <v>39705</v>
      </c>
      <c r="B149" s="26" t="s">
        <v>826</v>
      </c>
      <c r="C149" s="26" t="s">
        <v>71</v>
      </c>
      <c r="D149" s="26" t="s">
        <v>1558</v>
      </c>
      <c r="E149" s="26" t="s">
        <v>1536</v>
      </c>
      <c r="F149" s="50">
        <v>1000</v>
      </c>
      <c r="G149" s="50">
        <v>95000</v>
      </c>
      <c r="H149" s="26" t="s">
        <v>1559</v>
      </c>
    </row>
    <row r="150" spans="1:8" ht="36">
      <c r="A150" s="49">
        <v>39705</v>
      </c>
      <c r="B150" s="26" t="s">
        <v>826</v>
      </c>
      <c r="C150" s="26" t="s">
        <v>212</v>
      </c>
      <c r="D150" s="26" t="s">
        <v>1560</v>
      </c>
      <c r="E150" s="26" t="s">
        <v>262</v>
      </c>
      <c r="F150" s="40" t="s">
        <v>255</v>
      </c>
      <c r="G150" s="50">
        <v>650000</v>
      </c>
      <c r="H150" s="26" t="s">
        <v>1561</v>
      </c>
    </row>
    <row r="151" spans="1:8" ht="18">
      <c r="A151" s="49">
        <v>39705</v>
      </c>
      <c r="B151" s="26" t="s">
        <v>826</v>
      </c>
      <c r="C151" s="26" t="s">
        <v>104</v>
      </c>
      <c r="D151" s="26" t="s">
        <v>1562</v>
      </c>
      <c r="E151" s="26" t="s">
        <v>262</v>
      </c>
      <c r="F151" s="40">
        <v>72</v>
      </c>
      <c r="G151" s="50">
        <v>124596</v>
      </c>
      <c r="H151" s="26" t="s">
        <v>1563</v>
      </c>
    </row>
    <row r="152" spans="1:8" ht="27">
      <c r="A152" s="49">
        <v>39705</v>
      </c>
      <c r="B152" s="26" t="s">
        <v>826</v>
      </c>
      <c r="C152" s="26" t="s">
        <v>104</v>
      </c>
      <c r="D152" s="26" t="s">
        <v>1564</v>
      </c>
      <c r="E152" s="26" t="s">
        <v>262</v>
      </c>
      <c r="F152" s="40">
        <v>469</v>
      </c>
      <c r="G152" s="50">
        <v>564728</v>
      </c>
      <c r="H152" s="26" t="s">
        <v>1565</v>
      </c>
    </row>
    <row r="153" spans="1:8" ht="18">
      <c r="A153" s="49">
        <v>39705</v>
      </c>
      <c r="B153" s="26" t="s">
        <v>826</v>
      </c>
      <c r="C153" s="26" t="s">
        <v>104</v>
      </c>
      <c r="D153" s="26" t="s">
        <v>1566</v>
      </c>
      <c r="E153" s="26" t="s">
        <v>262</v>
      </c>
      <c r="F153" s="40">
        <v>430</v>
      </c>
      <c r="G153" s="50">
        <v>245164</v>
      </c>
      <c r="H153" s="26" t="s">
        <v>1567</v>
      </c>
    </row>
    <row r="154" spans="1:8" ht="36">
      <c r="A154" s="49">
        <v>39705</v>
      </c>
      <c r="B154" s="26" t="s">
        <v>826</v>
      </c>
      <c r="C154" s="26" t="s">
        <v>81</v>
      </c>
      <c r="D154" s="26" t="s">
        <v>1568</v>
      </c>
      <c r="E154" s="26" t="s">
        <v>1551</v>
      </c>
      <c r="F154" s="40">
        <v>600</v>
      </c>
      <c r="G154" s="50">
        <v>105000</v>
      </c>
      <c r="H154" s="26" t="s">
        <v>1569</v>
      </c>
    </row>
    <row r="155" spans="1:8" ht="18">
      <c r="A155" s="49">
        <v>39706</v>
      </c>
      <c r="B155" s="26" t="s">
        <v>826</v>
      </c>
      <c r="C155" s="26" t="s">
        <v>1570</v>
      </c>
      <c r="D155" s="26" t="s">
        <v>1562</v>
      </c>
      <c r="E155" s="26" t="s">
        <v>1551</v>
      </c>
      <c r="F155" s="40">
        <v>546</v>
      </c>
      <c r="G155" s="50">
        <v>160875</v>
      </c>
      <c r="H155" s="26" t="s">
        <v>1571</v>
      </c>
    </row>
    <row r="156" spans="1:8" ht="18">
      <c r="A156" s="49">
        <v>39713</v>
      </c>
      <c r="B156" s="26" t="s">
        <v>472</v>
      </c>
      <c r="C156" s="26" t="s">
        <v>1572</v>
      </c>
      <c r="D156" s="26" t="s">
        <v>618</v>
      </c>
      <c r="E156" s="26" t="s">
        <v>973</v>
      </c>
      <c r="F156" s="40">
        <v>125</v>
      </c>
      <c r="G156" s="50">
        <v>43600</v>
      </c>
      <c r="H156" s="26" t="s">
        <v>1573</v>
      </c>
    </row>
    <row r="157" spans="1:8" ht="27">
      <c r="A157" s="49">
        <v>39721</v>
      </c>
      <c r="B157" s="26" t="s">
        <v>124</v>
      </c>
      <c r="C157" s="26" t="s">
        <v>1363</v>
      </c>
      <c r="D157" s="26" t="s">
        <v>1574</v>
      </c>
      <c r="E157" s="26" t="s">
        <v>1223</v>
      </c>
      <c r="F157" s="40">
        <v>30</v>
      </c>
      <c r="G157" s="50">
        <v>10000</v>
      </c>
      <c r="H157" s="26" t="s">
        <v>1575</v>
      </c>
    </row>
    <row r="158" spans="1:8">
      <c r="A158" s="47" t="s">
        <v>1240</v>
      </c>
      <c r="B158" s="24"/>
      <c r="C158" s="24"/>
      <c r="D158" s="24"/>
      <c r="E158" s="24"/>
      <c r="F158" s="48"/>
      <c r="G158" s="48"/>
      <c r="H158" s="24"/>
    </row>
    <row r="159" spans="1:8" ht="18">
      <c r="A159" s="49">
        <v>39723</v>
      </c>
      <c r="B159" s="26" t="s">
        <v>63</v>
      </c>
      <c r="C159" s="26" t="s">
        <v>1576</v>
      </c>
      <c r="D159" s="26" t="s">
        <v>1577</v>
      </c>
      <c r="E159" s="26" t="s">
        <v>449</v>
      </c>
      <c r="F159" s="40">
        <v>200</v>
      </c>
      <c r="G159" s="40">
        <v>0</v>
      </c>
      <c r="H159" s="26" t="s">
        <v>1578</v>
      </c>
    </row>
    <row r="160" spans="1:8" ht="18">
      <c r="A160" s="49">
        <v>39746</v>
      </c>
      <c r="B160" s="26" t="s">
        <v>61</v>
      </c>
      <c r="C160" s="26" t="s">
        <v>815</v>
      </c>
      <c r="D160" s="26" t="s">
        <v>1579</v>
      </c>
      <c r="E160" s="26" t="s">
        <v>362</v>
      </c>
      <c r="F160" s="40" t="s">
        <v>255</v>
      </c>
      <c r="G160" s="50">
        <v>52000</v>
      </c>
      <c r="H160" s="26" t="s">
        <v>1580</v>
      </c>
    </row>
    <row r="161" spans="1:8">
      <c r="A161" s="47" t="s">
        <v>1254</v>
      </c>
      <c r="B161" s="24"/>
      <c r="C161" s="24"/>
      <c r="D161" s="24"/>
      <c r="E161" s="24"/>
      <c r="F161" s="48"/>
      <c r="G161" s="48"/>
      <c r="H161" s="24"/>
    </row>
    <row r="162" spans="1:8" ht="45">
      <c r="A162" s="49">
        <v>39759</v>
      </c>
      <c r="B162" s="26" t="s">
        <v>124</v>
      </c>
      <c r="C162" s="26" t="s">
        <v>1581</v>
      </c>
      <c r="D162" s="26" t="s">
        <v>1457</v>
      </c>
      <c r="E162" s="26" t="s">
        <v>449</v>
      </c>
      <c r="F162" s="40">
        <v>250</v>
      </c>
      <c r="G162" s="50">
        <v>140000</v>
      </c>
      <c r="H162" s="26" t="s">
        <v>1582</v>
      </c>
    </row>
    <row r="163" spans="1:8" ht="18">
      <c r="A163" s="49">
        <v>39759</v>
      </c>
      <c r="B163" s="26" t="s">
        <v>124</v>
      </c>
      <c r="C163" s="26" t="s">
        <v>311</v>
      </c>
      <c r="D163" s="26" t="s">
        <v>703</v>
      </c>
      <c r="E163" s="26" t="s">
        <v>449</v>
      </c>
      <c r="F163" s="40">
        <v>430</v>
      </c>
      <c r="G163" s="50">
        <v>400000</v>
      </c>
      <c r="H163" s="26" t="s">
        <v>1582</v>
      </c>
    </row>
    <row r="164" spans="1:8" ht="18">
      <c r="A164" s="49">
        <v>39763</v>
      </c>
      <c r="B164" s="26" t="s">
        <v>472</v>
      </c>
      <c r="C164" s="26" t="s">
        <v>1211</v>
      </c>
      <c r="D164" s="26" t="s">
        <v>618</v>
      </c>
      <c r="E164" s="26" t="s">
        <v>973</v>
      </c>
      <c r="F164" s="40">
        <v>250</v>
      </c>
      <c r="G164" s="50">
        <v>261000</v>
      </c>
      <c r="H164" s="26" t="s">
        <v>1583</v>
      </c>
    </row>
    <row r="165" spans="1:8" ht="18">
      <c r="A165" s="49">
        <v>39767</v>
      </c>
      <c r="B165" s="26" t="s">
        <v>124</v>
      </c>
      <c r="C165" s="26" t="s">
        <v>1584</v>
      </c>
      <c r="D165" s="26" t="s">
        <v>1585</v>
      </c>
      <c r="E165" s="26" t="s">
        <v>1586</v>
      </c>
      <c r="F165" s="40">
        <v>211</v>
      </c>
      <c r="G165" s="50">
        <v>115500</v>
      </c>
      <c r="H165" s="26" t="s">
        <v>1587</v>
      </c>
    </row>
    <row r="166" spans="1:8">
      <c r="A166" s="47" t="s">
        <v>1258</v>
      </c>
      <c r="B166" s="24"/>
      <c r="C166" s="24"/>
      <c r="D166" s="24"/>
      <c r="E166" s="24"/>
      <c r="F166" s="48"/>
      <c r="G166" s="48"/>
      <c r="H166" s="24"/>
    </row>
    <row r="167" spans="1:8" ht="18">
      <c r="A167" s="49">
        <v>39784</v>
      </c>
      <c r="B167" s="26" t="s">
        <v>1588</v>
      </c>
      <c r="C167" s="26" t="s">
        <v>551</v>
      </c>
      <c r="D167" s="26" t="s">
        <v>1589</v>
      </c>
      <c r="E167" s="26" t="s">
        <v>1164</v>
      </c>
      <c r="F167" s="40">
        <v>135</v>
      </c>
      <c r="G167" s="50">
        <v>53000</v>
      </c>
      <c r="H167" s="26" t="s">
        <v>1590</v>
      </c>
    </row>
    <row r="168" spans="1:8" ht="27">
      <c r="A168" s="49">
        <v>39791</v>
      </c>
      <c r="B168" s="26" t="s">
        <v>826</v>
      </c>
      <c r="C168" s="26" t="s">
        <v>1591</v>
      </c>
      <c r="D168" s="26" t="s">
        <v>1592</v>
      </c>
      <c r="E168" s="26" t="s">
        <v>1593</v>
      </c>
      <c r="F168" s="40">
        <v>438</v>
      </c>
      <c r="G168" s="50">
        <v>156729</v>
      </c>
      <c r="H168" s="26" t="s">
        <v>1594</v>
      </c>
    </row>
    <row r="169" spans="1:8" ht="27">
      <c r="A169" s="49">
        <v>39792</v>
      </c>
      <c r="B169" s="26" t="s">
        <v>124</v>
      </c>
      <c r="C169" s="26" t="s">
        <v>565</v>
      </c>
      <c r="D169" s="26" t="s">
        <v>1595</v>
      </c>
      <c r="E169" s="26" t="s">
        <v>1596</v>
      </c>
      <c r="F169" s="40">
        <v>32</v>
      </c>
      <c r="G169" s="40">
        <v>3</v>
      </c>
      <c r="H169" s="26" t="s">
        <v>1597</v>
      </c>
    </row>
    <row r="170" spans="1:8" ht="45">
      <c r="A170" s="49">
        <v>39793</v>
      </c>
      <c r="B170" s="26" t="s">
        <v>63</v>
      </c>
      <c r="C170" s="26" t="s">
        <v>147</v>
      </c>
      <c r="D170" s="26" t="s">
        <v>1598</v>
      </c>
      <c r="E170" s="26" t="s">
        <v>326</v>
      </c>
      <c r="F170" s="40" t="s">
        <v>255</v>
      </c>
      <c r="G170" s="50">
        <v>91300</v>
      </c>
      <c r="H170" s="26" t="s">
        <v>1599</v>
      </c>
    </row>
    <row r="171" spans="1:8" ht="72">
      <c r="A171" s="49">
        <v>39793</v>
      </c>
      <c r="B171" s="26" t="s">
        <v>61</v>
      </c>
      <c r="C171" s="26" t="s">
        <v>267</v>
      </c>
      <c r="D171" s="26" t="s">
        <v>1600</v>
      </c>
      <c r="E171" s="26" t="s">
        <v>11</v>
      </c>
      <c r="F171" s="40" t="s">
        <v>255</v>
      </c>
      <c r="G171" s="50">
        <v>60000</v>
      </c>
      <c r="H171" s="26" t="s">
        <v>1601</v>
      </c>
    </row>
    <row r="172" spans="1:8" ht="18">
      <c r="A172" s="49">
        <v>39794</v>
      </c>
      <c r="B172" s="26" t="s">
        <v>61</v>
      </c>
      <c r="C172" s="26" t="s">
        <v>534</v>
      </c>
      <c r="D172" s="26" t="s">
        <v>967</v>
      </c>
      <c r="E172" s="26" t="s">
        <v>11</v>
      </c>
      <c r="F172" s="40" t="s">
        <v>255</v>
      </c>
      <c r="G172" s="50">
        <v>970000</v>
      </c>
      <c r="H172" s="26" t="s">
        <v>1602</v>
      </c>
    </row>
    <row r="173" spans="1:8" ht="18">
      <c r="A173" s="49">
        <v>39794</v>
      </c>
      <c r="B173" s="26" t="s">
        <v>61</v>
      </c>
      <c r="C173" s="26" t="s">
        <v>1603</v>
      </c>
      <c r="D173" s="26" t="s">
        <v>1159</v>
      </c>
      <c r="E173" s="26" t="s">
        <v>11</v>
      </c>
      <c r="F173" s="40">
        <v>200</v>
      </c>
      <c r="G173" s="50">
        <v>190000</v>
      </c>
      <c r="H173" s="26" t="s">
        <v>1604</v>
      </c>
    </row>
    <row r="174" spans="1:8" ht="18">
      <c r="A174" s="49">
        <v>39794</v>
      </c>
      <c r="B174" s="26" t="s">
        <v>61</v>
      </c>
      <c r="C174" s="26" t="s">
        <v>1605</v>
      </c>
      <c r="D174" s="26" t="s">
        <v>829</v>
      </c>
      <c r="E174" s="26" t="s">
        <v>11</v>
      </c>
      <c r="F174" s="40" t="s">
        <v>255</v>
      </c>
      <c r="G174" s="50">
        <v>169757</v>
      </c>
      <c r="H174" s="26" t="s">
        <v>1606</v>
      </c>
    </row>
    <row r="175" spans="1:8" ht="36">
      <c r="A175" s="49">
        <v>39795</v>
      </c>
      <c r="B175" s="26" t="s">
        <v>124</v>
      </c>
      <c r="C175" s="26" t="s">
        <v>397</v>
      </c>
      <c r="D175" s="26" t="s">
        <v>1607</v>
      </c>
      <c r="E175" s="26" t="s">
        <v>1608</v>
      </c>
      <c r="F175" s="40">
        <v>5</v>
      </c>
      <c r="G175" s="40">
        <v>0</v>
      </c>
      <c r="H175" s="26" t="s">
        <v>1609</v>
      </c>
    </row>
    <row r="176" spans="1:8" ht="27">
      <c r="A176" s="49">
        <v>39801</v>
      </c>
      <c r="B176" s="26" t="s">
        <v>124</v>
      </c>
      <c r="C176" s="26" t="s">
        <v>710</v>
      </c>
      <c r="D176" s="26" t="s">
        <v>1610</v>
      </c>
      <c r="E176" s="26" t="s">
        <v>1223</v>
      </c>
      <c r="F176" s="40">
        <v>1</v>
      </c>
      <c r="G176" s="40">
        <v>638</v>
      </c>
      <c r="H176" s="26" t="s">
        <v>1611</v>
      </c>
    </row>
    <row r="177" spans="1:8" ht="27">
      <c r="A177" s="49">
        <v>39801</v>
      </c>
      <c r="B177" s="26" t="s">
        <v>826</v>
      </c>
      <c r="C177" s="26" t="s">
        <v>1211</v>
      </c>
      <c r="D177" s="26" t="s">
        <v>1612</v>
      </c>
      <c r="E177" s="26" t="s">
        <v>11</v>
      </c>
      <c r="F177" s="40" t="s">
        <v>255</v>
      </c>
      <c r="G177" s="50">
        <v>140000</v>
      </c>
      <c r="H177" s="26" t="s">
        <v>1613</v>
      </c>
    </row>
    <row r="178" spans="1:8" ht="18">
      <c r="A178" s="49">
        <v>39801</v>
      </c>
      <c r="B178" s="26" t="s">
        <v>826</v>
      </c>
      <c r="C178" s="26" t="s">
        <v>147</v>
      </c>
      <c r="D178" s="26" t="s">
        <v>1434</v>
      </c>
      <c r="E178" s="26" t="s">
        <v>11</v>
      </c>
      <c r="F178" s="40" t="s">
        <v>255</v>
      </c>
      <c r="G178" s="50">
        <v>50000</v>
      </c>
      <c r="H178" s="26" t="s">
        <v>1614</v>
      </c>
    </row>
    <row r="179" spans="1:8" ht="36.75" thickBot="1">
      <c r="A179" s="51">
        <v>39808</v>
      </c>
      <c r="B179" s="30" t="s">
        <v>124</v>
      </c>
      <c r="C179" s="30" t="s">
        <v>1615</v>
      </c>
      <c r="D179" s="30" t="s">
        <v>1616</v>
      </c>
      <c r="E179" s="30" t="s">
        <v>449</v>
      </c>
      <c r="F179" s="52">
        <v>110</v>
      </c>
      <c r="G179" s="53">
        <v>50000</v>
      </c>
      <c r="H179" s="30" t="s">
        <v>1617</v>
      </c>
    </row>
    <row r="180" spans="1:8" ht="13.5" thickTop="1">
      <c r="A180" s="33"/>
    </row>
    <row r="181" spans="1:8" ht="37.5" customHeight="1" thickBot="1">
      <c r="A181" s="19" t="s">
        <v>1276</v>
      </c>
      <c r="B181" s="33"/>
    </row>
    <row r="182" spans="1:8" ht="13.5" thickTop="1">
      <c r="A182" s="810" t="s">
        <v>2</v>
      </c>
      <c r="B182" s="793" t="s">
        <v>57</v>
      </c>
      <c r="C182" s="793" t="s">
        <v>3</v>
      </c>
      <c r="D182" s="793" t="s">
        <v>67</v>
      </c>
      <c r="E182" s="793" t="s">
        <v>5</v>
      </c>
      <c r="F182" s="793" t="s">
        <v>6</v>
      </c>
      <c r="G182" s="813" t="s">
        <v>1027</v>
      </c>
      <c r="H182" s="22" t="s">
        <v>69</v>
      </c>
    </row>
    <row r="183" spans="1:8" ht="13.5" thickBot="1">
      <c r="A183" s="811"/>
      <c r="B183" s="812"/>
      <c r="C183" s="812"/>
      <c r="D183" s="812"/>
      <c r="E183" s="812"/>
      <c r="F183" s="812"/>
      <c r="G183" s="814"/>
      <c r="H183" s="61" t="s">
        <v>70</v>
      </c>
    </row>
    <row r="184" spans="1:8" ht="16.5" thickTop="1">
      <c r="A184" s="62"/>
    </row>
    <row r="185" spans="1:8" ht="18">
      <c r="A185" s="49">
        <v>39808</v>
      </c>
      <c r="B185" s="26" t="s">
        <v>1618</v>
      </c>
      <c r="C185" s="26" t="s">
        <v>1619</v>
      </c>
      <c r="D185" s="26" t="s">
        <v>1620</v>
      </c>
      <c r="E185" s="26" t="s">
        <v>1142</v>
      </c>
      <c r="F185" s="50">
        <v>1060</v>
      </c>
      <c r="G185" s="50">
        <v>294000</v>
      </c>
      <c r="H185" s="26" t="s">
        <v>1621</v>
      </c>
    </row>
    <row r="186" spans="1:8" ht="18">
      <c r="A186" s="49">
        <v>39809</v>
      </c>
      <c r="B186" s="26" t="s">
        <v>826</v>
      </c>
      <c r="C186" s="26" t="s">
        <v>212</v>
      </c>
      <c r="D186" s="26" t="s">
        <v>268</v>
      </c>
      <c r="E186" s="26" t="s">
        <v>262</v>
      </c>
      <c r="F186" s="40" t="s">
        <v>255</v>
      </c>
      <c r="G186" s="50">
        <v>247847</v>
      </c>
      <c r="H186" s="26" t="s">
        <v>1622</v>
      </c>
    </row>
    <row r="187" spans="1:8" ht="18">
      <c r="A187" s="49">
        <v>39810</v>
      </c>
      <c r="B187" s="26" t="s">
        <v>826</v>
      </c>
      <c r="C187" s="26" t="s">
        <v>1623</v>
      </c>
      <c r="D187" s="26" t="s">
        <v>1624</v>
      </c>
      <c r="E187" s="26" t="s">
        <v>262</v>
      </c>
      <c r="F187" s="40" t="s">
        <v>255</v>
      </c>
      <c r="G187" s="50">
        <v>210517</v>
      </c>
      <c r="H187" s="26" t="s">
        <v>1625</v>
      </c>
    </row>
    <row r="188" spans="1:8" ht="18">
      <c r="A188" s="49">
        <v>39810</v>
      </c>
      <c r="B188" s="26" t="s">
        <v>826</v>
      </c>
      <c r="C188" s="26" t="s">
        <v>229</v>
      </c>
      <c r="D188" s="26" t="s">
        <v>1624</v>
      </c>
      <c r="E188" s="26" t="s">
        <v>262</v>
      </c>
      <c r="F188" s="40" t="s">
        <v>255</v>
      </c>
      <c r="G188" s="50">
        <v>230000</v>
      </c>
      <c r="H188" s="26" t="s">
        <v>1626</v>
      </c>
    </row>
    <row r="189" spans="1:8" ht="18">
      <c r="A189" s="49">
        <v>39812</v>
      </c>
      <c r="B189" s="26" t="s">
        <v>826</v>
      </c>
      <c r="C189" s="26" t="s">
        <v>1627</v>
      </c>
      <c r="D189" s="26" t="s">
        <v>1628</v>
      </c>
      <c r="E189" s="26" t="s">
        <v>973</v>
      </c>
      <c r="F189" s="40">
        <v>41</v>
      </c>
      <c r="G189" s="50">
        <v>9700</v>
      </c>
      <c r="H189" s="26" t="s">
        <v>1629</v>
      </c>
    </row>
    <row r="190" spans="1:8" ht="13.5" thickBot="1">
      <c r="A190" s="63"/>
      <c r="B190" s="61"/>
      <c r="C190" s="61"/>
      <c r="D190" s="61"/>
      <c r="E190" s="61"/>
      <c r="F190" s="61"/>
      <c r="G190" s="61"/>
      <c r="H190" s="64" t="s">
        <v>1630</v>
      </c>
    </row>
    <row r="191" spans="1:8" ht="13.5" thickTop="1">
      <c r="A191" s="59" t="s">
        <v>1066</v>
      </c>
    </row>
    <row r="192" spans="1:8">
      <c r="A192" s="59" t="s">
        <v>1631</v>
      </c>
    </row>
    <row r="193" spans="1:1">
      <c r="A193" s="59" t="s">
        <v>1068</v>
      </c>
    </row>
  </sheetData>
  <mergeCells count="43">
    <mergeCell ref="G182:G183"/>
    <mergeCell ref="A182:A183"/>
    <mergeCell ref="B182:B183"/>
    <mergeCell ref="C182:C183"/>
    <mergeCell ref="D182:D183"/>
    <mergeCell ref="E182:E183"/>
    <mergeCell ref="F182:F183"/>
    <mergeCell ref="G107:G108"/>
    <mergeCell ref="A140:A141"/>
    <mergeCell ref="B140:B141"/>
    <mergeCell ref="C140:C141"/>
    <mergeCell ref="D140:D141"/>
    <mergeCell ref="E140:E141"/>
    <mergeCell ref="F140:F141"/>
    <mergeCell ref="G140:G141"/>
    <mergeCell ref="A107:A108"/>
    <mergeCell ref="B107:B108"/>
    <mergeCell ref="C107:C108"/>
    <mergeCell ref="D107:D108"/>
    <mergeCell ref="E107:E108"/>
    <mergeCell ref="F107:F108"/>
    <mergeCell ref="G37:G38"/>
    <mergeCell ref="A75:A76"/>
    <mergeCell ref="B75:B76"/>
    <mergeCell ref="C75:C76"/>
    <mergeCell ref="D75:D76"/>
    <mergeCell ref="E75:E76"/>
    <mergeCell ref="F75:F76"/>
    <mergeCell ref="G75:G76"/>
    <mergeCell ref="A37:A38"/>
    <mergeCell ref="B37:B38"/>
    <mergeCell ref="C37:C38"/>
    <mergeCell ref="D37:D38"/>
    <mergeCell ref="E37:E38"/>
    <mergeCell ref="F37:F38"/>
    <mergeCell ref="A1:L1"/>
    <mergeCell ref="A3:A4"/>
    <mergeCell ref="B3:B4"/>
    <mergeCell ref="C3:C4"/>
    <mergeCell ref="D3:D4"/>
    <mergeCell ref="E3:E4"/>
    <mergeCell ref="F3:F4"/>
    <mergeCell ref="G3:G4"/>
  </mergeCells>
  <hyperlinks>
    <hyperlink ref="G182" location="_ftn1" display="_ftn1" xr:uid="{00000000-0004-0000-0600-000000000000}"/>
    <hyperlink ref="A191" location="_ftnref1" display="_ftnref1" xr:uid="{00000000-0004-0000-0600-000001000000}"/>
    <hyperlink ref="A192" location="_ftnref2" display="_ftnref2" xr:uid="{00000000-0004-0000-0600-000002000000}"/>
    <hyperlink ref="A193" location="_ftnref3" display="_ftnref3" xr:uid="{00000000-0004-0000-0600-000003000000}"/>
  </hyperlinks>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26"/>
  <sheetViews>
    <sheetView workbookViewId="0"/>
  </sheetViews>
  <sheetFormatPr defaultRowHeight="12.75"/>
  <cols>
    <col min="1" max="1" width="10" style="60" customWidth="1"/>
    <col min="2" max="8" width="10.7109375" style="20" customWidth="1"/>
    <col min="9" max="16384" width="9.140625" style="20"/>
  </cols>
  <sheetData>
    <row r="1" spans="1:8" ht="13.5" thickBot="1">
      <c r="A1" s="19" t="s">
        <v>1632</v>
      </c>
      <c r="B1" s="19"/>
    </row>
    <row r="2" spans="1:8" ht="18" customHeight="1" thickTop="1">
      <c r="A2" s="798" t="s">
        <v>2</v>
      </c>
      <c r="B2" s="793" t="s">
        <v>57</v>
      </c>
      <c r="C2" s="793" t="s">
        <v>3</v>
      </c>
      <c r="D2" s="793" t="s">
        <v>67</v>
      </c>
      <c r="E2" s="793" t="s">
        <v>5</v>
      </c>
      <c r="F2" s="793" t="s">
        <v>6</v>
      </c>
      <c r="G2" s="793" t="s">
        <v>68</v>
      </c>
      <c r="H2" s="22" t="s">
        <v>69</v>
      </c>
    </row>
    <row r="3" spans="1:8" ht="13.5" thickBot="1">
      <c r="A3" s="815"/>
      <c r="B3" s="812"/>
      <c r="C3" s="812"/>
      <c r="D3" s="812"/>
      <c r="E3" s="812"/>
      <c r="F3" s="812"/>
      <c r="G3" s="812"/>
      <c r="H3" s="61" t="s">
        <v>70</v>
      </c>
    </row>
    <row r="4" spans="1:8" ht="13.5" thickTop="1">
      <c r="A4" s="47" t="s">
        <v>1072</v>
      </c>
      <c r="B4" s="24"/>
      <c r="C4" s="24"/>
      <c r="D4" s="24"/>
      <c r="E4" s="24"/>
      <c r="F4" s="48"/>
      <c r="G4" s="48"/>
      <c r="H4" s="24"/>
    </row>
    <row r="5" spans="1:8" ht="18">
      <c r="A5" s="49">
        <v>39818</v>
      </c>
      <c r="B5" s="26" t="s">
        <v>1352</v>
      </c>
      <c r="C5" s="26" t="s">
        <v>364</v>
      </c>
      <c r="D5" s="26" t="s">
        <v>1633</v>
      </c>
      <c r="E5" s="26" t="s">
        <v>362</v>
      </c>
      <c r="F5" s="40" t="s">
        <v>255</v>
      </c>
      <c r="G5" s="50">
        <v>157019</v>
      </c>
      <c r="H5" s="26" t="s">
        <v>1634</v>
      </c>
    </row>
    <row r="6" spans="1:8" ht="27">
      <c r="A6" s="49">
        <v>39820</v>
      </c>
      <c r="B6" s="26" t="s">
        <v>63</v>
      </c>
      <c r="C6" s="26" t="s">
        <v>104</v>
      </c>
      <c r="D6" s="26" t="s">
        <v>1635</v>
      </c>
      <c r="E6" s="26" t="s">
        <v>264</v>
      </c>
      <c r="F6" s="40">
        <v>300</v>
      </c>
      <c r="G6" s="50">
        <v>70000</v>
      </c>
      <c r="H6" s="26" t="s">
        <v>1636</v>
      </c>
    </row>
    <row r="7" spans="1:8" ht="27">
      <c r="A7" s="49">
        <v>39821</v>
      </c>
      <c r="B7" s="26" t="s">
        <v>301</v>
      </c>
      <c r="C7" s="26" t="s">
        <v>1637</v>
      </c>
      <c r="D7" s="26" t="s">
        <v>1638</v>
      </c>
      <c r="E7" s="26" t="s">
        <v>681</v>
      </c>
      <c r="F7" s="40">
        <v>55</v>
      </c>
      <c r="G7" s="50">
        <v>31000</v>
      </c>
      <c r="H7" s="26" t="s">
        <v>1639</v>
      </c>
    </row>
    <row r="8" spans="1:8" ht="18">
      <c r="A8" s="49">
        <v>39830</v>
      </c>
      <c r="B8" s="26" t="s">
        <v>826</v>
      </c>
      <c r="C8" s="26" t="s">
        <v>500</v>
      </c>
      <c r="D8" s="26" t="s">
        <v>1640</v>
      </c>
      <c r="E8" s="26" t="s">
        <v>1138</v>
      </c>
      <c r="F8" s="40" t="s">
        <v>255</v>
      </c>
      <c r="G8" s="40" t="s">
        <v>255</v>
      </c>
      <c r="H8" s="26" t="s">
        <v>1641</v>
      </c>
    </row>
    <row r="9" spans="1:8" ht="18">
      <c r="A9" s="49">
        <v>39835</v>
      </c>
      <c r="B9" s="26" t="s">
        <v>826</v>
      </c>
      <c r="C9" s="26" t="s">
        <v>212</v>
      </c>
      <c r="D9" s="26" t="s">
        <v>1628</v>
      </c>
      <c r="E9" s="26" t="s">
        <v>1202</v>
      </c>
      <c r="F9" s="40">
        <v>50</v>
      </c>
      <c r="G9" s="50">
        <v>9700</v>
      </c>
      <c r="H9" s="26" t="s">
        <v>1642</v>
      </c>
    </row>
    <row r="10" spans="1:8" ht="18">
      <c r="A10" s="49">
        <v>39840</v>
      </c>
      <c r="B10" s="26" t="s">
        <v>826</v>
      </c>
      <c r="C10" s="26" t="s">
        <v>364</v>
      </c>
      <c r="D10" s="26" t="s">
        <v>1298</v>
      </c>
      <c r="E10" s="26" t="s">
        <v>11</v>
      </c>
      <c r="F10" s="40" t="s">
        <v>255</v>
      </c>
      <c r="G10" s="50">
        <v>383000</v>
      </c>
      <c r="H10" s="26" t="s">
        <v>1643</v>
      </c>
    </row>
    <row r="11" spans="1:8" ht="27">
      <c r="A11" s="49">
        <v>39840</v>
      </c>
      <c r="B11" s="26" t="s">
        <v>63</v>
      </c>
      <c r="C11" s="26" t="s">
        <v>1644</v>
      </c>
      <c r="D11" s="26" t="s">
        <v>1645</v>
      </c>
      <c r="E11" s="26" t="s">
        <v>11</v>
      </c>
      <c r="F11" s="40">
        <v>600</v>
      </c>
      <c r="G11" s="50">
        <v>190000</v>
      </c>
      <c r="H11" s="26" t="s">
        <v>1646</v>
      </c>
    </row>
    <row r="12" spans="1:8" ht="36">
      <c r="A12" s="49">
        <v>39840</v>
      </c>
      <c r="B12" s="26" t="s">
        <v>63</v>
      </c>
      <c r="C12" s="26" t="s">
        <v>747</v>
      </c>
      <c r="D12" s="26" t="s">
        <v>1647</v>
      </c>
      <c r="E12" s="26" t="s">
        <v>11</v>
      </c>
      <c r="F12" s="40">
        <v>350</v>
      </c>
      <c r="G12" s="40">
        <v>3</v>
      </c>
      <c r="H12" s="26" t="s">
        <v>1648</v>
      </c>
    </row>
    <row r="13" spans="1:8" ht="27">
      <c r="A13" s="49">
        <v>39840</v>
      </c>
      <c r="B13" s="26" t="s">
        <v>63</v>
      </c>
      <c r="C13" s="26" t="s">
        <v>91</v>
      </c>
      <c r="D13" s="26" t="s">
        <v>1649</v>
      </c>
      <c r="E13" s="26" t="s">
        <v>40</v>
      </c>
      <c r="F13" s="40">
        <v>200</v>
      </c>
      <c r="G13" s="50">
        <v>62500</v>
      </c>
      <c r="H13" s="26" t="s">
        <v>1650</v>
      </c>
    </row>
    <row r="14" spans="1:8" ht="18">
      <c r="A14" s="49">
        <v>39840</v>
      </c>
      <c r="B14" s="26" t="s">
        <v>63</v>
      </c>
      <c r="C14" s="26" t="s">
        <v>1651</v>
      </c>
      <c r="D14" s="26" t="s">
        <v>1652</v>
      </c>
      <c r="E14" s="26" t="s">
        <v>11</v>
      </c>
      <c r="F14" s="40" t="s">
        <v>255</v>
      </c>
      <c r="G14" s="50">
        <v>111818</v>
      </c>
      <c r="H14" s="26" t="s">
        <v>1653</v>
      </c>
    </row>
    <row r="15" spans="1:8" ht="18">
      <c r="A15" s="49">
        <v>39840</v>
      </c>
      <c r="B15" s="26" t="s">
        <v>826</v>
      </c>
      <c r="C15" s="26" t="s">
        <v>1654</v>
      </c>
      <c r="D15" s="26" t="s">
        <v>1655</v>
      </c>
      <c r="E15" s="26" t="s">
        <v>1656</v>
      </c>
      <c r="F15" s="40" t="s">
        <v>255</v>
      </c>
      <c r="G15" s="50">
        <v>59402</v>
      </c>
      <c r="H15" s="26" t="s">
        <v>1657</v>
      </c>
    </row>
    <row r="16" spans="1:8" ht="18">
      <c r="A16" s="49">
        <v>39840</v>
      </c>
      <c r="B16" s="26" t="s">
        <v>63</v>
      </c>
      <c r="C16" s="26" t="s">
        <v>248</v>
      </c>
      <c r="D16" s="26" t="s">
        <v>1652</v>
      </c>
      <c r="E16" s="26" t="s">
        <v>11</v>
      </c>
      <c r="F16" s="40">
        <v>600</v>
      </c>
      <c r="G16" s="50">
        <v>215700</v>
      </c>
      <c r="H16" s="26" t="s">
        <v>1658</v>
      </c>
    </row>
    <row r="17" spans="1:8" ht="18">
      <c r="A17" s="49">
        <v>39840</v>
      </c>
      <c r="B17" s="26" t="s">
        <v>63</v>
      </c>
      <c r="C17" s="26" t="s">
        <v>1659</v>
      </c>
      <c r="D17" s="26" t="s">
        <v>1660</v>
      </c>
      <c r="E17" s="26" t="s">
        <v>11</v>
      </c>
      <c r="F17" s="40">
        <v>850</v>
      </c>
      <c r="G17" s="40">
        <v>1</v>
      </c>
      <c r="H17" s="26" t="s">
        <v>1661</v>
      </c>
    </row>
    <row r="18" spans="1:8" ht="18">
      <c r="A18" s="49">
        <v>39841</v>
      </c>
      <c r="B18" s="26" t="s">
        <v>826</v>
      </c>
      <c r="C18" s="26" t="s">
        <v>1662</v>
      </c>
      <c r="D18" s="26" t="s">
        <v>1663</v>
      </c>
      <c r="E18" s="26" t="s">
        <v>40</v>
      </c>
      <c r="F18" s="40">
        <v>300</v>
      </c>
      <c r="G18" s="40">
        <v>1</v>
      </c>
      <c r="H18" s="26" t="s">
        <v>1664</v>
      </c>
    </row>
    <row r="19" spans="1:8" ht="27">
      <c r="A19" s="49">
        <v>39841</v>
      </c>
      <c r="B19" s="26" t="s">
        <v>826</v>
      </c>
      <c r="C19" s="26" t="s">
        <v>155</v>
      </c>
      <c r="D19" s="26" t="s">
        <v>1665</v>
      </c>
      <c r="E19" s="26" t="s">
        <v>40</v>
      </c>
      <c r="F19" s="40" t="s">
        <v>255</v>
      </c>
      <c r="G19" s="50">
        <v>230300</v>
      </c>
      <c r="H19" s="26" t="s">
        <v>1666</v>
      </c>
    </row>
    <row r="20" spans="1:8" ht="63">
      <c r="A20" s="49">
        <v>39841</v>
      </c>
      <c r="B20" s="26" t="s">
        <v>826</v>
      </c>
      <c r="C20" s="26" t="s">
        <v>159</v>
      </c>
      <c r="D20" s="26" t="s">
        <v>1667</v>
      </c>
      <c r="E20" s="26" t="s">
        <v>11</v>
      </c>
      <c r="F20" s="40">
        <v>21</v>
      </c>
      <c r="G20" s="50">
        <v>3500</v>
      </c>
      <c r="H20" s="26" t="s">
        <v>1668</v>
      </c>
    </row>
    <row r="21" spans="1:8" ht="27">
      <c r="A21" s="49">
        <v>39841</v>
      </c>
      <c r="B21" s="26" t="s">
        <v>826</v>
      </c>
      <c r="C21" s="26" t="s">
        <v>144</v>
      </c>
      <c r="D21" s="26" t="s">
        <v>1669</v>
      </c>
      <c r="E21" s="26" t="s">
        <v>11</v>
      </c>
      <c r="F21" s="40">
        <v>506</v>
      </c>
      <c r="G21" s="50">
        <v>75000</v>
      </c>
      <c r="H21" s="26" t="s">
        <v>1670</v>
      </c>
    </row>
    <row r="22" spans="1:8" ht="18">
      <c r="A22" s="49">
        <v>39841</v>
      </c>
      <c r="B22" s="26" t="s">
        <v>826</v>
      </c>
      <c r="C22" s="26" t="s">
        <v>602</v>
      </c>
      <c r="D22" s="26" t="s">
        <v>1671</v>
      </c>
      <c r="E22" s="26" t="s">
        <v>1656</v>
      </c>
      <c r="F22" s="40" t="s">
        <v>255</v>
      </c>
      <c r="G22" s="50">
        <v>53700</v>
      </c>
      <c r="H22" s="26" t="s">
        <v>1666</v>
      </c>
    </row>
    <row r="23" spans="1:8" ht="36">
      <c r="A23" s="49">
        <v>39841</v>
      </c>
      <c r="B23" s="26" t="s">
        <v>63</v>
      </c>
      <c r="C23" s="26" t="s">
        <v>147</v>
      </c>
      <c r="D23" s="26" t="s">
        <v>1672</v>
      </c>
      <c r="E23" s="26" t="s">
        <v>11</v>
      </c>
      <c r="F23" s="40" t="s">
        <v>255</v>
      </c>
      <c r="G23" s="50">
        <v>109527</v>
      </c>
      <c r="H23" s="26" t="s">
        <v>1673</v>
      </c>
    </row>
    <row r="24" spans="1:8" ht="27">
      <c r="A24" s="49">
        <v>39841</v>
      </c>
      <c r="B24" s="26" t="s">
        <v>826</v>
      </c>
      <c r="C24" s="26" t="s">
        <v>334</v>
      </c>
      <c r="D24" s="26" t="s">
        <v>1674</v>
      </c>
      <c r="E24" s="26" t="s">
        <v>1656</v>
      </c>
      <c r="F24" s="40" t="s">
        <v>255</v>
      </c>
      <c r="G24" s="50">
        <v>53600</v>
      </c>
      <c r="H24" s="26" t="s">
        <v>1664</v>
      </c>
    </row>
    <row r="25" spans="1:8">
      <c r="A25" s="47" t="s">
        <v>632</v>
      </c>
      <c r="B25" s="24"/>
      <c r="C25" s="24"/>
      <c r="D25" s="24"/>
      <c r="E25" s="24"/>
      <c r="F25" s="48"/>
      <c r="G25" s="48"/>
      <c r="H25" s="24"/>
    </row>
    <row r="26" spans="1:8" ht="18">
      <c r="A26" s="49">
        <v>39855</v>
      </c>
      <c r="B26" s="26" t="s">
        <v>1352</v>
      </c>
      <c r="C26" s="26" t="s">
        <v>1675</v>
      </c>
      <c r="D26" s="26" t="s">
        <v>1098</v>
      </c>
      <c r="E26" s="26" t="s">
        <v>264</v>
      </c>
      <c r="F26" s="40">
        <v>350</v>
      </c>
      <c r="G26" s="50">
        <v>64801</v>
      </c>
      <c r="H26" s="26" t="s">
        <v>1676</v>
      </c>
    </row>
    <row r="27" spans="1:8" ht="27">
      <c r="A27" s="49">
        <v>39855</v>
      </c>
      <c r="B27" s="26" t="s">
        <v>826</v>
      </c>
      <c r="C27" s="26" t="s">
        <v>267</v>
      </c>
      <c r="D27" s="26" t="s">
        <v>1677</v>
      </c>
      <c r="E27" s="26" t="s">
        <v>106</v>
      </c>
      <c r="F27" s="40" t="s">
        <v>255</v>
      </c>
      <c r="G27" s="50">
        <v>279813</v>
      </c>
      <c r="H27" s="26" t="s">
        <v>1678</v>
      </c>
    </row>
    <row r="28" spans="1:8" ht="36">
      <c r="A28" s="49">
        <v>39855</v>
      </c>
      <c r="B28" s="26" t="s">
        <v>826</v>
      </c>
      <c r="C28" s="26" t="s">
        <v>1679</v>
      </c>
      <c r="D28" s="26" t="s">
        <v>1680</v>
      </c>
      <c r="E28" s="26" t="s">
        <v>106</v>
      </c>
      <c r="F28" s="40" t="s">
        <v>255</v>
      </c>
      <c r="G28" s="50">
        <v>374644</v>
      </c>
      <c r="H28" s="26" t="s">
        <v>1681</v>
      </c>
    </row>
    <row r="29" spans="1:8" ht="18">
      <c r="A29" s="49">
        <v>39855</v>
      </c>
      <c r="B29" s="26" t="s">
        <v>826</v>
      </c>
      <c r="C29" s="26" t="s">
        <v>81</v>
      </c>
      <c r="D29" s="26" t="s">
        <v>1298</v>
      </c>
      <c r="E29" s="26" t="s">
        <v>106</v>
      </c>
      <c r="F29" s="40" t="s">
        <v>255</v>
      </c>
      <c r="G29" s="50">
        <v>78000</v>
      </c>
      <c r="H29" s="26" t="s">
        <v>1682</v>
      </c>
    </row>
    <row r="30" spans="1:8" ht="27">
      <c r="A30" s="49">
        <v>39855</v>
      </c>
      <c r="B30" s="26" t="s">
        <v>826</v>
      </c>
      <c r="C30" s="26" t="s">
        <v>248</v>
      </c>
      <c r="D30" s="26" t="s">
        <v>1674</v>
      </c>
      <c r="E30" s="26" t="s">
        <v>106</v>
      </c>
      <c r="F30" s="40">
        <v>350</v>
      </c>
      <c r="G30" s="50">
        <v>63000</v>
      </c>
      <c r="H30" s="26" t="s">
        <v>1683</v>
      </c>
    </row>
    <row r="31" spans="1:8" ht="18">
      <c r="A31" s="49">
        <v>39856</v>
      </c>
      <c r="B31" s="26" t="s">
        <v>826</v>
      </c>
      <c r="C31" s="26" t="s">
        <v>1675</v>
      </c>
      <c r="D31" s="26" t="s">
        <v>1684</v>
      </c>
      <c r="E31" s="26" t="s">
        <v>264</v>
      </c>
      <c r="F31" s="40">
        <v>168</v>
      </c>
      <c r="G31" s="50">
        <v>184000</v>
      </c>
      <c r="H31" s="26" t="s">
        <v>1685</v>
      </c>
    </row>
    <row r="32" spans="1:8" ht="27">
      <c r="A32" s="49">
        <v>39856</v>
      </c>
      <c r="B32" s="26" t="s">
        <v>826</v>
      </c>
      <c r="C32" s="26" t="s">
        <v>500</v>
      </c>
      <c r="D32" s="26" t="s">
        <v>1686</v>
      </c>
      <c r="E32" s="26" t="s">
        <v>264</v>
      </c>
      <c r="F32" s="40">
        <v>130</v>
      </c>
      <c r="G32" s="50">
        <v>132000</v>
      </c>
      <c r="H32" s="26" t="s">
        <v>1687</v>
      </c>
    </row>
    <row r="33" spans="1:8" ht="18">
      <c r="A33" s="49">
        <v>39857</v>
      </c>
      <c r="B33" s="26" t="s">
        <v>826</v>
      </c>
      <c r="C33" s="26" t="s">
        <v>1675</v>
      </c>
      <c r="D33" s="26" t="s">
        <v>1684</v>
      </c>
      <c r="E33" s="26" t="s">
        <v>264</v>
      </c>
      <c r="F33" s="40">
        <v>168</v>
      </c>
      <c r="G33" s="50">
        <v>184000</v>
      </c>
      <c r="H33" s="26" t="s">
        <v>1688</v>
      </c>
    </row>
    <row r="34" spans="1:8" ht="27">
      <c r="A34" s="49">
        <v>39867</v>
      </c>
      <c r="B34" s="26" t="s">
        <v>61</v>
      </c>
      <c r="C34" s="26" t="s">
        <v>1603</v>
      </c>
      <c r="D34" s="26" t="s">
        <v>1689</v>
      </c>
      <c r="E34" s="26" t="s">
        <v>1656</v>
      </c>
      <c r="F34" s="40" t="s">
        <v>255</v>
      </c>
      <c r="G34" s="50">
        <v>131000</v>
      </c>
      <c r="H34" s="26" t="s">
        <v>1690</v>
      </c>
    </row>
    <row r="35" spans="1:8">
      <c r="A35" s="47" t="s">
        <v>1093</v>
      </c>
      <c r="B35" s="24"/>
      <c r="C35" s="24"/>
      <c r="D35" s="24"/>
      <c r="E35" s="24"/>
      <c r="F35" s="48"/>
      <c r="G35" s="48"/>
      <c r="H35" s="24"/>
    </row>
    <row r="36" spans="1:8" ht="27">
      <c r="A36" s="49">
        <v>39873</v>
      </c>
      <c r="B36" s="26" t="s">
        <v>124</v>
      </c>
      <c r="C36" s="26" t="s">
        <v>1691</v>
      </c>
      <c r="D36" s="26" t="s">
        <v>1692</v>
      </c>
      <c r="E36" s="26" t="s">
        <v>681</v>
      </c>
      <c r="F36" s="40">
        <v>250</v>
      </c>
      <c r="G36" s="50">
        <v>132000</v>
      </c>
      <c r="H36" s="26" t="s">
        <v>1693</v>
      </c>
    </row>
    <row r="37" spans="1:8" ht="18">
      <c r="A37" s="49">
        <v>39873</v>
      </c>
      <c r="B37" s="26" t="s">
        <v>63</v>
      </c>
      <c r="C37" s="26" t="s">
        <v>212</v>
      </c>
      <c r="D37" s="26" t="s">
        <v>1694</v>
      </c>
      <c r="E37" s="26" t="s">
        <v>22</v>
      </c>
      <c r="F37" s="40">
        <v>75</v>
      </c>
      <c r="G37" s="50">
        <v>60000</v>
      </c>
      <c r="H37" s="26" t="s">
        <v>1695</v>
      </c>
    </row>
    <row r="38" spans="1:8" ht="36">
      <c r="A38" s="49">
        <v>39873</v>
      </c>
      <c r="B38" s="26" t="s">
        <v>63</v>
      </c>
      <c r="C38" s="26" t="s">
        <v>1696</v>
      </c>
      <c r="D38" s="26" t="s">
        <v>1697</v>
      </c>
      <c r="E38" s="26" t="s">
        <v>1656</v>
      </c>
      <c r="F38" s="50">
        <v>1000</v>
      </c>
      <c r="G38" s="50">
        <v>180000</v>
      </c>
      <c r="H38" s="26" t="s">
        <v>1698</v>
      </c>
    </row>
    <row r="39" spans="1:8" ht="27">
      <c r="A39" s="49">
        <v>39873</v>
      </c>
      <c r="B39" s="26" t="s">
        <v>63</v>
      </c>
      <c r="C39" s="26" t="s">
        <v>1285</v>
      </c>
      <c r="D39" s="26" t="s">
        <v>1699</v>
      </c>
      <c r="E39" s="26" t="s">
        <v>40</v>
      </c>
      <c r="F39" s="40">
        <v>210</v>
      </c>
      <c r="G39" s="50">
        <v>217000</v>
      </c>
      <c r="H39" s="26" t="s">
        <v>1700</v>
      </c>
    </row>
    <row r="40" spans="1:8" ht="27.75" thickBot="1">
      <c r="A40" s="51">
        <v>39875</v>
      </c>
      <c r="B40" s="30" t="s">
        <v>826</v>
      </c>
      <c r="C40" s="30" t="s">
        <v>1701</v>
      </c>
      <c r="D40" s="30" t="s">
        <v>1238</v>
      </c>
      <c r="E40" s="30" t="s">
        <v>1702</v>
      </c>
      <c r="F40" s="52">
        <v>378</v>
      </c>
      <c r="G40" s="52" t="s">
        <v>255</v>
      </c>
      <c r="H40" s="30" t="s">
        <v>1703</v>
      </c>
    </row>
    <row r="41" spans="1:8" ht="13.5" thickTop="1">
      <c r="A41" s="33"/>
    </row>
    <row r="42" spans="1:8" ht="13.5" thickBot="1">
      <c r="A42" s="19" t="s">
        <v>1632</v>
      </c>
      <c r="B42" s="19"/>
    </row>
    <row r="43" spans="1:8" ht="18" customHeight="1" thickTop="1">
      <c r="A43" s="810" t="s">
        <v>2</v>
      </c>
      <c r="B43" s="793" t="s">
        <v>57</v>
      </c>
      <c r="C43" s="793" t="s">
        <v>3</v>
      </c>
      <c r="D43" s="793" t="s">
        <v>67</v>
      </c>
      <c r="E43" s="793" t="s">
        <v>5</v>
      </c>
      <c r="F43" s="793" t="s">
        <v>6</v>
      </c>
      <c r="G43" s="793" t="s">
        <v>68</v>
      </c>
      <c r="H43" s="22" t="s">
        <v>69</v>
      </c>
    </row>
    <row r="44" spans="1:8" ht="13.5" thickBot="1">
      <c r="A44" s="811"/>
      <c r="B44" s="812"/>
      <c r="C44" s="812"/>
      <c r="D44" s="812"/>
      <c r="E44" s="812"/>
      <c r="F44" s="812"/>
      <c r="G44" s="812"/>
      <c r="H44" s="61" t="s">
        <v>70</v>
      </c>
    </row>
    <row r="45" spans="1:8" ht="16.5" thickTop="1">
      <c r="A45" s="62"/>
    </row>
    <row r="46" spans="1:8" ht="18">
      <c r="A46" s="49">
        <v>39875</v>
      </c>
      <c r="B46" s="26" t="s">
        <v>1704</v>
      </c>
      <c r="C46" s="26" t="s">
        <v>1285</v>
      </c>
      <c r="D46" s="26" t="s">
        <v>1705</v>
      </c>
      <c r="E46" s="26" t="s">
        <v>962</v>
      </c>
      <c r="F46" s="40">
        <v>350</v>
      </c>
      <c r="G46" s="40">
        <v>0</v>
      </c>
      <c r="H46" s="26" t="s">
        <v>1706</v>
      </c>
    </row>
    <row r="47" spans="1:8" ht="27">
      <c r="A47" s="49">
        <v>39880</v>
      </c>
      <c r="B47" s="26" t="s">
        <v>124</v>
      </c>
      <c r="C47" s="26" t="s">
        <v>1707</v>
      </c>
      <c r="D47" s="26" t="s">
        <v>1109</v>
      </c>
      <c r="E47" s="26" t="s">
        <v>1708</v>
      </c>
      <c r="F47" s="40">
        <v>150</v>
      </c>
      <c r="G47" s="40" t="s">
        <v>455</v>
      </c>
      <c r="H47" s="26" t="s">
        <v>1709</v>
      </c>
    </row>
    <row r="48" spans="1:8">
      <c r="A48" s="47" t="s">
        <v>1100</v>
      </c>
      <c r="B48" s="24"/>
      <c r="C48" s="24"/>
      <c r="D48" s="24"/>
      <c r="E48" s="24"/>
      <c r="F48" s="48"/>
      <c r="G48" s="48"/>
      <c r="H48" s="24"/>
    </row>
    <row r="49" spans="1:8" ht="18">
      <c r="A49" s="49">
        <v>39909</v>
      </c>
      <c r="B49" s="26" t="s">
        <v>826</v>
      </c>
      <c r="C49" s="26" t="s">
        <v>534</v>
      </c>
      <c r="D49" s="26" t="s">
        <v>1710</v>
      </c>
      <c r="E49" s="26" t="s">
        <v>40</v>
      </c>
      <c r="F49" s="40">
        <v>75</v>
      </c>
      <c r="G49" s="50">
        <v>70793</v>
      </c>
      <c r="H49" s="26" t="s">
        <v>1711</v>
      </c>
    </row>
    <row r="50" spans="1:8" ht="18">
      <c r="A50" s="49">
        <v>39913</v>
      </c>
      <c r="B50" s="26" t="s">
        <v>63</v>
      </c>
      <c r="C50" s="26" t="s">
        <v>1285</v>
      </c>
      <c r="D50" s="26" t="s">
        <v>657</v>
      </c>
      <c r="E50" s="26" t="s">
        <v>106</v>
      </c>
      <c r="F50" s="40">
        <v>162</v>
      </c>
      <c r="G50" s="50">
        <v>56679</v>
      </c>
      <c r="H50" s="26" t="s">
        <v>1712</v>
      </c>
    </row>
    <row r="51" spans="1:8" ht="27">
      <c r="A51" s="49">
        <v>39926</v>
      </c>
      <c r="B51" s="26" t="s">
        <v>124</v>
      </c>
      <c r="C51" s="26" t="s">
        <v>360</v>
      </c>
      <c r="D51" s="26" t="s">
        <v>1713</v>
      </c>
      <c r="E51" s="26" t="s">
        <v>1138</v>
      </c>
      <c r="F51" s="40" t="s">
        <v>455</v>
      </c>
      <c r="G51" s="40" t="s">
        <v>455</v>
      </c>
      <c r="H51" s="26" t="s">
        <v>686</v>
      </c>
    </row>
    <row r="52" spans="1:8" ht="18">
      <c r="A52" s="49">
        <v>39926</v>
      </c>
      <c r="B52" s="26" t="s">
        <v>124</v>
      </c>
      <c r="C52" s="26" t="s">
        <v>1058</v>
      </c>
      <c r="D52" s="26" t="s">
        <v>1714</v>
      </c>
      <c r="E52" s="26" t="s">
        <v>1715</v>
      </c>
      <c r="F52" s="40">
        <v>244</v>
      </c>
      <c r="G52" s="50">
        <v>93300</v>
      </c>
      <c r="H52" s="26" t="s">
        <v>1716</v>
      </c>
    </row>
    <row r="53" spans="1:8" ht="99">
      <c r="A53" s="49">
        <v>39926</v>
      </c>
      <c r="B53" s="26" t="s">
        <v>124</v>
      </c>
      <c r="C53" s="26" t="s">
        <v>1717</v>
      </c>
      <c r="D53" s="26" t="s">
        <v>1718</v>
      </c>
      <c r="E53" s="26" t="s">
        <v>1719</v>
      </c>
      <c r="F53" s="40">
        <v>512</v>
      </c>
      <c r="G53" s="50">
        <v>280000</v>
      </c>
      <c r="H53" s="26" t="s">
        <v>1720</v>
      </c>
    </row>
    <row r="54" spans="1:8" ht="27">
      <c r="A54" s="49">
        <v>39927</v>
      </c>
      <c r="B54" s="26" t="s">
        <v>63</v>
      </c>
      <c r="C54" s="26" t="s">
        <v>1721</v>
      </c>
      <c r="D54" s="26" t="s">
        <v>1722</v>
      </c>
      <c r="E54" s="26" t="s">
        <v>1723</v>
      </c>
      <c r="F54" s="40">
        <v>32</v>
      </c>
      <c r="G54" s="50">
        <v>11000</v>
      </c>
      <c r="H54" s="26" t="s">
        <v>1724</v>
      </c>
    </row>
    <row r="55" spans="1:8" ht="27">
      <c r="A55" s="49">
        <v>39928</v>
      </c>
      <c r="B55" s="26" t="s">
        <v>826</v>
      </c>
      <c r="C55" s="26" t="s">
        <v>392</v>
      </c>
      <c r="D55" s="26" t="s">
        <v>1725</v>
      </c>
      <c r="E55" s="26" t="s">
        <v>1726</v>
      </c>
      <c r="F55" s="40" t="s">
        <v>255</v>
      </c>
      <c r="G55" s="50">
        <v>125000</v>
      </c>
      <c r="H55" s="26" t="s">
        <v>1727</v>
      </c>
    </row>
    <row r="56" spans="1:8" ht="27">
      <c r="A56" s="49">
        <v>39930</v>
      </c>
      <c r="B56" s="26" t="s">
        <v>1352</v>
      </c>
      <c r="C56" s="26" t="s">
        <v>397</v>
      </c>
      <c r="D56" s="26" t="s">
        <v>1728</v>
      </c>
      <c r="E56" s="26" t="s">
        <v>264</v>
      </c>
      <c r="F56" s="40">
        <v>176</v>
      </c>
      <c r="G56" s="50">
        <v>158000</v>
      </c>
      <c r="H56" s="26" t="s">
        <v>1729</v>
      </c>
    </row>
    <row r="57" spans="1:8">
      <c r="A57" s="47" t="s">
        <v>1124</v>
      </c>
      <c r="B57" s="24"/>
      <c r="C57" s="24"/>
      <c r="D57" s="24"/>
      <c r="E57" s="24"/>
      <c r="F57" s="48"/>
      <c r="G57" s="48"/>
      <c r="H57" s="24"/>
    </row>
    <row r="58" spans="1:8" ht="18">
      <c r="A58" s="49">
        <v>39941</v>
      </c>
      <c r="B58" s="26" t="s">
        <v>63</v>
      </c>
      <c r="C58" s="26" t="s">
        <v>274</v>
      </c>
      <c r="D58" s="26" t="s">
        <v>1730</v>
      </c>
      <c r="E58" s="26" t="s">
        <v>717</v>
      </c>
      <c r="F58" s="40">
        <v>266</v>
      </c>
      <c r="G58" s="50">
        <v>83000</v>
      </c>
      <c r="H58" s="26" t="s">
        <v>1731</v>
      </c>
    </row>
    <row r="59" spans="1:8" ht="18">
      <c r="A59" s="49">
        <v>39941</v>
      </c>
      <c r="B59" s="26" t="s">
        <v>63</v>
      </c>
      <c r="C59" s="26" t="s">
        <v>458</v>
      </c>
      <c r="D59" s="26" t="s">
        <v>1732</v>
      </c>
      <c r="E59" s="26" t="s">
        <v>717</v>
      </c>
      <c r="F59" s="40">
        <v>300</v>
      </c>
      <c r="G59" s="50">
        <v>68800</v>
      </c>
      <c r="H59" s="26" t="s">
        <v>1733</v>
      </c>
    </row>
    <row r="60" spans="1:8" ht="27">
      <c r="A60" s="49">
        <v>39962</v>
      </c>
      <c r="B60" s="26" t="s">
        <v>63</v>
      </c>
      <c r="C60" s="26" t="s">
        <v>1734</v>
      </c>
      <c r="D60" s="26" t="s">
        <v>1735</v>
      </c>
      <c r="E60" s="26" t="s">
        <v>681</v>
      </c>
      <c r="F60" s="40">
        <v>342</v>
      </c>
      <c r="G60" s="40">
        <v>1</v>
      </c>
      <c r="H60" s="26" t="s">
        <v>1736</v>
      </c>
    </row>
    <row r="61" spans="1:8">
      <c r="A61" s="47" t="s">
        <v>1136</v>
      </c>
      <c r="B61" s="24"/>
      <c r="C61" s="24"/>
      <c r="D61" s="24"/>
      <c r="E61" s="24"/>
      <c r="F61" s="48"/>
      <c r="G61" s="48"/>
      <c r="H61" s="24"/>
    </row>
    <row r="62" spans="1:8" ht="27">
      <c r="A62" s="49">
        <v>39969</v>
      </c>
      <c r="B62" s="26" t="s">
        <v>124</v>
      </c>
      <c r="C62" s="26" t="s">
        <v>1237</v>
      </c>
      <c r="D62" s="26" t="s">
        <v>1737</v>
      </c>
      <c r="E62" s="26" t="s">
        <v>1223</v>
      </c>
      <c r="F62" s="40">
        <v>1</v>
      </c>
      <c r="G62" s="40">
        <v>70</v>
      </c>
      <c r="H62" s="26" t="s">
        <v>1738</v>
      </c>
    </row>
    <row r="63" spans="1:8" ht="18">
      <c r="A63" s="49">
        <v>39973</v>
      </c>
      <c r="B63" s="26" t="s">
        <v>826</v>
      </c>
      <c r="C63" s="26" t="s">
        <v>1739</v>
      </c>
      <c r="D63" s="26" t="s">
        <v>916</v>
      </c>
      <c r="E63" s="26" t="s">
        <v>106</v>
      </c>
      <c r="F63" s="40">
        <v>60</v>
      </c>
      <c r="G63" s="50">
        <v>85091</v>
      </c>
      <c r="H63" s="26" t="s">
        <v>1740</v>
      </c>
    </row>
    <row r="64" spans="1:8" ht="18">
      <c r="A64" s="49">
        <v>39974</v>
      </c>
      <c r="B64" s="26" t="s">
        <v>1352</v>
      </c>
      <c r="C64" s="26" t="s">
        <v>267</v>
      </c>
      <c r="D64" s="26" t="s">
        <v>1633</v>
      </c>
      <c r="E64" s="26" t="s">
        <v>153</v>
      </c>
      <c r="F64" s="40" t="s">
        <v>255</v>
      </c>
      <c r="G64" s="50">
        <v>800000</v>
      </c>
      <c r="H64" s="26" t="s">
        <v>1741</v>
      </c>
    </row>
    <row r="65" spans="1:8" ht="18">
      <c r="A65" s="49">
        <v>39976</v>
      </c>
      <c r="B65" s="26" t="s">
        <v>63</v>
      </c>
      <c r="C65" s="26" t="s">
        <v>1742</v>
      </c>
      <c r="D65" s="26" t="s">
        <v>1743</v>
      </c>
      <c r="E65" s="26" t="s">
        <v>362</v>
      </c>
      <c r="F65" s="40">
        <v>860</v>
      </c>
      <c r="G65" s="50">
        <v>136000</v>
      </c>
      <c r="H65" s="26" t="s">
        <v>1744</v>
      </c>
    </row>
    <row r="66" spans="1:8" ht="18">
      <c r="A66" s="49">
        <v>39976</v>
      </c>
      <c r="B66" s="26" t="s">
        <v>63</v>
      </c>
      <c r="C66" s="26" t="s">
        <v>1745</v>
      </c>
      <c r="D66" s="26" t="s">
        <v>1746</v>
      </c>
      <c r="E66" s="26" t="s">
        <v>106</v>
      </c>
      <c r="F66" s="40" t="s">
        <v>255</v>
      </c>
      <c r="G66" s="50">
        <v>81645</v>
      </c>
      <c r="H66" s="26" t="s">
        <v>1747</v>
      </c>
    </row>
    <row r="67" spans="1:8" ht="18">
      <c r="A67" s="49">
        <v>39976</v>
      </c>
      <c r="B67" s="26" t="s">
        <v>63</v>
      </c>
      <c r="C67" s="26" t="s">
        <v>1285</v>
      </c>
      <c r="D67" s="26" t="s">
        <v>361</v>
      </c>
      <c r="E67" s="26" t="s">
        <v>717</v>
      </c>
      <c r="F67" s="40">
        <v>290</v>
      </c>
      <c r="G67" s="50">
        <v>102000</v>
      </c>
      <c r="H67" s="26" t="s">
        <v>1748</v>
      </c>
    </row>
    <row r="68" spans="1:8" ht="27">
      <c r="A68" s="49">
        <v>39980</v>
      </c>
      <c r="B68" s="26" t="s">
        <v>124</v>
      </c>
      <c r="C68" s="26" t="s">
        <v>815</v>
      </c>
      <c r="D68" s="26" t="s">
        <v>1532</v>
      </c>
      <c r="E68" s="26" t="s">
        <v>1138</v>
      </c>
      <c r="F68" s="40">
        <v>300</v>
      </c>
      <c r="G68" s="40">
        <v>0</v>
      </c>
      <c r="H68" s="26" t="s">
        <v>1749</v>
      </c>
    </row>
    <row r="69" spans="1:8" ht="18">
      <c r="A69" s="49">
        <v>39983</v>
      </c>
      <c r="B69" s="26" t="s">
        <v>826</v>
      </c>
      <c r="C69" s="26" t="s">
        <v>1038</v>
      </c>
      <c r="D69" s="26" t="s">
        <v>1624</v>
      </c>
      <c r="E69" s="26" t="s">
        <v>362</v>
      </c>
      <c r="F69" s="40">
        <v>75</v>
      </c>
      <c r="G69" s="50">
        <v>99000</v>
      </c>
      <c r="H69" s="26" t="s">
        <v>1750</v>
      </c>
    </row>
    <row r="70" spans="1:8" ht="27">
      <c r="A70" s="49">
        <v>39983</v>
      </c>
      <c r="B70" s="26" t="s">
        <v>63</v>
      </c>
      <c r="C70" s="26" t="s">
        <v>129</v>
      </c>
      <c r="D70" s="26" t="s">
        <v>1270</v>
      </c>
      <c r="E70" s="26" t="s">
        <v>362</v>
      </c>
      <c r="F70" s="40" t="s">
        <v>255</v>
      </c>
      <c r="G70" s="50">
        <v>245000</v>
      </c>
      <c r="H70" s="26" t="s">
        <v>1751</v>
      </c>
    </row>
    <row r="71" spans="1:8" ht="18">
      <c r="A71" s="49">
        <v>39988</v>
      </c>
      <c r="B71" s="26" t="s">
        <v>63</v>
      </c>
      <c r="C71" s="26" t="s">
        <v>458</v>
      </c>
      <c r="D71" s="26" t="s">
        <v>133</v>
      </c>
      <c r="E71" s="26" t="s">
        <v>962</v>
      </c>
      <c r="F71" s="40" t="s">
        <v>255</v>
      </c>
      <c r="G71" s="40" t="s">
        <v>255</v>
      </c>
      <c r="H71" s="26" t="s">
        <v>1752</v>
      </c>
    </row>
    <row r="72" spans="1:8" ht="18">
      <c r="A72" s="49">
        <v>39989</v>
      </c>
      <c r="B72" s="26" t="s">
        <v>1352</v>
      </c>
      <c r="C72" s="26" t="s">
        <v>258</v>
      </c>
      <c r="D72" s="26" t="s">
        <v>1753</v>
      </c>
      <c r="E72" s="26" t="s">
        <v>962</v>
      </c>
      <c r="F72" s="40" t="s">
        <v>255</v>
      </c>
      <c r="G72" s="40" t="s">
        <v>255</v>
      </c>
      <c r="H72" s="26" t="s">
        <v>1754</v>
      </c>
    </row>
    <row r="73" spans="1:8" ht="27">
      <c r="A73" s="49">
        <v>39989</v>
      </c>
      <c r="B73" s="26" t="s">
        <v>826</v>
      </c>
      <c r="C73" s="26" t="s">
        <v>397</v>
      </c>
      <c r="D73" s="26" t="s">
        <v>1725</v>
      </c>
      <c r="E73" s="26" t="s">
        <v>1726</v>
      </c>
      <c r="F73" s="40" t="s">
        <v>255</v>
      </c>
      <c r="G73" s="50">
        <v>118000</v>
      </c>
      <c r="H73" s="26" t="s">
        <v>1755</v>
      </c>
    </row>
    <row r="74" spans="1:8" ht="54">
      <c r="A74" s="49">
        <v>39990</v>
      </c>
      <c r="B74" s="26" t="s">
        <v>826</v>
      </c>
      <c r="C74" s="26" t="s">
        <v>534</v>
      </c>
      <c r="D74" s="26" t="s">
        <v>1756</v>
      </c>
      <c r="E74" s="26" t="s">
        <v>106</v>
      </c>
      <c r="F74" s="40">
        <v>327</v>
      </c>
      <c r="G74" s="50">
        <v>85000</v>
      </c>
      <c r="H74" s="26" t="s">
        <v>1757</v>
      </c>
    </row>
    <row r="75" spans="1:8" ht="18">
      <c r="A75" s="49">
        <v>39990</v>
      </c>
      <c r="B75" s="26" t="s">
        <v>61</v>
      </c>
      <c r="C75" s="26" t="s">
        <v>104</v>
      </c>
      <c r="D75" s="26" t="s">
        <v>1758</v>
      </c>
      <c r="E75" s="26" t="s">
        <v>106</v>
      </c>
      <c r="F75" s="40" t="s">
        <v>255</v>
      </c>
      <c r="G75" s="50">
        <v>50752</v>
      </c>
      <c r="H75" s="26" t="s">
        <v>1759</v>
      </c>
    </row>
    <row r="76" spans="1:8">
      <c r="A76" s="47" t="s">
        <v>1149</v>
      </c>
      <c r="B76" s="24"/>
      <c r="C76" s="24"/>
      <c r="D76" s="24"/>
      <c r="E76" s="24"/>
      <c r="F76" s="48"/>
      <c r="G76" s="48"/>
      <c r="H76" s="24"/>
    </row>
    <row r="77" spans="1:8" ht="27">
      <c r="A77" s="49">
        <v>39996</v>
      </c>
      <c r="B77" s="26" t="s">
        <v>61</v>
      </c>
      <c r="C77" s="26" t="s">
        <v>1760</v>
      </c>
      <c r="D77" s="26" t="s">
        <v>1761</v>
      </c>
      <c r="E77" s="26" t="s">
        <v>1223</v>
      </c>
      <c r="F77" s="40">
        <v>0</v>
      </c>
      <c r="G77" s="40">
        <v>0</v>
      </c>
      <c r="H77" s="26" t="s">
        <v>1762</v>
      </c>
    </row>
    <row r="78" spans="1:8" ht="18">
      <c r="A78" s="49">
        <v>40001</v>
      </c>
      <c r="B78" s="26" t="s">
        <v>1352</v>
      </c>
      <c r="C78" s="26" t="s">
        <v>397</v>
      </c>
      <c r="D78" s="26" t="s">
        <v>1763</v>
      </c>
      <c r="E78" s="26" t="s">
        <v>962</v>
      </c>
      <c r="F78" s="40" t="s">
        <v>255</v>
      </c>
      <c r="G78" s="40" t="s">
        <v>255</v>
      </c>
      <c r="H78" s="26" t="s">
        <v>1764</v>
      </c>
    </row>
    <row r="79" spans="1:8" ht="18">
      <c r="A79" s="49">
        <v>40002</v>
      </c>
      <c r="B79" s="26" t="s">
        <v>1352</v>
      </c>
      <c r="C79" s="26" t="s">
        <v>458</v>
      </c>
      <c r="D79" s="26" t="s">
        <v>1753</v>
      </c>
      <c r="E79" s="26" t="s">
        <v>962</v>
      </c>
      <c r="F79" s="40" t="s">
        <v>255</v>
      </c>
      <c r="G79" s="40" t="s">
        <v>255</v>
      </c>
      <c r="H79" s="26" t="s">
        <v>1765</v>
      </c>
    </row>
    <row r="80" spans="1:8" ht="27.75" thickBot="1">
      <c r="A80" s="51">
        <v>40008</v>
      </c>
      <c r="B80" s="30" t="s">
        <v>58</v>
      </c>
      <c r="C80" s="30" t="s">
        <v>129</v>
      </c>
      <c r="D80" s="30" t="s">
        <v>1766</v>
      </c>
      <c r="E80" s="30" t="s">
        <v>962</v>
      </c>
      <c r="F80" s="52" t="s">
        <v>255</v>
      </c>
      <c r="G80" s="52" t="s">
        <v>255</v>
      </c>
      <c r="H80" s="30" t="s">
        <v>1767</v>
      </c>
    </row>
    <row r="81" spans="1:8" ht="13.5" thickTop="1">
      <c r="A81" s="33"/>
    </row>
    <row r="82" spans="1:8" ht="13.5" thickBot="1">
      <c r="A82" s="19" t="s">
        <v>1632</v>
      </c>
      <c r="B82" s="33"/>
    </row>
    <row r="83" spans="1:8" ht="24.75" customHeight="1" thickTop="1">
      <c r="A83" s="810" t="s">
        <v>2</v>
      </c>
      <c r="B83" s="793" t="s">
        <v>57</v>
      </c>
      <c r="C83" s="793" t="s">
        <v>3</v>
      </c>
      <c r="D83" s="793" t="s">
        <v>67</v>
      </c>
      <c r="E83" s="793" t="s">
        <v>5</v>
      </c>
      <c r="F83" s="793" t="s">
        <v>6</v>
      </c>
      <c r="G83" s="813" t="s">
        <v>1027</v>
      </c>
      <c r="H83" s="22" t="s">
        <v>69</v>
      </c>
    </row>
    <row r="84" spans="1:8" ht="13.5" thickBot="1">
      <c r="A84" s="811"/>
      <c r="B84" s="812"/>
      <c r="C84" s="812"/>
      <c r="D84" s="812"/>
      <c r="E84" s="812"/>
      <c r="F84" s="812"/>
      <c r="G84" s="814"/>
      <c r="H84" s="61" t="s">
        <v>70</v>
      </c>
    </row>
    <row r="85" spans="1:8" ht="16.5" thickTop="1">
      <c r="A85" s="62"/>
    </row>
    <row r="86" spans="1:8" ht="27">
      <c r="A86" s="49">
        <v>40009</v>
      </c>
      <c r="B86" s="26" t="s">
        <v>58</v>
      </c>
      <c r="C86" s="26" t="s">
        <v>129</v>
      </c>
      <c r="D86" s="26" t="s">
        <v>1766</v>
      </c>
      <c r="E86" s="26" t="s">
        <v>962</v>
      </c>
      <c r="F86" s="40" t="s">
        <v>255</v>
      </c>
      <c r="G86" s="40" t="s">
        <v>255</v>
      </c>
      <c r="H86" s="26" t="s">
        <v>1768</v>
      </c>
    </row>
    <row r="87" spans="1:8" ht="27">
      <c r="A87" s="49">
        <v>40010</v>
      </c>
      <c r="B87" s="26" t="s">
        <v>58</v>
      </c>
      <c r="C87" s="26" t="s">
        <v>129</v>
      </c>
      <c r="D87" s="26" t="s">
        <v>1766</v>
      </c>
      <c r="E87" s="26" t="s">
        <v>962</v>
      </c>
      <c r="F87" s="40" t="s">
        <v>255</v>
      </c>
      <c r="G87" s="40" t="s">
        <v>255</v>
      </c>
      <c r="H87" s="26" t="s">
        <v>1769</v>
      </c>
    </row>
    <row r="88" spans="1:8" ht="18">
      <c r="A88" s="49">
        <v>40012</v>
      </c>
      <c r="B88" s="26" t="s">
        <v>1352</v>
      </c>
      <c r="C88" s="26" t="s">
        <v>81</v>
      </c>
      <c r="D88" s="26" t="s">
        <v>1770</v>
      </c>
      <c r="E88" s="26" t="s">
        <v>381</v>
      </c>
      <c r="F88" s="40">
        <v>51</v>
      </c>
      <c r="G88" s="50">
        <v>73000</v>
      </c>
      <c r="H88" s="26" t="s">
        <v>1771</v>
      </c>
    </row>
    <row r="89" spans="1:8" ht="45">
      <c r="A89" s="49">
        <v>40014</v>
      </c>
      <c r="B89" s="26" t="s">
        <v>124</v>
      </c>
      <c r="C89" s="26" t="s">
        <v>1772</v>
      </c>
      <c r="D89" s="26" t="s">
        <v>1773</v>
      </c>
      <c r="E89" s="26" t="s">
        <v>717</v>
      </c>
      <c r="F89" s="40">
        <v>150</v>
      </c>
      <c r="G89" s="50">
        <v>86058</v>
      </c>
      <c r="H89" s="26" t="s">
        <v>1774</v>
      </c>
    </row>
    <row r="90" spans="1:8" ht="27">
      <c r="A90" s="49">
        <v>40015</v>
      </c>
      <c r="B90" s="26" t="s">
        <v>124</v>
      </c>
      <c r="C90" s="26" t="s">
        <v>1775</v>
      </c>
      <c r="D90" s="26" t="s">
        <v>1109</v>
      </c>
      <c r="E90" s="26" t="s">
        <v>142</v>
      </c>
      <c r="F90" s="40">
        <v>136</v>
      </c>
      <c r="G90" s="40">
        <v>1</v>
      </c>
      <c r="H90" s="26" t="s">
        <v>1776</v>
      </c>
    </row>
    <row r="91" spans="1:8" ht="36">
      <c r="A91" s="49">
        <v>40021</v>
      </c>
      <c r="B91" s="26" t="s">
        <v>63</v>
      </c>
      <c r="C91" s="26" t="s">
        <v>820</v>
      </c>
      <c r="D91" s="26" t="s">
        <v>1743</v>
      </c>
      <c r="E91" s="26" t="s">
        <v>1777</v>
      </c>
      <c r="F91" s="40" t="s">
        <v>255</v>
      </c>
      <c r="G91" s="40" t="s">
        <v>255</v>
      </c>
      <c r="H91" s="26" t="s">
        <v>1778</v>
      </c>
    </row>
    <row r="92" spans="1:8" ht="27">
      <c r="A92" s="49">
        <v>40022</v>
      </c>
      <c r="B92" s="26" t="s">
        <v>124</v>
      </c>
      <c r="C92" s="26" t="s">
        <v>1779</v>
      </c>
      <c r="D92" s="26" t="s">
        <v>1780</v>
      </c>
      <c r="E92" s="26" t="s">
        <v>1781</v>
      </c>
      <c r="F92" s="40">
        <v>316</v>
      </c>
      <c r="G92" s="40" t="s">
        <v>255</v>
      </c>
      <c r="H92" s="26" t="s">
        <v>1782</v>
      </c>
    </row>
    <row r="93" spans="1:8">
      <c r="A93" s="47" t="s">
        <v>1171</v>
      </c>
      <c r="B93" s="24"/>
      <c r="C93" s="24"/>
      <c r="D93" s="24"/>
      <c r="E93" s="24"/>
      <c r="F93" s="48"/>
      <c r="G93" s="48"/>
      <c r="H93" s="24"/>
    </row>
    <row r="94" spans="1:8" ht="63">
      <c r="A94" s="49">
        <v>40027</v>
      </c>
      <c r="B94" s="26" t="s">
        <v>826</v>
      </c>
      <c r="C94" s="26" t="s">
        <v>1783</v>
      </c>
      <c r="D94" s="26" t="s">
        <v>1784</v>
      </c>
      <c r="E94" s="26" t="s">
        <v>1785</v>
      </c>
      <c r="F94" s="40" t="s">
        <v>255</v>
      </c>
      <c r="G94" s="50">
        <v>70264</v>
      </c>
      <c r="H94" s="26" t="s">
        <v>1786</v>
      </c>
    </row>
    <row r="95" spans="1:8" ht="45">
      <c r="A95" s="49">
        <v>40029</v>
      </c>
      <c r="B95" s="26" t="s">
        <v>826</v>
      </c>
      <c r="C95" s="26" t="s">
        <v>1787</v>
      </c>
      <c r="D95" s="26" t="s">
        <v>1788</v>
      </c>
      <c r="E95" s="26" t="s">
        <v>381</v>
      </c>
      <c r="F95" s="40">
        <v>50</v>
      </c>
      <c r="G95" s="50">
        <v>63700</v>
      </c>
      <c r="H95" s="26" t="s">
        <v>1174</v>
      </c>
    </row>
    <row r="96" spans="1:8" ht="18">
      <c r="A96" s="49">
        <v>40030</v>
      </c>
      <c r="B96" s="26" t="s">
        <v>1352</v>
      </c>
      <c r="C96" s="26" t="s">
        <v>328</v>
      </c>
      <c r="D96" s="26" t="s">
        <v>1753</v>
      </c>
      <c r="E96" s="26" t="s">
        <v>962</v>
      </c>
      <c r="F96" s="40" t="s">
        <v>255</v>
      </c>
      <c r="G96" s="40" t="s">
        <v>255</v>
      </c>
      <c r="H96" s="26" t="s">
        <v>1789</v>
      </c>
    </row>
    <row r="97" spans="1:8" ht="27">
      <c r="A97" s="49">
        <v>40032</v>
      </c>
      <c r="B97" s="26" t="s">
        <v>826</v>
      </c>
      <c r="C97" s="26" t="s">
        <v>815</v>
      </c>
      <c r="D97" s="26" t="s">
        <v>1725</v>
      </c>
      <c r="E97" s="26" t="s">
        <v>1790</v>
      </c>
      <c r="F97" s="40" t="s">
        <v>255</v>
      </c>
      <c r="G97" s="50">
        <v>137000</v>
      </c>
      <c r="H97" s="26" t="s">
        <v>1791</v>
      </c>
    </row>
    <row r="98" spans="1:8" ht="18">
      <c r="A98" s="49">
        <v>40034</v>
      </c>
      <c r="B98" s="26" t="s">
        <v>826</v>
      </c>
      <c r="C98" s="26" t="s">
        <v>1792</v>
      </c>
      <c r="D98" s="26" t="s">
        <v>1710</v>
      </c>
      <c r="E98" s="26" t="s">
        <v>106</v>
      </c>
      <c r="F98" s="40" t="s">
        <v>255</v>
      </c>
      <c r="G98" s="50">
        <v>58156</v>
      </c>
      <c r="H98" s="26" t="s">
        <v>1793</v>
      </c>
    </row>
    <row r="99" spans="1:8" ht="18">
      <c r="A99" s="49">
        <v>40037</v>
      </c>
      <c r="B99" s="26" t="s">
        <v>1352</v>
      </c>
      <c r="C99" s="26" t="s">
        <v>863</v>
      </c>
      <c r="D99" s="26" t="s">
        <v>1794</v>
      </c>
      <c r="E99" s="26" t="s">
        <v>381</v>
      </c>
      <c r="F99" s="40">
        <v>491</v>
      </c>
      <c r="G99" s="50">
        <v>73000</v>
      </c>
      <c r="H99" s="26" t="s">
        <v>1795</v>
      </c>
    </row>
    <row r="100" spans="1:8" ht="27">
      <c r="A100" s="49">
        <v>40046</v>
      </c>
      <c r="B100" s="26" t="s">
        <v>1352</v>
      </c>
      <c r="C100" s="26" t="s">
        <v>81</v>
      </c>
      <c r="D100" s="26" t="s">
        <v>1796</v>
      </c>
      <c r="E100" s="26" t="s">
        <v>381</v>
      </c>
      <c r="F100" s="40">
        <v>544</v>
      </c>
      <c r="G100" s="50">
        <v>80000</v>
      </c>
      <c r="H100" s="26" t="s">
        <v>1797</v>
      </c>
    </row>
    <row r="101" spans="1:8" ht="27">
      <c r="A101" s="49">
        <v>40054</v>
      </c>
      <c r="B101" s="26" t="s">
        <v>674</v>
      </c>
      <c r="C101" s="26" t="s">
        <v>91</v>
      </c>
      <c r="D101" s="26" t="s">
        <v>1798</v>
      </c>
      <c r="E101" s="26" t="s">
        <v>1223</v>
      </c>
      <c r="F101" s="40">
        <v>373</v>
      </c>
      <c r="G101" s="40">
        <v>18</v>
      </c>
      <c r="H101" s="26" t="s">
        <v>1799</v>
      </c>
    </row>
    <row r="102" spans="1:8" ht="27">
      <c r="A102" s="49">
        <v>40054</v>
      </c>
      <c r="B102" s="26" t="s">
        <v>826</v>
      </c>
      <c r="C102" s="26" t="s">
        <v>1800</v>
      </c>
      <c r="D102" s="26" t="s">
        <v>1798</v>
      </c>
      <c r="E102" s="26" t="s">
        <v>1223</v>
      </c>
      <c r="F102" s="40">
        <v>84</v>
      </c>
      <c r="G102" s="40">
        <v>0</v>
      </c>
      <c r="H102" s="26" t="s">
        <v>1801</v>
      </c>
    </row>
    <row r="103" spans="1:8" ht="27">
      <c r="A103" s="49">
        <v>40056</v>
      </c>
      <c r="B103" s="26" t="s">
        <v>124</v>
      </c>
      <c r="C103" s="26" t="s">
        <v>1802</v>
      </c>
      <c r="D103" s="26" t="s">
        <v>1106</v>
      </c>
      <c r="E103" s="26" t="s">
        <v>962</v>
      </c>
      <c r="F103" s="40" t="s">
        <v>255</v>
      </c>
      <c r="G103" s="40" t="s">
        <v>255</v>
      </c>
      <c r="H103" s="26" t="s">
        <v>1803</v>
      </c>
    </row>
    <row r="104" spans="1:8">
      <c r="A104" s="47" t="s">
        <v>1240</v>
      </c>
      <c r="B104" s="24"/>
      <c r="C104" s="24"/>
      <c r="D104" s="24"/>
      <c r="E104" s="24"/>
      <c r="F104" s="48"/>
      <c r="G104" s="48"/>
      <c r="H104" s="24"/>
    </row>
    <row r="105" spans="1:8" ht="18">
      <c r="A105" s="49">
        <v>40093</v>
      </c>
      <c r="B105" s="26" t="s">
        <v>826</v>
      </c>
      <c r="C105" s="26" t="s">
        <v>1534</v>
      </c>
      <c r="D105" s="26" t="s">
        <v>420</v>
      </c>
      <c r="E105" s="26" t="s">
        <v>153</v>
      </c>
      <c r="F105" s="40" t="s">
        <v>255</v>
      </c>
      <c r="G105" s="50">
        <v>75000</v>
      </c>
      <c r="H105" s="26" t="s">
        <v>1804</v>
      </c>
    </row>
    <row r="106" spans="1:8" ht="27">
      <c r="A106" s="49">
        <v>40095</v>
      </c>
      <c r="B106" s="26" t="s">
        <v>124</v>
      </c>
      <c r="C106" s="26" t="s">
        <v>368</v>
      </c>
      <c r="D106" s="26" t="s">
        <v>1805</v>
      </c>
      <c r="E106" s="26" t="s">
        <v>1806</v>
      </c>
      <c r="F106" s="40">
        <v>180</v>
      </c>
      <c r="G106" s="40" t="s">
        <v>255</v>
      </c>
      <c r="H106" s="26" t="s">
        <v>1807</v>
      </c>
    </row>
    <row r="107" spans="1:8" ht="18">
      <c r="A107" s="49">
        <v>40095</v>
      </c>
      <c r="B107" s="26" t="s">
        <v>63</v>
      </c>
      <c r="C107" s="26" t="s">
        <v>1808</v>
      </c>
      <c r="D107" s="26" t="s">
        <v>1809</v>
      </c>
      <c r="E107" s="26" t="s">
        <v>40</v>
      </c>
      <c r="F107" s="40" t="s">
        <v>255</v>
      </c>
      <c r="G107" s="50">
        <v>56000</v>
      </c>
      <c r="H107" s="26" t="s">
        <v>1810</v>
      </c>
    </row>
    <row r="108" spans="1:8" ht="18">
      <c r="A108" s="49">
        <v>40099</v>
      </c>
      <c r="B108" s="26" t="s">
        <v>124</v>
      </c>
      <c r="C108" s="26" t="s">
        <v>1811</v>
      </c>
      <c r="D108" s="26" t="s">
        <v>1812</v>
      </c>
      <c r="E108" s="26" t="s">
        <v>1813</v>
      </c>
      <c r="F108" s="40">
        <v>101</v>
      </c>
      <c r="G108" s="50">
        <v>35500</v>
      </c>
      <c r="H108" s="26" t="s">
        <v>1814</v>
      </c>
    </row>
    <row r="109" spans="1:8" ht="18">
      <c r="A109" s="49">
        <v>40099</v>
      </c>
      <c r="B109" s="26" t="s">
        <v>124</v>
      </c>
      <c r="C109" s="26" t="s">
        <v>481</v>
      </c>
      <c r="D109" s="26" t="s">
        <v>1279</v>
      </c>
      <c r="E109" s="26" t="s">
        <v>264</v>
      </c>
      <c r="F109" s="40">
        <v>90</v>
      </c>
      <c r="G109" s="50">
        <v>94000</v>
      </c>
      <c r="H109" s="26" t="s">
        <v>1815</v>
      </c>
    </row>
    <row r="110" spans="1:8" ht="18">
      <c r="A110" s="49">
        <v>40099</v>
      </c>
      <c r="B110" s="26" t="s">
        <v>124</v>
      </c>
      <c r="C110" s="26" t="s">
        <v>212</v>
      </c>
      <c r="D110" s="26" t="s">
        <v>141</v>
      </c>
      <c r="E110" s="26" t="s">
        <v>1790</v>
      </c>
      <c r="F110" s="40">
        <v>350</v>
      </c>
      <c r="G110" s="50">
        <v>859554</v>
      </c>
      <c r="H110" s="26" t="s">
        <v>1816</v>
      </c>
    </row>
    <row r="111" spans="1:8">
      <c r="A111" s="47" t="s">
        <v>1254</v>
      </c>
      <c r="B111" s="24"/>
      <c r="C111" s="24"/>
      <c r="D111" s="24"/>
      <c r="E111" s="24"/>
      <c r="F111" s="48"/>
      <c r="G111" s="48"/>
      <c r="H111" s="24"/>
    </row>
    <row r="112" spans="1:8" ht="36">
      <c r="A112" s="49">
        <v>40129</v>
      </c>
      <c r="B112" s="26" t="s">
        <v>63</v>
      </c>
      <c r="C112" s="26" t="s">
        <v>1817</v>
      </c>
      <c r="D112" s="26" t="s">
        <v>1818</v>
      </c>
      <c r="E112" s="26" t="s">
        <v>1819</v>
      </c>
      <c r="F112" s="40">
        <v>400</v>
      </c>
      <c r="G112" s="50">
        <v>335000</v>
      </c>
      <c r="H112" s="26" t="s">
        <v>1820</v>
      </c>
    </row>
    <row r="113" spans="1:8" ht="18">
      <c r="A113" s="49">
        <v>40135</v>
      </c>
      <c r="B113" s="26" t="s">
        <v>124</v>
      </c>
      <c r="C113" s="26" t="s">
        <v>1821</v>
      </c>
      <c r="D113" s="26" t="s">
        <v>1822</v>
      </c>
      <c r="E113" s="26" t="s">
        <v>1823</v>
      </c>
      <c r="F113" s="40">
        <v>630</v>
      </c>
      <c r="G113" s="40" t="s">
        <v>255</v>
      </c>
      <c r="H113" s="26" t="s">
        <v>1824</v>
      </c>
    </row>
    <row r="114" spans="1:8">
      <c r="A114" s="47" t="s">
        <v>1258</v>
      </c>
      <c r="B114" s="24"/>
      <c r="C114" s="24"/>
      <c r="D114" s="24"/>
      <c r="E114" s="24"/>
      <c r="F114" s="48"/>
      <c r="G114" s="48"/>
      <c r="H114" s="24"/>
    </row>
    <row r="115" spans="1:8" ht="27">
      <c r="A115" s="49">
        <v>40154</v>
      </c>
      <c r="B115" s="26" t="s">
        <v>124</v>
      </c>
      <c r="C115" s="26" t="s">
        <v>1285</v>
      </c>
      <c r="D115" s="26" t="s">
        <v>18</v>
      </c>
      <c r="E115" s="26" t="s">
        <v>1825</v>
      </c>
      <c r="F115" s="40">
        <v>400</v>
      </c>
      <c r="G115" s="40" t="s">
        <v>255</v>
      </c>
      <c r="H115" s="26" t="s">
        <v>1826</v>
      </c>
    </row>
    <row r="116" spans="1:8" ht="18">
      <c r="A116" s="49">
        <v>40155</v>
      </c>
      <c r="B116" s="26" t="s">
        <v>124</v>
      </c>
      <c r="C116" s="26" t="s">
        <v>534</v>
      </c>
      <c r="D116" s="26" t="s">
        <v>24</v>
      </c>
      <c r="E116" s="26" t="s">
        <v>22</v>
      </c>
      <c r="F116" s="40" t="s">
        <v>255</v>
      </c>
      <c r="G116" s="50">
        <v>140000</v>
      </c>
      <c r="H116" s="26" t="s">
        <v>1827</v>
      </c>
    </row>
    <row r="117" spans="1:8" ht="27">
      <c r="A117" s="49">
        <v>40155</v>
      </c>
      <c r="B117" s="26" t="s">
        <v>124</v>
      </c>
      <c r="C117" s="26" t="s">
        <v>1828</v>
      </c>
      <c r="D117" s="26" t="s">
        <v>18</v>
      </c>
      <c r="E117" s="26" t="s">
        <v>1829</v>
      </c>
      <c r="F117" s="40" t="s">
        <v>255</v>
      </c>
      <c r="G117" s="40" t="s">
        <v>255</v>
      </c>
      <c r="H117" s="26" t="s">
        <v>1830</v>
      </c>
    </row>
    <row r="118" spans="1:8" ht="18">
      <c r="A118" s="49">
        <v>40156</v>
      </c>
      <c r="B118" s="26" t="s">
        <v>826</v>
      </c>
      <c r="C118" s="26" t="s">
        <v>1831</v>
      </c>
      <c r="D118" s="26" t="s">
        <v>160</v>
      </c>
      <c r="E118" s="26" t="s">
        <v>22</v>
      </c>
      <c r="F118" s="40" t="s">
        <v>255</v>
      </c>
      <c r="G118" s="50">
        <v>48102</v>
      </c>
      <c r="H118" s="26" t="s">
        <v>1832</v>
      </c>
    </row>
    <row r="119" spans="1:8" ht="18">
      <c r="A119" s="49">
        <v>40157</v>
      </c>
      <c r="B119" s="26" t="s">
        <v>826</v>
      </c>
      <c r="C119" s="26" t="s">
        <v>1745</v>
      </c>
      <c r="D119" s="26" t="s">
        <v>1833</v>
      </c>
      <c r="E119" s="26" t="s">
        <v>22</v>
      </c>
      <c r="F119" s="40" t="s">
        <v>255</v>
      </c>
      <c r="G119" s="50">
        <v>65562</v>
      </c>
      <c r="H119" s="26" t="s">
        <v>1834</v>
      </c>
    </row>
    <row r="120" spans="1:8" ht="18">
      <c r="A120" s="49">
        <v>40165</v>
      </c>
      <c r="B120" s="26" t="s">
        <v>826</v>
      </c>
      <c r="C120" s="26" t="s">
        <v>109</v>
      </c>
      <c r="D120" s="26" t="s">
        <v>1835</v>
      </c>
      <c r="E120" s="26" t="s">
        <v>22</v>
      </c>
      <c r="F120" s="40" t="s">
        <v>255</v>
      </c>
      <c r="G120" s="50">
        <v>403913</v>
      </c>
      <c r="H120" s="26" t="s">
        <v>1836</v>
      </c>
    </row>
    <row r="121" spans="1:8" ht="18">
      <c r="A121" s="49">
        <v>40165</v>
      </c>
      <c r="B121" s="26" t="s">
        <v>63</v>
      </c>
      <c r="C121" s="26" t="s">
        <v>1837</v>
      </c>
      <c r="D121" s="26" t="s">
        <v>552</v>
      </c>
      <c r="E121" s="26" t="s">
        <v>22</v>
      </c>
      <c r="F121" s="40" t="s">
        <v>255</v>
      </c>
      <c r="G121" s="50">
        <v>47000</v>
      </c>
      <c r="H121" s="26" t="s">
        <v>1838</v>
      </c>
    </row>
    <row r="122" spans="1:8" ht="15.75">
      <c r="A122" s="62"/>
    </row>
    <row r="123" spans="1:8" ht="13.5" thickBot="1">
      <c r="A123" s="63"/>
      <c r="B123" s="61"/>
      <c r="C123" s="61"/>
      <c r="D123" s="61"/>
      <c r="E123" s="61"/>
      <c r="F123" s="61"/>
      <c r="G123" s="61"/>
      <c r="H123" s="64" t="s">
        <v>1630</v>
      </c>
    </row>
    <row r="124" spans="1:8" ht="13.5" thickTop="1">
      <c r="A124" s="39" t="s">
        <v>1066</v>
      </c>
    </row>
    <row r="125" spans="1:8">
      <c r="A125" s="39" t="s">
        <v>1839</v>
      </c>
    </row>
    <row r="126" spans="1:8">
      <c r="A126" s="39" t="s">
        <v>1068</v>
      </c>
    </row>
  </sheetData>
  <mergeCells count="21">
    <mergeCell ref="G83:G84"/>
    <mergeCell ref="A83:A84"/>
    <mergeCell ref="B83:B84"/>
    <mergeCell ref="C83:C84"/>
    <mergeCell ref="D83:D84"/>
    <mergeCell ref="E83:E84"/>
    <mergeCell ref="F83:F84"/>
    <mergeCell ref="G2:G3"/>
    <mergeCell ref="A43:A44"/>
    <mergeCell ref="B43:B44"/>
    <mergeCell ref="C43:C44"/>
    <mergeCell ref="D43:D44"/>
    <mergeCell ref="E43:E44"/>
    <mergeCell ref="F43:F44"/>
    <mergeCell ref="G43:G44"/>
    <mergeCell ref="A2:A3"/>
    <mergeCell ref="B2:B3"/>
    <mergeCell ref="C2:C3"/>
    <mergeCell ref="D2:D3"/>
    <mergeCell ref="E2:E3"/>
    <mergeCell ref="F2:F3"/>
  </mergeCells>
  <hyperlinks>
    <hyperlink ref="G83" location="_ftn1" display="_ftn1" xr:uid="{00000000-0004-0000-0700-000000000000}"/>
    <hyperlink ref="A124" location="_ftnref1" display="_ftnref1" xr:uid="{00000000-0004-0000-0700-000001000000}"/>
    <hyperlink ref="A125" location="_ftnref2" display="_ftnref2" xr:uid="{00000000-0004-0000-0700-000002000000}"/>
    <hyperlink ref="A126" location="_ftnref3" display="_ftnref3" xr:uid="{00000000-0004-0000-0700-000003000000}"/>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H146"/>
  <sheetViews>
    <sheetView zoomScale="130" zoomScaleNormal="130" workbookViewId="0">
      <selection activeCell="A2" sqref="A2"/>
    </sheetView>
  </sheetViews>
  <sheetFormatPr defaultRowHeight="12.75"/>
  <cols>
    <col min="1" max="1" width="20.7109375" style="60" customWidth="1"/>
    <col min="2" max="8" width="10.7109375" style="20" customWidth="1"/>
    <col min="9" max="16384" width="9.140625" style="20"/>
  </cols>
  <sheetData>
    <row r="1" spans="1:8" ht="13.5" thickBot="1">
      <c r="A1" s="45" t="s">
        <v>1840</v>
      </c>
    </row>
    <row r="2" spans="1:8" ht="33" thickTop="1">
      <c r="A2" s="46" t="s">
        <v>2</v>
      </c>
      <c r="B2" s="21" t="s">
        <v>57</v>
      </c>
      <c r="C2" s="21" t="s">
        <v>3</v>
      </c>
      <c r="D2" s="21" t="s">
        <v>67</v>
      </c>
      <c r="E2" s="21" t="s">
        <v>5</v>
      </c>
      <c r="F2" s="21" t="s">
        <v>6</v>
      </c>
      <c r="G2" s="21" t="s">
        <v>68</v>
      </c>
      <c r="H2" s="22" t="s">
        <v>69</v>
      </c>
    </row>
    <row r="3" spans="1:8" hidden="1">
      <c r="A3" s="47" t="s">
        <v>1072</v>
      </c>
      <c r="B3" s="24"/>
      <c r="C3" s="24"/>
      <c r="D3" s="24"/>
      <c r="E3" s="24"/>
      <c r="F3" s="48"/>
      <c r="G3" s="48"/>
      <c r="H3" s="24"/>
    </row>
    <row r="4" spans="1:8" ht="18">
      <c r="A4" s="49">
        <v>40184</v>
      </c>
      <c r="B4" s="26" t="s">
        <v>1841</v>
      </c>
      <c r="C4" s="26" t="s">
        <v>267</v>
      </c>
      <c r="D4" s="26" t="s">
        <v>133</v>
      </c>
      <c r="E4" s="26" t="s">
        <v>962</v>
      </c>
      <c r="F4" s="40" t="s">
        <v>255</v>
      </c>
      <c r="G4" s="40" t="s">
        <v>255</v>
      </c>
      <c r="H4" s="26" t="s">
        <v>1842</v>
      </c>
    </row>
    <row r="5" spans="1:8" ht="36">
      <c r="A5" s="49">
        <v>40189</v>
      </c>
      <c r="B5" s="26" t="s">
        <v>1843</v>
      </c>
      <c r="C5" s="26" t="s">
        <v>1844</v>
      </c>
      <c r="D5" s="26" t="s">
        <v>1845</v>
      </c>
      <c r="E5" s="26" t="s">
        <v>1846</v>
      </c>
      <c r="F5" s="40" t="s">
        <v>255</v>
      </c>
      <c r="G5" s="40" t="s">
        <v>255</v>
      </c>
      <c r="H5" s="26" t="s">
        <v>1847</v>
      </c>
    </row>
    <row r="6" spans="1:8" ht="27">
      <c r="A6" s="49">
        <v>40196</v>
      </c>
      <c r="B6" s="26" t="s">
        <v>251</v>
      </c>
      <c r="C6" s="26" t="s">
        <v>683</v>
      </c>
      <c r="D6" s="26" t="s">
        <v>39</v>
      </c>
      <c r="E6" s="26" t="s">
        <v>362</v>
      </c>
      <c r="F6" s="40">
        <v>290</v>
      </c>
      <c r="G6" s="50">
        <v>1700000</v>
      </c>
      <c r="H6" s="26" t="s">
        <v>1848</v>
      </c>
    </row>
    <row r="7" spans="1:8" ht="18">
      <c r="A7" s="49">
        <v>40197</v>
      </c>
      <c r="B7" s="26" t="s">
        <v>251</v>
      </c>
      <c r="C7" s="26" t="s">
        <v>274</v>
      </c>
      <c r="D7" s="26" t="s">
        <v>1849</v>
      </c>
      <c r="E7" s="26" t="s">
        <v>362</v>
      </c>
      <c r="F7" s="40">
        <v>300</v>
      </c>
      <c r="G7" s="50">
        <v>30000</v>
      </c>
      <c r="H7" s="26" t="s">
        <v>1850</v>
      </c>
    </row>
    <row r="8" spans="1:8" ht="27">
      <c r="A8" s="49">
        <v>40197</v>
      </c>
      <c r="B8" s="26" t="s">
        <v>1851</v>
      </c>
      <c r="C8" s="26" t="s">
        <v>392</v>
      </c>
      <c r="D8" s="26" t="s">
        <v>1852</v>
      </c>
      <c r="E8" s="26" t="s">
        <v>362</v>
      </c>
      <c r="F8" s="50">
        <v>2650</v>
      </c>
      <c r="G8" s="50">
        <v>50000</v>
      </c>
      <c r="H8" s="26" t="s">
        <v>1853</v>
      </c>
    </row>
    <row r="9" spans="1:8" ht="27">
      <c r="A9" s="49">
        <v>40198</v>
      </c>
      <c r="B9" s="26" t="s">
        <v>251</v>
      </c>
      <c r="C9" s="26" t="s">
        <v>129</v>
      </c>
      <c r="D9" s="26" t="s">
        <v>1106</v>
      </c>
      <c r="E9" s="26" t="s">
        <v>362</v>
      </c>
      <c r="F9" s="40" t="s">
        <v>255</v>
      </c>
      <c r="G9" s="50">
        <v>147223</v>
      </c>
      <c r="H9" s="26" t="s">
        <v>1854</v>
      </c>
    </row>
    <row r="10" spans="1:8" ht="18">
      <c r="A10" s="49">
        <v>40206</v>
      </c>
      <c r="B10" s="26" t="s">
        <v>1855</v>
      </c>
      <c r="C10" s="26" t="s">
        <v>424</v>
      </c>
      <c r="D10" s="26" t="s">
        <v>10</v>
      </c>
      <c r="E10" s="26" t="s">
        <v>11</v>
      </c>
      <c r="F10" s="40" t="s">
        <v>255</v>
      </c>
      <c r="G10" s="50">
        <v>68705</v>
      </c>
      <c r="H10" s="26" t="s">
        <v>1856</v>
      </c>
    </row>
    <row r="11" spans="1:8" hidden="1">
      <c r="A11" s="47" t="s">
        <v>632</v>
      </c>
      <c r="B11" s="24"/>
      <c r="C11" s="24"/>
      <c r="D11" s="24"/>
      <c r="E11" s="24"/>
      <c r="F11" s="48"/>
      <c r="G11" s="48"/>
      <c r="H11" s="24"/>
    </row>
    <row r="12" spans="1:8" ht="36">
      <c r="A12" s="49">
        <v>40210</v>
      </c>
      <c r="B12" s="26" t="s">
        <v>1857</v>
      </c>
      <c r="C12" s="26" t="s">
        <v>1858</v>
      </c>
      <c r="D12" s="26" t="s">
        <v>10</v>
      </c>
      <c r="E12" s="26" t="s">
        <v>1859</v>
      </c>
      <c r="F12" s="40">
        <v>30</v>
      </c>
      <c r="G12" s="40">
        <v>0</v>
      </c>
      <c r="H12" s="26" t="s">
        <v>1860</v>
      </c>
    </row>
    <row r="13" spans="1:8" ht="18">
      <c r="A13" s="49">
        <v>40214</v>
      </c>
      <c r="B13" s="26" t="s">
        <v>1861</v>
      </c>
      <c r="C13" s="26" t="s">
        <v>328</v>
      </c>
      <c r="D13" s="26" t="s">
        <v>1862</v>
      </c>
      <c r="E13" s="26" t="s">
        <v>40</v>
      </c>
      <c r="F13" s="40" t="s">
        <v>255</v>
      </c>
      <c r="G13" s="50">
        <v>221000</v>
      </c>
      <c r="H13" s="26" t="s">
        <v>1863</v>
      </c>
    </row>
    <row r="14" spans="1:8" ht="18">
      <c r="A14" s="49">
        <v>40214</v>
      </c>
      <c r="B14" s="26" t="s">
        <v>333</v>
      </c>
      <c r="C14" s="26" t="s">
        <v>1864</v>
      </c>
      <c r="D14" s="26" t="s">
        <v>369</v>
      </c>
      <c r="E14" s="26" t="s">
        <v>40</v>
      </c>
      <c r="F14" s="40">
        <v>500</v>
      </c>
      <c r="G14" s="50">
        <v>74000</v>
      </c>
      <c r="H14" s="26" t="s">
        <v>1668</v>
      </c>
    </row>
    <row r="15" spans="1:8" ht="54">
      <c r="A15" s="49">
        <v>40214</v>
      </c>
      <c r="B15" s="26" t="s">
        <v>1861</v>
      </c>
      <c r="C15" s="26" t="s">
        <v>81</v>
      </c>
      <c r="D15" s="26" t="s">
        <v>1865</v>
      </c>
      <c r="E15" s="26" t="s">
        <v>40</v>
      </c>
      <c r="F15" s="40" t="s">
        <v>255</v>
      </c>
      <c r="G15" s="50">
        <v>97651</v>
      </c>
      <c r="H15" s="26" t="s">
        <v>1866</v>
      </c>
    </row>
    <row r="16" spans="1:8" ht="18">
      <c r="A16" s="49">
        <v>40214</v>
      </c>
      <c r="B16" s="26" t="s">
        <v>1861</v>
      </c>
      <c r="C16" s="26" t="s">
        <v>1867</v>
      </c>
      <c r="D16" s="26" t="s">
        <v>1868</v>
      </c>
      <c r="E16" s="26" t="s">
        <v>40</v>
      </c>
      <c r="F16" s="40" t="s">
        <v>255</v>
      </c>
      <c r="G16" s="50">
        <v>57000</v>
      </c>
      <c r="H16" s="26" t="s">
        <v>1683</v>
      </c>
    </row>
    <row r="17" spans="1:8" ht="27">
      <c r="A17" s="49">
        <v>40214</v>
      </c>
      <c r="B17" s="26" t="s">
        <v>1869</v>
      </c>
      <c r="C17" s="26" t="s">
        <v>1870</v>
      </c>
      <c r="D17" s="26" t="s">
        <v>1871</v>
      </c>
      <c r="E17" s="26" t="s">
        <v>40</v>
      </c>
      <c r="F17" s="40" t="s">
        <v>255</v>
      </c>
      <c r="G17" s="50">
        <v>102225</v>
      </c>
      <c r="H17" s="26" t="s">
        <v>1872</v>
      </c>
    </row>
    <row r="18" spans="1:8" ht="18">
      <c r="A18" s="49">
        <v>40215</v>
      </c>
      <c r="B18" s="26" t="s">
        <v>333</v>
      </c>
      <c r="C18" s="26" t="s">
        <v>1675</v>
      </c>
      <c r="D18" s="26" t="s">
        <v>1873</v>
      </c>
      <c r="E18" s="26" t="s">
        <v>40</v>
      </c>
      <c r="F18" s="40">
        <v>600</v>
      </c>
      <c r="G18" s="50">
        <v>104736</v>
      </c>
      <c r="H18" s="26" t="s">
        <v>1874</v>
      </c>
    </row>
    <row r="19" spans="1:8" ht="18">
      <c r="A19" s="49">
        <v>40215</v>
      </c>
      <c r="B19" s="26" t="s">
        <v>1861</v>
      </c>
      <c r="C19" s="26" t="s">
        <v>500</v>
      </c>
      <c r="D19" s="26" t="s">
        <v>1875</v>
      </c>
      <c r="E19" s="26" t="s">
        <v>40</v>
      </c>
      <c r="F19" s="40" t="s">
        <v>255</v>
      </c>
      <c r="G19" s="50">
        <v>58491</v>
      </c>
      <c r="H19" s="26" t="s">
        <v>1876</v>
      </c>
    </row>
    <row r="20" spans="1:8" ht="18">
      <c r="A20" s="49">
        <v>40218</v>
      </c>
      <c r="B20" s="26" t="s">
        <v>1869</v>
      </c>
      <c r="C20" s="26" t="s">
        <v>267</v>
      </c>
      <c r="D20" s="26" t="s">
        <v>1877</v>
      </c>
      <c r="E20" s="26" t="s">
        <v>40</v>
      </c>
      <c r="F20" s="40" t="s">
        <v>255</v>
      </c>
      <c r="G20" s="50">
        <v>223000</v>
      </c>
      <c r="H20" s="26" t="s">
        <v>845</v>
      </c>
    </row>
    <row r="21" spans="1:8" ht="27">
      <c r="A21" s="49">
        <v>40220</v>
      </c>
      <c r="B21" s="26" t="s">
        <v>1878</v>
      </c>
      <c r="C21" s="26" t="s">
        <v>424</v>
      </c>
      <c r="D21" s="26" t="s">
        <v>1879</v>
      </c>
      <c r="E21" s="26" t="s">
        <v>40</v>
      </c>
      <c r="F21" s="40" t="s">
        <v>255</v>
      </c>
      <c r="G21" s="50">
        <v>500000</v>
      </c>
      <c r="H21" s="26" t="s">
        <v>1880</v>
      </c>
    </row>
    <row r="22" spans="1:8" ht="45">
      <c r="A22" s="49">
        <v>40221</v>
      </c>
      <c r="B22" s="26" t="s">
        <v>1855</v>
      </c>
      <c r="C22" s="26" t="s">
        <v>364</v>
      </c>
      <c r="D22" s="26" t="s">
        <v>1881</v>
      </c>
      <c r="E22" s="26" t="s">
        <v>40</v>
      </c>
      <c r="F22" s="40" t="s">
        <v>255</v>
      </c>
      <c r="G22" s="50">
        <v>52999</v>
      </c>
      <c r="H22" s="26" t="s">
        <v>1882</v>
      </c>
    </row>
    <row r="23" spans="1:8" ht="36">
      <c r="A23" s="49">
        <v>40223</v>
      </c>
      <c r="B23" s="26" t="s">
        <v>1861</v>
      </c>
      <c r="C23" s="26" t="s">
        <v>334</v>
      </c>
      <c r="D23" s="26" t="s">
        <v>1883</v>
      </c>
      <c r="E23" s="26" t="s">
        <v>40</v>
      </c>
      <c r="F23" s="40">
        <v>900</v>
      </c>
      <c r="G23" s="50">
        <v>190000</v>
      </c>
      <c r="H23" s="26" t="s">
        <v>1318</v>
      </c>
    </row>
    <row r="24" spans="1:8" ht="36">
      <c r="A24" s="49">
        <v>40228</v>
      </c>
      <c r="B24" s="26" t="s">
        <v>251</v>
      </c>
      <c r="C24" s="26" t="s">
        <v>722</v>
      </c>
      <c r="D24" s="26" t="s">
        <v>1884</v>
      </c>
      <c r="E24" s="26" t="s">
        <v>1885</v>
      </c>
      <c r="F24" s="50">
        <v>1000</v>
      </c>
      <c r="G24" s="40" t="s">
        <v>255</v>
      </c>
      <c r="H24" s="26" t="s">
        <v>1886</v>
      </c>
    </row>
    <row r="25" spans="1:8" ht="18">
      <c r="A25" s="49">
        <v>40232</v>
      </c>
      <c r="B25" s="26" t="s">
        <v>1887</v>
      </c>
      <c r="C25" s="26" t="s">
        <v>1285</v>
      </c>
      <c r="D25" s="26" t="s">
        <v>89</v>
      </c>
      <c r="E25" s="26" t="s">
        <v>40</v>
      </c>
      <c r="F25" s="40" t="s">
        <v>255</v>
      </c>
      <c r="G25" s="50">
        <v>150000</v>
      </c>
      <c r="H25" s="26" t="s">
        <v>1888</v>
      </c>
    </row>
    <row r="26" spans="1:8" ht="36">
      <c r="A26" s="49">
        <v>40234</v>
      </c>
      <c r="B26" s="26" t="s">
        <v>1887</v>
      </c>
      <c r="C26" s="26" t="s">
        <v>1038</v>
      </c>
      <c r="D26" s="26" t="s">
        <v>1889</v>
      </c>
      <c r="E26" s="26" t="s">
        <v>40</v>
      </c>
      <c r="F26" s="40" t="s">
        <v>255</v>
      </c>
      <c r="G26" s="50">
        <v>65000</v>
      </c>
      <c r="H26" s="26" t="s">
        <v>1890</v>
      </c>
    </row>
    <row r="27" spans="1:8" ht="18">
      <c r="A27" s="49">
        <v>40234</v>
      </c>
      <c r="B27" s="26" t="s">
        <v>1891</v>
      </c>
      <c r="C27" s="26" t="s">
        <v>104</v>
      </c>
      <c r="D27" s="26" t="s">
        <v>1892</v>
      </c>
      <c r="E27" s="26" t="s">
        <v>40</v>
      </c>
      <c r="F27" s="40" t="s">
        <v>255</v>
      </c>
      <c r="G27" s="50">
        <v>55000</v>
      </c>
      <c r="H27" s="26" t="s">
        <v>1893</v>
      </c>
    </row>
    <row r="28" spans="1:8" ht="27">
      <c r="A28" s="49">
        <v>40234</v>
      </c>
      <c r="B28" s="26" t="s">
        <v>1887</v>
      </c>
      <c r="C28" s="26" t="s">
        <v>1894</v>
      </c>
      <c r="D28" s="26" t="s">
        <v>1895</v>
      </c>
      <c r="E28" s="26" t="s">
        <v>40</v>
      </c>
      <c r="F28" s="40">
        <v>510</v>
      </c>
      <c r="G28" s="50">
        <v>509606</v>
      </c>
      <c r="H28" s="26" t="s">
        <v>1896</v>
      </c>
    </row>
    <row r="29" spans="1:8" hidden="1">
      <c r="A29" s="47" t="s">
        <v>1093</v>
      </c>
      <c r="B29" s="24"/>
      <c r="C29" s="24"/>
      <c r="D29" s="24"/>
      <c r="E29" s="24"/>
      <c r="F29" s="48"/>
      <c r="G29" s="48"/>
      <c r="H29" s="24"/>
    </row>
    <row r="30" spans="1:8" ht="18">
      <c r="A30" s="49">
        <v>40250</v>
      </c>
      <c r="B30" s="26" t="s">
        <v>1861</v>
      </c>
      <c r="C30" s="26" t="s">
        <v>534</v>
      </c>
      <c r="D30" s="26" t="s">
        <v>1897</v>
      </c>
      <c r="E30" s="26" t="s">
        <v>1898</v>
      </c>
      <c r="F30" s="40" t="s">
        <v>255</v>
      </c>
      <c r="G30" s="50">
        <v>177528</v>
      </c>
      <c r="H30" s="26" t="s">
        <v>1899</v>
      </c>
    </row>
    <row r="31" spans="1:8" ht="18">
      <c r="A31" s="49">
        <v>40250</v>
      </c>
      <c r="B31" s="26" t="s">
        <v>1887</v>
      </c>
      <c r="C31" s="26" t="s">
        <v>424</v>
      </c>
      <c r="D31" s="26" t="s">
        <v>1579</v>
      </c>
      <c r="E31" s="26" t="s">
        <v>1790</v>
      </c>
      <c r="F31" s="40">
        <v>50</v>
      </c>
      <c r="G31" s="50">
        <v>50246</v>
      </c>
      <c r="H31" s="26" t="s">
        <v>1900</v>
      </c>
    </row>
    <row r="32" spans="1:8" ht="18">
      <c r="A32" s="49">
        <v>40250</v>
      </c>
      <c r="B32" s="26" t="s">
        <v>1887</v>
      </c>
      <c r="C32" s="26" t="s">
        <v>328</v>
      </c>
      <c r="D32" s="26" t="s">
        <v>1901</v>
      </c>
      <c r="E32" s="26" t="s">
        <v>1790</v>
      </c>
      <c r="F32" s="40" t="s">
        <v>255</v>
      </c>
      <c r="G32" s="50">
        <v>153000</v>
      </c>
      <c r="H32" s="26" t="s">
        <v>1902</v>
      </c>
    </row>
    <row r="33" spans="1:8" ht="36">
      <c r="A33" s="49">
        <v>40250</v>
      </c>
      <c r="B33" s="26" t="s">
        <v>1861</v>
      </c>
      <c r="C33" s="26" t="s">
        <v>212</v>
      </c>
      <c r="D33" s="26" t="s">
        <v>1903</v>
      </c>
      <c r="E33" s="26" t="s">
        <v>1904</v>
      </c>
      <c r="F33" s="40" t="s">
        <v>255</v>
      </c>
      <c r="G33" s="50">
        <v>180000</v>
      </c>
      <c r="H33" s="26" t="s">
        <v>1905</v>
      </c>
    </row>
    <row r="34" spans="1:8" ht="36">
      <c r="A34" s="49">
        <v>40250</v>
      </c>
      <c r="B34" s="26" t="s">
        <v>1861</v>
      </c>
      <c r="C34" s="26" t="s">
        <v>267</v>
      </c>
      <c r="D34" s="26" t="s">
        <v>1906</v>
      </c>
      <c r="E34" s="26" t="s">
        <v>1790</v>
      </c>
      <c r="F34" s="40">
        <v>100</v>
      </c>
      <c r="G34" s="50">
        <v>360000</v>
      </c>
      <c r="H34" s="26" t="s">
        <v>1907</v>
      </c>
    </row>
    <row r="35" spans="1:8" ht="36">
      <c r="A35" s="49">
        <v>40250</v>
      </c>
      <c r="B35" s="26" t="s">
        <v>1887</v>
      </c>
      <c r="C35" s="26" t="s">
        <v>267</v>
      </c>
      <c r="D35" s="26" t="s">
        <v>1908</v>
      </c>
      <c r="E35" s="26" t="s">
        <v>1790</v>
      </c>
      <c r="F35" s="40" t="s">
        <v>255</v>
      </c>
      <c r="G35" s="50">
        <v>173000</v>
      </c>
      <c r="H35" s="26" t="s">
        <v>1909</v>
      </c>
    </row>
    <row r="36" spans="1:8" ht="27">
      <c r="A36" s="49">
        <v>40268</v>
      </c>
      <c r="B36" s="26" t="s">
        <v>251</v>
      </c>
      <c r="C36" s="26" t="s">
        <v>1910</v>
      </c>
      <c r="D36" s="26" t="s">
        <v>1852</v>
      </c>
      <c r="E36" s="26" t="s">
        <v>973</v>
      </c>
      <c r="F36" s="40">
        <v>324</v>
      </c>
      <c r="G36" s="50">
        <v>290000</v>
      </c>
      <c r="H36" s="26" t="s">
        <v>1911</v>
      </c>
    </row>
    <row r="37" spans="1:8" ht="18">
      <c r="A37" s="49">
        <v>40268</v>
      </c>
      <c r="B37" s="26" t="s">
        <v>251</v>
      </c>
      <c r="C37" s="26" t="s">
        <v>1910</v>
      </c>
      <c r="D37" s="26" t="s">
        <v>1912</v>
      </c>
      <c r="E37" s="26" t="s">
        <v>973</v>
      </c>
      <c r="F37" s="40">
        <v>324</v>
      </c>
      <c r="G37" s="40" t="s">
        <v>255</v>
      </c>
      <c r="H37" s="26" t="s">
        <v>1913</v>
      </c>
    </row>
    <row r="38" spans="1:8" hidden="1">
      <c r="A38" s="47" t="s">
        <v>1100</v>
      </c>
      <c r="B38" s="24"/>
      <c r="C38" s="24"/>
      <c r="D38" s="24"/>
      <c r="E38" s="24"/>
      <c r="F38" s="48"/>
      <c r="G38" s="48"/>
      <c r="H38" s="24"/>
    </row>
    <row r="39" spans="1:8" ht="18.75" thickBot="1">
      <c r="A39" s="51">
        <v>40284</v>
      </c>
      <c r="B39" s="30" t="s">
        <v>1861</v>
      </c>
      <c r="C39" s="30" t="s">
        <v>170</v>
      </c>
      <c r="D39" s="30" t="s">
        <v>1868</v>
      </c>
      <c r="E39" s="30" t="s">
        <v>106</v>
      </c>
      <c r="F39" s="52">
        <v>15</v>
      </c>
      <c r="G39" s="53">
        <v>120000</v>
      </c>
      <c r="H39" s="30" t="s">
        <v>1120</v>
      </c>
    </row>
    <row r="40" spans="1:8" ht="13.5" hidden="1" thickTop="1">
      <c r="A40" s="45" t="s">
        <v>1840</v>
      </c>
    </row>
    <row r="41" spans="1:8" ht="33" hidden="1" thickTop="1">
      <c r="A41" s="46" t="s">
        <v>2</v>
      </c>
      <c r="B41" s="21" t="s">
        <v>57</v>
      </c>
      <c r="C41" s="21" t="s">
        <v>3</v>
      </c>
      <c r="D41" s="21" t="s">
        <v>67</v>
      </c>
      <c r="E41" s="21" t="s">
        <v>5</v>
      </c>
      <c r="F41" s="21" t="s">
        <v>6</v>
      </c>
      <c r="G41" s="21" t="s">
        <v>68</v>
      </c>
      <c r="H41" s="22" t="s">
        <v>69</v>
      </c>
    </row>
    <row r="42" spans="1:8" ht="18.75" thickTop="1">
      <c r="A42" s="49">
        <v>40289</v>
      </c>
      <c r="B42" s="26" t="s">
        <v>333</v>
      </c>
      <c r="C42" s="26" t="s">
        <v>1002</v>
      </c>
      <c r="D42" s="26" t="s">
        <v>1914</v>
      </c>
      <c r="E42" s="26" t="s">
        <v>1915</v>
      </c>
      <c r="F42" s="40" t="s">
        <v>255</v>
      </c>
      <c r="G42" s="40" t="s">
        <v>255</v>
      </c>
      <c r="H42" s="26" t="s">
        <v>1916</v>
      </c>
    </row>
    <row r="43" spans="1:8" ht="27">
      <c r="A43" s="49">
        <v>40295</v>
      </c>
      <c r="B43" s="26" t="s">
        <v>333</v>
      </c>
      <c r="C43" s="26" t="s">
        <v>897</v>
      </c>
      <c r="D43" s="26" t="s">
        <v>1917</v>
      </c>
      <c r="E43" s="26" t="s">
        <v>1806</v>
      </c>
      <c r="F43" s="40" t="s">
        <v>255</v>
      </c>
      <c r="G43" s="50">
        <v>29376</v>
      </c>
      <c r="H43" s="26" t="s">
        <v>1918</v>
      </c>
    </row>
    <row r="44" spans="1:8" hidden="1">
      <c r="A44" s="47" t="s">
        <v>1124</v>
      </c>
      <c r="B44" s="24"/>
      <c r="C44" s="24"/>
      <c r="D44" s="24"/>
      <c r="E44" s="24"/>
      <c r="F44" s="48"/>
      <c r="G44" s="48"/>
      <c r="H44" s="24"/>
    </row>
    <row r="45" spans="1:8" ht="18">
      <c r="A45" s="49">
        <v>40300</v>
      </c>
      <c r="B45" s="26" t="s">
        <v>333</v>
      </c>
      <c r="C45" s="26" t="s">
        <v>1919</v>
      </c>
      <c r="D45" s="26" t="s">
        <v>1920</v>
      </c>
      <c r="E45" s="26" t="s">
        <v>381</v>
      </c>
      <c r="F45" s="40" t="s">
        <v>255</v>
      </c>
      <c r="G45" s="50">
        <v>50500</v>
      </c>
      <c r="H45" s="26" t="s">
        <v>1921</v>
      </c>
    </row>
    <row r="46" spans="1:8" ht="18">
      <c r="A46" s="49">
        <v>40316</v>
      </c>
      <c r="B46" s="26" t="s">
        <v>124</v>
      </c>
      <c r="C46" s="26" t="s">
        <v>1319</v>
      </c>
      <c r="D46" s="26" t="s">
        <v>1922</v>
      </c>
      <c r="E46" s="26" t="s">
        <v>1923</v>
      </c>
      <c r="F46" s="40">
        <v>318</v>
      </c>
      <c r="G46" s="40" t="s">
        <v>255</v>
      </c>
      <c r="H46" s="26" t="s">
        <v>1924</v>
      </c>
    </row>
    <row r="47" spans="1:8" ht="36">
      <c r="A47" s="49">
        <v>40324</v>
      </c>
      <c r="B47" s="26" t="s">
        <v>1925</v>
      </c>
      <c r="C47" s="26" t="s">
        <v>229</v>
      </c>
      <c r="D47" s="26" t="s">
        <v>1926</v>
      </c>
      <c r="E47" s="26" t="s">
        <v>1927</v>
      </c>
      <c r="F47" s="40" t="s">
        <v>255</v>
      </c>
      <c r="G47" s="40" t="s">
        <v>255</v>
      </c>
      <c r="H47" s="26" t="s">
        <v>1928</v>
      </c>
    </row>
    <row r="48" spans="1:8" hidden="1">
      <c r="A48" s="47" t="s">
        <v>1136</v>
      </c>
      <c r="B48" s="24"/>
      <c r="C48" s="24"/>
      <c r="D48" s="24"/>
      <c r="E48" s="24"/>
      <c r="F48" s="48"/>
      <c r="G48" s="48"/>
      <c r="H48" s="24"/>
    </row>
    <row r="49" spans="1:8" ht="18">
      <c r="A49" s="49">
        <v>40330</v>
      </c>
      <c r="B49" s="26" t="s">
        <v>1861</v>
      </c>
      <c r="C49" s="26" t="s">
        <v>1531</v>
      </c>
      <c r="D49" s="26" t="s">
        <v>1929</v>
      </c>
      <c r="E49" s="26" t="s">
        <v>1930</v>
      </c>
      <c r="F49" s="40">
        <v>500</v>
      </c>
      <c r="G49" s="40">
        <v>1</v>
      </c>
      <c r="H49" s="26" t="s">
        <v>1931</v>
      </c>
    </row>
    <row r="50" spans="1:8" ht="18">
      <c r="A50" s="49">
        <v>40331</v>
      </c>
      <c r="B50" s="26" t="s">
        <v>1878</v>
      </c>
      <c r="C50" s="26" t="s">
        <v>1779</v>
      </c>
      <c r="D50" s="26" t="s">
        <v>1932</v>
      </c>
      <c r="E50" s="26" t="s">
        <v>22</v>
      </c>
      <c r="F50" s="40" t="s">
        <v>255</v>
      </c>
      <c r="G50" s="50">
        <v>126000</v>
      </c>
      <c r="H50" s="26" t="s">
        <v>1933</v>
      </c>
    </row>
    <row r="51" spans="1:8" ht="18">
      <c r="A51" s="49">
        <v>40335</v>
      </c>
      <c r="B51" s="26" t="s">
        <v>251</v>
      </c>
      <c r="C51" s="26" t="s">
        <v>1623</v>
      </c>
      <c r="D51" s="26" t="s">
        <v>141</v>
      </c>
      <c r="E51" s="26" t="s">
        <v>1359</v>
      </c>
      <c r="F51" s="40">
        <v>3</v>
      </c>
      <c r="G51" s="50">
        <v>2650</v>
      </c>
      <c r="H51" s="26" t="s">
        <v>1934</v>
      </c>
    </row>
    <row r="52" spans="1:8" ht="27">
      <c r="A52" s="49">
        <v>40336</v>
      </c>
      <c r="B52" s="26" t="s">
        <v>251</v>
      </c>
      <c r="C52" s="26" t="s">
        <v>1935</v>
      </c>
      <c r="D52" s="26" t="s">
        <v>1936</v>
      </c>
      <c r="E52" s="26" t="s">
        <v>1930</v>
      </c>
      <c r="F52" s="40">
        <v>300</v>
      </c>
      <c r="G52" s="50">
        <v>31000</v>
      </c>
      <c r="H52" s="26" t="s">
        <v>1937</v>
      </c>
    </row>
    <row r="53" spans="1:8" ht="18">
      <c r="A53" s="49">
        <v>40337</v>
      </c>
      <c r="B53" s="26" t="s">
        <v>1878</v>
      </c>
      <c r="C53" s="26" t="s">
        <v>91</v>
      </c>
      <c r="D53" s="26" t="s">
        <v>1938</v>
      </c>
      <c r="E53" s="26" t="s">
        <v>381</v>
      </c>
      <c r="F53" s="40" t="s">
        <v>255</v>
      </c>
      <c r="G53" s="50">
        <v>79741</v>
      </c>
      <c r="H53" s="26" t="s">
        <v>1939</v>
      </c>
    </row>
    <row r="54" spans="1:8" ht="27">
      <c r="A54" s="49">
        <v>40338</v>
      </c>
      <c r="B54" s="26" t="s">
        <v>333</v>
      </c>
      <c r="C54" s="26" t="s">
        <v>1940</v>
      </c>
      <c r="D54" s="26" t="s">
        <v>1941</v>
      </c>
      <c r="E54" s="26" t="s">
        <v>1806</v>
      </c>
      <c r="F54" s="40" t="s">
        <v>255</v>
      </c>
      <c r="G54" s="50">
        <v>4196</v>
      </c>
      <c r="H54" s="26" t="s">
        <v>1942</v>
      </c>
    </row>
    <row r="55" spans="1:8" ht="36">
      <c r="A55" s="49">
        <v>40345</v>
      </c>
      <c r="B55" s="26" t="s">
        <v>1887</v>
      </c>
      <c r="C55" s="26" t="s">
        <v>1943</v>
      </c>
      <c r="D55" s="26" t="s">
        <v>1944</v>
      </c>
      <c r="E55" s="26" t="s">
        <v>1945</v>
      </c>
      <c r="F55" s="40" t="s">
        <v>255</v>
      </c>
      <c r="G55" s="40" t="s">
        <v>255</v>
      </c>
      <c r="H55" s="26" t="s">
        <v>1946</v>
      </c>
    </row>
    <row r="56" spans="1:8" ht="18">
      <c r="A56" s="49">
        <v>40346</v>
      </c>
      <c r="B56" s="26" t="s">
        <v>1857</v>
      </c>
      <c r="C56" s="26" t="s">
        <v>1211</v>
      </c>
      <c r="D56" s="26" t="s">
        <v>1947</v>
      </c>
      <c r="E56" s="26" t="s">
        <v>1173</v>
      </c>
      <c r="F56" s="40" t="s">
        <v>255</v>
      </c>
      <c r="G56" s="40" t="s">
        <v>255</v>
      </c>
      <c r="H56" s="26" t="s">
        <v>1948</v>
      </c>
    </row>
    <row r="57" spans="1:8" ht="18">
      <c r="A57" s="49">
        <v>40346</v>
      </c>
      <c r="B57" s="26" t="s">
        <v>333</v>
      </c>
      <c r="C57" s="26" t="s">
        <v>1366</v>
      </c>
      <c r="D57" s="26" t="s">
        <v>1949</v>
      </c>
      <c r="E57" s="26" t="s">
        <v>1173</v>
      </c>
      <c r="F57" s="40" t="s">
        <v>255</v>
      </c>
      <c r="G57" s="40" t="s">
        <v>255</v>
      </c>
      <c r="H57" s="26" t="s">
        <v>1950</v>
      </c>
    </row>
    <row r="58" spans="1:8" ht="18">
      <c r="A58" s="49">
        <v>40346</v>
      </c>
      <c r="B58" s="26" t="s">
        <v>333</v>
      </c>
      <c r="C58" s="26" t="s">
        <v>1366</v>
      </c>
      <c r="D58" s="26" t="s">
        <v>1949</v>
      </c>
      <c r="E58" s="26" t="s">
        <v>1173</v>
      </c>
      <c r="F58" s="40" t="s">
        <v>255</v>
      </c>
      <c r="G58" s="40" t="s">
        <v>255</v>
      </c>
      <c r="H58" s="26" t="s">
        <v>1951</v>
      </c>
    </row>
    <row r="59" spans="1:8" ht="18">
      <c r="A59" s="49">
        <v>40346</v>
      </c>
      <c r="B59" s="26" t="s">
        <v>1857</v>
      </c>
      <c r="C59" s="26" t="s">
        <v>1366</v>
      </c>
      <c r="D59" s="26" t="s">
        <v>1952</v>
      </c>
      <c r="E59" s="26" t="s">
        <v>1173</v>
      </c>
      <c r="F59" s="40" t="s">
        <v>255</v>
      </c>
      <c r="G59" s="40" t="s">
        <v>255</v>
      </c>
      <c r="H59" s="26" t="s">
        <v>1951</v>
      </c>
    </row>
    <row r="60" spans="1:8" ht="27">
      <c r="A60" s="49">
        <v>40346</v>
      </c>
      <c r="B60" s="26" t="s">
        <v>1953</v>
      </c>
      <c r="C60" s="26" t="s">
        <v>1954</v>
      </c>
      <c r="D60" s="26" t="s">
        <v>1955</v>
      </c>
      <c r="E60" s="26" t="s">
        <v>1223</v>
      </c>
      <c r="F60" s="40" t="s">
        <v>255</v>
      </c>
      <c r="G60" s="40" t="s">
        <v>255</v>
      </c>
      <c r="H60" s="26" t="s">
        <v>1956</v>
      </c>
    </row>
    <row r="61" spans="1:8" ht="18">
      <c r="A61" s="49">
        <v>40347</v>
      </c>
      <c r="B61" s="26" t="s">
        <v>1861</v>
      </c>
      <c r="C61" s="26" t="s">
        <v>397</v>
      </c>
      <c r="D61" s="26" t="s">
        <v>1434</v>
      </c>
      <c r="E61" s="26" t="s">
        <v>381</v>
      </c>
      <c r="F61" s="40" t="s">
        <v>255</v>
      </c>
      <c r="G61" s="50">
        <v>94345</v>
      </c>
      <c r="H61" s="26" t="s">
        <v>1957</v>
      </c>
    </row>
    <row r="62" spans="1:8">
      <c r="A62" s="49">
        <v>40347</v>
      </c>
      <c r="B62" s="26" t="s">
        <v>1861</v>
      </c>
      <c r="C62" s="26" t="s">
        <v>212</v>
      </c>
      <c r="D62" s="26" t="s">
        <v>1958</v>
      </c>
      <c r="E62" s="26" t="s">
        <v>22</v>
      </c>
      <c r="F62" s="40" t="s">
        <v>255</v>
      </c>
      <c r="G62" s="50">
        <v>400000</v>
      </c>
      <c r="H62" s="26" t="s">
        <v>1959</v>
      </c>
    </row>
    <row r="63" spans="1:8" ht="27">
      <c r="A63" s="49">
        <v>40347</v>
      </c>
      <c r="B63" s="26" t="s">
        <v>1861</v>
      </c>
      <c r="C63" s="26" t="s">
        <v>81</v>
      </c>
      <c r="D63" s="26" t="s">
        <v>1960</v>
      </c>
      <c r="E63" s="26" t="s">
        <v>381</v>
      </c>
      <c r="F63" s="40" t="s">
        <v>255</v>
      </c>
      <c r="G63" s="50">
        <v>100000</v>
      </c>
      <c r="H63" s="26" t="s">
        <v>1961</v>
      </c>
    </row>
    <row r="64" spans="1:8" ht="18">
      <c r="A64" s="49">
        <v>40347</v>
      </c>
      <c r="B64" s="26" t="s">
        <v>1861</v>
      </c>
      <c r="C64" s="26" t="s">
        <v>109</v>
      </c>
      <c r="D64" s="26" t="s">
        <v>1962</v>
      </c>
      <c r="E64" s="26" t="s">
        <v>22</v>
      </c>
      <c r="F64" s="40" t="s">
        <v>255</v>
      </c>
      <c r="G64" s="50">
        <v>79000</v>
      </c>
      <c r="H64" s="26" t="s">
        <v>1963</v>
      </c>
    </row>
    <row r="65" spans="1:8" ht="18">
      <c r="A65" s="49">
        <v>40347</v>
      </c>
      <c r="B65" s="26" t="s">
        <v>1861</v>
      </c>
      <c r="C65" s="26" t="s">
        <v>109</v>
      </c>
      <c r="D65" s="26" t="s">
        <v>1964</v>
      </c>
      <c r="E65" s="26" t="s">
        <v>22</v>
      </c>
      <c r="F65" s="40" t="s">
        <v>255</v>
      </c>
      <c r="G65" s="50">
        <v>150000</v>
      </c>
      <c r="H65" s="26" t="s">
        <v>1965</v>
      </c>
    </row>
    <row r="66" spans="1:8">
      <c r="A66" s="49">
        <v>40350</v>
      </c>
      <c r="B66" s="26" t="s">
        <v>1861</v>
      </c>
      <c r="C66" s="26" t="s">
        <v>1133</v>
      </c>
      <c r="D66" s="26" t="s">
        <v>1966</v>
      </c>
      <c r="E66" s="26" t="s">
        <v>381</v>
      </c>
      <c r="F66" s="40">
        <v>400</v>
      </c>
      <c r="G66" s="50">
        <v>50636</v>
      </c>
      <c r="H66" s="26" t="s">
        <v>1967</v>
      </c>
    </row>
    <row r="67" spans="1:8" ht="45">
      <c r="A67" s="49">
        <v>40351</v>
      </c>
      <c r="B67" s="26" t="s">
        <v>333</v>
      </c>
      <c r="C67" s="26" t="s">
        <v>1968</v>
      </c>
      <c r="D67" s="26" t="s">
        <v>1969</v>
      </c>
      <c r="E67" s="26" t="s">
        <v>1970</v>
      </c>
      <c r="F67" s="40">
        <v>84</v>
      </c>
      <c r="G67" s="50">
        <v>25159</v>
      </c>
      <c r="H67" s="26" t="s">
        <v>1971</v>
      </c>
    </row>
    <row r="68" spans="1:8">
      <c r="A68" s="49">
        <v>40352</v>
      </c>
      <c r="B68" s="26" t="s">
        <v>1861</v>
      </c>
      <c r="C68" s="26" t="s">
        <v>104</v>
      </c>
      <c r="D68" s="26" t="s">
        <v>1958</v>
      </c>
      <c r="E68" s="26" t="s">
        <v>22</v>
      </c>
      <c r="F68" s="40" t="s">
        <v>255</v>
      </c>
      <c r="G68" s="50">
        <v>300000</v>
      </c>
      <c r="H68" s="26" t="s">
        <v>1972</v>
      </c>
    </row>
    <row r="69" spans="1:8" ht="18">
      <c r="A69" s="49">
        <v>40352</v>
      </c>
      <c r="B69" s="26" t="s">
        <v>1861</v>
      </c>
      <c r="C69" s="26" t="s">
        <v>1008</v>
      </c>
      <c r="D69" s="26" t="s">
        <v>1434</v>
      </c>
      <c r="E69" s="26" t="s">
        <v>381</v>
      </c>
      <c r="F69" s="40" t="s">
        <v>255</v>
      </c>
      <c r="G69" s="50">
        <v>53000</v>
      </c>
      <c r="H69" s="26" t="s">
        <v>1973</v>
      </c>
    </row>
    <row r="70" spans="1:8" ht="18">
      <c r="A70" s="49">
        <v>40353</v>
      </c>
      <c r="B70" s="26" t="s">
        <v>1861</v>
      </c>
      <c r="C70" s="26" t="s">
        <v>328</v>
      </c>
      <c r="D70" s="26" t="s">
        <v>1974</v>
      </c>
      <c r="E70" s="26" t="s">
        <v>381</v>
      </c>
      <c r="F70" s="40" t="s">
        <v>255</v>
      </c>
      <c r="G70" s="50">
        <v>150000</v>
      </c>
      <c r="H70" s="26" t="s">
        <v>1975</v>
      </c>
    </row>
    <row r="71" spans="1:8" ht="18">
      <c r="A71" s="49">
        <v>40353</v>
      </c>
      <c r="B71" s="26" t="s">
        <v>1861</v>
      </c>
      <c r="C71" s="26" t="s">
        <v>397</v>
      </c>
      <c r="D71" s="26" t="s">
        <v>1877</v>
      </c>
      <c r="E71" s="26" t="s">
        <v>381</v>
      </c>
      <c r="F71" s="40" t="s">
        <v>255</v>
      </c>
      <c r="G71" s="50">
        <v>355000</v>
      </c>
      <c r="H71" s="26" t="s">
        <v>1976</v>
      </c>
    </row>
    <row r="72" spans="1:8" ht="27">
      <c r="A72" s="49">
        <v>40354</v>
      </c>
      <c r="B72" s="26" t="s">
        <v>251</v>
      </c>
      <c r="C72" s="26" t="s">
        <v>1977</v>
      </c>
      <c r="D72" s="26" t="s">
        <v>141</v>
      </c>
      <c r="E72" s="26" t="s">
        <v>1223</v>
      </c>
      <c r="F72" s="40" t="s">
        <v>255</v>
      </c>
      <c r="G72" s="40" t="s">
        <v>255</v>
      </c>
      <c r="H72" s="26" t="s">
        <v>1978</v>
      </c>
    </row>
    <row r="73" spans="1:8" hidden="1">
      <c r="A73" s="47" t="s">
        <v>1149</v>
      </c>
      <c r="B73" s="24"/>
      <c r="C73" s="24"/>
      <c r="D73" s="24"/>
      <c r="E73" s="24"/>
      <c r="F73" s="48"/>
      <c r="G73" s="48"/>
      <c r="H73" s="24"/>
    </row>
    <row r="74" spans="1:8" ht="18">
      <c r="A74" s="49">
        <v>40365</v>
      </c>
      <c r="B74" s="26" t="s">
        <v>1861</v>
      </c>
      <c r="C74" s="26" t="s">
        <v>1979</v>
      </c>
      <c r="D74" s="26" t="s">
        <v>1980</v>
      </c>
      <c r="E74" s="26" t="s">
        <v>1981</v>
      </c>
      <c r="F74" s="40">
        <v>95</v>
      </c>
      <c r="G74" s="50">
        <v>18400</v>
      </c>
      <c r="H74" s="26" t="s">
        <v>1982</v>
      </c>
    </row>
    <row r="75" spans="1:8" ht="27">
      <c r="A75" s="49">
        <v>40366</v>
      </c>
      <c r="B75" s="26" t="s">
        <v>1861</v>
      </c>
      <c r="C75" s="26" t="s">
        <v>1983</v>
      </c>
      <c r="D75" s="26" t="s">
        <v>1984</v>
      </c>
      <c r="E75" s="26" t="s">
        <v>1985</v>
      </c>
      <c r="F75" s="40" t="s">
        <v>255</v>
      </c>
      <c r="G75" s="50">
        <v>43903</v>
      </c>
      <c r="H75" s="26" t="s">
        <v>1986</v>
      </c>
    </row>
    <row r="76" spans="1:8" ht="18">
      <c r="A76" s="49">
        <v>40374</v>
      </c>
      <c r="B76" s="26" t="s">
        <v>1861</v>
      </c>
      <c r="C76" s="26" t="s">
        <v>81</v>
      </c>
      <c r="D76" s="26" t="s">
        <v>268</v>
      </c>
      <c r="E76" s="26" t="s">
        <v>22</v>
      </c>
      <c r="F76" s="40">
        <v>540</v>
      </c>
      <c r="G76" s="50">
        <v>127534</v>
      </c>
      <c r="H76" s="26" t="s">
        <v>1987</v>
      </c>
    </row>
    <row r="77" spans="1:8" ht="18">
      <c r="A77" s="49">
        <v>40376</v>
      </c>
      <c r="B77" s="26" t="s">
        <v>1953</v>
      </c>
      <c r="C77" s="26" t="s">
        <v>722</v>
      </c>
      <c r="D77" s="26" t="s">
        <v>675</v>
      </c>
      <c r="E77" s="26" t="s">
        <v>1988</v>
      </c>
      <c r="F77" s="40" t="s">
        <v>255</v>
      </c>
      <c r="G77" s="50">
        <v>63000</v>
      </c>
      <c r="H77" s="26" t="s">
        <v>1989</v>
      </c>
    </row>
    <row r="78" spans="1:8">
      <c r="A78" s="49">
        <v>40380</v>
      </c>
      <c r="B78" s="26" t="s">
        <v>1887</v>
      </c>
      <c r="C78" s="26" t="s">
        <v>1990</v>
      </c>
      <c r="D78" s="26" t="s">
        <v>1579</v>
      </c>
      <c r="E78" s="26" t="s">
        <v>381</v>
      </c>
      <c r="F78" s="40" t="s">
        <v>255</v>
      </c>
      <c r="G78" s="50">
        <v>50100</v>
      </c>
      <c r="H78" s="26" t="s">
        <v>1991</v>
      </c>
    </row>
    <row r="79" spans="1:8" ht="18">
      <c r="A79" s="49">
        <v>40382</v>
      </c>
      <c r="B79" s="26" t="s">
        <v>251</v>
      </c>
      <c r="C79" s="26" t="s">
        <v>334</v>
      </c>
      <c r="D79" s="26" t="s">
        <v>1992</v>
      </c>
      <c r="E79" s="26" t="s">
        <v>962</v>
      </c>
      <c r="F79" s="65">
        <v>40702</v>
      </c>
      <c r="G79" s="40" t="s">
        <v>255</v>
      </c>
      <c r="H79" s="26" t="s">
        <v>1993</v>
      </c>
    </row>
    <row r="80" spans="1:8" ht="18.75" thickBot="1">
      <c r="A80" s="51">
        <v>40382</v>
      </c>
      <c r="B80" s="30" t="s">
        <v>1861</v>
      </c>
      <c r="C80" s="30" t="s">
        <v>1053</v>
      </c>
      <c r="D80" s="30" t="s">
        <v>268</v>
      </c>
      <c r="E80" s="30" t="s">
        <v>22</v>
      </c>
      <c r="F80" s="52">
        <v>400</v>
      </c>
      <c r="G80" s="53">
        <v>82000</v>
      </c>
      <c r="H80" s="30" t="s">
        <v>1994</v>
      </c>
    </row>
    <row r="81" spans="1:8" ht="13.5" hidden="1" thickTop="1">
      <c r="A81" s="45" t="s">
        <v>1840</v>
      </c>
    </row>
    <row r="82" spans="1:8" ht="33" hidden="1" thickTop="1">
      <c r="A82" s="46" t="s">
        <v>2</v>
      </c>
      <c r="B82" s="21" t="s">
        <v>1995</v>
      </c>
      <c r="C82" s="21" t="s">
        <v>3</v>
      </c>
      <c r="D82" s="21" t="s">
        <v>67</v>
      </c>
      <c r="E82" s="21" t="s">
        <v>5</v>
      </c>
      <c r="F82" s="21" t="s">
        <v>6</v>
      </c>
      <c r="G82" s="21" t="s">
        <v>68</v>
      </c>
      <c r="H82" s="22" t="s">
        <v>69</v>
      </c>
    </row>
    <row r="83" spans="1:8" ht="18.75" thickTop="1">
      <c r="A83" s="49">
        <v>40384</v>
      </c>
      <c r="B83" s="26" t="s">
        <v>1861</v>
      </c>
      <c r="C83" s="26" t="s">
        <v>1996</v>
      </c>
      <c r="D83" s="26" t="s">
        <v>1997</v>
      </c>
      <c r="E83" s="26" t="s">
        <v>22</v>
      </c>
      <c r="F83" s="40" t="s">
        <v>255</v>
      </c>
      <c r="G83" s="50">
        <v>297700</v>
      </c>
      <c r="H83" s="26" t="s">
        <v>1998</v>
      </c>
    </row>
    <row r="84" spans="1:8" ht="18">
      <c r="A84" s="49">
        <v>40384</v>
      </c>
      <c r="B84" s="26" t="s">
        <v>1861</v>
      </c>
      <c r="C84" s="26" t="s">
        <v>1999</v>
      </c>
      <c r="D84" s="26" t="s">
        <v>916</v>
      </c>
      <c r="E84" s="26" t="s">
        <v>22</v>
      </c>
      <c r="F84" s="40">
        <v>480</v>
      </c>
      <c r="G84" s="50">
        <v>124000</v>
      </c>
      <c r="H84" s="26" t="s">
        <v>2000</v>
      </c>
    </row>
    <row r="85" spans="1:8" ht="18">
      <c r="A85" s="49">
        <v>40384</v>
      </c>
      <c r="B85" s="26" t="s">
        <v>333</v>
      </c>
      <c r="C85" s="26" t="s">
        <v>209</v>
      </c>
      <c r="D85" s="26" t="s">
        <v>923</v>
      </c>
      <c r="E85" s="26" t="s">
        <v>22</v>
      </c>
      <c r="F85" s="40" t="s">
        <v>2001</v>
      </c>
      <c r="G85" s="50">
        <v>81000</v>
      </c>
      <c r="H85" s="26" t="s">
        <v>2002</v>
      </c>
    </row>
    <row r="86" spans="1:8">
      <c r="A86" s="49">
        <v>40388</v>
      </c>
      <c r="B86" s="26" t="s">
        <v>333</v>
      </c>
      <c r="C86" s="26" t="s">
        <v>2003</v>
      </c>
      <c r="D86" s="26" t="s">
        <v>2004</v>
      </c>
      <c r="E86" s="26" t="s">
        <v>381</v>
      </c>
      <c r="F86" s="40" t="s">
        <v>255</v>
      </c>
      <c r="G86" s="50">
        <v>55000</v>
      </c>
      <c r="H86" s="26" t="s">
        <v>2005</v>
      </c>
    </row>
    <row r="87" spans="1:8" ht="27">
      <c r="A87" s="49">
        <v>40388</v>
      </c>
      <c r="B87" s="26" t="s">
        <v>251</v>
      </c>
      <c r="C87" s="26" t="s">
        <v>922</v>
      </c>
      <c r="D87" s="26" t="s">
        <v>703</v>
      </c>
      <c r="E87" s="26" t="s">
        <v>2006</v>
      </c>
      <c r="F87" s="40">
        <v>522</v>
      </c>
      <c r="G87" s="40" t="s">
        <v>255</v>
      </c>
      <c r="H87" s="26" t="s">
        <v>2007</v>
      </c>
    </row>
    <row r="88" spans="1:8" ht="27">
      <c r="A88" s="49">
        <v>40388</v>
      </c>
      <c r="B88" s="26" t="s">
        <v>251</v>
      </c>
      <c r="C88" s="26" t="s">
        <v>922</v>
      </c>
      <c r="D88" s="26" t="s">
        <v>703</v>
      </c>
      <c r="E88" s="26" t="s">
        <v>2006</v>
      </c>
      <c r="F88" s="40">
        <v>522</v>
      </c>
      <c r="G88" s="40" t="s">
        <v>255</v>
      </c>
      <c r="H88" s="26" t="s">
        <v>2007</v>
      </c>
    </row>
    <row r="89" spans="1:8" hidden="1">
      <c r="A89" s="47" t="s">
        <v>1171</v>
      </c>
      <c r="B89" s="24"/>
      <c r="C89" s="24"/>
      <c r="D89" s="24"/>
      <c r="E89" s="24"/>
      <c r="F89" s="48"/>
      <c r="G89" s="48"/>
      <c r="H89" s="24"/>
    </row>
    <row r="90" spans="1:8" ht="27">
      <c r="A90" s="49">
        <v>40392</v>
      </c>
      <c r="B90" s="26" t="s">
        <v>251</v>
      </c>
      <c r="C90" s="26" t="s">
        <v>424</v>
      </c>
      <c r="D90" s="26" t="s">
        <v>1922</v>
      </c>
      <c r="E90" s="26" t="s">
        <v>2008</v>
      </c>
      <c r="F90" s="40" t="s">
        <v>255</v>
      </c>
      <c r="G90" s="40" t="s">
        <v>255</v>
      </c>
      <c r="H90" s="26" t="s">
        <v>2009</v>
      </c>
    </row>
    <row r="91" spans="1:8" ht="18">
      <c r="A91" s="49">
        <v>40392</v>
      </c>
      <c r="B91" s="26" t="s">
        <v>333</v>
      </c>
      <c r="C91" s="26" t="s">
        <v>1179</v>
      </c>
      <c r="D91" s="26" t="s">
        <v>1949</v>
      </c>
      <c r="E91" s="26" t="s">
        <v>962</v>
      </c>
      <c r="F91" s="40" t="s">
        <v>255</v>
      </c>
      <c r="G91" s="40" t="s">
        <v>255</v>
      </c>
      <c r="H91" s="26" t="s">
        <v>2010</v>
      </c>
    </row>
    <row r="92" spans="1:8" ht="18">
      <c r="A92" s="49">
        <v>40392</v>
      </c>
      <c r="B92" s="26" t="s">
        <v>333</v>
      </c>
      <c r="C92" s="26" t="s">
        <v>1179</v>
      </c>
      <c r="D92" s="26" t="s">
        <v>1949</v>
      </c>
      <c r="E92" s="26" t="s">
        <v>962</v>
      </c>
      <c r="F92" s="40" t="s">
        <v>255</v>
      </c>
      <c r="G92" s="40" t="s">
        <v>255</v>
      </c>
      <c r="H92" s="26" t="s">
        <v>2010</v>
      </c>
    </row>
    <row r="93" spans="1:8" ht="18">
      <c r="A93" s="49">
        <v>40392</v>
      </c>
      <c r="B93" s="26" t="s">
        <v>333</v>
      </c>
      <c r="C93" s="26" t="s">
        <v>1179</v>
      </c>
      <c r="D93" s="26" t="s">
        <v>1952</v>
      </c>
      <c r="E93" s="26" t="s">
        <v>962</v>
      </c>
      <c r="F93" s="40" t="s">
        <v>255</v>
      </c>
      <c r="G93" s="40" t="s">
        <v>255</v>
      </c>
      <c r="H93" s="26" t="s">
        <v>2010</v>
      </c>
    </row>
    <row r="94" spans="1:8" ht="18">
      <c r="A94" s="49">
        <v>40392</v>
      </c>
      <c r="B94" s="26" t="s">
        <v>1857</v>
      </c>
      <c r="C94" s="26" t="s">
        <v>1179</v>
      </c>
      <c r="D94" s="26" t="s">
        <v>1949</v>
      </c>
      <c r="E94" s="26" t="s">
        <v>962</v>
      </c>
      <c r="F94" s="40" t="s">
        <v>255</v>
      </c>
      <c r="G94" s="40" t="s">
        <v>255</v>
      </c>
      <c r="H94" s="26" t="s">
        <v>2010</v>
      </c>
    </row>
    <row r="95" spans="1:8" ht="27">
      <c r="A95" s="49">
        <v>40394</v>
      </c>
      <c r="B95" s="26" t="s">
        <v>1857</v>
      </c>
      <c r="C95" s="26" t="s">
        <v>424</v>
      </c>
      <c r="D95" s="26" t="s">
        <v>2011</v>
      </c>
      <c r="E95" s="26" t="s">
        <v>962</v>
      </c>
      <c r="F95" s="40" t="s">
        <v>255</v>
      </c>
      <c r="G95" s="40" t="s">
        <v>255</v>
      </c>
      <c r="H95" s="26" t="s">
        <v>2012</v>
      </c>
    </row>
    <row r="96" spans="1:8" ht="45">
      <c r="A96" s="49">
        <v>40394</v>
      </c>
      <c r="B96" s="26" t="s">
        <v>1861</v>
      </c>
      <c r="C96" s="26" t="s">
        <v>2013</v>
      </c>
      <c r="D96" s="26" t="s">
        <v>2014</v>
      </c>
      <c r="E96" s="26" t="s">
        <v>381</v>
      </c>
      <c r="F96" s="40">
        <v>60</v>
      </c>
      <c r="G96" s="50">
        <v>11186</v>
      </c>
      <c r="H96" s="26" t="s">
        <v>2015</v>
      </c>
    </row>
    <row r="97" spans="1:8" ht="27">
      <c r="A97" s="49">
        <v>40394</v>
      </c>
      <c r="B97" s="26" t="s">
        <v>1861</v>
      </c>
      <c r="C97" s="26" t="s">
        <v>104</v>
      </c>
      <c r="D97" s="26" t="s">
        <v>2016</v>
      </c>
      <c r="E97" s="26" t="s">
        <v>22</v>
      </c>
      <c r="F97" s="40" t="s">
        <v>255</v>
      </c>
      <c r="G97" s="50">
        <v>37000</v>
      </c>
      <c r="H97" s="26" t="s">
        <v>2017</v>
      </c>
    </row>
    <row r="98" spans="1:8" ht="27">
      <c r="A98" s="49">
        <v>40395</v>
      </c>
      <c r="B98" s="26" t="s">
        <v>1861</v>
      </c>
      <c r="C98" s="26" t="s">
        <v>397</v>
      </c>
      <c r="D98" s="26" t="s">
        <v>2018</v>
      </c>
      <c r="E98" s="26" t="s">
        <v>381</v>
      </c>
      <c r="F98" s="40" t="s">
        <v>255</v>
      </c>
      <c r="G98" s="50">
        <v>76729</v>
      </c>
      <c r="H98" s="26" t="s">
        <v>2019</v>
      </c>
    </row>
    <row r="99" spans="1:8" ht="18">
      <c r="A99" s="49">
        <v>40395</v>
      </c>
      <c r="B99" s="26" t="s">
        <v>1861</v>
      </c>
      <c r="C99" s="26" t="s">
        <v>2020</v>
      </c>
      <c r="D99" s="26" t="s">
        <v>923</v>
      </c>
      <c r="E99" s="26" t="s">
        <v>381</v>
      </c>
      <c r="F99" s="40" t="s">
        <v>255</v>
      </c>
      <c r="G99" s="50">
        <v>145157</v>
      </c>
      <c r="H99" s="26" t="s">
        <v>2021</v>
      </c>
    </row>
    <row r="100" spans="1:8" ht="18">
      <c r="A100" s="49">
        <v>40399</v>
      </c>
      <c r="B100" s="26" t="s">
        <v>1861</v>
      </c>
      <c r="C100" s="26" t="s">
        <v>424</v>
      </c>
      <c r="D100" s="26" t="s">
        <v>89</v>
      </c>
      <c r="E100" s="26" t="s">
        <v>2022</v>
      </c>
      <c r="F100" s="40" t="s">
        <v>255</v>
      </c>
      <c r="G100" s="40" t="s">
        <v>255</v>
      </c>
      <c r="H100" s="26" t="s">
        <v>2023</v>
      </c>
    </row>
    <row r="101" spans="1:8" ht="18">
      <c r="A101" s="49">
        <v>40401</v>
      </c>
      <c r="B101" s="26" t="s">
        <v>1861</v>
      </c>
      <c r="C101" s="26" t="s">
        <v>2024</v>
      </c>
      <c r="D101" s="26" t="s">
        <v>160</v>
      </c>
      <c r="E101" s="26" t="s">
        <v>22</v>
      </c>
      <c r="F101" s="40" t="s">
        <v>255</v>
      </c>
      <c r="G101" s="50">
        <v>57000</v>
      </c>
      <c r="H101" s="26" t="s">
        <v>2025</v>
      </c>
    </row>
    <row r="102" spans="1:8" ht="27">
      <c r="A102" s="49">
        <v>40402</v>
      </c>
      <c r="B102" s="26" t="s">
        <v>1861</v>
      </c>
      <c r="C102" s="26" t="s">
        <v>2026</v>
      </c>
      <c r="D102" s="26" t="s">
        <v>2018</v>
      </c>
      <c r="E102" s="26" t="s">
        <v>22</v>
      </c>
      <c r="F102" s="40" t="s">
        <v>255</v>
      </c>
      <c r="G102" s="50">
        <v>101003</v>
      </c>
      <c r="H102" s="26" t="s">
        <v>2027</v>
      </c>
    </row>
    <row r="103" spans="1:8" ht="18">
      <c r="A103" s="49">
        <v>40402</v>
      </c>
      <c r="B103" s="26" t="s">
        <v>1857</v>
      </c>
      <c r="C103" s="26" t="s">
        <v>2028</v>
      </c>
      <c r="D103" s="26" t="s">
        <v>2029</v>
      </c>
      <c r="E103" s="26" t="s">
        <v>962</v>
      </c>
      <c r="F103" s="40">
        <v>65</v>
      </c>
      <c r="G103" s="40" t="s">
        <v>255</v>
      </c>
      <c r="H103" s="26" t="s">
        <v>2030</v>
      </c>
    </row>
    <row r="104" spans="1:8" ht="27">
      <c r="A104" s="49">
        <v>40402</v>
      </c>
      <c r="B104" s="26" t="s">
        <v>1953</v>
      </c>
      <c r="C104" s="26" t="s">
        <v>1144</v>
      </c>
      <c r="D104" s="26" t="s">
        <v>2031</v>
      </c>
      <c r="E104" s="26" t="s">
        <v>962</v>
      </c>
      <c r="F104" s="40">
        <v>30</v>
      </c>
      <c r="G104" s="50">
        <v>7600</v>
      </c>
      <c r="H104" s="26" t="s">
        <v>2032</v>
      </c>
    </row>
    <row r="105" spans="1:8" ht="18">
      <c r="A105" s="49">
        <v>40409</v>
      </c>
      <c r="B105" s="26" t="s">
        <v>1861</v>
      </c>
      <c r="C105" s="26" t="s">
        <v>267</v>
      </c>
      <c r="D105" s="26" t="s">
        <v>268</v>
      </c>
      <c r="E105" s="26" t="s">
        <v>22</v>
      </c>
      <c r="F105" s="40">
        <v>340</v>
      </c>
      <c r="G105" s="50">
        <v>80000</v>
      </c>
      <c r="H105" s="26" t="s">
        <v>2033</v>
      </c>
    </row>
    <row r="106" spans="1:8" ht="18">
      <c r="A106" s="49">
        <v>40413</v>
      </c>
      <c r="B106" s="26" t="s">
        <v>1878</v>
      </c>
      <c r="C106" s="26" t="s">
        <v>716</v>
      </c>
      <c r="D106" s="26" t="s">
        <v>1098</v>
      </c>
      <c r="E106" s="26" t="s">
        <v>22</v>
      </c>
      <c r="F106" s="40">
        <v>746</v>
      </c>
      <c r="G106" s="50">
        <v>81586</v>
      </c>
      <c r="H106" s="26" t="s">
        <v>2034</v>
      </c>
    </row>
    <row r="107" spans="1:8" hidden="1">
      <c r="A107" s="47" t="s">
        <v>219</v>
      </c>
      <c r="B107" s="24"/>
      <c r="C107" s="24"/>
      <c r="D107" s="24"/>
      <c r="E107" s="24"/>
      <c r="F107" s="48"/>
      <c r="G107" s="48"/>
      <c r="H107" s="24"/>
    </row>
    <row r="108" spans="1:8" ht="36">
      <c r="A108" s="49">
        <v>40422</v>
      </c>
      <c r="B108" s="26" t="s">
        <v>251</v>
      </c>
      <c r="C108" s="26" t="s">
        <v>2035</v>
      </c>
      <c r="D108" s="26" t="s">
        <v>2036</v>
      </c>
      <c r="E108" s="26" t="s">
        <v>2037</v>
      </c>
      <c r="F108" s="40">
        <v>31</v>
      </c>
      <c r="G108" s="50">
        <v>15000</v>
      </c>
      <c r="H108" s="26" t="s">
        <v>2038</v>
      </c>
    </row>
    <row r="109" spans="1:8" ht="18">
      <c r="A109" s="49">
        <v>40428</v>
      </c>
      <c r="B109" s="26" t="s">
        <v>1878</v>
      </c>
      <c r="C109" s="26" t="s">
        <v>1363</v>
      </c>
      <c r="D109" s="26" t="s">
        <v>1763</v>
      </c>
      <c r="E109" s="26" t="s">
        <v>1256</v>
      </c>
      <c r="F109" s="40" t="s">
        <v>255</v>
      </c>
      <c r="G109" s="50">
        <v>340350</v>
      </c>
      <c r="H109" s="26" t="s">
        <v>2039</v>
      </c>
    </row>
    <row r="110" spans="1:8" ht="18">
      <c r="A110" s="49">
        <v>40441</v>
      </c>
      <c r="B110" s="26" t="s">
        <v>333</v>
      </c>
      <c r="C110" s="26" t="s">
        <v>104</v>
      </c>
      <c r="D110" s="26" t="s">
        <v>2040</v>
      </c>
      <c r="E110" s="26" t="s">
        <v>2041</v>
      </c>
      <c r="F110" s="40" t="s">
        <v>255</v>
      </c>
      <c r="G110" s="40" t="s">
        <v>255</v>
      </c>
      <c r="H110" s="26" t="s">
        <v>2042</v>
      </c>
    </row>
    <row r="111" spans="1:8" ht="27">
      <c r="A111" s="49">
        <v>40442</v>
      </c>
      <c r="B111" s="26" t="s">
        <v>1861</v>
      </c>
      <c r="C111" s="26" t="s">
        <v>2043</v>
      </c>
      <c r="D111" s="26" t="s">
        <v>2044</v>
      </c>
      <c r="E111" s="26" t="s">
        <v>381</v>
      </c>
      <c r="F111" s="40" t="s">
        <v>255</v>
      </c>
      <c r="G111" s="50">
        <v>138000</v>
      </c>
      <c r="H111" s="26" t="s">
        <v>2045</v>
      </c>
    </row>
    <row r="112" spans="1:8" ht="18">
      <c r="A112" s="49">
        <v>40443</v>
      </c>
      <c r="B112" s="26" t="s">
        <v>251</v>
      </c>
      <c r="C112" s="26" t="s">
        <v>2046</v>
      </c>
      <c r="D112" s="26" t="s">
        <v>2047</v>
      </c>
      <c r="E112" s="26" t="s">
        <v>1930</v>
      </c>
      <c r="F112" s="40">
        <v>526</v>
      </c>
      <c r="G112" s="40" t="s">
        <v>255</v>
      </c>
      <c r="H112" s="26" t="s">
        <v>2048</v>
      </c>
    </row>
    <row r="113" spans="1:8" ht="27">
      <c r="A113" s="49">
        <v>40443</v>
      </c>
      <c r="B113" s="26" t="s">
        <v>1861</v>
      </c>
      <c r="C113" s="26" t="s">
        <v>2049</v>
      </c>
      <c r="D113" s="26" t="s">
        <v>2050</v>
      </c>
      <c r="E113" s="26" t="s">
        <v>381</v>
      </c>
      <c r="F113" s="40">
        <v>156</v>
      </c>
      <c r="G113" s="50">
        <v>52000</v>
      </c>
      <c r="H113" s="26" t="s">
        <v>2051</v>
      </c>
    </row>
    <row r="114" spans="1:8" ht="18">
      <c r="A114" s="49">
        <v>40443</v>
      </c>
      <c r="B114" s="26" t="s">
        <v>1861</v>
      </c>
      <c r="C114" s="26" t="s">
        <v>2052</v>
      </c>
      <c r="D114" s="26" t="s">
        <v>1562</v>
      </c>
      <c r="E114" s="26" t="s">
        <v>381</v>
      </c>
      <c r="F114" s="40">
        <v>389</v>
      </c>
      <c r="G114" s="50">
        <v>82861</v>
      </c>
      <c r="H114" s="26" t="s">
        <v>2053</v>
      </c>
    </row>
    <row r="115" spans="1:8" ht="27">
      <c r="A115" s="49">
        <v>40448</v>
      </c>
      <c r="B115" s="26" t="s">
        <v>251</v>
      </c>
      <c r="C115" s="26" t="s">
        <v>136</v>
      </c>
      <c r="D115" s="26" t="s">
        <v>393</v>
      </c>
      <c r="E115" s="26" t="s">
        <v>2054</v>
      </c>
      <c r="F115" s="40">
        <v>595</v>
      </c>
      <c r="G115" s="40" t="s">
        <v>255</v>
      </c>
      <c r="H115" s="26" t="s">
        <v>2055</v>
      </c>
    </row>
    <row r="116" spans="1:8" hidden="1">
      <c r="A116" s="47" t="s">
        <v>1240</v>
      </c>
      <c r="B116" s="24"/>
      <c r="C116" s="24"/>
      <c r="D116" s="24"/>
      <c r="E116" s="24"/>
      <c r="F116" s="48"/>
      <c r="G116" s="48"/>
      <c r="H116" s="24"/>
    </row>
    <row r="117" spans="1:8" ht="27">
      <c r="A117" s="49">
        <v>40456</v>
      </c>
      <c r="B117" s="26" t="s">
        <v>251</v>
      </c>
      <c r="C117" s="26" t="s">
        <v>1534</v>
      </c>
      <c r="D117" s="26" t="s">
        <v>1106</v>
      </c>
      <c r="E117" s="26" t="s">
        <v>2056</v>
      </c>
      <c r="F117" s="40" t="s">
        <v>255</v>
      </c>
      <c r="G117" s="50">
        <v>73514</v>
      </c>
      <c r="H117" s="26" t="s">
        <v>2057</v>
      </c>
    </row>
    <row r="118" spans="1:8" ht="18">
      <c r="A118" s="49">
        <v>40477</v>
      </c>
      <c r="B118" s="26" t="s">
        <v>1861</v>
      </c>
      <c r="C118" s="26" t="s">
        <v>147</v>
      </c>
      <c r="D118" s="26" t="s">
        <v>156</v>
      </c>
      <c r="E118" s="26" t="s">
        <v>381</v>
      </c>
      <c r="F118" s="40" t="s">
        <v>255</v>
      </c>
      <c r="G118" s="50">
        <v>192106</v>
      </c>
      <c r="H118" s="26" t="s">
        <v>2058</v>
      </c>
    </row>
    <row r="119" spans="1:8" ht="18">
      <c r="A119" s="49">
        <v>40477</v>
      </c>
      <c r="B119" s="26" t="s">
        <v>1953</v>
      </c>
      <c r="C119" s="26" t="s">
        <v>109</v>
      </c>
      <c r="D119" s="26" t="s">
        <v>675</v>
      </c>
      <c r="E119" s="26" t="s">
        <v>264</v>
      </c>
      <c r="F119" s="40" t="s">
        <v>255</v>
      </c>
      <c r="G119" s="50">
        <v>70000</v>
      </c>
      <c r="H119" s="26" t="s">
        <v>2059</v>
      </c>
    </row>
    <row r="120" spans="1:8" ht="27.75" thickBot="1">
      <c r="A120" s="51">
        <v>40478</v>
      </c>
      <c r="B120" s="30" t="s">
        <v>1953</v>
      </c>
      <c r="C120" s="30" t="s">
        <v>159</v>
      </c>
      <c r="D120" s="30" t="s">
        <v>2060</v>
      </c>
      <c r="E120" s="30" t="s">
        <v>264</v>
      </c>
      <c r="F120" s="52" t="s">
        <v>255</v>
      </c>
      <c r="G120" s="53">
        <v>63000</v>
      </c>
      <c r="H120" s="30" t="s">
        <v>2061</v>
      </c>
    </row>
    <row r="121" spans="1:8" ht="13.5" hidden="1" thickTop="1">
      <c r="A121" s="45" t="s">
        <v>1840</v>
      </c>
    </row>
    <row r="122" spans="1:8" ht="39" hidden="1" thickTop="1">
      <c r="A122" s="46" t="s">
        <v>2</v>
      </c>
      <c r="B122" s="21" t="s">
        <v>1995</v>
      </c>
      <c r="C122" s="21" t="s">
        <v>3</v>
      </c>
      <c r="D122" s="21" t="s">
        <v>67</v>
      </c>
      <c r="E122" s="21" t="s">
        <v>5</v>
      </c>
      <c r="F122" s="21" t="s">
        <v>6</v>
      </c>
      <c r="G122" s="54" t="s">
        <v>1027</v>
      </c>
      <c r="H122" s="22" t="s">
        <v>69</v>
      </c>
    </row>
    <row r="123" spans="1:8" ht="27.75" thickTop="1">
      <c r="A123" s="49">
        <v>40478</v>
      </c>
      <c r="B123" s="26" t="s">
        <v>1861</v>
      </c>
      <c r="C123" s="26" t="s">
        <v>500</v>
      </c>
      <c r="D123" s="26" t="s">
        <v>2062</v>
      </c>
      <c r="E123" s="26" t="s">
        <v>264</v>
      </c>
      <c r="F123" s="40">
        <v>240</v>
      </c>
      <c r="G123" s="50">
        <v>285000</v>
      </c>
      <c r="H123" s="26" t="s">
        <v>2063</v>
      </c>
    </row>
    <row r="124" spans="1:8" ht="18">
      <c r="A124" s="49">
        <v>40478</v>
      </c>
      <c r="B124" s="26" t="s">
        <v>1861</v>
      </c>
      <c r="C124" s="26" t="s">
        <v>104</v>
      </c>
      <c r="D124" s="26" t="s">
        <v>156</v>
      </c>
      <c r="E124" s="26" t="s">
        <v>264</v>
      </c>
      <c r="F124" s="40" t="s">
        <v>255</v>
      </c>
      <c r="G124" s="50">
        <v>127000</v>
      </c>
      <c r="H124" s="26" t="s">
        <v>2064</v>
      </c>
    </row>
    <row r="125" spans="1:8" ht="36">
      <c r="A125" s="49">
        <v>40478</v>
      </c>
      <c r="B125" s="26" t="s">
        <v>251</v>
      </c>
      <c r="C125" s="26" t="s">
        <v>2065</v>
      </c>
      <c r="D125" s="26" t="s">
        <v>141</v>
      </c>
      <c r="E125" s="26" t="s">
        <v>2066</v>
      </c>
      <c r="F125" s="40">
        <v>16</v>
      </c>
      <c r="G125" s="50">
        <v>2674</v>
      </c>
      <c r="H125" s="26" t="s">
        <v>2067</v>
      </c>
    </row>
    <row r="126" spans="1:8" ht="18">
      <c r="A126" s="49">
        <v>40482</v>
      </c>
      <c r="B126" s="26" t="s">
        <v>251</v>
      </c>
      <c r="C126" s="26" t="s">
        <v>2068</v>
      </c>
      <c r="D126" s="26" t="s">
        <v>2047</v>
      </c>
      <c r="E126" s="26" t="s">
        <v>2069</v>
      </c>
      <c r="F126" s="40">
        <v>500</v>
      </c>
      <c r="G126" s="40" t="s">
        <v>255</v>
      </c>
      <c r="H126" s="26" t="s">
        <v>2070</v>
      </c>
    </row>
    <row r="127" spans="1:8" hidden="1">
      <c r="A127" s="47" t="s">
        <v>1254</v>
      </c>
      <c r="B127" s="24"/>
      <c r="C127" s="24"/>
      <c r="D127" s="24"/>
      <c r="E127" s="24"/>
      <c r="F127" s="48"/>
      <c r="G127" s="48"/>
      <c r="H127" s="24"/>
    </row>
    <row r="128" spans="1:8" ht="36">
      <c r="A128" s="49">
        <v>40486</v>
      </c>
      <c r="B128" s="26" t="s">
        <v>251</v>
      </c>
      <c r="C128" s="26" t="s">
        <v>2071</v>
      </c>
      <c r="D128" s="26" t="s">
        <v>2072</v>
      </c>
      <c r="E128" s="26" t="s">
        <v>2073</v>
      </c>
      <c r="F128" s="40" t="s">
        <v>255</v>
      </c>
      <c r="G128" s="40" t="s">
        <v>255</v>
      </c>
      <c r="H128" s="26" t="s">
        <v>2074</v>
      </c>
    </row>
    <row r="129" spans="1:8" ht="36">
      <c r="A129" s="49">
        <v>40488</v>
      </c>
      <c r="B129" s="26" t="s">
        <v>251</v>
      </c>
      <c r="C129" s="26" t="s">
        <v>2075</v>
      </c>
      <c r="D129" s="26" t="s">
        <v>141</v>
      </c>
      <c r="E129" s="26" t="s">
        <v>2076</v>
      </c>
      <c r="F129" s="40">
        <v>20</v>
      </c>
      <c r="G129" s="40">
        <v>4</v>
      </c>
      <c r="H129" s="26" t="s">
        <v>2077</v>
      </c>
    </row>
    <row r="130" spans="1:8" ht="18">
      <c r="A130" s="49">
        <v>40490</v>
      </c>
      <c r="B130" s="26" t="s">
        <v>1887</v>
      </c>
      <c r="C130" s="26" t="s">
        <v>2078</v>
      </c>
      <c r="D130" s="26" t="s">
        <v>2079</v>
      </c>
      <c r="E130" s="26" t="s">
        <v>2080</v>
      </c>
      <c r="F130" s="40" t="s">
        <v>255</v>
      </c>
      <c r="G130" s="50">
        <v>60863</v>
      </c>
      <c r="H130" s="26" t="s">
        <v>2081</v>
      </c>
    </row>
    <row r="131" spans="1:8" ht="18">
      <c r="A131" s="49">
        <v>40495</v>
      </c>
      <c r="B131" s="26" t="s">
        <v>1953</v>
      </c>
      <c r="C131" s="26" t="s">
        <v>328</v>
      </c>
      <c r="D131" s="26" t="s">
        <v>675</v>
      </c>
      <c r="E131" s="26" t="s">
        <v>40</v>
      </c>
      <c r="F131" s="40" t="s">
        <v>255</v>
      </c>
      <c r="G131" s="50">
        <v>60000</v>
      </c>
      <c r="H131" s="26" t="s">
        <v>2082</v>
      </c>
    </row>
    <row r="132" spans="1:8" ht="18">
      <c r="A132" s="49">
        <v>40497</v>
      </c>
      <c r="B132" s="26" t="s">
        <v>251</v>
      </c>
      <c r="C132" s="26" t="s">
        <v>815</v>
      </c>
      <c r="D132" s="26" t="s">
        <v>2083</v>
      </c>
      <c r="E132" s="26" t="s">
        <v>264</v>
      </c>
      <c r="F132" s="40">
        <v>391</v>
      </c>
      <c r="G132" s="50">
        <v>149256</v>
      </c>
      <c r="H132" s="26" t="s">
        <v>2084</v>
      </c>
    </row>
    <row r="133" spans="1:8" ht="27">
      <c r="A133" s="49">
        <v>40503</v>
      </c>
      <c r="B133" s="26" t="s">
        <v>251</v>
      </c>
      <c r="C133" s="26" t="s">
        <v>2085</v>
      </c>
      <c r="D133" s="26" t="s">
        <v>39</v>
      </c>
      <c r="E133" s="26" t="s">
        <v>40</v>
      </c>
      <c r="F133" s="40">
        <v>75</v>
      </c>
      <c r="G133" s="50">
        <v>60000</v>
      </c>
      <c r="H133" s="26" t="s">
        <v>2086</v>
      </c>
    </row>
    <row r="134" spans="1:8" ht="27">
      <c r="A134" s="49">
        <v>40504</v>
      </c>
      <c r="B134" s="26" t="s">
        <v>251</v>
      </c>
      <c r="C134" s="26" t="s">
        <v>815</v>
      </c>
      <c r="D134" s="26" t="s">
        <v>2087</v>
      </c>
      <c r="E134" s="26" t="s">
        <v>40</v>
      </c>
      <c r="F134" s="40">
        <v>420</v>
      </c>
      <c r="G134" s="50">
        <v>123535</v>
      </c>
      <c r="H134" s="26" t="s">
        <v>2088</v>
      </c>
    </row>
    <row r="135" spans="1:8" ht="36">
      <c r="A135" s="49">
        <v>40505</v>
      </c>
      <c r="B135" s="26" t="s">
        <v>251</v>
      </c>
      <c r="C135" s="26" t="s">
        <v>1242</v>
      </c>
      <c r="D135" s="26" t="s">
        <v>141</v>
      </c>
      <c r="E135" s="26" t="s">
        <v>2076</v>
      </c>
      <c r="F135" s="40">
        <v>22</v>
      </c>
      <c r="G135" s="50">
        <v>7077</v>
      </c>
      <c r="H135" s="26" t="s">
        <v>2089</v>
      </c>
    </row>
    <row r="136" spans="1:8" hidden="1">
      <c r="A136" s="47" t="s">
        <v>1258</v>
      </c>
      <c r="B136" s="24"/>
      <c r="C136" s="24"/>
      <c r="D136" s="24"/>
      <c r="E136" s="24"/>
      <c r="F136" s="48"/>
      <c r="G136" s="48"/>
      <c r="H136" s="24"/>
    </row>
    <row r="137" spans="1:8" ht="36">
      <c r="A137" s="49">
        <v>40515</v>
      </c>
      <c r="B137" s="26" t="s">
        <v>251</v>
      </c>
      <c r="C137" s="26" t="s">
        <v>2090</v>
      </c>
      <c r="D137" s="26" t="s">
        <v>18</v>
      </c>
      <c r="E137" s="26" t="s">
        <v>2076</v>
      </c>
      <c r="F137" s="40">
        <v>22</v>
      </c>
      <c r="G137" s="50">
        <v>7077</v>
      </c>
      <c r="H137" s="26" t="s">
        <v>2091</v>
      </c>
    </row>
    <row r="138" spans="1:8" ht="18">
      <c r="A138" s="49">
        <v>40524</v>
      </c>
      <c r="B138" s="26" t="s">
        <v>1861</v>
      </c>
      <c r="C138" s="26" t="s">
        <v>465</v>
      </c>
      <c r="D138" s="26" t="s">
        <v>268</v>
      </c>
      <c r="E138" s="26" t="s">
        <v>22</v>
      </c>
      <c r="F138" s="40">
        <v>210</v>
      </c>
      <c r="G138" s="50">
        <v>60175</v>
      </c>
      <c r="H138" s="26" t="s">
        <v>2092</v>
      </c>
    </row>
    <row r="139" spans="1:8" ht="36">
      <c r="A139" s="49">
        <v>40526</v>
      </c>
      <c r="B139" s="26" t="s">
        <v>251</v>
      </c>
      <c r="C139" s="26" t="s">
        <v>2093</v>
      </c>
      <c r="D139" s="26" t="s">
        <v>18</v>
      </c>
      <c r="E139" s="26" t="s">
        <v>2076</v>
      </c>
      <c r="F139" s="40">
        <v>9</v>
      </c>
      <c r="G139" s="50">
        <v>6635</v>
      </c>
      <c r="H139" s="26" t="s">
        <v>2094</v>
      </c>
    </row>
    <row r="140" spans="1:8" ht="27">
      <c r="A140" s="49">
        <v>40526</v>
      </c>
      <c r="B140" s="26" t="s">
        <v>251</v>
      </c>
      <c r="C140" s="26" t="s">
        <v>2095</v>
      </c>
      <c r="D140" s="26" t="s">
        <v>703</v>
      </c>
      <c r="E140" s="26" t="s">
        <v>2096</v>
      </c>
      <c r="F140" s="40">
        <v>464</v>
      </c>
      <c r="G140" s="40" t="s">
        <v>255</v>
      </c>
      <c r="H140" s="26" t="s">
        <v>2097</v>
      </c>
    </row>
    <row r="141" spans="1:8" ht="18">
      <c r="A141" s="49">
        <v>40530</v>
      </c>
      <c r="B141" s="26" t="s">
        <v>251</v>
      </c>
      <c r="C141" s="26" t="s">
        <v>364</v>
      </c>
      <c r="D141" s="26" t="s">
        <v>2098</v>
      </c>
      <c r="E141" s="26" t="s">
        <v>22</v>
      </c>
      <c r="F141" s="40">
        <v>184</v>
      </c>
      <c r="G141" s="50">
        <v>92090</v>
      </c>
      <c r="H141" s="26" t="s">
        <v>2099</v>
      </c>
    </row>
    <row r="142" spans="1:8" ht="18">
      <c r="A142" s="49">
        <v>40538</v>
      </c>
      <c r="B142" s="26" t="s">
        <v>333</v>
      </c>
      <c r="C142" s="26" t="s">
        <v>1319</v>
      </c>
      <c r="D142" s="26" t="s">
        <v>2100</v>
      </c>
      <c r="E142" s="26" t="s">
        <v>22</v>
      </c>
      <c r="F142" s="40" t="s">
        <v>255</v>
      </c>
      <c r="G142" s="50">
        <v>42000</v>
      </c>
      <c r="H142" s="26" t="s">
        <v>2101</v>
      </c>
    </row>
    <row r="143" spans="1:8" ht="18.75" thickBot="1">
      <c r="A143" s="55">
        <v>40542</v>
      </c>
      <c r="B143" s="56" t="s">
        <v>1861</v>
      </c>
      <c r="C143" s="56" t="s">
        <v>71</v>
      </c>
      <c r="D143" s="56" t="s">
        <v>30</v>
      </c>
      <c r="E143" s="56" t="s">
        <v>1138</v>
      </c>
      <c r="F143" s="57">
        <v>300</v>
      </c>
      <c r="G143" s="57" t="s">
        <v>255</v>
      </c>
      <c r="H143" s="56" t="s">
        <v>2102</v>
      </c>
    </row>
    <row r="144" spans="1:8" hidden="1">
      <c r="A144" s="805" t="s">
        <v>1066</v>
      </c>
      <c r="B144" s="806"/>
      <c r="C144" s="806"/>
      <c r="D144" s="806"/>
      <c r="E144" s="806"/>
      <c r="F144" s="806"/>
      <c r="G144" s="806"/>
      <c r="H144" s="806"/>
    </row>
    <row r="145" spans="1:8" hidden="1">
      <c r="A145" s="808" t="s">
        <v>2103</v>
      </c>
      <c r="B145" s="808"/>
      <c r="C145" s="808"/>
      <c r="D145" s="808"/>
      <c r="E145" s="808"/>
      <c r="F145" s="808"/>
      <c r="G145" s="808"/>
      <c r="H145" s="808"/>
    </row>
    <row r="146" spans="1:8" hidden="1">
      <c r="A146" s="808" t="s">
        <v>1068</v>
      </c>
      <c r="B146" s="808"/>
      <c r="C146" s="808"/>
      <c r="D146" s="808"/>
      <c r="E146" s="808"/>
      <c r="F146" s="808"/>
      <c r="G146" s="808"/>
      <c r="H146" s="808"/>
    </row>
  </sheetData>
  <autoFilter ref="A2:H146" xr:uid="{00000000-0001-0000-0800-000000000000}">
    <filterColumn colId="0">
      <filters>
        <dateGroupItem year="2010" dateTimeGrouping="year"/>
      </filters>
    </filterColumn>
  </autoFilter>
  <mergeCells count="3">
    <mergeCell ref="A144:H144"/>
    <mergeCell ref="A145:H145"/>
    <mergeCell ref="A146:H146"/>
  </mergeCells>
  <hyperlinks>
    <hyperlink ref="G122" location="_ftn1" display="_ftn1" xr:uid="{00000000-0004-0000-0800-000000000000}"/>
    <hyperlink ref="A144" location="_ftnref1" display="_ftnref1" xr:uid="{00000000-0004-0000-0800-000001000000}"/>
  </hyperlinks>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S323"/>
  <sheetViews>
    <sheetView zoomScale="130" zoomScaleNormal="130" workbookViewId="0">
      <selection activeCell="B4" sqref="B4"/>
    </sheetView>
  </sheetViews>
  <sheetFormatPr defaultRowHeight="15"/>
  <cols>
    <col min="1" max="1" width="6.85546875" style="136" customWidth="1"/>
    <col min="2" max="2" width="7.42578125" style="136" customWidth="1"/>
    <col min="3" max="4" width="9.42578125" style="136" customWidth="1"/>
    <col min="5" max="5" width="21.42578125" style="136" customWidth="1"/>
    <col min="6" max="6" width="6.28515625" style="137" customWidth="1"/>
    <col min="7" max="7" width="22" style="136" customWidth="1"/>
    <col min="8" max="8" width="6.85546875" style="136" customWidth="1"/>
    <col min="9" max="9" width="9.140625" style="136" customWidth="1"/>
    <col min="10" max="16384" width="9.140625" style="66"/>
  </cols>
  <sheetData>
    <row r="1" spans="1:9" ht="18" customHeight="1" thickBot="1">
      <c r="A1" s="818" t="s">
        <v>2104</v>
      </c>
      <c r="B1" s="819"/>
      <c r="C1" s="819"/>
      <c r="D1" s="819"/>
      <c r="E1" s="819"/>
      <c r="F1" s="819"/>
      <c r="G1" s="819"/>
      <c r="H1" s="819"/>
      <c r="I1" s="819"/>
    </row>
    <row r="2" spans="1:9" ht="34.5" customHeight="1" thickBot="1">
      <c r="A2" s="67" t="s">
        <v>2105</v>
      </c>
      <c r="B2" s="68" t="s">
        <v>2106</v>
      </c>
      <c r="C2" s="68" t="s">
        <v>2107</v>
      </c>
      <c r="D2" s="68" t="s">
        <v>2108</v>
      </c>
      <c r="E2" s="68" t="s">
        <v>67</v>
      </c>
      <c r="F2" s="68" t="s">
        <v>57</v>
      </c>
      <c r="G2" s="68" t="s">
        <v>2109</v>
      </c>
      <c r="H2" s="68" t="s">
        <v>2110</v>
      </c>
      <c r="I2" s="69" t="s">
        <v>7</v>
      </c>
    </row>
    <row r="3" spans="1:9" hidden="1">
      <c r="A3" s="820" t="s">
        <v>1072</v>
      </c>
      <c r="B3" s="821"/>
      <c r="C3" s="70"/>
      <c r="D3" s="71"/>
      <c r="E3" s="70"/>
      <c r="F3" s="72"/>
      <c r="G3" s="70"/>
      <c r="H3" s="73"/>
      <c r="I3" s="74"/>
    </row>
    <row r="4" spans="1:9" ht="15" customHeight="1">
      <c r="A4" s="75">
        <v>40554</v>
      </c>
      <c r="B4" s="76">
        <v>0.96388888888888891</v>
      </c>
      <c r="C4" s="77">
        <v>40554</v>
      </c>
      <c r="D4" s="76">
        <v>0.96388888888888891</v>
      </c>
      <c r="E4" s="78" t="s">
        <v>2111</v>
      </c>
      <c r="F4" s="79" t="s">
        <v>61</v>
      </c>
      <c r="G4" s="78" t="s">
        <v>2112</v>
      </c>
      <c r="H4" s="80">
        <v>0</v>
      </c>
      <c r="I4" s="81">
        <v>0</v>
      </c>
    </row>
    <row r="5" spans="1:9" ht="15" customHeight="1">
      <c r="A5" s="75">
        <v>40555</v>
      </c>
      <c r="B5" s="76">
        <v>0.25</v>
      </c>
      <c r="C5" s="77">
        <v>40555</v>
      </c>
      <c r="D5" s="76">
        <v>0.58333333333333337</v>
      </c>
      <c r="E5" s="78" t="s">
        <v>2113</v>
      </c>
      <c r="F5" s="79" t="s">
        <v>61</v>
      </c>
      <c r="G5" s="78" t="s">
        <v>40</v>
      </c>
      <c r="H5" s="82" t="s">
        <v>255</v>
      </c>
      <c r="I5" s="83">
        <v>80000</v>
      </c>
    </row>
    <row r="6" spans="1:9" ht="15" customHeight="1">
      <c r="A6" s="75">
        <v>40556</v>
      </c>
      <c r="B6" s="76">
        <v>0.30624999999999997</v>
      </c>
      <c r="C6" s="77">
        <v>40556</v>
      </c>
      <c r="D6" s="76">
        <v>0.34236111111111112</v>
      </c>
      <c r="E6" s="78" t="s">
        <v>2114</v>
      </c>
      <c r="F6" s="79" t="s">
        <v>301</v>
      </c>
      <c r="G6" s="78" t="s">
        <v>1885</v>
      </c>
      <c r="H6" s="82">
        <v>150</v>
      </c>
      <c r="I6" s="83">
        <v>20900</v>
      </c>
    </row>
    <row r="7" spans="1:9" ht="20.100000000000001" customHeight="1">
      <c r="A7" s="75">
        <v>40561</v>
      </c>
      <c r="B7" s="76">
        <v>0.58333333333333337</v>
      </c>
      <c r="C7" s="77">
        <v>40561</v>
      </c>
      <c r="D7" s="76">
        <v>0.58333333333333337</v>
      </c>
      <c r="E7" s="78" t="s">
        <v>2115</v>
      </c>
      <c r="F7" s="79" t="s">
        <v>61</v>
      </c>
      <c r="G7" s="78" t="s">
        <v>100</v>
      </c>
      <c r="H7" s="80">
        <v>0</v>
      </c>
      <c r="I7" s="81">
        <v>0</v>
      </c>
    </row>
    <row r="8" spans="1:9" ht="15" customHeight="1">
      <c r="A8" s="75">
        <v>40566</v>
      </c>
      <c r="B8" s="76">
        <v>0.29166666666666669</v>
      </c>
      <c r="C8" s="77">
        <v>40566</v>
      </c>
      <c r="D8" s="76">
        <v>0.54166666666666663</v>
      </c>
      <c r="E8" s="78" t="s">
        <v>2116</v>
      </c>
      <c r="F8" s="79" t="s">
        <v>124</v>
      </c>
      <c r="G8" s="78" t="s">
        <v>100</v>
      </c>
      <c r="H8" s="80">
        <v>0</v>
      </c>
      <c r="I8" s="81">
        <v>0</v>
      </c>
    </row>
    <row r="9" spans="1:9" ht="15" customHeight="1">
      <c r="A9" s="75">
        <v>40567</v>
      </c>
      <c r="B9" s="76">
        <v>0.55555555555555558</v>
      </c>
      <c r="C9" s="77">
        <v>40567</v>
      </c>
      <c r="D9" s="76">
        <v>0.5625</v>
      </c>
      <c r="E9" s="78" t="s">
        <v>2117</v>
      </c>
      <c r="F9" s="79" t="s">
        <v>124</v>
      </c>
      <c r="G9" s="78" t="s">
        <v>2118</v>
      </c>
      <c r="H9" s="80">
        <v>0</v>
      </c>
      <c r="I9" s="81">
        <v>0</v>
      </c>
    </row>
    <row r="10" spans="1:9" ht="15" customHeight="1">
      <c r="A10" s="75">
        <v>40568</v>
      </c>
      <c r="B10" s="76">
        <v>0.14097222222222222</v>
      </c>
      <c r="C10" s="77">
        <v>40568</v>
      </c>
      <c r="D10" s="76">
        <v>0.45833333333333331</v>
      </c>
      <c r="E10" s="78" t="s">
        <v>2119</v>
      </c>
      <c r="F10" s="79" t="s">
        <v>826</v>
      </c>
      <c r="G10" s="78" t="s">
        <v>100</v>
      </c>
      <c r="H10" s="80">
        <v>0</v>
      </c>
      <c r="I10" s="81">
        <v>0</v>
      </c>
    </row>
    <row r="11" spans="1:9" ht="20.100000000000001" customHeight="1">
      <c r="A11" s="75">
        <v>40569</v>
      </c>
      <c r="B11" s="76">
        <v>0.3923611111111111</v>
      </c>
      <c r="C11" s="77">
        <v>40570</v>
      </c>
      <c r="D11" s="76">
        <v>0.70833333333333337</v>
      </c>
      <c r="E11" s="78" t="s">
        <v>2120</v>
      </c>
      <c r="F11" s="79" t="s">
        <v>124</v>
      </c>
      <c r="G11" s="78" t="s">
        <v>2121</v>
      </c>
      <c r="H11" s="82">
        <v>0</v>
      </c>
      <c r="I11" s="83">
        <v>0</v>
      </c>
    </row>
    <row r="12" spans="1:9" ht="15" customHeight="1">
      <c r="A12" s="75">
        <v>40569</v>
      </c>
      <c r="B12" s="76">
        <v>0.3979166666666667</v>
      </c>
      <c r="C12" s="77">
        <v>40570</v>
      </c>
      <c r="D12" s="76">
        <v>0.62708333333333333</v>
      </c>
      <c r="E12" s="78" t="s">
        <v>1833</v>
      </c>
      <c r="F12" s="79" t="s">
        <v>826</v>
      </c>
      <c r="G12" s="78" t="s">
        <v>100</v>
      </c>
      <c r="H12" s="82">
        <v>0</v>
      </c>
      <c r="I12" s="83">
        <v>0</v>
      </c>
    </row>
    <row r="13" spans="1:9" ht="20.100000000000001" customHeight="1">
      <c r="A13" s="75">
        <v>40569</v>
      </c>
      <c r="B13" s="76">
        <v>0.70833333333333337</v>
      </c>
      <c r="C13" s="77">
        <v>40574</v>
      </c>
      <c r="D13" s="76">
        <v>0.33333333333333331</v>
      </c>
      <c r="E13" s="78" t="s">
        <v>2122</v>
      </c>
      <c r="F13" s="79" t="s">
        <v>826</v>
      </c>
      <c r="G13" s="78" t="s">
        <v>40</v>
      </c>
      <c r="H13" s="82" t="s">
        <v>255</v>
      </c>
      <c r="I13" s="83">
        <v>210000</v>
      </c>
    </row>
    <row r="14" spans="1:9" ht="20.100000000000001" customHeight="1">
      <c r="A14" s="75">
        <v>40569</v>
      </c>
      <c r="B14" s="76">
        <v>0.76944444444444438</v>
      </c>
      <c r="C14" s="77">
        <v>40572</v>
      </c>
      <c r="D14" s="76">
        <v>0.70833333333333337</v>
      </c>
      <c r="E14" s="78" t="s">
        <v>2123</v>
      </c>
      <c r="F14" s="79" t="s">
        <v>826</v>
      </c>
      <c r="G14" s="78" t="s">
        <v>40</v>
      </c>
      <c r="H14" s="82" t="s">
        <v>255</v>
      </c>
      <c r="I14" s="83">
        <v>234326</v>
      </c>
    </row>
    <row r="15" spans="1:9" ht="15" customHeight="1">
      <c r="A15" s="75">
        <v>40569</v>
      </c>
      <c r="B15" s="76">
        <v>0.82152777777777775</v>
      </c>
      <c r="C15" s="77">
        <v>40570</v>
      </c>
      <c r="D15" s="76">
        <v>0.76250000000000007</v>
      </c>
      <c r="E15" s="78" t="s">
        <v>923</v>
      </c>
      <c r="F15" s="79" t="s">
        <v>63</v>
      </c>
      <c r="G15" s="78" t="s">
        <v>40</v>
      </c>
      <c r="H15" s="82">
        <v>600</v>
      </c>
      <c r="I15" s="83">
        <v>150084</v>
      </c>
    </row>
    <row r="16" spans="1:9" ht="15" customHeight="1">
      <c r="A16" s="75">
        <v>40570</v>
      </c>
      <c r="B16" s="76">
        <v>0.39583333333333331</v>
      </c>
      <c r="C16" s="77">
        <v>40570</v>
      </c>
      <c r="D16" s="76">
        <v>0.39583333333333331</v>
      </c>
      <c r="E16" s="78" t="s">
        <v>2124</v>
      </c>
      <c r="F16" s="79" t="s">
        <v>826</v>
      </c>
      <c r="G16" s="78" t="s">
        <v>100</v>
      </c>
      <c r="H16" s="82">
        <v>0</v>
      </c>
      <c r="I16" s="83">
        <v>0</v>
      </c>
    </row>
    <row r="17" spans="1:9" ht="15" customHeight="1">
      <c r="A17" s="75">
        <v>40570</v>
      </c>
      <c r="B17" s="76">
        <v>0.70833333333333337</v>
      </c>
      <c r="C17" s="77">
        <v>40573</v>
      </c>
      <c r="D17" s="76">
        <v>0.20833333333333334</v>
      </c>
      <c r="E17" s="78" t="s">
        <v>2125</v>
      </c>
      <c r="F17" s="79" t="s">
        <v>61</v>
      </c>
      <c r="G17" s="78" t="s">
        <v>2126</v>
      </c>
      <c r="H17" s="82">
        <v>108</v>
      </c>
      <c r="I17" s="83" t="s">
        <v>255</v>
      </c>
    </row>
    <row r="18" spans="1:9" ht="15" customHeight="1">
      <c r="A18" s="75">
        <v>40574</v>
      </c>
      <c r="B18" s="76">
        <v>0.91666666666666663</v>
      </c>
      <c r="C18" s="77">
        <v>40577</v>
      </c>
      <c r="D18" s="76">
        <v>0.5</v>
      </c>
      <c r="E18" s="78" t="s">
        <v>2127</v>
      </c>
      <c r="F18" s="79" t="s">
        <v>826</v>
      </c>
      <c r="G18" s="78" t="s">
        <v>11</v>
      </c>
      <c r="H18" s="82">
        <v>996</v>
      </c>
      <c r="I18" s="83">
        <v>272880</v>
      </c>
    </row>
    <row r="19" spans="1:9" ht="15" hidden="1" customHeight="1">
      <c r="A19" s="822" t="s">
        <v>2128</v>
      </c>
      <c r="B19" s="823"/>
      <c r="C19" s="84"/>
      <c r="D19" s="85"/>
      <c r="E19" s="84"/>
      <c r="F19" s="86"/>
      <c r="G19" s="84"/>
      <c r="H19" s="87"/>
      <c r="I19" s="88"/>
    </row>
    <row r="20" spans="1:9" ht="15" customHeight="1">
      <c r="A20" s="89">
        <v>40575</v>
      </c>
      <c r="B20" s="90">
        <v>0.625</v>
      </c>
      <c r="C20" s="91">
        <v>40577</v>
      </c>
      <c r="D20" s="90">
        <v>0.5</v>
      </c>
      <c r="E20" s="92" t="s">
        <v>2129</v>
      </c>
      <c r="F20" s="93" t="s">
        <v>826</v>
      </c>
      <c r="G20" s="92" t="s">
        <v>40</v>
      </c>
      <c r="H20" s="92" t="s">
        <v>2130</v>
      </c>
      <c r="I20" s="94">
        <v>158013</v>
      </c>
    </row>
    <row r="21" spans="1:9" ht="20.100000000000001" customHeight="1">
      <c r="A21" s="89">
        <v>40575</v>
      </c>
      <c r="B21" s="90">
        <v>0.875</v>
      </c>
      <c r="C21" s="91">
        <v>40576</v>
      </c>
      <c r="D21" s="90">
        <v>0.58333333333333337</v>
      </c>
      <c r="E21" s="92" t="s">
        <v>156</v>
      </c>
      <c r="F21" s="93" t="s">
        <v>826</v>
      </c>
      <c r="G21" s="92" t="s">
        <v>40</v>
      </c>
      <c r="H21" s="92" t="s">
        <v>2130</v>
      </c>
      <c r="I21" s="94">
        <v>190000</v>
      </c>
    </row>
    <row r="22" spans="1:9" ht="15" customHeight="1">
      <c r="A22" s="89">
        <v>40576</v>
      </c>
      <c r="B22" s="90">
        <v>0.125</v>
      </c>
      <c r="C22" s="91">
        <v>40578</v>
      </c>
      <c r="D22" s="90">
        <v>0.99930555555555556</v>
      </c>
      <c r="E22" s="92" t="s">
        <v>2131</v>
      </c>
      <c r="F22" s="93" t="s">
        <v>826</v>
      </c>
      <c r="G22" s="92" t="s">
        <v>40</v>
      </c>
      <c r="H22" s="92" t="s">
        <v>2130</v>
      </c>
      <c r="I22" s="94">
        <v>213000</v>
      </c>
    </row>
    <row r="23" spans="1:9" ht="15" customHeight="1">
      <c r="A23" s="89">
        <v>40576</v>
      </c>
      <c r="B23" s="90">
        <v>0.23819444444444446</v>
      </c>
      <c r="C23" s="91">
        <v>40577</v>
      </c>
      <c r="D23" s="90">
        <v>0.41666666666666669</v>
      </c>
      <c r="E23" s="92" t="s">
        <v>166</v>
      </c>
      <c r="F23" s="93" t="s">
        <v>1352</v>
      </c>
      <c r="G23" s="92" t="s">
        <v>2132</v>
      </c>
      <c r="H23" s="95">
        <v>4000</v>
      </c>
      <c r="I23" s="94">
        <v>1069730</v>
      </c>
    </row>
    <row r="24" spans="1:9" ht="15" customHeight="1">
      <c r="A24" s="89">
        <v>40576</v>
      </c>
      <c r="B24" s="90">
        <v>0.26527777777777778</v>
      </c>
      <c r="C24" s="91">
        <v>40576</v>
      </c>
      <c r="D24" s="90">
        <v>0.4145833333333333</v>
      </c>
      <c r="E24" s="92" t="s">
        <v>2133</v>
      </c>
      <c r="F24" s="93" t="s">
        <v>124</v>
      </c>
      <c r="G24" s="92" t="s">
        <v>2132</v>
      </c>
      <c r="H24" s="95">
        <v>3963</v>
      </c>
      <c r="I24" s="94">
        <v>69000</v>
      </c>
    </row>
    <row r="25" spans="1:9" ht="20.100000000000001" customHeight="1">
      <c r="A25" s="89">
        <v>40576</v>
      </c>
      <c r="B25" s="90">
        <v>0.30833333333333335</v>
      </c>
      <c r="C25" s="91">
        <v>40576</v>
      </c>
      <c r="D25" s="90">
        <v>0.93263888888888891</v>
      </c>
      <c r="E25" s="92" t="s">
        <v>2134</v>
      </c>
      <c r="F25" s="93" t="s">
        <v>124</v>
      </c>
      <c r="G25" s="92" t="s">
        <v>2132</v>
      </c>
      <c r="H25" s="92">
        <v>280</v>
      </c>
      <c r="I25" s="94">
        <v>178000</v>
      </c>
    </row>
    <row r="26" spans="1:9" ht="20.100000000000001" customHeight="1">
      <c r="A26" s="89">
        <v>40576</v>
      </c>
      <c r="B26" s="90">
        <v>0.70833333333333337</v>
      </c>
      <c r="C26" s="91">
        <v>40577</v>
      </c>
      <c r="D26" s="90">
        <v>0.91666666666666663</v>
      </c>
      <c r="E26" s="92" t="s">
        <v>2135</v>
      </c>
      <c r="F26" s="93" t="s">
        <v>58</v>
      </c>
      <c r="G26" s="92" t="s">
        <v>2136</v>
      </c>
      <c r="H26" s="92" t="s">
        <v>2130</v>
      </c>
      <c r="I26" s="96" t="s">
        <v>2130</v>
      </c>
    </row>
    <row r="27" spans="1:9" ht="20.100000000000001" customHeight="1">
      <c r="A27" s="89">
        <v>40577</v>
      </c>
      <c r="B27" s="90">
        <v>0.625</v>
      </c>
      <c r="C27" s="91">
        <v>40578</v>
      </c>
      <c r="D27" s="90">
        <v>0.5</v>
      </c>
      <c r="E27" s="92" t="s">
        <v>2137</v>
      </c>
      <c r="F27" s="93" t="s">
        <v>124</v>
      </c>
      <c r="G27" s="92" t="s">
        <v>2136</v>
      </c>
      <c r="H27" s="92" t="s">
        <v>255</v>
      </c>
      <c r="I27" s="96" t="s">
        <v>2130</v>
      </c>
    </row>
    <row r="28" spans="1:9" ht="20.100000000000001" customHeight="1">
      <c r="A28" s="89">
        <v>40577</v>
      </c>
      <c r="B28" s="90">
        <v>0.60416666666666663</v>
      </c>
      <c r="C28" s="91">
        <v>40577</v>
      </c>
      <c r="D28" s="90">
        <v>0.60416666666666663</v>
      </c>
      <c r="E28" s="92" t="s">
        <v>2138</v>
      </c>
      <c r="F28" s="93" t="s">
        <v>826</v>
      </c>
      <c r="G28" s="92" t="s">
        <v>2139</v>
      </c>
      <c r="H28" s="92" t="s">
        <v>255</v>
      </c>
      <c r="I28" s="96">
        <v>0</v>
      </c>
    </row>
    <row r="29" spans="1:9" ht="15" customHeight="1">
      <c r="A29" s="89">
        <v>40577</v>
      </c>
      <c r="B29" s="90">
        <v>0.9194444444444444</v>
      </c>
      <c r="C29" s="91">
        <v>40578</v>
      </c>
      <c r="D29" s="90">
        <v>0.52222222222222225</v>
      </c>
      <c r="E29" s="92" t="s">
        <v>166</v>
      </c>
      <c r="F29" s="93" t="s">
        <v>1352</v>
      </c>
      <c r="G29" s="92" t="s">
        <v>2132</v>
      </c>
      <c r="H29" s="92">
        <v>400</v>
      </c>
      <c r="I29" s="94">
        <v>86013</v>
      </c>
    </row>
    <row r="30" spans="1:9" ht="15" customHeight="1">
      <c r="A30" s="89">
        <v>40583</v>
      </c>
      <c r="B30" s="90">
        <v>0.15625</v>
      </c>
      <c r="C30" s="91">
        <v>40583</v>
      </c>
      <c r="D30" s="90">
        <v>0.3833333333333333</v>
      </c>
      <c r="E30" s="92" t="s">
        <v>2140</v>
      </c>
      <c r="F30" s="93" t="s">
        <v>1352</v>
      </c>
      <c r="G30" s="92" t="s">
        <v>40</v>
      </c>
      <c r="H30" s="92">
        <v>399</v>
      </c>
      <c r="I30" s="94">
        <v>60000</v>
      </c>
    </row>
    <row r="31" spans="1:9" ht="15" customHeight="1">
      <c r="A31" s="89">
        <v>40583</v>
      </c>
      <c r="B31" s="90">
        <v>0.62083333333333335</v>
      </c>
      <c r="C31" s="91">
        <v>40583</v>
      </c>
      <c r="D31" s="90">
        <v>0.70833333333333337</v>
      </c>
      <c r="E31" s="92" t="s">
        <v>2141</v>
      </c>
      <c r="F31" s="93" t="s">
        <v>124</v>
      </c>
      <c r="G31" s="92" t="s">
        <v>100</v>
      </c>
      <c r="H31" s="92">
        <v>0</v>
      </c>
      <c r="I31" s="96">
        <v>0</v>
      </c>
    </row>
    <row r="32" spans="1:9" ht="15" customHeight="1">
      <c r="A32" s="89">
        <v>40583</v>
      </c>
      <c r="B32" s="90">
        <v>0.6875</v>
      </c>
      <c r="C32" s="91">
        <v>40584</v>
      </c>
      <c r="D32" s="90">
        <v>0.5229166666666667</v>
      </c>
      <c r="E32" s="92" t="s">
        <v>166</v>
      </c>
      <c r="F32" s="93" t="s">
        <v>1352</v>
      </c>
      <c r="G32" s="92" t="s">
        <v>2142</v>
      </c>
      <c r="H32" s="92" t="s">
        <v>255</v>
      </c>
      <c r="I32" s="96" t="s">
        <v>255</v>
      </c>
    </row>
    <row r="33" spans="1:9" ht="15" customHeight="1">
      <c r="A33" s="89">
        <v>40584</v>
      </c>
      <c r="B33" s="90">
        <v>0.54166666666666663</v>
      </c>
      <c r="C33" s="91">
        <v>40584</v>
      </c>
      <c r="D33" s="90">
        <v>0.54166666666666663</v>
      </c>
      <c r="E33" s="92" t="s">
        <v>2143</v>
      </c>
      <c r="F33" s="93" t="s">
        <v>124</v>
      </c>
      <c r="G33" s="92" t="s">
        <v>100</v>
      </c>
      <c r="H33" s="92">
        <v>0</v>
      </c>
      <c r="I33" s="96">
        <v>0</v>
      </c>
    </row>
    <row r="34" spans="1:9" ht="15" customHeight="1">
      <c r="A34" s="89">
        <v>40591</v>
      </c>
      <c r="B34" s="90">
        <v>5.9027777777777783E-2</v>
      </c>
      <c r="C34" s="91">
        <v>40593</v>
      </c>
      <c r="D34" s="90">
        <v>0.42569444444444443</v>
      </c>
      <c r="E34" s="92" t="s">
        <v>39</v>
      </c>
      <c r="F34" s="93" t="s">
        <v>124</v>
      </c>
      <c r="G34" s="92" t="s">
        <v>1096</v>
      </c>
      <c r="H34" s="92">
        <v>91</v>
      </c>
      <c r="I34" s="94">
        <v>80000</v>
      </c>
    </row>
    <row r="35" spans="1:9" ht="15" customHeight="1">
      <c r="A35" s="89">
        <v>40591</v>
      </c>
      <c r="B35" s="90">
        <v>0.54166666666666663</v>
      </c>
      <c r="C35" s="91">
        <v>40597</v>
      </c>
      <c r="D35" s="90">
        <v>0.70347222222222217</v>
      </c>
      <c r="E35" s="92" t="s">
        <v>2144</v>
      </c>
      <c r="F35" s="93" t="s">
        <v>124</v>
      </c>
      <c r="G35" s="92" t="s">
        <v>2139</v>
      </c>
      <c r="H35" s="92">
        <v>0</v>
      </c>
      <c r="I35" s="96">
        <v>0</v>
      </c>
    </row>
    <row r="36" spans="1:9" ht="15" customHeight="1">
      <c r="A36" s="89">
        <v>40593</v>
      </c>
      <c r="B36" s="90">
        <v>0.52083333333333337</v>
      </c>
      <c r="C36" s="91">
        <v>40594</v>
      </c>
      <c r="D36" s="90">
        <v>0.16666666666666666</v>
      </c>
      <c r="E36" s="92" t="s">
        <v>2131</v>
      </c>
      <c r="F36" s="93" t="s">
        <v>826</v>
      </c>
      <c r="G36" s="92" t="s">
        <v>1096</v>
      </c>
      <c r="H36" s="92" t="s">
        <v>2130</v>
      </c>
      <c r="I36" s="96">
        <v>118000</v>
      </c>
    </row>
    <row r="37" spans="1:9" ht="15" customHeight="1">
      <c r="A37" s="89">
        <v>40593</v>
      </c>
      <c r="B37" s="90">
        <v>0.69027777777777777</v>
      </c>
      <c r="C37" s="91">
        <v>40593</v>
      </c>
      <c r="D37" s="90">
        <v>0.69027777777777777</v>
      </c>
      <c r="E37" s="92" t="s">
        <v>2145</v>
      </c>
      <c r="F37" s="93" t="s">
        <v>826</v>
      </c>
      <c r="G37" s="92" t="s">
        <v>100</v>
      </c>
      <c r="H37" s="92">
        <v>0</v>
      </c>
      <c r="I37" s="96">
        <v>0</v>
      </c>
    </row>
    <row r="38" spans="1:9" ht="20.100000000000001" customHeight="1">
      <c r="A38" s="89">
        <v>40594</v>
      </c>
      <c r="B38" s="90">
        <v>0.66666666666666663</v>
      </c>
      <c r="C38" s="91">
        <v>40597</v>
      </c>
      <c r="D38" s="90">
        <v>0.66666666666666663</v>
      </c>
      <c r="E38" s="92" t="s">
        <v>2146</v>
      </c>
      <c r="F38" s="93" t="s">
        <v>826</v>
      </c>
      <c r="G38" s="92" t="s">
        <v>40</v>
      </c>
      <c r="H38" s="92">
        <v>262</v>
      </c>
      <c r="I38" s="94">
        <v>160000</v>
      </c>
    </row>
    <row r="39" spans="1:9" ht="20.100000000000001" customHeight="1">
      <c r="A39" s="89">
        <v>40598</v>
      </c>
      <c r="B39" s="90">
        <v>0.70208333333333339</v>
      </c>
      <c r="C39" s="91">
        <v>40598</v>
      </c>
      <c r="D39" s="90">
        <v>0.70416666666666661</v>
      </c>
      <c r="E39" s="92" t="s">
        <v>48</v>
      </c>
      <c r="F39" s="93" t="s">
        <v>58</v>
      </c>
      <c r="G39" s="92" t="s">
        <v>2037</v>
      </c>
      <c r="H39" s="92">
        <v>4</v>
      </c>
      <c r="I39" s="96" t="s">
        <v>2130</v>
      </c>
    </row>
    <row r="40" spans="1:9" ht="15" customHeight="1">
      <c r="A40" s="89">
        <v>40599</v>
      </c>
      <c r="B40" s="90">
        <v>0.63888888888888895</v>
      </c>
      <c r="C40" s="91">
        <v>40599</v>
      </c>
      <c r="D40" s="90">
        <v>0.75</v>
      </c>
      <c r="E40" s="92" t="s">
        <v>2004</v>
      </c>
      <c r="F40" s="93" t="s">
        <v>63</v>
      </c>
      <c r="G40" s="92" t="s">
        <v>22</v>
      </c>
      <c r="H40" s="92" t="s">
        <v>2130</v>
      </c>
      <c r="I40" s="96">
        <v>50000</v>
      </c>
    </row>
    <row r="41" spans="1:9" ht="15" customHeight="1">
      <c r="A41" s="89">
        <v>40599</v>
      </c>
      <c r="B41" s="90">
        <v>0.64097222222222217</v>
      </c>
      <c r="C41" s="91">
        <v>40601</v>
      </c>
      <c r="D41" s="90">
        <v>0.75</v>
      </c>
      <c r="E41" s="92" t="s">
        <v>2123</v>
      </c>
      <c r="F41" s="93" t="s">
        <v>826</v>
      </c>
      <c r="G41" s="92" t="s">
        <v>22</v>
      </c>
      <c r="H41" s="92" t="s">
        <v>2130</v>
      </c>
      <c r="I41" s="96">
        <v>93000</v>
      </c>
    </row>
    <row r="42" spans="1:9" ht="15" customHeight="1">
      <c r="A42" s="89">
        <v>40599</v>
      </c>
      <c r="B42" s="90">
        <v>0.33333333333333331</v>
      </c>
      <c r="C42" s="91">
        <v>40602</v>
      </c>
      <c r="D42" s="90">
        <v>0.72916666666666663</v>
      </c>
      <c r="E42" s="92" t="s">
        <v>39</v>
      </c>
      <c r="F42" s="93" t="s">
        <v>124</v>
      </c>
      <c r="G42" s="92" t="s">
        <v>40</v>
      </c>
      <c r="H42" s="92">
        <v>91</v>
      </c>
      <c r="I42" s="94">
        <v>80000</v>
      </c>
    </row>
    <row r="43" spans="1:9" ht="15" customHeight="1">
      <c r="A43" s="89">
        <v>40599</v>
      </c>
      <c r="B43" s="90">
        <v>0.4375</v>
      </c>
      <c r="C43" s="91">
        <v>40599</v>
      </c>
      <c r="D43" s="90">
        <v>0.44791666666666669</v>
      </c>
      <c r="E43" s="92" t="s">
        <v>2147</v>
      </c>
      <c r="F43" s="93" t="s">
        <v>124</v>
      </c>
      <c r="G43" s="92" t="s">
        <v>100</v>
      </c>
      <c r="H43" s="92">
        <v>0</v>
      </c>
      <c r="I43" s="96">
        <v>0</v>
      </c>
    </row>
    <row r="44" spans="1:9" ht="15" hidden="1" customHeight="1">
      <c r="A44" s="816" t="s">
        <v>20</v>
      </c>
      <c r="B44" s="824"/>
      <c r="C44" s="84"/>
      <c r="D44" s="85"/>
      <c r="E44" s="84"/>
      <c r="F44" s="86"/>
      <c r="G44" s="84"/>
      <c r="H44" s="87"/>
      <c r="I44" s="88"/>
    </row>
    <row r="45" spans="1:9" ht="15" customHeight="1">
      <c r="A45" s="97">
        <v>40603</v>
      </c>
      <c r="B45" s="98">
        <v>0.33333333333333331</v>
      </c>
      <c r="C45" s="99">
        <v>40607</v>
      </c>
      <c r="D45" s="98">
        <v>0.39583333333333331</v>
      </c>
      <c r="E45" s="100" t="s">
        <v>2148</v>
      </c>
      <c r="F45" s="101" t="s">
        <v>61</v>
      </c>
      <c r="G45" s="100" t="s">
        <v>2126</v>
      </c>
      <c r="H45" s="100">
        <v>675</v>
      </c>
      <c r="I45" s="102" t="s">
        <v>2130</v>
      </c>
    </row>
    <row r="46" spans="1:9" ht="15" customHeight="1">
      <c r="A46" s="97">
        <v>40608</v>
      </c>
      <c r="B46" s="98">
        <v>0.12083333333333333</v>
      </c>
      <c r="C46" s="99">
        <v>40610</v>
      </c>
      <c r="D46" s="98">
        <v>0.33333333333333331</v>
      </c>
      <c r="E46" s="100" t="s">
        <v>2149</v>
      </c>
      <c r="F46" s="101" t="s">
        <v>124</v>
      </c>
      <c r="G46" s="100" t="s">
        <v>100</v>
      </c>
      <c r="H46" s="100" t="s">
        <v>2130</v>
      </c>
      <c r="I46" s="103">
        <v>0</v>
      </c>
    </row>
    <row r="47" spans="1:9" ht="15" customHeight="1">
      <c r="A47" s="97">
        <v>40610</v>
      </c>
      <c r="B47" s="98">
        <v>0.33333333333333331</v>
      </c>
      <c r="C47" s="99">
        <v>36968</v>
      </c>
      <c r="D47" s="98">
        <v>0.375</v>
      </c>
      <c r="E47" s="100" t="s">
        <v>2148</v>
      </c>
      <c r="F47" s="101" t="s">
        <v>61</v>
      </c>
      <c r="G47" s="100" t="s">
        <v>2126</v>
      </c>
      <c r="H47" s="100">
        <v>676</v>
      </c>
      <c r="I47" s="102" t="s">
        <v>2130</v>
      </c>
    </row>
    <row r="48" spans="1:9" ht="15" customHeight="1">
      <c r="A48" s="97">
        <v>40612</v>
      </c>
      <c r="B48" s="98">
        <v>0.50208333333333333</v>
      </c>
      <c r="C48" s="99">
        <v>40613</v>
      </c>
      <c r="D48" s="98">
        <v>0.25</v>
      </c>
      <c r="E48" s="100" t="s">
        <v>166</v>
      </c>
      <c r="F48" s="101" t="s">
        <v>1352</v>
      </c>
      <c r="G48" s="100" t="s">
        <v>2150</v>
      </c>
      <c r="H48" s="100" t="s">
        <v>255</v>
      </c>
      <c r="I48" s="102" t="s">
        <v>255</v>
      </c>
    </row>
    <row r="49" spans="1:9" ht="15" customHeight="1">
      <c r="A49" s="97">
        <v>40613</v>
      </c>
      <c r="B49" s="98">
        <v>0.29305555555555557</v>
      </c>
      <c r="C49" s="99">
        <v>40613</v>
      </c>
      <c r="D49" s="98">
        <v>0.38541666666666669</v>
      </c>
      <c r="E49" s="100" t="s">
        <v>2151</v>
      </c>
      <c r="F49" s="101" t="s">
        <v>124</v>
      </c>
      <c r="G49" s="100" t="s">
        <v>2132</v>
      </c>
      <c r="H49" s="100">
        <v>15</v>
      </c>
      <c r="I49" s="102">
        <v>6800</v>
      </c>
    </row>
    <row r="50" spans="1:9" ht="15" customHeight="1">
      <c r="A50" s="97">
        <v>40615</v>
      </c>
      <c r="B50" s="98">
        <v>0.59722222222222221</v>
      </c>
      <c r="C50" s="99">
        <v>40616</v>
      </c>
      <c r="D50" s="98">
        <v>0.65694444444444444</v>
      </c>
      <c r="E50" s="100" t="s">
        <v>2152</v>
      </c>
      <c r="F50" s="101" t="s">
        <v>124</v>
      </c>
      <c r="G50" s="100" t="s">
        <v>22</v>
      </c>
      <c r="H50" s="100" t="s">
        <v>2130</v>
      </c>
      <c r="I50" s="102">
        <v>9000</v>
      </c>
    </row>
    <row r="51" spans="1:9" ht="15" customHeight="1">
      <c r="A51" s="97">
        <v>40616</v>
      </c>
      <c r="B51" s="98">
        <v>0.3125</v>
      </c>
      <c r="C51" s="99">
        <v>40616</v>
      </c>
      <c r="D51" s="98">
        <v>0.70486111111111116</v>
      </c>
      <c r="E51" s="100" t="s">
        <v>2153</v>
      </c>
      <c r="F51" s="101" t="s">
        <v>826</v>
      </c>
      <c r="G51" s="100" t="s">
        <v>2139</v>
      </c>
      <c r="H51" s="100" t="s">
        <v>255</v>
      </c>
      <c r="I51" s="102" t="s">
        <v>255</v>
      </c>
    </row>
    <row r="52" spans="1:9" ht="15" customHeight="1">
      <c r="A52" s="97">
        <v>40617</v>
      </c>
      <c r="B52" s="98">
        <v>0.75</v>
      </c>
      <c r="C52" s="99">
        <v>40617</v>
      </c>
      <c r="D52" s="98">
        <v>0.80138888888888893</v>
      </c>
      <c r="E52" s="100" t="s">
        <v>2154</v>
      </c>
      <c r="F52" s="101" t="s">
        <v>1352</v>
      </c>
      <c r="G52" s="100" t="s">
        <v>2150</v>
      </c>
      <c r="H52" s="100" t="s">
        <v>255</v>
      </c>
      <c r="I52" s="102" t="s">
        <v>255</v>
      </c>
    </row>
    <row r="53" spans="1:9" ht="15" customHeight="1">
      <c r="A53" s="97">
        <v>40619</v>
      </c>
      <c r="B53" s="98">
        <v>0.31944444444444448</v>
      </c>
      <c r="C53" s="99">
        <v>40619</v>
      </c>
      <c r="D53" s="98">
        <v>0.45833333333333331</v>
      </c>
      <c r="E53" s="100" t="s">
        <v>2155</v>
      </c>
      <c r="F53" s="101" t="s">
        <v>61</v>
      </c>
      <c r="G53" s="100" t="s">
        <v>100</v>
      </c>
      <c r="H53" s="100" t="s">
        <v>255</v>
      </c>
      <c r="I53" s="102" t="s">
        <v>255</v>
      </c>
    </row>
    <row r="54" spans="1:9" ht="15" customHeight="1">
      <c r="A54" s="97">
        <v>40620</v>
      </c>
      <c r="B54" s="98">
        <v>0.41250000000000003</v>
      </c>
      <c r="C54" s="99">
        <v>40620</v>
      </c>
      <c r="D54" s="98">
        <v>0.64861111111111114</v>
      </c>
      <c r="E54" s="100" t="s">
        <v>2156</v>
      </c>
      <c r="F54" s="101" t="s">
        <v>826</v>
      </c>
      <c r="G54" s="100" t="s">
        <v>100</v>
      </c>
      <c r="H54" s="100" t="s">
        <v>255</v>
      </c>
      <c r="I54" s="102" t="s">
        <v>255</v>
      </c>
    </row>
    <row r="55" spans="1:9" ht="15" customHeight="1">
      <c r="A55" s="97">
        <v>40621</v>
      </c>
      <c r="B55" s="98">
        <v>0.99722222222222223</v>
      </c>
      <c r="C55" s="99">
        <v>40626</v>
      </c>
      <c r="D55" s="98">
        <v>0.79861111111111116</v>
      </c>
      <c r="E55" s="100" t="s">
        <v>39</v>
      </c>
      <c r="F55" s="101" t="s">
        <v>124</v>
      </c>
      <c r="G55" s="100" t="s">
        <v>1096</v>
      </c>
      <c r="H55" s="100">
        <v>91</v>
      </c>
      <c r="I55" s="102">
        <v>128000</v>
      </c>
    </row>
    <row r="56" spans="1:9" ht="20.100000000000001" customHeight="1">
      <c r="A56" s="97">
        <v>40622</v>
      </c>
      <c r="B56" s="98">
        <v>0.4055555555555555</v>
      </c>
      <c r="C56" s="99">
        <v>40623</v>
      </c>
      <c r="D56" s="98">
        <v>0.41666666666666669</v>
      </c>
      <c r="E56" s="100" t="s">
        <v>2157</v>
      </c>
      <c r="F56" s="101" t="s">
        <v>124</v>
      </c>
      <c r="G56" s="100" t="s">
        <v>1096</v>
      </c>
      <c r="H56" s="100" t="s">
        <v>2130</v>
      </c>
      <c r="I56" s="102">
        <v>79000</v>
      </c>
    </row>
    <row r="57" spans="1:9" ht="20.100000000000001" customHeight="1">
      <c r="A57" s="97">
        <v>40623</v>
      </c>
      <c r="B57" s="98">
        <v>0.52430555555555558</v>
      </c>
      <c r="C57" s="99">
        <v>40623</v>
      </c>
      <c r="D57" s="98">
        <v>0.61458333333333337</v>
      </c>
      <c r="E57" s="100" t="s">
        <v>703</v>
      </c>
      <c r="F57" s="101" t="s">
        <v>124</v>
      </c>
      <c r="G57" s="100" t="s">
        <v>1096</v>
      </c>
      <c r="H57" s="100">
        <v>150</v>
      </c>
      <c r="I57" s="102">
        <v>54332</v>
      </c>
    </row>
    <row r="58" spans="1:9" ht="15" customHeight="1">
      <c r="A58" s="97">
        <v>40623</v>
      </c>
      <c r="B58" s="98">
        <v>3.9583333333333331E-2</v>
      </c>
      <c r="C58" s="99">
        <v>40623</v>
      </c>
      <c r="D58" s="98">
        <v>0.10347222222222223</v>
      </c>
      <c r="E58" s="100" t="s">
        <v>2155</v>
      </c>
      <c r="F58" s="101" t="s">
        <v>61</v>
      </c>
      <c r="G58" s="100" t="s">
        <v>100</v>
      </c>
      <c r="H58" s="100" t="s">
        <v>255</v>
      </c>
      <c r="I58" s="102" t="s">
        <v>255</v>
      </c>
    </row>
    <row r="59" spans="1:9" ht="20.100000000000001" customHeight="1">
      <c r="A59" s="97">
        <v>40625</v>
      </c>
      <c r="B59" s="98">
        <v>0.77083333333333337</v>
      </c>
      <c r="C59" s="99">
        <v>40626</v>
      </c>
      <c r="D59" s="98">
        <v>0.20486111111111113</v>
      </c>
      <c r="E59" s="100" t="s">
        <v>2158</v>
      </c>
      <c r="F59" s="101" t="s">
        <v>826</v>
      </c>
      <c r="G59" s="100" t="s">
        <v>1096</v>
      </c>
      <c r="H59" s="100" t="s">
        <v>2130</v>
      </c>
      <c r="I59" s="102">
        <v>60596</v>
      </c>
    </row>
    <row r="60" spans="1:9" ht="20.100000000000001" customHeight="1">
      <c r="A60" s="97">
        <v>40629</v>
      </c>
      <c r="B60" s="98">
        <v>0.56041666666666667</v>
      </c>
      <c r="C60" s="99">
        <v>40629</v>
      </c>
      <c r="D60" s="98">
        <v>0.70833333333333337</v>
      </c>
      <c r="E60" s="100" t="s">
        <v>2159</v>
      </c>
      <c r="F60" s="101" t="s">
        <v>124</v>
      </c>
      <c r="G60" s="104" t="s">
        <v>2160</v>
      </c>
      <c r="H60" s="100">
        <v>295</v>
      </c>
      <c r="I60" s="102">
        <v>165000</v>
      </c>
    </row>
    <row r="61" spans="1:9" ht="15" customHeight="1">
      <c r="A61" s="97">
        <v>40633</v>
      </c>
      <c r="B61" s="98">
        <v>0.60416666666666663</v>
      </c>
      <c r="C61" s="99">
        <v>40634</v>
      </c>
      <c r="D61" s="98">
        <v>0.99930555555555556</v>
      </c>
      <c r="E61" s="100" t="s">
        <v>2161</v>
      </c>
      <c r="F61" s="101" t="s">
        <v>301</v>
      </c>
      <c r="G61" s="100" t="s">
        <v>22</v>
      </c>
      <c r="H61" s="100" t="s">
        <v>2130</v>
      </c>
      <c r="I61" s="102">
        <v>50000</v>
      </c>
    </row>
    <row r="62" spans="1:9" ht="15" customHeight="1">
      <c r="A62" s="97">
        <v>40633</v>
      </c>
      <c r="B62" s="98">
        <v>0.47916666666666669</v>
      </c>
      <c r="C62" s="99">
        <v>40633</v>
      </c>
      <c r="D62" s="98">
        <v>0.85416666666666663</v>
      </c>
      <c r="E62" s="100" t="s">
        <v>2162</v>
      </c>
      <c r="F62" s="101" t="s">
        <v>301</v>
      </c>
      <c r="G62" s="100" t="s">
        <v>22</v>
      </c>
      <c r="H62" s="100">
        <v>206</v>
      </c>
      <c r="I62" s="102">
        <v>87000</v>
      </c>
    </row>
    <row r="63" spans="1:9" ht="15" hidden="1" customHeight="1">
      <c r="A63" s="816" t="s">
        <v>23</v>
      </c>
      <c r="B63" s="824"/>
      <c r="C63" s="84"/>
      <c r="D63" s="85"/>
      <c r="E63" s="84"/>
      <c r="F63" s="86"/>
      <c r="G63" s="84"/>
      <c r="H63" s="87"/>
      <c r="I63" s="88"/>
    </row>
    <row r="64" spans="1:9" ht="15" customHeight="1">
      <c r="A64" s="97">
        <v>40636</v>
      </c>
      <c r="B64" s="98">
        <v>0.84930555555555554</v>
      </c>
      <c r="C64" s="99">
        <v>40638</v>
      </c>
      <c r="D64" s="98">
        <v>0.625</v>
      </c>
      <c r="E64" s="100" t="s">
        <v>45</v>
      </c>
      <c r="F64" s="101" t="s">
        <v>63</v>
      </c>
      <c r="G64" s="100" t="s">
        <v>2139</v>
      </c>
      <c r="H64" s="105">
        <v>0</v>
      </c>
      <c r="I64" s="102">
        <v>0</v>
      </c>
    </row>
    <row r="65" spans="1:9" ht="15" customHeight="1">
      <c r="A65" s="97">
        <v>40637</v>
      </c>
      <c r="B65" s="98">
        <v>0.4909722222222222</v>
      </c>
      <c r="C65" s="99">
        <v>40641</v>
      </c>
      <c r="D65" s="98">
        <v>6.9444444444444447E-4</v>
      </c>
      <c r="E65" s="100" t="s">
        <v>2163</v>
      </c>
      <c r="F65" s="101" t="s">
        <v>63</v>
      </c>
      <c r="G65" s="100" t="s">
        <v>22</v>
      </c>
      <c r="H65" s="105">
        <v>359</v>
      </c>
      <c r="I65" s="102">
        <v>63000</v>
      </c>
    </row>
    <row r="66" spans="1:9" ht="20.100000000000001" customHeight="1">
      <c r="A66" s="97">
        <v>40637</v>
      </c>
      <c r="B66" s="98">
        <v>0.54166666666666663</v>
      </c>
      <c r="C66" s="99">
        <v>40638</v>
      </c>
      <c r="D66" s="98">
        <v>0</v>
      </c>
      <c r="E66" s="100" t="s">
        <v>2164</v>
      </c>
      <c r="F66" s="101" t="s">
        <v>63</v>
      </c>
      <c r="G66" s="100" t="s">
        <v>22</v>
      </c>
      <c r="H66" s="105">
        <v>300</v>
      </c>
      <c r="I66" s="102">
        <v>63000</v>
      </c>
    </row>
    <row r="67" spans="1:9" ht="15" customHeight="1">
      <c r="A67" s="97">
        <v>40637</v>
      </c>
      <c r="B67" s="98">
        <v>0.58333333333333337</v>
      </c>
      <c r="C67" s="99">
        <v>40641</v>
      </c>
      <c r="D67" s="98">
        <v>6.9444444444444447E-4</v>
      </c>
      <c r="E67" s="100" t="s">
        <v>2165</v>
      </c>
      <c r="F67" s="101" t="s">
        <v>63</v>
      </c>
      <c r="G67" s="100" t="s">
        <v>22</v>
      </c>
      <c r="H67" s="105">
        <v>300</v>
      </c>
      <c r="I67" s="102">
        <v>73000</v>
      </c>
    </row>
    <row r="68" spans="1:9" ht="20.100000000000001" customHeight="1">
      <c r="A68" s="97">
        <v>40637</v>
      </c>
      <c r="B68" s="98">
        <v>0.79166666666666663</v>
      </c>
      <c r="C68" s="99">
        <v>40638</v>
      </c>
      <c r="D68" s="98">
        <v>0.83333333333333337</v>
      </c>
      <c r="E68" s="100" t="s">
        <v>2166</v>
      </c>
      <c r="F68" s="101" t="s">
        <v>63</v>
      </c>
      <c r="G68" s="100" t="s">
        <v>22</v>
      </c>
      <c r="H68" s="105" t="s">
        <v>2130</v>
      </c>
      <c r="I68" s="102">
        <v>74645</v>
      </c>
    </row>
    <row r="69" spans="1:9" ht="15" customHeight="1">
      <c r="A69" s="97">
        <v>40637</v>
      </c>
      <c r="B69" s="98">
        <v>0.79166666666666663</v>
      </c>
      <c r="C69" s="99">
        <v>40638</v>
      </c>
      <c r="D69" s="98">
        <v>0.5</v>
      </c>
      <c r="E69" s="100" t="s">
        <v>2167</v>
      </c>
      <c r="F69" s="101" t="s">
        <v>826</v>
      </c>
      <c r="G69" s="100" t="s">
        <v>22</v>
      </c>
      <c r="H69" s="105" t="s">
        <v>2130</v>
      </c>
      <c r="I69" s="102">
        <v>52920</v>
      </c>
    </row>
    <row r="70" spans="1:9" ht="20.100000000000001" customHeight="1">
      <c r="A70" s="97">
        <v>40637</v>
      </c>
      <c r="B70" s="98">
        <v>0.875</v>
      </c>
      <c r="C70" s="99">
        <v>40638</v>
      </c>
      <c r="D70" s="98">
        <v>0.97916666666666663</v>
      </c>
      <c r="E70" s="100" t="s">
        <v>2168</v>
      </c>
      <c r="F70" s="101" t="s">
        <v>63</v>
      </c>
      <c r="G70" s="100" t="s">
        <v>22</v>
      </c>
      <c r="H70" s="105">
        <v>674</v>
      </c>
      <c r="I70" s="102">
        <v>303434</v>
      </c>
    </row>
    <row r="71" spans="1:9" ht="15" customHeight="1">
      <c r="A71" s="97">
        <v>40638</v>
      </c>
      <c r="B71" s="98">
        <v>8.3333333333333329E-2</v>
      </c>
      <c r="C71" s="99">
        <v>40640</v>
      </c>
      <c r="D71" s="98">
        <v>0.95833333333333337</v>
      </c>
      <c r="E71" s="100" t="s">
        <v>2169</v>
      </c>
      <c r="F71" s="101" t="s">
        <v>63</v>
      </c>
      <c r="G71" s="100" t="s">
        <v>22</v>
      </c>
      <c r="H71" s="105">
        <v>1200</v>
      </c>
      <c r="I71" s="102">
        <v>256000</v>
      </c>
    </row>
    <row r="72" spans="1:9" ht="15" customHeight="1">
      <c r="A72" s="97">
        <v>40639</v>
      </c>
      <c r="B72" s="98">
        <v>0.4513888888888889</v>
      </c>
      <c r="C72" s="99">
        <v>40639</v>
      </c>
      <c r="D72" s="98">
        <v>0.4513888888888889</v>
      </c>
      <c r="E72" s="100" t="s">
        <v>2170</v>
      </c>
      <c r="F72" s="101" t="s">
        <v>826</v>
      </c>
      <c r="G72" s="100" t="s">
        <v>100</v>
      </c>
      <c r="H72" s="105">
        <v>0</v>
      </c>
      <c r="I72" s="102">
        <v>0</v>
      </c>
    </row>
    <row r="73" spans="1:9" ht="15" customHeight="1">
      <c r="A73" s="97">
        <v>40644</v>
      </c>
      <c r="B73" s="98">
        <v>0.73611111111111116</v>
      </c>
      <c r="C73" s="99">
        <v>40644</v>
      </c>
      <c r="D73" s="98">
        <v>0.74375000000000002</v>
      </c>
      <c r="E73" s="100" t="s">
        <v>2147</v>
      </c>
      <c r="F73" s="101" t="s">
        <v>124</v>
      </c>
      <c r="G73" s="100" t="s">
        <v>2118</v>
      </c>
      <c r="H73" s="105">
        <v>0</v>
      </c>
      <c r="I73" s="102">
        <v>0</v>
      </c>
    </row>
    <row r="74" spans="1:9" ht="15" customHeight="1">
      <c r="A74" s="97">
        <v>40649</v>
      </c>
      <c r="B74" s="98">
        <v>0.59444444444444444</v>
      </c>
      <c r="C74" s="99">
        <v>40650</v>
      </c>
      <c r="D74" s="98">
        <v>0.6875</v>
      </c>
      <c r="E74" s="100" t="s">
        <v>2171</v>
      </c>
      <c r="F74" s="101" t="s">
        <v>63</v>
      </c>
      <c r="G74" s="100" t="s">
        <v>22</v>
      </c>
      <c r="H74" s="105" t="s">
        <v>2130</v>
      </c>
      <c r="I74" s="102">
        <v>220000</v>
      </c>
    </row>
    <row r="75" spans="1:9" ht="15" customHeight="1">
      <c r="A75" s="97">
        <v>40652</v>
      </c>
      <c r="B75" s="98">
        <v>0.83333333333333337</v>
      </c>
      <c r="C75" s="99">
        <v>40652</v>
      </c>
      <c r="D75" s="98">
        <v>0.91666666666666663</v>
      </c>
      <c r="E75" s="100" t="s">
        <v>33</v>
      </c>
      <c r="F75" s="101" t="s">
        <v>63</v>
      </c>
      <c r="G75" s="100" t="s">
        <v>22</v>
      </c>
      <c r="H75" s="105" t="s">
        <v>2130</v>
      </c>
      <c r="I75" s="102">
        <v>80000</v>
      </c>
    </row>
    <row r="76" spans="1:9" ht="15" customHeight="1">
      <c r="A76" s="97">
        <v>40652</v>
      </c>
      <c r="B76" s="98">
        <v>0.58402777777777781</v>
      </c>
      <c r="C76" s="99">
        <v>40652</v>
      </c>
      <c r="D76" s="98">
        <v>0.6694444444444444</v>
      </c>
      <c r="E76" s="100" t="s">
        <v>2172</v>
      </c>
      <c r="F76" s="101" t="s">
        <v>124</v>
      </c>
      <c r="G76" s="100" t="s">
        <v>100</v>
      </c>
      <c r="H76" s="105">
        <v>0</v>
      </c>
      <c r="I76" s="102">
        <v>0</v>
      </c>
    </row>
    <row r="77" spans="1:9" ht="20.100000000000001" customHeight="1">
      <c r="A77" s="97">
        <v>40652</v>
      </c>
      <c r="B77" s="98">
        <v>0.9472222222222223</v>
      </c>
      <c r="C77" s="99">
        <v>40653</v>
      </c>
      <c r="D77" s="98">
        <v>8.3333333333333329E-2</v>
      </c>
      <c r="E77" s="100" t="s">
        <v>2163</v>
      </c>
      <c r="F77" s="101" t="s">
        <v>63</v>
      </c>
      <c r="G77" s="100" t="s">
        <v>22</v>
      </c>
      <c r="H77" s="105">
        <v>100</v>
      </c>
      <c r="I77" s="102">
        <v>64000</v>
      </c>
    </row>
    <row r="78" spans="1:9" ht="15" customHeight="1">
      <c r="A78" s="97">
        <v>40652</v>
      </c>
      <c r="B78" s="98">
        <v>0.95972222222222225</v>
      </c>
      <c r="C78" s="99">
        <v>40654</v>
      </c>
      <c r="D78" s="98">
        <v>0.73055555555555562</v>
      </c>
      <c r="E78" s="100" t="s">
        <v>2163</v>
      </c>
      <c r="F78" s="101" t="s">
        <v>63</v>
      </c>
      <c r="G78" s="100" t="s">
        <v>22</v>
      </c>
      <c r="H78" s="105">
        <v>300</v>
      </c>
      <c r="I78" s="102">
        <v>105000</v>
      </c>
    </row>
    <row r="79" spans="1:9" ht="20.100000000000001" customHeight="1">
      <c r="A79" s="97">
        <v>40652</v>
      </c>
      <c r="B79" s="98">
        <v>0.96736111111111101</v>
      </c>
      <c r="C79" s="99">
        <v>40653</v>
      </c>
      <c r="D79" s="98">
        <v>0.80138888888888893</v>
      </c>
      <c r="E79" s="100" t="s">
        <v>2173</v>
      </c>
      <c r="F79" s="101" t="s">
        <v>63</v>
      </c>
      <c r="G79" s="100" t="s">
        <v>22</v>
      </c>
      <c r="H79" s="105">
        <v>22</v>
      </c>
      <c r="I79" s="102" t="s">
        <v>2130</v>
      </c>
    </row>
    <row r="80" spans="1:9" ht="15" customHeight="1">
      <c r="A80" s="97">
        <v>40653</v>
      </c>
      <c r="B80" s="98">
        <v>8.3333333333333329E-2</v>
      </c>
      <c r="C80" s="99">
        <v>40654</v>
      </c>
      <c r="D80" s="98">
        <v>0.5</v>
      </c>
      <c r="E80" s="100" t="s">
        <v>2174</v>
      </c>
      <c r="F80" s="101" t="s">
        <v>826</v>
      </c>
      <c r="G80" s="100" t="s">
        <v>2175</v>
      </c>
      <c r="H80" s="105" t="s">
        <v>2130</v>
      </c>
      <c r="I80" s="102">
        <v>165711</v>
      </c>
    </row>
    <row r="81" spans="1:9" ht="20.100000000000001" customHeight="1">
      <c r="A81" s="97">
        <v>40653</v>
      </c>
      <c r="B81" s="98">
        <v>0.33819444444444446</v>
      </c>
      <c r="C81" s="99">
        <v>40653</v>
      </c>
      <c r="D81" s="98">
        <v>0.3430555555555555</v>
      </c>
      <c r="E81" s="100" t="s">
        <v>1722</v>
      </c>
      <c r="F81" s="101" t="s">
        <v>63</v>
      </c>
      <c r="G81" s="100" t="s">
        <v>2176</v>
      </c>
      <c r="H81" s="105">
        <v>33</v>
      </c>
      <c r="I81" s="102">
        <v>11000</v>
      </c>
    </row>
    <row r="82" spans="1:9" ht="20.100000000000001" customHeight="1">
      <c r="A82" s="97">
        <v>40654</v>
      </c>
      <c r="B82" s="98">
        <v>0.30208333333333331</v>
      </c>
      <c r="C82" s="99">
        <v>40654</v>
      </c>
      <c r="D82" s="98">
        <v>0.70138888888888884</v>
      </c>
      <c r="E82" s="100" t="s">
        <v>2177</v>
      </c>
      <c r="F82" s="101" t="s">
        <v>124</v>
      </c>
      <c r="G82" s="100" t="s">
        <v>100</v>
      </c>
      <c r="H82" s="105">
        <v>0</v>
      </c>
      <c r="I82" s="102">
        <v>0</v>
      </c>
    </row>
    <row r="83" spans="1:9" ht="15" customHeight="1">
      <c r="A83" s="97">
        <v>40654</v>
      </c>
      <c r="B83" s="98">
        <v>0.79166666666666663</v>
      </c>
      <c r="C83" s="99">
        <v>40662</v>
      </c>
      <c r="D83" s="98">
        <v>0.79513888888888884</v>
      </c>
      <c r="E83" s="100" t="s">
        <v>2178</v>
      </c>
      <c r="F83" s="101" t="s">
        <v>826</v>
      </c>
      <c r="G83" s="100" t="s">
        <v>2118</v>
      </c>
      <c r="H83" s="105" t="s">
        <v>2130</v>
      </c>
      <c r="I83" s="102" t="s">
        <v>2130</v>
      </c>
    </row>
    <row r="84" spans="1:9" ht="15" customHeight="1">
      <c r="A84" s="97">
        <v>40655</v>
      </c>
      <c r="B84" s="98">
        <v>0.875</v>
      </c>
      <c r="C84" s="99">
        <v>40655</v>
      </c>
      <c r="D84" s="98">
        <v>0.95833333333333337</v>
      </c>
      <c r="E84" s="100" t="s">
        <v>2179</v>
      </c>
      <c r="F84" s="101" t="s">
        <v>63</v>
      </c>
      <c r="G84" s="100" t="s">
        <v>22</v>
      </c>
      <c r="H84" s="105">
        <v>0</v>
      </c>
      <c r="I84" s="102">
        <v>55000</v>
      </c>
    </row>
    <row r="85" spans="1:9" ht="15" customHeight="1">
      <c r="A85" s="97">
        <v>40658</v>
      </c>
      <c r="B85" s="98">
        <v>0.68958333333333333</v>
      </c>
      <c r="C85" s="99">
        <v>40658</v>
      </c>
      <c r="D85" s="98">
        <v>0.72152777777777777</v>
      </c>
      <c r="E85" s="100" t="s">
        <v>2180</v>
      </c>
      <c r="F85" s="101" t="s">
        <v>63</v>
      </c>
      <c r="G85" s="100" t="s">
        <v>2176</v>
      </c>
      <c r="H85" s="105">
        <v>140</v>
      </c>
      <c r="I85" s="102" t="s">
        <v>2130</v>
      </c>
    </row>
    <row r="86" spans="1:9" ht="15" customHeight="1">
      <c r="A86" s="97">
        <v>40658</v>
      </c>
      <c r="B86" s="98">
        <v>0.72916666666666663</v>
      </c>
      <c r="C86" s="99">
        <v>40660</v>
      </c>
      <c r="D86" s="98">
        <v>0.75</v>
      </c>
      <c r="E86" s="100" t="s">
        <v>2181</v>
      </c>
      <c r="F86" s="101" t="s">
        <v>58</v>
      </c>
      <c r="G86" s="100" t="s">
        <v>22</v>
      </c>
      <c r="H86" s="105" t="s">
        <v>2130</v>
      </c>
      <c r="I86" s="102">
        <v>141700</v>
      </c>
    </row>
    <row r="87" spans="1:9" ht="15" customHeight="1">
      <c r="A87" s="97">
        <v>40659</v>
      </c>
      <c r="B87" s="98">
        <v>0.24236111111111111</v>
      </c>
      <c r="C87" s="99">
        <v>40660</v>
      </c>
      <c r="D87" s="98">
        <v>0.41597222222222219</v>
      </c>
      <c r="E87" s="100" t="s">
        <v>1949</v>
      </c>
      <c r="F87" s="101" t="s">
        <v>58</v>
      </c>
      <c r="G87" s="100" t="s">
        <v>22</v>
      </c>
      <c r="H87" s="105">
        <v>120</v>
      </c>
      <c r="I87" s="102" t="s">
        <v>2130</v>
      </c>
    </row>
    <row r="88" spans="1:9" ht="20.100000000000001" customHeight="1">
      <c r="A88" s="97">
        <v>40659</v>
      </c>
      <c r="B88" s="98">
        <v>0.41041666666666665</v>
      </c>
      <c r="C88" s="99">
        <v>40661</v>
      </c>
      <c r="D88" s="98">
        <v>0.41041666666666665</v>
      </c>
      <c r="E88" s="100" t="s">
        <v>2182</v>
      </c>
      <c r="F88" s="101" t="s">
        <v>63</v>
      </c>
      <c r="G88" s="100" t="s">
        <v>22</v>
      </c>
      <c r="H88" s="105" t="s">
        <v>2130</v>
      </c>
      <c r="I88" s="102">
        <v>55000</v>
      </c>
    </row>
    <row r="89" spans="1:9" ht="15" customHeight="1">
      <c r="A89" s="97">
        <v>40659</v>
      </c>
      <c r="B89" s="98">
        <v>0.5444444444444444</v>
      </c>
      <c r="C89" s="99">
        <v>40659</v>
      </c>
      <c r="D89" s="98">
        <v>0.58333333333333337</v>
      </c>
      <c r="E89" s="100" t="s">
        <v>2147</v>
      </c>
      <c r="F89" s="101" t="s">
        <v>124</v>
      </c>
      <c r="G89" s="100" t="s">
        <v>100</v>
      </c>
      <c r="H89" s="105">
        <v>0</v>
      </c>
      <c r="I89" s="102">
        <v>0</v>
      </c>
    </row>
    <row r="90" spans="1:9" ht="15" customHeight="1">
      <c r="A90" s="97">
        <v>40659</v>
      </c>
      <c r="B90" s="98">
        <v>0.7597222222222223</v>
      </c>
      <c r="C90" s="99">
        <v>40661</v>
      </c>
      <c r="D90" s="98">
        <v>0.70833333333333337</v>
      </c>
      <c r="E90" s="100" t="s">
        <v>2183</v>
      </c>
      <c r="F90" s="101" t="s">
        <v>58</v>
      </c>
      <c r="G90" s="100" t="s">
        <v>22</v>
      </c>
      <c r="H90" s="105">
        <v>50</v>
      </c>
      <c r="I90" s="102">
        <v>13000</v>
      </c>
    </row>
    <row r="91" spans="1:9" ht="20.100000000000001" customHeight="1">
      <c r="A91" s="97">
        <v>40660</v>
      </c>
      <c r="B91" s="98">
        <v>0.33333333333333331</v>
      </c>
      <c r="C91" s="99">
        <v>40665</v>
      </c>
      <c r="D91" s="98">
        <v>0.66875000000000007</v>
      </c>
      <c r="E91" s="100" t="s">
        <v>2168</v>
      </c>
      <c r="F91" s="101" t="s">
        <v>63</v>
      </c>
      <c r="G91" s="100" t="s">
        <v>22</v>
      </c>
      <c r="H91" s="105">
        <v>1422</v>
      </c>
      <c r="I91" s="102">
        <v>426640</v>
      </c>
    </row>
    <row r="92" spans="1:9" ht="20.100000000000001" customHeight="1">
      <c r="A92" s="97">
        <v>40660</v>
      </c>
      <c r="B92" s="98">
        <v>0.41666666666666669</v>
      </c>
      <c r="C92" s="99">
        <v>40662</v>
      </c>
      <c r="D92" s="98">
        <v>0.68680555555555556</v>
      </c>
      <c r="E92" s="100" t="s">
        <v>2182</v>
      </c>
      <c r="F92" s="101" t="s">
        <v>63</v>
      </c>
      <c r="G92" s="100" t="s">
        <v>22</v>
      </c>
      <c r="H92" s="105" t="s">
        <v>2130</v>
      </c>
      <c r="I92" s="102">
        <v>612000</v>
      </c>
    </row>
    <row r="93" spans="1:9" ht="15" customHeight="1">
      <c r="A93" s="97">
        <v>40660</v>
      </c>
      <c r="B93" s="98">
        <v>0.91666666666666663</v>
      </c>
      <c r="C93" s="99">
        <v>40661</v>
      </c>
      <c r="D93" s="98">
        <v>0.41666666666666669</v>
      </c>
      <c r="E93" s="100" t="s">
        <v>2184</v>
      </c>
      <c r="F93" s="101" t="s">
        <v>63</v>
      </c>
      <c r="G93" s="100" t="s">
        <v>22</v>
      </c>
      <c r="H93" s="105">
        <v>0</v>
      </c>
      <c r="I93" s="102">
        <v>69000</v>
      </c>
    </row>
    <row r="94" spans="1:9" ht="15" customHeight="1">
      <c r="A94" s="97">
        <v>40661</v>
      </c>
      <c r="B94" s="98">
        <v>0.20833333333333334</v>
      </c>
      <c r="C94" s="99">
        <v>40663</v>
      </c>
      <c r="D94" s="98">
        <v>0.77083333333333337</v>
      </c>
      <c r="E94" s="100" t="s">
        <v>2185</v>
      </c>
      <c r="F94" s="101" t="s">
        <v>826</v>
      </c>
      <c r="G94" s="100" t="s">
        <v>22</v>
      </c>
      <c r="H94" s="105" t="s">
        <v>2130</v>
      </c>
      <c r="I94" s="102">
        <v>86000</v>
      </c>
    </row>
    <row r="95" spans="1:9" ht="15" customHeight="1">
      <c r="A95" s="97">
        <v>40661</v>
      </c>
      <c r="B95" s="98">
        <v>0.67291666666666661</v>
      </c>
      <c r="C95" s="99">
        <v>40661</v>
      </c>
      <c r="D95" s="98">
        <v>0.67361111111111116</v>
      </c>
      <c r="E95" s="100" t="s">
        <v>137</v>
      </c>
      <c r="F95" s="101" t="s">
        <v>124</v>
      </c>
      <c r="G95" s="100" t="s">
        <v>2176</v>
      </c>
      <c r="H95" s="105">
        <v>960</v>
      </c>
      <c r="I95" s="102" t="s">
        <v>2130</v>
      </c>
    </row>
    <row r="96" spans="1:9" ht="15" hidden="1" customHeight="1">
      <c r="A96" s="816" t="s">
        <v>103</v>
      </c>
      <c r="B96" s="817"/>
      <c r="C96" s="84"/>
      <c r="D96" s="85"/>
      <c r="E96" s="84"/>
      <c r="F96" s="86"/>
      <c r="G96" s="84"/>
      <c r="H96" s="87"/>
      <c r="I96" s="88"/>
    </row>
    <row r="97" spans="1:9" ht="15" customHeight="1">
      <c r="A97" s="97">
        <v>40665</v>
      </c>
      <c r="B97" s="98">
        <v>0.71250000000000002</v>
      </c>
      <c r="C97" s="99">
        <v>40665</v>
      </c>
      <c r="D97" s="98">
        <v>0.83333333333333337</v>
      </c>
      <c r="E97" s="100" t="s">
        <v>2186</v>
      </c>
      <c r="F97" s="101" t="s">
        <v>255</v>
      </c>
      <c r="G97" s="100" t="s">
        <v>22</v>
      </c>
      <c r="H97" s="100">
        <v>220</v>
      </c>
      <c r="I97" s="102">
        <v>62000</v>
      </c>
    </row>
    <row r="98" spans="1:9" ht="20.100000000000001" customHeight="1">
      <c r="A98" s="97">
        <v>40665</v>
      </c>
      <c r="B98" s="98">
        <v>0.58333333333333337</v>
      </c>
      <c r="C98" s="99">
        <v>40665</v>
      </c>
      <c r="D98" s="98">
        <v>0.58333333333333337</v>
      </c>
      <c r="E98" s="100" t="s">
        <v>2187</v>
      </c>
      <c r="F98" s="101" t="s">
        <v>61</v>
      </c>
      <c r="G98" s="100" t="s">
        <v>2150</v>
      </c>
      <c r="H98" s="100">
        <v>0</v>
      </c>
      <c r="I98" s="102">
        <v>0</v>
      </c>
    </row>
    <row r="99" spans="1:9" ht="15" customHeight="1">
      <c r="A99" s="97">
        <v>40665</v>
      </c>
      <c r="B99" s="98">
        <v>0.36944444444444446</v>
      </c>
      <c r="C99" s="99">
        <v>40665</v>
      </c>
      <c r="D99" s="98">
        <v>0.44861111111111113</v>
      </c>
      <c r="E99" s="100" t="s">
        <v>2188</v>
      </c>
      <c r="F99" s="101" t="s">
        <v>124</v>
      </c>
      <c r="G99" s="100" t="s">
        <v>100</v>
      </c>
      <c r="H99" s="105">
        <v>0</v>
      </c>
      <c r="I99" s="102">
        <v>0</v>
      </c>
    </row>
    <row r="100" spans="1:9" ht="20.100000000000001" customHeight="1">
      <c r="A100" s="97">
        <v>40666</v>
      </c>
      <c r="B100" s="98">
        <v>0.5</v>
      </c>
      <c r="C100" s="99">
        <v>40668</v>
      </c>
      <c r="D100" s="98">
        <v>0.5</v>
      </c>
      <c r="E100" s="100" t="s">
        <v>2189</v>
      </c>
      <c r="F100" s="101" t="s">
        <v>61</v>
      </c>
      <c r="G100" s="100" t="s">
        <v>2150</v>
      </c>
      <c r="H100" s="100">
        <v>0</v>
      </c>
      <c r="I100" s="102">
        <v>0</v>
      </c>
    </row>
    <row r="101" spans="1:9" ht="15" customHeight="1">
      <c r="A101" s="97">
        <v>40667</v>
      </c>
      <c r="B101" s="98">
        <v>0.54722222222222217</v>
      </c>
      <c r="C101" s="99">
        <v>40667</v>
      </c>
      <c r="D101" s="98">
        <v>0.55902777777777779</v>
      </c>
      <c r="E101" s="100" t="s">
        <v>2123</v>
      </c>
      <c r="F101" s="101" t="s">
        <v>826</v>
      </c>
      <c r="G101" s="100" t="s">
        <v>2150</v>
      </c>
      <c r="H101" s="100">
        <v>0</v>
      </c>
      <c r="I101" s="102">
        <v>0</v>
      </c>
    </row>
    <row r="102" spans="1:9" ht="15" customHeight="1">
      <c r="A102" s="97">
        <v>40667</v>
      </c>
      <c r="B102" s="98">
        <v>0.51388888888888895</v>
      </c>
      <c r="C102" s="99">
        <v>40667</v>
      </c>
      <c r="D102" s="98">
        <v>0.65277777777777779</v>
      </c>
      <c r="E102" s="100" t="s">
        <v>1833</v>
      </c>
      <c r="F102" s="101" t="s">
        <v>826</v>
      </c>
      <c r="G102" s="100" t="s">
        <v>2190</v>
      </c>
      <c r="H102" s="105">
        <v>0</v>
      </c>
      <c r="I102" s="102">
        <v>0</v>
      </c>
    </row>
    <row r="103" spans="1:9" ht="15" customHeight="1">
      <c r="A103" s="97">
        <v>40668</v>
      </c>
      <c r="B103" s="98">
        <v>0.38541666666666669</v>
      </c>
      <c r="C103" s="99">
        <v>40668</v>
      </c>
      <c r="D103" s="98">
        <v>0.38541666666666669</v>
      </c>
      <c r="E103" s="100" t="s">
        <v>1115</v>
      </c>
      <c r="F103" s="101" t="s">
        <v>61</v>
      </c>
      <c r="G103" s="100" t="s">
        <v>100</v>
      </c>
      <c r="H103" s="105">
        <v>0</v>
      </c>
      <c r="I103" s="102">
        <v>0</v>
      </c>
    </row>
    <row r="104" spans="1:9" ht="20.100000000000001" customHeight="1">
      <c r="A104" s="97">
        <v>40669</v>
      </c>
      <c r="B104" s="98">
        <v>0.28888888888888892</v>
      </c>
      <c r="C104" s="99">
        <v>40669</v>
      </c>
      <c r="D104" s="98">
        <v>0.4375</v>
      </c>
      <c r="E104" s="100" t="s">
        <v>2191</v>
      </c>
      <c r="F104" s="101" t="s">
        <v>124</v>
      </c>
      <c r="G104" s="100" t="s">
        <v>100</v>
      </c>
      <c r="H104" s="106">
        <v>0</v>
      </c>
      <c r="I104" s="102">
        <v>0</v>
      </c>
    </row>
    <row r="105" spans="1:9" ht="15" customHeight="1">
      <c r="A105" s="97">
        <v>40671</v>
      </c>
      <c r="B105" s="98">
        <v>0.81597222222222221</v>
      </c>
      <c r="C105" s="99">
        <v>40671</v>
      </c>
      <c r="D105" s="98">
        <v>0.81597222222222221</v>
      </c>
      <c r="E105" s="100" t="s">
        <v>30</v>
      </c>
      <c r="F105" s="101" t="s">
        <v>61</v>
      </c>
      <c r="G105" s="100" t="s">
        <v>100</v>
      </c>
      <c r="H105" s="107" t="s">
        <v>2130</v>
      </c>
      <c r="I105" s="102">
        <v>0</v>
      </c>
    </row>
    <row r="106" spans="1:9" ht="15" customHeight="1">
      <c r="A106" s="97">
        <v>40672</v>
      </c>
      <c r="B106" s="98">
        <v>0.5493055555555556</v>
      </c>
      <c r="C106" s="99">
        <v>40672</v>
      </c>
      <c r="D106" s="98">
        <v>0.5493055555555556</v>
      </c>
      <c r="E106" s="100" t="s">
        <v>2192</v>
      </c>
      <c r="F106" s="101" t="s">
        <v>61</v>
      </c>
      <c r="G106" s="100" t="s">
        <v>100</v>
      </c>
      <c r="H106" s="106">
        <v>0</v>
      </c>
      <c r="I106" s="102">
        <v>0</v>
      </c>
    </row>
    <row r="107" spans="1:9" ht="15" customHeight="1">
      <c r="A107" s="97">
        <v>40672</v>
      </c>
      <c r="B107" s="98">
        <v>0.17222222222222225</v>
      </c>
      <c r="C107" s="99">
        <v>40672</v>
      </c>
      <c r="D107" s="98">
        <v>0.27777777777777779</v>
      </c>
      <c r="E107" s="100" t="s">
        <v>2193</v>
      </c>
      <c r="F107" s="101" t="s">
        <v>826</v>
      </c>
      <c r="G107" s="100" t="s">
        <v>2150</v>
      </c>
      <c r="H107" s="100">
        <v>630</v>
      </c>
      <c r="I107" s="102" t="s">
        <v>2130</v>
      </c>
    </row>
    <row r="108" spans="1:9" ht="15" customHeight="1">
      <c r="A108" s="97">
        <v>40673</v>
      </c>
      <c r="B108" s="98">
        <v>0.93125000000000002</v>
      </c>
      <c r="C108" s="99">
        <v>40674</v>
      </c>
      <c r="D108" s="98">
        <v>0.60069444444444442</v>
      </c>
      <c r="E108" s="100" t="s">
        <v>2167</v>
      </c>
      <c r="F108" s="101" t="s">
        <v>826</v>
      </c>
      <c r="G108" s="100" t="s">
        <v>22</v>
      </c>
      <c r="H108" s="107" t="s">
        <v>2130</v>
      </c>
      <c r="I108" s="102">
        <v>58000</v>
      </c>
    </row>
    <row r="109" spans="1:9" ht="15" customHeight="1">
      <c r="A109" s="97">
        <v>40673</v>
      </c>
      <c r="B109" s="98">
        <v>0.57291666666666663</v>
      </c>
      <c r="C109" s="99">
        <v>40673</v>
      </c>
      <c r="D109" s="98">
        <v>0.625</v>
      </c>
      <c r="E109" s="100" t="s">
        <v>1115</v>
      </c>
      <c r="F109" s="101" t="s">
        <v>61</v>
      </c>
      <c r="G109" s="100" t="s">
        <v>100</v>
      </c>
      <c r="H109" s="106">
        <v>0</v>
      </c>
      <c r="I109" s="102">
        <v>0</v>
      </c>
    </row>
    <row r="110" spans="1:9" ht="20.100000000000001" customHeight="1">
      <c r="A110" s="97">
        <v>40673</v>
      </c>
      <c r="B110" s="98">
        <v>0.1423611111111111</v>
      </c>
      <c r="C110" s="99">
        <v>40674</v>
      </c>
      <c r="D110" s="98">
        <v>0.59027777777777779</v>
      </c>
      <c r="E110" s="100" t="s">
        <v>2194</v>
      </c>
      <c r="F110" s="101" t="s">
        <v>826</v>
      </c>
      <c r="G110" s="100" t="s">
        <v>2195</v>
      </c>
      <c r="H110" s="100">
        <v>585</v>
      </c>
      <c r="I110" s="102">
        <v>78213</v>
      </c>
    </row>
    <row r="111" spans="1:9" ht="20.100000000000001" customHeight="1">
      <c r="A111" s="97">
        <v>40674</v>
      </c>
      <c r="B111" s="98">
        <v>0.66319444444444442</v>
      </c>
      <c r="C111" s="99">
        <v>40675</v>
      </c>
      <c r="D111" s="98">
        <v>0.58124999999999993</v>
      </c>
      <c r="E111" s="100" t="s">
        <v>2196</v>
      </c>
      <c r="F111" s="101" t="s">
        <v>674</v>
      </c>
      <c r="G111" s="100" t="s">
        <v>100</v>
      </c>
      <c r="H111" s="100">
        <v>0</v>
      </c>
      <c r="I111" s="102">
        <v>0</v>
      </c>
    </row>
    <row r="112" spans="1:9" ht="15" customHeight="1">
      <c r="A112" s="97">
        <v>40674</v>
      </c>
      <c r="B112" s="98">
        <v>0.56597222222222221</v>
      </c>
      <c r="C112" s="99">
        <v>40674</v>
      </c>
      <c r="D112" s="98">
        <v>0.56597222222222221</v>
      </c>
      <c r="E112" s="100" t="s">
        <v>2197</v>
      </c>
      <c r="F112" s="101" t="s">
        <v>124</v>
      </c>
      <c r="G112" s="100" t="s">
        <v>100</v>
      </c>
      <c r="H112" s="105">
        <v>0</v>
      </c>
      <c r="I112" s="102">
        <v>0</v>
      </c>
    </row>
    <row r="113" spans="1:9" ht="20.100000000000001" customHeight="1">
      <c r="A113" s="97">
        <v>40674</v>
      </c>
      <c r="B113" s="98">
        <v>0.45833333333333331</v>
      </c>
      <c r="C113" s="99">
        <v>40674</v>
      </c>
      <c r="D113" s="98">
        <v>0.47916666666666669</v>
      </c>
      <c r="E113" s="100" t="s">
        <v>2198</v>
      </c>
      <c r="F113" s="101" t="s">
        <v>61</v>
      </c>
      <c r="G113" s="100" t="s">
        <v>100</v>
      </c>
      <c r="H113" s="105">
        <v>0</v>
      </c>
      <c r="I113" s="102">
        <v>0</v>
      </c>
    </row>
    <row r="114" spans="1:9" ht="15" customHeight="1">
      <c r="A114" s="97">
        <v>40674</v>
      </c>
      <c r="B114" s="98">
        <v>1.0416666666666666E-2</v>
      </c>
      <c r="C114" s="99">
        <v>40674</v>
      </c>
      <c r="D114" s="98">
        <v>0.72222222222222221</v>
      </c>
      <c r="E114" s="100" t="s">
        <v>2199</v>
      </c>
      <c r="F114" s="101" t="s">
        <v>63</v>
      </c>
      <c r="G114" s="100" t="s">
        <v>22</v>
      </c>
      <c r="H114" s="100">
        <v>300</v>
      </c>
      <c r="I114" s="102">
        <v>71000</v>
      </c>
    </row>
    <row r="115" spans="1:9" ht="15" customHeight="1">
      <c r="A115" s="97">
        <v>40676</v>
      </c>
      <c r="B115" s="98">
        <v>0.25</v>
      </c>
      <c r="C115" s="99">
        <v>40676</v>
      </c>
      <c r="D115" s="98">
        <v>0.25</v>
      </c>
      <c r="E115" s="100" t="s">
        <v>2200</v>
      </c>
      <c r="F115" s="101" t="s">
        <v>124</v>
      </c>
      <c r="G115" s="100" t="s">
        <v>100</v>
      </c>
      <c r="H115" s="105">
        <v>0</v>
      </c>
      <c r="I115" s="102">
        <v>0</v>
      </c>
    </row>
    <row r="116" spans="1:9" ht="15" customHeight="1">
      <c r="A116" s="97">
        <v>40684</v>
      </c>
      <c r="B116" s="98">
        <v>0.70833333333333337</v>
      </c>
      <c r="C116" s="99">
        <v>40685</v>
      </c>
      <c r="D116" s="98">
        <v>0.77361111111111114</v>
      </c>
      <c r="E116" s="100" t="s">
        <v>2201</v>
      </c>
      <c r="F116" s="101" t="s">
        <v>124</v>
      </c>
      <c r="G116" s="100" t="s">
        <v>2202</v>
      </c>
      <c r="H116" s="100">
        <v>56</v>
      </c>
      <c r="I116" s="102" t="s">
        <v>2130</v>
      </c>
    </row>
    <row r="117" spans="1:9" ht="20.100000000000001" customHeight="1">
      <c r="A117" s="97">
        <v>40685</v>
      </c>
      <c r="B117" s="98">
        <v>0.71458333333333324</v>
      </c>
      <c r="C117" s="99">
        <v>40694</v>
      </c>
      <c r="D117" s="98">
        <v>0.50069444444444444</v>
      </c>
      <c r="E117" s="100" t="s">
        <v>2203</v>
      </c>
      <c r="F117" s="101" t="s">
        <v>58</v>
      </c>
      <c r="G117" s="100" t="s">
        <v>22</v>
      </c>
      <c r="H117" s="100">
        <v>200</v>
      </c>
      <c r="I117" s="102">
        <v>20000</v>
      </c>
    </row>
    <row r="118" spans="1:9" ht="15" customHeight="1">
      <c r="A118" s="97">
        <v>40686</v>
      </c>
      <c r="B118" s="98">
        <v>0.69791666666666663</v>
      </c>
      <c r="C118" s="99">
        <v>40688</v>
      </c>
      <c r="D118" s="98">
        <v>0.99930555555555556</v>
      </c>
      <c r="E118" s="100" t="s">
        <v>2204</v>
      </c>
      <c r="F118" s="101" t="s">
        <v>826</v>
      </c>
      <c r="G118" s="100" t="s">
        <v>22</v>
      </c>
      <c r="H118" s="105">
        <v>1024</v>
      </c>
      <c r="I118" s="102">
        <v>215387</v>
      </c>
    </row>
    <row r="119" spans="1:9" ht="15" customHeight="1">
      <c r="A119" s="97">
        <v>40686</v>
      </c>
      <c r="B119" s="98">
        <v>0.52083333333333337</v>
      </c>
      <c r="C119" s="99">
        <v>40688</v>
      </c>
      <c r="D119" s="98">
        <v>0.52083333333333337</v>
      </c>
      <c r="E119" s="100" t="s">
        <v>2205</v>
      </c>
      <c r="F119" s="101" t="s">
        <v>63</v>
      </c>
      <c r="G119" s="100" t="s">
        <v>22</v>
      </c>
      <c r="H119" s="105" t="s">
        <v>2130</v>
      </c>
      <c r="I119" s="102">
        <v>70000</v>
      </c>
    </row>
    <row r="120" spans="1:9" ht="15" customHeight="1">
      <c r="A120" s="97">
        <v>40687</v>
      </c>
      <c r="B120" s="98">
        <v>0.69791666666666663</v>
      </c>
      <c r="C120" s="99">
        <v>40689</v>
      </c>
      <c r="D120" s="98">
        <v>0.70833333333333337</v>
      </c>
      <c r="E120" s="100" t="s">
        <v>2206</v>
      </c>
      <c r="F120" s="101" t="s">
        <v>58</v>
      </c>
      <c r="G120" s="100" t="s">
        <v>22</v>
      </c>
      <c r="H120" s="105" t="s">
        <v>2130</v>
      </c>
      <c r="I120" s="102">
        <v>54000</v>
      </c>
    </row>
    <row r="121" spans="1:9" ht="15" customHeight="1">
      <c r="A121" s="97">
        <v>40687</v>
      </c>
      <c r="B121" s="98">
        <v>0.69097222222222221</v>
      </c>
      <c r="C121" s="99">
        <v>40688</v>
      </c>
      <c r="D121" s="98">
        <v>0.52777777777777779</v>
      </c>
      <c r="E121" s="100" t="s">
        <v>2207</v>
      </c>
      <c r="F121" s="101" t="s">
        <v>63</v>
      </c>
      <c r="G121" s="100" t="s">
        <v>22</v>
      </c>
      <c r="H121" s="100">
        <v>790</v>
      </c>
      <c r="I121" s="102">
        <v>175000</v>
      </c>
    </row>
    <row r="122" spans="1:9" ht="20.100000000000001" customHeight="1">
      <c r="A122" s="97">
        <v>40687</v>
      </c>
      <c r="B122" s="98">
        <v>0.375</v>
      </c>
      <c r="C122" s="99">
        <v>40688</v>
      </c>
      <c r="D122" s="98">
        <v>0.38194444444444442</v>
      </c>
      <c r="E122" s="100" t="s">
        <v>478</v>
      </c>
      <c r="F122" s="101" t="s">
        <v>826</v>
      </c>
      <c r="G122" s="100" t="s">
        <v>2202</v>
      </c>
      <c r="H122" s="100">
        <v>0</v>
      </c>
      <c r="I122" s="102">
        <v>0</v>
      </c>
    </row>
    <row r="123" spans="1:9" ht="15" customHeight="1">
      <c r="A123" s="97">
        <v>40688</v>
      </c>
      <c r="B123" s="98">
        <v>0.92638888888888893</v>
      </c>
      <c r="C123" s="99">
        <v>40691</v>
      </c>
      <c r="D123" s="98">
        <v>0.45833333333333331</v>
      </c>
      <c r="E123" s="100" t="s">
        <v>2208</v>
      </c>
      <c r="F123" s="101" t="s">
        <v>826</v>
      </c>
      <c r="G123" s="100" t="s">
        <v>22</v>
      </c>
      <c r="H123" s="105">
        <v>200</v>
      </c>
      <c r="I123" s="102">
        <v>141000</v>
      </c>
    </row>
    <row r="124" spans="1:9" ht="15" customHeight="1">
      <c r="A124" s="97">
        <v>40689</v>
      </c>
      <c r="B124" s="98">
        <v>0.8305555555555556</v>
      </c>
      <c r="C124" s="99">
        <v>40690</v>
      </c>
      <c r="D124" s="98">
        <v>0.75</v>
      </c>
      <c r="E124" s="100" t="s">
        <v>2209</v>
      </c>
      <c r="F124" s="101" t="s">
        <v>826</v>
      </c>
      <c r="G124" s="100" t="s">
        <v>22</v>
      </c>
      <c r="H124" s="105">
        <v>150</v>
      </c>
      <c r="I124" s="102">
        <v>120001</v>
      </c>
    </row>
    <row r="125" spans="1:9" ht="15" customHeight="1">
      <c r="A125" s="97">
        <v>40689</v>
      </c>
      <c r="B125" s="98">
        <v>0.77083333333333337</v>
      </c>
      <c r="C125" s="99">
        <v>40691</v>
      </c>
      <c r="D125" s="98">
        <v>0.19722222222222222</v>
      </c>
      <c r="E125" s="100" t="s">
        <v>2210</v>
      </c>
      <c r="F125" s="101" t="s">
        <v>63</v>
      </c>
      <c r="G125" s="100" t="s">
        <v>22</v>
      </c>
      <c r="H125" s="105">
        <v>729</v>
      </c>
      <c r="I125" s="102">
        <v>218783</v>
      </c>
    </row>
    <row r="126" spans="1:9" ht="15" customHeight="1">
      <c r="A126" s="97">
        <v>40689</v>
      </c>
      <c r="B126" s="98">
        <v>4.1666666666666664E-2</v>
      </c>
      <c r="C126" s="99">
        <v>40689</v>
      </c>
      <c r="D126" s="98">
        <v>0.25</v>
      </c>
      <c r="E126" s="100" t="s">
        <v>2211</v>
      </c>
      <c r="F126" s="101" t="s">
        <v>63</v>
      </c>
      <c r="G126" s="100" t="s">
        <v>2212</v>
      </c>
      <c r="H126" s="105">
        <v>30</v>
      </c>
      <c r="I126" s="102">
        <v>10000</v>
      </c>
    </row>
    <row r="127" spans="1:9" ht="20.100000000000001" customHeight="1">
      <c r="A127" s="97">
        <v>40692</v>
      </c>
      <c r="B127" s="98">
        <v>0.77083333333333337</v>
      </c>
      <c r="C127" s="99">
        <v>40694</v>
      </c>
      <c r="D127" s="98">
        <v>0.91666666666666663</v>
      </c>
      <c r="E127" s="100" t="s">
        <v>2213</v>
      </c>
      <c r="F127" s="101" t="s">
        <v>826</v>
      </c>
      <c r="G127" s="100" t="s">
        <v>22</v>
      </c>
      <c r="H127" s="105">
        <v>250</v>
      </c>
      <c r="I127" s="102">
        <v>113000</v>
      </c>
    </row>
    <row r="128" spans="1:9" ht="15" hidden="1" customHeight="1">
      <c r="A128" s="816" t="s">
        <v>123</v>
      </c>
      <c r="B128" s="817"/>
      <c r="C128" s="84"/>
      <c r="D128" s="85"/>
      <c r="E128" s="84"/>
      <c r="F128" s="86"/>
      <c r="G128" s="84"/>
      <c r="H128" s="87"/>
      <c r="I128" s="88"/>
    </row>
    <row r="129" spans="1:9" ht="15" customHeight="1">
      <c r="A129" s="75">
        <v>40696</v>
      </c>
      <c r="B129" s="108">
        <v>0.98958333333333337</v>
      </c>
      <c r="C129" s="109">
        <v>40698</v>
      </c>
      <c r="D129" s="110">
        <v>0.66666666666666663</v>
      </c>
      <c r="E129" s="111" t="s">
        <v>2214</v>
      </c>
      <c r="F129" s="79" t="s">
        <v>63</v>
      </c>
      <c r="G129" s="111" t="s">
        <v>22</v>
      </c>
      <c r="H129" s="112">
        <v>0</v>
      </c>
      <c r="I129" s="113">
        <v>50465</v>
      </c>
    </row>
    <row r="130" spans="1:9" ht="15" customHeight="1">
      <c r="A130" s="97">
        <v>40698</v>
      </c>
      <c r="B130" s="98">
        <v>5.347222222222222E-2</v>
      </c>
      <c r="C130" s="99">
        <v>40698</v>
      </c>
      <c r="D130" s="98">
        <v>0.1423611111111111</v>
      </c>
      <c r="E130" s="100" t="s">
        <v>2215</v>
      </c>
      <c r="F130" s="101" t="s">
        <v>124</v>
      </c>
      <c r="G130" s="100" t="s">
        <v>100</v>
      </c>
      <c r="H130" s="105" t="s">
        <v>2130</v>
      </c>
      <c r="I130" s="102">
        <v>420</v>
      </c>
    </row>
    <row r="131" spans="1:9" ht="15" customHeight="1">
      <c r="A131" s="97">
        <v>40699</v>
      </c>
      <c r="B131" s="98">
        <v>0.22916666666666666</v>
      </c>
      <c r="C131" s="99">
        <v>40700</v>
      </c>
      <c r="D131" s="98">
        <v>6.25E-2</v>
      </c>
      <c r="E131" s="100" t="s">
        <v>2216</v>
      </c>
      <c r="F131" s="101" t="s">
        <v>1352</v>
      </c>
      <c r="G131" s="100" t="s">
        <v>106</v>
      </c>
      <c r="H131" s="105">
        <v>473</v>
      </c>
      <c r="I131" s="102">
        <v>78000</v>
      </c>
    </row>
    <row r="132" spans="1:9" ht="20.100000000000001" customHeight="1">
      <c r="A132" s="97">
        <v>40699</v>
      </c>
      <c r="B132" s="98">
        <v>0.83472222222222225</v>
      </c>
      <c r="C132" s="99">
        <v>40699</v>
      </c>
      <c r="D132" s="98">
        <v>0.87152777777777779</v>
      </c>
      <c r="E132" s="100" t="s">
        <v>2217</v>
      </c>
      <c r="F132" s="101" t="s">
        <v>124</v>
      </c>
      <c r="G132" s="100" t="s">
        <v>2037</v>
      </c>
      <c r="H132" s="105">
        <v>10</v>
      </c>
      <c r="I132" s="102">
        <v>5314</v>
      </c>
    </row>
    <row r="133" spans="1:9" ht="20.100000000000001" customHeight="1">
      <c r="A133" s="97">
        <v>40700</v>
      </c>
      <c r="B133" s="98">
        <v>9.0277777777777787E-3</v>
      </c>
      <c r="C133" s="99">
        <v>40700</v>
      </c>
      <c r="D133" s="98">
        <v>0.13541666666666666</v>
      </c>
      <c r="E133" s="100" t="s">
        <v>2218</v>
      </c>
      <c r="F133" s="101" t="s">
        <v>58</v>
      </c>
      <c r="G133" s="100" t="s">
        <v>2219</v>
      </c>
      <c r="H133" s="105">
        <v>450</v>
      </c>
      <c r="I133" s="102">
        <v>162000</v>
      </c>
    </row>
    <row r="134" spans="1:9" ht="20.100000000000001" customHeight="1">
      <c r="A134" s="97">
        <v>40700</v>
      </c>
      <c r="B134" s="98">
        <v>0.625</v>
      </c>
      <c r="C134" s="99">
        <v>40702</v>
      </c>
      <c r="D134" s="98">
        <v>0.625</v>
      </c>
      <c r="E134" s="100" t="s">
        <v>2220</v>
      </c>
      <c r="F134" s="101" t="s">
        <v>58</v>
      </c>
      <c r="G134" s="100" t="s">
        <v>2221</v>
      </c>
      <c r="H134" s="105" t="s">
        <v>2130</v>
      </c>
      <c r="I134" s="102">
        <v>13000</v>
      </c>
    </row>
    <row r="135" spans="1:9" ht="15" customHeight="1">
      <c r="A135" s="97">
        <v>40701</v>
      </c>
      <c r="B135" s="98">
        <v>0.58333333333333337</v>
      </c>
      <c r="C135" s="99">
        <v>40702</v>
      </c>
      <c r="D135" s="98">
        <v>0.25</v>
      </c>
      <c r="E135" s="100" t="s">
        <v>160</v>
      </c>
      <c r="F135" s="101" t="s">
        <v>826</v>
      </c>
      <c r="G135" s="100" t="s">
        <v>22</v>
      </c>
      <c r="H135" s="105" t="s">
        <v>2130</v>
      </c>
      <c r="I135" s="102">
        <v>52747</v>
      </c>
    </row>
    <row r="136" spans="1:9" ht="20.100000000000001" customHeight="1">
      <c r="A136" s="97">
        <v>40702</v>
      </c>
      <c r="B136" s="98">
        <v>0.54027777777777775</v>
      </c>
      <c r="C136" s="99">
        <v>40702</v>
      </c>
      <c r="D136" s="98">
        <v>0.54027777777777775</v>
      </c>
      <c r="E136" s="100" t="s">
        <v>2222</v>
      </c>
      <c r="F136" s="101" t="s">
        <v>124</v>
      </c>
      <c r="G136" s="100" t="s">
        <v>100</v>
      </c>
      <c r="H136" s="105" t="s">
        <v>255</v>
      </c>
      <c r="I136" s="102" t="s">
        <v>255</v>
      </c>
    </row>
    <row r="137" spans="1:9" ht="15" customHeight="1">
      <c r="A137" s="97">
        <v>40703</v>
      </c>
      <c r="B137" s="98">
        <v>0.1875</v>
      </c>
      <c r="C137" s="99">
        <v>40703</v>
      </c>
      <c r="D137" s="98">
        <v>0.5</v>
      </c>
      <c r="E137" s="100" t="s">
        <v>33</v>
      </c>
      <c r="F137" s="101" t="s">
        <v>826</v>
      </c>
      <c r="G137" s="100" t="s">
        <v>106</v>
      </c>
      <c r="H137" s="105" t="s">
        <v>2130</v>
      </c>
      <c r="I137" s="102">
        <v>169000</v>
      </c>
    </row>
    <row r="138" spans="1:9" ht="20.100000000000001" customHeight="1">
      <c r="A138" s="97">
        <v>40703</v>
      </c>
      <c r="B138" s="98">
        <v>0.59375</v>
      </c>
      <c r="C138" s="99">
        <v>40703</v>
      </c>
      <c r="D138" s="98">
        <v>0.59375</v>
      </c>
      <c r="E138" s="100" t="s">
        <v>2223</v>
      </c>
      <c r="F138" s="101" t="s">
        <v>124</v>
      </c>
      <c r="G138" s="100" t="s">
        <v>2150</v>
      </c>
      <c r="H138" s="105">
        <v>0</v>
      </c>
      <c r="I138" s="102">
        <v>0</v>
      </c>
    </row>
    <row r="139" spans="1:9" ht="20.100000000000001" customHeight="1">
      <c r="A139" s="97">
        <v>40703</v>
      </c>
      <c r="B139" s="98">
        <v>0.74375000000000002</v>
      </c>
      <c r="C139" s="99">
        <v>40704</v>
      </c>
      <c r="D139" s="98">
        <v>0.5</v>
      </c>
      <c r="E139" s="100" t="s">
        <v>2224</v>
      </c>
      <c r="F139" s="101" t="s">
        <v>61</v>
      </c>
      <c r="G139" s="100" t="s">
        <v>106</v>
      </c>
      <c r="H139" s="105">
        <v>0</v>
      </c>
      <c r="I139" s="102">
        <v>100000</v>
      </c>
    </row>
    <row r="140" spans="1:9" ht="15" customHeight="1">
      <c r="A140" s="97">
        <v>40706</v>
      </c>
      <c r="B140" s="98">
        <v>0.79166666666666663</v>
      </c>
      <c r="C140" s="99">
        <v>40706</v>
      </c>
      <c r="D140" s="98">
        <v>0.85416666666666663</v>
      </c>
      <c r="E140" s="100" t="s">
        <v>2004</v>
      </c>
      <c r="F140" s="101" t="s">
        <v>826</v>
      </c>
      <c r="G140" s="100" t="s">
        <v>106</v>
      </c>
      <c r="H140" s="105">
        <v>250</v>
      </c>
      <c r="I140" s="102">
        <v>56000</v>
      </c>
    </row>
    <row r="141" spans="1:9" ht="15" customHeight="1">
      <c r="A141" s="97">
        <v>40709</v>
      </c>
      <c r="B141" s="98">
        <v>0.66666666666666663</v>
      </c>
      <c r="C141" s="99">
        <v>40710</v>
      </c>
      <c r="D141" s="98">
        <v>0.27083333333333331</v>
      </c>
      <c r="E141" s="100" t="s">
        <v>2225</v>
      </c>
      <c r="F141" s="101" t="s">
        <v>124</v>
      </c>
      <c r="G141" s="100" t="s">
        <v>100</v>
      </c>
      <c r="H141" s="105" t="s">
        <v>255</v>
      </c>
      <c r="I141" s="102" t="s">
        <v>255</v>
      </c>
    </row>
    <row r="142" spans="1:9" ht="15" customHeight="1">
      <c r="A142" s="97">
        <v>40709</v>
      </c>
      <c r="B142" s="98">
        <v>0.80208333333333337</v>
      </c>
      <c r="C142" s="99">
        <v>40710</v>
      </c>
      <c r="D142" s="98">
        <v>0.25</v>
      </c>
      <c r="E142" s="100" t="s">
        <v>361</v>
      </c>
      <c r="F142" s="101" t="s">
        <v>63</v>
      </c>
      <c r="G142" s="100" t="s">
        <v>106</v>
      </c>
      <c r="H142" s="105">
        <v>563</v>
      </c>
      <c r="I142" s="102">
        <v>169000</v>
      </c>
    </row>
    <row r="143" spans="1:9" ht="15" customHeight="1">
      <c r="A143" s="97">
        <v>40709</v>
      </c>
      <c r="B143" s="98">
        <v>0.80347222222222225</v>
      </c>
      <c r="C143" s="99">
        <v>40710</v>
      </c>
      <c r="D143" s="98">
        <v>7.2916666666666671E-2</v>
      </c>
      <c r="E143" s="100" t="s">
        <v>76</v>
      </c>
      <c r="F143" s="101" t="s">
        <v>63</v>
      </c>
      <c r="G143" s="100" t="s">
        <v>106</v>
      </c>
      <c r="H143" s="105">
        <v>300</v>
      </c>
      <c r="I143" s="102">
        <v>70135</v>
      </c>
    </row>
    <row r="144" spans="1:9" ht="15" customHeight="1">
      <c r="A144" s="97">
        <v>40712</v>
      </c>
      <c r="B144" s="98">
        <v>0.64583333333333337</v>
      </c>
      <c r="C144" s="99">
        <v>40713</v>
      </c>
      <c r="D144" s="98">
        <v>0.65416666666666667</v>
      </c>
      <c r="E144" s="100" t="s">
        <v>2226</v>
      </c>
      <c r="F144" s="101" t="s">
        <v>63</v>
      </c>
      <c r="G144" s="100" t="s">
        <v>106</v>
      </c>
      <c r="H144" s="105">
        <v>312</v>
      </c>
      <c r="I144" s="102">
        <v>93828</v>
      </c>
    </row>
    <row r="145" spans="1:9" ht="20.100000000000001" customHeight="1">
      <c r="A145" s="97">
        <v>40712</v>
      </c>
      <c r="B145" s="98">
        <v>0.69791666666666663</v>
      </c>
      <c r="C145" s="99">
        <v>40714</v>
      </c>
      <c r="D145" s="98">
        <v>0.99930555555555556</v>
      </c>
      <c r="E145" s="100" t="s">
        <v>2220</v>
      </c>
      <c r="F145" s="101" t="s">
        <v>58</v>
      </c>
      <c r="G145" s="100" t="s">
        <v>2221</v>
      </c>
      <c r="H145" s="105" t="s">
        <v>2130</v>
      </c>
      <c r="I145" s="102" t="s">
        <v>2130</v>
      </c>
    </row>
    <row r="146" spans="1:9" ht="15" customHeight="1">
      <c r="A146" s="97">
        <v>40712</v>
      </c>
      <c r="B146" s="98">
        <v>0.70833333333333337</v>
      </c>
      <c r="C146" s="99">
        <v>40712</v>
      </c>
      <c r="D146" s="98">
        <v>0.8979166666666667</v>
      </c>
      <c r="E146" s="100" t="s">
        <v>2227</v>
      </c>
      <c r="F146" s="101" t="s">
        <v>63</v>
      </c>
      <c r="G146" s="100" t="s">
        <v>106</v>
      </c>
      <c r="H146" s="105">
        <v>300</v>
      </c>
      <c r="I146" s="102">
        <v>70000</v>
      </c>
    </row>
    <row r="147" spans="1:9" ht="15" customHeight="1">
      <c r="A147" s="97">
        <v>40714</v>
      </c>
      <c r="B147" s="98">
        <v>0.44166666666666665</v>
      </c>
      <c r="C147" s="99">
        <v>40714</v>
      </c>
      <c r="D147" s="98">
        <v>0.44166666666666665</v>
      </c>
      <c r="E147" s="100" t="s">
        <v>2228</v>
      </c>
      <c r="F147" s="101" t="s">
        <v>124</v>
      </c>
      <c r="G147" s="100" t="s">
        <v>100</v>
      </c>
      <c r="H147" s="105">
        <v>0</v>
      </c>
      <c r="I147" s="102">
        <v>0</v>
      </c>
    </row>
    <row r="148" spans="1:9" ht="15" customHeight="1">
      <c r="A148" s="97">
        <v>40715</v>
      </c>
      <c r="B148" s="98">
        <v>0.77083333333333337</v>
      </c>
      <c r="C148" s="99">
        <v>40716</v>
      </c>
      <c r="D148" s="98">
        <v>0.29166666666666669</v>
      </c>
      <c r="E148" s="100" t="s">
        <v>2229</v>
      </c>
      <c r="F148" s="101" t="s">
        <v>826</v>
      </c>
      <c r="G148" s="100" t="s">
        <v>22</v>
      </c>
      <c r="H148" s="105" t="s">
        <v>2130</v>
      </c>
      <c r="I148" s="102">
        <v>56000</v>
      </c>
    </row>
    <row r="149" spans="1:9" ht="15" customHeight="1">
      <c r="A149" s="97">
        <v>40715</v>
      </c>
      <c r="B149" s="98">
        <v>0.90625</v>
      </c>
      <c r="C149" s="99">
        <v>40717</v>
      </c>
      <c r="D149" s="98">
        <v>8.3333333333333329E-2</v>
      </c>
      <c r="E149" s="100" t="s">
        <v>33</v>
      </c>
      <c r="F149" s="101" t="s">
        <v>826</v>
      </c>
      <c r="G149" s="100" t="s">
        <v>106</v>
      </c>
      <c r="H149" s="105" t="s">
        <v>2130</v>
      </c>
      <c r="I149" s="102">
        <v>300000</v>
      </c>
    </row>
    <row r="150" spans="1:9" ht="15" customHeight="1">
      <c r="A150" s="97">
        <v>40716</v>
      </c>
      <c r="B150" s="98">
        <v>0.4069444444444445</v>
      </c>
      <c r="C150" s="99">
        <v>40716</v>
      </c>
      <c r="D150" s="98">
        <v>0.4069444444444445</v>
      </c>
      <c r="E150" s="100" t="s">
        <v>2230</v>
      </c>
      <c r="F150" s="101" t="s">
        <v>63</v>
      </c>
      <c r="G150" s="100" t="s">
        <v>22</v>
      </c>
      <c r="H150" s="105" t="s">
        <v>2130</v>
      </c>
      <c r="I150" s="102">
        <v>106300</v>
      </c>
    </row>
    <row r="151" spans="1:9" ht="15" customHeight="1">
      <c r="A151" s="97">
        <v>40716</v>
      </c>
      <c r="B151" s="98">
        <v>0.79166666666666663</v>
      </c>
      <c r="C151" s="99">
        <v>40717</v>
      </c>
      <c r="D151" s="98">
        <v>4.1666666666666664E-2</v>
      </c>
      <c r="E151" s="100" t="s">
        <v>2231</v>
      </c>
      <c r="F151" s="101" t="s">
        <v>63</v>
      </c>
      <c r="G151" s="100" t="s">
        <v>106</v>
      </c>
      <c r="H151" s="105">
        <v>316</v>
      </c>
      <c r="I151" s="102">
        <v>75101</v>
      </c>
    </row>
    <row r="152" spans="1:9" ht="20.100000000000001" customHeight="1">
      <c r="A152" s="97">
        <v>40716</v>
      </c>
      <c r="B152" s="98">
        <v>0.84166666666666667</v>
      </c>
      <c r="C152" s="99">
        <v>40716</v>
      </c>
      <c r="D152" s="98">
        <v>0.84166666666666667</v>
      </c>
      <c r="E152" s="100" t="s">
        <v>2232</v>
      </c>
      <c r="F152" s="101" t="s">
        <v>124</v>
      </c>
      <c r="G152" s="100" t="s">
        <v>100</v>
      </c>
      <c r="H152" s="105">
        <v>0</v>
      </c>
      <c r="I152" s="102">
        <v>0</v>
      </c>
    </row>
    <row r="153" spans="1:9" ht="15" customHeight="1">
      <c r="A153" s="97">
        <v>40717</v>
      </c>
      <c r="B153" s="98">
        <v>0.34027777777777773</v>
      </c>
      <c r="C153" s="99">
        <v>40717</v>
      </c>
      <c r="D153" s="98">
        <v>0.375</v>
      </c>
      <c r="E153" s="100" t="s">
        <v>2233</v>
      </c>
      <c r="F153" s="101" t="s">
        <v>61</v>
      </c>
      <c r="G153" s="100" t="s">
        <v>100</v>
      </c>
      <c r="H153" s="105">
        <v>0</v>
      </c>
      <c r="I153" s="102">
        <v>0</v>
      </c>
    </row>
    <row r="154" spans="1:9" ht="20.100000000000001" customHeight="1">
      <c r="A154" s="97">
        <v>40718</v>
      </c>
      <c r="B154" s="98">
        <v>0.77083333333333337</v>
      </c>
      <c r="C154" s="99">
        <v>40719</v>
      </c>
      <c r="D154" s="98">
        <v>6.25E-2</v>
      </c>
      <c r="E154" s="100" t="s">
        <v>2234</v>
      </c>
      <c r="F154" s="101" t="s">
        <v>63</v>
      </c>
      <c r="G154" s="100" t="s">
        <v>106</v>
      </c>
      <c r="H154" s="105">
        <v>340</v>
      </c>
      <c r="I154" s="102">
        <v>102275</v>
      </c>
    </row>
    <row r="155" spans="1:9" ht="20.100000000000001" customHeight="1">
      <c r="A155" s="97">
        <v>40720</v>
      </c>
      <c r="B155" s="98">
        <v>0.69861111111111107</v>
      </c>
      <c r="C155" s="99">
        <v>40721</v>
      </c>
      <c r="D155" s="98">
        <v>0.33263888888888887</v>
      </c>
      <c r="E155" s="100" t="s">
        <v>2235</v>
      </c>
      <c r="F155" s="101" t="s">
        <v>58</v>
      </c>
      <c r="G155" s="100" t="s">
        <v>2221</v>
      </c>
      <c r="H155" s="105" t="s">
        <v>2130</v>
      </c>
      <c r="I155" s="102" t="s">
        <v>2130</v>
      </c>
    </row>
    <row r="156" spans="1:9" ht="15" customHeight="1">
      <c r="A156" s="97">
        <v>40720</v>
      </c>
      <c r="B156" s="98">
        <v>0.75</v>
      </c>
      <c r="C156" s="99">
        <v>40721</v>
      </c>
      <c r="D156" s="98">
        <v>0.54166666666666663</v>
      </c>
      <c r="E156" s="100" t="s">
        <v>2231</v>
      </c>
      <c r="F156" s="101" t="s">
        <v>63</v>
      </c>
      <c r="G156" s="100" t="s">
        <v>106</v>
      </c>
      <c r="H156" s="105">
        <v>300</v>
      </c>
      <c r="I156" s="102">
        <v>90160</v>
      </c>
    </row>
    <row r="157" spans="1:9" ht="15" customHeight="1">
      <c r="A157" s="97">
        <v>40721</v>
      </c>
      <c r="B157" s="98">
        <v>0</v>
      </c>
      <c r="C157" s="99">
        <v>40723</v>
      </c>
      <c r="D157" s="114">
        <v>4.1666666666666664E-2</v>
      </c>
      <c r="E157" s="100" t="s">
        <v>2236</v>
      </c>
      <c r="F157" s="101" t="s">
        <v>63</v>
      </c>
      <c r="G157" s="100" t="s">
        <v>106</v>
      </c>
      <c r="H157" s="105" t="s">
        <v>2130</v>
      </c>
      <c r="I157" s="102">
        <v>80000</v>
      </c>
    </row>
    <row r="158" spans="1:9" ht="20.100000000000001" customHeight="1">
      <c r="A158" s="97">
        <v>40721</v>
      </c>
      <c r="B158" s="98">
        <v>0.625</v>
      </c>
      <c r="C158" s="99">
        <v>40721</v>
      </c>
      <c r="D158" s="98">
        <v>0.79166666666666663</v>
      </c>
      <c r="E158" s="100" t="s">
        <v>166</v>
      </c>
      <c r="F158" s="101" t="s">
        <v>1352</v>
      </c>
      <c r="G158" s="100" t="s">
        <v>2221</v>
      </c>
      <c r="H158" s="105">
        <v>0</v>
      </c>
      <c r="I158" s="102">
        <v>0</v>
      </c>
    </row>
    <row r="159" spans="1:9" ht="20.100000000000001" customHeight="1">
      <c r="A159" s="97">
        <v>40721</v>
      </c>
      <c r="B159" s="98">
        <v>0.78819444444444453</v>
      </c>
      <c r="C159" s="99">
        <v>40721</v>
      </c>
      <c r="D159" s="98">
        <v>0.78819444444444453</v>
      </c>
      <c r="E159" s="100" t="s">
        <v>2237</v>
      </c>
      <c r="F159" s="101" t="s">
        <v>124</v>
      </c>
      <c r="G159" s="100" t="s">
        <v>100</v>
      </c>
      <c r="H159" s="105" t="s">
        <v>2130</v>
      </c>
      <c r="I159" s="102" t="s">
        <v>2130</v>
      </c>
    </row>
    <row r="160" spans="1:9" ht="20.100000000000001" customHeight="1">
      <c r="A160" s="97">
        <v>40723</v>
      </c>
      <c r="B160" s="98">
        <v>0.47916666666666669</v>
      </c>
      <c r="C160" s="99">
        <v>40723</v>
      </c>
      <c r="D160" s="98">
        <v>0.75277777777777777</v>
      </c>
      <c r="E160" s="100" t="s">
        <v>2238</v>
      </c>
      <c r="F160" s="101" t="s">
        <v>58</v>
      </c>
      <c r="G160" s="100" t="s">
        <v>2221</v>
      </c>
      <c r="H160" s="105">
        <v>0</v>
      </c>
      <c r="I160" s="102">
        <v>0</v>
      </c>
    </row>
    <row r="161" spans="1:9" ht="20.100000000000001" customHeight="1">
      <c r="A161" s="97">
        <v>40724</v>
      </c>
      <c r="B161" s="98">
        <v>0.59097222222222223</v>
      </c>
      <c r="C161" s="99">
        <v>40724</v>
      </c>
      <c r="D161" s="98">
        <v>0.97569444444444453</v>
      </c>
      <c r="E161" s="100" t="s">
        <v>137</v>
      </c>
      <c r="F161" s="101" t="s">
        <v>124</v>
      </c>
      <c r="G161" s="100" t="s">
        <v>2239</v>
      </c>
      <c r="H161" s="105">
        <v>5299</v>
      </c>
      <c r="I161" s="102">
        <v>160000</v>
      </c>
    </row>
    <row r="162" spans="1:9" ht="15" customHeight="1">
      <c r="A162" s="97">
        <v>40724</v>
      </c>
      <c r="B162" s="98">
        <v>0.9375</v>
      </c>
      <c r="C162" s="99">
        <v>40725</v>
      </c>
      <c r="D162" s="98">
        <v>0.70833333333333337</v>
      </c>
      <c r="E162" s="100" t="s">
        <v>33</v>
      </c>
      <c r="F162" s="101" t="s">
        <v>826</v>
      </c>
      <c r="G162" s="100" t="s">
        <v>22</v>
      </c>
      <c r="H162" s="105" t="s">
        <v>2130</v>
      </c>
      <c r="I162" s="102">
        <v>121000</v>
      </c>
    </row>
    <row r="163" spans="1:9" ht="20.100000000000001" customHeight="1">
      <c r="A163" s="97">
        <v>40724</v>
      </c>
      <c r="B163" s="98">
        <v>0.93819444444444444</v>
      </c>
      <c r="C163" s="99">
        <v>40724</v>
      </c>
      <c r="D163" s="98">
        <v>0.93819444444444444</v>
      </c>
      <c r="E163" s="100" t="s">
        <v>2237</v>
      </c>
      <c r="F163" s="101" t="s">
        <v>124</v>
      </c>
      <c r="G163" s="100" t="s">
        <v>100</v>
      </c>
      <c r="H163" s="105">
        <v>0</v>
      </c>
      <c r="I163" s="102">
        <v>0</v>
      </c>
    </row>
    <row r="164" spans="1:9" ht="15" hidden="1" customHeight="1">
      <c r="A164" s="816" t="s">
        <v>26</v>
      </c>
      <c r="B164" s="817"/>
      <c r="C164" s="84"/>
      <c r="D164" s="85"/>
      <c r="E164" s="84"/>
      <c r="F164" s="86"/>
      <c r="G164" s="84"/>
      <c r="H164" s="87"/>
      <c r="I164" s="88"/>
    </row>
    <row r="165" spans="1:9" ht="20.100000000000001" customHeight="1">
      <c r="A165" s="97">
        <v>40725</v>
      </c>
      <c r="B165" s="98">
        <v>0.33333333333333331</v>
      </c>
      <c r="C165" s="99">
        <v>40725</v>
      </c>
      <c r="D165" s="98">
        <v>0.33402777777777781</v>
      </c>
      <c r="E165" s="100" t="s">
        <v>2240</v>
      </c>
      <c r="F165" s="101" t="s">
        <v>61</v>
      </c>
      <c r="G165" s="105" t="s">
        <v>100</v>
      </c>
      <c r="H165" s="100">
        <v>0</v>
      </c>
      <c r="I165" s="102">
        <v>0</v>
      </c>
    </row>
    <row r="166" spans="1:9" ht="15" customHeight="1">
      <c r="A166" s="97">
        <v>40725</v>
      </c>
      <c r="B166" s="98">
        <v>0.69305555555555554</v>
      </c>
      <c r="C166" s="99">
        <v>40725</v>
      </c>
      <c r="D166" s="98">
        <v>0.94305555555555554</v>
      </c>
      <c r="E166" s="100" t="s">
        <v>2241</v>
      </c>
      <c r="F166" s="101" t="s">
        <v>826</v>
      </c>
      <c r="G166" s="100" t="s">
        <v>100</v>
      </c>
      <c r="H166" s="100" t="s">
        <v>255</v>
      </c>
      <c r="I166" s="103">
        <v>0</v>
      </c>
    </row>
    <row r="167" spans="1:9" ht="20.100000000000001" customHeight="1">
      <c r="A167" s="97">
        <v>40725</v>
      </c>
      <c r="B167" s="98">
        <v>0.70833333333333337</v>
      </c>
      <c r="C167" s="99">
        <v>40727</v>
      </c>
      <c r="D167" s="98">
        <v>0.83333333333333337</v>
      </c>
      <c r="E167" s="100" t="s">
        <v>2242</v>
      </c>
      <c r="F167" s="101" t="s">
        <v>674</v>
      </c>
      <c r="G167" s="105" t="s">
        <v>22</v>
      </c>
      <c r="H167" s="100" t="s">
        <v>2130</v>
      </c>
      <c r="I167" s="102">
        <v>70000</v>
      </c>
    </row>
    <row r="168" spans="1:9" ht="20.100000000000001" customHeight="1">
      <c r="A168" s="97">
        <v>40726</v>
      </c>
      <c r="B168" s="98">
        <v>0.84375</v>
      </c>
      <c r="C168" s="99">
        <v>40730</v>
      </c>
      <c r="D168" s="98">
        <v>0.91666666666666663</v>
      </c>
      <c r="E168" s="100" t="s">
        <v>2243</v>
      </c>
      <c r="F168" s="101" t="s">
        <v>826</v>
      </c>
      <c r="G168" s="105" t="s">
        <v>22</v>
      </c>
      <c r="H168" s="100" t="s">
        <v>2130</v>
      </c>
      <c r="I168" s="102">
        <v>182000</v>
      </c>
    </row>
    <row r="169" spans="1:9" ht="15" customHeight="1">
      <c r="A169" s="97">
        <v>40728</v>
      </c>
      <c r="B169" s="98">
        <v>0.75</v>
      </c>
      <c r="C169" s="99">
        <v>40728</v>
      </c>
      <c r="D169" s="98">
        <v>0.875</v>
      </c>
      <c r="E169" s="100" t="s">
        <v>2004</v>
      </c>
      <c r="F169" s="101" t="s">
        <v>63</v>
      </c>
      <c r="G169" s="105" t="s">
        <v>22</v>
      </c>
      <c r="H169" s="100">
        <v>150</v>
      </c>
      <c r="I169" s="102">
        <v>51580</v>
      </c>
    </row>
    <row r="170" spans="1:9" ht="15" customHeight="1">
      <c r="A170" s="97">
        <v>40729</v>
      </c>
      <c r="B170" s="98">
        <v>0.44444444444444442</v>
      </c>
      <c r="C170" s="99">
        <v>40729</v>
      </c>
      <c r="D170" s="98">
        <v>0.48402777777777778</v>
      </c>
      <c r="E170" s="100" t="s">
        <v>2244</v>
      </c>
      <c r="F170" s="101" t="s">
        <v>124</v>
      </c>
      <c r="G170" s="105" t="s">
        <v>100</v>
      </c>
      <c r="H170" s="100">
        <v>0</v>
      </c>
      <c r="I170" s="102">
        <v>0</v>
      </c>
    </row>
    <row r="171" spans="1:9" ht="15" customHeight="1">
      <c r="A171" s="97">
        <v>40730</v>
      </c>
      <c r="B171" s="98">
        <v>0.41041666666666665</v>
      </c>
      <c r="C171" s="99">
        <v>40730</v>
      </c>
      <c r="D171" s="98">
        <v>0.41111111111111115</v>
      </c>
      <c r="E171" s="100" t="s">
        <v>2245</v>
      </c>
      <c r="F171" s="101" t="s">
        <v>61</v>
      </c>
      <c r="G171" s="105" t="s">
        <v>100</v>
      </c>
      <c r="H171" s="100" t="s">
        <v>255</v>
      </c>
      <c r="I171" s="102" t="s">
        <v>255</v>
      </c>
    </row>
    <row r="172" spans="1:9" ht="15" customHeight="1">
      <c r="A172" s="97">
        <v>40732</v>
      </c>
      <c r="B172" s="98">
        <v>0.41666666666666669</v>
      </c>
      <c r="C172" s="99">
        <v>40732</v>
      </c>
      <c r="D172" s="98">
        <v>0.41666666666666669</v>
      </c>
      <c r="E172" s="100" t="s">
        <v>2246</v>
      </c>
      <c r="F172" s="101" t="s">
        <v>674</v>
      </c>
      <c r="G172" s="105" t="s">
        <v>100</v>
      </c>
      <c r="H172" s="100">
        <v>0</v>
      </c>
      <c r="I172" s="102">
        <v>0</v>
      </c>
    </row>
    <row r="173" spans="1:9" ht="20.100000000000001" customHeight="1">
      <c r="A173" s="97">
        <v>40732</v>
      </c>
      <c r="B173" s="98">
        <v>0.41666666666666669</v>
      </c>
      <c r="C173" s="99">
        <v>40735</v>
      </c>
      <c r="D173" s="98">
        <v>0.375</v>
      </c>
      <c r="E173" s="100" t="s">
        <v>2247</v>
      </c>
      <c r="F173" s="101" t="s">
        <v>826</v>
      </c>
      <c r="G173" s="105" t="s">
        <v>2139</v>
      </c>
      <c r="H173" s="100" t="s">
        <v>2130</v>
      </c>
      <c r="I173" s="102" t="s">
        <v>2130</v>
      </c>
    </row>
    <row r="174" spans="1:9" ht="15" customHeight="1">
      <c r="A174" s="97">
        <v>40735</v>
      </c>
      <c r="B174" s="98">
        <v>0.375</v>
      </c>
      <c r="C174" s="99">
        <v>40735</v>
      </c>
      <c r="D174" s="98">
        <v>0.375</v>
      </c>
      <c r="E174" s="100" t="s">
        <v>33</v>
      </c>
      <c r="F174" s="101" t="s">
        <v>826</v>
      </c>
      <c r="G174" s="105" t="s">
        <v>22</v>
      </c>
      <c r="H174" s="100" t="s">
        <v>2130</v>
      </c>
      <c r="I174" s="102">
        <v>500000</v>
      </c>
    </row>
    <row r="175" spans="1:9" ht="20.100000000000001" customHeight="1">
      <c r="A175" s="97">
        <v>40735</v>
      </c>
      <c r="B175" s="98">
        <v>0.375</v>
      </c>
      <c r="C175" s="99">
        <v>40735</v>
      </c>
      <c r="D175" s="98">
        <v>0.43402777777777773</v>
      </c>
      <c r="E175" s="100" t="s">
        <v>1833</v>
      </c>
      <c r="F175" s="101" t="s">
        <v>826</v>
      </c>
      <c r="G175" s="105" t="s">
        <v>22</v>
      </c>
      <c r="H175" s="100">
        <v>254</v>
      </c>
      <c r="I175" s="102">
        <v>103000</v>
      </c>
    </row>
    <row r="176" spans="1:9" ht="20.100000000000001" customHeight="1">
      <c r="A176" s="97">
        <v>40735</v>
      </c>
      <c r="B176" s="98">
        <v>0.46875</v>
      </c>
      <c r="C176" s="99">
        <v>40736</v>
      </c>
      <c r="D176" s="98">
        <v>0.34375</v>
      </c>
      <c r="E176" s="100" t="s">
        <v>2248</v>
      </c>
      <c r="F176" s="101" t="s">
        <v>826</v>
      </c>
      <c r="G176" s="105" t="s">
        <v>22</v>
      </c>
      <c r="H176" s="100" t="s">
        <v>2130</v>
      </c>
      <c r="I176" s="102">
        <v>85000</v>
      </c>
    </row>
    <row r="177" spans="1:9" ht="15" customHeight="1">
      <c r="A177" s="97">
        <v>40735</v>
      </c>
      <c r="B177" s="98">
        <v>0.55069444444444449</v>
      </c>
      <c r="C177" s="99">
        <v>40735</v>
      </c>
      <c r="D177" s="98">
        <v>0.55069444444444449</v>
      </c>
      <c r="E177" s="100" t="s">
        <v>1472</v>
      </c>
      <c r="F177" s="101" t="s">
        <v>826</v>
      </c>
      <c r="G177" s="105" t="s">
        <v>100</v>
      </c>
      <c r="H177" s="100">
        <v>0</v>
      </c>
      <c r="I177" s="102">
        <v>0</v>
      </c>
    </row>
    <row r="178" spans="1:9" ht="15" customHeight="1">
      <c r="A178" s="97">
        <v>40735</v>
      </c>
      <c r="B178" s="98">
        <v>0.5625</v>
      </c>
      <c r="C178" s="99">
        <v>40735</v>
      </c>
      <c r="D178" s="98">
        <v>0.5625</v>
      </c>
      <c r="E178" s="100" t="s">
        <v>2079</v>
      </c>
      <c r="F178" s="101" t="s">
        <v>61</v>
      </c>
      <c r="G178" s="100" t="s">
        <v>100</v>
      </c>
      <c r="H178" s="100" t="s">
        <v>255</v>
      </c>
      <c r="I178" s="103">
        <v>0</v>
      </c>
    </row>
    <row r="179" spans="1:9" ht="15" customHeight="1">
      <c r="A179" s="97">
        <v>40735</v>
      </c>
      <c r="B179" s="98">
        <v>0.6020833333333333</v>
      </c>
      <c r="C179" s="99">
        <v>40736</v>
      </c>
      <c r="D179" s="98">
        <v>0.65972222222222221</v>
      </c>
      <c r="E179" s="100" t="s">
        <v>2249</v>
      </c>
      <c r="F179" s="101" t="s">
        <v>826</v>
      </c>
      <c r="G179" s="105" t="s">
        <v>22</v>
      </c>
      <c r="H179" s="100" t="s">
        <v>2130</v>
      </c>
      <c r="I179" s="102">
        <v>120000</v>
      </c>
    </row>
    <row r="180" spans="1:9" ht="15" customHeight="1">
      <c r="A180" s="97">
        <v>40736</v>
      </c>
      <c r="B180" s="98">
        <v>0.5</v>
      </c>
      <c r="C180" s="99">
        <v>40736</v>
      </c>
      <c r="D180" s="98">
        <v>0.5</v>
      </c>
      <c r="E180" s="100" t="s">
        <v>2079</v>
      </c>
      <c r="F180" s="101" t="s">
        <v>61</v>
      </c>
      <c r="G180" s="105" t="s">
        <v>100</v>
      </c>
      <c r="H180" s="100" t="s">
        <v>255</v>
      </c>
      <c r="I180" s="102">
        <v>0</v>
      </c>
    </row>
    <row r="181" spans="1:9" ht="15" customHeight="1">
      <c r="A181" s="97">
        <v>40736</v>
      </c>
      <c r="B181" s="98">
        <v>0.84722222222222221</v>
      </c>
      <c r="C181" s="99">
        <v>40736</v>
      </c>
      <c r="D181" s="98">
        <v>0.89583333333333337</v>
      </c>
      <c r="E181" s="100" t="s">
        <v>18</v>
      </c>
      <c r="F181" s="101" t="s">
        <v>124</v>
      </c>
      <c r="G181" s="105" t="s">
        <v>2150</v>
      </c>
      <c r="H181" s="100" t="s">
        <v>2130</v>
      </c>
      <c r="I181" s="102" t="s">
        <v>2130</v>
      </c>
    </row>
    <row r="182" spans="1:9" ht="20.100000000000001" customHeight="1">
      <c r="A182" s="97">
        <v>40737</v>
      </c>
      <c r="B182" s="98">
        <v>0.72152777777777777</v>
      </c>
      <c r="C182" s="99">
        <v>40737</v>
      </c>
      <c r="D182" s="98">
        <v>0.91875000000000007</v>
      </c>
      <c r="E182" s="100" t="s">
        <v>2250</v>
      </c>
      <c r="F182" s="101" t="s">
        <v>124</v>
      </c>
      <c r="G182" s="105" t="s">
        <v>905</v>
      </c>
      <c r="H182" s="100">
        <v>580</v>
      </c>
      <c r="I182" s="102" t="s">
        <v>255</v>
      </c>
    </row>
    <row r="183" spans="1:9" ht="20.100000000000001" customHeight="1">
      <c r="A183" s="97">
        <v>40738</v>
      </c>
      <c r="B183" s="98">
        <v>0.45833333333333331</v>
      </c>
      <c r="C183" s="99">
        <v>40738</v>
      </c>
      <c r="D183" s="98">
        <v>0.79166666666666663</v>
      </c>
      <c r="E183" s="100" t="s">
        <v>166</v>
      </c>
      <c r="F183" s="101" t="s">
        <v>1352</v>
      </c>
      <c r="G183" s="105" t="s">
        <v>2221</v>
      </c>
      <c r="H183" s="100">
        <v>0</v>
      </c>
      <c r="I183" s="102">
        <v>0</v>
      </c>
    </row>
    <row r="184" spans="1:9" ht="20.100000000000001" customHeight="1">
      <c r="A184" s="97">
        <v>40742</v>
      </c>
      <c r="B184" s="98">
        <v>0.70833333333333337</v>
      </c>
      <c r="C184" s="99">
        <v>40748</v>
      </c>
      <c r="D184" s="98">
        <v>0.5625</v>
      </c>
      <c r="E184" s="100" t="s">
        <v>420</v>
      </c>
      <c r="F184" s="101" t="s">
        <v>826</v>
      </c>
      <c r="G184" s="105" t="s">
        <v>22</v>
      </c>
      <c r="H184" s="100" t="s">
        <v>255</v>
      </c>
      <c r="I184" s="102">
        <v>197166</v>
      </c>
    </row>
    <row r="185" spans="1:9" ht="15" customHeight="1">
      <c r="A185" s="97">
        <v>40743</v>
      </c>
      <c r="B185" s="98">
        <v>0.48958333333333331</v>
      </c>
      <c r="C185" s="99">
        <v>40743</v>
      </c>
      <c r="D185" s="98">
        <v>0.625</v>
      </c>
      <c r="E185" s="100" t="s">
        <v>2079</v>
      </c>
      <c r="F185" s="101" t="s">
        <v>61</v>
      </c>
      <c r="G185" s="105" t="s">
        <v>100</v>
      </c>
      <c r="H185" s="100" t="s">
        <v>255</v>
      </c>
      <c r="I185" s="102" t="s">
        <v>255</v>
      </c>
    </row>
    <row r="186" spans="1:9" ht="20.100000000000001" customHeight="1">
      <c r="A186" s="97">
        <v>40744</v>
      </c>
      <c r="B186" s="98">
        <v>0.38194444444444442</v>
      </c>
      <c r="C186" s="99">
        <v>40744</v>
      </c>
      <c r="D186" s="98">
        <v>0.6875</v>
      </c>
      <c r="E186" s="100" t="s">
        <v>2251</v>
      </c>
      <c r="F186" s="101" t="s">
        <v>124</v>
      </c>
      <c r="G186" s="105" t="s">
        <v>100</v>
      </c>
      <c r="H186" s="100" t="s">
        <v>255</v>
      </c>
      <c r="I186" s="102" t="s">
        <v>255</v>
      </c>
    </row>
    <row r="187" spans="1:9" ht="20.100000000000001" customHeight="1">
      <c r="A187" s="97">
        <v>40745</v>
      </c>
      <c r="B187" s="98">
        <v>0.52222222222222225</v>
      </c>
      <c r="C187" s="99">
        <v>40746</v>
      </c>
      <c r="D187" s="98">
        <v>0.27083333333333331</v>
      </c>
      <c r="E187" s="100" t="s">
        <v>2252</v>
      </c>
      <c r="F187" s="101" t="s">
        <v>826</v>
      </c>
      <c r="G187" s="105" t="s">
        <v>2221</v>
      </c>
      <c r="H187" s="105">
        <v>8881</v>
      </c>
      <c r="I187" s="102" t="s">
        <v>255</v>
      </c>
    </row>
    <row r="188" spans="1:9" ht="20.100000000000001" customHeight="1">
      <c r="A188" s="97">
        <v>40745</v>
      </c>
      <c r="B188" s="98">
        <v>0.54166666666666663</v>
      </c>
      <c r="C188" s="99">
        <v>40745</v>
      </c>
      <c r="D188" s="98">
        <v>0.625</v>
      </c>
      <c r="E188" s="100" t="s">
        <v>2253</v>
      </c>
      <c r="F188" s="101" t="s">
        <v>63</v>
      </c>
      <c r="G188" s="105" t="s">
        <v>2221</v>
      </c>
      <c r="H188" s="100" t="s">
        <v>255</v>
      </c>
      <c r="I188" s="102" t="s">
        <v>255</v>
      </c>
    </row>
    <row r="189" spans="1:9" ht="20.100000000000001" customHeight="1">
      <c r="A189" s="97">
        <v>40746</v>
      </c>
      <c r="B189" s="98">
        <v>0.45833333333333331</v>
      </c>
      <c r="C189" s="99">
        <v>40746</v>
      </c>
      <c r="D189" s="98">
        <v>0.75</v>
      </c>
      <c r="E189" s="100" t="s">
        <v>2254</v>
      </c>
      <c r="F189" s="101" t="s">
        <v>61</v>
      </c>
      <c r="G189" s="105" t="s">
        <v>2221</v>
      </c>
      <c r="H189" s="100" t="s">
        <v>255</v>
      </c>
      <c r="I189" s="102" t="s">
        <v>255</v>
      </c>
    </row>
    <row r="190" spans="1:9" ht="15" customHeight="1">
      <c r="A190" s="97">
        <v>40746</v>
      </c>
      <c r="B190" s="98">
        <v>0.48194444444444445</v>
      </c>
      <c r="C190" s="99">
        <v>40746</v>
      </c>
      <c r="D190" s="98">
        <v>0.72638888888888886</v>
      </c>
      <c r="E190" s="100" t="s">
        <v>160</v>
      </c>
      <c r="F190" s="101" t="s">
        <v>826</v>
      </c>
      <c r="G190" s="105" t="s">
        <v>905</v>
      </c>
      <c r="H190" s="100">
        <v>206</v>
      </c>
      <c r="I190" s="102">
        <v>23000</v>
      </c>
    </row>
    <row r="191" spans="1:9" ht="15" customHeight="1">
      <c r="A191" s="97">
        <v>40747</v>
      </c>
      <c r="B191" s="98">
        <v>0.10416666666666667</v>
      </c>
      <c r="C191" s="99">
        <v>40748</v>
      </c>
      <c r="D191" s="98">
        <v>0.375</v>
      </c>
      <c r="E191" s="100" t="s">
        <v>33</v>
      </c>
      <c r="F191" s="101" t="s">
        <v>826</v>
      </c>
      <c r="G191" s="105" t="s">
        <v>22</v>
      </c>
      <c r="H191" s="100" t="s">
        <v>2130</v>
      </c>
      <c r="I191" s="102">
        <v>169000</v>
      </c>
    </row>
    <row r="192" spans="1:9" ht="20.100000000000001" customHeight="1">
      <c r="A192" s="97">
        <v>40748</v>
      </c>
      <c r="B192" s="98">
        <v>0.6069444444444444</v>
      </c>
      <c r="C192" s="99">
        <v>40748</v>
      </c>
      <c r="D192" s="98">
        <v>0.65763888888888888</v>
      </c>
      <c r="E192" s="100" t="s">
        <v>2255</v>
      </c>
      <c r="F192" s="101" t="s">
        <v>61</v>
      </c>
      <c r="G192" s="105" t="s">
        <v>100</v>
      </c>
      <c r="H192" s="100">
        <v>0</v>
      </c>
      <c r="I192" s="102">
        <v>0</v>
      </c>
    </row>
    <row r="193" spans="1:9" ht="20.100000000000001" customHeight="1">
      <c r="A193" s="97">
        <v>40750</v>
      </c>
      <c r="B193" s="98">
        <v>0.50069444444444444</v>
      </c>
      <c r="C193" s="99">
        <v>40750</v>
      </c>
      <c r="D193" s="98">
        <v>0.50069444444444444</v>
      </c>
      <c r="E193" s="100" t="s">
        <v>2256</v>
      </c>
      <c r="F193" s="101" t="s">
        <v>58</v>
      </c>
      <c r="G193" s="105" t="s">
        <v>100</v>
      </c>
      <c r="H193" s="100">
        <v>0</v>
      </c>
      <c r="I193" s="102">
        <v>0</v>
      </c>
    </row>
    <row r="194" spans="1:9" ht="15" customHeight="1">
      <c r="A194" s="97">
        <v>40751</v>
      </c>
      <c r="B194" s="98">
        <v>0.50486111111111109</v>
      </c>
      <c r="C194" s="99">
        <v>40751</v>
      </c>
      <c r="D194" s="98">
        <v>0.50555555555555554</v>
      </c>
      <c r="E194" s="100" t="s">
        <v>2257</v>
      </c>
      <c r="F194" s="101" t="s">
        <v>124</v>
      </c>
      <c r="G194" s="105" t="s">
        <v>100</v>
      </c>
      <c r="H194" s="100" t="s">
        <v>255</v>
      </c>
      <c r="I194" s="102" t="s">
        <v>255</v>
      </c>
    </row>
    <row r="195" spans="1:9" ht="15" customHeight="1">
      <c r="A195" s="97">
        <v>40752</v>
      </c>
      <c r="B195" s="98">
        <v>0.30972222222222223</v>
      </c>
      <c r="C195" s="99">
        <v>40753</v>
      </c>
      <c r="D195" s="98">
        <v>0.30972222222222223</v>
      </c>
      <c r="E195" s="100" t="s">
        <v>2258</v>
      </c>
      <c r="F195" s="101" t="s">
        <v>63</v>
      </c>
      <c r="G195" s="105" t="s">
        <v>2126</v>
      </c>
      <c r="H195" s="100" t="s">
        <v>255</v>
      </c>
      <c r="I195" s="102" t="s">
        <v>255</v>
      </c>
    </row>
    <row r="196" spans="1:9" ht="15" customHeight="1">
      <c r="A196" s="97">
        <v>40752</v>
      </c>
      <c r="B196" s="98">
        <v>9.7222222222222224E-3</v>
      </c>
      <c r="C196" s="99">
        <v>40753</v>
      </c>
      <c r="D196" s="98">
        <v>0.5</v>
      </c>
      <c r="E196" s="100" t="s">
        <v>2259</v>
      </c>
      <c r="F196" s="101" t="s">
        <v>826</v>
      </c>
      <c r="G196" s="105" t="s">
        <v>22</v>
      </c>
      <c r="H196" s="100" t="s">
        <v>2130</v>
      </c>
      <c r="I196" s="102">
        <v>201000</v>
      </c>
    </row>
    <row r="197" spans="1:9" ht="20.100000000000001" customHeight="1">
      <c r="A197" s="97">
        <v>40752</v>
      </c>
      <c r="B197" s="98">
        <v>0.56388888888888888</v>
      </c>
      <c r="C197" s="99">
        <v>40752</v>
      </c>
      <c r="D197" s="98">
        <v>0.56388888888888888</v>
      </c>
      <c r="E197" s="100" t="s">
        <v>2260</v>
      </c>
      <c r="F197" s="101" t="s">
        <v>826</v>
      </c>
      <c r="G197" s="105" t="s">
        <v>100</v>
      </c>
      <c r="H197" s="100" t="s">
        <v>255</v>
      </c>
      <c r="I197" s="102" t="s">
        <v>255</v>
      </c>
    </row>
    <row r="198" spans="1:9" ht="15" customHeight="1">
      <c r="A198" s="97">
        <v>40752</v>
      </c>
      <c r="B198" s="98">
        <v>0.80902777777777779</v>
      </c>
      <c r="C198" s="99">
        <v>40752</v>
      </c>
      <c r="D198" s="98">
        <v>0.80902777777777779</v>
      </c>
      <c r="E198" s="100" t="s">
        <v>2261</v>
      </c>
      <c r="F198" s="101" t="s">
        <v>124</v>
      </c>
      <c r="G198" s="105" t="s">
        <v>100</v>
      </c>
      <c r="H198" s="100" t="s">
        <v>255</v>
      </c>
      <c r="I198" s="102" t="s">
        <v>255</v>
      </c>
    </row>
    <row r="199" spans="1:9" ht="15" customHeight="1">
      <c r="A199" s="97">
        <v>40753</v>
      </c>
      <c r="B199" s="98">
        <v>0.49027777777777781</v>
      </c>
      <c r="C199" s="99">
        <v>40753</v>
      </c>
      <c r="D199" s="98">
        <v>0.70833333333333337</v>
      </c>
      <c r="E199" s="100" t="s">
        <v>2262</v>
      </c>
      <c r="F199" s="101" t="s">
        <v>124</v>
      </c>
      <c r="G199" s="105" t="s">
        <v>100</v>
      </c>
      <c r="H199" s="100" t="s">
        <v>255</v>
      </c>
      <c r="I199" s="102" t="s">
        <v>255</v>
      </c>
    </row>
    <row r="200" spans="1:9" ht="20.100000000000001" customHeight="1">
      <c r="A200" s="97">
        <v>40753</v>
      </c>
      <c r="B200" s="98">
        <v>0.86458333333333337</v>
      </c>
      <c r="C200" s="99">
        <v>40756</v>
      </c>
      <c r="D200" s="98">
        <v>0.18333333333333335</v>
      </c>
      <c r="E200" s="100" t="s">
        <v>1592</v>
      </c>
      <c r="F200" s="101" t="s">
        <v>826</v>
      </c>
      <c r="G200" s="105" t="s">
        <v>22</v>
      </c>
      <c r="H200" s="100" t="s">
        <v>255</v>
      </c>
      <c r="I200" s="102">
        <v>67900</v>
      </c>
    </row>
    <row r="201" spans="1:9" ht="15" hidden="1" customHeight="1">
      <c r="A201" s="816" t="s">
        <v>32</v>
      </c>
      <c r="B201" s="817"/>
      <c r="C201" s="84"/>
      <c r="D201" s="85"/>
      <c r="E201" s="84"/>
      <c r="F201" s="86"/>
      <c r="G201" s="84"/>
      <c r="H201" s="87"/>
      <c r="I201" s="88"/>
    </row>
    <row r="202" spans="1:9" s="115" customFormat="1" ht="20.100000000000001" customHeight="1">
      <c r="A202" s="97">
        <v>40756</v>
      </c>
      <c r="B202" s="98">
        <v>0.625</v>
      </c>
      <c r="C202" s="99">
        <v>40760</v>
      </c>
      <c r="D202" s="98">
        <v>0.79166666666666663</v>
      </c>
      <c r="E202" s="100" t="s">
        <v>166</v>
      </c>
      <c r="F202" s="101" t="s">
        <v>1352</v>
      </c>
      <c r="G202" s="100" t="s">
        <v>2221</v>
      </c>
      <c r="H202" s="105">
        <v>0</v>
      </c>
      <c r="I202" s="102">
        <v>0</v>
      </c>
    </row>
    <row r="203" spans="1:9" s="115" customFormat="1" ht="15" customHeight="1">
      <c r="A203" s="97">
        <v>40756</v>
      </c>
      <c r="B203" s="98">
        <v>0.59583333333333333</v>
      </c>
      <c r="C203" s="99">
        <v>40756</v>
      </c>
      <c r="D203" s="98">
        <v>0.59583333333333333</v>
      </c>
      <c r="E203" s="100" t="s">
        <v>2263</v>
      </c>
      <c r="F203" s="101" t="s">
        <v>124</v>
      </c>
      <c r="G203" s="100" t="s">
        <v>100</v>
      </c>
      <c r="H203" s="105" t="s">
        <v>255</v>
      </c>
      <c r="I203" s="102" t="s">
        <v>255</v>
      </c>
    </row>
    <row r="204" spans="1:9" s="115" customFormat="1" ht="15" customHeight="1">
      <c r="A204" s="97">
        <v>40757</v>
      </c>
      <c r="B204" s="98">
        <v>0.89583333333333337</v>
      </c>
      <c r="C204" s="99">
        <v>40758</v>
      </c>
      <c r="D204" s="98">
        <v>0.79166666666666663</v>
      </c>
      <c r="E204" s="100" t="s">
        <v>2264</v>
      </c>
      <c r="F204" s="101" t="s">
        <v>826</v>
      </c>
      <c r="G204" s="100" t="s">
        <v>22</v>
      </c>
      <c r="H204" s="105" t="s">
        <v>2130</v>
      </c>
      <c r="I204" s="102">
        <v>71500</v>
      </c>
    </row>
    <row r="205" spans="1:9" s="115" customFormat="1" ht="20.100000000000001" customHeight="1">
      <c r="A205" s="97">
        <v>40757</v>
      </c>
      <c r="B205" s="98">
        <v>0.42708333333333331</v>
      </c>
      <c r="C205" s="99">
        <v>40758</v>
      </c>
      <c r="D205" s="98">
        <v>0.38611111111111113</v>
      </c>
      <c r="E205" s="100" t="s">
        <v>10</v>
      </c>
      <c r="F205" s="101" t="s">
        <v>58</v>
      </c>
      <c r="G205" s="100" t="s">
        <v>2221</v>
      </c>
      <c r="H205" s="105" t="s">
        <v>255</v>
      </c>
      <c r="I205" s="102" t="s">
        <v>255</v>
      </c>
    </row>
    <row r="206" spans="1:9" s="115" customFormat="1" ht="15" customHeight="1">
      <c r="A206" s="97">
        <v>40758</v>
      </c>
      <c r="B206" s="98">
        <v>0.41666666666666669</v>
      </c>
      <c r="C206" s="99">
        <v>40774</v>
      </c>
      <c r="D206" s="98">
        <v>0.41666666666666669</v>
      </c>
      <c r="E206" s="100" t="s">
        <v>2148</v>
      </c>
      <c r="F206" s="101" t="s">
        <v>61</v>
      </c>
      <c r="G206" s="100" t="s">
        <v>2126</v>
      </c>
      <c r="H206" s="105">
        <v>675</v>
      </c>
      <c r="I206" s="102" t="s">
        <v>2130</v>
      </c>
    </row>
    <row r="207" spans="1:9" s="115" customFormat="1" ht="20.100000000000001" customHeight="1">
      <c r="A207" s="97">
        <v>40758</v>
      </c>
      <c r="B207" s="98">
        <v>0.6875</v>
      </c>
      <c r="C207" s="99">
        <v>40758</v>
      </c>
      <c r="D207" s="98">
        <v>0.875</v>
      </c>
      <c r="E207" s="100" t="s">
        <v>2265</v>
      </c>
      <c r="F207" s="101" t="s">
        <v>58</v>
      </c>
      <c r="G207" s="100" t="s">
        <v>2221</v>
      </c>
      <c r="H207" s="105">
        <v>0</v>
      </c>
      <c r="I207" s="102">
        <v>0</v>
      </c>
    </row>
    <row r="208" spans="1:9" s="115" customFormat="1" ht="20.100000000000001" customHeight="1">
      <c r="A208" s="97">
        <v>40758</v>
      </c>
      <c r="B208" s="98">
        <v>0.68680555555555556</v>
      </c>
      <c r="C208" s="99">
        <v>40758</v>
      </c>
      <c r="D208" s="98">
        <v>0.98611111111111116</v>
      </c>
      <c r="E208" s="100" t="s">
        <v>2266</v>
      </c>
      <c r="F208" s="101" t="s">
        <v>58</v>
      </c>
      <c r="G208" s="100" t="s">
        <v>2221</v>
      </c>
      <c r="H208" s="105">
        <v>300</v>
      </c>
      <c r="I208" s="102" t="s">
        <v>255</v>
      </c>
    </row>
    <row r="209" spans="1:9" s="115" customFormat="1" ht="20.100000000000001" customHeight="1">
      <c r="A209" s="97">
        <v>40759</v>
      </c>
      <c r="B209" s="98">
        <v>0.4375</v>
      </c>
      <c r="C209" s="99">
        <v>40759</v>
      </c>
      <c r="D209" s="98">
        <v>0.66666666666666663</v>
      </c>
      <c r="E209" s="100" t="s">
        <v>2267</v>
      </c>
      <c r="F209" s="101" t="s">
        <v>58</v>
      </c>
      <c r="G209" s="100" t="s">
        <v>2221</v>
      </c>
      <c r="H209" s="105" t="s">
        <v>255</v>
      </c>
      <c r="I209" s="102" t="s">
        <v>255</v>
      </c>
    </row>
    <row r="210" spans="1:9" s="115" customFormat="1" ht="15" customHeight="1">
      <c r="A210" s="97">
        <v>40763</v>
      </c>
      <c r="B210" s="98">
        <v>0.39583333333333331</v>
      </c>
      <c r="C210" s="99">
        <v>40763</v>
      </c>
      <c r="D210" s="98">
        <v>0.39583333333333331</v>
      </c>
      <c r="E210" s="100" t="s">
        <v>2156</v>
      </c>
      <c r="F210" s="101" t="s">
        <v>826</v>
      </c>
      <c r="G210" s="100" t="s">
        <v>2150</v>
      </c>
      <c r="H210" s="105">
        <v>0</v>
      </c>
      <c r="I210" s="102">
        <v>0</v>
      </c>
    </row>
    <row r="211" spans="1:9" s="115" customFormat="1" ht="15" customHeight="1">
      <c r="A211" s="97">
        <v>40763</v>
      </c>
      <c r="B211" s="98">
        <v>0.87361111111111101</v>
      </c>
      <c r="C211" s="99">
        <v>40765</v>
      </c>
      <c r="D211" s="98">
        <v>0.6875</v>
      </c>
      <c r="E211" s="100" t="s">
        <v>2268</v>
      </c>
      <c r="F211" s="101" t="s">
        <v>58</v>
      </c>
      <c r="G211" s="100" t="s">
        <v>22</v>
      </c>
      <c r="H211" s="105" t="s">
        <v>255</v>
      </c>
      <c r="I211" s="102">
        <v>54000</v>
      </c>
    </row>
    <row r="212" spans="1:9" s="115" customFormat="1" ht="20.100000000000001" customHeight="1">
      <c r="A212" s="97">
        <v>40763</v>
      </c>
      <c r="B212" s="98">
        <v>0.81666666666666676</v>
      </c>
      <c r="C212" s="99">
        <v>40764</v>
      </c>
      <c r="D212" s="98">
        <v>0.5</v>
      </c>
      <c r="E212" s="100" t="s">
        <v>10</v>
      </c>
      <c r="F212" s="101" t="s">
        <v>58</v>
      </c>
      <c r="G212" s="100" t="s">
        <v>2037</v>
      </c>
      <c r="H212" s="105">
        <v>92</v>
      </c>
      <c r="I212" s="102">
        <v>14500</v>
      </c>
    </row>
    <row r="213" spans="1:9" s="115" customFormat="1" ht="15" customHeight="1">
      <c r="A213" s="97">
        <v>40763</v>
      </c>
      <c r="B213" s="98">
        <v>0.39930555555555558</v>
      </c>
      <c r="C213" s="99">
        <v>40763</v>
      </c>
      <c r="D213" s="98">
        <v>0.66666666666666663</v>
      </c>
      <c r="E213" s="100" t="s">
        <v>2228</v>
      </c>
      <c r="F213" s="101" t="s">
        <v>124</v>
      </c>
      <c r="G213" s="100" t="s">
        <v>100</v>
      </c>
      <c r="H213" s="105" t="s">
        <v>255</v>
      </c>
      <c r="I213" s="102" t="s">
        <v>255</v>
      </c>
    </row>
    <row r="214" spans="1:9" s="115" customFormat="1" ht="20.100000000000001" customHeight="1">
      <c r="A214" s="97">
        <v>40764</v>
      </c>
      <c r="B214" s="98">
        <v>0.43472222222222223</v>
      </c>
      <c r="C214" s="99">
        <v>40764</v>
      </c>
      <c r="D214" s="98">
        <v>0.70833333333333337</v>
      </c>
      <c r="E214" s="100" t="s">
        <v>2269</v>
      </c>
      <c r="F214" s="101" t="s">
        <v>124</v>
      </c>
      <c r="G214" s="100" t="s">
        <v>100</v>
      </c>
      <c r="H214" s="105" t="s">
        <v>255</v>
      </c>
      <c r="I214" s="102" t="s">
        <v>255</v>
      </c>
    </row>
    <row r="215" spans="1:9" s="115" customFormat="1" ht="15" customHeight="1">
      <c r="A215" s="97">
        <v>40768</v>
      </c>
      <c r="B215" s="98">
        <v>0.69513888888888886</v>
      </c>
      <c r="C215" s="99">
        <v>40769</v>
      </c>
      <c r="D215" s="98">
        <v>0.79166666666666663</v>
      </c>
      <c r="E215" s="100" t="s">
        <v>2270</v>
      </c>
      <c r="F215" s="101" t="s">
        <v>63</v>
      </c>
      <c r="G215" s="100" t="s">
        <v>22</v>
      </c>
      <c r="H215" s="105" t="s">
        <v>2130</v>
      </c>
      <c r="I215" s="102">
        <v>181700</v>
      </c>
    </row>
    <row r="216" spans="1:9" s="115" customFormat="1" ht="15" customHeight="1">
      <c r="A216" s="97">
        <v>40770</v>
      </c>
      <c r="B216" s="98">
        <v>8.6805555555555566E-2</v>
      </c>
      <c r="C216" s="99">
        <v>40770</v>
      </c>
      <c r="D216" s="98">
        <v>0.15277777777777776</v>
      </c>
      <c r="E216" s="100" t="s">
        <v>1320</v>
      </c>
      <c r="F216" s="101" t="s">
        <v>124</v>
      </c>
      <c r="G216" s="100" t="s">
        <v>100</v>
      </c>
      <c r="H216" s="105">
        <v>0</v>
      </c>
      <c r="I216" s="102">
        <v>0</v>
      </c>
    </row>
    <row r="217" spans="1:9" s="115" customFormat="1" ht="15" customHeight="1">
      <c r="A217" s="97">
        <v>40773</v>
      </c>
      <c r="B217" s="98">
        <v>0.41041666666666665</v>
      </c>
      <c r="C217" s="99">
        <v>40773</v>
      </c>
      <c r="D217" s="98">
        <v>0.66666666666666663</v>
      </c>
      <c r="E217" s="100" t="s">
        <v>2228</v>
      </c>
      <c r="F217" s="101" t="s">
        <v>124</v>
      </c>
      <c r="G217" s="100" t="s">
        <v>2150</v>
      </c>
      <c r="H217" s="105" t="s">
        <v>255</v>
      </c>
      <c r="I217" s="102" t="s">
        <v>255</v>
      </c>
    </row>
    <row r="218" spans="1:9" s="115" customFormat="1" ht="20.100000000000001" customHeight="1">
      <c r="A218" s="97">
        <v>40775</v>
      </c>
      <c r="B218" s="98">
        <v>0.73749999999999993</v>
      </c>
      <c r="C218" s="99">
        <v>40778</v>
      </c>
      <c r="D218" s="98">
        <v>0.83333333333333337</v>
      </c>
      <c r="E218" s="100" t="s">
        <v>268</v>
      </c>
      <c r="F218" s="101" t="s">
        <v>826</v>
      </c>
      <c r="G218" s="100" t="s">
        <v>22</v>
      </c>
      <c r="H218" s="105">
        <v>254</v>
      </c>
      <c r="I218" s="102">
        <v>65000</v>
      </c>
    </row>
    <row r="219" spans="1:9" s="115" customFormat="1" ht="20.100000000000001" customHeight="1">
      <c r="A219" s="97">
        <v>40776</v>
      </c>
      <c r="B219" s="98">
        <v>0.94791666666666663</v>
      </c>
      <c r="C219" s="99">
        <v>40778</v>
      </c>
      <c r="D219" s="98">
        <v>0.94791666666666663</v>
      </c>
      <c r="E219" s="100" t="s">
        <v>2271</v>
      </c>
      <c r="F219" s="101" t="s">
        <v>255</v>
      </c>
      <c r="G219" s="100" t="s">
        <v>22</v>
      </c>
      <c r="H219" s="105">
        <v>2200</v>
      </c>
      <c r="I219" s="102">
        <v>931000</v>
      </c>
    </row>
    <row r="220" spans="1:9" s="115" customFormat="1" ht="15" customHeight="1">
      <c r="A220" s="97">
        <v>40777</v>
      </c>
      <c r="B220" s="98">
        <v>0.4201388888888889</v>
      </c>
      <c r="C220" s="99">
        <v>40777</v>
      </c>
      <c r="D220" s="98">
        <v>0.66666666666666663</v>
      </c>
      <c r="E220" s="100" t="s">
        <v>2228</v>
      </c>
      <c r="F220" s="101" t="s">
        <v>124</v>
      </c>
      <c r="G220" s="100" t="s">
        <v>2150</v>
      </c>
      <c r="H220" s="105" t="s">
        <v>255</v>
      </c>
      <c r="I220" s="102" t="s">
        <v>255</v>
      </c>
    </row>
    <row r="221" spans="1:9" s="115" customFormat="1" ht="15" customHeight="1">
      <c r="A221" s="97">
        <v>40778</v>
      </c>
      <c r="B221" s="98">
        <v>0.57708333333333328</v>
      </c>
      <c r="C221" s="99">
        <v>40778</v>
      </c>
      <c r="D221" s="98">
        <v>0.57708333333333328</v>
      </c>
      <c r="E221" s="100" t="s">
        <v>2004</v>
      </c>
      <c r="F221" s="101" t="s">
        <v>826</v>
      </c>
      <c r="G221" s="78" t="s">
        <v>313</v>
      </c>
      <c r="H221" s="105">
        <v>0</v>
      </c>
      <c r="I221" s="102">
        <v>0</v>
      </c>
    </row>
    <row r="222" spans="1:9" s="115" customFormat="1" ht="20.100000000000001" customHeight="1">
      <c r="A222" s="97">
        <v>40778</v>
      </c>
      <c r="B222" s="98">
        <v>0.4375</v>
      </c>
      <c r="C222" s="99">
        <v>40778</v>
      </c>
      <c r="D222" s="98">
        <v>0.70416666666666661</v>
      </c>
      <c r="E222" s="100" t="s">
        <v>2272</v>
      </c>
      <c r="F222" s="101" t="s">
        <v>58</v>
      </c>
      <c r="G222" s="100" t="s">
        <v>2221</v>
      </c>
      <c r="H222" s="105">
        <v>0</v>
      </c>
      <c r="I222" s="102">
        <v>0</v>
      </c>
    </row>
    <row r="223" spans="1:9" s="115" customFormat="1" ht="20.100000000000001" customHeight="1">
      <c r="A223" s="97">
        <v>40778</v>
      </c>
      <c r="B223" s="98">
        <v>0.65486111111111112</v>
      </c>
      <c r="C223" s="99">
        <v>40778</v>
      </c>
      <c r="D223" s="98">
        <v>0.79166666666666663</v>
      </c>
      <c r="E223" s="100" t="s">
        <v>166</v>
      </c>
      <c r="F223" s="101" t="s">
        <v>1352</v>
      </c>
      <c r="G223" s="100" t="s">
        <v>2221</v>
      </c>
      <c r="H223" s="105">
        <v>0</v>
      </c>
      <c r="I223" s="102">
        <v>0</v>
      </c>
    </row>
    <row r="224" spans="1:9" s="115" customFormat="1" ht="20.100000000000001" customHeight="1">
      <c r="A224" s="97">
        <v>40779</v>
      </c>
      <c r="B224" s="98">
        <v>0.55555555555555558</v>
      </c>
      <c r="C224" s="99">
        <v>40784</v>
      </c>
      <c r="D224" s="98">
        <v>0.79166666666666663</v>
      </c>
      <c r="E224" s="100" t="s">
        <v>166</v>
      </c>
      <c r="F224" s="101" t="s">
        <v>1352</v>
      </c>
      <c r="G224" s="100" t="s">
        <v>2221</v>
      </c>
      <c r="H224" s="105">
        <v>0</v>
      </c>
      <c r="I224" s="102">
        <v>0</v>
      </c>
    </row>
    <row r="225" spans="1:9" s="115" customFormat="1" ht="15" customHeight="1">
      <c r="A225" s="97">
        <v>40779</v>
      </c>
      <c r="B225" s="98">
        <v>0.32291666666666669</v>
      </c>
      <c r="C225" s="99">
        <v>40780</v>
      </c>
      <c r="D225" s="98">
        <v>0.25</v>
      </c>
      <c r="E225" s="100" t="s">
        <v>2273</v>
      </c>
      <c r="F225" s="101" t="s">
        <v>1352</v>
      </c>
      <c r="G225" s="100" t="s">
        <v>22</v>
      </c>
      <c r="H225" s="105">
        <v>485</v>
      </c>
      <c r="I225" s="102">
        <v>79000</v>
      </c>
    </row>
    <row r="226" spans="1:9" s="115" customFormat="1" ht="15" customHeight="1">
      <c r="A226" s="97">
        <v>40779</v>
      </c>
      <c r="B226" s="98">
        <v>0.61875000000000002</v>
      </c>
      <c r="C226" s="99">
        <v>40779</v>
      </c>
      <c r="D226" s="98">
        <v>0.91666666666666663</v>
      </c>
      <c r="E226" s="100" t="s">
        <v>2274</v>
      </c>
      <c r="F226" s="79" t="s">
        <v>58</v>
      </c>
      <c r="G226" s="100" t="s">
        <v>22</v>
      </c>
      <c r="H226" s="105" t="s">
        <v>255</v>
      </c>
      <c r="I226" s="102">
        <v>53064</v>
      </c>
    </row>
    <row r="227" spans="1:9" s="115" customFormat="1" ht="15" customHeight="1">
      <c r="A227" s="97">
        <v>40780</v>
      </c>
      <c r="B227" s="98">
        <v>6.9444444444444447E-4</v>
      </c>
      <c r="C227" s="99">
        <v>40780</v>
      </c>
      <c r="D227" s="98">
        <v>6.9444444444444447E-4</v>
      </c>
      <c r="E227" s="100" t="s">
        <v>2079</v>
      </c>
      <c r="F227" s="101" t="s">
        <v>61</v>
      </c>
      <c r="G227" s="100" t="s">
        <v>2150</v>
      </c>
      <c r="H227" s="105">
        <v>0</v>
      </c>
      <c r="I227" s="102">
        <v>0</v>
      </c>
    </row>
    <row r="228" spans="1:9" s="115" customFormat="1" ht="20.100000000000001" customHeight="1">
      <c r="A228" s="97">
        <v>40780</v>
      </c>
      <c r="B228" s="98">
        <v>2.0833333333333332E-2</v>
      </c>
      <c r="C228" s="99">
        <v>40783</v>
      </c>
      <c r="D228" s="98">
        <v>0.83333333333333337</v>
      </c>
      <c r="E228" s="100" t="s">
        <v>2185</v>
      </c>
      <c r="F228" s="101" t="s">
        <v>826</v>
      </c>
      <c r="G228" s="100" t="s">
        <v>22</v>
      </c>
      <c r="H228" s="105" t="s">
        <v>255</v>
      </c>
      <c r="I228" s="102">
        <v>107833</v>
      </c>
    </row>
    <row r="229" spans="1:9" s="115" customFormat="1" ht="20.100000000000001" customHeight="1">
      <c r="A229" s="97">
        <v>40781</v>
      </c>
      <c r="B229" s="98">
        <v>2.0833333333333332E-2</v>
      </c>
      <c r="C229" s="99">
        <v>40783</v>
      </c>
      <c r="D229" s="98">
        <v>2.0833333333333332E-2</v>
      </c>
      <c r="E229" s="100" t="s">
        <v>171</v>
      </c>
      <c r="F229" s="101" t="s">
        <v>826</v>
      </c>
      <c r="G229" s="100" t="s">
        <v>22</v>
      </c>
      <c r="H229" s="105" t="s">
        <v>255</v>
      </c>
      <c r="I229" s="102">
        <v>200717</v>
      </c>
    </row>
    <row r="230" spans="1:9" s="115" customFormat="1" ht="15" customHeight="1">
      <c r="A230" s="97">
        <v>40782</v>
      </c>
      <c r="B230" s="98">
        <v>0.96180555555555547</v>
      </c>
      <c r="C230" s="99">
        <v>64891</v>
      </c>
      <c r="D230" s="98">
        <v>0.64583333333333337</v>
      </c>
      <c r="E230" s="100" t="s">
        <v>2275</v>
      </c>
      <c r="F230" s="101" t="s">
        <v>826</v>
      </c>
      <c r="G230" s="100" t="s">
        <v>22</v>
      </c>
      <c r="H230" s="105" t="s">
        <v>255</v>
      </c>
      <c r="I230" s="102">
        <v>220000</v>
      </c>
    </row>
    <row r="231" spans="1:9" s="115" customFormat="1" ht="20.100000000000001" customHeight="1">
      <c r="A231" s="97">
        <v>40782</v>
      </c>
      <c r="B231" s="98">
        <v>0.95833333333333337</v>
      </c>
      <c r="C231" s="99">
        <v>40784</v>
      </c>
      <c r="D231" s="98">
        <v>0.33333333333333331</v>
      </c>
      <c r="E231" s="100" t="s">
        <v>2123</v>
      </c>
      <c r="F231" s="101" t="s">
        <v>826</v>
      </c>
      <c r="G231" s="100" t="s">
        <v>22</v>
      </c>
      <c r="H231" s="105" t="s">
        <v>2130</v>
      </c>
      <c r="I231" s="102">
        <v>108000</v>
      </c>
    </row>
    <row r="232" spans="1:9" s="115" customFormat="1" ht="15" customHeight="1">
      <c r="A232" s="97">
        <v>40782</v>
      </c>
      <c r="B232" s="98">
        <v>0.91666666666666663</v>
      </c>
      <c r="C232" s="99">
        <v>40784</v>
      </c>
      <c r="D232" s="98">
        <v>0.66666666666666663</v>
      </c>
      <c r="E232" s="100" t="s">
        <v>2276</v>
      </c>
      <c r="F232" s="101" t="s">
        <v>826</v>
      </c>
      <c r="G232" s="100" t="s">
        <v>22</v>
      </c>
      <c r="H232" s="100">
        <v>320</v>
      </c>
      <c r="I232" s="102">
        <v>140000</v>
      </c>
    </row>
    <row r="233" spans="1:9" s="115" customFormat="1" ht="15" customHeight="1">
      <c r="A233" s="97">
        <v>40782</v>
      </c>
      <c r="B233" s="98">
        <v>0.91666666666666663</v>
      </c>
      <c r="C233" s="99">
        <v>40784</v>
      </c>
      <c r="D233" s="98">
        <v>0.91666666666666663</v>
      </c>
      <c r="E233" s="100" t="s">
        <v>171</v>
      </c>
      <c r="F233" s="101" t="s">
        <v>826</v>
      </c>
      <c r="G233" s="100" t="s">
        <v>22</v>
      </c>
      <c r="H233" s="105" t="s">
        <v>255</v>
      </c>
      <c r="I233" s="102">
        <v>264000</v>
      </c>
    </row>
    <row r="234" spans="1:9" s="115" customFormat="1" ht="20.100000000000001" customHeight="1">
      <c r="A234" s="97">
        <v>40782</v>
      </c>
      <c r="B234" s="98">
        <v>0.85416666666666663</v>
      </c>
      <c r="C234" s="99">
        <v>40790</v>
      </c>
      <c r="D234" s="98">
        <v>0.97916666666666663</v>
      </c>
      <c r="E234" s="100" t="s">
        <v>2123</v>
      </c>
      <c r="F234" s="101" t="s">
        <v>826</v>
      </c>
      <c r="G234" s="100" t="s">
        <v>22</v>
      </c>
      <c r="H234" s="105">
        <v>1114</v>
      </c>
      <c r="I234" s="102">
        <v>760113</v>
      </c>
    </row>
    <row r="235" spans="1:9" s="115" customFormat="1" ht="15" customHeight="1">
      <c r="A235" s="97">
        <v>40782</v>
      </c>
      <c r="B235" s="98">
        <v>0.54166666666666663</v>
      </c>
      <c r="C235" s="99">
        <v>40784</v>
      </c>
      <c r="D235" s="98">
        <v>0.54166666666666663</v>
      </c>
      <c r="E235" s="100" t="s">
        <v>2277</v>
      </c>
      <c r="F235" s="101" t="s">
        <v>826</v>
      </c>
      <c r="G235" s="100" t="s">
        <v>22</v>
      </c>
      <c r="H235" s="105" t="s">
        <v>255</v>
      </c>
      <c r="I235" s="102">
        <v>165000</v>
      </c>
    </row>
    <row r="236" spans="1:9" s="115" customFormat="1" ht="20.100000000000001" customHeight="1">
      <c r="A236" s="97">
        <v>40782</v>
      </c>
      <c r="B236" s="98">
        <v>0.79166666666666663</v>
      </c>
      <c r="C236" s="99">
        <v>40784</v>
      </c>
      <c r="D236" s="98">
        <v>0.56319444444444444</v>
      </c>
      <c r="E236" s="100" t="s">
        <v>230</v>
      </c>
      <c r="F236" s="101" t="s">
        <v>63</v>
      </c>
      <c r="G236" s="100" t="s">
        <v>22</v>
      </c>
      <c r="H236" s="100">
        <v>200</v>
      </c>
      <c r="I236" s="102">
        <v>136000</v>
      </c>
    </row>
    <row r="237" spans="1:9" s="115" customFormat="1" ht="15" customHeight="1">
      <c r="A237" s="97">
        <v>40782</v>
      </c>
      <c r="B237" s="98">
        <v>0.43958333333333338</v>
      </c>
      <c r="C237" s="99">
        <v>40784</v>
      </c>
      <c r="D237" s="98">
        <v>0.58333333333333337</v>
      </c>
      <c r="E237" s="100" t="s">
        <v>2278</v>
      </c>
      <c r="F237" s="101" t="s">
        <v>63</v>
      </c>
      <c r="G237" s="100" t="s">
        <v>22</v>
      </c>
      <c r="H237" s="105" t="s">
        <v>2130</v>
      </c>
      <c r="I237" s="102">
        <v>1000000</v>
      </c>
    </row>
    <row r="238" spans="1:9" s="115" customFormat="1" ht="15" customHeight="1">
      <c r="A238" s="97">
        <v>40782</v>
      </c>
      <c r="B238" s="98">
        <v>0.12291666666666667</v>
      </c>
      <c r="C238" s="99">
        <v>40784</v>
      </c>
      <c r="D238" s="98">
        <v>0.97916666666666663</v>
      </c>
      <c r="E238" s="100" t="s">
        <v>230</v>
      </c>
      <c r="F238" s="101" t="s">
        <v>63</v>
      </c>
      <c r="G238" s="100" t="s">
        <v>22</v>
      </c>
      <c r="H238" s="105" t="s">
        <v>2130</v>
      </c>
      <c r="I238" s="102">
        <v>285465</v>
      </c>
    </row>
    <row r="239" spans="1:9" s="115" customFormat="1" ht="15" customHeight="1">
      <c r="A239" s="97">
        <v>40782</v>
      </c>
      <c r="B239" s="98">
        <v>8.3333333333333329E-2</v>
      </c>
      <c r="C239" s="99">
        <v>40782</v>
      </c>
      <c r="D239" s="98">
        <v>0.21875</v>
      </c>
      <c r="E239" s="100" t="s">
        <v>2279</v>
      </c>
      <c r="F239" s="101" t="s">
        <v>63</v>
      </c>
      <c r="G239" s="78" t="s">
        <v>2280</v>
      </c>
      <c r="H239" s="100">
        <v>2</v>
      </c>
      <c r="I239" s="102">
        <v>1200</v>
      </c>
    </row>
    <row r="240" spans="1:9" s="115" customFormat="1" ht="15" customHeight="1">
      <c r="A240" s="97">
        <v>40783</v>
      </c>
      <c r="B240" s="98">
        <v>0.52083333333333337</v>
      </c>
      <c r="C240" s="99">
        <v>40783</v>
      </c>
      <c r="D240" s="98">
        <v>0.52152777777777781</v>
      </c>
      <c r="E240" s="100" t="s">
        <v>30</v>
      </c>
      <c r="F240" s="101" t="s">
        <v>61</v>
      </c>
      <c r="G240" s="100" t="s">
        <v>22</v>
      </c>
      <c r="H240" s="105" t="s">
        <v>255</v>
      </c>
      <c r="I240" s="102">
        <v>116000</v>
      </c>
    </row>
    <row r="241" spans="1:9" s="115" customFormat="1" ht="15" customHeight="1">
      <c r="A241" s="97">
        <v>40783</v>
      </c>
      <c r="B241" s="98">
        <v>0.50694444444444442</v>
      </c>
      <c r="C241" s="99">
        <v>40783</v>
      </c>
      <c r="D241" s="98">
        <v>0.50763888888888886</v>
      </c>
      <c r="E241" s="100" t="s">
        <v>2281</v>
      </c>
      <c r="F241" s="101" t="s">
        <v>61</v>
      </c>
      <c r="G241" s="100" t="s">
        <v>22</v>
      </c>
      <c r="H241" s="105" t="s">
        <v>255</v>
      </c>
      <c r="I241" s="102">
        <v>50000</v>
      </c>
    </row>
    <row r="242" spans="1:9" s="115" customFormat="1" ht="15" customHeight="1">
      <c r="A242" s="97">
        <v>40783</v>
      </c>
      <c r="B242" s="98">
        <v>0.40416666666666662</v>
      </c>
      <c r="C242" s="99">
        <v>40785</v>
      </c>
      <c r="D242" s="98">
        <v>6.9444444444444447E-4</v>
      </c>
      <c r="E242" s="100" t="s">
        <v>1159</v>
      </c>
      <c r="F242" s="101" t="s">
        <v>61</v>
      </c>
      <c r="G242" s="100" t="s">
        <v>22</v>
      </c>
      <c r="H242" s="105" t="s">
        <v>255</v>
      </c>
      <c r="I242" s="102">
        <v>100000</v>
      </c>
    </row>
    <row r="243" spans="1:9" s="115" customFormat="1" ht="15" customHeight="1">
      <c r="A243" s="97">
        <v>40783</v>
      </c>
      <c r="B243" s="98">
        <v>0.31944444444444448</v>
      </c>
      <c r="C243" s="99">
        <v>40784</v>
      </c>
      <c r="D243" s="98">
        <v>0.31944444444444448</v>
      </c>
      <c r="E243" s="100" t="s">
        <v>2282</v>
      </c>
      <c r="F243" s="101" t="s">
        <v>61</v>
      </c>
      <c r="G243" s="100" t="s">
        <v>22</v>
      </c>
      <c r="H243" s="105" t="s">
        <v>255</v>
      </c>
      <c r="I243" s="102">
        <v>158000</v>
      </c>
    </row>
    <row r="244" spans="1:9" s="115" customFormat="1" ht="20.100000000000001" customHeight="1">
      <c r="A244" s="97">
        <v>40783</v>
      </c>
      <c r="B244" s="98">
        <v>0.29166666666666669</v>
      </c>
      <c r="C244" s="99">
        <v>40789</v>
      </c>
      <c r="D244" s="98">
        <v>6.9444444444444447E-4</v>
      </c>
      <c r="E244" s="100" t="s">
        <v>30</v>
      </c>
      <c r="F244" s="101" t="s">
        <v>61</v>
      </c>
      <c r="G244" s="100" t="s">
        <v>22</v>
      </c>
      <c r="H244" s="105" t="s">
        <v>2130</v>
      </c>
      <c r="I244" s="102">
        <v>99700</v>
      </c>
    </row>
    <row r="245" spans="1:9" s="115" customFormat="1" ht="20.100000000000001" customHeight="1">
      <c r="A245" s="97">
        <v>40783</v>
      </c>
      <c r="B245" s="98">
        <v>0.20902777777777778</v>
      </c>
      <c r="C245" s="99">
        <v>40789</v>
      </c>
      <c r="D245" s="98">
        <v>0.20902777777777778</v>
      </c>
      <c r="E245" s="100" t="s">
        <v>2283</v>
      </c>
      <c r="F245" s="101" t="s">
        <v>61</v>
      </c>
      <c r="G245" s="100" t="s">
        <v>22</v>
      </c>
      <c r="H245" s="105" t="s">
        <v>255</v>
      </c>
      <c r="I245" s="103">
        <v>50000</v>
      </c>
    </row>
    <row r="246" spans="1:9" s="115" customFormat="1" ht="15" customHeight="1">
      <c r="A246" s="97">
        <v>40783</v>
      </c>
      <c r="B246" s="98">
        <v>0.20833333333333334</v>
      </c>
      <c r="C246" s="99">
        <v>40785</v>
      </c>
      <c r="D246" s="98">
        <v>0.20833333333333334</v>
      </c>
      <c r="E246" s="100" t="s">
        <v>2284</v>
      </c>
      <c r="F246" s="101" t="s">
        <v>61</v>
      </c>
      <c r="G246" s="100" t="s">
        <v>22</v>
      </c>
      <c r="H246" s="105" t="s">
        <v>2130</v>
      </c>
      <c r="I246" s="102">
        <v>152261</v>
      </c>
    </row>
    <row r="247" spans="1:9" s="115" customFormat="1" ht="15" customHeight="1">
      <c r="A247" s="97">
        <v>40783</v>
      </c>
      <c r="B247" s="98">
        <v>6.9444444444444447E-4</v>
      </c>
      <c r="C247" s="99">
        <v>40785</v>
      </c>
      <c r="D247" s="98">
        <v>6.9444444444444447E-4</v>
      </c>
      <c r="E247" s="100" t="s">
        <v>2285</v>
      </c>
      <c r="F247" s="101" t="s">
        <v>61</v>
      </c>
      <c r="G247" s="100" t="s">
        <v>22</v>
      </c>
      <c r="H247" s="105" t="s">
        <v>255</v>
      </c>
      <c r="I247" s="102">
        <v>180000</v>
      </c>
    </row>
    <row r="248" spans="1:9" s="115" customFormat="1" ht="20.100000000000001" customHeight="1">
      <c r="A248" s="97">
        <v>40783</v>
      </c>
      <c r="B248" s="98">
        <v>0.12361111111111112</v>
      </c>
      <c r="C248" s="99">
        <v>40785</v>
      </c>
      <c r="D248" s="98">
        <v>0.12361111111111112</v>
      </c>
      <c r="E248" s="100" t="s">
        <v>2286</v>
      </c>
      <c r="F248" s="101" t="s">
        <v>826</v>
      </c>
      <c r="G248" s="100" t="s">
        <v>22</v>
      </c>
      <c r="H248" s="100">
        <v>110</v>
      </c>
      <c r="I248" s="102">
        <v>284000</v>
      </c>
    </row>
    <row r="249" spans="1:9" s="115" customFormat="1" ht="20.100000000000001" customHeight="1">
      <c r="A249" s="97">
        <v>40783</v>
      </c>
      <c r="B249" s="98">
        <v>2.0833333333333332E-2</v>
      </c>
      <c r="C249" s="99">
        <v>40785</v>
      </c>
      <c r="D249" s="98">
        <v>2.0833333333333332E-2</v>
      </c>
      <c r="E249" s="100" t="s">
        <v>2287</v>
      </c>
      <c r="F249" s="101" t="s">
        <v>826</v>
      </c>
      <c r="G249" s="100" t="s">
        <v>22</v>
      </c>
      <c r="H249" s="105" t="s">
        <v>255</v>
      </c>
      <c r="I249" s="102">
        <v>650000</v>
      </c>
    </row>
    <row r="250" spans="1:9" s="115" customFormat="1" ht="20.100000000000001" customHeight="1">
      <c r="A250" s="97">
        <v>40783</v>
      </c>
      <c r="B250" s="98">
        <v>1.5972222222222224E-2</v>
      </c>
      <c r="C250" s="99">
        <v>40785</v>
      </c>
      <c r="D250" s="98">
        <v>1.5972222222222224E-2</v>
      </c>
      <c r="E250" s="100" t="s">
        <v>2288</v>
      </c>
      <c r="F250" s="101" t="s">
        <v>826</v>
      </c>
      <c r="G250" s="100" t="s">
        <v>22</v>
      </c>
      <c r="H250" s="100">
        <v>500</v>
      </c>
      <c r="I250" s="102">
        <v>665000</v>
      </c>
    </row>
    <row r="251" spans="1:9" s="115" customFormat="1" ht="15" customHeight="1">
      <c r="A251" s="97">
        <v>40783</v>
      </c>
      <c r="B251" s="98">
        <v>0.87152777777777779</v>
      </c>
      <c r="C251" s="99">
        <v>40783</v>
      </c>
      <c r="D251" s="98">
        <v>0.98541666666666661</v>
      </c>
      <c r="E251" s="100" t="s">
        <v>2289</v>
      </c>
      <c r="F251" s="101" t="s">
        <v>124</v>
      </c>
      <c r="G251" s="100" t="s">
        <v>2150</v>
      </c>
      <c r="H251" s="100">
        <v>0</v>
      </c>
      <c r="I251" s="102">
        <v>0</v>
      </c>
    </row>
    <row r="252" spans="1:9" s="115" customFormat="1" ht="15" customHeight="1">
      <c r="A252" s="97">
        <v>40786</v>
      </c>
      <c r="B252" s="98">
        <v>0.53611111111111109</v>
      </c>
      <c r="C252" s="99">
        <v>40786</v>
      </c>
      <c r="D252" s="98">
        <v>0.53611111111111109</v>
      </c>
      <c r="E252" s="100" t="s">
        <v>1472</v>
      </c>
      <c r="F252" s="101" t="s">
        <v>826</v>
      </c>
      <c r="G252" s="100" t="s">
        <v>2150</v>
      </c>
      <c r="H252" s="100">
        <v>0</v>
      </c>
      <c r="I252" s="102">
        <v>0</v>
      </c>
    </row>
    <row r="253" spans="1:9" ht="15.75" hidden="1" customHeight="1">
      <c r="A253" s="816" t="s">
        <v>219</v>
      </c>
      <c r="B253" s="817"/>
      <c r="C253" s="84"/>
      <c r="D253" s="85"/>
      <c r="E253" s="84"/>
      <c r="F253" s="86"/>
      <c r="G253" s="84"/>
      <c r="H253" s="87"/>
      <c r="I253" s="88"/>
    </row>
    <row r="254" spans="1:9">
      <c r="A254" s="97">
        <v>40787</v>
      </c>
      <c r="B254" s="98">
        <v>0.34236111111111112</v>
      </c>
      <c r="C254" s="99">
        <v>40787</v>
      </c>
      <c r="D254" s="98">
        <v>0.66666666666666663</v>
      </c>
      <c r="E254" s="100" t="s">
        <v>2290</v>
      </c>
      <c r="F254" s="101" t="s">
        <v>124</v>
      </c>
      <c r="G254" s="116" t="s">
        <v>100</v>
      </c>
      <c r="H254" s="117" t="s">
        <v>255</v>
      </c>
      <c r="I254" s="118" t="s">
        <v>255</v>
      </c>
    </row>
    <row r="255" spans="1:9" ht="20.100000000000001" customHeight="1">
      <c r="A255" s="97">
        <v>40789</v>
      </c>
      <c r="B255" s="98">
        <v>0.58333333333333337</v>
      </c>
      <c r="C255" s="99">
        <v>40794</v>
      </c>
      <c r="D255" s="98">
        <v>0.75</v>
      </c>
      <c r="E255" s="100" t="s">
        <v>2291</v>
      </c>
      <c r="F255" s="101" t="s">
        <v>826</v>
      </c>
      <c r="G255" s="116" t="s">
        <v>22</v>
      </c>
      <c r="H255" s="117" t="s">
        <v>2130</v>
      </c>
      <c r="I255" s="118">
        <v>105000</v>
      </c>
    </row>
    <row r="256" spans="1:9">
      <c r="A256" s="97">
        <v>40791</v>
      </c>
      <c r="B256" s="98">
        <v>0.6875</v>
      </c>
      <c r="C256" s="99">
        <v>40793</v>
      </c>
      <c r="D256" s="98">
        <v>0.65625</v>
      </c>
      <c r="E256" s="100" t="s">
        <v>2231</v>
      </c>
      <c r="F256" s="101" t="s">
        <v>63</v>
      </c>
      <c r="G256" s="116" t="s">
        <v>22</v>
      </c>
      <c r="H256" s="117">
        <v>177</v>
      </c>
      <c r="I256" s="118">
        <v>53295</v>
      </c>
    </row>
    <row r="257" spans="1:9">
      <c r="A257" s="97">
        <v>40793</v>
      </c>
      <c r="B257" s="98">
        <v>5.5555555555555558E-3</v>
      </c>
      <c r="C257" s="99">
        <v>40793</v>
      </c>
      <c r="D257" s="98">
        <v>0.4513888888888889</v>
      </c>
      <c r="E257" s="100" t="s">
        <v>2292</v>
      </c>
      <c r="F257" s="101" t="s">
        <v>61</v>
      </c>
      <c r="G257" s="116" t="s">
        <v>2293</v>
      </c>
      <c r="H257" s="117">
        <v>0</v>
      </c>
      <c r="I257" s="118">
        <v>0</v>
      </c>
    </row>
    <row r="258" spans="1:9" ht="20.100000000000001" customHeight="1">
      <c r="A258" s="97">
        <v>40794</v>
      </c>
      <c r="B258" s="98">
        <v>0.64444444444444449</v>
      </c>
      <c r="C258" s="99">
        <v>40796</v>
      </c>
      <c r="D258" s="98">
        <v>0.64583333333333337</v>
      </c>
      <c r="E258" s="100" t="s">
        <v>2294</v>
      </c>
      <c r="F258" s="101" t="s">
        <v>124</v>
      </c>
      <c r="G258" s="116" t="s">
        <v>2295</v>
      </c>
      <c r="H258" s="117">
        <v>7000</v>
      </c>
      <c r="I258" s="118">
        <v>2000000</v>
      </c>
    </row>
    <row r="259" spans="1:9" ht="20.100000000000001" customHeight="1">
      <c r="A259" s="97">
        <v>40794</v>
      </c>
      <c r="B259" s="98">
        <v>0.82847222222222217</v>
      </c>
      <c r="C259" s="99">
        <v>40795</v>
      </c>
      <c r="D259" s="98">
        <v>0.66666666666666663</v>
      </c>
      <c r="E259" s="100" t="s">
        <v>2296</v>
      </c>
      <c r="F259" s="101" t="s">
        <v>124</v>
      </c>
      <c r="G259" s="116" t="s">
        <v>100</v>
      </c>
      <c r="H259" s="117" t="s">
        <v>255</v>
      </c>
      <c r="I259" s="118" t="s">
        <v>255</v>
      </c>
    </row>
    <row r="260" spans="1:9">
      <c r="A260" s="97">
        <v>40798</v>
      </c>
      <c r="B260" s="98">
        <v>0.38541666666666669</v>
      </c>
      <c r="C260" s="99">
        <v>40798</v>
      </c>
      <c r="D260" s="98">
        <v>0.64583333333333337</v>
      </c>
      <c r="E260" s="100" t="s">
        <v>2297</v>
      </c>
      <c r="F260" s="101" t="s">
        <v>826</v>
      </c>
      <c r="G260" s="116" t="s">
        <v>100</v>
      </c>
      <c r="H260" s="117">
        <v>0</v>
      </c>
      <c r="I260" s="118">
        <v>0</v>
      </c>
    </row>
    <row r="261" spans="1:9" ht="20.100000000000001" customHeight="1">
      <c r="A261" s="97">
        <v>40799</v>
      </c>
      <c r="B261" s="98">
        <v>0.48819444444444443</v>
      </c>
      <c r="C261" s="99">
        <v>40800</v>
      </c>
      <c r="D261" s="98">
        <v>0.66666666666666663</v>
      </c>
      <c r="E261" s="100" t="s">
        <v>2298</v>
      </c>
      <c r="F261" s="101" t="s">
        <v>124</v>
      </c>
      <c r="G261" s="116" t="s">
        <v>100</v>
      </c>
      <c r="H261" s="117" t="s">
        <v>255</v>
      </c>
      <c r="I261" s="118" t="s">
        <v>255</v>
      </c>
    </row>
    <row r="262" spans="1:9">
      <c r="A262" s="97">
        <v>40799</v>
      </c>
      <c r="B262" s="98">
        <v>0.5854166666666667</v>
      </c>
      <c r="C262" s="99">
        <v>40799</v>
      </c>
      <c r="D262" s="98">
        <v>0.76458333333333339</v>
      </c>
      <c r="E262" s="100" t="s">
        <v>2299</v>
      </c>
      <c r="F262" s="101" t="s">
        <v>61</v>
      </c>
      <c r="G262" s="116" t="s">
        <v>100</v>
      </c>
      <c r="H262" s="117" t="s">
        <v>255</v>
      </c>
      <c r="I262" s="119">
        <v>0</v>
      </c>
    </row>
    <row r="263" spans="1:9">
      <c r="A263" s="97">
        <v>40800</v>
      </c>
      <c r="B263" s="98">
        <v>0.375</v>
      </c>
      <c r="C263" s="99">
        <v>40800</v>
      </c>
      <c r="D263" s="98">
        <v>0.58333333333333337</v>
      </c>
      <c r="E263" s="100" t="s">
        <v>2300</v>
      </c>
      <c r="F263" s="101" t="s">
        <v>124</v>
      </c>
      <c r="G263" s="116" t="s">
        <v>100</v>
      </c>
      <c r="H263" s="117">
        <v>0</v>
      </c>
      <c r="I263" s="118">
        <v>0</v>
      </c>
    </row>
    <row r="264" spans="1:9">
      <c r="A264" s="97">
        <v>40806</v>
      </c>
      <c r="B264" s="98">
        <v>0.53819444444444442</v>
      </c>
      <c r="C264" s="99">
        <v>40806</v>
      </c>
      <c r="D264" s="98">
        <v>0.70833333333333337</v>
      </c>
      <c r="E264" s="100" t="s">
        <v>2301</v>
      </c>
      <c r="F264" s="101" t="s">
        <v>124</v>
      </c>
      <c r="G264" s="116" t="s">
        <v>100</v>
      </c>
      <c r="H264" s="117" t="s">
        <v>255</v>
      </c>
      <c r="I264" s="118" t="s">
        <v>255</v>
      </c>
    </row>
    <row r="265" spans="1:9">
      <c r="A265" s="97">
        <v>40807</v>
      </c>
      <c r="B265" s="98">
        <v>0.4375</v>
      </c>
      <c r="C265" s="99">
        <v>40807</v>
      </c>
      <c r="D265" s="98">
        <v>0.4375</v>
      </c>
      <c r="E265" s="100" t="s">
        <v>2124</v>
      </c>
      <c r="F265" s="101" t="s">
        <v>826</v>
      </c>
      <c r="G265" s="116" t="s">
        <v>2150</v>
      </c>
      <c r="H265" s="117">
        <v>0</v>
      </c>
      <c r="I265" s="118">
        <v>0</v>
      </c>
    </row>
    <row r="266" spans="1:9" ht="20.100000000000001" customHeight="1">
      <c r="A266" s="97">
        <v>40807</v>
      </c>
      <c r="B266" s="98">
        <v>0.60902777777777783</v>
      </c>
      <c r="C266" s="99">
        <v>40807</v>
      </c>
      <c r="D266" s="98">
        <v>0.65763888888888888</v>
      </c>
      <c r="E266" s="100" t="s">
        <v>2271</v>
      </c>
      <c r="F266" s="101" t="s">
        <v>255</v>
      </c>
      <c r="G266" s="116" t="s">
        <v>2302</v>
      </c>
      <c r="H266" s="117">
        <v>600</v>
      </c>
      <c r="I266" s="118">
        <v>319616</v>
      </c>
    </row>
    <row r="267" spans="1:9">
      <c r="A267" s="97">
        <v>40808</v>
      </c>
      <c r="B267" s="98">
        <v>0.61805555555555558</v>
      </c>
      <c r="C267" s="99">
        <v>40808</v>
      </c>
      <c r="D267" s="98">
        <v>0.61875000000000002</v>
      </c>
      <c r="E267" s="100" t="s">
        <v>2303</v>
      </c>
      <c r="F267" s="101" t="s">
        <v>826</v>
      </c>
      <c r="G267" s="116" t="s">
        <v>100</v>
      </c>
      <c r="H267" s="117" t="s">
        <v>255</v>
      </c>
      <c r="I267" s="119">
        <v>0</v>
      </c>
    </row>
    <row r="268" spans="1:9">
      <c r="A268" s="97">
        <v>40809</v>
      </c>
      <c r="B268" s="98">
        <v>0.37777777777777777</v>
      </c>
      <c r="C268" s="99">
        <v>40809</v>
      </c>
      <c r="D268" s="98">
        <v>0.37777777777777777</v>
      </c>
      <c r="E268" s="100" t="s">
        <v>2304</v>
      </c>
      <c r="F268" s="101" t="s">
        <v>61</v>
      </c>
      <c r="G268" s="116" t="s">
        <v>100</v>
      </c>
      <c r="H268" s="117">
        <v>0</v>
      </c>
      <c r="I268" s="118">
        <v>0</v>
      </c>
    </row>
    <row r="269" spans="1:9" ht="20.100000000000001" customHeight="1">
      <c r="A269" s="97">
        <v>40810</v>
      </c>
      <c r="B269" s="98">
        <v>0.67847222222222225</v>
      </c>
      <c r="C269" s="99">
        <v>40811</v>
      </c>
      <c r="D269" s="98">
        <v>0.66666666666666663</v>
      </c>
      <c r="E269" s="100" t="s">
        <v>2296</v>
      </c>
      <c r="F269" s="101" t="s">
        <v>124</v>
      </c>
      <c r="G269" s="116" t="s">
        <v>100</v>
      </c>
      <c r="H269" s="117" t="s">
        <v>255</v>
      </c>
      <c r="I269" s="118" t="s">
        <v>255</v>
      </c>
    </row>
    <row r="270" spans="1:9">
      <c r="A270" s="97">
        <v>40812</v>
      </c>
      <c r="B270" s="98">
        <v>0.42708333333333331</v>
      </c>
      <c r="C270" s="99">
        <v>40812</v>
      </c>
      <c r="D270" s="98">
        <v>0.42708333333333331</v>
      </c>
      <c r="E270" s="100" t="s">
        <v>2305</v>
      </c>
      <c r="F270" s="101" t="s">
        <v>826</v>
      </c>
      <c r="G270" s="116" t="s">
        <v>100</v>
      </c>
      <c r="H270" s="117">
        <v>0</v>
      </c>
      <c r="I270" s="118">
        <v>0</v>
      </c>
    </row>
    <row r="271" spans="1:9">
      <c r="A271" s="97">
        <v>40815</v>
      </c>
      <c r="B271" s="98">
        <v>0.20833333333333334</v>
      </c>
      <c r="C271" s="99">
        <v>40816</v>
      </c>
      <c r="D271" s="98">
        <v>0.25</v>
      </c>
      <c r="E271" s="100" t="s">
        <v>2306</v>
      </c>
      <c r="F271" s="101" t="s">
        <v>1352</v>
      </c>
      <c r="G271" s="116" t="s">
        <v>22</v>
      </c>
      <c r="H271" s="117" t="s">
        <v>255</v>
      </c>
      <c r="I271" s="119">
        <v>65000</v>
      </c>
    </row>
    <row r="272" spans="1:9">
      <c r="A272" s="97">
        <v>40814</v>
      </c>
      <c r="B272" s="98">
        <v>0.39583333333333331</v>
      </c>
      <c r="C272" s="99">
        <v>40814</v>
      </c>
      <c r="D272" s="98">
        <v>0.54166666666666663</v>
      </c>
      <c r="E272" s="100" t="s">
        <v>2307</v>
      </c>
      <c r="F272" s="101" t="s">
        <v>61</v>
      </c>
      <c r="G272" s="116" t="s">
        <v>100</v>
      </c>
      <c r="H272" s="117" t="s">
        <v>255</v>
      </c>
      <c r="I272" s="118" t="s">
        <v>255</v>
      </c>
    </row>
    <row r="273" spans="1:19">
      <c r="A273" s="97">
        <v>40814</v>
      </c>
      <c r="B273" s="98">
        <v>0.62430555555555556</v>
      </c>
      <c r="C273" s="99">
        <v>40814</v>
      </c>
      <c r="D273" s="98">
        <v>0.62430555555555556</v>
      </c>
      <c r="E273" s="100" t="s">
        <v>2308</v>
      </c>
      <c r="F273" s="101" t="s">
        <v>826</v>
      </c>
      <c r="G273" s="116" t="s">
        <v>100</v>
      </c>
      <c r="H273" s="101">
        <v>0</v>
      </c>
      <c r="I273" s="118">
        <v>0</v>
      </c>
    </row>
    <row r="274" spans="1:19">
      <c r="A274" s="97">
        <v>40814</v>
      </c>
      <c r="B274" s="98">
        <v>0.69513888888888886</v>
      </c>
      <c r="C274" s="99">
        <v>40814</v>
      </c>
      <c r="D274" s="98">
        <v>0.69513888888888886</v>
      </c>
      <c r="E274" s="100" t="s">
        <v>2309</v>
      </c>
      <c r="F274" s="101" t="s">
        <v>826</v>
      </c>
      <c r="G274" s="116" t="s">
        <v>2150</v>
      </c>
      <c r="H274" s="101">
        <v>0</v>
      </c>
      <c r="I274" s="118">
        <v>0</v>
      </c>
    </row>
    <row r="275" spans="1:19" ht="18">
      <c r="A275" s="97">
        <v>40815</v>
      </c>
      <c r="B275" s="98">
        <v>0.78055555555555556</v>
      </c>
      <c r="C275" s="99">
        <v>40816</v>
      </c>
      <c r="D275" s="98">
        <v>0.66666666666666663</v>
      </c>
      <c r="E275" s="100" t="s">
        <v>2296</v>
      </c>
      <c r="F275" s="101" t="s">
        <v>124</v>
      </c>
      <c r="G275" s="116" t="s">
        <v>100</v>
      </c>
      <c r="H275" s="117" t="s">
        <v>255</v>
      </c>
      <c r="I275" s="118" t="s">
        <v>255</v>
      </c>
    </row>
    <row r="276" spans="1:19" ht="15.75" thickBot="1">
      <c r="A276" s="120">
        <v>40816</v>
      </c>
      <c r="B276" s="121">
        <v>0.34861111111111115</v>
      </c>
      <c r="C276" s="122">
        <v>40816</v>
      </c>
      <c r="D276" s="121">
        <v>0.34861111111111115</v>
      </c>
      <c r="E276" s="123" t="s">
        <v>2310</v>
      </c>
      <c r="F276" s="124" t="s">
        <v>826</v>
      </c>
      <c r="G276" s="125" t="s">
        <v>2150</v>
      </c>
      <c r="H276" s="124">
        <v>0</v>
      </c>
      <c r="I276" s="126">
        <v>0</v>
      </c>
    </row>
    <row r="277" spans="1:19" ht="15" hidden="1" customHeight="1">
      <c r="A277" s="816" t="s">
        <v>35</v>
      </c>
      <c r="B277" s="817"/>
      <c r="C277" s="84"/>
      <c r="D277" s="85"/>
      <c r="E277" s="84"/>
      <c r="F277" s="86"/>
      <c r="G277" s="84"/>
      <c r="H277" s="87"/>
      <c r="I277" s="88"/>
    </row>
    <row r="278" spans="1:19" s="127" customFormat="1" ht="15" customHeight="1">
      <c r="A278" s="97">
        <v>40822</v>
      </c>
      <c r="B278" s="98">
        <v>0.46319444444444446</v>
      </c>
      <c r="C278" s="99">
        <v>40822</v>
      </c>
      <c r="D278" s="98">
        <v>0.46319444444444446</v>
      </c>
      <c r="E278" s="100" t="s">
        <v>2311</v>
      </c>
      <c r="F278" s="101" t="s">
        <v>124</v>
      </c>
      <c r="G278" s="116" t="s">
        <v>100</v>
      </c>
      <c r="H278" s="101">
        <v>0</v>
      </c>
      <c r="I278" s="118">
        <v>0</v>
      </c>
      <c r="K278" s="128"/>
      <c r="L278" s="128"/>
      <c r="M278" s="128"/>
      <c r="N278" s="128"/>
      <c r="O278" s="128"/>
      <c r="P278" s="129"/>
      <c r="Q278" s="128"/>
      <c r="R278" s="128"/>
      <c r="S278" s="128"/>
    </row>
    <row r="279" spans="1:19" s="127" customFormat="1" ht="20.100000000000001" customHeight="1">
      <c r="A279" s="97">
        <v>40823</v>
      </c>
      <c r="B279" s="98">
        <v>0.33611111111111108</v>
      </c>
      <c r="C279" s="99">
        <v>40823</v>
      </c>
      <c r="D279" s="98">
        <v>0.66666666666666663</v>
      </c>
      <c r="E279" s="100" t="s">
        <v>2312</v>
      </c>
      <c r="F279" s="101" t="s">
        <v>124</v>
      </c>
      <c r="G279" s="116" t="s">
        <v>2150</v>
      </c>
      <c r="H279" s="101" t="s">
        <v>255</v>
      </c>
      <c r="I279" s="118" t="s">
        <v>255</v>
      </c>
      <c r="J279" s="128"/>
      <c r="K279" s="128"/>
      <c r="L279" s="128"/>
      <c r="M279" s="128"/>
      <c r="N279" s="128"/>
      <c r="O279" s="128"/>
      <c r="P279" s="129"/>
      <c r="Q279" s="128"/>
      <c r="R279" s="128"/>
      <c r="S279" s="128"/>
    </row>
    <row r="280" spans="1:19" s="127" customFormat="1" ht="15" customHeight="1">
      <c r="A280" s="97">
        <v>40830</v>
      </c>
      <c r="B280" s="98">
        <v>0.59722222222222221</v>
      </c>
      <c r="C280" s="99">
        <v>40830</v>
      </c>
      <c r="D280" s="98">
        <v>0.59722222222222221</v>
      </c>
      <c r="E280" s="100" t="s">
        <v>2297</v>
      </c>
      <c r="F280" s="101" t="s">
        <v>826</v>
      </c>
      <c r="G280" s="116" t="s">
        <v>100</v>
      </c>
      <c r="H280" s="101">
        <v>0</v>
      </c>
      <c r="I280" s="118">
        <v>0</v>
      </c>
      <c r="J280" s="128"/>
      <c r="K280" s="128"/>
      <c r="L280" s="128"/>
      <c r="M280" s="128"/>
      <c r="N280" s="128"/>
      <c r="O280" s="128"/>
      <c r="P280" s="129"/>
      <c r="Q280" s="128"/>
      <c r="R280" s="128"/>
      <c r="S280" s="128"/>
    </row>
    <row r="281" spans="1:19" s="127" customFormat="1" ht="15" customHeight="1">
      <c r="A281" s="97">
        <v>40833</v>
      </c>
      <c r="B281" s="98">
        <v>0.14861111111111111</v>
      </c>
      <c r="C281" s="99">
        <v>40833</v>
      </c>
      <c r="D281" s="98">
        <v>0.4458333333333333</v>
      </c>
      <c r="E281" s="100" t="s">
        <v>2313</v>
      </c>
      <c r="F281" s="101" t="s">
        <v>826</v>
      </c>
      <c r="G281" s="116" t="s">
        <v>100</v>
      </c>
      <c r="H281" s="101">
        <v>0</v>
      </c>
      <c r="I281" s="118">
        <v>0</v>
      </c>
      <c r="J281" s="128"/>
      <c r="K281" s="128"/>
      <c r="L281" s="128"/>
      <c r="M281" s="128"/>
      <c r="N281" s="128"/>
      <c r="O281" s="128"/>
      <c r="P281" s="129"/>
      <c r="Q281" s="128"/>
      <c r="R281" s="128"/>
      <c r="S281" s="128"/>
    </row>
    <row r="282" spans="1:19" s="127" customFormat="1" ht="15" customHeight="1">
      <c r="A282" s="97">
        <v>40833</v>
      </c>
      <c r="B282" s="98">
        <v>0.65555555555555556</v>
      </c>
      <c r="C282" s="99">
        <v>40833</v>
      </c>
      <c r="D282" s="98">
        <v>0.65555555555555556</v>
      </c>
      <c r="E282" s="100" t="s">
        <v>1472</v>
      </c>
      <c r="F282" s="101" t="s">
        <v>826</v>
      </c>
      <c r="G282" s="116" t="s">
        <v>100</v>
      </c>
      <c r="H282" s="101">
        <v>7</v>
      </c>
      <c r="I282" s="118">
        <v>2000</v>
      </c>
      <c r="J282" s="128"/>
      <c r="K282" s="128"/>
      <c r="L282" s="128"/>
      <c r="M282" s="128"/>
      <c r="N282" s="128"/>
      <c r="O282" s="128"/>
      <c r="P282" s="129"/>
      <c r="Q282" s="128"/>
      <c r="R282" s="128"/>
      <c r="S282" s="128"/>
    </row>
    <row r="283" spans="1:19" s="127" customFormat="1" ht="20.100000000000001" customHeight="1">
      <c r="A283" s="97">
        <v>40834</v>
      </c>
      <c r="B283" s="98">
        <v>0.15625</v>
      </c>
      <c r="C283" s="99">
        <v>40834</v>
      </c>
      <c r="D283" s="98">
        <v>0.22569444444444445</v>
      </c>
      <c r="E283" s="100" t="s">
        <v>2314</v>
      </c>
      <c r="F283" s="101" t="s">
        <v>826</v>
      </c>
      <c r="G283" s="116" t="s">
        <v>2150</v>
      </c>
      <c r="H283" s="101">
        <v>0</v>
      </c>
      <c r="I283" s="118">
        <v>0</v>
      </c>
      <c r="J283" s="128"/>
      <c r="K283" s="128"/>
      <c r="L283" s="128"/>
      <c r="M283" s="128"/>
      <c r="N283" s="128"/>
      <c r="O283" s="128"/>
      <c r="P283" s="129"/>
      <c r="Q283" s="128"/>
      <c r="R283" s="128"/>
      <c r="S283" s="128"/>
    </row>
    <row r="284" spans="1:19" s="127" customFormat="1" ht="15" customHeight="1">
      <c r="A284" s="97">
        <v>40836</v>
      </c>
      <c r="B284" s="98">
        <v>0.30208333333333331</v>
      </c>
      <c r="C284" s="99">
        <v>40836</v>
      </c>
      <c r="D284" s="98">
        <v>0.30208333333333331</v>
      </c>
      <c r="E284" s="100" t="s">
        <v>2315</v>
      </c>
      <c r="F284" s="101" t="s">
        <v>826</v>
      </c>
      <c r="G284" s="116" t="s">
        <v>100</v>
      </c>
      <c r="H284" s="101">
        <v>0</v>
      </c>
      <c r="I284" s="118">
        <v>0</v>
      </c>
      <c r="J284" s="128"/>
      <c r="K284" s="128"/>
      <c r="L284" s="128"/>
      <c r="M284" s="128"/>
      <c r="N284" s="128"/>
      <c r="O284" s="128"/>
      <c r="P284" s="129"/>
      <c r="Q284" s="128"/>
      <c r="R284" s="128"/>
      <c r="S284" s="128"/>
    </row>
    <row r="285" spans="1:19" s="127" customFormat="1" ht="20.100000000000001" customHeight="1">
      <c r="A285" s="97">
        <v>40840</v>
      </c>
      <c r="B285" s="98">
        <v>0.98402777777777783</v>
      </c>
      <c r="C285" s="99">
        <v>40842</v>
      </c>
      <c r="D285" s="98">
        <v>0.95833333333333337</v>
      </c>
      <c r="E285" s="100" t="s">
        <v>2314</v>
      </c>
      <c r="F285" s="101" t="s">
        <v>826</v>
      </c>
      <c r="G285" s="116" t="s">
        <v>2150</v>
      </c>
      <c r="H285" s="101">
        <v>0</v>
      </c>
      <c r="I285" s="118">
        <v>0</v>
      </c>
      <c r="J285" s="128"/>
      <c r="K285" s="128"/>
      <c r="L285" s="128"/>
      <c r="M285" s="128"/>
      <c r="N285" s="128"/>
      <c r="O285" s="128"/>
      <c r="P285" s="129"/>
      <c r="Q285" s="128"/>
      <c r="R285" s="128"/>
      <c r="S285" s="128"/>
    </row>
    <row r="286" spans="1:19" s="127" customFormat="1" ht="20.100000000000001" customHeight="1">
      <c r="A286" s="97">
        <v>40842</v>
      </c>
      <c r="B286" s="98">
        <v>0.20833333333333334</v>
      </c>
      <c r="C286" s="99">
        <v>40843</v>
      </c>
      <c r="D286" s="98">
        <v>0.625</v>
      </c>
      <c r="E286" s="100" t="s">
        <v>2316</v>
      </c>
      <c r="F286" s="101" t="s">
        <v>124</v>
      </c>
      <c r="G286" s="116" t="s">
        <v>22</v>
      </c>
      <c r="H286" s="101" t="s">
        <v>2130</v>
      </c>
      <c r="I286" s="118">
        <v>204000</v>
      </c>
      <c r="J286" s="128"/>
      <c r="K286" s="128"/>
      <c r="L286" s="128"/>
      <c r="M286" s="128"/>
      <c r="N286" s="128"/>
      <c r="O286" s="128"/>
      <c r="P286" s="129"/>
      <c r="Q286" s="128"/>
      <c r="R286" s="128"/>
      <c r="S286" s="128"/>
    </row>
    <row r="287" spans="1:19" s="127" customFormat="1" ht="15" customHeight="1">
      <c r="A287" s="97">
        <v>40843</v>
      </c>
      <c r="B287" s="98">
        <v>4.1666666666666664E-2</v>
      </c>
      <c r="C287" s="99">
        <v>40843</v>
      </c>
      <c r="D287" s="98">
        <v>0.10833333333333334</v>
      </c>
      <c r="E287" s="100" t="s">
        <v>2317</v>
      </c>
      <c r="F287" s="101" t="s">
        <v>826</v>
      </c>
      <c r="G287" s="116" t="s">
        <v>100</v>
      </c>
      <c r="H287" s="101" t="s">
        <v>255</v>
      </c>
      <c r="I287" s="118" t="s">
        <v>255</v>
      </c>
      <c r="J287" s="128"/>
      <c r="K287" s="128"/>
      <c r="L287" s="128"/>
      <c r="M287" s="128"/>
      <c r="N287" s="128"/>
      <c r="O287" s="128"/>
      <c r="P287" s="129"/>
      <c r="Q287" s="128"/>
      <c r="R287" s="128"/>
      <c r="S287" s="128"/>
    </row>
    <row r="288" spans="1:19" s="127" customFormat="1" ht="15" customHeight="1">
      <c r="A288" s="97">
        <v>40845</v>
      </c>
      <c r="B288" s="98">
        <v>0.3743055555555555</v>
      </c>
      <c r="C288" s="99">
        <v>40854</v>
      </c>
      <c r="D288" s="98">
        <v>0.83194444444444438</v>
      </c>
      <c r="E288" s="100" t="s">
        <v>171</v>
      </c>
      <c r="F288" s="101" t="s">
        <v>826</v>
      </c>
      <c r="G288" s="116" t="s">
        <v>22</v>
      </c>
      <c r="H288" s="101" t="s">
        <v>2130</v>
      </c>
      <c r="I288" s="118">
        <v>312359</v>
      </c>
      <c r="J288" s="128"/>
      <c r="K288" s="128"/>
      <c r="L288" s="128"/>
      <c r="M288" s="128"/>
      <c r="N288" s="128"/>
      <c r="O288" s="128"/>
      <c r="P288" s="129"/>
      <c r="Q288" s="128"/>
      <c r="R288" s="128"/>
      <c r="S288" s="128"/>
    </row>
    <row r="289" spans="1:19" s="127" customFormat="1" ht="15" customHeight="1">
      <c r="A289" s="97">
        <v>40845</v>
      </c>
      <c r="B289" s="98">
        <v>0.3743055555555555</v>
      </c>
      <c r="C289" s="99">
        <v>40854</v>
      </c>
      <c r="D289" s="98">
        <v>0.625</v>
      </c>
      <c r="E289" s="100" t="s">
        <v>171</v>
      </c>
      <c r="F289" s="101" t="s">
        <v>826</v>
      </c>
      <c r="G289" s="116" t="s">
        <v>22</v>
      </c>
      <c r="H289" s="101" t="s">
        <v>2130</v>
      </c>
      <c r="I289" s="118">
        <v>50000</v>
      </c>
      <c r="J289" s="128"/>
      <c r="K289" s="128"/>
      <c r="L289" s="128"/>
      <c r="M289" s="128"/>
      <c r="N289" s="128"/>
      <c r="O289" s="128"/>
      <c r="P289" s="129"/>
      <c r="Q289" s="128"/>
      <c r="R289" s="128"/>
      <c r="S289" s="128"/>
    </row>
    <row r="290" spans="1:19" s="127" customFormat="1" ht="20.100000000000001" customHeight="1">
      <c r="A290" s="97">
        <v>40845</v>
      </c>
      <c r="B290" s="98">
        <v>0.41597222222222219</v>
      </c>
      <c r="C290" s="99">
        <v>40854</v>
      </c>
      <c r="D290" s="98">
        <v>0.54166666666666663</v>
      </c>
      <c r="E290" s="100" t="s">
        <v>2318</v>
      </c>
      <c r="F290" s="101" t="s">
        <v>826</v>
      </c>
      <c r="G290" s="116" t="s">
        <v>22</v>
      </c>
      <c r="H290" s="101" t="s">
        <v>2130</v>
      </c>
      <c r="I290" s="118">
        <v>379000</v>
      </c>
      <c r="J290" s="128"/>
      <c r="K290" s="128"/>
      <c r="L290" s="128"/>
      <c r="M290" s="128"/>
      <c r="N290" s="128"/>
      <c r="O290" s="128"/>
      <c r="P290" s="129"/>
      <c r="Q290" s="128"/>
      <c r="R290" s="128"/>
      <c r="S290" s="128"/>
    </row>
    <row r="291" spans="1:19" s="127" customFormat="1" ht="15" customHeight="1">
      <c r="A291" s="97">
        <v>40845</v>
      </c>
      <c r="B291" s="98">
        <v>0.47083333333333338</v>
      </c>
      <c r="C291" s="99">
        <v>40851</v>
      </c>
      <c r="D291" s="98">
        <v>0</v>
      </c>
      <c r="E291" s="100" t="s">
        <v>2319</v>
      </c>
      <c r="F291" s="101" t="s">
        <v>61</v>
      </c>
      <c r="G291" s="116" t="s">
        <v>22</v>
      </c>
      <c r="H291" s="101" t="s">
        <v>2130</v>
      </c>
      <c r="I291" s="118">
        <v>161151</v>
      </c>
      <c r="J291" s="128"/>
      <c r="K291" s="128"/>
      <c r="L291" s="128"/>
      <c r="M291" s="128"/>
      <c r="N291" s="128"/>
      <c r="O291" s="128"/>
      <c r="P291" s="129"/>
      <c r="Q291" s="128"/>
      <c r="R291" s="128"/>
      <c r="S291" s="128"/>
    </row>
    <row r="292" spans="1:19" s="127" customFormat="1" ht="20.100000000000001" customHeight="1">
      <c r="A292" s="97">
        <v>40845</v>
      </c>
      <c r="B292" s="98">
        <v>0.5395833333333333</v>
      </c>
      <c r="C292" s="99">
        <v>40850</v>
      </c>
      <c r="D292" s="98">
        <v>0.95833333333333337</v>
      </c>
      <c r="E292" s="100" t="s">
        <v>2320</v>
      </c>
      <c r="F292" s="101" t="s">
        <v>826</v>
      </c>
      <c r="G292" s="116" t="s">
        <v>22</v>
      </c>
      <c r="H292" s="101" t="s">
        <v>2130</v>
      </c>
      <c r="I292" s="118">
        <v>146721</v>
      </c>
      <c r="J292" s="128"/>
      <c r="K292" s="128"/>
      <c r="L292" s="128"/>
      <c r="M292" s="128"/>
      <c r="N292" s="128"/>
      <c r="O292" s="128"/>
      <c r="P292" s="129"/>
      <c r="Q292" s="128"/>
      <c r="R292" s="128"/>
      <c r="S292" s="128"/>
    </row>
    <row r="293" spans="1:19" s="127" customFormat="1" ht="15" customHeight="1">
      <c r="A293" s="97">
        <v>40845</v>
      </c>
      <c r="B293" s="98">
        <v>0.58333333333333337</v>
      </c>
      <c r="C293" s="99">
        <v>40847</v>
      </c>
      <c r="D293" s="130">
        <v>0.58333333333333337</v>
      </c>
      <c r="E293" s="100" t="s">
        <v>2321</v>
      </c>
      <c r="F293" s="101" t="s">
        <v>826</v>
      </c>
      <c r="G293" s="116" t="s">
        <v>22</v>
      </c>
      <c r="H293" s="101" t="s">
        <v>2130</v>
      </c>
      <c r="I293" s="118">
        <v>109335</v>
      </c>
      <c r="J293" s="128"/>
      <c r="K293" s="128"/>
      <c r="L293" s="128"/>
      <c r="M293" s="128"/>
      <c r="N293" s="128"/>
      <c r="O293" s="128"/>
      <c r="P293" s="129"/>
      <c r="Q293" s="128"/>
      <c r="R293" s="128"/>
      <c r="S293" s="128"/>
    </row>
    <row r="294" spans="1:19" s="127" customFormat="1" ht="20.100000000000001" customHeight="1">
      <c r="A294" s="97">
        <v>40845</v>
      </c>
      <c r="B294" s="98">
        <v>0.60416666666666663</v>
      </c>
      <c r="C294" s="99">
        <v>40853</v>
      </c>
      <c r="D294" s="98">
        <v>0.5</v>
      </c>
      <c r="E294" s="100" t="s">
        <v>2288</v>
      </c>
      <c r="F294" s="101" t="s">
        <v>826</v>
      </c>
      <c r="G294" s="116" t="s">
        <v>22</v>
      </c>
      <c r="H294" s="101">
        <v>125</v>
      </c>
      <c r="I294" s="118">
        <v>197000</v>
      </c>
      <c r="J294" s="128"/>
      <c r="K294" s="128"/>
      <c r="L294" s="128"/>
      <c r="M294" s="128"/>
      <c r="N294" s="128"/>
      <c r="O294" s="128"/>
      <c r="P294" s="129"/>
      <c r="Q294" s="128"/>
      <c r="R294" s="128"/>
      <c r="S294" s="128"/>
    </row>
    <row r="295" spans="1:19" s="127" customFormat="1" ht="20.100000000000001" customHeight="1">
      <c r="A295" s="97">
        <v>40845</v>
      </c>
      <c r="B295" s="98">
        <v>0.625</v>
      </c>
      <c r="C295" s="99">
        <v>40849</v>
      </c>
      <c r="D295" s="98">
        <v>0.34375</v>
      </c>
      <c r="E295" s="100" t="s">
        <v>2322</v>
      </c>
      <c r="F295" s="101" t="s">
        <v>61</v>
      </c>
      <c r="G295" s="116" t="s">
        <v>22</v>
      </c>
      <c r="H295" s="101" t="s">
        <v>255</v>
      </c>
      <c r="I295" s="118">
        <v>145000</v>
      </c>
      <c r="J295" s="128"/>
      <c r="K295" s="128"/>
      <c r="L295" s="128"/>
      <c r="M295" s="128"/>
      <c r="N295" s="128"/>
      <c r="O295" s="128"/>
      <c r="P295" s="129"/>
      <c r="Q295" s="128"/>
      <c r="R295" s="128"/>
      <c r="S295" s="128"/>
    </row>
    <row r="296" spans="1:19" s="127" customFormat="1" ht="30" customHeight="1">
      <c r="A296" s="97">
        <v>40845</v>
      </c>
      <c r="B296" s="98">
        <v>0.67638888888888893</v>
      </c>
      <c r="C296" s="99">
        <v>40854</v>
      </c>
      <c r="D296" s="98">
        <v>0.66666666666666663</v>
      </c>
      <c r="E296" s="100" t="s">
        <v>2323</v>
      </c>
      <c r="F296" s="101" t="s">
        <v>61</v>
      </c>
      <c r="G296" s="116" t="s">
        <v>22</v>
      </c>
      <c r="H296" s="101" t="s">
        <v>2130</v>
      </c>
      <c r="I296" s="118">
        <v>1418100</v>
      </c>
      <c r="J296" s="128"/>
      <c r="K296" s="128"/>
      <c r="L296" s="128"/>
      <c r="M296" s="128"/>
      <c r="N296" s="128"/>
      <c r="O296" s="128"/>
      <c r="P296" s="129"/>
      <c r="Q296" s="128"/>
      <c r="R296" s="128"/>
      <c r="S296" s="128"/>
    </row>
    <row r="297" spans="1:19" s="127" customFormat="1" ht="20.100000000000001" customHeight="1">
      <c r="A297" s="97">
        <v>40845</v>
      </c>
      <c r="B297" s="98">
        <v>0.6777777777777777</v>
      </c>
      <c r="C297" s="99">
        <v>40849</v>
      </c>
      <c r="D297" s="98">
        <v>0.89583333333333337</v>
      </c>
      <c r="E297" s="100" t="s">
        <v>2324</v>
      </c>
      <c r="F297" s="101" t="s">
        <v>61</v>
      </c>
      <c r="G297" s="116" t="s">
        <v>22</v>
      </c>
      <c r="H297" s="101" t="s">
        <v>2130</v>
      </c>
      <c r="I297" s="118">
        <v>50000</v>
      </c>
      <c r="J297" s="128"/>
      <c r="K297" s="128"/>
      <c r="L297" s="128"/>
      <c r="M297" s="128"/>
      <c r="N297" s="128"/>
      <c r="O297" s="128"/>
      <c r="P297" s="129"/>
      <c r="Q297" s="128"/>
      <c r="R297" s="128"/>
      <c r="S297" s="128"/>
    </row>
    <row r="298" spans="1:19" s="127" customFormat="1" ht="20.100000000000001" customHeight="1">
      <c r="A298" s="97">
        <v>40845</v>
      </c>
      <c r="B298" s="98">
        <v>0.83333333333333337</v>
      </c>
      <c r="C298" s="99">
        <v>40847</v>
      </c>
      <c r="D298" s="98">
        <v>0.83333333333333337</v>
      </c>
      <c r="E298" s="100" t="s">
        <v>2325</v>
      </c>
      <c r="F298" s="101" t="s">
        <v>2326</v>
      </c>
      <c r="G298" s="116" t="s">
        <v>22</v>
      </c>
      <c r="H298" s="101" t="s">
        <v>255</v>
      </c>
      <c r="I298" s="118">
        <v>74000</v>
      </c>
      <c r="J298" s="128"/>
      <c r="K298" s="128"/>
      <c r="L298" s="128"/>
      <c r="M298" s="128"/>
      <c r="N298" s="128"/>
      <c r="O298" s="128"/>
      <c r="P298" s="129"/>
      <c r="Q298" s="128"/>
      <c r="R298" s="128"/>
      <c r="S298" s="128"/>
    </row>
    <row r="299" spans="1:19" s="135" customFormat="1" ht="15" hidden="1" customHeight="1">
      <c r="A299" s="816" t="s">
        <v>38</v>
      </c>
      <c r="B299" s="825"/>
      <c r="C299" s="131"/>
      <c r="D299" s="132"/>
      <c r="E299" s="131"/>
      <c r="F299" s="86"/>
      <c r="G299" s="131"/>
      <c r="H299" s="133"/>
      <c r="I299" s="134"/>
    </row>
    <row r="300" spans="1:19" s="135" customFormat="1" ht="15" customHeight="1">
      <c r="A300" s="97">
        <v>40851</v>
      </c>
      <c r="B300" s="98">
        <v>0.44861111111111113</v>
      </c>
      <c r="C300" s="99">
        <v>40851</v>
      </c>
      <c r="D300" s="98">
        <v>0.44861111111111113</v>
      </c>
      <c r="E300" s="116" t="s">
        <v>2327</v>
      </c>
      <c r="F300" s="101" t="s">
        <v>124</v>
      </c>
      <c r="G300" s="116" t="s">
        <v>100</v>
      </c>
      <c r="H300" s="101">
        <v>0</v>
      </c>
      <c r="I300" s="119">
        <v>0</v>
      </c>
    </row>
    <row r="301" spans="1:19" s="135" customFormat="1" ht="20.100000000000001" customHeight="1">
      <c r="A301" s="97">
        <v>40860</v>
      </c>
      <c r="B301" s="98">
        <v>0.47916666666666669</v>
      </c>
      <c r="C301" s="99">
        <v>40860</v>
      </c>
      <c r="D301" s="98">
        <v>0.5</v>
      </c>
      <c r="E301" s="116" t="s">
        <v>2328</v>
      </c>
      <c r="F301" s="101" t="s">
        <v>61</v>
      </c>
      <c r="G301" s="116" t="s">
        <v>100</v>
      </c>
      <c r="H301" s="101">
        <v>0</v>
      </c>
      <c r="I301" s="119">
        <v>0</v>
      </c>
    </row>
    <row r="302" spans="1:19" s="135" customFormat="1" ht="15" customHeight="1">
      <c r="A302" s="97">
        <v>40861</v>
      </c>
      <c r="B302" s="98">
        <v>0.6</v>
      </c>
      <c r="C302" s="99">
        <v>40861</v>
      </c>
      <c r="D302" s="98">
        <v>0.6</v>
      </c>
      <c r="E302" s="116" t="s">
        <v>2315</v>
      </c>
      <c r="F302" s="101" t="s">
        <v>826</v>
      </c>
      <c r="G302" s="116" t="s">
        <v>100</v>
      </c>
      <c r="H302" s="101">
        <v>0</v>
      </c>
      <c r="I302" s="119">
        <v>0</v>
      </c>
    </row>
    <row r="303" spans="1:19" s="135" customFormat="1" ht="15" customHeight="1">
      <c r="A303" s="97">
        <v>40869</v>
      </c>
      <c r="B303" s="98">
        <v>0.96944444444444444</v>
      </c>
      <c r="C303" s="99">
        <v>40869</v>
      </c>
      <c r="D303" s="98">
        <v>0.96944444444444444</v>
      </c>
      <c r="E303" s="116" t="s">
        <v>1470</v>
      </c>
      <c r="F303" s="101" t="s">
        <v>826</v>
      </c>
      <c r="G303" s="116" t="s">
        <v>2150</v>
      </c>
      <c r="H303" s="101">
        <v>0</v>
      </c>
      <c r="I303" s="119">
        <v>0</v>
      </c>
    </row>
    <row r="304" spans="1:19" s="135" customFormat="1" ht="15" customHeight="1">
      <c r="A304" s="97">
        <v>40877</v>
      </c>
      <c r="B304" s="98">
        <v>0.41666666666666669</v>
      </c>
      <c r="C304" s="99">
        <v>40877</v>
      </c>
      <c r="D304" s="98">
        <v>0.45833333333333331</v>
      </c>
      <c r="E304" s="116" t="s">
        <v>2329</v>
      </c>
      <c r="F304" s="101" t="s">
        <v>124</v>
      </c>
      <c r="G304" s="116" t="s">
        <v>100</v>
      </c>
      <c r="H304" s="101">
        <v>0</v>
      </c>
      <c r="I304" s="119">
        <v>0</v>
      </c>
    </row>
    <row r="305" spans="1:9" s="135" customFormat="1" ht="20.100000000000001" customHeight="1">
      <c r="A305" s="97">
        <v>40877</v>
      </c>
      <c r="B305" s="98">
        <v>0.7055555555555556</v>
      </c>
      <c r="C305" s="99">
        <v>40879</v>
      </c>
      <c r="D305" s="98">
        <v>0.41666666666666669</v>
      </c>
      <c r="E305" s="116" t="s">
        <v>1106</v>
      </c>
      <c r="F305" s="101" t="s">
        <v>124</v>
      </c>
      <c r="G305" s="116" t="s">
        <v>22</v>
      </c>
      <c r="H305" s="101" t="s">
        <v>2130</v>
      </c>
      <c r="I305" s="118">
        <v>150000</v>
      </c>
    </row>
    <row r="306" spans="1:9" s="135" customFormat="1" ht="15" hidden="1" customHeight="1">
      <c r="A306" s="816" t="s">
        <v>47</v>
      </c>
      <c r="B306" s="825"/>
      <c r="C306" s="131"/>
      <c r="D306" s="132"/>
      <c r="E306" s="131"/>
      <c r="F306" s="86"/>
      <c r="G306" s="131"/>
      <c r="H306" s="133"/>
      <c r="I306" s="134"/>
    </row>
    <row r="307" spans="1:9">
      <c r="A307" s="97">
        <v>40878</v>
      </c>
      <c r="B307" s="98">
        <v>3.125E-2</v>
      </c>
      <c r="C307" s="99">
        <v>40884</v>
      </c>
      <c r="D307" s="98">
        <v>0.875</v>
      </c>
      <c r="E307" s="116" t="s">
        <v>703</v>
      </c>
      <c r="F307" s="101" t="s">
        <v>124</v>
      </c>
      <c r="G307" s="116" t="s">
        <v>22</v>
      </c>
      <c r="H307" s="117" t="s">
        <v>2130</v>
      </c>
      <c r="I307" s="118">
        <v>91690</v>
      </c>
    </row>
    <row r="308" spans="1:9">
      <c r="A308" s="97">
        <v>40878</v>
      </c>
      <c r="B308" s="98">
        <v>0.1451388888888889</v>
      </c>
      <c r="C308" s="99">
        <v>40879</v>
      </c>
      <c r="D308" s="98">
        <v>0.54513888888888895</v>
      </c>
      <c r="E308" s="116" t="s">
        <v>141</v>
      </c>
      <c r="F308" s="101" t="s">
        <v>124</v>
      </c>
      <c r="G308" s="116" t="s">
        <v>22</v>
      </c>
      <c r="H308" s="101">
        <v>300</v>
      </c>
      <c r="I308" s="118">
        <v>100000</v>
      </c>
    </row>
    <row r="309" spans="1:9">
      <c r="A309" s="97">
        <v>40878</v>
      </c>
      <c r="B309" s="98">
        <v>0.41666666666666669</v>
      </c>
      <c r="C309" s="99">
        <v>40879</v>
      </c>
      <c r="D309" s="98">
        <v>0.5493055555555556</v>
      </c>
      <c r="E309" s="116" t="s">
        <v>2330</v>
      </c>
      <c r="F309" s="101" t="s">
        <v>124</v>
      </c>
      <c r="G309" s="116" t="s">
        <v>22</v>
      </c>
      <c r="H309" s="117" t="s">
        <v>2130</v>
      </c>
      <c r="I309" s="118">
        <v>60000</v>
      </c>
    </row>
    <row r="310" spans="1:9">
      <c r="A310" s="97">
        <v>40879</v>
      </c>
      <c r="B310" s="98">
        <v>0.67708333333333337</v>
      </c>
      <c r="C310" s="99">
        <v>40879</v>
      </c>
      <c r="D310" s="98">
        <v>0.85416666666666663</v>
      </c>
      <c r="E310" s="116" t="s">
        <v>2331</v>
      </c>
      <c r="F310" s="101" t="s">
        <v>1352</v>
      </c>
      <c r="G310" s="116" t="s">
        <v>2150</v>
      </c>
      <c r="H310" s="117" t="s">
        <v>255</v>
      </c>
      <c r="I310" s="118" t="s">
        <v>255</v>
      </c>
    </row>
    <row r="311" spans="1:9">
      <c r="A311" s="97">
        <v>40882</v>
      </c>
      <c r="B311" s="98">
        <v>0.58333333333333337</v>
      </c>
      <c r="C311" s="99">
        <v>40883</v>
      </c>
      <c r="D311" s="98">
        <v>0.70833333333333337</v>
      </c>
      <c r="E311" s="116" t="s">
        <v>2332</v>
      </c>
      <c r="F311" s="101" t="s">
        <v>124</v>
      </c>
      <c r="G311" s="116" t="s">
        <v>2150</v>
      </c>
      <c r="H311" s="117" t="s">
        <v>255</v>
      </c>
      <c r="I311" s="118" t="s">
        <v>255</v>
      </c>
    </row>
    <row r="312" spans="1:9" ht="18">
      <c r="A312" s="97">
        <v>40883</v>
      </c>
      <c r="B312" s="98">
        <v>0.33333333333333331</v>
      </c>
      <c r="C312" s="99">
        <v>40883</v>
      </c>
      <c r="D312" s="98">
        <v>0.83333333333333337</v>
      </c>
      <c r="E312" s="116" t="s">
        <v>2333</v>
      </c>
      <c r="F312" s="101" t="s">
        <v>674</v>
      </c>
      <c r="G312" s="116" t="s">
        <v>2221</v>
      </c>
      <c r="H312" s="101">
        <v>155</v>
      </c>
      <c r="I312" s="118">
        <v>34500</v>
      </c>
    </row>
    <row r="313" spans="1:9">
      <c r="A313" s="97">
        <v>40883</v>
      </c>
      <c r="B313" s="98">
        <v>0.73472222222222217</v>
      </c>
      <c r="C313" s="99">
        <v>40884</v>
      </c>
      <c r="D313" s="98">
        <v>0.46111111111111108</v>
      </c>
      <c r="E313" s="116" t="s">
        <v>2334</v>
      </c>
      <c r="F313" s="101" t="s">
        <v>826</v>
      </c>
      <c r="G313" s="116" t="s">
        <v>2150</v>
      </c>
      <c r="H313" s="101">
        <v>0</v>
      </c>
      <c r="I313" s="118">
        <v>0</v>
      </c>
    </row>
    <row r="314" spans="1:9">
      <c r="A314" s="97">
        <v>40884</v>
      </c>
      <c r="B314" s="98">
        <v>0.81180555555555556</v>
      </c>
      <c r="C314" s="99">
        <v>40884</v>
      </c>
      <c r="D314" s="98">
        <v>0.95624999999999993</v>
      </c>
      <c r="E314" s="116" t="s">
        <v>459</v>
      </c>
      <c r="F314" s="101" t="s">
        <v>63</v>
      </c>
      <c r="G314" s="116" t="s">
        <v>22</v>
      </c>
      <c r="H314" s="101">
        <v>240</v>
      </c>
      <c r="I314" s="118">
        <v>60000</v>
      </c>
    </row>
    <row r="315" spans="1:9">
      <c r="A315" s="97">
        <v>40885</v>
      </c>
      <c r="B315" s="98">
        <v>0.36458333333333331</v>
      </c>
      <c r="C315" s="99">
        <v>40885</v>
      </c>
      <c r="D315" s="98">
        <v>0.6875</v>
      </c>
      <c r="E315" s="116" t="s">
        <v>2332</v>
      </c>
      <c r="F315" s="101" t="s">
        <v>124</v>
      </c>
      <c r="G315" s="116" t="s">
        <v>2150</v>
      </c>
      <c r="H315" s="117" t="s">
        <v>255</v>
      </c>
      <c r="I315" s="118" t="s">
        <v>255</v>
      </c>
    </row>
    <row r="316" spans="1:9">
      <c r="A316" s="97">
        <v>40890</v>
      </c>
      <c r="B316" s="98">
        <v>0.13819444444444443</v>
      </c>
      <c r="C316" s="99">
        <v>40891</v>
      </c>
      <c r="D316" s="98">
        <v>0.13819444444444443</v>
      </c>
      <c r="E316" s="116" t="s">
        <v>2335</v>
      </c>
      <c r="F316" s="101" t="s">
        <v>826</v>
      </c>
      <c r="G316" s="116" t="s">
        <v>2150</v>
      </c>
      <c r="H316" s="117" t="s">
        <v>255</v>
      </c>
      <c r="I316" s="119">
        <v>0</v>
      </c>
    </row>
    <row r="317" spans="1:9" ht="18">
      <c r="A317" s="97">
        <v>40896</v>
      </c>
      <c r="B317" s="98">
        <v>0.3666666666666667</v>
      </c>
      <c r="C317" s="99">
        <v>40896</v>
      </c>
      <c r="D317" s="98">
        <v>0.66666666666666663</v>
      </c>
      <c r="E317" s="116" t="s">
        <v>2336</v>
      </c>
      <c r="F317" s="101" t="s">
        <v>124</v>
      </c>
      <c r="G317" s="116" t="s">
        <v>2150</v>
      </c>
      <c r="H317" s="117" t="s">
        <v>255</v>
      </c>
      <c r="I317" s="118" t="s">
        <v>255</v>
      </c>
    </row>
    <row r="318" spans="1:9">
      <c r="A318" s="97">
        <v>40897</v>
      </c>
      <c r="B318" s="98">
        <v>0.32291666666666669</v>
      </c>
      <c r="C318" s="99">
        <v>40897</v>
      </c>
      <c r="D318" s="98">
        <v>0.36458333333333331</v>
      </c>
      <c r="E318" s="116" t="s">
        <v>2337</v>
      </c>
      <c r="F318" s="101" t="s">
        <v>124</v>
      </c>
      <c r="G318" s="116" t="s">
        <v>2150</v>
      </c>
      <c r="H318" s="101">
        <v>12</v>
      </c>
      <c r="I318" s="118">
        <v>2500</v>
      </c>
    </row>
    <row r="319" spans="1:9">
      <c r="A319" s="97">
        <v>40897</v>
      </c>
      <c r="B319" s="98">
        <v>0.39583333333333331</v>
      </c>
      <c r="C319" s="99">
        <v>40897</v>
      </c>
      <c r="D319" s="98">
        <v>0.39652777777777781</v>
      </c>
      <c r="E319" s="116" t="s">
        <v>2332</v>
      </c>
      <c r="F319" s="101" t="s">
        <v>124</v>
      </c>
      <c r="G319" s="116" t="s">
        <v>2150</v>
      </c>
      <c r="H319" s="117" t="s">
        <v>255</v>
      </c>
      <c r="I319" s="118" t="s">
        <v>255</v>
      </c>
    </row>
    <row r="320" spans="1:9">
      <c r="A320" s="97">
        <v>40898</v>
      </c>
      <c r="B320" s="98">
        <v>0.4375</v>
      </c>
      <c r="C320" s="99">
        <v>40898</v>
      </c>
      <c r="D320" s="98">
        <v>0.4375</v>
      </c>
      <c r="E320" s="116" t="s">
        <v>2338</v>
      </c>
      <c r="F320" s="101" t="s">
        <v>124</v>
      </c>
      <c r="G320" s="116" t="s">
        <v>2139</v>
      </c>
      <c r="H320" s="101">
        <v>0</v>
      </c>
      <c r="I320" s="118">
        <v>0</v>
      </c>
    </row>
    <row r="321" spans="1:9">
      <c r="A321" s="97">
        <v>40908</v>
      </c>
      <c r="B321" s="98">
        <v>0.8930555555555556</v>
      </c>
      <c r="C321" s="99">
        <v>40908</v>
      </c>
      <c r="D321" s="98">
        <v>0.8930555555555556</v>
      </c>
      <c r="E321" s="116" t="s">
        <v>2332</v>
      </c>
      <c r="F321" s="101" t="s">
        <v>124</v>
      </c>
      <c r="G321" s="116" t="s">
        <v>2150</v>
      </c>
      <c r="H321" s="117" t="s">
        <v>255</v>
      </c>
      <c r="I321" s="119" t="s">
        <v>255</v>
      </c>
    </row>
    <row r="322" spans="1:9" ht="8.25" customHeight="1"/>
    <row r="323" spans="1:9">
      <c r="A323" s="138" t="s">
        <v>2339</v>
      </c>
    </row>
  </sheetData>
  <autoFilter ref="A2:I321" xr:uid="{00000000-0001-0000-0900-000000000000}">
    <filterColumn colId="0">
      <filters>
        <dateGroupItem year="2011" dateTimeGrouping="year"/>
      </filters>
    </filterColumn>
  </autoFilter>
  <mergeCells count="13">
    <mergeCell ref="A306:B306"/>
    <mergeCell ref="A128:B128"/>
    <mergeCell ref="A164:B164"/>
    <mergeCell ref="A201:B201"/>
    <mergeCell ref="A253:B253"/>
    <mergeCell ref="A277:B277"/>
    <mergeCell ref="A299:B299"/>
    <mergeCell ref="A96:B96"/>
    <mergeCell ref="A1:I1"/>
    <mergeCell ref="A3:B3"/>
    <mergeCell ref="A19:B19"/>
    <mergeCell ref="A44:B44"/>
    <mergeCell ref="A63:B63"/>
  </mergeCells>
  <pageMargins left="0.7" right="0.7"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L224"/>
  <sheetViews>
    <sheetView zoomScale="130" zoomScaleNormal="130" zoomScaleSheetLayoutView="100" workbookViewId="0">
      <pane xSplit="4" ySplit="2" topLeftCell="E200" activePane="bottomRight" state="frozen"/>
      <selection pane="topRight" activeCell="E1" sqref="E1"/>
      <selection pane="bottomLeft" activeCell="A3" sqref="A3"/>
      <selection pane="bottomRight" activeCell="A2" sqref="A2:I223"/>
    </sheetView>
  </sheetViews>
  <sheetFormatPr defaultRowHeight="15"/>
  <cols>
    <col min="1" max="1" width="6.85546875" style="136" customWidth="1"/>
    <col min="2" max="2" width="7.42578125" style="136" customWidth="1"/>
    <col min="3" max="3" width="9.42578125" style="136" customWidth="1"/>
    <col min="4" max="4" width="9.5703125" style="136" customWidth="1"/>
    <col min="5" max="5" width="21.42578125" style="136" customWidth="1"/>
    <col min="6" max="6" width="6.28515625" style="137" customWidth="1"/>
    <col min="7" max="7" width="22" style="136" customWidth="1"/>
    <col min="8" max="8" width="6.85546875" style="136" customWidth="1"/>
    <col min="9" max="9" width="9.140625" style="136" customWidth="1"/>
    <col min="10" max="11" width="9.140625" style="66"/>
    <col min="12" max="12" width="22" style="66" customWidth="1"/>
    <col min="13" max="16384" width="9.140625" style="66"/>
  </cols>
  <sheetData>
    <row r="1" spans="1:9" ht="18" customHeight="1" thickBot="1">
      <c r="A1" s="818" t="s">
        <v>2340</v>
      </c>
      <c r="B1" s="819"/>
      <c r="C1" s="819"/>
      <c r="D1" s="819"/>
      <c r="E1" s="819"/>
      <c r="F1" s="819"/>
      <c r="G1" s="819"/>
      <c r="H1" s="819"/>
      <c r="I1" s="819"/>
    </row>
    <row r="2" spans="1:9" ht="34.5" customHeight="1" thickBot="1">
      <c r="A2" s="67" t="s">
        <v>2105</v>
      </c>
      <c r="B2" s="68" t="s">
        <v>2106</v>
      </c>
      <c r="C2" s="68" t="s">
        <v>2107</v>
      </c>
      <c r="D2" s="68" t="s">
        <v>2108</v>
      </c>
      <c r="E2" s="68" t="s">
        <v>67</v>
      </c>
      <c r="F2" s="68" t="s">
        <v>57</v>
      </c>
      <c r="G2" s="68" t="s">
        <v>2109</v>
      </c>
      <c r="H2" s="68" t="s">
        <v>2110</v>
      </c>
      <c r="I2" s="69" t="s">
        <v>7</v>
      </c>
    </row>
    <row r="3" spans="1:9" hidden="1">
      <c r="A3" s="820" t="s">
        <v>1072</v>
      </c>
      <c r="B3" s="821"/>
      <c r="C3" s="70"/>
      <c r="D3" s="71"/>
      <c r="E3" s="70"/>
      <c r="F3" s="72"/>
      <c r="G3" s="70"/>
      <c r="H3" s="73"/>
      <c r="I3" s="74"/>
    </row>
    <row r="4" spans="1:9" ht="15" customHeight="1">
      <c r="A4" s="139">
        <v>40912</v>
      </c>
      <c r="B4" s="140">
        <v>0.50972222222222219</v>
      </c>
      <c r="C4" s="141">
        <v>40912</v>
      </c>
      <c r="D4" s="140">
        <v>0.50972222222222219</v>
      </c>
      <c r="E4" s="142" t="s">
        <v>2332</v>
      </c>
      <c r="F4" s="143" t="s">
        <v>124</v>
      </c>
      <c r="G4" s="142" t="s">
        <v>2341</v>
      </c>
      <c r="H4" s="144" t="s">
        <v>255</v>
      </c>
      <c r="I4" s="145" t="s">
        <v>255</v>
      </c>
    </row>
    <row r="5" spans="1:9" ht="15" customHeight="1">
      <c r="A5" s="139">
        <v>40913</v>
      </c>
      <c r="B5" s="140">
        <v>0.44097222222222227</v>
      </c>
      <c r="C5" s="141">
        <v>40913</v>
      </c>
      <c r="D5" s="140">
        <v>0.51736111111111105</v>
      </c>
      <c r="E5" s="142" t="s">
        <v>2342</v>
      </c>
      <c r="F5" s="143" t="s">
        <v>58</v>
      </c>
      <c r="G5" s="142" t="s">
        <v>2343</v>
      </c>
      <c r="H5" s="143">
        <v>0</v>
      </c>
      <c r="I5" s="145">
        <v>0</v>
      </c>
    </row>
    <row r="6" spans="1:9" ht="15" customHeight="1">
      <c r="A6" s="139">
        <v>40913</v>
      </c>
      <c r="B6" s="140">
        <v>0.43611111111111112</v>
      </c>
      <c r="C6" s="141">
        <v>40913</v>
      </c>
      <c r="D6" s="140">
        <v>0.51736111111111105</v>
      </c>
      <c r="E6" s="142" t="s">
        <v>2344</v>
      </c>
      <c r="F6" s="143" t="s">
        <v>58</v>
      </c>
      <c r="G6" s="142" t="s">
        <v>2341</v>
      </c>
      <c r="H6" s="144" t="s">
        <v>255</v>
      </c>
      <c r="I6" s="145" t="s">
        <v>255</v>
      </c>
    </row>
    <row r="7" spans="1:9" ht="15" customHeight="1">
      <c r="A7" s="139">
        <v>40917</v>
      </c>
      <c r="B7" s="140">
        <v>0.60416666666666663</v>
      </c>
      <c r="C7" s="141">
        <v>40917</v>
      </c>
      <c r="D7" s="140">
        <v>0.64583333333333337</v>
      </c>
      <c r="E7" s="142" t="s">
        <v>2307</v>
      </c>
      <c r="F7" s="143" t="s">
        <v>61</v>
      </c>
      <c r="G7" s="142" t="s">
        <v>100</v>
      </c>
      <c r="H7" s="144" t="s">
        <v>255</v>
      </c>
      <c r="I7" s="145" t="s">
        <v>255</v>
      </c>
    </row>
    <row r="8" spans="1:9" ht="15" customHeight="1">
      <c r="A8" s="146">
        <v>40917</v>
      </c>
      <c r="B8" s="147">
        <v>0.56666666666666665</v>
      </c>
      <c r="C8" s="148">
        <v>40919</v>
      </c>
      <c r="D8" s="147">
        <v>4.5138888888888888E-2</v>
      </c>
      <c r="E8" s="149" t="s">
        <v>1577</v>
      </c>
      <c r="F8" s="150" t="s">
        <v>63</v>
      </c>
      <c r="G8" s="149" t="s">
        <v>905</v>
      </c>
      <c r="H8" s="150">
        <v>150</v>
      </c>
      <c r="I8" s="151">
        <v>1</v>
      </c>
    </row>
    <row r="9" spans="1:9" ht="15" customHeight="1">
      <c r="A9" s="139">
        <v>40918</v>
      </c>
      <c r="B9" s="140">
        <v>0.89583333333333337</v>
      </c>
      <c r="C9" s="141">
        <v>40918</v>
      </c>
      <c r="D9" s="140">
        <v>0.89583333333333337</v>
      </c>
      <c r="E9" s="142" t="s">
        <v>2345</v>
      </c>
      <c r="F9" s="143" t="s">
        <v>1352</v>
      </c>
      <c r="G9" s="142" t="str">
        <f>G8</f>
        <v>Load Shed</v>
      </c>
      <c r="H9" s="144" t="s">
        <v>255</v>
      </c>
      <c r="I9" s="145" t="s">
        <v>255</v>
      </c>
    </row>
    <row r="10" spans="1:9" ht="15" customHeight="1">
      <c r="A10" s="139">
        <v>40919</v>
      </c>
      <c r="B10" s="140">
        <v>0.30486111111111108</v>
      </c>
      <c r="C10" s="141">
        <v>40919</v>
      </c>
      <c r="D10" s="140">
        <v>0.37986111111111115</v>
      </c>
      <c r="E10" s="142" t="s">
        <v>2346</v>
      </c>
      <c r="F10" s="143" t="s">
        <v>124</v>
      </c>
      <c r="G10" s="142" t="s">
        <v>2150</v>
      </c>
      <c r="H10" s="143">
        <v>0</v>
      </c>
      <c r="I10" s="145">
        <v>0</v>
      </c>
    </row>
    <row r="11" spans="1:9" ht="15" customHeight="1">
      <c r="A11" s="139">
        <v>40920</v>
      </c>
      <c r="B11" s="140">
        <v>0.35138888888888892</v>
      </c>
      <c r="C11" s="141">
        <v>40920</v>
      </c>
      <c r="D11" s="140">
        <v>0.35138888888888892</v>
      </c>
      <c r="E11" s="142" t="s">
        <v>2119</v>
      </c>
      <c r="F11" s="143" t="s">
        <v>826</v>
      </c>
      <c r="G11" s="142" t="s">
        <v>2202</v>
      </c>
      <c r="H11" s="144">
        <v>0</v>
      </c>
      <c r="I11" s="145">
        <v>0</v>
      </c>
    </row>
    <row r="12" spans="1:9" ht="15" customHeight="1">
      <c r="A12" s="146">
        <v>40921</v>
      </c>
      <c r="B12" s="147">
        <v>0.3888888888888889</v>
      </c>
      <c r="C12" s="148">
        <v>40921</v>
      </c>
      <c r="D12" s="147">
        <v>0.3888888888888889</v>
      </c>
      <c r="E12" s="149" t="s">
        <v>2119</v>
      </c>
      <c r="F12" s="150" t="s">
        <v>826</v>
      </c>
      <c r="G12" s="149" t="s">
        <v>2202</v>
      </c>
      <c r="H12" s="152">
        <v>0</v>
      </c>
      <c r="I12" s="151">
        <v>0</v>
      </c>
    </row>
    <row r="13" spans="1:9" ht="15" customHeight="1">
      <c r="A13" s="146">
        <v>40923</v>
      </c>
      <c r="B13" s="147">
        <v>0.39930555555555558</v>
      </c>
      <c r="C13" s="148">
        <v>40923</v>
      </c>
      <c r="D13" s="147">
        <v>0.39930555555555558</v>
      </c>
      <c r="E13" s="149" t="s">
        <v>2332</v>
      </c>
      <c r="F13" s="150" t="s">
        <v>124</v>
      </c>
      <c r="G13" s="149" t="s">
        <v>100</v>
      </c>
      <c r="H13" s="152" t="s">
        <v>255</v>
      </c>
      <c r="I13" s="151" t="s">
        <v>255</v>
      </c>
    </row>
    <row r="14" spans="1:9" ht="15" customHeight="1">
      <c r="A14" s="139">
        <v>40925</v>
      </c>
      <c r="B14" s="140">
        <v>0.4381944444444445</v>
      </c>
      <c r="C14" s="141">
        <v>40925</v>
      </c>
      <c r="D14" s="140">
        <v>0.72291666666666676</v>
      </c>
      <c r="E14" s="142" t="s">
        <v>2347</v>
      </c>
      <c r="F14" s="143" t="s">
        <v>1352</v>
      </c>
      <c r="G14" s="142" t="s">
        <v>2139</v>
      </c>
      <c r="H14" s="144" t="s">
        <v>255</v>
      </c>
      <c r="I14" s="145">
        <v>0</v>
      </c>
    </row>
    <row r="15" spans="1:9" ht="20.100000000000001" customHeight="1">
      <c r="A15" s="146">
        <v>40927</v>
      </c>
      <c r="B15" s="147">
        <v>0.29166666666666669</v>
      </c>
      <c r="C15" s="148">
        <v>40928</v>
      </c>
      <c r="D15" s="147">
        <v>0.625</v>
      </c>
      <c r="E15" s="149" t="s">
        <v>2348</v>
      </c>
      <c r="F15" s="150" t="s">
        <v>124</v>
      </c>
      <c r="G15" s="149" t="s">
        <v>2349</v>
      </c>
      <c r="H15" s="152">
        <v>1600</v>
      </c>
      <c r="I15" s="151">
        <v>426000</v>
      </c>
    </row>
    <row r="16" spans="1:9" ht="15" customHeight="1">
      <c r="A16" s="146">
        <v>40932</v>
      </c>
      <c r="B16" s="147">
        <v>0.47361111111111115</v>
      </c>
      <c r="C16" s="148">
        <v>40932</v>
      </c>
      <c r="D16" s="147">
        <v>0.47361111111111115</v>
      </c>
      <c r="E16" s="149" t="s">
        <v>2332</v>
      </c>
      <c r="F16" s="150" t="s">
        <v>124</v>
      </c>
      <c r="G16" s="149" t="s">
        <v>100</v>
      </c>
      <c r="H16" s="152" t="s">
        <v>255</v>
      </c>
      <c r="I16" s="151" t="s">
        <v>255</v>
      </c>
    </row>
    <row r="17" spans="1:9" ht="20.100000000000001" customHeight="1">
      <c r="A17" s="146">
        <v>40935</v>
      </c>
      <c r="B17" s="147">
        <v>0.40277777777777773</v>
      </c>
      <c r="C17" s="148">
        <v>40935</v>
      </c>
      <c r="D17" s="147">
        <v>0.40277777777777773</v>
      </c>
      <c r="E17" s="149" t="s">
        <v>2350</v>
      </c>
      <c r="F17" s="150" t="s">
        <v>124</v>
      </c>
      <c r="G17" s="149" t="s">
        <v>100</v>
      </c>
      <c r="H17" s="152" t="s">
        <v>255</v>
      </c>
      <c r="I17" s="151" t="s">
        <v>255</v>
      </c>
    </row>
    <row r="18" spans="1:9" ht="20.100000000000001" customHeight="1" thickBot="1">
      <c r="A18" s="153">
        <v>40937</v>
      </c>
      <c r="B18" s="154">
        <v>0.53125</v>
      </c>
      <c r="C18" s="155">
        <v>40937</v>
      </c>
      <c r="D18" s="154">
        <v>0.53125</v>
      </c>
      <c r="E18" s="156" t="s">
        <v>2351</v>
      </c>
      <c r="F18" s="157" t="s">
        <v>124</v>
      </c>
      <c r="G18" s="156" t="s">
        <v>100</v>
      </c>
      <c r="H18" s="158" t="s">
        <v>255</v>
      </c>
      <c r="I18" s="159" t="s">
        <v>255</v>
      </c>
    </row>
    <row r="19" spans="1:9" hidden="1">
      <c r="A19" s="820" t="s">
        <v>17</v>
      </c>
      <c r="B19" s="821"/>
      <c r="C19" s="70"/>
      <c r="D19" s="71"/>
      <c r="E19" s="70"/>
      <c r="F19" s="72"/>
      <c r="G19" s="70"/>
      <c r="H19" s="73"/>
      <c r="I19" s="74"/>
    </row>
    <row r="20" spans="1:9" ht="20.100000000000001" customHeight="1">
      <c r="A20" s="97">
        <v>40950</v>
      </c>
      <c r="B20" s="98">
        <v>0.3659722222222222</v>
      </c>
      <c r="C20" s="99">
        <v>40950</v>
      </c>
      <c r="D20" s="98">
        <v>0.4375</v>
      </c>
      <c r="E20" s="116" t="s">
        <v>2352</v>
      </c>
      <c r="F20" s="101" t="s">
        <v>124</v>
      </c>
      <c r="G20" s="116" t="s">
        <v>2150</v>
      </c>
      <c r="H20" s="101">
        <v>0</v>
      </c>
      <c r="I20" s="118">
        <v>0</v>
      </c>
    </row>
    <row r="21" spans="1:9" ht="15" customHeight="1">
      <c r="A21" s="160">
        <v>40950</v>
      </c>
      <c r="B21" s="161">
        <v>0.37152777777777773</v>
      </c>
      <c r="C21" s="162">
        <v>40950</v>
      </c>
      <c r="D21" s="161">
        <v>0.37152777777777773</v>
      </c>
      <c r="E21" s="163" t="s">
        <v>2332</v>
      </c>
      <c r="F21" s="164" t="s">
        <v>124</v>
      </c>
      <c r="G21" s="163" t="s">
        <v>2150</v>
      </c>
      <c r="H21" s="164" t="s">
        <v>255</v>
      </c>
      <c r="I21" s="165" t="s">
        <v>255</v>
      </c>
    </row>
    <row r="22" spans="1:9" ht="15" customHeight="1">
      <c r="A22" s="160">
        <v>40952</v>
      </c>
      <c r="B22" s="161">
        <v>0.29305555555555557</v>
      </c>
      <c r="C22" s="162">
        <v>40952</v>
      </c>
      <c r="D22" s="161">
        <v>0.68402777777777779</v>
      </c>
      <c r="E22" s="163" t="s">
        <v>2353</v>
      </c>
      <c r="F22" s="164" t="s">
        <v>63</v>
      </c>
      <c r="G22" s="163" t="s">
        <v>2150</v>
      </c>
      <c r="H22" s="164" t="s">
        <v>255</v>
      </c>
      <c r="I22" s="165" t="s">
        <v>255</v>
      </c>
    </row>
    <row r="23" spans="1:9" ht="15" customHeight="1">
      <c r="A23" s="160">
        <v>40953</v>
      </c>
      <c r="B23" s="161">
        <v>0.80555555555555547</v>
      </c>
      <c r="C23" s="162">
        <v>40954</v>
      </c>
      <c r="D23" s="161">
        <v>0.66666666666666663</v>
      </c>
      <c r="E23" s="163" t="s">
        <v>2332</v>
      </c>
      <c r="F23" s="164" t="s">
        <v>124</v>
      </c>
      <c r="G23" s="163" t="s">
        <v>2150</v>
      </c>
      <c r="H23" s="164" t="s">
        <v>255</v>
      </c>
      <c r="I23" s="165" t="s">
        <v>255</v>
      </c>
    </row>
    <row r="24" spans="1:9" ht="15" customHeight="1">
      <c r="A24" s="160">
        <v>40954</v>
      </c>
      <c r="B24" s="161">
        <v>0.23124999999999998</v>
      </c>
      <c r="C24" s="162">
        <v>40954</v>
      </c>
      <c r="D24" s="161">
        <v>0.72916666666666663</v>
      </c>
      <c r="E24" s="163" t="s">
        <v>2354</v>
      </c>
      <c r="F24" s="164" t="s">
        <v>124</v>
      </c>
      <c r="G24" s="163" t="s">
        <v>2150</v>
      </c>
      <c r="H24" s="164">
        <v>0</v>
      </c>
      <c r="I24" s="165">
        <v>0</v>
      </c>
    </row>
    <row r="25" spans="1:9" ht="15" customHeight="1">
      <c r="A25" s="160">
        <v>40956</v>
      </c>
      <c r="B25" s="161">
        <v>0.125</v>
      </c>
      <c r="C25" s="162">
        <v>40956</v>
      </c>
      <c r="D25" s="161">
        <v>0.48125000000000001</v>
      </c>
      <c r="E25" s="163" t="s">
        <v>2355</v>
      </c>
      <c r="F25" s="164" t="s">
        <v>63</v>
      </c>
      <c r="G25" s="163" t="s">
        <v>2139</v>
      </c>
      <c r="H25" s="164" t="s">
        <v>2130</v>
      </c>
      <c r="I25" s="165" t="s">
        <v>2130</v>
      </c>
    </row>
    <row r="26" spans="1:9" ht="15" customHeight="1">
      <c r="A26" s="160">
        <v>40958</v>
      </c>
      <c r="B26" s="161">
        <v>0.70833333333333337</v>
      </c>
      <c r="C26" s="162">
        <v>40960</v>
      </c>
      <c r="D26" s="161">
        <v>0.31458333333333333</v>
      </c>
      <c r="E26" s="163" t="s">
        <v>2356</v>
      </c>
      <c r="F26" s="164" t="s">
        <v>63</v>
      </c>
      <c r="G26" s="163" t="s">
        <v>2349</v>
      </c>
      <c r="H26" s="164" t="s">
        <v>2130</v>
      </c>
      <c r="I26" s="165">
        <v>90000</v>
      </c>
    </row>
    <row r="27" spans="1:9" ht="15" customHeight="1">
      <c r="A27" s="160">
        <v>40962</v>
      </c>
      <c r="B27" s="161">
        <v>0.23958333333333334</v>
      </c>
      <c r="C27" s="162">
        <v>40962</v>
      </c>
      <c r="D27" s="161">
        <v>0.62638888888888888</v>
      </c>
      <c r="E27" s="163" t="s">
        <v>2357</v>
      </c>
      <c r="F27" s="164" t="s">
        <v>1352</v>
      </c>
      <c r="G27" s="163" t="s">
        <v>2150</v>
      </c>
      <c r="H27" s="164">
        <v>0</v>
      </c>
      <c r="I27" s="165">
        <v>0</v>
      </c>
    </row>
    <row r="28" spans="1:9" ht="15" customHeight="1">
      <c r="A28" s="160">
        <v>40962</v>
      </c>
      <c r="B28" s="161">
        <v>0.96666666666666667</v>
      </c>
      <c r="C28" s="162">
        <v>40963</v>
      </c>
      <c r="D28" s="161">
        <v>4.1666666666666664E-2</v>
      </c>
      <c r="E28" s="163" t="s">
        <v>2358</v>
      </c>
      <c r="F28" s="164" t="s">
        <v>61</v>
      </c>
      <c r="G28" s="163" t="s">
        <v>2150</v>
      </c>
      <c r="H28" s="164">
        <v>0</v>
      </c>
      <c r="I28" s="165">
        <v>0</v>
      </c>
    </row>
    <row r="29" spans="1:9" ht="15" customHeight="1">
      <c r="A29" s="160">
        <v>40963</v>
      </c>
      <c r="B29" s="161">
        <v>0.47500000000000003</v>
      </c>
      <c r="C29" s="162">
        <v>40963</v>
      </c>
      <c r="D29" s="161">
        <v>0.49236111111111108</v>
      </c>
      <c r="E29" s="163" t="s">
        <v>2261</v>
      </c>
      <c r="F29" s="164" t="s">
        <v>124</v>
      </c>
      <c r="G29" s="163" t="s">
        <v>2150</v>
      </c>
      <c r="H29" s="164" t="s">
        <v>255</v>
      </c>
      <c r="I29" s="165" t="s">
        <v>255</v>
      </c>
    </row>
    <row r="30" spans="1:9" s="166" customFormat="1" ht="15" customHeight="1">
      <c r="A30" s="97">
        <v>40967</v>
      </c>
      <c r="B30" s="98">
        <v>0.12430555555555556</v>
      </c>
      <c r="C30" s="99">
        <v>40967</v>
      </c>
      <c r="D30" s="98">
        <v>0.25833333333333336</v>
      </c>
      <c r="E30" s="116" t="s">
        <v>2359</v>
      </c>
      <c r="F30" s="101" t="s">
        <v>124</v>
      </c>
      <c r="G30" s="116" t="s">
        <v>2037</v>
      </c>
      <c r="H30" s="101">
        <v>1</v>
      </c>
      <c r="I30" s="118">
        <v>1</v>
      </c>
    </row>
    <row r="31" spans="1:9" ht="15" customHeight="1">
      <c r="A31" s="160">
        <v>40967</v>
      </c>
      <c r="B31" s="161">
        <v>0.29166666666666669</v>
      </c>
      <c r="C31" s="162">
        <v>40967</v>
      </c>
      <c r="D31" s="161">
        <v>0.29166666666666669</v>
      </c>
      <c r="E31" s="163" t="s">
        <v>2360</v>
      </c>
      <c r="F31" s="164" t="s">
        <v>124</v>
      </c>
      <c r="G31" s="163" t="s">
        <v>2150</v>
      </c>
      <c r="H31" s="164" t="s">
        <v>2130</v>
      </c>
      <c r="I31" s="165" t="s">
        <v>2130</v>
      </c>
    </row>
    <row r="32" spans="1:9" ht="34.5" hidden="1" customHeight="1" thickBot="1">
      <c r="A32" s="67" t="s">
        <v>2105</v>
      </c>
      <c r="B32" s="68" t="s">
        <v>2106</v>
      </c>
      <c r="C32" s="68" t="s">
        <v>2107</v>
      </c>
      <c r="D32" s="68" t="s">
        <v>2108</v>
      </c>
      <c r="E32" s="68" t="s">
        <v>67</v>
      </c>
      <c r="F32" s="68" t="s">
        <v>57</v>
      </c>
      <c r="G32" s="68" t="s">
        <v>2109</v>
      </c>
      <c r="H32" s="68" t="s">
        <v>2110</v>
      </c>
      <c r="I32" s="69" t="s">
        <v>7</v>
      </c>
    </row>
    <row r="33" spans="1:9" s="166" customFormat="1" hidden="1">
      <c r="A33" s="826" t="s">
        <v>20</v>
      </c>
      <c r="B33" s="827"/>
      <c r="C33" s="167"/>
      <c r="D33" s="168"/>
      <c r="E33" s="167"/>
      <c r="F33" s="169"/>
      <c r="G33" s="167"/>
      <c r="H33" s="170"/>
      <c r="I33" s="171"/>
    </row>
    <row r="34" spans="1:9" s="166" customFormat="1" ht="20.100000000000001" customHeight="1">
      <c r="A34" s="139">
        <v>40970</v>
      </c>
      <c r="B34" s="140">
        <v>0.52569444444444446</v>
      </c>
      <c r="C34" s="141">
        <v>40973</v>
      </c>
      <c r="D34" s="140">
        <v>0.50069444444444444</v>
      </c>
      <c r="E34" s="172" t="s">
        <v>2361</v>
      </c>
      <c r="F34" s="172" t="s">
        <v>63</v>
      </c>
      <c r="G34" s="172" t="s">
        <v>2362</v>
      </c>
      <c r="H34" s="143">
        <v>500</v>
      </c>
      <c r="I34" s="145" t="s">
        <v>2130</v>
      </c>
    </row>
    <row r="35" spans="1:9" s="166" customFormat="1" ht="20.100000000000001" customHeight="1">
      <c r="A35" s="139">
        <v>40970</v>
      </c>
      <c r="B35" s="140">
        <v>0.57291666666666663</v>
      </c>
      <c r="C35" s="141">
        <v>40970</v>
      </c>
      <c r="D35" s="140">
        <v>0.64583333333333337</v>
      </c>
      <c r="E35" s="172" t="s">
        <v>2363</v>
      </c>
      <c r="F35" s="172" t="s">
        <v>63</v>
      </c>
      <c r="G35" s="172" t="s">
        <v>2364</v>
      </c>
      <c r="H35" s="143" t="s">
        <v>255</v>
      </c>
      <c r="I35" s="145" t="s">
        <v>255</v>
      </c>
    </row>
    <row r="36" spans="1:9" s="166" customFormat="1" ht="20.100000000000001" customHeight="1">
      <c r="A36" s="139">
        <v>40970</v>
      </c>
      <c r="B36" s="140">
        <v>0.875</v>
      </c>
      <c r="C36" s="141">
        <v>40973</v>
      </c>
      <c r="D36" s="140">
        <v>0.6875</v>
      </c>
      <c r="E36" s="172" t="s">
        <v>2365</v>
      </c>
      <c r="F36" s="172" t="s">
        <v>826</v>
      </c>
      <c r="G36" s="172" t="s">
        <v>2349</v>
      </c>
      <c r="H36" s="143">
        <v>371</v>
      </c>
      <c r="I36" s="145">
        <v>130000</v>
      </c>
    </row>
    <row r="37" spans="1:9" s="166" customFormat="1" ht="15" customHeight="1">
      <c r="A37" s="146">
        <v>40970</v>
      </c>
      <c r="B37" s="147">
        <v>0.875</v>
      </c>
      <c r="C37" s="148">
        <v>40972</v>
      </c>
      <c r="D37" s="147">
        <v>0.72916666666666663</v>
      </c>
      <c r="E37" s="173" t="s">
        <v>2252</v>
      </c>
      <c r="F37" s="173" t="s">
        <v>826</v>
      </c>
      <c r="G37" s="173" t="s">
        <v>2349</v>
      </c>
      <c r="H37" s="150">
        <v>50</v>
      </c>
      <c r="I37" s="151">
        <v>140000</v>
      </c>
    </row>
    <row r="38" spans="1:9" s="166" customFormat="1" ht="20.100000000000001" customHeight="1">
      <c r="A38" s="139">
        <v>40972</v>
      </c>
      <c r="B38" s="140">
        <v>6.0416666666666667E-2</v>
      </c>
      <c r="C38" s="141">
        <v>40972</v>
      </c>
      <c r="D38" s="140">
        <v>0.2902777777777778</v>
      </c>
      <c r="E38" s="172" t="s">
        <v>2366</v>
      </c>
      <c r="F38" s="172" t="s">
        <v>826</v>
      </c>
      <c r="G38" s="172" t="s">
        <v>2150</v>
      </c>
      <c r="H38" s="143" t="s">
        <v>255</v>
      </c>
      <c r="I38" s="145" t="s">
        <v>255</v>
      </c>
    </row>
    <row r="39" spans="1:9" s="166" customFormat="1" ht="15" customHeight="1">
      <c r="A39" s="139">
        <v>40972</v>
      </c>
      <c r="B39" s="140">
        <v>0.56805555555555554</v>
      </c>
      <c r="C39" s="141">
        <v>40973</v>
      </c>
      <c r="D39" s="140">
        <v>0.45833333333333331</v>
      </c>
      <c r="E39" s="172" t="s">
        <v>166</v>
      </c>
      <c r="F39" s="172" t="s">
        <v>63</v>
      </c>
      <c r="G39" s="172" t="s">
        <v>2150</v>
      </c>
      <c r="H39" s="143" t="s">
        <v>2130</v>
      </c>
      <c r="I39" s="145" t="s">
        <v>2130</v>
      </c>
    </row>
    <row r="40" spans="1:9" s="166" customFormat="1" ht="15" customHeight="1">
      <c r="A40" s="139">
        <v>40984</v>
      </c>
      <c r="B40" s="140">
        <v>0.66666666666666663</v>
      </c>
      <c r="C40" s="141">
        <v>40984</v>
      </c>
      <c r="D40" s="140">
        <v>0.66666666666666663</v>
      </c>
      <c r="E40" s="172" t="s">
        <v>2367</v>
      </c>
      <c r="F40" s="172" t="s">
        <v>826</v>
      </c>
      <c r="G40" s="172" t="s">
        <v>2150</v>
      </c>
      <c r="H40" s="143">
        <v>0</v>
      </c>
      <c r="I40" s="145">
        <v>0</v>
      </c>
    </row>
    <row r="41" spans="1:9" s="166" customFormat="1" ht="15" customHeight="1">
      <c r="A41" s="146">
        <v>40988</v>
      </c>
      <c r="B41" s="147">
        <v>0.33333333333333331</v>
      </c>
      <c r="C41" s="148">
        <v>40988</v>
      </c>
      <c r="D41" s="147">
        <v>0.54166666666666663</v>
      </c>
      <c r="E41" s="173" t="s">
        <v>1098</v>
      </c>
      <c r="F41" s="173" t="s">
        <v>1352</v>
      </c>
      <c r="G41" s="173" t="s">
        <v>2368</v>
      </c>
      <c r="H41" s="150" t="s">
        <v>255</v>
      </c>
      <c r="I41" s="151">
        <v>96000</v>
      </c>
    </row>
    <row r="42" spans="1:9" s="166" customFormat="1" ht="15" customHeight="1">
      <c r="A42" s="139">
        <v>40991</v>
      </c>
      <c r="B42" s="140">
        <v>0.81527777777777777</v>
      </c>
      <c r="C42" s="141">
        <v>40991</v>
      </c>
      <c r="D42" s="140">
        <v>0.81527777777777777</v>
      </c>
      <c r="E42" s="172" t="s">
        <v>2119</v>
      </c>
      <c r="F42" s="172" t="s">
        <v>826</v>
      </c>
      <c r="G42" s="172" t="s">
        <v>2150</v>
      </c>
      <c r="H42" s="143">
        <v>0</v>
      </c>
      <c r="I42" s="145">
        <v>0</v>
      </c>
    </row>
    <row r="43" spans="1:9" s="166" customFormat="1" ht="15" customHeight="1">
      <c r="A43" s="146">
        <v>40994</v>
      </c>
      <c r="B43" s="147">
        <v>0.55833333333333335</v>
      </c>
      <c r="C43" s="148">
        <v>40994</v>
      </c>
      <c r="D43" s="147">
        <v>0.55833333333333335</v>
      </c>
      <c r="E43" s="173" t="s">
        <v>2332</v>
      </c>
      <c r="F43" s="173" t="s">
        <v>124</v>
      </c>
      <c r="G43" s="173" t="s">
        <v>2150</v>
      </c>
      <c r="H43" s="150" t="s">
        <v>255</v>
      </c>
      <c r="I43" s="151" t="s">
        <v>255</v>
      </c>
    </row>
    <row r="44" spans="1:9" s="166" customFormat="1" ht="15" customHeight="1">
      <c r="A44" s="146">
        <v>40996</v>
      </c>
      <c r="B44" s="147">
        <v>0.4284722222222222</v>
      </c>
      <c r="C44" s="148">
        <v>40996</v>
      </c>
      <c r="D44" s="147">
        <v>0.4284722222222222</v>
      </c>
      <c r="E44" s="173" t="s">
        <v>2172</v>
      </c>
      <c r="F44" s="173" t="s">
        <v>124</v>
      </c>
      <c r="G44" s="173" t="s">
        <v>2150</v>
      </c>
      <c r="H44" s="150" t="s">
        <v>255</v>
      </c>
      <c r="I44" s="151" t="s">
        <v>255</v>
      </c>
    </row>
    <row r="45" spans="1:9" s="166" customFormat="1" ht="20.100000000000001" customHeight="1">
      <c r="A45" s="139">
        <v>40997</v>
      </c>
      <c r="B45" s="140">
        <v>0.50069444444444444</v>
      </c>
      <c r="C45" s="141">
        <v>40997</v>
      </c>
      <c r="D45" s="140">
        <v>0.50138888888888888</v>
      </c>
      <c r="E45" s="172" t="s">
        <v>2369</v>
      </c>
      <c r="F45" s="172" t="s">
        <v>826</v>
      </c>
      <c r="G45" s="172" t="s">
        <v>2037</v>
      </c>
      <c r="H45" s="143" t="s">
        <v>2130</v>
      </c>
      <c r="I45" s="145">
        <v>0</v>
      </c>
    </row>
    <row r="46" spans="1:9" s="166" customFormat="1" ht="15" customHeight="1" thickBot="1">
      <c r="A46" s="153">
        <v>40998</v>
      </c>
      <c r="B46" s="154">
        <v>0.46527777777777773</v>
      </c>
      <c r="C46" s="155">
        <v>40998</v>
      </c>
      <c r="D46" s="154">
        <v>0.47916666666666669</v>
      </c>
      <c r="E46" s="174" t="s">
        <v>2245</v>
      </c>
      <c r="F46" s="174" t="s">
        <v>61</v>
      </c>
      <c r="G46" s="174" t="s">
        <v>2150</v>
      </c>
      <c r="H46" s="157" t="s">
        <v>255</v>
      </c>
      <c r="I46" s="159" t="s">
        <v>255</v>
      </c>
    </row>
    <row r="47" spans="1:9" s="135" customFormat="1" ht="15" hidden="1" customHeight="1">
      <c r="A47" s="826" t="s">
        <v>23</v>
      </c>
      <c r="B47" s="828"/>
      <c r="C47" s="167"/>
      <c r="D47" s="168"/>
      <c r="E47" s="167"/>
      <c r="F47" s="169"/>
      <c r="G47" s="167"/>
      <c r="H47" s="175"/>
      <c r="I47" s="176"/>
    </row>
    <row r="48" spans="1:9" s="127" customFormat="1" ht="15" customHeight="1">
      <c r="A48" s="97">
        <v>41000</v>
      </c>
      <c r="B48" s="98">
        <v>0.8520833333333333</v>
      </c>
      <c r="C48" s="99">
        <v>41002</v>
      </c>
      <c r="D48" s="98">
        <v>0.3527777777777778</v>
      </c>
      <c r="E48" s="100" t="s">
        <v>2370</v>
      </c>
      <c r="F48" s="100" t="s">
        <v>674</v>
      </c>
      <c r="G48" s="100" t="s">
        <v>100</v>
      </c>
      <c r="H48" s="101">
        <v>0</v>
      </c>
      <c r="I48" s="118">
        <v>0</v>
      </c>
    </row>
    <row r="49" spans="1:9" s="127" customFormat="1" ht="15" customHeight="1">
      <c r="A49" s="97">
        <v>41002</v>
      </c>
      <c r="B49" s="98">
        <v>0.46527777777777773</v>
      </c>
      <c r="C49" s="99">
        <v>41002</v>
      </c>
      <c r="D49" s="98">
        <v>0.47569444444444442</v>
      </c>
      <c r="E49" s="100" t="s">
        <v>2371</v>
      </c>
      <c r="F49" s="100" t="s">
        <v>61</v>
      </c>
      <c r="G49" s="100" t="s">
        <v>100</v>
      </c>
      <c r="H49" s="101">
        <v>0</v>
      </c>
      <c r="I49" s="118">
        <v>0</v>
      </c>
    </row>
    <row r="50" spans="1:9" s="127" customFormat="1" ht="15" customHeight="1">
      <c r="A50" s="97">
        <v>41002</v>
      </c>
      <c r="B50" s="98">
        <v>0.6479166666666667</v>
      </c>
      <c r="C50" s="99">
        <v>41002</v>
      </c>
      <c r="D50" s="98">
        <v>0.85069444444444453</v>
      </c>
      <c r="E50" s="100" t="s">
        <v>2372</v>
      </c>
      <c r="F50" s="100" t="s">
        <v>124</v>
      </c>
      <c r="G50" s="100" t="s">
        <v>2202</v>
      </c>
      <c r="H50" s="101">
        <v>0</v>
      </c>
      <c r="I50" s="118">
        <v>0</v>
      </c>
    </row>
    <row r="51" spans="1:9" s="127" customFormat="1" ht="20.100000000000001" customHeight="1">
      <c r="A51" s="97">
        <v>41003</v>
      </c>
      <c r="B51" s="98">
        <v>0.64722222222222225</v>
      </c>
      <c r="C51" s="99">
        <v>41005</v>
      </c>
      <c r="D51" s="98">
        <v>0.64583333333333337</v>
      </c>
      <c r="E51" s="100" t="s">
        <v>2373</v>
      </c>
      <c r="F51" s="100" t="s">
        <v>124</v>
      </c>
      <c r="G51" s="100" t="s">
        <v>2150</v>
      </c>
      <c r="H51" s="101" t="s">
        <v>255</v>
      </c>
      <c r="I51" s="118" t="s">
        <v>255</v>
      </c>
    </row>
    <row r="52" spans="1:9" s="127" customFormat="1" ht="15" customHeight="1">
      <c r="A52" s="97">
        <v>41006</v>
      </c>
      <c r="B52" s="98">
        <v>0.60763888888888895</v>
      </c>
      <c r="C52" s="99">
        <v>41006</v>
      </c>
      <c r="D52" s="98">
        <v>0.60833333333333328</v>
      </c>
      <c r="E52" s="100" t="s">
        <v>2119</v>
      </c>
      <c r="F52" s="100" t="s">
        <v>826</v>
      </c>
      <c r="G52" s="100" t="s">
        <v>2202</v>
      </c>
      <c r="H52" s="101">
        <v>0</v>
      </c>
      <c r="I52" s="118">
        <v>0</v>
      </c>
    </row>
    <row r="53" spans="1:9" s="127" customFormat="1" ht="15" customHeight="1">
      <c r="A53" s="97">
        <v>41006</v>
      </c>
      <c r="B53" s="98">
        <v>0.51736111111111105</v>
      </c>
      <c r="C53" s="99">
        <v>41006</v>
      </c>
      <c r="D53" s="98">
        <v>0.5180555555555556</v>
      </c>
      <c r="E53" s="100" t="s">
        <v>2119</v>
      </c>
      <c r="F53" s="100" t="s">
        <v>826</v>
      </c>
      <c r="G53" s="100" t="s">
        <v>2202</v>
      </c>
      <c r="H53" s="101">
        <v>0</v>
      </c>
      <c r="I53" s="118">
        <v>0</v>
      </c>
    </row>
    <row r="54" spans="1:9" s="127" customFormat="1" ht="15" customHeight="1">
      <c r="A54" s="97">
        <v>41006</v>
      </c>
      <c r="B54" s="98">
        <v>0.39652777777777781</v>
      </c>
      <c r="C54" s="99">
        <v>41006</v>
      </c>
      <c r="D54" s="98">
        <v>0.3972222222222222</v>
      </c>
      <c r="E54" s="100" t="s">
        <v>2119</v>
      </c>
      <c r="F54" s="100" t="s">
        <v>826</v>
      </c>
      <c r="G54" s="100" t="s">
        <v>2202</v>
      </c>
      <c r="H54" s="101">
        <v>0</v>
      </c>
      <c r="I54" s="118">
        <v>0</v>
      </c>
    </row>
    <row r="55" spans="1:9" s="127" customFormat="1" ht="15" customHeight="1">
      <c r="A55" s="97">
        <v>41010</v>
      </c>
      <c r="B55" s="98">
        <v>0.375</v>
      </c>
      <c r="C55" s="99">
        <v>41010</v>
      </c>
      <c r="D55" s="98">
        <v>0.375</v>
      </c>
      <c r="E55" s="100" t="s">
        <v>2374</v>
      </c>
      <c r="F55" s="100" t="s">
        <v>61</v>
      </c>
      <c r="G55" s="100" t="s">
        <v>100</v>
      </c>
      <c r="H55" s="101">
        <v>0</v>
      </c>
      <c r="I55" s="118">
        <v>0</v>
      </c>
    </row>
    <row r="56" spans="1:9" s="127" customFormat="1" ht="15" customHeight="1">
      <c r="A56" s="97">
        <v>41011</v>
      </c>
      <c r="B56" s="98">
        <v>0.33888888888888885</v>
      </c>
      <c r="C56" s="99">
        <v>41011</v>
      </c>
      <c r="D56" s="98">
        <v>0.6875</v>
      </c>
      <c r="E56" s="100" t="s">
        <v>2332</v>
      </c>
      <c r="F56" s="100" t="s">
        <v>124</v>
      </c>
      <c r="G56" s="100" t="s">
        <v>2150</v>
      </c>
      <c r="H56" s="101" t="s">
        <v>255</v>
      </c>
      <c r="I56" s="118" t="s">
        <v>255</v>
      </c>
    </row>
    <row r="57" spans="1:9" s="127" customFormat="1" ht="15" customHeight="1">
      <c r="A57" s="97">
        <v>41014</v>
      </c>
      <c r="B57" s="98">
        <v>0.81805555555555554</v>
      </c>
      <c r="C57" s="99">
        <v>41014</v>
      </c>
      <c r="D57" s="98">
        <v>0.8930555555555556</v>
      </c>
      <c r="E57" s="100" t="s">
        <v>361</v>
      </c>
      <c r="F57" s="100" t="s">
        <v>63</v>
      </c>
      <c r="G57" s="100" t="s">
        <v>2150</v>
      </c>
      <c r="H57" s="101" t="s">
        <v>2130</v>
      </c>
      <c r="I57" s="118" t="s">
        <v>2130</v>
      </c>
    </row>
    <row r="58" spans="1:9" s="127" customFormat="1" ht="20.100000000000001" customHeight="1">
      <c r="A58" s="97">
        <v>41015</v>
      </c>
      <c r="B58" s="98">
        <v>0.65694444444444444</v>
      </c>
      <c r="C58" s="99">
        <v>41018</v>
      </c>
      <c r="D58" s="98">
        <v>8.3333333333333329E-2</v>
      </c>
      <c r="E58" s="100" t="s">
        <v>2375</v>
      </c>
      <c r="F58" s="100" t="s">
        <v>826</v>
      </c>
      <c r="G58" s="100" t="s">
        <v>2175</v>
      </c>
      <c r="H58" s="101">
        <v>218</v>
      </c>
      <c r="I58" s="118">
        <v>111393</v>
      </c>
    </row>
    <row r="59" spans="1:9" s="127" customFormat="1" ht="15" customHeight="1">
      <c r="A59" s="97">
        <v>41016</v>
      </c>
      <c r="B59" s="98">
        <v>0.25763888888888892</v>
      </c>
      <c r="C59" s="99">
        <v>41016</v>
      </c>
      <c r="D59" s="98">
        <v>0.7416666666666667</v>
      </c>
      <c r="E59" s="100" t="s">
        <v>253</v>
      </c>
      <c r="F59" s="100" t="s">
        <v>124</v>
      </c>
      <c r="G59" s="100" t="s">
        <v>2150</v>
      </c>
      <c r="H59" s="101">
        <v>0</v>
      </c>
      <c r="I59" s="118">
        <v>0</v>
      </c>
    </row>
    <row r="60" spans="1:9" s="127" customFormat="1" ht="15" customHeight="1">
      <c r="A60" s="97">
        <v>41018</v>
      </c>
      <c r="B60" s="98">
        <v>0.32847222222222222</v>
      </c>
      <c r="C60" s="99">
        <v>41018</v>
      </c>
      <c r="D60" s="98">
        <v>0.66666666666666663</v>
      </c>
      <c r="E60" s="100" t="s">
        <v>2332</v>
      </c>
      <c r="F60" s="100" t="s">
        <v>124</v>
      </c>
      <c r="G60" s="100" t="s">
        <v>2150</v>
      </c>
      <c r="H60" s="101" t="s">
        <v>255</v>
      </c>
      <c r="I60" s="118" t="s">
        <v>255</v>
      </c>
    </row>
    <row r="61" spans="1:9" s="127" customFormat="1" ht="15" customHeight="1">
      <c r="A61" s="97">
        <v>41019</v>
      </c>
      <c r="B61" s="98">
        <v>0.6020833333333333</v>
      </c>
      <c r="C61" s="99">
        <v>41020</v>
      </c>
      <c r="D61" s="98">
        <v>0.18541666666666667</v>
      </c>
      <c r="E61" s="100" t="s">
        <v>2376</v>
      </c>
      <c r="F61" s="100" t="s">
        <v>1352</v>
      </c>
      <c r="G61" s="100" t="s">
        <v>2368</v>
      </c>
      <c r="H61" s="101" t="s">
        <v>255</v>
      </c>
      <c r="I61" s="118">
        <v>120377</v>
      </c>
    </row>
    <row r="62" spans="1:9" s="127" customFormat="1" ht="15" customHeight="1">
      <c r="A62" s="97">
        <v>41020</v>
      </c>
      <c r="B62" s="98">
        <v>0.62638888888888888</v>
      </c>
      <c r="C62" s="99">
        <v>41020</v>
      </c>
      <c r="D62" s="98">
        <v>0.83958333333333324</v>
      </c>
      <c r="E62" s="100" t="s">
        <v>2377</v>
      </c>
      <c r="F62" s="100" t="s">
        <v>61</v>
      </c>
      <c r="G62" s="100" t="s">
        <v>2202</v>
      </c>
      <c r="H62" s="101" t="s">
        <v>255</v>
      </c>
      <c r="I62" s="118" t="s">
        <v>255</v>
      </c>
    </row>
    <row r="63" spans="1:9" ht="34.5" hidden="1" customHeight="1" thickBot="1">
      <c r="A63" s="67" t="s">
        <v>2105</v>
      </c>
      <c r="B63" s="68" t="s">
        <v>2106</v>
      </c>
      <c r="C63" s="68" t="s">
        <v>2107</v>
      </c>
      <c r="D63" s="68" t="s">
        <v>2108</v>
      </c>
      <c r="E63" s="68" t="s">
        <v>67</v>
      </c>
      <c r="F63" s="68" t="s">
        <v>57</v>
      </c>
      <c r="G63" s="68" t="s">
        <v>2109</v>
      </c>
      <c r="H63" s="68" t="s">
        <v>2110</v>
      </c>
      <c r="I63" s="69" t="s">
        <v>7</v>
      </c>
    </row>
    <row r="64" spans="1:9" hidden="1">
      <c r="A64" s="820" t="s">
        <v>2378</v>
      </c>
      <c r="B64" s="821"/>
      <c r="C64" s="70"/>
      <c r="D64" s="71"/>
      <c r="E64" s="70"/>
      <c r="F64" s="72"/>
      <c r="G64" s="70"/>
      <c r="H64" s="73"/>
      <c r="I64" s="74"/>
    </row>
    <row r="65" spans="1:12" s="127" customFormat="1" ht="15" customHeight="1">
      <c r="A65" s="97">
        <v>41020</v>
      </c>
      <c r="B65" s="98">
        <v>0.87152777777777779</v>
      </c>
      <c r="C65" s="99">
        <v>41022</v>
      </c>
      <c r="D65" s="98">
        <v>0.6875</v>
      </c>
      <c r="E65" s="100" t="s">
        <v>2332</v>
      </c>
      <c r="F65" s="100" t="s">
        <v>124</v>
      </c>
      <c r="G65" s="100" t="s">
        <v>2150</v>
      </c>
      <c r="H65" s="101" t="s">
        <v>255</v>
      </c>
      <c r="I65" s="118" t="s">
        <v>255</v>
      </c>
    </row>
    <row r="66" spans="1:12" s="127" customFormat="1" ht="20.100000000000001" customHeight="1">
      <c r="A66" s="97">
        <v>41022</v>
      </c>
      <c r="B66" s="98">
        <v>0.34097222222222223</v>
      </c>
      <c r="C66" s="99">
        <v>41022</v>
      </c>
      <c r="D66" s="98">
        <v>0.53263888888888888</v>
      </c>
      <c r="E66" s="100" t="s">
        <v>1434</v>
      </c>
      <c r="F66" s="100" t="s">
        <v>826</v>
      </c>
      <c r="G66" s="100" t="s">
        <v>2150</v>
      </c>
      <c r="H66" s="101" t="s">
        <v>255</v>
      </c>
      <c r="I66" s="118" t="s">
        <v>255</v>
      </c>
    </row>
    <row r="67" spans="1:12" s="127" customFormat="1" ht="15" customHeight="1" thickBot="1">
      <c r="A67" s="120">
        <v>41022</v>
      </c>
      <c r="B67" s="121">
        <v>0.49722222222222223</v>
      </c>
      <c r="C67" s="122">
        <v>41022</v>
      </c>
      <c r="D67" s="121">
        <v>0.64930555555555558</v>
      </c>
      <c r="E67" s="123" t="s">
        <v>832</v>
      </c>
      <c r="F67" s="123" t="s">
        <v>124</v>
      </c>
      <c r="G67" s="123" t="s">
        <v>2150</v>
      </c>
      <c r="H67" s="124" t="s">
        <v>255</v>
      </c>
      <c r="I67" s="126" t="s">
        <v>255</v>
      </c>
    </row>
    <row r="68" spans="1:12" s="135" customFormat="1" ht="15" hidden="1" customHeight="1">
      <c r="A68" s="826" t="s">
        <v>103</v>
      </c>
      <c r="B68" s="828"/>
      <c r="C68" s="167"/>
      <c r="D68" s="168"/>
      <c r="E68" s="167"/>
      <c r="F68" s="169"/>
      <c r="G68" s="167"/>
      <c r="H68" s="175"/>
      <c r="I68" s="176"/>
      <c r="L68" s="127"/>
    </row>
    <row r="69" spans="1:12" ht="15" customHeight="1">
      <c r="A69" s="139">
        <v>41036</v>
      </c>
      <c r="B69" s="140">
        <v>0.53472222222222221</v>
      </c>
      <c r="C69" s="141">
        <v>41036</v>
      </c>
      <c r="D69" s="140">
        <v>0.58333333333333337</v>
      </c>
      <c r="E69" s="172" t="s">
        <v>2379</v>
      </c>
      <c r="F69" s="142" t="s">
        <v>61</v>
      </c>
      <c r="G69" s="142" t="s">
        <v>100</v>
      </c>
      <c r="H69" s="143">
        <v>0</v>
      </c>
      <c r="I69" s="177">
        <v>0</v>
      </c>
      <c r="L69" s="127"/>
    </row>
    <row r="70" spans="1:12" s="127" customFormat="1" ht="20.100000000000001" customHeight="1">
      <c r="A70" s="139">
        <v>41036</v>
      </c>
      <c r="B70" s="140">
        <v>0.73958333333333337</v>
      </c>
      <c r="C70" s="141">
        <v>41036</v>
      </c>
      <c r="D70" s="140">
        <v>0.75416666666666676</v>
      </c>
      <c r="E70" s="172" t="s">
        <v>2380</v>
      </c>
      <c r="F70" s="142" t="s">
        <v>826</v>
      </c>
      <c r="G70" s="142" t="s">
        <v>2381</v>
      </c>
      <c r="H70" s="143">
        <v>420</v>
      </c>
      <c r="I70" s="177">
        <v>1</v>
      </c>
    </row>
    <row r="71" spans="1:12" ht="15" customHeight="1">
      <c r="A71" s="139">
        <v>41040</v>
      </c>
      <c r="B71" s="140">
        <v>0.46180555555555558</v>
      </c>
      <c r="C71" s="141">
        <v>41040</v>
      </c>
      <c r="D71" s="140">
        <v>0.47222222222222227</v>
      </c>
      <c r="E71" s="172" t="s">
        <v>2382</v>
      </c>
      <c r="F71" s="142" t="s">
        <v>124</v>
      </c>
      <c r="G71" s="142" t="s">
        <v>100</v>
      </c>
      <c r="H71" s="143" t="s">
        <v>255</v>
      </c>
      <c r="I71" s="177" t="s">
        <v>255</v>
      </c>
      <c r="L71" s="127"/>
    </row>
    <row r="72" spans="1:12" s="127" customFormat="1" ht="15" customHeight="1">
      <c r="A72" s="139">
        <v>41053</v>
      </c>
      <c r="B72" s="140">
        <v>0.63888888888888895</v>
      </c>
      <c r="C72" s="141">
        <v>41054</v>
      </c>
      <c r="D72" s="140">
        <v>0.7284722222222223</v>
      </c>
      <c r="E72" s="172" t="s">
        <v>2383</v>
      </c>
      <c r="F72" s="142" t="s">
        <v>61</v>
      </c>
      <c r="G72" s="142" t="s">
        <v>2202</v>
      </c>
      <c r="H72" s="143" t="s">
        <v>2130</v>
      </c>
      <c r="I72" s="177" t="s">
        <v>2130</v>
      </c>
    </row>
    <row r="73" spans="1:12" ht="20.25" customHeight="1">
      <c r="A73" s="139">
        <v>41058</v>
      </c>
      <c r="B73" s="140">
        <v>0.77083333333333337</v>
      </c>
      <c r="C73" s="141">
        <v>41058</v>
      </c>
      <c r="D73" s="140">
        <v>0.81944444444444453</v>
      </c>
      <c r="E73" s="172" t="s">
        <v>2384</v>
      </c>
      <c r="F73" s="142" t="s">
        <v>124</v>
      </c>
      <c r="G73" s="142" t="s">
        <v>2202</v>
      </c>
      <c r="H73" s="143" t="s">
        <v>255</v>
      </c>
      <c r="I73" s="177" t="s">
        <v>255</v>
      </c>
      <c r="L73" s="127"/>
    </row>
    <row r="74" spans="1:12" s="127" customFormat="1" ht="15" customHeight="1">
      <c r="A74" s="139">
        <v>41058</v>
      </c>
      <c r="B74" s="140">
        <v>0.85763888888888884</v>
      </c>
      <c r="C74" s="141">
        <v>41060</v>
      </c>
      <c r="D74" s="140">
        <v>0.41666666666666669</v>
      </c>
      <c r="E74" s="172" t="s">
        <v>2385</v>
      </c>
      <c r="F74" s="142" t="s">
        <v>58</v>
      </c>
      <c r="G74" s="142" t="s">
        <v>2368</v>
      </c>
      <c r="H74" s="143" t="s">
        <v>2130</v>
      </c>
      <c r="I74" s="145">
        <v>112000</v>
      </c>
    </row>
    <row r="75" spans="1:12" ht="15" customHeight="1">
      <c r="A75" s="178">
        <v>41060</v>
      </c>
      <c r="B75" s="179">
        <v>0.98958333333333337</v>
      </c>
      <c r="C75" s="180">
        <v>41061</v>
      </c>
      <c r="D75" s="179">
        <v>0.1875</v>
      </c>
      <c r="E75" s="181" t="s">
        <v>2386</v>
      </c>
      <c r="F75" s="182" t="s">
        <v>826</v>
      </c>
      <c r="G75" s="182" t="s">
        <v>2202</v>
      </c>
      <c r="H75" s="183">
        <v>0</v>
      </c>
      <c r="I75" s="184">
        <v>0</v>
      </c>
      <c r="L75" s="127"/>
    </row>
    <row r="76" spans="1:12" s="135" customFormat="1" ht="15" hidden="1" customHeight="1">
      <c r="A76" s="829" t="s">
        <v>123</v>
      </c>
      <c r="B76" s="830"/>
      <c r="C76" s="185"/>
      <c r="D76" s="186"/>
      <c r="E76" s="185"/>
      <c r="F76" s="187"/>
      <c r="G76" s="185"/>
      <c r="H76" s="188"/>
      <c r="I76" s="189"/>
      <c r="L76" s="127"/>
    </row>
    <row r="77" spans="1:12" ht="15" customHeight="1">
      <c r="A77" s="190">
        <v>41062</v>
      </c>
      <c r="B77" s="191">
        <v>0.3125</v>
      </c>
      <c r="C77" s="192">
        <v>41062</v>
      </c>
      <c r="D77" s="191">
        <v>0.4826388888888889</v>
      </c>
      <c r="E77" s="193" t="s">
        <v>308</v>
      </c>
      <c r="F77" s="194" t="s">
        <v>124</v>
      </c>
      <c r="G77" s="193" t="s">
        <v>100</v>
      </c>
      <c r="H77" s="195" t="s">
        <v>255</v>
      </c>
      <c r="I77" s="196" t="s">
        <v>255</v>
      </c>
    </row>
    <row r="78" spans="1:12" ht="15" customHeight="1">
      <c r="A78" s="97">
        <v>41066</v>
      </c>
      <c r="B78" s="98">
        <v>0.33333333333333331</v>
      </c>
      <c r="C78" s="99">
        <v>41066</v>
      </c>
      <c r="D78" s="98">
        <v>0.33333333333333331</v>
      </c>
      <c r="E78" s="116" t="s">
        <v>2387</v>
      </c>
      <c r="F78" s="101" t="s">
        <v>61</v>
      </c>
      <c r="G78" s="116" t="s">
        <v>100</v>
      </c>
      <c r="H78" s="117" t="s">
        <v>255</v>
      </c>
      <c r="I78" s="118" t="s">
        <v>255</v>
      </c>
    </row>
    <row r="79" spans="1:12" ht="20.100000000000001" customHeight="1">
      <c r="A79" s="97">
        <v>41066</v>
      </c>
      <c r="B79" s="98">
        <v>0.52569444444444446</v>
      </c>
      <c r="C79" s="99">
        <v>41066</v>
      </c>
      <c r="D79" s="98">
        <v>0.52569444444444446</v>
      </c>
      <c r="E79" s="116" t="s">
        <v>2388</v>
      </c>
      <c r="F79" s="101" t="s">
        <v>826</v>
      </c>
      <c r="G79" s="116" t="s">
        <v>100</v>
      </c>
      <c r="H79" s="117">
        <v>0</v>
      </c>
      <c r="I79" s="118">
        <v>0</v>
      </c>
    </row>
    <row r="80" spans="1:12" ht="15" customHeight="1">
      <c r="A80" s="97">
        <v>41068</v>
      </c>
      <c r="B80" s="98">
        <v>0.72222222222222221</v>
      </c>
      <c r="C80" s="99">
        <v>41068</v>
      </c>
      <c r="D80" s="98">
        <v>0.72569444444444453</v>
      </c>
      <c r="E80" s="116" t="s">
        <v>2389</v>
      </c>
      <c r="F80" s="101" t="s">
        <v>124</v>
      </c>
      <c r="G80" s="116" t="s">
        <v>905</v>
      </c>
      <c r="H80" s="117">
        <v>120</v>
      </c>
      <c r="I80" s="118">
        <v>30379</v>
      </c>
    </row>
    <row r="81" spans="1:9" ht="20.100000000000001" customHeight="1">
      <c r="A81" s="97">
        <v>41071</v>
      </c>
      <c r="B81" s="98">
        <v>0.82638888888888884</v>
      </c>
      <c r="C81" s="99">
        <v>41072</v>
      </c>
      <c r="D81" s="98">
        <v>0.625</v>
      </c>
      <c r="E81" s="116" t="s">
        <v>2390</v>
      </c>
      <c r="F81" s="101" t="s">
        <v>63</v>
      </c>
      <c r="G81" s="116" t="s">
        <v>2368</v>
      </c>
      <c r="H81" s="117">
        <v>368</v>
      </c>
      <c r="I81" s="118">
        <v>110591</v>
      </c>
    </row>
    <row r="82" spans="1:9" ht="15" customHeight="1">
      <c r="A82" s="97">
        <v>41072</v>
      </c>
      <c r="B82" s="98">
        <v>0.6645833333333333</v>
      </c>
      <c r="C82" s="99">
        <v>41074</v>
      </c>
      <c r="D82" s="98">
        <v>0.20625000000000002</v>
      </c>
      <c r="E82" s="116" t="s">
        <v>1098</v>
      </c>
      <c r="F82" s="101" t="s">
        <v>1352</v>
      </c>
      <c r="G82" s="116" t="s">
        <v>2368</v>
      </c>
      <c r="H82" s="117">
        <v>920</v>
      </c>
      <c r="I82" s="118">
        <v>175000</v>
      </c>
    </row>
    <row r="83" spans="1:9" ht="20.100000000000001" customHeight="1">
      <c r="A83" s="97">
        <v>41073</v>
      </c>
      <c r="B83" s="98">
        <v>0.70486111111111116</v>
      </c>
      <c r="C83" s="99">
        <v>41073</v>
      </c>
      <c r="D83" s="98">
        <v>0.92291666666666661</v>
      </c>
      <c r="E83" s="116" t="s">
        <v>2391</v>
      </c>
      <c r="F83" s="101" t="s">
        <v>124</v>
      </c>
      <c r="G83" s="116" t="s">
        <v>100</v>
      </c>
      <c r="H83" s="117">
        <v>0</v>
      </c>
      <c r="I83" s="118">
        <v>0</v>
      </c>
    </row>
    <row r="84" spans="1:9" ht="15" customHeight="1">
      <c r="A84" s="97">
        <v>41079</v>
      </c>
      <c r="B84" s="98">
        <v>0.1875</v>
      </c>
      <c r="C84" s="99">
        <v>41080</v>
      </c>
      <c r="D84" s="98">
        <v>0.95833333333333337</v>
      </c>
      <c r="E84" s="116" t="s">
        <v>2392</v>
      </c>
      <c r="F84" s="101" t="s">
        <v>674</v>
      </c>
      <c r="G84" s="116" t="s">
        <v>2368</v>
      </c>
      <c r="H84" s="117" t="s">
        <v>2130</v>
      </c>
      <c r="I84" s="118">
        <v>68200</v>
      </c>
    </row>
    <row r="85" spans="1:9" ht="20.100000000000001" customHeight="1">
      <c r="A85" s="97">
        <v>41079</v>
      </c>
      <c r="B85" s="98">
        <v>0.22916666666666666</v>
      </c>
      <c r="C85" s="99">
        <v>41081</v>
      </c>
      <c r="D85" s="98">
        <v>0.22916666666666666</v>
      </c>
      <c r="E85" s="116" t="s">
        <v>2393</v>
      </c>
      <c r="F85" s="101" t="s">
        <v>124</v>
      </c>
      <c r="G85" s="116" t="s">
        <v>2394</v>
      </c>
      <c r="H85" s="117" t="s">
        <v>2130</v>
      </c>
      <c r="I85" s="118" t="s">
        <v>2130</v>
      </c>
    </row>
    <row r="86" spans="1:9" ht="15" customHeight="1">
      <c r="A86" s="97">
        <v>41083</v>
      </c>
      <c r="B86" s="98">
        <v>0.7895833333333333</v>
      </c>
      <c r="C86" s="99">
        <v>41083</v>
      </c>
      <c r="D86" s="98">
        <v>0.81111111111111101</v>
      </c>
      <c r="E86" s="116" t="s">
        <v>2395</v>
      </c>
      <c r="F86" s="101" t="s">
        <v>61</v>
      </c>
      <c r="G86" s="116" t="s">
        <v>905</v>
      </c>
      <c r="H86" s="117">
        <v>51</v>
      </c>
      <c r="I86" s="118">
        <v>29250</v>
      </c>
    </row>
    <row r="87" spans="1:9" ht="15" customHeight="1">
      <c r="A87" s="97">
        <v>41085</v>
      </c>
      <c r="B87" s="98">
        <v>0.6694444444444444</v>
      </c>
      <c r="C87" s="99">
        <v>41086</v>
      </c>
      <c r="D87" s="98">
        <v>0.57291666666666663</v>
      </c>
      <c r="E87" s="116" t="s">
        <v>459</v>
      </c>
      <c r="F87" s="101" t="s">
        <v>63</v>
      </c>
      <c r="G87" s="116" t="s">
        <v>2396</v>
      </c>
      <c r="H87" s="117">
        <v>600</v>
      </c>
      <c r="I87" s="118">
        <v>190000</v>
      </c>
    </row>
    <row r="88" spans="1:9" ht="20.100000000000001" customHeight="1">
      <c r="A88" s="97">
        <v>41089</v>
      </c>
      <c r="B88" s="98">
        <v>0.44791666666666669</v>
      </c>
      <c r="C88" s="99">
        <v>41089</v>
      </c>
      <c r="D88" s="98">
        <v>0.44791666666666669</v>
      </c>
      <c r="E88" s="116" t="s">
        <v>2367</v>
      </c>
      <c r="F88" s="101" t="s">
        <v>826</v>
      </c>
      <c r="G88" s="142" t="s">
        <v>2202</v>
      </c>
      <c r="H88" s="117">
        <v>0</v>
      </c>
      <c r="I88" s="118">
        <v>0</v>
      </c>
    </row>
    <row r="89" spans="1:9" ht="20.100000000000001" customHeight="1">
      <c r="A89" s="97">
        <v>41089</v>
      </c>
      <c r="B89" s="98">
        <v>0.50694444444444442</v>
      </c>
      <c r="C89" s="99">
        <v>41089</v>
      </c>
      <c r="D89" s="98">
        <v>0.70972222222222225</v>
      </c>
      <c r="E89" s="116" t="s">
        <v>2271</v>
      </c>
      <c r="F89" s="101" t="s">
        <v>255</v>
      </c>
      <c r="G89" s="116" t="s">
        <v>2397</v>
      </c>
      <c r="H89" s="117">
        <v>1800</v>
      </c>
      <c r="I89" s="118">
        <v>900000</v>
      </c>
    </row>
    <row r="90" spans="1:9" ht="15" customHeight="1">
      <c r="A90" s="97">
        <v>41089</v>
      </c>
      <c r="B90" s="98">
        <v>0.59027777777777779</v>
      </c>
      <c r="C90" s="99">
        <v>41094</v>
      </c>
      <c r="D90" s="98">
        <v>0.75</v>
      </c>
      <c r="E90" s="116" t="s">
        <v>2398</v>
      </c>
      <c r="F90" s="101" t="s">
        <v>826</v>
      </c>
      <c r="G90" s="116" t="s">
        <v>2368</v>
      </c>
      <c r="H90" s="117">
        <v>500</v>
      </c>
      <c r="I90" s="118">
        <v>175000</v>
      </c>
    </row>
    <row r="91" spans="1:9" ht="20.100000000000001" customHeight="1">
      <c r="A91" s="97">
        <v>41089</v>
      </c>
      <c r="B91" s="98">
        <v>0.66666666666666663</v>
      </c>
      <c r="C91" s="99">
        <v>41092</v>
      </c>
      <c r="D91" s="98">
        <v>0.66666666666666663</v>
      </c>
      <c r="E91" s="116" t="s">
        <v>2399</v>
      </c>
      <c r="F91" s="101" t="s">
        <v>826</v>
      </c>
      <c r="G91" s="116" t="s">
        <v>2368</v>
      </c>
      <c r="H91" s="117" t="s">
        <v>2130</v>
      </c>
      <c r="I91" s="118">
        <v>1355919</v>
      </c>
    </row>
    <row r="92" spans="1:9" ht="34.5" hidden="1" customHeight="1" thickBot="1">
      <c r="A92" s="67" t="s">
        <v>2105</v>
      </c>
      <c r="B92" s="68" t="s">
        <v>2106</v>
      </c>
      <c r="C92" s="68" t="s">
        <v>2107</v>
      </c>
      <c r="D92" s="68" t="s">
        <v>2108</v>
      </c>
      <c r="E92" s="68" t="s">
        <v>67</v>
      </c>
      <c r="F92" s="68" t="s">
        <v>57</v>
      </c>
      <c r="G92" s="68" t="s">
        <v>2109</v>
      </c>
      <c r="H92" s="68" t="s">
        <v>2110</v>
      </c>
      <c r="I92" s="69" t="s">
        <v>7</v>
      </c>
    </row>
    <row r="93" spans="1:9" hidden="1">
      <c r="A93" s="820" t="s">
        <v>2400</v>
      </c>
      <c r="B93" s="821"/>
      <c r="C93" s="70"/>
      <c r="D93" s="71"/>
      <c r="E93" s="70"/>
      <c r="F93" s="72"/>
      <c r="G93" s="70"/>
      <c r="H93" s="73"/>
      <c r="I93" s="74"/>
    </row>
    <row r="94" spans="1:9" ht="20.100000000000001" customHeight="1">
      <c r="A94" s="97">
        <v>41089</v>
      </c>
      <c r="B94" s="98">
        <v>0.66666666666666663</v>
      </c>
      <c r="C94" s="99">
        <v>41089</v>
      </c>
      <c r="D94" s="98">
        <v>0.875</v>
      </c>
      <c r="E94" s="116" t="s">
        <v>2220</v>
      </c>
      <c r="F94" s="101" t="s">
        <v>63</v>
      </c>
      <c r="G94" s="116" t="s">
        <v>2221</v>
      </c>
      <c r="H94" s="117">
        <v>45</v>
      </c>
      <c r="I94" s="118">
        <v>7935</v>
      </c>
    </row>
    <row r="95" spans="1:9" ht="20.100000000000001" customHeight="1">
      <c r="A95" s="97">
        <v>41089</v>
      </c>
      <c r="B95" s="98">
        <v>0.71875</v>
      </c>
      <c r="C95" s="99">
        <v>41092</v>
      </c>
      <c r="D95" s="98">
        <v>0.99930555555555556</v>
      </c>
      <c r="E95" s="116" t="s">
        <v>2401</v>
      </c>
      <c r="F95" s="101" t="s">
        <v>826</v>
      </c>
      <c r="G95" s="116" t="s">
        <v>2368</v>
      </c>
      <c r="H95" s="117">
        <v>2946</v>
      </c>
      <c r="I95" s="118">
        <v>4645572</v>
      </c>
    </row>
    <row r="96" spans="1:9" ht="15" customHeight="1">
      <c r="A96" s="97">
        <v>41089</v>
      </c>
      <c r="B96" s="98">
        <v>0.76666666666666661</v>
      </c>
      <c r="C96" s="99">
        <v>41096</v>
      </c>
      <c r="D96" s="98">
        <v>0.41666666666666669</v>
      </c>
      <c r="E96" s="116" t="s">
        <v>2402</v>
      </c>
      <c r="F96" s="101" t="s">
        <v>826</v>
      </c>
      <c r="G96" s="116" t="s">
        <v>2368</v>
      </c>
      <c r="H96" s="117">
        <v>700</v>
      </c>
      <c r="I96" s="118">
        <v>265000</v>
      </c>
    </row>
    <row r="97" spans="1:12" ht="15" customHeight="1">
      <c r="A97" s="97">
        <v>41089</v>
      </c>
      <c r="B97" s="98">
        <v>0.79166666666666663</v>
      </c>
      <c r="C97" s="99">
        <v>41097</v>
      </c>
      <c r="D97" s="98">
        <v>0.82152777777777775</v>
      </c>
      <c r="E97" s="116" t="s">
        <v>2403</v>
      </c>
      <c r="F97" s="101" t="s">
        <v>826</v>
      </c>
      <c r="G97" s="116" t="s">
        <v>2368</v>
      </c>
      <c r="H97" s="117" t="s">
        <v>2130</v>
      </c>
      <c r="I97" s="118">
        <v>145000</v>
      </c>
    </row>
    <row r="98" spans="1:12" ht="20.100000000000001" customHeight="1">
      <c r="A98" s="97">
        <v>41089</v>
      </c>
      <c r="B98" s="98">
        <v>0.92708333333333337</v>
      </c>
      <c r="C98" s="99">
        <v>41095</v>
      </c>
      <c r="D98" s="98">
        <v>0.53611111111111109</v>
      </c>
      <c r="E98" s="116" t="s">
        <v>2404</v>
      </c>
      <c r="F98" s="101" t="s">
        <v>826</v>
      </c>
      <c r="G98" s="116" t="s">
        <v>2368</v>
      </c>
      <c r="H98" s="117">
        <v>3000</v>
      </c>
      <c r="I98" s="118">
        <v>425000</v>
      </c>
    </row>
    <row r="99" spans="1:12" ht="15" customHeight="1">
      <c r="A99" s="97">
        <v>41089</v>
      </c>
      <c r="B99" s="98">
        <v>0.93680555555555556</v>
      </c>
      <c r="C99" s="99">
        <v>41094</v>
      </c>
      <c r="D99" s="98">
        <v>0.65</v>
      </c>
      <c r="E99" s="116" t="s">
        <v>2004</v>
      </c>
      <c r="F99" s="101" t="s">
        <v>63</v>
      </c>
      <c r="G99" s="116" t="s">
        <v>2368</v>
      </c>
      <c r="H99" s="117">
        <v>5000</v>
      </c>
      <c r="I99" s="118">
        <v>880000</v>
      </c>
    </row>
    <row r="100" spans="1:12" ht="18" customHeight="1">
      <c r="A100" s="97">
        <v>41089</v>
      </c>
      <c r="B100" s="98">
        <v>0.94652777777777775</v>
      </c>
      <c r="C100" s="99">
        <v>41095</v>
      </c>
      <c r="D100" s="98">
        <v>0.49305555555555558</v>
      </c>
      <c r="E100" s="116" t="s">
        <v>2405</v>
      </c>
      <c r="F100" s="101" t="s">
        <v>826</v>
      </c>
      <c r="G100" s="116" t="s">
        <v>2368</v>
      </c>
      <c r="H100" s="117">
        <v>1465</v>
      </c>
      <c r="I100" s="118">
        <v>600000</v>
      </c>
    </row>
    <row r="101" spans="1:12" ht="15" customHeight="1">
      <c r="A101" s="97">
        <v>41089</v>
      </c>
      <c r="B101" s="98">
        <v>0.97916666666666663</v>
      </c>
      <c r="C101" s="99">
        <v>41090</v>
      </c>
      <c r="D101" s="98">
        <v>8.3333333333333329E-2</v>
      </c>
      <c r="E101" s="116" t="s">
        <v>2406</v>
      </c>
      <c r="F101" s="101" t="s">
        <v>826</v>
      </c>
      <c r="G101" s="116" t="s">
        <v>2368</v>
      </c>
      <c r="H101" s="117" t="s">
        <v>2130</v>
      </c>
      <c r="I101" s="118">
        <v>109000</v>
      </c>
    </row>
    <row r="102" spans="1:12" ht="20.100000000000001" customHeight="1">
      <c r="A102" s="97">
        <v>41090</v>
      </c>
      <c r="B102" s="98">
        <v>4.1666666666666664E-2</v>
      </c>
      <c r="C102" s="99">
        <v>41093</v>
      </c>
      <c r="D102" s="98">
        <v>4.1666666666666664E-2</v>
      </c>
      <c r="E102" s="116" t="s">
        <v>2277</v>
      </c>
      <c r="F102" s="101" t="s">
        <v>826</v>
      </c>
      <c r="G102" s="116" t="s">
        <v>2368</v>
      </c>
      <c r="H102" s="117">
        <v>0</v>
      </c>
      <c r="I102" s="118">
        <v>86390</v>
      </c>
    </row>
    <row r="103" spans="1:12" ht="20.100000000000001" customHeight="1">
      <c r="A103" s="97">
        <v>41090</v>
      </c>
      <c r="B103" s="98">
        <v>5.2083333333333336E-2</v>
      </c>
      <c r="C103" s="99">
        <v>41097</v>
      </c>
      <c r="D103" s="98">
        <v>0.73125000000000007</v>
      </c>
      <c r="E103" s="116" t="s">
        <v>2407</v>
      </c>
      <c r="F103" s="101" t="s">
        <v>826</v>
      </c>
      <c r="G103" s="116" t="s">
        <v>2368</v>
      </c>
      <c r="H103" s="117" t="s">
        <v>2130</v>
      </c>
      <c r="I103" s="118">
        <v>205000</v>
      </c>
    </row>
    <row r="104" spans="1:12" ht="18">
      <c r="A104" s="97">
        <v>41090</v>
      </c>
      <c r="B104" s="98">
        <v>0.625</v>
      </c>
      <c r="C104" s="99">
        <v>41092</v>
      </c>
      <c r="D104" s="98">
        <v>0.5</v>
      </c>
      <c r="E104" s="116" t="s">
        <v>2180</v>
      </c>
      <c r="F104" s="101" t="s">
        <v>63</v>
      </c>
      <c r="G104" s="116" t="s">
        <v>2221</v>
      </c>
      <c r="H104" s="117" t="s">
        <v>2130</v>
      </c>
      <c r="I104" s="118" t="s">
        <v>2130</v>
      </c>
    </row>
    <row r="105" spans="1:12" ht="20.100000000000001" customHeight="1" thickBot="1">
      <c r="A105" s="120">
        <v>41090</v>
      </c>
      <c r="B105" s="121">
        <v>0.9375</v>
      </c>
      <c r="C105" s="122">
        <v>41092</v>
      </c>
      <c r="D105" s="121">
        <v>0.34097222222222223</v>
      </c>
      <c r="E105" s="125" t="s">
        <v>2408</v>
      </c>
      <c r="F105" s="124" t="s">
        <v>826</v>
      </c>
      <c r="G105" s="125" t="s">
        <v>2368</v>
      </c>
      <c r="H105" s="197">
        <v>354</v>
      </c>
      <c r="I105" s="126">
        <v>60000</v>
      </c>
      <c r="L105" s="127"/>
    </row>
    <row r="106" spans="1:12" s="135" customFormat="1" ht="15" hidden="1" customHeight="1">
      <c r="A106" s="829" t="s">
        <v>26</v>
      </c>
      <c r="B106" s="830"/>
      <c r="C106" s="185"/>
      <c r="D106" s="186"/>
      <c r="E106" s="185"/>
      <c r="F106" s="187"/>
      <c r="G106" s="185"/>
      <c r="H106" s="188"/>
      <c r="I106" s="189"/>
      <c r="L106" s="127"/>
    </row>
    <row r="107" spans="1:12" ht="15" customHeight="1">
      <c r="A107" s="97">
        <v>41091.541666666664</v>
      </c>
      <c r="B107" s="114">
        <v>41091.541666666664</v>
      </c>
      <c r="C107" s="99">
        <v>41093.625</v>
      </c>
      <c r="D107" s="114">
        <v>41093.625</v>
      </c>
      <c r="E107" s="198" t="s">
        <v>33</v>
      </c>
      <c r="F107" s="199" t="s">
        <v>826</v>
      </c>
      <c r="G107" s="198" t="s">
        <v>2368</v>
      </c>
      <c r="H107" s="101" t="s">
        <v>45</v>
      </c>
      <c r="I107" s="118">
        <v>320000</v>
      </c>
    </row>
    <row r="108" spans="1:12" ht="20.100000000000001" customHeight="1">
      <c r="A108" s="97">
        <v>41091.699305555558</v>
      </c>
      <c r="B108" s="114">
        <v>41091.699305555558</v>
      </c>
      <c r="C108" s="99">
        <v>41091.958333333336</v>
      </c>
      <c r="D108" s="114">
        <v>41091.958333333336</v>
      </c>
      <c r="E108" s="198" t="s">
        <v>2409</v>
      </c>
      <c r="F108" s="199" t="s">
        <v>63</v>
      </c>
      <c r="G108" s="198" t="s">
        <v>2410</v>
      </c>
      <c r="H108" s="101">
        <v>48</v>
      </c>
      <c r="I108" s="118">
        <v>6100</v>
      </c>
    </row>
    <row r="109" spans="1:12" ht="20.100000000000001" customHeight="1">
      <c r="A109" s="97">
        <v>41091.739583333336</v>
      </c>
      <c r="B109" s="114">
        <v>41091.739583333336</v>
      </c>
      <c r="C109" s="99">
        <v>41091.927083333336</v>
      </c>
      <c r="D109" s="114">
        <v>41091.927083333336</v>
      </c>
      <c r="E109" s="198" t="s">
        <v>2411</v>
      </c>
      <c r="F109" s="199" t="s">
        <v>63</v>
      </c>
      <c r="G109" s="198" t="s">
        <v>2412</v>
      </c>
      <c r="H109" s="101" t="s">
        <v>45</v>
      </c>
      <c r="I109" s="118">
        <v>69106</v>
      </c>
    </row>
    <row r="110" spans="1:12" ht="15" customHeight="1">
      <c r="A110" s="97">
        <v>41095.1875</v>
      </c>
      <c r="B110" s="114">
        <v>0</v>
      </c>
      <c r="C110" s="99">
        <v>41096.854166666664</v>
      </c>
      <c r="D110" s="114">
        <v>41096.854166666664</v>
      </c>
      <c r="E110" s="198" t="s">
        <v>2413</v>
      </c>
      <c r="F110" s="199" t="s">
        <v>826</v>
      </c>
      <c r="G110" s="198" t="s">
        <v>2368</v>
      </c>
      <c r="H110" s="101" t="s">
        <v>45</v>
      </c>
      <c r="I110" s="118">
        <v>111000</v>
      </c>
    </row>
    <row r="111" spans="1:12" ht="15" customHeight="1">
      <c r="A111" s="97">
        <v>41095.791666666664</v>
      </c>
      <c r="B111" s="114">
        <v>41095.791666666664</v>
      </c>
      <c r="C111" s="99">
        <v>41096.666666666664</v>
      </c>
      <c r="D111" s="114">
        <v>41096.666666666664</v>
      </c>
      <c r="E111" s="198" t="s">
        <v>2180</v>
      </c>
      <c r="F111" s="199" t="s">
        <v>63</v>
      </c>
      <c r="G111" s="198" t="s">
        <v>2414</v>
      </c>
      <c r="H111" s="101" t="s">
        <v>255</v>
      </c>
      <c r="I111" s="118">
        <v>50001</v>
      </c>
    </row>
    <row r="112" spans="1:12" ht="15" customHeight="1">
      <c r="A112" s="97">
        <v>41096.628472222219</v>
      </c>
      <c r="B112" s="114">
        <v>41096.628472222219</v>
      </c>
      <c r="C112" s="99">
        <v>41096.629166666666</v>
      </c>
      <c r="D112" s="114">
        <v>41096.629166666666</v>
      </c>
      <c r="E112" s="198" t="s">
        <v>2332</v>
      </c>
      <c r="F112" s="199" t="s">
        <v>124</v>
      </c>
      <c r="G112" s="198" t="s">
        <v>100</v>
      </c>
      <c r="H112" s="101" t="s">
        <v>255</v>
      </c>
      <c r="I112" s="118" t="s">
        <v>255</v>
      </c>
    </row>
    <row r="113" spans="1:9" ht="15" customHeight="1">
      <c r="A113" s="97">
        <v>41097.166666666664</v>
      </c>
      <c r="B113" s="114">
        <v>41097.166666666664</v>
      </c>
      <c r="C113" s="99">
        <v>41100.166666666664</v>
      </c>
      <c r="D113" s="114">
        <v>41100.166666666664</v>
      </c>
      <c r="E113" s="198" t="s">
        <v>2415</v>
      </c>
      <c r="F113" s="199" t="s">
        <v>124</v>
      </c>
      <c r="G113" s="198" t="s">
        <v>2394</v>
      </c>
      <c r="H113" s="101" t="s">
        <v>45</v>
      </c>
      <c r="I113" s="118">
        <v>0</v>
      </c>
    </row>
    <row r="114" spans="1:9" ht="20.100000000000001" customHeight="1">
      <c r="A114" s="97">
        <v>41097.254166666666</v>
      </c>
      <c r="B114" s="114">
        <v>41097.254166666666</v>
      </c>
      <c r="C114" s="99">
        <v>41099.958333333336</v>
      </c>
      <c r="D114" s="114">
        <v>41099.958333333336</v>
      </c>
      <c r="E114" s="198" t="s">
        <v>2416</v>
      </c>
      <c r="F114" s="199" t="s">
        <v>826</v>
      </c>
      <c r="G114" s="198" t="s">
        <v>2368</v>
      </c>
      <c r="H114" s="101" t="s">
        <v>255</v>
      </c>
      <c r="I114" s="118">
        <v>64500</v>
      </c>
    </row>
    <row r="115" spans="1:9" ht="20.100000000000001" customHeight="1">
      <c r="A115" s="97">
        <v>41097.75</v>
      </c>
      <c r="B115" s="114">
        <v>41097.75</v>
      </c>
      <c r="C115" s="99">
        <v>41099.792361111111</v>
      </c>
      <c r="D115" s="114">
        <v>41099.792361111111</v>
      </c>
      <c r="E115" s="198" t="s">
        <v>2417</v>
      </c>
      <c r="F115" s="199" t="s">
        <v>826</v>
      </c>
      <c r="G115" s="198" t="s">
        <v>2368</v>
      </c>
      <c r="H115" s="101" t="s">
        <v>255</v>
      </c>
      <c r="I115" s="118">
        <v>95400</v>
      </c>
    </row>
    <row r="116" spans="1:9" ht="15" customHeight="1">
      <c r="A116" s="97">
        <v>41099.510416666664</v>
      </c>
      <c r="B116" s="114">
        <v>41099.510416666664</v>
      </c>
      <c r="C116" s="99">
        <v>41099.676388888889</v>
      </c>
      <c r="D116" s="114">
        <v>41099.676388888889</v>
      </c>
      <c r="E116" s="198" t="s">
        <v>2418</v>
      </c>
      <c r="F116" s="199" t="s">
        <v>124</v>
      </c>
      <c r="G116" s="198" t="s">
        <v>2419</v>
      </c>
      <c r="H116" s="101">
        <v>9896</v>
      </c>
      <c r="I116" s="118" t="s">
        <v>45</v>
      </c>
    </row>
    <row r="117" spans="1:9" ht="15" customHeight="1">
      <c r="A117" s="97">
        <v>41106.477083333331</v>
      </c>
      <c r="B117" s="114">
        <v>41106.477083333331</v>
      </c>
      <c r="C117" s="99">
        <v>41106.520138888889</v>
      </c>
      <c r="D117" s="114">
        <v>41106.520138888889</v>
      </c>
      <c r="E117" s="198" t="s">
        <v>2355</v>
      </c>
      <c r="F117" s="199" t="s">
        <v>58</v>
      </c>
      <c r="G117" s="198" t="s">
        <v>2420</v>
      </c>
      <c r="H117" s="101" t="s">
        <v>255</v>
      </c>
      <c r="I117" s="118" t="s">
        <v>255</v>
      </c>
    </row>
    <row r="118" spans="1:9" ht="20.100000000000001" customHeight="1">
      <c r="A118" s="97">
        <v>41108.594444444447</v>
      </c>
      <c r="B118" s="114">
        <v>41108.594444444447</v>
      </c>
      <c r="C118" s="99">
        <v>41109.998611111114</v>
      </c>
      <c r="D118" s="114">
        <v>41109.998611111114</v>
      </c>
      <c r="E118" s="198" t="s">
        <v>2421</v>
      </c>
      <c r="F118" s="199" t="s">
        <v>826</v>
      </c>
      <c r="G118" s="198" t="s">
        <v>2368</v>
      </c>
      <c r="H118" s="101">
        <v>480</v>
      </c>
      <c r="I118" s="118">
        <v>103000</v>
      </c>
    </row>
    <row r="119" spans="1:9" ht="15" customHeight="1">
      <c r="A119" s="97">
        <v>41108.680555555555</v>
      </c>
      <c r="B119" s="114">
        <v>41108.680555555555</v>
      </c>
      <c r="C119" s="99">
        <v>41108.795138888891</v>
      </c>
      <c r="D119" s="114">
        <v>41108.795138888891</v>
      </c>
      <c r="E119" s="198" t="s">
        <v>2380</v>
      </c>
      <c r="F119" s="199" t="s">
        <v>826</v>
      </c>
      <c r="G119" s="198" t="s">
        <v>2368</v>
      </c>
      <c r="H119" s="101" t="s">
        <v>45</v>
      </c>
      <c r="I119" s="118">
        <v>67000</v>
      </c>
    </row>
    <row r="120" spans="1:9" ht="15" customHeight="1">
      <c r="A120" s="97">
        <v>41108.958333333336</v>
      </c>
      <c r="B120" s="114">
        <v>41108.958333333336</v>
      </c>
      <c r="C120" s="99">
        <v>41109.25</v>
      </c>
      <c r="D120" s="114">
        <v>41109.25</v>
      </c>
      <c r="E120" s="198" t="s">
        <v>156</v>
      </c>
      <c r="F120" s="199" t="s">
        <v>826</v>
      </c>
      <c r="G120" s="198" t="s">
        <v>2368</v>
      </c>
      <c r="H120" s="101" t="s">
        <v>45</v>
      </c>
      <c r="I120" s="118">
        <v>181000</v>
      </c>
    </row>
    <row r="121" spans="1:9" ht="34.5" hidden="1" customHeight="1" thickBot="1">
      <c r="A121" s="67" t="s">
        <v>2105</v>
      </c>
      <c r="B121" s="68" t="s">
        <v>2106</v>
      </c>
      <c r="C121" s="68" t="s">
        <v>2107</v>
      </c>
      <c r="D121" s="68" t="s">
        <v>2108</v>
      </c>
      <c r="E121" s="68" t="s">
        <v>67</v>
      </c>
      <c r="F121" s="68" t="s">
        <v>57</v>
      </c>
      <c r="G121" s="68" t="s">
        <v>2109</v>
      </c>
      <c r="H121" s="68" t="s">
        <v>2110</v>
      </c>
      <c r="I121" s="69" t="s">
        <v>7</v>
      </c>
    </row>
    <row r="122" spans="1:9" ht="15" hidden="1" customHeight="1">
      <c r="A122" s="820" t="s">
        <v>2422</v>
      </c>
      <c r="B122" s="821"/>
      <c r="C122" s="70"/>
      <c r="D122" s="71"/>
      <c r="E122" s="70"/>
      <c r="F122" s="72"/>
      <c r="G122" s="70"/>
      <c r="H122" s="73"/>
      <c r="I122" s="74"/>
    </row>
    <row r="123" spans="1:9" ht="15" customHeight="1">
      <c r="A123" s="97">
        <v>41109.4375</v>
      </c>
      <c r="B123" s="114">
        <v>41109.4375</v>
      </c>
      <c r="C123" s="99">
        <v>41121.458333333336</v>
      </c>
      <c r="D123" s="114">
        <v>41121.458333333336</v>
      </c>
      <c r="E123" s="198" t="s">
        <v>2423</v>
      </c>
      <c r="F123" s="199" t="s">
        <v>61</v>
      </c>
      <c r="G123" s="198" t="s">
        <v>2126</v>
      </c>
      <c r="H123" s="101">
        <v>675</v>
      </c>
      <c r="I123" s="118" t="s">
        <v>45</v>
      </c>
    </row>
    <row r="124" spans="1:9" ht="20.100000000000001" customHeight="1">
      <c r="A124" s="97">
        <v>41109.522222222222</v>
      </c>
      <c r="B124" s="114">
        <v>41109.522222222222</v>
      </c>
      <c r="C124" s="99">
        <v>41109.522916666669</v>
      </c>
      <c r="D124" s="114">
        <v>41109.522916666669</v>
      </c>
      <c r="E124" s="198" t="s">
        <v>2119</v>
      </c>
      <c r="F124" s="199" t="s">
        <v>826</v>
      </c>
      <c r="G124" s="198" t="s">
        <v>100</v>
      </c>
      <c r="H124" s="101" t="s">
        <v>255</v>
      </c>
      <c r="I124" s="118" t="s">
        <v>255</v>
      </c>
    </row>
    <row r="125" spans="1:9" ht="15" customHeight="1">
      <c r="A125" s="97">
        <v>41111.09652777778</v>
      </c>
      <c r="B125" s="114">
        <v>41111.09652777778</v>
      </c>
      <c r="C125" s="99">
        <v>41111.222222222219</v>
      </c>
      <c r="D125" s="114">
        <v>41111.222222222219</v>
      </c>
      <c r="E125" s="198" t="s">
        <v>2424</v>
      </c>
      <c r="F125" s="199" t="s">
        <v>58</v>
      </c>
      <c r="G125" s="198" t="s">
        <v>2425</v>
      </c>
      <c r="H125" s="101">
        <v>220</v>
      </c>
      <c r="I125" s="118">
        <v>70000</v>
      </c>
    </row>
    <row r="126" spans="1:9" ht="20.100000000000001" customHeight="1">
      <c r="A126" s="97">
        <v>41114.292361111111</v>
      </c>
      <c r="B126" s="114">
        <v>41114.292361111111</v>
      </c>
      <c r="C126" s="99">
        <v>41114.6875</v>
      </c>
      <c r="D126" s="114">
        <v>41114.6875</v>
      </c>
      <c r="E126" s="198" t="s">
        <v>2426</v>
      </c>
      <c r="F126" s="199" t="s">
        <v>826</v>
      </c>
      <c r="G126" s="198" t="s">
        <v>2368</v>
      </c>
      <c r="H126" s="101" t="s">
        <v>255</v>
      </c>
      <c r="I126" s="118">
        <v>82621</v>
      </c>
    </row>
    <row r="127" spans="1:9" ht="15" customHeight="1">
      <c r="A127" s="97">
        <v>41114.3125</v>
      </c>
      <c r="B127" s="114">
        <v>41114.3125</v>
      </c>
      <c r="C127" s="99">
        <v>41114.916666666664</v>
      </c>
      <c r="D127" s="114">
        <v>41114.916666666664</v>
      </c>
      <c r="E127" s="198" t="s">
        <v>156</v>
      </c>
      <c r="F127" s="199" t="s">
        <v>826</v>
      </c>
      <c r="G127" s="198" t="s">
        <v>2368</v>
      </c>
      <c r="H127" s="101" t="s">
        <v>45</v>
      </c>
      <c r="I127" s="118">
        <v>330000</v>
      </c>
    </row>
    <row r="128" spans="1:9" ht="20.100000000000001" customHeight="1">
      <c r="A128" s="97">
        <v>41116.759722222225</v>
      </c>
      <c r="B128" s="114">
        <v>41116.759722222225</v>
      </c>
      <c r="C128" s="99">
        <v>41117.759722222225</v>
      </c>
      <c r="D128" s="114">
        <v>41117.759722222225</v>
      </c>
      <c r="E128" s="198" t="s">
        <v>1562</v>
      </c>
      <c r="F128" s="199" t="s">
        <v>826</v>
      </c>
      <c r="G128" s="198" t="s">
        <v>2368</v>
      </c>
      <c r="H128" s="101" t="s">
        <v>255</v>
      </c>
      <c r="I128" s="118">
        <v>65112</v>
      </c>
    </row>
    <row r="129" spans="1:9" ht="15" customHeight="1">
      <c r="A129" s="97">
        <v>41116.76458333333</v>
      </c>
      <c r="B129" s="114">
        <v>41116.76458333333</v>
      </c>
      <c r="C129" s="99">
        <v>41118.979166666664</v>
      </c>
      <c r="D129" s="114">
        <v>41118.979166666664</v>
      </c>
      <c r="E129" s="198" t="s">
        <v>2427</v>
      </c>
      <c r="F129" s="199" t="s">
        <v>826</v>
      </c>
      <c r="G129" s="198" t="s">
        <v>2368</v>
      </c>
      <c r="H129" s="101" t="s">
        <v>255</v>
      </c>
      <c r="I129" s="118">
        <v>65000</v>
      </c>
    </row>
    <row r="130" spans="1:9">
      <c r="A130" s="97">
        <v>41116.770833333336</v>
      </c>
      <c r="B130" s="114">
        <v>41116.770833333336</v>
      </c>
      <c r="C130" s="99">
        <v>41117.723611111112</v>
      </c>
      <c r="D130" s="114">
        <v>41117.723611111112</v>
      </c>
      <c r="E130" s="198" t="s">
        <v>2380</v>
      </c>
      <c r="F130" s="199" t="s">
        <v>826</v>
      </c>
      <c r="G130" s="198" t="s">
        <v>2368</v>
      </c>
      <c r="H130" s="101" t="s">
        <v>45</v>
      </c>
      <c r="I130" s="118">
        <v>57054</v>
      </c>
    </row>
    <row r="131" spans="1:9" ht="15.75" thickBot="1">
      <c r="A131" s="120">
        <v>41117.72152777778</v>
      </c>
      <c r="B131" s="200">
        <v>41117.72152777778</v>
      </c>
      <c r="C131" s="122">
        <v>41118.72152777778</v>
      </c>
      <c r="D131" s="200">
        <v>41118.72152777778</v>
      </c>
      <c r="E131" s="201" t="s">
        <v>2208</v>
      </c>
      <c r="F131" s="202" t="s">
        <v>826</v>
      </c>
      <c r="G131" s="201" t="s">
        <v>2368</v>
      </c>
      <c r="H131" s="124" t="s">
        <v>45</v>
      </c>
      <c r="I131" s="126">
        <v>52702</v>
      </c>
    </row>
    <row r="132" spans="1:9" ht="15" hidden="1" customHeight="1" thickBot="1">
      <c r="A132" s="820" t="s">
        <v>32</v>
      </c>
      <c r="B132" s="821"/>
      <c r="C132" s="70"/>
      <c r="D132" s="71"/>
      <c r="E132" s="70"/>
      <c r="F132" s="72"/>
      <c r="G132" s="70"/>
      <c r="H132" s="73"/>
      <c r="I132" s="74"/>
    </row>
    <row r="133" spans="1:9" ht="18">
      <c r="A133" s="203">
        <v>41122.5</v>
      </c>
      <c r="B133" s="204">
        <v>41122.5</v>
      </c>
      <c r="C133" s="205">
        <v>41122.5</v>
      </c>
      <c r="D133" s="204">
        <v>41122.5</v>
      </c>
      <c r="E133" s="206" t="s">
        <v>2428</v>
      </c>
      <c r="F133" s="206" t="s">
        <v>58</v>
      </c>
      <c r="G133" s="206" t="s">
        <v>2221</v>
      </c>
      <c r="H133" s="207" t="s">
        <v>45</v>
      </c>
      <c r="I133" s="208" t="s">
        <v>45</v>
      </c>
    </row>
    <row r="134" spans="1:9" ht="18">
      <c r="A134" s="209">
        <v>41125.163194444445</v>
      </c>
      <c r="B134" s="114">
        <v>41125.163194444445</v>
      </c>
      <c r="C134" s="210">
        <v>41125.181250000001</v>
      </c>
      <c r="D134" s="114">
        <v>41125.181250000001</v>
      </c>
      <c r="E134" s="116" t="s">
        <v>2429</v>
      </c>
      <c r="F134" s="116" t="s">
        <v>124</v>
      </c>
      <c r="G134" s="116" t="s">
        <v>2037</v>
      </c>
      <c r="H134" s="101">
        <v>5</v>
      </c>
      <c r="I134" s="118">
        <v>127</v>
      </c>
    </row>
    <row r="135" spans="1:9">
      <c r="A135" s="209">
        <v>41125.166666666664</v>
      </c>
      <c r="B135" s="114">
        <v>41125.166666666664</v>
      </c>
      <c r="C135" s="210">
        <v>41125.305555555555</v>
      </c>
      <c r="D135" s="114">
        <v>41125.305555555555</v>
      </c>
      <c r="E135" s="116" t="s">
        <v>2426</v>
      </c>
      <c r="F135" s="116" t="s">
        <v>826</v>
      </c>
      <c r="G135" s="116" t="s">
        <v>2368</v>
      </c>
      <c r="H135" s="101" t="s">
        <v>255</v>
      </c>
      <c r="I135" s="118">
        <v>61413</v>
      </c>
    </row>
    <row r="136" spans="1:9">
      <c r="A136" s="209">
        <v>41125.729166666664</v>
      </c>
      <c r="B136" s="114">
        <v>41125.729166666664</v>
      </c>
      <c r="C136" s="210">
        <v>41126.506944444445</v>
      </c>
      <c r="D136" s="114">
        <v>41126.506944444445</v>
      </c>
      <c r="E136" s="116" t="s">
        <v>2406</v>
      </c>
      <c r="F136" s="116" t="s">
        <v>826</v>
      </c>
      <c r="G136" s="116" t="s">
        <v>2368</v>
      </c>
      <c r="H136" s="101" t="s">
        <v>45</v>
      </c>
      <c r="I136" s="118">
        <v>325000</v>
      </c>
    </row>
    <row r="137" spans="1:9">
      <c r="A137" s="209">
        <v>41132.53125</v>
      </c>
      <c r="B137" s="114">
        <v>41132.53125</v>
      </c>
      <c r="C137" s="210">
        <v>41132.708333333336</v>
      </c>
      <c r="D137" s="114">
        <v>41132.708333333336</v>
      </c>
      <c r="E137" s="116" t="s">
        <v>2332</v>
      </c>
      <c r="F137" s="116" t="s">
        <v>124</v>
      </c>
      <c r="G137" s="116" t="s">
        <v>2150</v>
      </c>
      <c r="H137" s="101" t="s">
        <v>255</v>
      </c>
      <c r="I137" s="118" t="s">
        <v>255</v>
      </c>
    </row>
    <row r="138" spans="1:9">
      <c r="A138" s="209">
        <v>41134.552083333336</v>
      </c>
      <c r="B138" s="114">
        <v>41134.552083333336</v>
      </c>
      <c r="C138" s="210">
        <v>41134</v>
      </c>
      <c r="D138" s="114">
        <v>0.55208333333333337</v>
      </c>
      <c r="E138" s="116" t="s">
        <v>2230</v>
      </c>
      <c r="F138" s="116" t="s">
        <v>63</v>
      </c>
      <c r="G138" s="116" t="s">
        <v>100</v>
      </c>
      <c r="H138" s="101" t="s">
        <v>45</v>
      </c>
      <c r="I138" s="118" t="s">
        <v>45</v>
      </c>
    </row>
    <row r="139" spans="1:9" ht="18">
      <c r="A139" s="209">
        <v>41134.661111111112</v>
      </c>
      <c r="B139" s="114">
        <v>41134.661111111112</v>
      </c>
      <c r="C139" s="210">
        <v>41134</v>
      </c>
      <c r="D139" s="114">
        <v>0.8222222222222223</v>
      </c>
      <c r="E139" s="116" t="s">
        <v>2430</v>
      </c>
      <c r="F139" s="116" t="s">
        <v>124</v>
      </c>
      <c r="G139" s="116" t="s">
        <v>2431</v>
      </c>
      <c r="H139" s="101">
        <v>655</v>
      </c>
      <c r="I139" s="118" t="s">
        <v>45</v>
      </c>
    </row>
    <row r="140" spans="1:9">
      <c r="A140" s="209">
        <v>41137.550694444442</v>
      </c>
      <c r="B140" s="114">
        <v>41137.550694444442</v>
      </c>
      <c r="C140" s="210">
        <v>41137.551388888889</v>
      </c>
      <c r="D140" s="114">
        <v>41137.550694444442</v>
      </c>
      <c r="E140" s="116" t="s">
        <v>2426</v>
      </c>
      <c r="F140" s="116" t="s">
        <v>826</v>
      </c>
      <c r="G140" s="116" t="s">
        <v>100</v>
      </c>
      <c r="H140" s="101">
        <v>0</v>
      </c>
      <c r="I140" s="118">
        <v>0</v>
      </c>
    </row>
    <row r="141" spans="1:9">
      <c r="A141" s="209">
        <v>41140.362500000003</v>
      </c>
      <c r="B141" s="114">
        <v>41140.362500000003</v>
      </c>
      <c r="C141" s="210">
        <v>41140.505555555559</v>
      </c>
      <c r="D141" s="114">
        <v>41140.505555555559</v>
      </c>
      <c r="E141" s="116" t="s">
        <v>376</v>
      </c>
      <c r="F141" s="116" t="s">
        <v>124</v>
      </c>
      <c r="G141" s="116" t="s">
        <v>2150</v>
      </c>
      <c r="H141" s="101">
        <v>12</v>
      </c>
      <c r="I141" s="118">
        <v>3314</v>
      </c>
    </row>
    <row r="142" spans="1:9">
      <c r="A142" s="209">
        <v>41147.919444444444</v>
      </c>
      <c r="B142" s="114">
        <v>41147.919444444444</v>
      </c>
      <c r="C142" s="210">
        <v>41148</v>
      </c>
      <c r="D142" s="114">
        <v>8.6111111111111124E-2</v>
      </c>
      <c r="E142" s="116" t="s">
        <v>34</v>
      </c>
      <c r="F142" s="116" t="s">
        <v>301</v>
      </c>
      <c r="G142" s="116" t="s">
        <v>2432</v>
      </c>
      <c r="H142" s="101" t="s">
        <v>255</v>
      </c>
      <c r="I142" s="118">
        <v>440000</v>
      </c>
    </row>
    <row r="143" spans="1:9">
      <c r="A143" s="209">
        <v>41149.25</v>
      </c>
      <c r="B143" s="114">
        <v>41149.25</v>
      </c>
      <c r="C143" s="210">
        <v>41156.333333333336</v>
      </c>
      <c r="D143" s="114">
        <v>41156.333333333336</v>
      </c>
      <c r="E143" s="116" t="s">
        <v>2181</v>
      </c>
      <c r="F143" s="116" t="s">
        <v>63</v>
      </c>
      <c r="G143" s="116" t="s">
        <v>2433</v>
      </c>
      <c r="H143" s="101" t="s">
        <v>45</v>
      </c>
      <c r="I143" s="118">
        <v>770000</v>
      </c>
    </row>
    <row r="144" spans="1:9">
      <c r="A144" s="209">
        <v>41150.286805555559</v>
      </c>
      <c r="B144" s="114">
        <v>41150.286805555559</v>
      </c>
      <c r="C144" s="210">
        <v>41151.583333333336</v>
      </c>
      <c r="D144" s="114">
        <v>41151.583333333336</v>
      </c>
      <c r="E144" s="116" t="s">
        <v>1577</v>
      </c>
      <c r="F144" s="116" t="s">
        <v>63</v>
      </c>
      <c r="G144" s="116" t="s">
        <v>2433</v>
      </c>
      <c r="H144" s="101">
        <v>150</v>
      </c>
      <c r="I144" s="118">
        <v>68018</v>
      </c>
    </row>
    <row r="145" spans="1:9">
      <c r="A145" s="209">
        <v>41150.375</v>
      </c>
      <c r="B145" s="114">
        <v>41150.375</v>
      </c>
      <c r="C145" s="210">
        <v>41152.5</v>
      </c>
      <c r="D145" s="114">
        <v>41152.5</v>
      </c>
      <c r="E145" s="116" t="s">
        <v>1577</v>
      </c>
      <c r="F145" s="116" t="s">
        <v>63</v>
      </c>
      <c r="G145" s="116" t="s">
        <v>2433</v>
      </c>
      <c r="H145" s="101">
        <v>300</v>
      </c>
      <c r="I145" s="118">
        <v>50000</v>
      </c>
    </row>
    <row r="146" spans="1:9" ht="15.75" thickBot="1">
      <c r="A146" s="211">
        <v>41150.408333333333</v>
      </c>
      <c r="B146" s="200">
        <v>41150.408333333333</v>
      </c>
      <c r="C146" s="212">
        <v>41152.538194444445</v>
      </c>
      <c r="D146" s="200">
        <v>41152.538194444445</v>
      </c>
      <c r="E146" s="125" t="s">
        <v>1577</v>
      </c>
      <c r="F146" s="125" t="s">
        <v>58</v>
      </c>
      <c r="G146" s="125" t="s">
        <v>2433</v>
      </c>
      <c r="H146" s="124" t="s">
        <v>45</v>
      </c>
      <c r="I146" s="126">
        <v>95000</v>
      </c>
    </row>
    <row r="147" spans="1:9" ht="15" hidden="1" customHeight="1">
      <c r="A147" s="820" t="s">
        <v>219</v>
      </c>
      <c r="B147" s="821"/>
      <c r="C147" s="70"/>
      <c r="D147" s="71"/>
      <c r="E147" s="70"/>
      <c r="F147" s="72"/>
      <c r="G147" s="70"/>
      <c r="H147" s="73"/>
      <c r="I147" s="74"/>
    </row>
    <row r="148" spans="1:9" ht="18" customHeight="1">
      <c r="A148" s="139">
        <v>41157.455555555556</v>
      </c>
      <c r="B148" s="213">
        <v>41157.455555555556</v>
      </c>
      <c r="C148" s="141">
        <v>41157.477083333331</v>
      </c>
      <c r="D148" s="213">
        <v>41157.477083333331</v>
      </c>
      <c r="E148" s="172" t="s">
        <v>2418</v>
      </c>
      <c r="F148" s="142" t="s">
        <v>124</v>
      </c>
      <c r="G148" s="142" t="s">
        <v>2037</v>
      </c>
      <c r="H148" s="143">
        <v>0</v>
      </c>
      <c r="I148" s="177">
        <v>0</v>
      </c>
    </row>
    <row r="149" spans="1:9" ht="18" customHeight="1">
      <c r="A149" s="139">
        <v>41158.197916666664</v>
      </c>
      <c r="B149" s="213">
        <v>41158.197916666664</v>
      </c>
      <c r="C149" s="214" t="s">
        <v>686</v>
      </c>
      <c r="D149" s="213" t="s">
        <v>686</v>
      </c>
      <c r="E149" s="172" t="s">
        <v>2434</v>
      </c>
      <c r="F149" s="142" t="s">
        <v>124</v>
      </c>
      <c r="G149" s="142" t="s">
        <v>2394</v>
      </c>
      <c r="H149" s="143" t="s">
        <v>255</v>
      </c>
      <c r="I149" s="177" t="s">
        <v>255</v>
      </c>
    </row>
    <row r="150" spans="1:9" ht="14.25" customHeight="1">
      <c r="A150" s="139">
        <v>41159.895833333336</v>
      </c>
      <c r="B150" s="213">
        <v>41159.895833333336</v>
      </c>
      <c r="C150" s="141">
        <v>41160.041666666664</v>
      </c>
      <c r="D150" s="213">
        <v>41160.041666666664</v>
      </c>
      <c r="E150" s="172" t="s">
        <v>48</v>
      </c>
      <c r="F150" s="142" t="s">
        <v>63</v>
      </c>
      <c r="G150" s="142" t="s">
        <v>2368</v>
      </c>
      <c r="H150" s="143" t="s">
        <v>2435</v>
      </c>
      <c r="I150" s="145">
        <v>64951</v>
      </c>
    </row>
    <row r="151" spans="1:9" ht="34.5" hidden="1" customHeight="1" thickBot="1">
      <c r="A151" s="67" t="s">
        <v>2105</v>
      </c>
      <c r="B151" s="68" t="s">
        <v>2106</v>
      </c>
      <c r="C151" s="68" t="s">
        <v>2107</v>
      </c>
      <c r="D151" s="68" t="s">
        <v>2108</v>
      </c>
      <c r="E151" s="68" t="s">
        <v>67</v>
      </c>
      <c r="F151" s="68" t="s">
        <v>57</v>
      </c>
      <c r="G151" s="68" t="s">
        <v>2109</v>
      </c>
      <c r="H151" s="68" t="s">
        <v>2110</v>
      </c>
      <c r="I151" s="69" t="s">
        <v>7</v>
      </c>
    </row>
    <row r="152" spans="1:9" ht="15" hidden="1" customHeight="1">
      <c r="A152" s="831" t="s">
        <v>2436</v>
      </c>
      <c r="B152" s="832"/>
      <c r="C152" s="832"/>
      <c r="D152" s="71"/>
      <c r="E152" s="70"/>
      <c r="F152" s="72"/>
      <c r="G152" s="70"/>
      <c r="H152" s="73"/>
      <c r="I152" s="74"/>
    </row>
    <row r="153" spans="1:9" ht="18" customHeight="1">
      <c r="A153" s="139">
        <v>41160.652777777781</v>
      </c>
      <c r="B153" s="213">
        <v>41160.652777777781</v>
      </c>
      <c r="C153" s="141">
        <v>41160.78125</v>
      </c>
      <c r="D153" s="213">
        <v>41160.78125</v>
      </c>
      <c r="E153" s="172" t="s">
        <v>2437</v>
      </c>
      <c r="F153" s="142" t="s">
        <v>826</v>
      </c>
      <c r="G153" s="142" t="s">
        <v>2368</v>
      </c>
      <c r="H153" s="143" t="s">
        <v>2130</v>
      </c>
      <c r="I153" s="145">
        <v>65000</v>
      </c>
    </row>
    <row r="154" spans="1:9" ht="15" customHeight="1">
      <c r="A154" s="139">
        <v>41160.661805555559</v>
      </c>
      <c r="B154" s="213">
        <v>41160.661805555559</v>
      </c>
      <c r="C154" s="141">
        <v>41161.823611111111</v>
      </c>
      <c r="D154" s="213">
        <v>41161.823611111111</v>
      </c>
      <c r="E154" s="172" t="s">
        <v>2004</v>
      </c>
      <c r="F154" s="142" t="s">
        <v>63</v>
      </c>
      <c r="G154" s="142" t="s">
        <v>2368</v>
      </c>
      <c r="H154" s="143">
        <v>475</v>
      </c>
      <c r="I154" s="145">
        <v>119000</v>
      </c>
    </row>
    <row r="155" spans="1:9" ht="18" customHeight="1">
      <c r="A155" s="139">
        <v>41163.541666666664</v>
      </c>
      <c r="B155" s="213">
        <v>41163.541666666664</v>
      </c>
      <c r="C155" s="141">
        <v>41163.581944444442</v>
      </c>
      <c r="D155" s="213">
        <v>41163.581944444442</v>
      </c>
      <c r="E155" s="172" t="s">
        <v>2418</v>
      </c>
      <c r="F155" s="142" t="s">
        <v>124</v>
      </c>
      <c r="G155" s="142" t="s">
        <v>2037</v>
      </c>
      <c r="H155" s="143">
        <v>0</v>
      </c>
      <c r="I155" s="177">
        <v>0</v>
      </c>
    </row>
    <row r="156" spans="1:9" ht="18" customHeight="1">
      <c r="A156" s="139">
        <v>41176</v>
      </c>
      <c r="B156" s="213">
        <v>41176</v>
      </c>
      <c r="C156" s="141">
        <v>41177</v>
      </c>
      <c r="D156" s="213">
        <v>41177</v>
      </c>
      <c r="E156" s="172" t="s">
        <v>2438</v>
      </c>
      <c r="F156" s="142" t="s">
        <v>826</v>
      </c>
      <c r="G156" s="142" t="s">
        <v>2150</v>
      </c>
      <c r="H156" s="143">
        <v>0</v>
      </c>
      <c r="I156" s="177">
        <v>0</v>
      </c>
    </row>
    <row r="157" spans="1:9" ht="18" customHeight="1">
      <c r="A157" s="146">
        <v>41178.886111111111</v>
      </c>
      <c r="B157" s="215">
        <v>41178.886111111111</v>
      </c>
      <c r="C157" s="148">
        <v>41178.929166666669</v>
      </c>
      <c r="D157" s="215">
        <v>41178.929166666669</v>
      </c>
      <c r="E157" s="173" t="s">
        <v>2271</v>
      </c>
      <c r="F157" s="149" t="s">
        <v>255</v>
      </c>
      <c r="G157" s="149" t="s">
        <v>619</v>
      </c>
      <c r="H157" s="150">
        <v>600</v>
      </c>
      <c r="I157" s="151">
        <v>371526</v>
      </c>
    </row>
    <row r="158" spans="1:9" ht="15" hidden="1" customHeight="1">
      <c r="A158" s="822" t="s">
        <v>35</v>
      </c>
      <c r="B158" s="823"/>
      <c r="C158" s="84"/>
      <c r="D158" s="85"/>
      <c r="E158" s="84"/>
      <c r="F158" s="216"/>
      <c r="G158" s="84"/>
      <c r="H158" s="87"/>
      <c r="I158" s="88"/>
    </row>
    <row r="159" spans="1:9" s="166" customFormat="1" ht="18" customHeight="1">
      <c r="A159" s="217">
        <v>41187.729166666664</v>
      </c>
      <c r="B159" s="218">
        <v>41187.729166666664</v>
      </c>
      <c r="C159" s="219">
        <v>41187.743055555555</v>
      </c>
      <c r="D159" s="218">
        <v>41187.743055555555</v>
      </c>
      <c r="E159" s="116" t="s">
        <v>2439</v>
      </c>
      <c r="F159" s="116" t="s">
        <v>124</v>
      </c>
      <c r="G159" s="116" t="s">
        <v>2150</v>
      </c>
      <c r="H159" s="101" t="s">
        <v>255</v>
      </c>
      <c r="I159" s="118" t="s">
        <v>255</v>
      </c>
    </row>
    <row r="160" spans="1:9" s="166" customFormat="1" ht="18" customHeight="1">
      <c r="A160" s="217">
        <v>41191</v>
      </c>
      <c r="B160" s="218">
        <v>41191</v>
      </c>
      <c r="C160" s="219">
        <v>41191.000694444447</v>
      </c>
      <c r="D160" s="218">
        <v>41191.000694444447</v>
      </c>
      <c r="E160" s="116" t="s">
        <v>2313</v>
      </c>
      <c r="F160" s="116" t="s">
        <v>826</v>
      </c>
      <c r="G160" s="116" t="s">
        <v>2440</v>
      </c>
      <c r="H160" s="101">
        <v>0</v>
      </c>
      <c r="I160" s="118">
        <v>0</v>
      </c>
    </row>
    <row r="161" spans="1:9" s="166" customFormat="1" ht="18" customHeight="1">
      <c r="A161" s="217">
        <v>41193</v>
      </c>
      <c r="B161" s="218">
        <v>41193</v>
      </c>
      <c r="C161" s="219">
        <v>41193.000694444447</v>
      </c>
      <c r="D161" s="218">
        <v>41193.000694444447</v>
      </c>
      <c r="E161" s="116" t="s">
        <v>2313</v>
      </c>
      <c r="F161" s="116" t="s">
        <v>826</v>
      </c>
      <c r="G161" s="116" t="s">
        <v>2440</v>
      </c>
      <c r="H161" s="101">
        <v>0</v>
      </c>
      <c r="I161" s="118">
        <v>0</v>
      </c>
    </row>
    <row r="162" spans="1:9" s="166" customFormat="1" ht="18" customHeight="1">
      <c r="A162" s="217">
        <v>41196.441666666666</v>
      </c>
      <c r="B162" s="218">
        <v>41196.441666666666</v>
      </c>
      <c r="C162" s="219">
        <v>41196.451388888891</v>
      </c>
      <c r="D162" s="218">
        <v>41196.451388888891</v>
      </c>
      <c r="E162" s="116" t="s">
        <v>141</v>
      </c>
      <c r="F162" s="116" t="s">
        <v>124</v>
      </c>
      <c r="G162" s="116" t="s">
        <v>2037</v>
      </c>
      <c r="H162" s="101">
        <v>3</v>
      </c>
      <c r="I162" s="118">
        <v>2035</v>
      </c>
    </row>
    <row r="163" spans="1:9" s="166" customFormat="1" ht="18" customHeight="1">
      <c r="A163" s="217">
        <v>41197.59375</v>
      </c>
      <c r="B163" s="218">
        <v>41197.59375</v>
      </c>
      <c r="C163" s="219">
        <v>41197.594444444447</v>
      </c>
      <c r="D163" s="218">
        <v>41197.594444444447</v>
      </c>
      <c r="E163" s="116" t="s">
        <v>2441</v>
      </c>
      <c r="F163" s="116" t="s">
        <v>61</v>
      </c>
      <c r="G163" s="116" t="s">
        <v>2442</v>
      </c>
      <c r="H163" s="101">
        <v>0</v>
      </c>
      <c r="I163" s="118">
        <v>0</v>
      </c>
    </row>
    <row r="164" spans="1:9" s="166" customFormat="1" ht="18" customHeight="1">
      <c r="A164" s="217">
        <v>41204</v>
      </c>
      <c r="B164" s="218">
        <v>41204</v>
      </c>
      <c r="C164" s="219">
        <v>41204.000694444447</v>
      </c>
      <c r="D164" s="218">
        <v>41204.000694444447</v>
      </c>
      <c r="E164" s="116" t="s">
        <v>2443</v>
      </c>
      <c r="F164" s="116" t="s">
        <v>826</v>
      </c>
      <c r="G164" s="116" t="s">
        <v>2444</v>
      </c>
      <c r="H164" s="101">
        <v>0</v>
      </c>
      <c r="I164" s="118">
        <v>0</v>
      </c>
    </row>
    <row r="165" spans="1:9" s="166" customFormat="1" ht="18" customHeight="1">
      <c r="A165" s="217">
        <v>41205.381944444445</v>
      </c>
      <c r="B165" s="218">
        <v>41205.381944444445</v>
      </c>
      <c r="C165" s="219">
        <v>41205.386111111111</v>
      </c>
      <c r="D165" s="218">
        <v>41205.386111111111</v>
      </c>
      <c r="E165" s="116" t="s">
        <v>1628</v>
      </c>
      <c r="F165" s="116" t="s">
        <v>826</v>
      </c>
      <c r="G165" s="116" t="s">
        <v>1806</v>
      </c>
      <c r="H165" s="101">
        <v>49</v>
      </c>
      <c r="I165" s="118">
        <v>9800</v>
      </c>
    </row>
    <row r="166" spans="1:9" s="166" customFormat="1" ht="18" customHeight="1">
      <c r="A166" s="217">
        <v>41206</v>
      </c>
      <c r="B166" s="218">
        <v>41206</v>
      </c>
      <c r="C166" s="219">
        <v>41206.000694444447</v>
      </c>
      <c r="D166" s="218">
        <v>41206.000694444447</v>
      </c>
      <c r="E166" s="116" t="s">
        <v>2445</v>
      </c>
      <c r="F166" s="116" t="s">
        <v>826</v>
      </c>
      <c r="G166" s="116" t="s">
        <v>2444</v>
      </c>
      <c r="H166" s="101">
        <v>0</v>
      </c>
      <c r="I166" s="118">
        <v>0</v>
      </c>
    </row>
    <row r="167" spans="1:9" s="166" customFormat="1" ht="18" customHeight="1">
      <c r="A167" s="217">
        <v>41206</v>
      </c>
      <c r="B167" s="218">
        <v>41206</v>
      </c>
      <c r="C167" s="219">
        <v>41206.000694444447</v>
      </c>
      <c r="D167" s="218">
        <v>41206.000694444447</v>
      </c>
      <c r="E167" s="116" t="s">
        <v>2438</v>
      </c>
      <c r="F167" s="116" t="s">
        <v>826</v>
      </c>
      <c r="G167" s="116" t="s">
        <v>2150</v>
      </c>
      <c r="H167" s="101">
        <v>0</v>
      </c>
      <c r="I167" s="118">
        <v>0</v>
      </c>
    </row>
    <row r="168" spans="1:9" s="166" customFormat="1" ht="18" customHeight="1">
      <c r="A168" s="217">
        <v>41206.635416666664</v>
      </c>
      <c r="B168" s="218">
        <v>41206.635416666664</v>
      </c>
      <c r="C168" s="219">
        <v>41206.636111111111</v>
      </c>
      <c r="D168" s="218">
        <v>41206.636111111111</v>
      </c>
      <c r="E168" s="116" t="s">
        <v>2446</v>
      </c>
      <c r="F168" s="116" t="s">
        <v>826</v>
      </c>
      <c r="G168" s="116" t="s">
        <v>2444</v>
      </c>
      <c r="H168" s="101">
        <v>0</v>
      </c>
      <c r="I168" s="118">
        <v>0</v>
      </c>
    </row>
    <row r="169" spans="1:9" s="166" customFormat="1" ht="18" customHeight="1">
      <c r="A169" s="217">
        <v>41207</v>
      </c>
      <c r="B169" s="218">
        <v>41207</v>
      </c>
      <c r="C169" s="219">
        <v>41207.000694444447</v>
      </c>
      <c r="D169" s="218">
        <v>41207.000694444447</v>
      </c>
      <c r="E169" s="116" t="s">
        <v>2447</v>
      </c>
      <c r="F169" s="116" t="s">
        <v>826</v>
      </c>
      <c r="G169" s="116" t="s">
        <v>2444</v>
      </c>
      <c r="H169" s="101" t="s">
        <v>255</v>
      </c>
      <c r="I169" s="118" t="s">
        <v>255</v>
      </c>
    </row>
    <row r="170" spans="1:9" s="166" customFormat="1" ht="18" customHeight="1">
      <c r="A170" s="217">
        <v>41207.61041666667</v>
      </c>
      <c r="B170" s="218">
        <v>41207.61041666667</v>
      </c>
      <c r="C170" s="219">
        <v>41207.75</v>
      </c>
      <c r="D170" s="218">
        <v>41207.75</v>
      </c>
      <c r="E170" s="116" t="s">
        <v>2250</v>
      </c>
      <c r="F170" s="116" t="s">
        <v>124</v>
      </c>
      <c r="G170" s="116" t="s">
        <v>2444</v>
      </c>
      <c r="H170" s="101">
        <v>0</v>
      </c>
      <c r="I170" s="118">
        <v>0</v>
      </c>
    </row>
    <row r="171" spans="1:9" s="166" customFormat="1" ht="18" customHeight="1">
      <c r="A171" s="217">
        <v>41207.785416666666</v>
      </c>
      <c r="B171" s="218">
        <v>41207.785416666666</v>
      </c>
      <c r="C171" s="219">
        <v>41207.8125</v>
      </c>
      <c r="D171" s="218">
        <v>41207.8125</v>
      </c>
      <c r="E171" s="116" t="s">
        <v>2119</v>
      </c>
      <c r="F171" s="116" t="s">
        <v>826</v>
      </c>
      <c r="G171" s="116" t="s">
        <v>2444</v>
      </c>
      <c r="H171" s="101">
        <v>0</v>
      </c>
      <c r="I171" s="118">
        <v>0</v>
      </c>
    </row>
    <row r="172" spans="1:9" s="166" customFormat="1" ht="18" customHeight="1">
      <c r="A172" s="217">
        <v>41211</v>
      </c>
      <c r="B172" s="218">
        <v>41211</v>
      </c>
      <c r="C172" s="219">
        <v>41222.999305555553</v>
      </c>
      <c r="D172" s="218">
        <v>41222.999305555553</v>
      </c>
      <c r="E172" s="116" t="s">
        <v>2402</v>
      </c>
      <c r="F172" s="116" t="s">
        <v>826</v>
      </c>
      <c r="G172" s="116" t="s">
        <v>2448</v>
      </c>
      <c r="H172" s="101">
        <v>0</v>
      </c>
      <c r="I172" s="118">
        <v>208000</v>
      </c>
    </row>
    <row r="173" spans="1:9" s="166" customFormat="1" ht="18" customHeight="1">
      <c r="A173" s="217">
        <v>41211.333333333336</v>
      </c>
      <c r="B173" s="218">
        <v>41211.333333333336</v>
      </c>
      <c r="C173" s="219">
        <v>41217.958333333336</v>
      </c>
      <c r="D173" s="218">
        <v>41217.958333333336</v>
      </c>
      <c r="E173" s="116" t="s">
        <v>2288</v>
      </c>
      <c r="F173" s="116" t="s">
        <v>826</v>
      </c>
      <c r="G173" s="116" t="s">
        <v>2448</v>
      </c>
      <c r="H173" s="101" t="s">
        <v>45</v>
      </c>
      <c r="I173" s="118" t="s">
        <v>45</v>
      </c>
    </row>
    <row r="174" spans="1:9" s="166" customFormat="1" ht="18" customHeight="1">
      <c r="A174" s="217">
        <v>41211.375</v>
      </c>
      <c r="B174" s="218">
        <v>41211.375</v>
      </c>
      <c r="C174" s="219">
        <v>41211.375</v>
      </c>
      <c r="D174" s="218">
        <v>41211.375694444447</v>
      </c>
      <c r="E174" s="116" t="s">
        <v>2143</v>
      </c>
      <c r="F174" s="116" t="s">
        <v>124</v>
      </c>
      <c r="G174" s="116" t="s">
        <v>2444</v>
      </c>
      <c r="H174" s="101">
        <v>0</v>
      </c>
      <c r="I174" s="118">
        <v>0</v>
      </c>
    </row>
    <row r="175" spans="1:9" s="166" customFormat="1" ht="18" customHeight="1">
      <c r="A175" s="217">
        <v>41211.375</v>
      </c>
      <c r="B175" s="218">
        <v>41211.375</v>
      </c>
      <c r="C175" s="219">
        <v>41215</v>
      </c>
      <c r="D175" s="218">
        <v>0.75</v>
      </c>
      <c r="E175" s="116" t="s">
        <v>2449</v>
      </c>
      <c r="F175" s="116" t="s">
        <v>826</v>
      </c>
      <c r="G175" s="116" t="s">
        <v>2448</v>
      </c>
      <c r="H175" s="101" t="s">
        <v>45</v>
      </c>
      <c r="I175" s="118">
        <v>70000</v>
      </c>
    </row>
    <row r="176" spans="1:9" s="166" customFormat="1" ht="18" customHeight="1">
      <c r="A176" s="217">
        <v>41211.5</v>
      </c>
      <c r="B176" s="218">
        <v>41211.5</v>
      </c>
      <c r="C176" s="219">
        <v>41217</v>
      </c>
      <c r="D176" s="218">
        <v>0.95833333333333337</v>
      </c>
      <c r="E176" s="116" t="s">
        <v>2288</v>
      </c>
      <c r="F176" s="116" t="s">
        <v>826</v>
      </c>
      <c r="G176" s="116" t="s">
        <v>2448</v>
      </c>
      <c r="H176" s="101" t="s">
        <v>45</v>
      </c>
      <c r="I176" s="118">
        <v>217000</v>
      </c>
    </row>
    <row r="177" spans="1:9" s="166" customFormat="1" ht="18" customHeight="1">
      <c r="A177" s="217">
        <v>41211.541666666664</v>
      </c>
      <c r="B177" s="218">
        <v>41211.541666666664</v>
      </c>
      <c r="C177" s="219">
        <v>41225.583333333336</v>
      </c>
      <c r="D177" s="218">
        <v>41225.583333333336</v>
      </c>
      <c r="E177" s="116" t="s">
        <v>2284</v>
      </c>
      <c r="F177" s="116" t="s">
        <v>61</v>
      </c>
      <c r="G177" s="116" t="s">
        <v>2448</v>
      </c>
      <c r="H177" s="101">
        <v>0</v>
      </c>
      <c r="I177" s="118">
        <v>632816</v>
      </c>
    </row>
    <row r="178" spans="1:9" s="166" customFormat="1" ht="18" customHeight="1">
      <c r="A178" s="217">
        <v>41211.611111111109</v>
      </c>
      <c r="B178" s="218">
        <v>41211.611111111109</v>
      </c>
      <c r="C178" s="219">
        <v>41212.761111111111</v>
      </c>
      <c r="D178" s="218">
        <v>41212.761111111111</v>
      </c>
      <c r="E178" s="116" t="s">
        <v>2450</v>
      </c>
      <c r="F178" s="116" t="s">
        <v>61</v>
      </c>
      <c r="G178" s="116" t="s">
        <v>2448</v>
      </c>
      <c r="H178" s="101" t="s">
        <v>45</v>
      </c>
      <c r="I178" s="118">
        <v>50000</v>
      </c>
    </row>
    <row r="179" spans="1:9" ht="34.5" hidden="1" customHeight="1" thickBot="1">
      <c r="A179" s="67" t="s">
        <v>2105</v>
      </c>
      <c r="B179" s="68" t="s">
        <v>2106</v>
      </c>
      <c r="C179" s="68" t="s">
        <v>2107</v>
      </c>
      <c r="D179" s="68" t="s">
        <v>2108</v>
      </c>
      <c r="E179" s="68" t="s">
        <v>67</v>
      </c>
      <c r="F179" s="68" t="s">
        <v>57</v>
      </c>
      <c r="G179" s="68" t="s">
        <v>2109</v>
      </c>
      <c r="H179" s="68" t="s">
        <v>2110</v>
      </c>
      <c r="I179" s="69" t="s">
        <v>7</v>
      </c>
    </row>
    <row r="180" spans="1:9" ht="15" hidden="1" customHeight="1">
      <c r="A180" s="831" t="s">
        <v>2451</v>
      </c>
      <c r="B180" s="832"/>
      <c r="C180" s="832"/>
      <c r="D180" s="71"/>
      <c r="E180" s="70"/>
      <c r="F180" s="72"/>
      <c r="G180" s="70"/>
      <c r="H180" s="73"/>
      <c r="I180" s="74"/>
    </row>
    <row r="181" spans="1:9" s="166" customFormat="1" ht="18" customHeight="1">
      <c r="A181" s="217">
        <v>41211.614583333336</v>
      </c>
      <c r="B181" s="218">
        <v>41211.614583333336</v>
      </c>
      <c r="C181" s="219">
        <v>41214.0625</v>
      </c>
      <c r="D181" s="218">
        <v>41214.0625</v>
      </c>
      <c r="E181" s="116" t="s">
        <v>2281</v>
      </c>
      <c r="F181" s="116" t="s">
        <v>61</v>
      </c>
      <c r="G181" s="116" t="s">
        <v>2448</v>
      </c>
      <c r="H181" s="101" t="s">
        <v>45</v>
      </c>
      <c r="I181" s="118">
        <v>50000</v>
      </c>
    </row>
    <row r="182" spans="1:9" s="166" customFormat="1" ht="18" customHeight="1">
      <c r="A182" s="217">
        <v>41211.625</v>
      </c>
      <c r="B182" s="218">
        <v>41211.625</v>
      </c>
      <c r="C182" s="219">
        <v>41211.625</v>
      </c>
      <c r="D182" s="218">
        <v>41211.625694444447</v>
      </c>
      <c r="E182" s="116" t="s">
        <v>2452</v>
      </c>
      <c r="F182" s="116" t="s">
        <v>124</v>
      </c>
      <c r="G182" s="116" t="s">
        <v>2150</v>
      </c>
      <c r="H182" s="101" t="s">
        <v>255</v>
      </c>
      <c r="I182" s="118" t="s">
        <v>255</v>
      </c>
    </row>
    <row r="183" spans="1:9" s="166" customFormat="1" ht="18" customHeight="1">
      <c r="A183" s="217">
        <v>41211.635416666664</v>
      </c>
      <c r="B183" s="218">
        <v>41211.635416666664</v>
      </c>
      <c r="C183" s="219">
        <v>41217</v>
      </c>
      <c r="D183" s="218">
        <v>0.83333333333333337</v>
      </c>
      <c r="E183" s="116" t="s">
        <v>2453</v>
      </c>
      <c r="F183" s="116" t="s">
        <v>61</v>
      </c>
      <c r="G183" s="116" t="s">
        <v>2448</v>
      </c>
      <c r="H183" s="101">
        <v>0</v>
      </c>
      <c r="I183" s="118">
        <v>649075</v>
      </c>
    </row>
    <row r="184" spans="1:9" s="166" customFormat="1" ht="18" customHeight="1">
      <c r="A184" s="217">
        <v>41211.666666666664</v>
      </c>
      <c r="B184" s="218">
        <v>41211.666666666664</v>
      </c>
      <c r="C184" s="219">
        <v>41220.991666666669</v>
      </c>
      <c r="D184" s="218">
        <v>41220.991666666669</v>
      </c>
      <c r="E184" s="116" t="s">
        <v>52</v>
      </c>
      <c r="F184" s="116" t="s">
        <v>826</v>
      </c>
      <c r="G184" s="116" t="s">
        <v>2448</v>
      </c>
      <c r="H184" s="101">
        <v>0</v>
      </c>
      <c r="I184" s="118">
        <v>270000</v>
      </c>
    </row>
    <row r="185" spans="1:9" s="166" customFormat="1" ht="18" customHeight="1">
      <c r="A185" s="217">
        <v>41211.666666666664</v>
      </c>
      <c r="B185" s="218">
        <v>41211.666666666664</v>
      </c>
      <c r="C185" s="219">
        <v>41221.713888888888</v>
      </c>
      <c r="D185" s="218">
        <v>41221.713888888888</v>
      </c>
      <c r="E185" s="116" t="s">
        <v>2403</v>
      </c>
      <c r="F185" s="116" t="s">
        <v>826</v>
      </c>
      <c r="G185" s="116" t="s">
        <v>2448</v>
      </c>
      <c r="H185" s="101" t="s">
        <v>45</v>
      </c>
      <c r="I185" s="118">
        <v>150000</v>
      </c>
    </row>
    <row r="186" spans="1:9" s="166" customFormat="1" ht="18" customHeight="1">
      <c r="A186" s="217">
        <v>41211.666666666664</v>
      </c>
      <c r="B186" s="218">
        <v>41211.666666666664</v>
      </c>
      <c r="C186" s="219">
        <v>41218.999305555553</v>
      </c>
      <c r="D186" s="218">
        <v>41218.999305555553</v>
      </c>
      <c r="E186" s="116" t="s">
        <v>2454</v>
      </c>
      <c r="F186" s="116" t="s">
        <v>826</v>
      </c>
      <c r="G186" s="116" t="s">
        <v>2448</v>
      </c>
      <c r="H186" s="101">
        <v>0</v>
      </c>
      <c r="I186" s="118">
        <v>346000</v>
      </c>
    </row>
    <row r="187" spans="1:9" s="166" customFormat="1" ht="18" customHeight="1">
      <c r="A187" s="217">
        <v>41211.667361111111</v>
      </c>
      <c r="B187" s="218">
        <v>41211.667361111111</v>
      </c>
      <c r="C187" s="219">
        <v>41221</v>
      </c>
      <c r="D187" s="218">
        <v>41211.791666666664</v>
      </c>
      <c r="E187" s="116" t="s">
        <v>2455</v>
      </c>
      <c r="F187" s="116" t="s">
        <v>61</v>
      </c>
      <c r="G187" s="116" t="s">
        <v>2448</v>
      </c>
      <c r="H187" s="101">
        <v>0</v>
      </c>
      <c r="I187" s="118">
        <v>818000</v>
      </c>
    </row>
    <row r="188" spans="1:9" s="166" customFormat="1" ht="18" customHeight="1">
      <c r="A188" s="217">
        <v>41211.668749999997</v>
      </c>
      <c r="B188" s="218">
        <v>41211.668749999997</v>
      </c>
      <c r="C188" s="219">
        <v>41219</v>
      </c>
      <c r="D188" s="218">
        <v>0.5</v>
      </c>
      <c r="E188" s="116" t="s">
        <v>2288</v>
      </c>
      <c r="F188" s="116" t="s">
        <v>61</v>
      </c>
      <c r="G188" s="116" t="s">
        <v>2448</v>
      </c>
      <c r="H188" s="101" t="s">
        <v>45</v>
      </c>
      <c r="I188" s="118">
        <v>50000</v>
      </c>
    </row>
    <row r="189" spans="1:9" s="166" customFormat="1" ht="18" customHeight="1">
      <c r="A189" s="217">
        <v>41211.697916666664</v>
      </c>
      <c r="B189" s="218">
        <v>41211.697916666664</v>
      </c>
      <c r="C189" s="219">
        <v>41213.458333333336</v>
      </c>
      <c r="D189" s="218">
        <v>41213.458333333336</v>
      </c>
      <c r="E189" s="116" t="s">
        <v>1115</v>
      </c>
      <c r="F189" s="116" t="s">
        <v>61</v>
      </c>
      <c r="G189" s="116" t="s">
        <v>2448</v>
      </c>
      <c r="H189" s="101" t="s">
        <v>255</v>
      </c>
      <c r="I189" s="118">
        <v>50000</v>
      </c>
    </row>
    <row r="190" spans="1:9" s="166" customFormat="1" ht="18" customHeight="1">
      <c r="A190" s="217">
        <v>41211.717361111114</v>
      </c>
      <c r="B190" s="218">
        <v>41211.717361111114</v>
      </c>
      <c r="C190" s="219">
        <v>41213</v>
      </c>
      <c r="D190" s="218">
        <v>0.45833333333333331</v>
      </c>
      <c r="E190" s="116" t="s">
        <v>2456</v>
      </c>
      <c r="F190" s="116" t="s">
        <v>826</v>
      </c>
      <c r="G190" s="116" t="s">
        <v>2448</v>
      </c>
      <c r="H190" s="101">
        <v>0</v>
      </c>
      <c r="I190" s="118">
        <v>219000</v>
      </c>
    </row>
    <row r="191" spans="1:9" s="166" customFormat="1" ht="18" customHeight="1">
      <c r="A191" s="217">
        <v>41211.729166666664</v>
      </c>
      <c r="B191" s="218">
        <v>41211.729166666664</v>
      </c>
      <c r="C191" s="219">
        <v>41219</v>
      </c>
      <c r="D191" s="218">
        <v>41219</v>
      </c>
      <c r="E191" s="116" t="s">
        <v>2457</v>
      </c>
      <c r="F191" s="116" t="s">
        <v>826</v>
      </c>
      <c r="G191" s="116" t="s">
        <v>2448</v>
      </c>
      <c r="H191" s="101" t="s">
        <v>45</v>
      </c>
      <c r="I191" s="118">
        <v>850000</v>
      </c>
    </row>
    <row r="192" spans="1:9" s="166" customFormat="1" ht="18" customHeight="1">
      <c r="A192" s="217">
        <v>41211.757638888892</v>
      </c>
      <c r="B192" s="218">
        <v>41211.757638888892</v>
      </c>
      <c r="C192" s="219">
        <v>41217</v>
      </c>
      <c r="D192" s="218">
        <v>41211.951388888891</v>
      </c>
      <c r="E192" s="116" t="s">
        <v>2209</v>
      </c>
      <c r="F192" s="116" t="s">
        <v>826</v>
      </c>
      <c r="G192" s="116" t="s">
        <v>2448</v>
      </c>
      <c r="H192" s="101" t="s">
        <v>45</v>
      </c>
      <c r="I192" s="118">
        <v>400000</v>
      </c>
    </row>
    <row r="193" spans="1:9" s="166" customFormat="1" ht="18" customHeight="1">
      <c r="A193" s="217">
        <v>41211.758333333331</v>
      </c>
      <c r="B193" s="218">
        <v>41211.758333333331</v>
      </c>
      <c r="C193" s="219">
        <v>41212.815972222219</v>
      </c>
      <c r="D193" s="218">
        <v>41212.815972222219</v>
      </c>
      <c r="E193" s="116" t="s">
        <v>2004</v>
      </c>
      <c r="F193" s="116" t="s">
        <v>826</v>
      </c>
      <c r="G193" s="116" t="s">
        <v>2448</v>
      </c>
      <c r="H193" s="101">
        <v>520</v>
      </c>
      <c r="I193" s="118">
        <v>156000</v>
      </c>
    </row>
    <row r="194" spans="1:9" s="166" customFormat="1" ht="18" customHeight="1">
      <c r="A194" s="217">
        <v>41211.781944444447</v>
      </c>
      <c r="B194" s="218">
        <v>41211.781944444447</v>
      </c>
      <c r="C194" s="219">
        <v>41216</v>
      </c>
      <c r="D194" s="218">
        <v>41211.447916666664</v>
      </c>
      <c r="E194" s="116" t="s">
        <v>2458</v>
      </c>
      <c r="F194" s="116" t="s">
        <v>2459</v>
      </c>
      <c r="G194" s="116" t="s">
        <v>2448</v>
      </c>
      <c r="H194" s="101" t="s">
        <v>45</v>
      </c>
      <c r="I194" s="118">
        <v>200000</v>
      </c>
    </row>
    <row r="195" spans="1:9" s="166" customFormat="1" ht="18" customHeight="1">
      <c r="A195" s="217">
        <v>41211.783333333333</v>
      </c>
      <c r="B195" s="218">
        <v>41211.783333333333</v>
      </c>
      <c r="C195" s="219">
        <v>41217</v>
      </c>
      <c r="D195" s="218">
        <v>41211.48333333333</v>
      </c>
      <c r="E195" s="116" t="s">
        <v>30</v>
      </c>
      <c r="F195" s="116" t="s">
        <v>2460</v>
      </c>
      <c r="G195" s="116" t="s">
        <v>2448</v>
      </c>
      <c r="H195" s="101" t="s">
        <v>45</v>
      </c>
      <c r="I195" s="118">
        <v>371000</v>
      </c>
    </row>
    <row r="196" spans="1:9" s="166" customFormat="1" ht="18" customHeight="1">
      <c r="A196" s="217">
        <v>41211.791666666664</v>
      </c>
      <c r="B196" s="218">
        <v>41211.791666666664</v>
      </c>
      <c r="C196" s="219">
        <v>41215</v>
      </c>
      <c r="D196" s="218">
        <v>41211.208333333336</v>
      </c>
      <c r="E196" s="116" t="s">
        <v>2461</v>
      </c>
      <c r="F196" s="116" t="s">
        <v>2462</v>
      </c>
      <c r="G196" s="116" t="s">
        <v>2463</v>
      </c>
      <c r="H196" s="101" t="s">
        <v>45</v>
      </c>
      <c r="I196" s="118">
        <v>173273</v>
      </c>
    </row>
    <row r="197" spans="1:9" s="166" customFormat="1" ht="18" customHeight="1">
      <c r="A197" s="217">
        <v>41211.802083333336</v>
      </c>
      <c r="B197" s="218">
        <v>41211.802083333336</v>
      </c>
      <c r="C197" s="219">
        <v>41212.626388888886</v>
      </c>
      <c r="D197" s="218">
        <v>41212.626388888886</v>
      </c>
      <c r="E197" s="116" t="s">
        <v>2464</v>
      </c>
      <c r="F197" s="116" t="s">
        <v>61</v>
      </c>
      <c r="G197" s="116" t="s">
        <v>2448</v>
      </c>
      <c r="H197" s="101" t="s">
        <v>45</v>
      </c>
      <c r="I197" s="118">
        <v>50000</v>
      </c>
    </row>
    <row r="198" spans="1:9" s="166" customFormat="1" ht="18" customHeight="1">
      <c r="A198" s="217">
        <v>41212</v>
      </c>
      <c r="B198" s="218">
        <v>41212</v>
      </c>
      <c r="C198" s="219">
        <v>41212.001388888886</v>
      </c>
      <c r="D198" s="218">
        <v>41212.001388888886</v>
      </c>
      <c r="E198" s="116" t="s">
        <v>2465</v>
      </c>
      <c r="F198" s="116" t="s">
        <v>826</v>
      </c>
      <c r="G198" s="116" t="s">
        <v>2444</v>
      </c>
      <c r="H198" s="101">
        <v>0</v>
      </c>
      <c r="I198" s="118">
        <v>0</v>
      </c>
    </row>
    <row r="199" spans="1:9" s="166" customFormat="1" ht="18" customHeight="1">
      <c r="A199" s="217">
        <v>41212.083333333336</v>
      </c>
      <c r="B199" s="218">
        <v>41212.083333333336</v>
      </c>
      <c r="C199" s="219">
        <v>41214.916666666664</v>
      </c>
      <c r="D199" s="218">
        <v>41214.916666666664</v>
      </c>
      <c r="E199" s="116" t="s">
        <v>2466</v>
      </c>
      <c r="F199" s="116" t="s">
        <v>826</v>
      </c>
      <c r="G199" s="116" t="s">
        <v>2463</v>
      </c>
      <c r="H199" s="101" t="s">
        <v>45</v>
      </c>
      <c r="I199" s="118">
        <v>133777</v>
      </c>
    </row>
    <row r="200" spans="1:9" s="166" customFormat="1" ht="18" customHeight="1">
      <c r="A200" s="217">
        <v>41212.555555555555</v>
      </c>
      <c r="B200" s="218">
        <v>41212.555555555555</v>
      </c>
      <c r="C200" s="219">
        <v>41212.559027777781</v>
      </c>
      <c r="D200" s="218">
        <v>41212.559027777781</v>
      </c>
      <c r="E200" s="116" t="s">
        <v>2467</v>
      </c>
      <c r="F200" s="116" t="s">
        <v>61</v>
      </c>
      <c r="G200" s="116" t="s">
        <v>2468</v>
      </c>
      <c r="H200" s="101">
        <v>0</v>
      </c>
      <c r="I200" s="118">
        <v>0</v>
      </c>
    </row>
    <row r="201" spans="1:9" s="166" customFormat="1" ht="18" customHeight="1" thickBot="1">
      <c r="A201" s="220">
        <v>41212.625</v>
      </c>
      <c r="B201" s="221">
        <v>41212.625</v>
      </c>
      <c r="C201" s="222">
        <v>41212.625694444447</v>
      </c>
      <c r="D201" s="221">
        <v>41212.625694444447</v>
      </c>
      <c r="E201" s="125" t="s">
        <v>2250</v>
      </c>
      <c r="F201" s="125" t="s">
        <v>124</v>
      </c>
      <c r="G201" s="125" t="s">
        <v>2444</v>
      </c>
      <c r="H201" s="124" t="s">
        <v>45</v>
      </c>
      <c r="I201" s="126" t="s">
        <v>45</v>
      </c>
    </row>
    <row r="202" spans="1:9" s="166" customFormat="1" hidden="1">
      <c r="A202" s="826" t="s">
        <v>38</v>
      </c>
      <c r="B202" s="827"/>
      <c r="C202" s="167"/>
      <c r="D202" s="168"/>
      <c r="E202" s="167"/>
      <c r="F202" s="169"/>
      <c r="G202" s="167"/>
      <c r="H202" s="170"/>
      <c r="I202" s="171"/>
    </row>
    <row r="203" spans="1:9" s="166" customFormat="1" ht="18" customHeight="1">
      <c r="A203" s="217">
        <v>41215</v>
      </c>
      <c r="B203" s="218">
        <v>0.39583333333333331</v>
      </c>
      <c r="C203" s="219">
        <v>41215</v>
      </c>
      <c r="D203" s="218">
        <v>0.50694444444444442</v>
      </c>
      <c r="E203" s="116" t="s">
        <v>2469</v>
      </c>
      <c r="F203" s="116" t="s">
        <v>61</v>
      </c>
      <c r="G203" s="116" t="s">
        <v>2444</v>
      </c>
      <c r="H203" s="101">
        <v>0</v>
      </c>
      <c r="I203" s="118">
        <v>0</v>
      </c>
    </row>
    <row r="204" spans="1:9" s="166" customFormat="1" ht="18" customHeight="1">
      <c r="A204" s="217">
        <v>41220</v>
      </c>
      <c r="B204" s="218">
        <v>0.59791666666666665</v>
      </c>
      <c r="C204" s="219">
        <v>41220</v>
      </c>
      <c r="D204" s="218">
        <v>0.6166666666666667</v>
      </c>
      <c r="E204" s="116" t="s">
        <v>1115</v>
      </c>
      <c r="F204" s="116" t="s">
        <v>61</v>
      </c>
      <c r="G204" s="116" t="s">
        <v>2444</v>
      </c>
      <c r="H204" s="101">
        <v>0</v>
      </c>
      <c r="I204" s="118">
        <v>0</v>
      </c>
    </row>
    <row r="205" spans="1:9" s="166" customFormat="1" ht="18" customHeight="1">
      <c r="A205" s="217">
        <v>41221</v>
      </c>
      <c r="B205" s="218">
        <v>0.39861111111111108</v>
      </c>
      <c r="C205" s="219">
        <v>41221</v>
      </c>
      <c r="D205" s="218">
        <v>0.39930555555555558</v>
      </c>
      <c r="E205" s="116" t="s">
        <v>2470</v>
      </c>
      <c r="F205" s="116" t="s">
        <v>826</v>
      </c>
      <c r="G205" s="116" t="s">
        <v>2444</v>
      </c>
      <c r="H205" s="101">
        <v>0</v>
      </c>
      <c r="I205" s="118">
        <v>0</v>
      </c>
    </row>
    <row r="206" spans="1:9" s="166" customFormat="1" ht="18" customHeight="1">
      <c r="A206" s="217">
        <v>41228</v>
      </c>
      <c r="B206" s="218">
        <v>0.23472222222222219</v>
      </c>
      <c r="C206" s="219">
        <v>41228</v>
      </c>
      <c r="D206" s="218">
        <v>0.23541666666666669</v>
      </c>
      <c r="E206" s="116" t="s">
        <v>2471</v>
      </c>
      <c r="F206" s="116" t="s">
        <v>61</v>
      </c>
      <c r="G206" s="116" t="s">
        <v>2444</v>
      </c>
      <c r="H206" s="101">
        <v>0</v>
      </c>
      <c r="I206" s="118">
        <v>0</v>
      </c>
    </row>
    <row r="207" spans="1:9" s="166" customFormat="1" ht="34.5" hidden="1" customHeight="1" thickBot="1">
      <c r="A207" s="67" t="s">
        <v>2105</v>
      </c>
      <c r="B207" s="68" t="s">
        <v>2106</v>
      </c>
      <c r="C207" s="68" t="s">
        <v>2107</v>
      </c>
      <c r="D207" s="68" t="s">
        <v>2108</v>
      </c>
      <c r="E207" s="68" t="s">
        <v>67</v>
      </c>
      <c r="F207" s="68" t="s">
        <v>57</v>
      </c>
      <c r="G207" s="68" t="s">
        <v>2109</v>
      </c>
      <c r="H207" s="68" t="s">
        <v>2110</v>
      </c>
      <c r="I207" s="69" t="s">
        <v>7</v>
      </c>
    </row>
    <row r="208" spans="1:9" s="166" customFormat="1" hidden="1">
      <c r="A208" s="833" t="s">
        <v>2472</v>
      </c>
      <c r="B208" s="834"/>
      <c r="C208" s="835"/>
      <c r="D208" s="835"/>
      <c r="E208" s="835"/>
      <c r="F208" s="835"/>
      <c r="G208" s="835"/>
      <c r="H208" s="835"/>
      <c r="I208" s="836"/>
    </row>
    <row r="209" spans="1:9" s="166" customFormat="1" ht="18" customHeight="1">
      <c r="A209" s="217">
        <v>41228</v>
      </c>
      <c r="B209" s="218">
        <v>0.88124999999999998</v>
      </c>
      <c r="C209" s="219">
        <v>41228</v>
      </c>
      <c r="D209" s="218">
        <v>0.8930555555555556</v>
      </c>
      <c r="E209" s="116" t="s">
        <v>2473</v>
      </c>
      <c r="F209" s="116" t="s">
        <v>674</v>
      </c>
      <c r="G209" s="116" t="s">
        <v>2139</v>
      </c>
      <c r="H209" s="101" t="s">
        <v>45</v>
      </c>
      <c r="I209" s="118" t="s">
        <v>45</v>
      </c>
    </row>
    <row r="210" spans="1:9" s="166" customFormat="1" ht="18" customHeight="1">
      <c r="A210" s="217">
        <v>41230</v>
      </c>
      <c r="B210" s="218">
        <v>0.41666666666666669</v>
      </c>
      <c r="C210" s="219">
        <v>41231</v>
      </c>
      <c r="D210" s="218">
        <v>0.41666666666666669</v>
      </c>
      <c r="E210" s="116" t="s">
        <v>2474</v>
      </c>
      <c r="F210" s="116" t="s">
        <v>1352</v>
      </c>
      <c r="G210" s="116" t="s">
        <v>1138</v>
      </c>
      <c r="H210" s="117">
        <v>1231</v>
      </c>
      <c r="I210" s="118">
        <v>0</v>
      </c>
    </row>
    <row r="211" spans="1:9" s="166" customFormat="1" ht="18" customHeight="1">
      <c r="A211" s="217">
        <v>41234</v>
      </c>
      <c r="B211" s="218">
        <v>0.61805555555555558</v>
      </c>
      <c r="C211" s="219">
        <v>41234</v>
      </c>
      <c r="D211" s="218">
        <v>0.61875000000000002</v>
      </c>
      <c r="E211" s="116" t="s">
        <v>2309</v>
      </c>
      <c r="F211" s="116" t="s">
        <v>826</v>
      </c>
      <c r="G211" s="116" t="s">
        <v>2444</v>
      </c>
      <c r="H211" s="101" t="s">
        <v>255</v>
      </c>
      <c r="I211" s="118" t="s">
        <v>255</v>
      </c>
    </row>
    <row r="212" spans="1:9" s="166" customFormat="1" ht="18" customHeight="1">
      <c r="A212" s="217">
        <v>41239</v>
      </c>
      <c r="B212" s="218">
        <v>0.52569444444444446</v>
      </c>
      <c r="C212" s="219">
        <v>41239</v>
      </c>
      <c r="D212" s="218">
        <v>0.52638888888888891</v>
      </c>
      <c r="E212" s="193" t="s">
        <v>2475</v>
      </c>
      <c r="F212" s="116" t="s">
        <v>826</v>
      </c>
      <c r="G212" s="116" t="s">
        <v>2444</v>
      </c>
      <c r="H212" s="101">
        <v>0</v>
      </c>
      <c r="I212" s="118">
        <v>0</v>
      </c>
    </row>
    <row r="213" spans="1:9" s="166" customFormat="1" ht="18" customHeight="1">
      <c r="A213" s="217">
        <v>41239</v>
      </c>
      <c r="B213" s="218">
        <v>0.62986111111111109</v>
      </c>
      <c r="C213" s="219">
        <v>41239</v>
      </c>
      <c r="D213" s="218">
        <v>0.63055555555555554</v>
      </c>
      <c r="E213" s="116" t="s">
        <v>2476</v>
      </c>
      <c r="F213" s="116" t="s">
        <v>826</v>
      </c>
      <c r="G213" s="116" t="s">
        <v>2444</v>
      </c>
      <c r="H213" s="101" t="s">
        <v>255</v>
      </c>
      <c r="I213" s="118" t="s">
        <v>255</v>
      </c>
    </row>
    <row r="214" spans="1:9" ht="15.75" thickBot="1">
      <c r="A214" s="220">
        <v>41240</v>
      </c>
      <c r="B214" s="221">
        <v>0.54652777777777783</v>
      </c>
      <c r="C214" s="222">
        <v>41240</v>
      </c>
      <c r="D214" s="221">
        <v>0.56944444444444442</v>
      </c>
      <c r="E214" s="125" t="s">
        <v>1115</v>
      </c>
      <c r="F214" s="125" t="s">
        <v>61</v>
      </c>
      <c r="G214" s="125" t="s">
        <v>2444</v>
      </c>
      <c r="H214" s="124">
        <v>0</v>
      </c>
      <c r="I214" s="126">
        <v>0</v>
      </c>
    </row>
    <row r="215" spans="1:9" s="166" customFormat="1" ht="15.75" hidden="1" thickBot="1">
      <c r="A215" s="826" t="s">
        <v>47</v>
      </c>
      <c r="B215" s="827"/>
      <c r="C215" s="167"/>
      <c r="D215" s="168"/>
      <c r="E215" s="167"/>
      <c r="F215" s="169"/>
      <c r="G215" s="167"/>
      <c r="H215" s="170"/>
      <c r="I215" s="171"/>
    </row>
    <row r="216" spans="1:9" ht="18" customHeight="1">
      <c r="A216" s="223">
        <v>41245</v>
      </c>
      <c r="B216" s="224">
        <v>0.22222222222222221</v>
      </c>
      <c r="C216" s="225">
        <v>41247</v>
      </c>
      <c r="D216" s="224">
        <v>0.375</v>
      </c>
      <c r="E216" s="226" t="s">
        <v>141</v>
      </c>
      <c r="F216" s="226" t="s">
        <v>124</v>
      </c>
      <c r="G216" s="226" t="s">
        <v>2349</v>
      </c>
      <c r="H216" s="227">
        <v>250</v>
      </c>
      <c r="I216" s="228">
        <v>125000</v>
      </c>
    </row>
    <row r="217" spans="1:9" ht="18" customHeight="1">
      <c r="A217" s="229">
        <v>41246</v>
      </c>
      <c r="B217" s="230">
        <v>0.50138888888888888</v>
      </c>
      <c r="C217" s="231">
        <v>41246</v>
      </c>
      <c r="D217" s="230">
        <v>0.52083333333333337</v>
      </c>
      <c r="E217" s="142" t="s">
        <v>2332</v>
      </c>
      <c r="F217" s="142" t="s">
        <v>124</v>
      </c>
      <c r="G217" s="142" t="s">
        <v>2150</v>
      </c>
      <c r="H217" s="143">
        <v>0</v>
      </c>
      <c r="I217" s="232">
        <v>0</v>
      </c>
    </row>
    <row r="218" spans="1:9" ht="18" customHeight="1">
      <c r="A218" s="229">
        <v>41249</v>
      </c>
      <c r="B218" s="230">
        <v>0.88750000000000007</v>
      </c>
      <c r="C218" s="231">
        <v>41249</v>
      </c>
      <c r="D218" s="230">
        <v>0.8965277777777777</v>
      </c>
      <c r="E218" s="142" t="s">
        <v>2477</v>
      </c>
      <c r="F218" s="142" t="s">
        <v>124</v>
      </c>
      <c r="G218" s="142" t="s">
        <v>905</v>
      </c>
      <c r="H218" s="143">
        <v>390</v>
      </c>
      <c r="I218" s="232" t="s">
        <v>45</v>
      </c>
    </row>
    <row r="219" spans="1:9" ht="18" customHeight="1">
      <c r="A219" s="229">
        <v>41260</v>
      </c>
      <c r="B219" s="230">
        <v>0.28819444444444448</v>
      </c>
      <c r="C219" s="231">
        <v>41260</v>
      </c>
      <c r="D219" s="230">
        <v>0.29166666666666669</v>
      </c>
      <c r="E219" s="142" t="s">
        <v>2332</v>
      </c>
      <c r="F219" s="142" t="s">
        <v>124</v>
      </c>
      <c r="G219" s="142" t="s">
        <v>2150</v>
      </c>
      <c r="H219" s="143">
        <v>0</v>
      </c>
      <c r="I219" s="232">
        <v>0</v>
      </c>
    </row>
    <row r="220" spans="1:9" ht="18" customHeight="1">
      <c r="A220" s="229">
        <v>41268</v>
      </c>
      <c r="B220" s="230">
        <v>3.125E-2</v>
      </c>
      <c r="C220" s="231">
        <v>41271</v>
      </c>
      <c r="D220" s="230">
        <v>0.67708333333333337</v>
      </c>
      <c r="E220" s="142" t="s">
        <v>2478</v>
      </c>
      <c r="F220" s="142" t="s">
        <v>58</v>
      </c>
      <c r="G220" s="142" t="s">
        <v>2349</v>
      </c>
      <c r="H220" s="143" t="s">
        <v>45</v>
      </c>
      <c r="I220" s="232">
        <v>242509</v>
      </c>
    </row>
    <row r="221" spans="1:9" ht="18" customHeight="1">
      <c r="A221" s="229">
        <v>41268</v>
      </c>
      <c r="B221" s="230">
        <v>0.39444444444444443</v>
      </c>
      <c r="C221" s="231">
        <v>41269</v>
      </c>
      <c r="D221" s="230">
        <v>0.68611111111111101</v>
      </c>
      <c r="E221" s="142" t="s">
        <v>1098</v>
      </c>
      <c r="F221" s="142" t="s">
        <v>1352</v>
      </c>
      <c r="G221" s="142" t="s">
        <v>2479</v>
      </c>
      <c r="H221" s="143">
        <v>294</v>
      </c>
      <c r="I221" s="232">
        <v>262000</v>
      </c>
    </row>
    <row r="222" spans="1:9" ht="18" customHeight="1">
      <c r="A222" s="229">
        <v>41269</v>
      </c>
      <c r="B222" s="230">
        <v>0.61805555555555558</v>
      </c>
      <c r="C222" s="231">
        <v>41269</v>
      </c>
      <c r="D222" s="230">
        <v>0.81944444444444453</v>
      </c>
      <c r="E222" s="142" t="s">
        <v>2480</v>
      </c>
      <c r="F222" s="142" t="s">
        <v>63</v>
      </c>
      <c r="G222" s="142" t="s">
        <v>2481</v>
      </c>
      <c r="H222" s="143">
        <v>3</v>
      </c>
      <c r="I222" s="232">
        <v>1200</v>
      </c>
    </row>
    <row r="223" spans="1:9" ht="18" customHeight="1" thickBot="1">
      <c r="A223" s="233">
        <v>41274</v>
      </c>
      <c r="B223" s="234">
        <v>0.59791666666666665</v>
      </c>
      <c r="C223" s="235">
        <v>41274</v>
      </c>
      <c r="D223" s="234">
        <v>0.6875</v>
      </c>
      <c r="E223" s="236" t="s">
        <v>2482</v>
      </c>
      <c r="F223" s="236" t="s">
        <v>63</v>
      </c>
      <c r="G223" s="236" t="s">
        <v>2483</v>
      </c>
      <c r="H223" s="237">
        <v>40</v>
      </c>
      <c r="I223" s="238">
        <v>12000</v>
      </c>
    </row>
    <row r="224" spans="1:9" hidden="1">
      <c r="A224" s="138" t="s">
        <v>2339</v>
      </c>
    </row>
  </sheetData>
  <autoFilter ref="A2:L224" xr:uid="{00000000-0001-0000-0A00-000000000000}">
    <filterColumn colId="0">
      <filters>
        <dateGroupItem year="2012" dateTimeGrouping="year"/>
      </filters>
    </filterColumn>
  </autoFilter>
  <mergeCells count="19">
    <mergeCell ref="A215:B215"/>
    <mergeCell ref="A147:B147"/>
    <mergeCell ref="A152:C152"/>
    <mergeCell ref="A158:B158"/>
    <mergeCell ref="A180:C180"/>
    <mergeCell ref="A202:B202"/>
    <mergeCell ref="A208:I208"/>
    <mergeCell ref="A132:B132"/>
    <mergeCell ref="A1:I1"/>
    <mergeCell ref="A3:B3"/>
    <mergeCell ref="A19:B19"/>
    <mergeCell ref="A33:B33"/>
    <mergeCell ref="A47:B47"/>
    <mergeCell ref="A64:B64"/>
    <mergeCell ref="A68:B68"/>
    <mergeCell ref="A76:B76"/>
    <mergeCell ref="A93:B93"/>
    <mergeCell ref="A106:B106"/>
    <mergeCell ref="A122:B122"/>
  </mergeCells>
  <pageMargins left="0.7" right="0.7"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I190"/>
  <sheetViews>
    <sheetView zoomScaleNormal="100" workbookViewId="0">
      <pane ySplit="2" topLeftCell="A158" activePane="bottomLeft" state="frozen"/>
      <selection pane="bottomLeft" activeCell="A2" sqref="A2:I188"/>
    </sheetView>
  </sheetViews>
  <sheetFormatPr defaultRowHeight="15"/>
  <cols>
    <col min="1" max="1" width="7.28515625" style="136" customWidth="1"/>
    <col min="2" max="2" width="7.42578125" style="136" customWidth="1"/>
    <col min="3" max="4" width="9.42578125" style="136" customWidth="1"/>
    <col min="5" max="5" width="21.42578125" style="136" customWidth="1"/>
    <col min="6" max="6" width="6.28515625" style="137" customWidth="1"/>
    <col min="7" max="7" width="22" style="136" customWidth="1"/>
    <col min="8" max="8" width="6.85546875" style="136" customWidth="1"/>
    <col min="9" max="9" width="9.140625" style="136" customWidth="1"/>
    <col min="10" max="16384" width="9.140625" style="66"/>
  </cols>
  <sheetData>
    <row r="1" spans="1:9" ht="18" customHeight="1" thickBot="1">
      <c r="A1" s="818" t="s">
        <v>2484</v>
      </c>
      <c r="B1" s="819"/>
      <c r="C1" s="819"/>
      <c r="D1" s="819"/>
      <c r="E1" s="819"/>
      <c r="F1" s="819"/>
      <c r="G1" s="819"/>
      <c r="H1" s="819"/>
      <c r="I1" s="819"/>
    </row>
    <row r="2" spans="1:9" ht="37.5" customHeight="1" thickBot="1">
      <c r="A2" s="67" t="s">
        <v>2105</v>
      </c>
      <c r="B2" s="68" t="s">
        <v>2106</v>
      </c>
      <c r="C2" s="68" t="s">
        <v>2107</v>
      </c>
      <c r="D2" s="68" t="s">
        <v>2108</v>
      </c>
      <c r="E2" s="68" t="s">
        <v>67</v>
      </c>
      <c r="F2" s="68" t="s">
        <v>57</v>
      </c>
      <c r="G2" s="68" t="s">
        <v>2109</v>
      </c>
      <c r="H2" s="68" t="s">
        <v>2110</v>
      </c>
      <c r="I2" s="69" t="s">
        <v>7</v>
      </c>
    </row>
    <row r="3" spans="1:9" ht="18" hidden="1" customHeight="1">
      <c r="A3" s="826" t="s">
        <v>1072</v>
      </c>
      <c r="B3" s="827"/>
      <c r="C3" s="167"/>
      <c r="D3" s="168"/>
      <c r="E3" s="167"/>
      <c r="F3" s="169"/>
      <c r="G3" s="167"/>
      <c r="H3" s="170"/>
      <c r="I3" s="171"/>
    </row>
    <row r="4" spans="1:9" ht="15" customHeight="1">
      <c r="A4" s="139">
        <v>41281</v>
      </c>
      <c r="B4" s="213">
        <v>0.4465277777777778</v>
      </c>
      <c r="C4" s="141">
        <v>41281</v>
      </c>
      <c r="D4" s="213">
        <v>0.4465277777777778</v>
      </c>
      <c r="E4" s="142" t="s">
        <v>2485</v>
      </c>
      <c r="F4" s="142" t="s">
        <v>826</v>
      </c>
      <c r="G4" s="142" t="s">
        <v>2486</v>
      </c>
      <c r="H4" s="143" t="s">
        <v>45</v>
      </c>
      <c r="I4" s="177" t="s">
        <v>45</v>
      </c>
    </row>
    <row r="5" spans="1:9" ht="15" customHeight="1">
      <c r="A5" s="139">
        <v>41290</v>
      </c>
      <c r="B5" s="213">
        <v>0.60069444444444442</v>
      </c>
      <c r="C5" s="141">
        <v>41290</v>
      </c>
      <c r="D5" s="213">
        <v>0.60069444444444442</v>
      </c>
      <c r="E5" s="142" t="s">
        <v>2485</v>
      </c>
      <c r="F5" s="142" t="s">
        <v>826</v>
      </c>
      <c r="G5" s="142" t="s">
        <v>2486</v>
      </c>
      <c r="H5" s="143" t="s">
        <v>45</v>
      </c>
      <c r="I5" s="177" t="s">
        <v>45</v>
      </c>
    </row>
    <row r="6" spans="1:9">
      <c r="A6" s="139">
        <v>41290</v>
      </c>
      <c r="B6" s="213">
        <v>0.69791666666666663</v>
      </c>
      <c r="C6" s="141">
        <v>41290</v>
      </c>
      <c r="D6" s="213">
        <v>0.80972222222222223</v>
      </c>
      <c r="E6" s="142" t="s">
        <v>2391</v>
      </c>
      <c r="F6" s="142" t="s">
        <v>124</v>
      </c>
      <c r="G6" s="142" t="s">
        <v>2150</v>
      </c>
      <c r="H6" s="143">
        <v>0</v>
      </c>
      <c r="I6" s="177">
        <v>0</v>
      </c>
    </row>
    <row r="7" spans="1:9" ht="15" customHeight="1">
      <c r="A7" s="139">
        <v>41290</v>
      </c>
      <c r="B7" s="213">
        <v>0.32013888888888892</v>
      </c>
      <c r="C7" s="141">
        <v>41291</v>
      </c>
      <c r="D7" s="213">
        <v>0.45694444444444443</v>
      </c>
      <c r="E7" s="142" t="s">
        <v>2487</v>
      </c>
      <c r="F7" s="142" t="s">
        <v>674</v>
      </c>
      <c r="G7" s="142" t="s">
        <v>2202</v>
      </c>
      <c r="H7" s="143" t="s">
        <v>255</v>
      </c>
      <c r="I7" s="177" t="s">
        <v>255</v>
      </c>
    </row>
    <row r="8" spans="1:9" ht="20.100000000000001" customHeight="1">
      <c r="A8" s="139">
        <v>41291</v>
      </c>
      <c r="B8" s="213">
        <v>0.75486111111111109</v>
      </c>
      <c r="C8" s="141">
        <v>41294</v>
      </c>
      <c r="D8" s="213">
        <v>0.8125</v>
      </c>
      <c r="E8" s="142" t="s">
        <v>2488</v>
      </c>
      <c r="F8" s="142" t="s">
        <v>826</v>
      </c>
      <c r="G8" s="142" t="s">
        <v>2349</v>
      </c>
      <c r="H8" s="143" t="s">
        <v>45</v>
      </c>
      <c r="I8" s="145">
        <v>127000</v>
      </c>
    </row>
    <row r="9" spans="1:9" ht="15" customHeight="1">
      <c r="A9" s="139">
        <v>41291</v>
      </c>
      <c r="B9" s="213">
        <v>0.79305555555555562</v>
      </c>
      <c r="C9" s="141">
        <v>41293</v>
      </c>
      <c r="D9" s="213">
        <v>0.75</v>
      </c>
      <c r="E9" s="142" t="s">
        <v>2180</v>
      </c>
      <c r="F9" s="142" t="s">
        <v>63</v>
      </c>
      <c r="G9" s="142" t="s">
        <v>2349</v>
      </c>
      <c r="H9" s="143" t="s">
        <v>45</v>
      </c>
      <c r="I9" s="145">
        <v>80000</v>
      </c>
    </row>
    <row r="10" spans="1:9" ht="15" customHeight="1">
      <c r="A10" s="139">
        <v>41291</v>
      </c>
      <c r="B10" s="213">
        <v>0.85763888888888884</v>
      </c>
      <c r="C10" s="141">
        <v>41291</v>
      </c>
      <c r="D10" s="213">
        <v>0.88888888888888884</v>
      </c>
      <c r="E10" s="142" t="s">
        <v>2489</v>
      </c>
      <c r="F10" s="142" t="s">
        <v>63</v>
      </c>
      <c r="G10" s="142" t="s">
        <v>2490</v>
      </c>
      <c r="H10" s="143">
        <v>40</v>
      </c>
      <c r="I10" s="145">
        <v>12000</v>
      </c>
    </row>
    <row r="11" spans="1:9" ht="15" customHeight="1">
      <c r="A11" s="139">
        <v>41294</v>
      </c>
      <c r="B11" s="213">
        <v>0.14583333333333334</v>
      </c>
      <c r="C11" s="141">
        <v>41297</v>
      </c>
      <c r="D11" s="213">
        <v>0.26041666666666669</v>
      </c>
      <c r="E11" s="142" t="s">
        <v>268</v>
      </c>
      <c r="F11" s="142" t="s">
        <v>826</v>
      </c>
      <c r="G11" s="142" t="s">
        <v>2491</v>
      </c>
      <c r="H11" s="143" t="s">
        <v>45</v>
      </c>
      <c r="I11" s="145">
        <v>146500</v>
      </c>
    </row>
    <row r="12" spans="1:9" ht="18">
      <c r="A12" s="139">
        <v>41302</v>
      </c>
      <c r="B12" s="213">
        <v>0.69861111111111107</v>
      </c>
      <c r="C12" s="141">
        <v>41302</v>
      </c>
      <c r="D12" s="213">
        <v>0.75</v>
      </c>
      <c r="E12" s="142" t="s">
        <v>2492</v>
      </c>
      <c r="F12" s="142" t="s">
        <v>124</v>
      </c>
      <c r="G12" s="142" t="s">
        <v>2202</v>
      </c>
      <c r="H12" s="143" t="s">
        <v>45</v>
      </c>
      <c r="I12" s="177" t="s">
        <v>45</v>
      </c>
    </row>
    <row r="13" spans="1:9" ht="15" customHeight="1">
      <c r="A13" s="139">
        <v>41305</v>
      </c>
      <c r="B13" s="213">
        <v>0.12847222222222224</v>
      </c>
      <c r="C13" s="141">
        <v>41305</v>
      </c>
      <c r="D13" s="213">
        <v>0.19999999999999998</v>
      </c>
      <c r="E13" s="142" t="s">
        <v>1196</v>
      </c>
      <c r="F13" s="142" t="s">
        <v>63</v>
      </c>
      <c r="G13" s="142" t="s">
        <v>2491</v>
      </c>
      <c r="H13" s="143">
        <v>188</v>
      </c>
      <c r="I13" s="145">
        <v>119000</v>
      </c>
    </row>
    <row r="14" spans="1:9" ht="15" customHeight="1">
      <c r="A14" s="139">
        <v>41305</v>
      </c>
      <c r="B14" s="213">
        <v>0.27083333333333331</v>
      </c>
      <c r="C14" s="141">
        <v>41305</v>
      </c>
      <c r="D14" s="213">
        <v>0.41666666666666669</v>
      </c>
      <c r="E14" s="142" t="s">
        <v>1579</v>
      </c>
      <c r="F14" s="142" t="s">
        <v>61</v>
      </c>
      <c r="G14" s="142" t="s">
        <v>2491</v>
      </c>
      <c r="H14" s="143">
        <v>75</v>
      </c>
      <c r="I14" s="145">
        <v>75000</v>
      </c>
    </row>
    <row r="15" spans="1:9" ht="15" hidden="1" customHeight="1">
      <c r="A15" s="826" t="s">
        <v>2128</v>
      </c>
      <c r="B15" s="827"/>
      <c r="C15" s="167"/>
      <c r="D15" s="168"/>
      <c r="E15" s="167"/>
      <c r="F15" s="169"/>
      <c r="G15" s="167"/>
      <c r="H15" s="170"/>
      <c r="I15" s="171"/>
    </row>
    <row r="16" spans="1:9" ht="15" customHeight="1">
      <c r="A16" s="139">
        <v>41307</v>
      </c>
      <c r="B16" s="213">
        <v>0.88541666666666663</v>
      </c>
      <c r="C16" s="141">
        <v>41307</v>
      </c>
      <c r="D16" s="213">
        <v>0.92708333333333337</v>
      </c>
      <c r="E16" s="142" t="s">
        <v>2493</v>
      </c>
      <c r="F16" s="142" t="s">
        <v>124</v>
      </c>
      <c r="G16" s="142" t="s">
        <v>100</v>
      </c>
      <c r="H16" s="172" t="s">
        <v>255</v>
      </c>
      <c r="I16" s="239" t="s">
        <v>255</v>
      </c>
    </row>
    <row r="17" spans="1:9" ht="15" customHeight="1">
      <c r="A17" s="139">
        <v>41312</v>
      </c>
      <c r="B17" s="213">
        <v>0.35555555555555557</v>
      </c>
      <c r="C17" s="141">
        <v>41312</v>
      </c>
      <c r="D17" s="213">
        <v>0.40763888888888888</v>
      </c>
      <c r="E17" s="142" t="s">
        <v>72</v>
      </c>
      <c r="F17" s="142" t="s">
        <v>826</v>
      </c>
      <c r="G17" s="142" t="s">
        <v>100</v>
      </c>
      <c r="H17" s="172" t="s">
        <v>45</v>
      </c>
      <c r="I17" s="239">
        <v>0</v>
      </c>
    </row>
    <row r="18" spans="1:9" ht="20.100000000000001" customHeight="1">
      <c r="A18" s="139">
        <v>41313</v>
      </c>
      <c r="B18" s="213">
        <v>0.48472222222222222</v>
      </c>
      <c r="C18" s="141">
        <v>41313</v>
      </c>
      <c r="D18" s="213">
        <v>0.59513888888888888</v>
      </c>
      <c r="E18" s="142" t="s">
        <v>2494</v>
      </c>
      <c r="F18" s="142" t="s">
        <v>826</v>
      </c>
      <c r="G18" s="142" t="s">
        <v>2397</v>
      </c>
      <c r="H18" s="172">
        <v>140</v>
      </c>
      <c r="I18" s="239">
        <v>52000</v>
      </c>
    </row>
    <row r="19" spans="1:9" ht="20.100000000000001" customHeight="1">
      <c r="A19" s="139">
        <v>41313</v>
      </c>
      <c r="B19" s="213">
        <v>0.83333333333333337</v>
      </c>
      <c r="C19" s="141">
        <v>41316</v>
      </c>
      <c r="D19" s="213">
        <v>0.85416666666666663</v>
      </c>
      <c r="E19" s="142" t="s">
        <v>2495</v>
      </c>
      <c r="F19" s="142" t="s">
        <v>61</v>
      </c>
      <c r="G19" s="142" t="s">
        <v>2496</v>
      </c>
      <c r="H19" s="172" t="s">
        <v>255</v>
      </c>
      <c r="I19" s="239">
        <v>50000</v>
      </c>
    </row>
    <row r="20" spans="1:9" ht="20.100000000000001" customHeight="1">
      <c r="A20" s="139">
        <v>41313</v>
      </c>
      <c r="B20" s="213">
        <v>0.87152777777777779</v>
      </c>
      <c r="C20" s="141">
        <v>41317</v>
      </c>
      <c r="D20" s="213">
        <v>0.16666666666666666</v>
      </c>
      <c r="E20" s="142" t="s">
        <v>2497</v>
      </c>
      <c r="F20" s="142" t="s">
        <v>61</v>
      </c>
      <c r="G20" s="142" t="s">
        <v>2496</v>
      </c>
      <c r="H20" s="172" t="s">
        <v>45</v>
      </c>
      <c r="I20" s="239">
        <v>50000</v>
      </c>
    </row>
    <row r="21" spans="1:9" ht="15" customHeight="1">
      <c r="A21" s="139">
        <v>41314</v>
      </c>
      <c r="B21" s="213">
        <v>0.35416666666666669</v>
      </c>
      <c r="C21" s="141">
        <v>41314</v>
      </c>
      <c r="D21" s="213">
        <v>0.625</v>
      </c>
      <c r="E21" s="142" t="s">
        <v>2493</v>
      </c>
      <c r="F21" s="142" t="s">
        <v>124</v>
      </c>
      <c r="G21" s="142" t="s">
        <v>2498</v>
      </c>
      <c r="H21" s="172" t="s">
        <v>45</v>
      </c>
      <c r="I21" s="239" t="s">
        <v>45</v>
      </c>
    </row>
    <row r="22" spans="1:9" ht="15" customHeight="1">
      <c r="A22" s="139">
        <v>41315</v>
      </c>
      <c r="B22" s="213">
        <v>0.82361111111111107</v>
      </c>
      <c r="C22" s="141">
        <v>41315</v>
      </c>
      <c r="D22" s="213">
        <v>0.84375</v>
      </c>
      <c r="E22" s="142" t="s">
        <v>2271</v>
      </c>
      <c r="F22" s="142" t="s">
        <v>255</v>
      </c>
      <c r="G22" s="142" t="s">
        <v>2499</v>
      </c>
      <c r="H22" s="172">
        <v>350</v>
      </c>
      <c r="I22" s="239" t="s">
        <v>45</v>
      </c>
    </row>
    <row r="23" spans="1:9" ht="15" customHeight="1">
      <c r="A23" s="139">
        <v>41318</v>
      </c>
      <c r="B23" s="213">
        <v>0.39583333333333331</v>
      </c>
      <c r="C23" s="141">
        <v>41318</v>
      </c>
      <c r="D23" s="213">
        <v>0.39583333333333331</v>
      </c>
      <c r="E23" s="142" t="s">
        <v>2500</v>
      </c>
      <c r="F23" s="142" t="s">
        <v>826</v>
      </c>
      <c r="G23" s="142" t="s">
        <v>100</v>
      </c>
      <c r="H23" s="172">
        <v>1</v>
      </c>
      <c r="I23" s="239">
        <v>1</v>
      </c>
    </row>
    <row r="24" spans="1:9" ht="20.100000000000001" customHeight="1">
      <c r="A24" s="139">
        <v>41318</v>
      </c>
      <c r="B24" s="213">
        <v>0.73541666666666661</v>
      </c>
      <c r="C24" s="141">
        <v>41320</v>
      </c>
      <c r="D24" s="213">
        <v>0.74305555555555547</v>
      </c>
      <c r="E24" s="142" t="s">
        <v>2281</v>
      </c>
      <c r="F24" s="142" t="s">
        <v>61</v>
      </c>
      <c r="G24" s="142" t="s">
        <v>2501</v>
      </c>
      <c r="H24" s="172">
        <v>1</v>
      </c>
      <c r="I24" s="239">
        <v>1</v>
      </c>
    </row>
    <row r="25" spans="1:9" ht="15" customHeight="1">
      <c r="A25" s="139">
        <v>41320</v>
      </c>
      <c r="B25" s="213">
        <v>0</v>
      </c>
      <c r="C25" s="141">
        <v>41320</v>
      </c>
      <c r="D25" s="213">
        <v>6.9444444444444447E-4</v>
      </c>
      <c r="E25" s="142" t="s">
        <v>2502</v>
      </c>
      <c r="F25" s="142" t="s">
        <v>826</v>
      </c>
      <c r="G25" s="142" t="s">
        <v>100</v>
      </c>
      <c r="H25" s="172" t="s">
        <v>255</v>
      </c>
      <c r="I25" s="239" t="s">
        <v>255</v>
      </c>
    </row>
    <row r="26" spans="1:9" ht="15" customHeight="1">
      <c r="A26" s="139">
        <v>41321</v>
      </c>
      <c r="B26" s="213">
        <v>0.32916666666666666</v>
      </c>
      <c r="C26" s="141">
        <v>41321</v>
      </c>
      <c r="D26" s="213">
        <v>0.32916666666666666</v>
      </c>
      <c r="E26" s="142" t="s">
        <v>2503</v>
      </c>
      <c r="F26" s="142" t="s">
        <v>826</v>
      </c>
      <c r="G26" s="142" t="s">
        <v>100</v>
      </c>
      <c r="H26" s="172">
        <v>1</v>
      </c>
      <c r="I26" s="239">
        <v>1</v>
      </c>
    </row>
    <row r="27" spans="1:9" ht="20.100000000000001" customHeight="1">
      <c r="A27" s="139">
        <v>41324</v>
      </c>
      <c r="B27" s="213">
        <v>0.66736111111111107</v>
      </c>
      <c r="C27" s="141">
        <v>41325</v>
      </c>
      <c r="D27" s="213">
        <v>0.53819444444444442</v>
      </c>
      <c r="E27" s="142" t="s">
        <v>2504</v>
      </c>
      <c r="F27" s="142" t="s">
        <v>124</v>
      </c>
      <c r="G27" s="142" t="s">
        <v>2037</v>
      </c>
      <c r="H27" s="240">
        <v>13850</v>
      </c>
      <c r="I27" s="239">
        <v>6810</v>
      </c>
    </row>
    <row r="28" spans="1:9" ht="15" customHeight="1">
      <c r="A28" s="146">
        <v>41326</v>
      </c>
      <c r="B28" s="215">
        <v>0.45833333333333331</v>
      </c>
      <c r="C28" s="148">
        <v>41326</v>
      </c>
      <c r="D28" s="215">
        <v>0.47916666666666669</v>
      </c>
      <c r="E28" s="149" t="s">
        <v>2505</v>
      </c>
      <c r="F28" s="149" t="s">
        <v>124</v>
      </c>
      <c r="G28" s="149" t="s">
        <v>100</v>
      </c>
      <c r="H28" s="173" t="s">
        <v>45</v>
      </c>
      <c r="I28" s="241" t="s">
        <v>45</v>
      </c>
    </row>
    <row r="29" spans="1:9" ht="19.5" customHeight="1" thickBot="1">
      <c r="A29" s="120">
        <v>41331</v>
      </c>
      <c r="B29" s="200">
        <v>0.54166666666666663</v>
      </c>
      <c r="C29" s="122">
        <v>41334</v>
      </c>
      <c r="D29" s="200">
        <v>0.41666666666666669</v>
      </c>
      <c r="E29" s="125" t="s">
        <v>2506</v>
      </c>
      <c r="F29" s="125" t="s">
        <v>63</v>
      </c>
      <c r="G29" s="125" t="s">
        <v>2496</v>
      </c>
      <c r="H29" s="123" t="s">
        <v>45</v>
      </c>
      <c r="I29" s="242">
        <v>56444</v>
      </c>
    </row>
    <row r="30" spans="1:9" s="166" customFormat="1" ht="15" hidden="1" customHeight="1" thickBot="1">
      <c r="A30" s="837" t="s">
        <v>20</v>
      </c>
      <c r="B30" s="838"/>
      <c r="C30" s="243"/>
      <c r="D30" s="244"/>
      <c r="E30" s="243"/>
      <c r="F30" s="245"/>
      <c r="G30" s="243"/>
      <c r="H30" s="246"/>
      <c r="I30" s="247"/>
    </row>
    <row r="31" spans="1:9" s="166" customFormat="1" ht="15" customHeight="1">
      <c r="A31" s="248">
        <v>41336</v>
      </c>
      <c r="B31" s="249">
        <v>0.27708333333333335</v>
      </c>
      <c r="C31" s="250">
        <v>41336</v>
      </c>
      <c r="D31" s="249">
        <v>0.4368055555555555</v>
      </c>
      <c r="E31" s="251" t="s">
        <v>2507</v>
      </c>
      <c r="F31" s="226" t="s">
        <v>124</v>
      </c>
      <c r="G31" s="226" t="s">
        <v>1806</v>
      </c>
      <c r="H31" s="251">
        <v>300</v>
      </c>
      <c r="I31" s="252">
        <v>58850</v>
      </c>
    </row>
    <row r="32" spans="1:9" s="166" customFormat="1" ht="15" customHeight="1">
      <c r="A32" s="139">
        <v>41336</v>
      </c>
      <c r="B32" s="213">
        <v>0.68541666666666667</v>
      </c>
      <c r="C32" s="141">
        <v>41336</v>
      </c>
      <c r="D32" s="213">
        <v>0.76388888888888884</v>
      </c>
      <c r="E32" s="172" t="s">
        <v>2508</v>
      </c>
      <c r="F32" s="142" t="s">
        <v>826</v>
      </c>
      <c r="G32" s="142" t="s">
        <v>100</v>
      </c>
      <c r="H32" s="172" t="s">
        <v>45</v>
      </c>
      <c r="I32" s="239" t="s">
        <v>45</v>
      </c>
    </row>
    <row r="33" spans="1:9" s="166" customFormat="1" ht="20.100000000000001" customHeight="1">
      <c r="A33" s="139">
        <v>41337</v>
      </c>
      <c r="B33" s="213">
        <v>0.40902777777777777</v>
      </c>
      <c r="C33" s="141">
        <v>41337</v>
      </c>
      <c r="D33" s="213">
        <v>0.91666666666666663</v>
      </c>
      <c r="E33" s="172" t="s">
        <v>2509</v>
      </c>
      <c r="F33" s="142" t="s">
        <v>255</v>
      </c>
      <c r="G33" s="142" t="s">
        <v>2510</v>
      </c>
      <c r="H33" s="172" t="s">
        <v>45</v>
      </c>
      <c r="I33" s="239" t="s">
        <v>45</v>
      </c>
    </row>
    <row r="34" spans="1:9" s="166" customFormat="1" ht="15" customHeight="1">
      <c r="A34" s="139">
        <v>41339</v>
      </c>
      <c r="B34" s="213">
        <v>0.34861111111111115</v>
      </c>
      <c r="C34" s="141">
        <v>41340</v>
      </c>
      <c r="D34" s="213">
        <v>0.43541666666666662</v>
      </c>
      <c r="E34" s="172" t="s">
        <v>2511</v>
      </c>
      <c r="F34" s="142" t="s">
        <v>63</v>
      </c>
      <c r="G34" s="142" t="s">
        <v>2349</v>
      </c>
      <c r="H34" s="172">
        <v>400</v>
      </c>
      <c r="I34" s="239">
        <v>233000</v>
      </c>
    </row>
    <row r="35" spans="1:9" s="166" customFormat="1" ht="15" customHeight="1">
      <c r="A35" s="139">
        <v>41351</v>
      </c>
      <c r="B35" s="213">
        <v>0.22291666666666665</v>
      </c>
      <c r="C35" s="141">
        <v>41351</v>
      </c>
      <c r="D35" s="213">
        <v>0.23680555555555557</v>
      </c>
      <c r="E35" s="172" t="s">
        <v>2512</v>
      </c>
      <c r="F35" s="142" t="s">
        <v>255</v>
      </c>
      <c r="G35" s="142" t="s">
        <v>2513</v>
      </c>
      <c r="H35" s="172">
        <v>350</v>
      </c>
      <c r="I35" s="239">
        <v>262937</v>
      </c>
    </row>
    <row r="36" spans="1:9" s="166" customFormat="1" ht="15" customHeight="1">
      <c r="A36" s="139">
        <v>41351</v>
      </c>
      <c r="B36" s="213">
        <v>0.74305555555555547</v>
      </c>
      <c r="C36" s="141">
        <v>41351</v>
      </c>
      <c r="D36" s="213">
        <v>0.75486111111111109</v>
      </c>
      <c r="E36" s="172" t="s">
        <v>2514</v>
      </c>
      <c r="F36" s="142" t="s">
        <v>301</v>
      </c>
      <c r="G36" s="142" t="s">
        <v>2150</v>
      </c>
      <c r="H36" s="172">
        <v>0</v>
      </c>
      <c r="I36" s="239">
        <v>0</v>
      </c>
    </row>
    <row r="37" spans="1:9" s="166" customFormat="1" ht="15" customHeight="1">
      <c r="A37" s="139">
        <v>41351</v>
      </c>
      <c r="B37" s="213">
        <v>0.8125</v>
      </c>
      <c r="C37" s="141">
        <v>41353</v>
      </c>
      <c r="D37" s="213">
        <v>0.60416666666666663</v>
      </c>
      <c r="E37" s="172" t="s">
        <v>2515</v>
      </c>
      <c r="F37" s="142" t="s">
        <v>63</v>
      </c>
      <c r="G37" s="142" t="s">
        <v>2368</v>
      </c>
      <c r="H37" s="172">
        <v>800</v>
      </c>
      <c r="I37" s="239">
        <v>240000</v>
      </c>
    </row>
    <row r="38" spans="1:9" s="166" customFormat="1" ht="15" customHeight="1">
      <c r="A38" s="139">
        <v>41356</v>
      </c>
      <c r="B38" s="213">
        <v>0.29166666666666669</v>
      </c>
      <c r="C38" s="141">
        <v>41356</v>
      </c>
      <c r="D38" s="213">
        <v>0.375</v>
      </c>
      <c r="E38" s="172" t="s">
        <v>1579</v>
      </c>
      <c r="F38" s="142" t="s">
        <v>61</v>
      </c>
      <c r="G38" s="142" t="s">
        <v>100</v>
      </c>
      <c r="H38" s="172" t="s">
        <v>45</v>
      </c>
      <c r="I38" s="239" t="s">
        <v>45</v>
      </c>
    </row>
    <row r="39" spans="1:9" s="166" customFormat="1" ht="15" customHeight="1">
      <c r="A39" s="139">
        <v>41360</v>
      </c>
      <c r="B39" s="213">
        <v>0.43402777777777773</v>
      </c>
      <c r="C39" s="141">
        <v>41360</v>
      </c>
      <c r="D39" s="213">
        <v>0.5131944444444444</v>
      </c>
      <c r="E39" s="172" t="s">
        <v>2516</v>
      </c>
      <c r="F39" s="142" t="s">
        <v>61</v>
      </c>
      <c r="G39" s="142" t="s">
        <v>2444</v>
      </c>
      <c r="H39" s="172" t="s">
        <v>45</v>
      </c>
      <c r="I39" s="239" t="s">
        <v>45</v>
      </c>
    </row>
    <row r="40" spans="1:9" s="166" customFormat="1" ht="15" customHeight="1">
      <c r="A40" s="139">
        <v>41361</v>
      </c>
      <c r="B40" s="213">
        <v>0.54236111111111118</v>
      </c>
      <c r="C40" s="141">
        <v>41361</v>
      </c>
      <c r="D40" s="213">
        <v>0.54305555555555551</v>
      </c>
      <c r="E40" s="172" t="s">
        <v>2310</v>
      </c>
      <c r="F40" s="142" t="s">
        <v>826</v>
      </c>
      <c r="G40" s="142" t="s">
        <v>100</v>
      </c>
      <c r="H40" s="172" t="s">
        <v>45</v>
      </c>
      <c r="I40" s="239" t="s">
        <v>45</v>
      </c>
    </row>
    <row r="41" spans="1:9" s="166" customFormat="1" ht="15" customHeight="1" thickBot="1">
      <c r="A41" s="253">
        <v>41362</v>
      </c>
      <c r="B41" s="254">
        <v>0.42777777777777781</v>
      </c>
      <c r="C41" s="255">
        <v>41362</v>
      </c>
      <c r="D41" s="254">
        <v>0.4284722222222222</v>
      </c>
      <c r="E41" s="256" t="s">
        <v>2123</v>
      </c>
      <c r="F41" s="236" t="s">
        <v>826</v>
      </c>
      <c r="G41" s="236" t="s">
        <v>2150</v>
      </c>
      <c r="H41" s="256" t="s">
        <v>45</v>
      </c>
      <c r="I41" s="257" t="s">
        <v>45</v>
      </c>
    </row>
    <row r="42" spans="1:9" s="166" customFormat="1" ht="15" hidden="1" customHeight="1" thickBot="1">
      <c r="A42" s="826" t="s">
        <v>23</v>
      </c>
      <c r="B42" s="827"/>
      <c r="C42" s="167"/>
      <c r="D42" s="168"/>
      <c r="E42" s="167"/>
      <c r="F42" s="169"/>
      <c r="G42" s="167"/>
      <c r="H42" s="170"/>
      <c r="I42" s="171"/>
    </row>
    <row r="43" spans="1:9" ht="15" customHeight="1">
      <c r="A43" s="248">
        <v>41365</v>
      </c>
      <c r="B43" s="249">
        <v>0.3611111111111111</v>
      </c>
      <c r="C43" s="250">
        <v>41365</v>
      </c>
      <c r="D43" s="249">
        <v>0.36180555555555555</v>
      </c>
      <c r="E43" s="226" t="s">
        <v>1579</v>
      </c>
      <c r="F43" s="226" t="s">
        <v>61</v>
      </c>
      <c r="G43" s="226" t="s">
        <v>2517</v>
      </c>
      <c r="H43" s="251" t="s">
        <v>45</v>
      </c>
      <c r="I43" s="252" t="s">
        <v>45</v>
      </c>
    </row>
    <row r="44" spans="1:9" ht="15" customHeight="1">
      <c r="A44" s="139">
        <v>41367</v>
      </c>
      <c r="B44" s="213">
        <v>0.46180555555555558</v>
      </c>
      <c r="C44" s="141">
        <v>41367</v>
      </c>
      <c r="D44" s="213">
        <v>0.58333333333333337</v>
      </c>
      <c r="E44" s="142" t="s">
        <v>2518</v>
      </c>
      <c r="F44" s="142" t="s">
        <v>124</v>
      </c>
      <c r="G44" s="142" t="s">
        <v>2519</v>
      </c>
      <c r="H44" s="172">
        <v>0</v>
      </c>
      <c r="I44" s="239">
        <v>0</v>
      </c>
    </row>
    <row r="45" spans="1:9" ht="15" customHeight="1">
      <c r="A45" s="139">
        <v>41373</v>
      </c>
      <c r="B45" s="213">
        <v>0.47916666666666669</v>
      </c>
      <c r="C45" s="141">
        <v>41373</v>
      </c>
      <c r="D45" s="213">
        <v>0.47986111111111113</v>
      </c>
      <c r="E45" s="142" t="s">
        <v>2520</v>
      </c>
      <c r="F45" s="142" t="s">
        <v>826</v>
      </c>
      <c r="G45" s="142" t="s">
        <v>100</v>
      </c>
      <c r="H45" s="172" t="s">
        <v>255</v>
      </c>
      <c r="I45" s="239" t="s">
        <v>255</v>
      </c>
    </row>
    <row r="46" spans="1:9" ht="18">
      <c r="A46" s="139">
        <v>41380</v>
      </c>
      <c r="B46" s="213">
        <v>7.4305555555555555E-2</v>
      </c>
      <c r="C46" s="141">
        <v>41382</v>
      </c>
      <c r="D46" s="213">
        <v>0.64236111111111105</v>
      </c>
      <c r="E46" s="142" t="s">
        <v>18</v>
      </c>
      <c r="F46" s="142" t="s">
        <v>124</v>
      </c>
      <c r="G46" s="142" t="s">
        <v>2521</v>
      </c>
      <c r="H46" s="172" t="s">
        <v>255</v>
      </c>
      <c r="I46" s="239">
        <v>0</v>
      </c>
    </row>
    <row r="47" spans="1:9" ht="20.100000000000001" customHeight="1">
      <c r="A47" s="139">
        <v>41381</v>
      </c>
      <c r="B47" s="213">
        <v>0.65</v>
      </c>
      <c r="C47" s="141">
        <v>41381</v>
      </c>
      <c r="D47" s="213">
        <v>0.70347222222222217</v>
      </c>
      <c r="E47" s="142" t="s">
        <v>2522</v>
      </c>
      <c r="F47" s="142" t="s">
        <v>63</v>
      </c>
      <c r="G47" s="142" t="s">
        <v>2150</v>
      </c>
      <c r="H47" s="172" t="s">
        <v>45</v>
      </c>
      <c r="I47" s="239" t="s">
        <v>45</v>
      </c>
    </row>
    <row r="48" spans="1:9" ht="15" customHeight="1">
      <c r="A48" s="139">
        <v>41382</v>
      </c>
      <c r="B48" s="213">
        <v>0.625</v>
      </c>
      <c r="C48" s="141">
        <v>41385</v>
      </c>
      <c r="D48" s="213">
        <v>0.14583333333333334</v>
      </c>
      <c r="E48" s="142" t="s">
        <v>2523</v>
      </c>
      <c r="F48" s="142" t="s">
        <v>826</v>
      </c>
      <c r="G48" s="142" t="s">
        <v>2524</v>
      </c>
      <c r="H48" s="172" t="s">
        <v>45</v>
      </c>
      <c r="I48" s="239">
        <v>99188</v>
      </c>
    </row>
    <row r="49" spans="1:9" ht="20.100000000000001" customHeight="1">
      <c r="A49" s="139">
        <v>41385</v>
      </c>
      <c r="B49" s="213">
        <v>9.0972222222222218E-2</v>
      </c>
      <c r="C49" s="141">
        <v>41385</v>
      </c>
      <c r="D49" s="213">
        <v>0.52083333333333337</v>
      </c>
      <c r="E49" s="142" t="s">
        <v>2525</v>
      </c>
      <c r="F49" s="142" t="s">
        <v>63</v>
      </c>
      <c r="G49" s="142" t="s">
        <v>2150</v>
      </c>
      <c r="H49" s="172" t="s">
        <v>255</v>
      </c>
      <c r="I49" s="239" t="s">
        <v>255</v>
      </c>
    </row>
    <row r="50" spans="1:9" ht="15" customHeight="1">
      <c r="A50" s="139">
        <v>41387</v>
      </c>
      <c r="B50" s="213">
        <v>0.45833333333333331</v>
      </c>
      <c r="C50" s="141">
        <v>41387</v>
      </c>
      <c r="D50" s="213">
        <v>0.45902777777777781</v>
      </c>
      <c r="E50" s="142" t="s">
        <v>2119</v>
      </c>
      <c r="F50" s="142" t="s">
        <v>826</v>
      </c>
      <c r="G50" s="142" t="s">
        <v>100</v>
      </c>
      <c r="H50" s="172" t="s">
        <v>45</v>
      </c>
      <c r="I50" s="239" t="s">
        <v>45</v>
      </c>
    </row>
    <row r="51" spans="1:9" ht="20.100000000000001" customHeight="1">
      <c r="A51" s="139">
        <v>41387</v>
      </c>
      <c r="B51" s="213">
        <v>3.4027777777777775E-2</v>
      </c>
      <c r="C51" s="141">
        <v>41387</v>
      </c>
      <c r="D51" s="213">
        <v>0.16944444444444443</v>
      </c>
      <c r="E51" s="142" t="s">
        <v>2526</v>
      </c>
      <c r="F51" s="142" t="s">
        <v>124</v>
      </c>
      <c r="G51" s="142" t="s">
        <v>2037</v>
      </c>
      <c r="H51" s="172">
        <v>80</v>
      </c>
      <c r="I51" s="239">
        <v>1</v>
      </c>
    </row>
    <row r="52" spans="1:9" ht="15" customHeight="1" thickBot="1">
      <c r="A52" s="253">
        <v>41389</v>
      </c>
      <c r="B52" s="254">
        <v>0.66666666666666663</v>
      </c>
      <c r="C52" s="255">
        <v>41390</v>
      </c>
      <c r="D52" s="254">
        <v>0.4548611111111111</v>
      </c>
      <c r="E52" s="236" t="s">
        <v>2527</v>
      </c>
      <c r="F52" s="236" t="s">
        <v>124</v>
      </c>
      <c r="G52" s="236" t="s">
        <v>100</v>
      </c>
      <c r="H52" s="256">
        <v>0</v>
      </c>
      <c r="I52" s="257">
        <v>0</v>
      </c>
    </row>
    <row r="53" spans="1:9" s="166" customFormat="1" ht="15" hidden="1" customHeight="1" thickBot="1">
      <c r="A53" s="826" t="s">
        <v>103</v>
      </c>
      <c r="B53" s="827"/>
      <c r="C53" s="167"/>
      <c r="D53" s="168"/>
      <c r="E53" s="167"/>
      <c r="F53" s="169"/>
      <c r="G53" s="167"/>
      <c r="H53" s="170"/>
      <c r="I53" s="171"/>
    </row>
    <row r="54" spans="1:9" ht="18">
      <c r="A54" s="248">
        <v>41395</v>
      </c>
      <c r="B54" s="249">
        <v>0.39027777777777778</v>
      </c>
      <c r="C54" s="250">
        <v>41395</v>
      </c>
      <c r="D54" s="249">
        <v>0.39166666666666666</v>
      </c>
      <c r="E54" s="226" t="s">
        <v>2528</v>
      </c>
      <c r="F54" s="226" t="s">
        <v>124</v>
      </c>
      <c r="G54" s="226" t="s">
        <v>2037</v>
      </c>
      <c r="H54" s="251">
        <v>123</v>
      </c>
      <c r="I54" s="252">
        <v>35230</v>
      </c>
    </row>
    <row r="55" spans="1:9" ht="18">
      <c r="A55" s="139">
        <v>41396</v>
      </c>
      <c r="B55" s="213">
        <v>0.28611111111111115</v>
      </c>
      <c r="C55" s="141">
        <v>41396</v>
      </c>
      <c r="D55" s="213">
        <v>0.42152777777777778</v>
      </c>
      <c r="E55" s="142" t="s">
        <v>45</v>
      </c>
      <c r="F55" s="142" t="s">
        <v>124</v>
      </c>
      <c r="G55" s="142" t="s">
        <v>2037</v>
      </c>
      <c r="H55" s="172" t="s">
        <v>45</v>
      </c>
      <c r="I55" s="239" t="s">
        <v>45</v>
      </c>
    </row>
    <row r="56" spans="1:9" ht="18">
      <c r="A56" s="139">
        <v>41403</v>
      </c>
      <c r="B56" s="213">
        <v>0.55625000000000002</v>
      </c>
      <c r="C56" s="141">
        <v>41403</v>
      </c>
      <c r="D56" s="213">
        <v>0.68125000000000002</v>
      </c>
      <c r="E56" s="142" t="s">
        <v>2529</v>
      </c>
      <c r="F56" s="142" t="s">
        <v>124</v>
      </c>
      <c r="G56" s="142" t="s">
        <v>2037</v>
      </c>
      <c r="H56" s="172" t="s">
        <v>45</v>
      </c>
      <c r="I56" s="239" t="s">
        <v>45</v>
      </c>
    </row>
    <row r="57" spans="1:9">
      <c r="A57" s="139">
        <v>41407</v>
      </c>
      <c r="B57" s="213">
        <v>0.53611111111111109</v>
      </c>
      <c r="C57" s="141" t="s">
        <v>686</v>
      </c>
      <c r="D57" s="213" t="s">
        <v>686</v>
      </c>
      <c r="E57" s="142" t="s">
        <v>1922</v>
      </c>
      <c r="F57" s="142" t="s">
        <v>124</v>
      </c>
      <c r="G57" s="142" t="s">
        <v>2530</v>
      </c>
      <c r="H57" s="172">
        <v>176</v>
      </c>
      <c r="I57" s="239" t="s">
        <v>45</v>
      </c>
    </row>
    <row r="58" spans="1:9" ht="15" customHeight="1">
      <c r="A58" s="139">
        <v>41408</v>
      </c>
      <c r="B58" s="213">
        <v>6.9444444444444447E-4</v>
      </c>
      <c r="C58" s="141">
        <v>41408</v>
      </c>
      <c r="D58" s="213">
        <v>0.58263888888888882</v>
      </c>
      <c r="E58" s="142" t="s">
        <v>2531</v>
      </c>
      <c r="F58" s="142" t="s">
        <v>124</v>
      </c>
      <c r="G58" s="142" t="s">
        <v>2532</v>
      </c>
      <c r="H58" s="172" t="s">
        <v>255</v>
      </c>
      <c r="I58" s="239" t="s">
        <v>255</v>
      </c>
    </row>
    <row r="59" spans="1:9">
      <c r="A59" s="139">
        <v>41408</v>
      </c>
      <c r="B59" s="213">
        <v>0.43402777777777773</v>
      </c>
      <c r="C59" s="141">
        <v>41408</v>
      </c>
      <c r="D59" s="213">
        <v>0.48749999999999999</v>
      </c>
      <c r="E59" s="142" t="s">
        <v>1115</v>
      </c>
      <c r="F59" s="142" t="s">
        <v>61</v>
      </c>
      <c r="G59" s="142" t="s">
        <v>100</v>
      </c>
      <c r="H59" s="172" t="s">
        <v>255</v>
      </c>
      <c r="I59" s="239" t="s">
        <v>255</v>
      </c>
    </row>
    <row r="60" spans="1:9" ht="15" customHeight="1">
      <c r="A60" s="139">
        <v>41409</v>
      </c>
      <c r="B60" s="213">
        <v>0.59097222222222223</v>
      </c>
      <c r="C60" s="141">
        <v>41409</v>
      </c>
      <c r="D60" s="213">
        <v>0.59166666666666667</v>
      </c>
      <c r="E60" s="142" t="s">
        <v>2310</v>
      </c>
      <c r="F60" s="142" t="s">
        <v>826</v>
      </c>
      <c r="G60" s="142" t="s">
        <v>100</v>
      </c>
      <c r="H60" s="172" t="s">
        <v>45</v>
      </c>
      <c r="I60" s="239" t="s">
        <v>45</v>
      </c>
    </row>
    <row r="61" spans="1:9" ht="15" customHeight="1">
      <c r="A61" s="139">
        <v>41411</v>
      </c>
      <c r="B61" s="213">
        <v>0.3576388888888889</v>
      </c>
      <c r="C61" s="141">
        <v>41411</v>
      </c>
      <c r="D61" s="213">
        <v>0.35833333333333334</v>
      </c>
      <c r="E61" s="142" t="s">
        <v>2533</v>
      </c>
      <c r="F61" s="142" t="s">
        <v>826</v>
      </c>
      <c r="G61" s="142" t="s">
        <v>100</v>
      </c>
      <c r="H61" s="172" t="s">
        <v>45</v>
      </c>
      <c r="I61" s="239" t="s">
        <v>45</v>
      </c>
    </row>
    <row r="62" spans="1:9" ht="15" customHeight="1">
      <c r="A62" s="139">
        <v>41414</v>
      </c>
      <c r="B62" s="213">
        <v>0.625</v>
      </c>
      <c r="C62" s="141">
        <v>41416</v>
      </c>
      <c r="D62" s="213">
        <v>0.70833333333333337</v>
      </c>
      <c r="E62" s="142" t="s">
        <v>2534</v>
      </c>
      <c r="F62" s="142" t="s">
        <v>58</v>
      </c>
      <c r="G62" s="142" t="s">
        <v>2535</v>
      </c>
      <c r="H62" s="172" t="s">
        <v>45</v>
      </c>
      <c r="I62" s="239">
        <v>41306</v>
      </c>
    </row>
    <row r="63" spans="1:9" ht="15" customHeight="1">
      <c r="A63" s="139">
        <v>41414</v>
      </c>
      <c r="B63" s="213">
        <v>0.72361111111111109</v>
      </c>
      <c r="C63" s="141">
        <v>41414</v>
      </c>
      <c r="D63" s="213">
        <v>0.88124999999999998</v>
      </c>
      <c r="E63" s="142" t="s">
        <v>2536</v>
      </c>
      <c r="F63" s="142" t="s">
        <v>63</v>
      </c>
      <c r="G63" s="142" t="s">
        <v>2537</v>
      </c>
      <c r="H63" s="172">
        <v>103</v>
      </c>
      <c r="I63" s="239">
        <v>21800</v>
      </c>
    </row>
    <row r="64" spans="1:9" ht="15" customHeight="1">
      <c r="A64" s="139">
        <v>41416</v>
      </c>
      <c r="B64" s="213">
        <v>0.45208333333333334</v>
      </c>
      <c r="C64" s="141">
        <v>41416</v>
      </c>
      <c r="D64" s="213">
        <v>0.45624999999999999</v>
      </c>
      <c r="E64" s="142" t="s">
        <v>2538</v>
      </c>
      <c r="F64" s="142" t="s">
        <v>255</v>
      </c>
      <c r="G64" s="142" t="s">
        <v>968</v>
      </c>
      <c r="H64" s="172">
        <v>280</v>
      </c>
      <c r="I64" s="239">
        <v>197287</v>
      </c>
    </row>
    <row r="65" spans="1:9" ht="15" customHeight="1">
      <c r="A65" s="139">
        <v>41422</v>
      </c>
      <c r="B65" s="213">
        <v>0.54166666666666663</v>
      </c>
      <c r="C65" s="141">
        <v>41422</v>
      </c>
      <c r="D65" s="213">
        <v>0.75</v>
      </c>
      <c r="E65" s="142" t="s">
        <v>2079</v>
      </c>
      <c r="F65" s="142" t="s">
        <v>61</v>
      </c>
      <c r="G65" s="142" t="s">
        <v>2532</v>
      </c>
      <c r="H65" s="172" t="s">
        <v>80</v>
      </c>
      <c r="I65" s="239" t="s">
        <v>80</v>
      </c>
    </row>
    <row r="66" spans="1:9" ht="15" customHeight="1">
      <c r="A66" s="139">
        <v>41423</v>
      </c>
      <c r="B66" s="213">
        <v>0</v>
      </c>
      <c r="C66" s="141">
        <v>41423</v>
      </c>
      <c r="D66" s="213">
        <v>1.3888888888888889E-3</v>
      </c>
      <c r="E66" s="142" t="s">
        <v>2539</v>
      </c>
      <c r="F66" s="142" t="s">
        <v>63</v>
      </c>
      <c r="G66" s="142" t="s">
        <v>2202</v>
      </c>
      <c r="H66" s="172" t="s">
        <v>45</v>
      </c>
      <c r="I66" s="239" t="s">
        <v>45</v>
      </c>
    </row>
    <row r="67" spans="1:9">
      <c r="A67" s="139">
        <v>41423</v>
      </c>
      <c r="B67" s="213">
        <v>0.87361111111111101</v>
      </c>
      <c r="C67" s="141">
        <v>41425</v>
      </c>
      <c r="D67" s="213">
        <v>0.62013888888888891</v>
      </c>
      <c r="E67" s="142" t="s">
        <v>2540</v>
      </c>
      <c r="F67" s="142" t="s">
        <v>61</v>
      </c>
      <c r="G67" s="142" t="s">
        <v>2368</v>
      </c>
      <c r="H67" s="172" t="s">
        <v>45</v>
      </c>
      <c r="I67" s="239">
        <v>61795</v>
      </c>
    </row>
    <row r="68" spans="1:9">
      <c r="A68" s="139">
        <v>41423</v>
      </c>
      <c r="B68" s="213">
        <v>0.41111111111111115</v>
      </c>
      <c r="C68" s="141">
        <v>41423</v>
      </c>
      <c r="D68" s="213">
        <v>0.41180555555555554</v>
      </c>
      <c r="E68" s="142" t="s">
        <v>2310</v>
      </c>
      <c r="F68" s="142" t="s">
        <v>826</v>
      </c>
      <c r="G68" s="142" t="s">
        <v>2532</v>
      </c>
      <c r="H68" s="172" t="s">
        <v>255</v>
      </c>
      <c r="I68" s="239" t="s">
        <v>255</v>
      </c>
    </row>
    <row r="69" spans="1:9" ht="15" customHeight="1">
      <c r="A69" s="139">
        <v>41424</v>
      </c>
      <c r="B69" s="213">
        <v>0.42708333333333331</v>
      </c>
      <c r="C69" s="141">
        <v>41424</v>
      </c>
      <c r="D69" s="213">
        <v>0.42777777777777781</v>
      </c>
      <c r="E69" s="142" t="s">
        <v>2299</v>
      </c>
      <c r="F69" s="142" t="s">
        <v>61</v>
      </c>
      <c r="G69" s="142" t="s">
        <v>100</v>
      </c>
      <c r="H69" s="172" t="s">
        <v>255</v>
      </c>
      <c r="I69" s="239" t="s">
        <v>255</v>
      </c>
    </row>
    <row r="70" spans="1:9">
      <c r="A70" s="139">
        <v>41425</v>
      </c>
      <c r="B70" s="213">
        <v>4.1666666666666664E-2</v>
      </c>
      <c r="C70" s="141">
        <v>41425</v>
      </c>
      <c r="D70" s="213">
        <v>6.25E-2</v>
      </c>
      <c r="E70" s="142" t="s">
        <v>2541</v>
      </c>
      <c r="F70" s="142" t="s">
        <v>58</v>
      </c>
      <c r="G70" s="142" t="s">
        <v>2542</v>
      </c>
      <c r="H70" s="172" t="s">
        <v>255</v>
      </c>
      <c r="I70" s="239" t="s">
        <v>255</v>
      </c>
    </row>
    <row r="71" spans="1:9" ht="18">
      <c r="A71" s="139">
        <v>41425</v>
      </c>
      <c r="B71" s="213">
        <v>0.75</v>
      </c>
      <c r="C71" s="141">
        <v>41429</v>
      </c>
      <c r="D71" s="213">
        <v>0.4375</v>
      </c>
      <c r="E71" s="142" t="s">
        <v>2543</v>
      </c>
      <c r="F71" s="142" t="s">
        <v>58</v>
      </c>
      <c r="G71" s="142" t="s">
        <v>2535</v>
      </c>
      <c r="H71" s="172" t="s">
        <v>45</v>
      </c>
      <c r="I71" s="239">
        <v>127000</v>
      </c>
    </row>
    <row r="72" spans="1:9" ht="18">
      <c r="A72" s="139">
        <v>41425</v>
      </c>
      <c r="B72" s="213">
        <v>0.79652777777777783</v>
      </c>
      <c r="C72" s="141">
        <v>41426</v>
      </c>
      <c r="D72" s="213">
        <v>0.59375</v>
      </c>
      <c r="E72" s="142" t="s">
        <v>2544</v>
      </c>
      <c r="F72" s="142" t="s">
        <v>674</v>
      </c>
      <c r="G72" s="142" t="s">
        <v>1806</v>
      </c>
      <c r="H72" s="172">
        <v>102</v>
      </c>
      <c r="I72" s="239">
        <v>6300</v>
      </c>
    </row>
    <row r="73" spans="1:9" ht="15" customHeight="1" thickBot="1">
      <c r="A73" s="253">
        <v>41425</v>
      </c>
      <c r="B73" s="254">
        <v>0.8125</v>
      </c>
      <c r="C73" s="255">
        <v>41426</v>
      </c>
      <c r="D73" s="254">
        <v>0.83333333333333337</v>
      </c>
      <c r="E73" s="236" t="s">
        <v>2545</v>
      </c>
      <c r="F73" s="236" t="s">
        <v>63</v>
      </c>
      <c r="G73" s="236" t="s">
        <v>2368</v>
      </c>
      <c r="H73" s="256" t="s">
        <v>45</v>
      </c>
      <c r="I73" s="257">
        <v>100000</v>
      </c>
    </row>
    <row r="74" spans="1:9" s="166" customFormat="1" ht="15" hidden="1" customHeight="1">
      <c r="A74" s="841" t="s">
        <v>123</v>
      </c>
      <c r="B74" s="842"/>
      <c r="C74" s="258"/>
      <c r="D74" s="259"/>
      <c r="E74" s="258"/>
      <c r="F74" s="260"/>
      <c r="G74" s="258"/>
      <c r="H74" s="261"/>
      <c r="I74" s="262"/>
    </row>
    <row r="75" spans="1:9" ht="15" customHeight="1">
      <c r="A75" s="139">
        <v>41428</v>
      </c>
      <c r="B75" s="213">
        <v>0.53472222222222221</v>
      </c>
      <c r="C75" s="141">
        <v>41428</v>
      </c>
      <c r="D75" s="213">
        <v>0.56666666666666665</v>
      </c>
      <c r="E75" s="172" t="s">
        <v>2418</v>
      </c>
      <c r="F75" s="172" t="s">
        <v>124</v>
      </c>
      <c r="G75" s="172" t="s">
        <v>2037</v>
      </c>
      <c r="H75" s="240" t="s">
        <v>45</v>
      </c>
      <c r="I75" s="239" t="s">
        <v>45</v>
      </c>
    </row>
    <row r="76" spans="1:9" ht="15" customHeight="1">
      <c r="A76" s="139">
        <v>41438</v>
      </c>
      <c r="B76" s="213">
        <v>0.86597222222222225</v>
      </c>
      <c r="C76" s="141">
        <v>41439</v>
      </c>
      <c r="D76" s="213">
        <v>0.94930555555555562</v>
      </c>
      <c r="E76" s="172" t="s">
        <v>2546</v>
      </c>
      <c r="F76" s="172" t="s">
        <v>63</v>
      </c>
      <c r="G76" s="172" t="s">
        <v>2368</v>
      </c>
      <c r="H76" s="240">
        <v>550</v>
      </c>
      <c r="I76" s="239">
        <v>165798</v>
      </c>
    </row>
    <row r="77" spans="1:9" ht="15" customHeight="1">
      <c r="A77" s="139">
        <v>41438</v>
      </c>
      <c r="B77" s="213">
        <v>0.64583333333333337</v>
      </c>
      <c r="C77" s="141">
        <v>41438</v>
      </c>
      <c r="D77" s="213">
        <v>0.66666666666666663</v>
      </c>
      <c r="E77" s="172" t="s">
        <v>2275</v>
      </c>
      <c r="F77" s="172" t="s">
        <v>826</v>
      </c>
      <c r="G77" s="172" t="s">
        <v>2547</v>
      </c>
      <c r="H77" s="240">
        <v>700</v>
      </c>
      <c r="I77" s="239">
        <v>40000</v>
      </c>
    </row>
    <row r="78" spans="1:9" ht="15" customHeight="1">
      <c r="A78" s="139">
        <v>41438</v>
      </c>
      <c r="B78" s="213">
        <v>0.67222222222222217</v>
      </c>
      <c r="C78" s="141">
        <v>41439</v>
      </c>
      <c r="D78" s="213">
        <v>0.71944444444444444</v>
      </c>
      <c r="E78" s="172" t="s">
        <v>2548</v>
      </c>
      <c r="F78" s="172" t="s">
        <v>63</v>
      </c>
      <c r="G78" s="172" t="s">
        <v>2368</v>
      </c>
      <c r="H78" s="240">
        <v>900</v>
      </c>
      <c r="I78" s="239">
        <v>283000</v>
      </c>
    </row>
    <row r="79" spans="1:9" ht="15" customHeight="1">
      <c r="A79" s="139">
        <v>41438</v>
      </c>
      <c r="B79" s="213">
        <v>0.55347222222222225</v>
      </c>
      <c r="C79" s="141">
        <v>41439</v>
      </c>
      <c r="D79" s="213">
        <v>0.73263888888888884</v>
      </c>
      <c r="E79" s="172" t="s">
        <v>2549</v>
      </c>
      <c r="F79" s="172" t="s">
        <v>63</v>
      </c>
      <c r="G79" s="172" t="s">
        <v>2368</v>
      </c>
      <c r="H79" s="240">
        <v>1000</v>
      </c>
      <c r="I79" s="239">
        <v>175000</v>
      </c>
    </row>
    <row r="80" spans="1:9" ht="15" customHeight="1">
      <c r="A80" s="139">
        <v>41438</v>
      </c>
      <c r="B80" s="213">
        <v>0.73958333333333337</v>
      </c>
      <c r="C80" s="141">
        <v>41439</v>
      </c>
      <c r="D80" s="213">
        <v>0.77083333333333337</v>
      </c>
      <c r="E80" s="172" t="s">
        <v>2171</v>
      </c>
      <c r="F80" s="172" t="s">
        <v>63</v>
      </c>
      <c r="G80" s="172" t="s">
        <v>2368</v>
      </c>
      <c r="H80" s="240" t="s">
        <v>45</v>
      </c>
      <c r="I80" s="239">
        <v>53000</v>
      </c>
    </row>
    <row r="81" spans="1:9" ht="15" customHeight="1">
      <c r="A81" s="139">
        <v>41438</v>
      </c>
      <c r="B81" s="213">
        <v>0.63888888888888895</v>
      </c>
      <c r="C81" s="141">
        <v>41439</v>
      </c>
      <c r="D81" s="213">
        <v>0.88194444444444453</v>
      </c>
      <c r="E81" s="172" t="s">
        <v>2550</v>
      </c>
      <c r="F81" s="172" t="s">
        <v>2462</v>
      </c>
      <c r="G81" s="172" t="s">
        <v>2368</v>
      </c>
      <c r="H81" s="240" t="s">
        <v>45</v>
      </c>
      <c r="I81" s="239">
        <v>90247</v>
      </c>
    </row>
    <row r="82" spans="1:9" ht="20.100000000000001" customHeight="1">
      <c r="A82" s="139">
        <v>41442</v>
      </c>
      <c r="B82" s="213">
        <v>0.67847222222222225</v>
      </c>
      <c r="C82" s="141">
        <v>41442</v>
      </c>
      <c r="D82" s="213">
        <v>0.78402777777777777</v>
      </c>
      <c r="E82" s="172" t="s">
        <v>2551</v>
      </c>
      <c r="F82" s="172" t="s">
        <v>301</v>
      </c>
      <c r="G82" s="172" t="s">
        <v>2552</v>
      </c>
      <c r="H82" s="240">
        <v>180</v>
      </c>
      <c r="I82" s="239">
        <v>37</v>
      </c>
    </row>
    <row r="83" spans="1:9" ht="15" customHeight="1">
      <c r="A83" s="139">
        <v>41443</v>
      </c>
      <c r="B83" s="213">
        <v>0.66041666666666665</v>
      </c>
      <c r="C83" s="141">
        <v>41443</v>
      </c>
      <c r="D83" s="213">
        <v>0.68263888888888891</v>
      </c>
      <c r="E83" s="172" t="s">
        <v>2553</v>
      </c>
      <c r="F83" s="172" t="s">
        <v>124</v>
      </c>
      <c r="G83" s="172" t="s">
        <v>2037</v>
      </c>
      <c r="H83" s="240">
        <v>6</v>
      </c>
      <c r="I83" s="239" t="s">
        <v>45</v>
      </c>
    </row>
    <row r="84" spans="1:9" ht="15" customHeight="1">
      <c r="A84" s="139">
        <v>41444</v>
      </c>
      <c r="B84" s="213">
        <v>0.83124999999999993</v>
      </c>
      <c r="C84" s="141">
        <v>41444</v>
      </c>
      <c r="D84" s="213">
        <v>0.83958333333333324</v>
      </c>
      <c r="E84" s="172" t="s">
        <v>2418</v>
      </c>
      <c r="F84" s="172" t="s">
        <v>124</v>
      </c>
      <c r="G84" s="172" t="s">
        <v>2037</v>
      </c>
      <c r="H84" s="240" t="s">
        <v>45</v>
      </c>
      <c r="I84" s="239" t="s">
        <v>45</v>
      </c>
    </row>
    <row r="85" spans="1:9" ht="15" customHeight="1">
      <c r="A85" s="139">
        <v>41445</v>
      </c>
      <c r="B85" s="213">
        <v>0.75</v>
      </c>
      <c r="C85" s="141">
        <v>41446</v>
      </c>
      <c r="D85" s="213">
        <v>0.41666666666666669</v>
      </c>
      <c r="E85" s="172" t="s">
        <v>2554</v>
      </c>
      <c r="F85" s="172" t="s">
        <v>826</v>
      </c>
      <c r="G85" s="172" t="s">
        <v>2486</v>
      </c>
      <c r="H85" s="240" t="s">
        <v>45</v>
      </c>
      <c r="I85" s="239" t="s">
        <v>45</v>
      </c>
    </row>
    <row r="86" spans="1:9" ht="15" customHeight="1">
      <c r="A86" s="139">
        <v>41446</v>
      </c>
      <c r="B86" s="213">
        <v>0.35486111111111113</v>
      </c>
      <c r="C86" s="99">
        <v>41577</v>
      </c>
      <c r="D86" s="114">
        <v>0.58958333333333335</v>
      </c>
      <c r="E86" s="172" t="s">
        <v>2555</v>
      </c>
      <c r="F86" s="172" t="s">
        <v>674</v>
      </c>
      <c r="G86" s="172" t="s">
        <v>2139</v>
      </c>
      <c r="H86" s="240" t="s">
        <v>45</v>
      </c>
      <c r="I86" s="239" t="s">
        <v>45</v>
      </c>
    </row>
    <row r="87" spans="1:9" ht="15" customHeight="1">
      <c r="A87" s="139">
        <v>41446</v>
      </c>
      <c r="B87" s="213">
        <v>0.31944444444444448</v>
      </c>
      <c r="C87" s="141">
        <v>41446</v>
      </c>
      <c r="D87" s="213">
        <v>0.50972222222222219</v>
      </c>
      <c r="E87" s="172" t="s">
        <v>2556</v>
      </c>
      <c r="F87" s="172" t="s">
        <v>124</v>
      </c>
      <c r="G87" s="172" t="s">
        <v>2557</v>
      </c>
      <c r="H87" s="240" t="s">
        <v>45</v>
      </c>
      <c r="I87" s="239">
        <v>1100</v>
      </c>
    </row>
    <row r="88" spans="1:9" ht="15" customHeight="1">
      <c r="A88" s="139">
        <v>41446</v>
      </c>
      <c r="B88" s="213">
        <v>0.125</v>
      </c>
      <c r="C88" s="141">
        <v>41451</v>
      </c>
      <c r="D88" s="213">
        <v>0.5</v>
      </c>
      <c r="E88" s="172" t="s">
        <v>675</v>
      </c>
      <c r="F88" s="172" t="s">
        <v>674</v>
      </c>
      <c r="G88" s="172" t="s">
        <v>2558</v>
      </c>
      <c r="H88" s="240" t="s">
        <v>45</v>
      </c>
      <c r="I88" s="239">
        <v>193000</v>
      </c>
    </row>
    <row r="89" spans="1:9" ht="15" customHeight="1">
      <c r="A89" s="139">
        <v>41446</v>
      </c>
      <c r="B89" s="213">
        <v>0.96805555555555556</v>
      </c>
      <c r="C89" s="141">
        <v>41446</v>
      </c>
      <c r="D89" s="213">
        <v>0.96875</v>
      </c>
      <c r="E89" s="172" t="s">
        <v>2559</v>
      </c>
      <c r="F89" s="172" t="s">
        <v>826</v>
      </c>
      <c r="G89" s="172" t="s">
        <v>2560</v>
      </c>
      <c r="H89" s="240" t="s">
        <v>45</v>
      </c>
      <c r="I89" s="239" t="s">
        <v>45</v>
      </c>
    </row>
    <row r="90" spans="1:9" ht="15" customHeight="1">
      <c r="A90" s="139">
        <v>41446</v>
      </c>
      <c r="B90" s="213">
        <v>0.73541666666666661</v>
      </c>
      <c r="C90" s="141">
        <v>41449</v>
      </c>
      <c r="D90" s="213">
        <v>0.25</v>
      </c>
      <c r="E90" s="172" t="s">
        <v>2561</v>
      </c>
      <c r="F90" s="172" t="s">
        <v>674</v>
      </c>
      <c r="G90" s="172" t="s">
        <v>2558</v>
      </c>
      <c r="H90" s="240" t="s">
        <v>45</v>
      </c>
      <c r="I90" s="239">
        <v>400000</v>
      </c>
    </row>
    <row r="91" spans="1:9" ht="15" customHeight="1">
      <c r="A91" s="139">
        <v>41447</v>
      </c>
      <c r="B91" s="213">
        <v>0.67499999999999993</v>
      </c>
      <c r="C91" s="141">
        <v>41447</v>
      </c>
      <c r="D91" s="213">
        <v>0.73958333333333337</v>
      </c>
      <c r="E91" s="172" t="s">
        <v>1955</v>
      </c>
      <c r="F91" s="172" t="s">
        <v>124</v>
      </c>
      <c r="G91" s="172" t="s">
        <v>2150</v>
      </c>
      <c r="H91" s="240" t="s">
        <v>45</v>
      </c>
      <c r="I91" s="239" t="s">
        <v>45</v>
      </c>
    </row>
    <row r="92" spans="1:9" ht="15" customHeight="1">
      <c r="A92" s="139">
        <v>41447</v>
      </c>
      <c r="B92" s="213">
        <v>0.2076388888888889</v>
      </c>
      <c r="C92" s="141">
        <v>41447</v>
      </c>
      <c r="D92" s="213">
        <v>0.89444444444444438</v>
      </c>
      <c r="E92" s="172" t="s">
        <v>2562</v>
      </c>
      <c r="F92" s="172" t="s">
        <v>124</v>
      </c>
      <c r="G92" s="172" t="s">
        <v>2560</v>
      </c>
      <c r="H92" s="240" t="s">
        <v>255</v>
      </c>
      <c r="I92" s="239" t="s">
        <v>255</v>
      </c>
    </row>
    <row r="93" spans="1:9" ht="15" customHeight="1">
      <c r="A93" s="139">
        <v>41448</v>
      </c>
      <c r="B93" s="213">
        <v>0.88888888888888884</v>
      </c>
      <c r="C93" s="141">
        <v>41449</v>
      </c>
      <c r="D93" s="213">
        <v>6.5972222222222224E-2</v>
      </c>
      <c r="E93" s="172" t="s">
        <v>2563</v>
      </c>
      <c r="F93" s="172" t="s">
        <v>124</v>
      </c>
      <c r="G93" s="172" t="s">
        <v>2564</v>
      </c>
      <c r="H93" s="240" t="s">
        <v>45</v>
      </c>
      <c r="I93" s="239">
        <v>148000</v>
      </c>
    </row>
    <row r="94" spans="1:9" ht="15" customHeight="1">
      <c r="A94" s="139">
        <v>41449</v>
      </c>
      <c r="B94" s="213">
        <v>0.8125</v>
      </c>
      <c r="C94" s="141">
        <v>41450</v>
      </c>
      <c r="D94" s="213">
        <v>0.7402777777777777</v>
      </c>
      <c r="E94" s="172" t="s">
        <v>33</v>
      </c>
      <c r="F94" s="172" t="s">
        <v>826</v>
      </c>
      <c r="G94" s="172" t="s">
        <v>2368</v>
      </c>
      <c r="H94" s="240" t="s">
        <v>45</v>
      </c>
      <c r="I94" s="239">
        <v>283451</v>
      </c>
    </row>
    <row r="95" spans="1:9" ht="15" customHeight="1">
      <c r="A95" s="139">
        <v>41449</v>
      </c>
      <c r="B95" s="213">
        <v>0.8125</v>
      </c>
      <c r="C95" s="141">
        <v>41451</v>
      </c>
      <c r="D95" s="213">
        <v>0.70833333333333337</v>
      </c>
      <c r="E95" s="172" t="s">
        <v>1470</v>
      </c>
      <c r="F95" s="172" t="s">
        <v>826</v>
      </c>
      <c r="G95" s="172" t="s">
        <v>2368</v>
      </c>
      <c r="H95" s="240" t="s">
        <v>45</v>
      </c>
      <c r="I95" s="239">
        <v>86615</v>
      </c>
    </row>
    <row r="96" spans="1:9" ht="15" customHeight="1">
      <c r="A96" s="139">
        <v>41452</v>
      </c>
      <c r="B96" s="213">
        <v>0.70833333333333337</v>
      </c>
      <c r="C96" s="141">
        <v>41453</v>
      </c>
      <c r="D96" s="213">
        <v>0</v>
      </c>
      <c r="E96" s="172" t="s">
        <v>2565</v>
      </c>
      <c r="F96" s="172" t="s">
        <v>826</v>
      </c>
      <c r="G96" s="172" t="s">
        <v>2368</v>
      </c>
      <c r="H96" s="240" t="s">
        <v>45</v>
      </c>
      <c r="I96" s="239">
        <v>138000</v>
      </c>
    </row>
    <row r="97" spans="1:9" ht="15" customHeight="1">
      <c r="A97" s="139">
        <v>41452</v>
      </c>
      <c r="B97" s="213">
        <v>4.8611111111111112E-2</v>
      </c>
      <c r="C97" s="141">
        <v>41452</v>
      </c>
      <c r="D97" s="213">
        <v>0.11458333333333333</v>
      </c>
      <c r="E97" s="172" t="s">
        <v>2566</v>
      </c>
      <c r="F97" s="172" t="s">
        <v>826</v>
      </c>
      <c r="G97" s="172" t="s">
        <v>2560</v>
      </c>
      <c r="H97" s="240" t="s">
        <v>45</v>
      </c>
      <c r="I97" s="239" t="s">
        <v>45</v>
      </c>
    </row>
    <row r="98" spans="1:9" s="127" customFormat="1" ht="20.100000000000001" customHeight="1">
      <c r="A98" s="139">
        <v>41453</v>
      </c>
      <c r="B98" s="213">
        <v>0.75138888888888899</v>
      </c>
      <c r="C98" s="141">
        <v>41453</v>
      </c>
      <c r="D98" s="213">
        <v>0.8652777777777777</v>
      </c>
      <c r="E98" s="172" t="s">
        <v>2567</v>
      </c>
      <c r="F98" s="172" t="s">
        <v>124</v>
      </c>
      <c r="G98" s="172" t="s">
        <v>2568</v>
      </c>
      <c r="H98" s="240">
        <v>240</v>
      </c>
      <c r="I98" s="239">
        <v>65255</v>
      </c>
    </row>
    <row r="99" spans="1:9" s="127" customFormat="1" ht="15" customHeight="1">
      <c r="A99" s="139">
        <v>41453</v>
      </c>
      <c r="B99" s="213">
        <v>0.54166666666666663</v>
      </c>
      <c r="C99" s="141">
        <v>41453</v>
      </c>
      <c r="D99" s="213">
        <v>0.54236111111111118</v>
      </c>
      <c r="E99" s="172" t="s">
        <v>2245</v>
      </c>
      <c r="F99" s="172" t="s">
        <v>61</v>
      </c>
      <c r="G99" s="172" t="s">
        <v>2560</v>
      </c>
      <c r="H99" s="240" t="s">
        <v>45</v>
      </c>
      <c r="I99" s="239" t="s">
        <v>45</v>
      </c>
    </row>
    <row r="100" spans="1:9" s="127" customFormat="1" ht="15" customHeight="1" thickBot="1">
      <c r="A100" s="253">
        <v>41453</v>
      </c>
      <c r="B100" s="254">
        <v>0.71805555555555556</v>
      </c>
      <c r="C100" s="255">
        <v>41453</v>
      </c>
      <c r="D100" s="254">
        <v>0.71875</v>
      </c>
      <c r="E100" s="256" t="s">
        <v>2559</v>
      </c>
      <c r="F100" s="256" t="s">
        <v>826</v>
      </c>
      <c r="G100" s="256" t="s">
        <v>2560</v>
      </c>
      <c r="H100" s="263" t="s">
        <v>45</v>
      </c>
      <c r="I100" s="257" t="s">
        <v>45</v>
      </c>
    </row>
    <row r="101" spans="1:9" s="135" customFormat="1" ht="15" hidden="1" customHeight="1">
      <c r="A101" s="839" t="s">
        <v>26</v>
      </c>
      <c r="B101" s="843"/>
      <c r="C101" s="264"/>
      <c r="D101" s="265"/>
      <c r="E101" s="264"/>
      <c r="F101" s="264"/>
      <c r="G101" s="264"/>
      <c r="H101" s="266"/>
      <c r="I101" s="267"/>
    </row>
    <row r="102" spans="1:9" s="127" customFormat="1" ht="9">
      <c r="A102" s="139">
        <v>41457</v>
      </c>
      <c r="B102" s="213">
        <v>0.59722222222222221</v>
      </c>
      <c r="C102" s="141">
        <v>41460</v>
      </c>
      <c r="D102" s="213">
        <v>0.64583333333333337</v>
      </c>
      <c r="E102" s="172" t="s">
        <v>2418</v>
      </c>
      <c r="F102" s="172" t="s">
        <v>124</v>
      </c>
      <c r="G102" s="172" t="s">
        <v>2569</v>
      </c>
      <c r="H102" s="172">
        <v>200</v>
      </c>
      <c r="I102" s="239" t="s">
        <v>45</v>
      </c>
    </row>
    <row r="103" spans="1:9" s="127" customFormat="1" ht="15" customHeight="1">
      <c r="A103" s="139">
        <v>41458</v>
      </c>
      <c r="B103" s="213">
        <v>0.39861111111111108</v>
      </c>
      <c r="C103" s="141">
        <v>41458</v>
      </c>
      <c r="D103" s="213">
        <v>0.45277777777777778</v>
      </c>
      <c r="E103" s="172" t="s">
        <v>2570</v>
      </c>
      <c r="F103" s="172" t="s">
        <v>124</v>
      </c>
      <c r="G103" s="172" t="s">
        <v>2150</v>
      </c>
      <c r="H103" s="172">
        <v>0</v>
      </c>
      <c r="I103" s="239">
        <v>0</v>
      </c>
    </row>
    <row r="104" spans="1:9" s="127" customFormat="1" ht="18">
      <c r="A104" s="139">
        <v>41458</v>
      </c>
      <c r="B104" s="213">
        <v>0.50277777777777777</v>
      </c>
      <c r="C104" s="141">
        <v>41458</v>
      </c>
      <c r="D104" s="213">
        <v>0.53333333333333333</v>
      </c>
      <c r="E104" s="172" t="s">
        <v>2571</v>
      </c>
      <c r="F104" s="172" t="s">
        <v>255</v>
      </c>
      <c r="G104" s="172" t="s">
        <v>2572</v>
      </c>
      <c r="H104" s="172">
        <v>480</v>
      </c>
      <c r="I104" s="239">
        <v>393000</v>
      </c>
    </row>
    <row r="105" spans="1:9" s="127" customFormat="1" ht="15" customHeight="1">
      <c r="A105" s="139">
        <v>41460</v>
      </c>
      <c r="B105" s="213">
        <v>3.472222222222222E-3</v>
      </c>
      <c r="C105" s="141">
        <v>41460</v>
      </c>
      <c r="D105" s="213">
        <v>7.7083333333333337E-2</v>
      </c>
      <c r="E105" s="172" t="s">
        <v>18</v>
      </c>
      <c r="F105" s="172" t="s">
        <v>124</v>
      </c>
      <c r="G105" s="172" t="s">
        <v>2444</v>
      </c>
      <c r="H105" s="172" t="s">
        <v>45</v>
      </c>
      <c r="I105" s="239">
        <v>2500</v>
      </c>
    </row>
    <row r="106" spans="1:9" s="127" customFormat="1" ht="15" customHeight="1">
      <c r="A106" s="139">
        <v>41465</v>
      </c>
      <c r="B106" s="213">
        <v>0.60416666666666663</v>
      </c>
      <c r="C106" s="141">
        <v>41465</v>
      </c>
      <c r="D106" s="213">
        <v>0.61458333333333337</v>
      </c>
      <c r="E106" s="172" t="s">
        <v>517</v>
      </c>
      <c r="F106" s="172" t="s">
        <v>61</v>
      </c>
      <c r="G106" s="172" t="s">
        <v>2573</v>
      </c>
      <c r="H106" s="172">
        <v>0</v>
      </c>
      <c r="I106" s="239">
        <v>0</v>
      </c>
    </row>
    <row r="107" spans="1:9" s="127" customFormat="1" ht="15" customHeight="1">
      <c r="A107" s="139">
        <v>41465</v>
      </c>
      <c r="B107" s="213">
        <v>0.72916666666666663</v>
      </c>
      <c r="C107" s="141">
        <v>41466</v>
      </c>
      <c r="D107" s="213">
        <v>0.83333333333333337</v>
      </c>
      <c r="E107" s="172" t="s">
        <v>2574</v>
      </c>
      <c r="F107" s="172" t="s">
        <v>826</v>
      </c>
      <c r="G107" s="172" t="s">
        <v>2368</v>
      </c>
      <c r="H107" s="172" t="s">
        <v>255</v>
      </c>
      <c r="I107" s="239">
        <v>122314</v>
      </c>
    </row>
    <row r="108" spans="1:9" s="127" customFormat="1" ht="15" customHeight="1">
      <c r="A108" s="139">
        <v>41466</v>
      </c>
      <c r="B108" s="213">
        <v>0.97222222222222221</v>
      </c>
      <c r="C108" s="141">
        <v>41469</v>
      </c>
      <c r="D108" s="213">
        <v>0.64027777777777783</v>
      </c>
      <c r="E108" s="172" t="s">
        <v>24</v>
      </c>
      <c r="F108" s="172" t="s">
        <v>124</v>
      </c>
      <c r="G108" s="172" t="s">
        <v>2444</v>
      </c>
      <c r="H108" s="172">
        <v>455</v>
      </c>
      <c r="I108" s="239" t="s">
        <v>45</v>
      </c>
    </row>
    <row r="109" spans="1:9" s="127" customFormat="1" ht="15" customHeight="1">
      <c r="A109" s="139">
        <v>41467</v>
      </c>
      <c r="B109" s="213">
        <v>0.41666666666666669</v>
      </c>
      <c r="C109" s="141">
        <v>41467</v>
      </c>
      <c r="D109" s="213">
        <v>0.41736111111111113</v>
      </c>
      <c r="E109" s="172" t="s">
        <v>2575</v>
      </c>
      <c r="F109" s="172" t="s">
        <v>124</v>
      </c>
      <c r="G109" s="172" t="s">
        <v>2444</v>
      </c>
      <c r="H109" s="172" t="s">
        <v>45</v>
      </c>
      <c r="I109" s="239" t="s">
        <v>45</v>
      </c>
    </row>
    <row r="110" spans="1:9" s="127" customFormat="1" ht="18">
      <c r="A110" s="139">
        <v>41472</v>
      </c>
      <c r="B110" s="213">
        <v>0.64583333333333337</v>
      </c>
      <c r="C110" s="141">
        <v>41474</v>
      </c>
      <c r="D110" s="213">
        <v>0.28125</v>
      </c>
      <c r="E110" s="172" t="s">
        <v>2576</v>
      </c>
      <c r="F110" s="172" t="s">
        <v>61</v>
      </c>
      <c r="G110" s="172" t="s">
        <v>2577</v>
      </c>
      <c r="H110" s="172">
        <v>417</v>
      </c>
      <c r="I110" s="239" t="s">
        <v>45</v>
      </c>
    </row>
    <row r="111" spans="1:9" s="127" customFormat="1" ht="15" customHeight="1">
      <c r="A111" s="139">
        <v>41473</v>
      </c>
      <c r="B111" s="213">
        <v>0.13541666666666666</v>
      </c>
      <c r="C111" s="141">
        <v>41473</v>
      </c>
      <c r="D111" s="213">
        <v>0.16597222222222222</v>
      </c>
      <c r="E111" s="172" t="s">
        <v>1320</v>
      </c>
      <c r="F111" s="172" t="s">
        <v>124</v>
      </c>
      <c r="G111" s="172" t="s">
        <v>2578</v>
      </c>
      <c r="H111" s="172" t="s">
        <v>255</v>
      </c>
      <c r="I111" s="239" t="s">
        <v>255</v>
      </c>
    </row>
    <row r="112" spans="1:9" s="127" customFormat="1" ht="15" customHeight="1">
      <c r="A112" s="139">
        <v>41473</v>
      </c>
      <c r="B112" s="213">
        <v>0.47916666666666669</v>
      </c>
      <c r="C112" s="141">
        <v>41474</v>
      </c>
      <c r="D112" s="213">
        <v>0.72916666666666663</v>
      </c>
      <c r="E112" s="172" t="s">
        <v>89</v>
      </c>
      <c r="F112" s="172" t="s">
        <v>61</v>
      </c>
      <c r="G112" s="172" t="s">
        <v>2579</v>
      </c>
      <c r="H112" s="172" t="s">
        <v>45</v>
      </c>
      <c r="I112" s="239" t="s">
        <v>45</v>
      </c>
    </row>
    <row r="113" spans="1:9" s="127" customFormat="1" ht="15" customHeight="1">
      <c r="A113" s="139">
        <v>41473</v>
      </c>
      <c r="B113" s="213">
        <v>0.98958333333333337</v>
      </c>
      <c r="C113" s="141">
        <v>41474</v>
      </c>
      <c r="D113" s="213">
        <v>0.4201388888888889</v>
      </c>
      <c r="E113" s="172" t="s">
        <v>2580</v>
      </c>
      <c r="F113" s="172" t="s">
        <v>124</v>
      </c>
      <c r="G113" s="172" t="s">
        <v>2568</v>
      </c>
      <c r="H113" s="172">
        <v>200</v>
      </c>
      <c r="I113" s="239">
        <v>123000</v>
      </c>
    </row>
    <row r="114" spans="1:9" s="127" customFormat="1" ht="15" customHeight="1">
      <c r="A114" s="139">
        <v>41474</v>
      </c>
      <c r="B114" s="213">
        <v>0.75</v>
      </c>
      <c r="C114" s="141">
        <v>41475</v>
      </c>
      <c r="D114" s="213">
        <v>0.375</v>
      </c>
      <c r="E114" s="172" t="s">
        <v>1833</v>
      </c>
      <c r="F114" s="172" t="s">
        <v>826</v>
      </c>
      <c r="G114" s="172" t="s">
        <v>2368</v>
      </c>
      <c r="H114" s="172" t="s">
        <v>45</v>
      </c>
      <c r="I114" s="239">
        <v>156627</v>
      </c>
    </row>
    <row r="115" spans="1:9" s="127" customFormat="1" ht="9">
      <c r="A115" s="139">
        <v>41474</v>
      </c>
      <c r="B115" s="213">
        <v>0.9375</v>
      </c>
      <c r="C115" s="141">
        <v>41476</v>
      </c>
      <c r="D115" s="213">
        <v>0.83333333333333337</v>
      </c>
      <c r="E115" s="172" t="s">
        <v>30</v>
      </c>
      <c r="F115" s="172" t="s">
        <v>61</v>
      </c>
      <c r="G115" s="172" t="s">
        <v>2368</v>
      </c>
      <c r="H115" s="172" t="s">
        <v>45</v>
      </c>
      <c r="I115" s="239">
        <v>74300</v>
      </c>
    </row>
    <row r="116" spans="1:9" s="127" customFormat="1" ht="15" customHeight="1">
      <c r="A116" s="139">
        <v>41477</v>
      </c>
      <c r="B116" s="213">
        <v>0.29166666666666669</v>
      </c>
      <c r="C116" s="141">
        <v>41477</v>
      </c>
      <c r="D116" s="213">
        <v>0.625</v>
      </c>
      <c r="E116" s="172" t="s">
        <v>18</v>
      </c>
      <c r="F116" s="172" t="s">
        <v>124</v>
      </c>
      <c r="G116" s="172" t="s">
        <v>2444</v>
      </c>
      <c r="H116" s="172" t="s">
        <v>45</v>
      </c>
      <c r="I116" s="239" t="s">
        <v>45</v>
      </c>
    </row>
    <row r="117" spans="1:9" s="127" customFormat="1" ht="15" customHeight="1">
      <c r="A117" s="139">
        <v>41478</v>
      </c>
      <c r="B117" s="213">
        <v>0.98472222222222217</v>
      </c>
      <c r="C117" s="141">
        <v>41480</v>
      </c>
      <c r="D117" s="213">
        <v>0.1875</v>
      </c>
      <c r="E117" s="172" t="s">
        <v>437</v>
      </c>
      <c r="F117" s="172" t="s">
        <v>58</v>
      </c>
      <c r="G117" s="172" t="s">
        <v>2368</v>
      </c>
      <c r="H117" s="172">
        <v>500</v>
      </c>
      <c r="I117" s="239">
        <v>92748</v>
      </c>
    </row>
    <row r="118" spans="1:9" s="127" customFormat="1" ht="18">
      <c r="A118" s="139">
        <v>41480</v>
      </c>
      <c r="B118" s="213">
        <v>0.54861111111111105</v>
      </c>
      <c r="C118" s="141">
        <v>41480</v>
      </c>
      <c r="D118" s="213">
        <v>0.55208333333333337</v>
      </c>
      <c r="E118" s="172" t="s">
        <v>2581</v>
      </c>
      <c r="F118" s="172" t="s">
        <v>124</v>
      </c>
      <c r="G118" s="172" t="s">
        <v>2444</v>
      </c>
      <c r="H118" s="172" t="s">
        <v>255</v>
      </c>
      <c r="I118" s="239" t="s">
        <v>255</v>
      </c>
    </row>
    <row r="119" spans="1:9" s="135" customFormat="1" ht="15" hidden="1" customHeight="1">
      <c r="A119" s="839" t="s">
        <v>32</v>
      </c>
      <c r="B119" s="843"/>
      <c r="C119" s="264"/>
      <c r="D119" s="265"/>
      <c r="E119" s="264"/>
      <c r="F119" s="264"/>
      <c r="G119" s="264"/>
      <c r="H119" s="266"/>
      <c r="I119" s="267"/>
    </row>
    <row r="120" spans="1:9" ht="15" customHeight="1">
      <c r="A120" s="139">
        <v>41487</v>
      </c>
      <c r="B120" s="213">
        <v>0.45833333333333331</v>
      </c>
      <c r="C120" s="141">
        <v>41487</v>
      </c>
      <c r="D120" s="213">
        <v>0.66666666666666663</v>
      </c>
      <c r="E120" s="142" t="s">
        <v>2582</v>
      </c>
      <c r="F120" s="142" t="s">
        <v>61</v>
      </c>
      <c r="G120" s="142" t="s">
        <v>2573</v>
      </c>
      <c r="H120" s="240" t="s">
        <v>255</v>
      </c>
      <c r="I120" s="239" t="s">
        <v>255</v>
      </c>
    </row>
    <row r="121" spans="1:9" ht="18">
      <c r="A121" s="139">
        <v>41487</v>
      </c>
      <c r="B121" s="213">
        <v>0.78749999999999998</v>
      </c>
      <c r="C121" s="141">
        <v>41487</v>
      </c>
      <c r="D121" s="213">
        <v>0.81736111111111109</v>
      </c>
      <c r="E121" s="142" t="s">
        <v>2583</v>
      </c>
      <c r="F121" s="142" t="s">
        <v>124</v>
      </c>
      <c r="G121" s="142" t="s">
        <v>2584</v>
      </c>
      <c r="H121" s="240">
        <v>420</v>
      </c>
      <c r="I121" s="239" t="s">
        <v>45</v>
      </c>
    </row>
    <row r="122" spans="1:9">
      <c r="A122" s="139">
        <v>41487</v>
      </c>
      <c r="B122" s="213">
        <v>0.97152777777777777</v>
      </c>
      <c r="C122" s="141">
        <v>41488</v>
      </c>
      <c r="D122" s="213">
        <v>3.4027777777777775E-2</v>
      </c>
      <c r="E122" s="142" t="s">
        <v>2585</v>
      </c>
      <c r="F122" s="142" t="s">
        <v>301</v>
      </c>
      <c r="G122" s="142" t="s">
        <v>2586</v>
      </c>
      <c r="H122" s="240">
        <v>297</v>
      </c>
      <c r="I122" s="239">
        <v>104498</v>
      </c>
    </row>
    <row r="123" spans="1:9">
      <c r="A123" s="139">
        <v>41490</v>
      </c>
      <c r="B123" s="213">
        <v>0.125</v>
      </c>
      <c r="C123" s="141">
        <v>41490</v>
      </c>
      <c r="D123" s="213">
        <v>0.16666666666666666</v>
      </c>
      <c r="E123" s="142" t="s">
        <v>1320</v>
      </c>
      <c r="F123" s="142" t="s">
        <v>124</v>
      </c>
      <c r="G123" s="142" t="s">
        <v>2444</v>
      </c>
      <c r="H123" s="240" t="s">
        <v>255</v>
      </c>
      <c r="I123" s="239" t="s">
        <v>255</v>
      </c>
    </row>
    <row r="124" spans="1:9" ht="18">
      <c r="A124" s="139">
        <v>41491</v>
      </c>
      <c r="B124" s="213">
        <v>0.77430555555555547</v>
      </c>
      <c r="C124" s="141">
        <v>41491</v>
      </c>
      <c r="D124" s="213">
        <v>0.78125</v>
      </c>
      <c r="E124" s="142" t="s">
        <v>2587</v>
      </c>
      <c r="F124" s="142" t="s">
        <v>124</v>
      </c>
      <c r="G124" s="142" t="s">
        <v>2588</v>
      </c>
      <c r="H124" s="240" t="s">
        <v>45</v>
      </c>
      <c r="I124" s="239" t="s">
        <v>45</v>
      </c>
    </row>
    <row r="125" spans="1:9" ht="18">
      <c r="A125" s="139">
        <v>41492</v>
      </c>
      <c r="B125" s="213">
        <v>0.66666666666666663</v>
      </c>
      <c r="C125" s="141">
        <v>41492</v>
      </c>
      <c r="D125" s="213">
        <v>0.73055555555555562</v>
      </c>
      <c r="E125" s="142" t="s">
        <v>2589</v>
      </c>
      <c r="F125" s="142" t="s">
        <v>124</v>
      </c>
      <c r="G125" s="142" t="s">
        <v>2486</v>
      </c>
      <c r="H125" s="240" t="s">
        <v>45</v>
      </c>
      <c r="I125" s="239" t="s">
        <v>45</v>
      </c>
    </row>
    <row r="126" spans="1:9" ht="18">
      <c r="A126" s="139">
        <v>41493</v>
      </c>
      <c r="B126" s="213">
        <v>0.3125</v>
      </c>
      <c r="C126" s="141">
        <v>41493</v>
      </c>
      <c r="D126" s="213">
        <v>0.38472222222222219</v>
      </c>
      <c r="E126" s="142" t="s">
        <v>2590</v>
      </c>
      <c r="F126" s="142" t="s">
        <v>674</v>
      </c>
      <c r="G126" s="142" t="s">
        <v>2591</v>
      </c>
      <c r="H126" s="240" t="s">
        <v>45</v>
      </c>
      <c r="I126" s="239" t="s">
        <v>45</v>
      </c>
    </row>
    <row r="127" spans="1:9">
      <c r="A127" s="139">
        <v>41493</v>
      </c>
      <c r="B127" s="213">
        <v>0.60416666666666663</v>
      </c>
      <c r="C127" s="141">
        <v>41494</v>
      </c>
      <c r="D127" s="213">
        <v>0.54166666666666663</v>
      </c>
      <c r="E127" s="142" t="s">
        <v>2592</v>
      </c>
      <c r="F127" s="142" t="s">
        <v>124</v>
      </c>
      <c r="G127" s="142" t="s">
        <v>2486</v>
      </c>
      <c r="H127" s="240" t="s">
        <v>45</v>
      </c>
      <c r="I127" s="239" t="s">
        <v>45</v>
      </c>
    </row>
    <row r="128" spans="1:9">
      <c r="A128" s="139">
        <v>41493</v>
      </c>
      <c r="B128" s="213">
        <v>1.0416666666666666E-2</v>
      </c>
      <c r="C128" s="141">
        <v>41493</v>
      </c>
      <c r="D128" s="213">
        <v>0.89374999999999993</v>
      </c>
      <c r="E128" s="142" t="s">
        <v>2593</v>
      </c>
      <c r="F128" s="142" t="s">
        <v>674</v>
      </c>
      <c r="G128" s="142" t="s">
        <v>2368</v>
      </c>
      <c r="H128" s="240">
        <v>220</v>
      </c>
      <c r="I128" s="239">
        <v>51160</v>
      </c>
    </row>
    <row r="129" spans="1:9">
      <c r="A129" s="139">
        <v>41498</v>
      </c>
      <c r="B129" s="213">
        <v>0.49652777777777773</v>
      </c>
      <c r="C129" s="141">
        <v>41498</v>
      </c>
      <c r="D129" s="213">
        <v>0.4993055555555555</v>
      </c>
      <c r="E129" s="142" t="s">
        <v>2531</v>
      </c>
      <c r="F129" s="142" t="s">
        <v>124</v>
      </c>
      <c r="G129" s="142" t="s">
        <v>2118</v>
      </c>
      <c r="H129" s="240" t="s">
        <v>45</v>
      </c>
      <c r="I129" s="239" t="s">
        <v>45</v>
      </c>
    </row>
    <row r="130" spans="1:9">
      <c r="A130" s="139">
        <v>41502</v>
      </c>
      <c r="B130" s="213">
        <v>0.70694444444444438</v>
      </c>
      <c r="C130" s="141">
        <v>41503</v>
      </c>
      <c r="D130" s="213">
        <v>0.99861111111111101</v>
      </c>
      <c r="E130" s="142" t="s">
        <v>2594</v>
      </c>
      <c r="F130" s="142" t="s">
        <v>1352</v>
      </c>
      <c r="G130" s="142" t="s">
        <v>2368</v>
      </c>
      <c r="H130" s="240" t="s">
        <v>45</v>
      </c>
      <c r="I130" s="239">
        <v>219681</v>
      </c>
    </row>
    <row r="131" spans="1:9">
      <c r="A131" s="139">
        <v>41505</v>
      </c>
      <c r="B131" s="213">
        <v>0.79583333333333339</v>
      </c>
      <c r="C131" s="141">
        <v>41506</v>
      </c>
      <c r="D131" s="213">
        <v>0.25138888888888888</v>
      </c>
      <c r="E131" s="142" t="s">
        <v>1922</v>
      </c>
      <c r="F131" s="142" t="s">
        <v>124</v>
      </c>
      <c r="G131" s="142" t="s">
        <v>2595</v>
      </c>
      <c r="H131" s="240">
        <v>685</v>
      </c>
      <c r="I131" s="239">
        <v>124000</v>
      </c>
    </row>
    <row r="132" spans="1:9">
      <c r="A132" s="139">
        <v>41507</v>
      </c>
      <c r="B132" s="213">
        <v>0.58333333333333337</v>
      </c>
      <c r="C132" s="141">
        <v>41507</v>
      </c>
      <c r="D132" s="213">
        <v>0.58402777777777781</v>
      </c>
      <c r="E132" s="142" t="s">
        <v>2596</v>
      </c>
      <c r="F132" s="142" t="s">
        <v>63</v>
      </c>
      <c r="G132" s="142" t="s">
        <v>2597</v>
      </c>
      <c r="H132" s="240" t="s">
        <v>255</v>
      </c>
      <c r="I132" s="239" t="s">
        <v>255</v>
      </c>
    </row>
    <row r="133" spans="1:9">
      <c r="A133" s="139">
        <v>41508</v>
      </c>
      <c r="B133" s="213">
        <v>0.3611111111111111</v>
      </c>
      <c r="C133" s="141">
        <v>41508</v>
      </c>
      <c r="D133" s="213">
        <v>0.49236111111111108</v>
      </c>
      <c r="E133" s="142" t="s">
        <v>2598</v>
      </c>
      <c r="F133" s="142" t="s">
        <v>124</v>
      </c>
      <c r="G133" s="142" t="s">
        <v>2597</v>
      </c>
      <c r="H133" s="240" t="s">
        <v>255</v>
      </c>
      <c r="I133" s="239" t="s">
        <v>255</v>
      </c>
    </row>
    <row r="134" spans="1:9">
      <c r="A134" s="139">
        <v>41508</v>
      </c>
      <c r="B134" s="213">
        <v>0.53819444444444442</v>
      </c>
      <c r="C134" s="141">
        <v>41508</v>
      </c>
      <c r="D134" s="213">
        <v>0.61458333333333337</v>
      </c>
      <c r="E134" s="142" t="s">
        <v>2367</v>
      </c>
      <c r="F134" s="142" t="s">
        <v>826</v>
      </c>
      <c r="G134" s="142" t="s">
        <v>2486</v>
      </c>
      <c r="H134" s="240" t="s">
        <v>45</v>
      </c>
      <c r="I134" s="239" t="s">
        <v>45</v>
      </c>
    </row>
    <row r="135" spans="1:9">
      <c r="A135" s="139">
        <v>41509</v>
      </c>
      <c r="B135" s="213">
        <v>0.3125</v>
      </c>
      <c r="C135" s="141">
        <v>41509</v>
      </c>
      <c r="D135" s="213">
        <v>0.31319444444444444</v>
      </c>
      <c r="E135" s="142" t="s">
        <v>2367</v>
      </c>
      <c r="F135" s="142" t="s">
        <v>826</v>
      </c>
      <c r="G135" s="142" t="s">
        <v>2486</v>
      </c>
      <c r="H135" s="240" t="s">
        <v>45</v>
      </c>
      <c r="I135" s="239" t="s">
        <v>255</v>
      </c>
    </row>
    <row r="136" spans="1:9">
      <c r="A136" s="139">
        <v>41512</v>
      </c>
      <c r="B136" s="213">
        <v>0.84375</v>
      </c>
      <c r="C136" s="141">
        <v>41512</v>
      </c>
      <c r="D136" s="213">
        <v>0.84444444444444444</v>
      </c>
      <c r="E136" s="142" t="s">
        <v>2599</v>
      </c>
      <c r="F136" s="142" t="s">
        <v>124</v>
      </c>
      <c r="G136" s="142" t="s">
        <v>2486</v>
      </c>
      <c r="H136" s="240" t="s">
        <v>45</v>
      </c>
      <c r="I136" s="239" t="s">
        <v>45</v>
      </c>
    </row>
    <row r="137" spans="1:9">
      <c r="A137" s="139">
        <v>41514</v>
      </c>
      <c r="B137" s="213">
        <v>0.39583333333333331</v>
      </c>
      <c r="C137" s="141">
        <v>41514</v>
      </c>
      <c r="D137" s="213">
        <v>0.39652777777777781</v>
      </c>
      <c r="E137" s="142" t="s">
        <v>2600</v>
      </c>
      <c r="F137" s="142" t="s">
        <v>124</v>
      </c>
      <c r="G137" s="142" t="s">
        <v>2486</v>
      </c>
      <c r="H137" s="240" t="s">
        <v>255</v>
      </c>
      <c r="I137" s="239" t="s">
        <v>255</v>
      </c>
    </row>
    <row r="138" spans="1:9" ht="18">
      <c r="A138" s="139">
        <v>41515</v>
      </c>
      <c r="B138" s="213">
        <v>0.62291666666666667</v>
      </c>
      <c r="C138" s="141">
        <v>41515</v>
      </c>
      <c r="D138" s="213">
        <v>0.64513888888888882</v>
      </c>
      <c r="E138" s="142" t="s">
        <v>2601</v>
      </c>
      <c r="F138" s="142" t="s">
        <v>674</v>
      </c>
      <c r="G138" s="142" t="s">
        <v>2588</v>
      </c>
      <c r="H138" s="240">
        <v>15</v>
      </c>
      <c r="I138" s="239">
        <v>7000</v>
      </c>
    </row>
    <row r="139" spans="1:9">
      <c r="A139" s="139">
        <v>41515</v>
      </c>
      <c r="B139" s="213">
        <v>0.40972222222222227</v>
      </c>
      <c r="C139" s="141">
        <v>41515</v>
      </c>
      <c r="D139" s="213">
        <v>0.40972222222222227</v>
      </c>
      <c r="E139" s="142" t="s">
        <v>2602</v>
      </c>
      <c r="F139" s="142" t="s">
        <v>255</v>
      </c>
      <c r="G139" s="142" t="s">
        <v>2486</v>
      </c>
      <c r="H139" s="240" t="s">
        <v>45</v>
      </c>
      <c r="I139" s="239" t="s">
        <v>45</v>
      </c>
    </row>
    <row r="140" spans="1:9" ht="15" customHeight="1" thickBot="1">
      <c r="A140" s="253">
        <v>41516</v>
      </c>
      <c r="B140" s="254">
        <v>0.8125</v>
      </c>
      <c r="C140" s="255">
        <v>41517</v>
      </c>
      <c r="D140" s="254">
        <v>6.25E-2</v>
      </c>
      <c r="E140" s="236" t="s">
        <v>2603</v>
      </c>
      <c r="F140" s="236" t="s">
        <v>826</v>
      </c>
      <c r="G140" s="236" t="s">
        <v>2368</v>
      </c>
      <c r="H140" s="263" t="s">
        <v>45</v>
      </c>
      <c r="I140" s="257">
        <v>157000</v>
      </c>
    </row>
    <row r="141" spans="1:9" s="115" customFormat="1" ht="15" hidden="1" customHeight="1">
      <c r="A141" s="839" t="s">
        <v>219</v>
      </c>
      <c r="B141" s="840"/>
      <c r="C141" s="264"/>
      <c r="D141" s="265"/>
      <c r="E141" s="264"/>
      <c r="F141" s="264"/>
      <c r="G141" s="264"/>
      <c r="H141" s="266"/>
      <c r="I141" s="267"/>
    </row>
    <row r="142" spans="1:9" s="268" customFormat="1" ht="15" customHeight="1">
      <c r="A142" s="139">
        <v>41527</v>
      </c>
      <c r="B142" s="213">
        <v>0.73749999999999993</v>
      </c>
      <c r="C142" s="141">
        <v>41528</v>
      </c>
      <c r="D142" s="213">
        <v>1.3888888888888889E-3</v>
      </c>
      <c r="E142" s="142" t="s">
        <v>2604</v>
      </c>
      <c r="F142" s="142" t="s">
        <v>826</v>
      </c>
      <c r="G142" s="142" t="s">
        <v>2605</v>
      </c>
      <c r="H142" s="144">
        <v>105</v>
      </c>
      <c r="I142" s="145" t="s">
        <v>45</v>
      </c>
    </row>
    <row r="143" spans="1:9" s="268" customFormat="1" ht="15" customHeight="1">
      <c r="A143" s="139">
        <v>41528</v>
      </c>
      <c r="B143" s="213">
        <v>0.66666666666666663</v>
      </c>
      <c r="C143" s="141">
        <v>41532</v>
      </c>
      <c r="D143" s="213">
        <v>0.66666666666666663</v>
      </c>
      <c r="E143" s="142" t="s">
        <v>268</v>
      </c>
      <c r="F143" s="142" t="s">
        <v>826</v>
      </c>
      <c r="G143" s="142" t="s">
        <v>2368</v>
      </c>
      <c r="H143" s="144">
        <v>400</v>
      </c>
      <c r="I143" s="145">
        <v>75000</v>
      </c>
    </row>
    <row r="144" spans="1:9" s="268" customFormat="1" ht="15" customHeight="1">
      <c r="A144" s="139">
        <v>41546</v>
      </c>
      <c r="B144" s="213">
        <v>0</v>
      </c>
      <c r="C144" s="141">
        <v>41546</v>
      </c>
      <c r="D144" s="213">
        <v>4.1666666666666664E-2</v>
      </c>
      <c r="E144" s="142" t="s">
        <v>2606</v>
      </c>
      <c r="F144" s="142" t="s">
        <v>63</v>
      </c>
      <c r="G144" s="142" t="s">
        <v>2597</v>
      </c>
      <c r="H144" s="144" t="s">
        <v>45</v>
      </c>
      <c r="I144" s="145" t="s">
        <v>45</v>
      </c>
    </row>
    <row r="145" spans="1:9" ht="15" hidden="1" customHeight="1">
      <c r="A145" s="839" t="s">
        <v>35</v>
      </c>
      <c r="B145" s="840"/>
      <c r="C145" s="264"/>
      <c r="D145" s="265"/>
      <c r="E145" s="264"/>
      <c r="F145" s="264"/>
      <c r="G145" s="264"/>
      <c r="H145" s="266"/>
      <c r="I145" s="267"/>
    </row>
    <row r="146" spans="1:9" ht="15" customHeight="1">
      <c r="A146" s="139">
        <v>41553</v>
      </c>
      <c r="B146" s="213">
        <v>0.30902777777777779</v>
      </c>
      <c r="C146" s="141">
        <v>41553</v>
      </c>
      <c r="D146" s="213">
        <v>0.38541666666666669</v>
      </c>
      <c r="E146" s="142" t="s">
        <v>2607</v>
      </c>
      <c r="F146" s="142" t="s">
        <v>58</v>
      </c>
      <c r="G146" s="142" t="s">
        <v>2202</v>
      </c>
      <c r="H146" s="172" t="s">
        <v>45</v>
      </c>
      <c r="I146" s="239">
        <v>9200</v>
      </c>
    </row>
    <row r="147" spans="1:9" ht="15" customHeight="1">
      <c r="A147" s="269">
        <v>41558</v>
      </c>
      <c r="B147" s="270">
        <v>0.60416666666666663</v>
      </c>
      <c r="C147" s="271">
        <v>41558</v>
      </c>
      <c r="D147" s="270">
        <v>0.77083333333333337</v>
      </c>
      <c r="E147" s="272" t="s">
        <v>2608</v>
      </c>
      <c r="F147" s="272" t="s">
        <v>63</v>
      </c>
      <c r="G147" s="272" t="s">
        <v>2202</v>
      </c>
      <c r="H147" s="273" t="s">
        <v>45</v>
      </c>
      <c r="I147" s="274" t="s">
        <v>45</v>
      </c>
    </row>
    <row r="148" spans="1:9" ht="20.100000000000001" customHeight="1">
      <c r="A148" s="139">
        <v>41563</v>
      </c>
      <c r="B148" s="213">
        <v>0.46875</v>
      </c>
      <c r="C148" s="141">
        <v>41563</v>
      </c>
      <c r="D148" s="213">
        <v>0.75</v>
      </c>
      <c r="E148" s="142" t="s">
        <v>2609</v>
      </c>
      <c r="F148" s="142" t="s">
        <v>63</v>
      </c>
      <c r="G148" s="142" t="s">
        <v>2610</v>
      </c>
      <c r="H148" s="172">
        <v>0</v>
      </c>
      <c r="I148" s="239">
        <v>0</v>
      </c>
    </row>
    <row r="149" spans="1:9" ht="15" customHeight="1">
      <c r="A149" s="139">
        <v>41566</v>
      </c>
      <c r="B149" s="213">
        <v>0.60555555555555551</v>
      </c>
      <c r="C149" s="141">
        <v>41566</v>
      </c>
      <c r="D149" s="213">
        <v>0.91666666666666663</v>
      </c>
      <c r="E149" s="142" t="s">
        <v>18</v>
      </c>
      <c r="F149" s="142" t="s">
        <v>124</v>
      </c>
      <c r="G149" s="142" t="s">
        <v>2202</v>
      </c>
      <c r="H149" s="172" t="s">
        <v>45</v>
      </c>
      <c r="I149" s="239" t="s">
        <v>45</v>
      </c>
    </row>
    <row r="150" spans="1:9" ht="15" customHeight="1">
      <c r="A150" s="139">
        <v>41568</v>
      </c>
      <c r="B150" s="213">
        <v>0.22083333333333333</v>
      </c>
      <c r="C150" s="141">
        <v>41568</v>
      </c>
      <c r="D150" s="213">
        <v>0.23124999999999998</v>
      </c>
      <c r="E150" s="142" t="s">
        <v>2611</v>
      </c>
      <c r="F150" s="142" t="s">
        <v>124</v>
      </c>
      <c r="G150" s="142" t="s">
        <v>2037</v>
      </c>
      <c r="H150" s="172">
        <v>115</v>
      </c>
      <c r="I150" s="239">
        <v>433</v>
      </c>
    </row>
    <row r="151" spans="1:9" ht="15" customHeight="1">
      <c r="A151" s="139">
        <v>41573</v>
      </c>
      <c r="B151" s="213">
        <v>0.30069444444444443</v>
      </c>
      <c r="C151" s="141">
        <v>41573</v>
      </c>
      <c r="D151" s="213">
        <v>0.30138888888888887</v>
      </c>
      <c r="E151" s="142" t="s">
        <v>24</v>
      </c>
      <c r="F151" s="142" t="s">
        <v>124</v>
      </c>
      <c r="G151" s="142" t="s">
        <v>2150</v>
      </c>
      <c r="H151" s="172" t="s">
        <v>45</v>
      </c>
      <c r="I151" s="239" t="s">
        <v>45</v>
      </c>
    </row>
    <row r="152" spans="1:9" ht="15" customHeight="1">
      <c r="A152" s="139">
        <v>41574</v>
      </c>
      <c r="B152" s="213">
        <v>0.18541666666666667</v>
      </c>
      <c r="C152" s="141">
        <v>41574</v>
      </c>
      <c r="D152" s="213">
        <v>0.93541666666666667</v>
      </c>
      <c r="E152" s="142" t="s">
        <v>1098</v>
      </c>
      <c r="F152" s="142" t="s">
        <v>1352</v>
      </c>
      <c r="G152" s="142" t="s">
        <v>2612</v>
      </c>
      <c r="H152" s="172" t="s">
        <v>45</v>
      </c>
      <c r="I152" s="239">
        <v>171117</v>
      </c>
    </row>
    <row r="153" spans="1:9" ht="15" hidden="1" customHeight="1">
      <c r="A153" s="839" t="s">
        <v>38</v>
      </c>
      <c r="B153" s="840"/>
      <c r="C153" s="264"/>
      <c r="D153" s="265"/>
      <c r="E153" s="264"/>
      <c r="F153" s="264"/>
      <c r="G153" s="264"/>
      <c r="H153" s="266"/>
      <c r="I153" s="267"/>
    </row>
    <row r="154" spans="1:9" s="268" customFormat="1" ht="15" customHeight="1">
      <c r="A154" s="139">
        <v>41579</v>
      </c>
      <c r="B154" s="213">
        <v>0.55972222222222223</v>
      </c>
      <c r="C154" s="141">
        <v>41579</v>
      </c>
      <c r="D154" s="213">
        <v>0.56041666666666667</v>
      </c>
      <c r="E154" s="142" t="s">
        <v>2310</v>
      </c>
      <c r="F154" s="142" t="s">
        <v>826</v>
      </c>
      <c r="G154" s="142" t="s">
        <v>2613</v>
      </c>
      <c r="H154" s="240" t="s">
        <v>45</v>
      </c>
      <c r="I154" s="239" t="s">
        <v>45</v>
      </c>
    </row>
    <row r="155" spans="1:9" s="268" customFormat="1" ht="15" customHeight="1">
      <c r="A155" s="139">
        <v>41580</v>
      </c>
      <c r="B155" s="213">
        <v>0.35069444444444442</v>
      </c>
      <c r="C155" s="141">
        <v>41580</v>
      </c>
      <c r="D155" s="213">
        <v>0.35138888888888892</v>
      </c>
      <c r="E155" s="142" t="s">
        <v>2147</v>
      </c>
      <c r="F155" s="142" t="s">
        <v>124</v>
      </c>
      <c r="G155" s="142" t="s">
        <v>2613</v>
      </c>
      <c r="H155" s="240" t="s">
        <v>255</v>
      </c>
      <c r="I155" s="239" t="s">
        <v>255</v>
      </c>
    </row>
    <row r="156" spans="1:9" s="268" customFormat="1" ht="20.100000000000001" customHeight="1">
      <c r="A156" s="139">
        <v>41580</v>
      </c>
      <c r="B156" s="213">
        <v>0</v>
      </c>
      <c r="C156" s="141">
        <v>41582</v>
      </c>
      <c r="D156" s="213">
        <v>0.25</v>
      </c>
      <c r="E156" s="142" t="s">
        <v>2614</v>
      </c>
      <c r="F156" s="142" t="s">
        <v>124</v>
      </c>
      <c r="G156" s="142" t="s">
        <v>2615</v>
      </c>
      <c r="H156" s="240" t="s">
        <v>45</v>
      </c>
      <c r="I156" s="239">
        <v>105000</v>
      </c>
    </row>
    <row r="157" spans="1:9" s="268" customFormat="1" ht="15" customHeight="1">
      <c r="A157" s="139">
        <v>41582</v>
      </c>
      <c r="B157" s="213">
        <v>0.37777777777777777</v>
      </c>
      <c r="C157" s="141">
        <v>41582</v>
      </c>
      <c r="D157" s="213">
        <v>0.37847222222222227</v>
      </c>
      <c r="E157" s="142" t="s">
        <v>2616</v>
      </c>
      <c r="F157" s="142" t="s">
        <v>61</v>
      </c>
      <c r="G157" s="142" t="s">
        <v>2613</v>
      </c>
      <c r="H157" s="240" t="s">
        <v>45</v>
      </c>
      <c r="I157" s="239" t="s">
        <v>45</v>
      </c>
    </row>
    <row r="158" spans="1:9" s="268" customFormat="1" ht="15" customHeight="1">
      <c r="A158" s="139">
        <v>41583</v>
      </c>
      <c r="B158" s="213">
        <v>0.4236111111111111</v>
      </c>
      <c r="C158" s="141">
        <v>41585</v>
      </c>
      <c r="D158" s="213">
        <v>0.4236111111111111</v>
      </c>
      <c r="E158" s="142" t="s">
        <v>1470</v>
      </c>
      <c r="F158" s="142" t="s">
        <v>826</v>
      </c>
      <c r="G158" s="142" t="s">
        <v>2202</v>
      </c>
      <c r="H158" s="240" t="s">
        <v>45</v>
      </c>
      <c r="I158" s="239" t="s">
        <v>45</v>
      </c>
    </row>
    <row r="159" spans="1:9" s="268" customFormat="1" ht="15" customHeight="1">
      <c r="A159" s="139">
        <v>41590</v>
      </c>
      <c r="B159" s="213">
        <v>0.58611111111111114</v>
      </c>
      <c r="C159" s="141">
        <v>41590</v>
      </c>
      <c r="D159" s="213">
        <v>0.58680555555555558</v>
      </c>
      <c r="E159" s="142" t="s">
        <v>2617</v>
      </c>
      <c r="F159" s="142" t="s">
        <v>124</v>
      </c>
      <c r="G159" s="142" t="s">
        <v>2037</v>
      </c>
      <c r="H159" s="240">
        <v>55</v>
      </c>
      <c r="I159" s="239">
        <v>48400</v>
      </c>
    </row>
    <row r="160" spans="1:9" s="268" customFormat="1" ht="21.95" customHeight="1">
      <c r="A160" s="139">
        <v>41590</v>
      </c>
      <c r="B160" s="213">
        <v>0.38472222222222219</v>
      </c>
      <c r="C160" s="141">
        <v>41590</v>
      </c>
      <c r="D160" s="275">
        <v>0.4375</v>
      </c>
      <c r="E160" s="142" t="s">
        <v>2618</v>
      </c>
      <c r="F160" s="142" t="s">
        <v>58</v>
      </c>
      <c r="G160" s="142" t="s">
        <v>2619</v>
      </c>
      <c r="H160" s="240" t="s">
        <v>45</v>
      </c>
      <c r="I160" s="239" t="s">
        <v>45</v>
      </c>
    </row>
    <row r="161" spans="1:9" s="268" customFormat="1" ht="15" customHeight="1">
      <c r="A161" s="139">
        <v>41594</v>
      </c>
      <c r="B161" s="213">
        <v>0.63541666666666663</v>
      </c>
      <c r="C161" s="141">
        <v>41594</v>
      </c>
      <c r="D161" s="213">
        <v>0.63611111111111118</v>
      </c>
      <c r="E161" s="142" t="s">
        <v>2300</v>
      </c>
      <c r="F161" s="142" t="s">
        <v>124</v>
      </c>
      <c r="G161" s="142" t="s">
        <v>2613</v>
      </c>
      <c r="H161" s="240" t="s">
        <v>255</v>
      </c>
      <c r="I161" s="239" t="s">
        <v>255</v>
      </c>
    </row>
    <row r="162" spans="1:9" s="268" customFormat="1" ht="15" customHeight="1">
      <c r="A162" s="139">
        <v>41595</v>
      </c>
      <c r="B162" s="213">
        <v>0.29166666666666669</v>
      </c>
      <c r="C162" s="141">
        <v>41598</v>
      </c>
      <c r="D162" s="213">
        <v>0.78749999999999998</v>
      </c>
      <c r="E162" s="142" t="s">
        <v>1833</v>
      </c>
      <c r="F162" s="142" t="s">
        <v>826</v>
      </c>
      <c r="G162" s="142" t="s">
        <v>2620</v>
      </c>
      <c r="H162" s="240" t="s">
        <v>45</v>
      </c>
      <c r="I162" s="239">
        <v>325325</v>
      </c>
    </row>
    <row r="163" spans="1:9" s="268" customFormat="1" ht="20.100000000000001" customHeight="1">
      <c r="A163" s="139">
        <v>41595</v>
      </c>
      <c r="B163" s="213">
        <v>0.52430555555555558</v>
      </c>
      <c r="C163" s="141">
        <v>41595</v>
      </c>
      <c r="D163" s="213">
        <v>0.56944444444444442</v>
      </c>
      <c r="E163" s="142" t="s">
        <v>2621</v>
      </c>
      <c r="F163" s="142" t="s">
        <v>826</v>
      </c>
      <c r="G163" s="142" t="s">
        <v>2622</v>
      </c>
      <c r="H163" s="240">
        <v>38</v>
      </c>
      <c r="I163" s="239">
        <v>7500</v>
      </c>
    </row>
    <row r="164" spans="1:9" s="268" customFormat="1" ht="15" customHeight="1">
      <c r="A164" s="139">
        <v>41595</v>
      </c>
      <c r="B164" s="213">
        <v>0.69930555555555562</v>
      </c>
      <c r="C164" s="141">
        <v>41598</v>
      </c>
      <c r="D164" s="213">
        <v>0.4993055555555555</v>
      </c>
      <c r="E164" s="142" t="s">
        <v>2208</v>
      </c>
      <c r="F164" s="142" t="s">
        <v>826</v>
      </c>
      <c r="G164" s="142" t="s">
        <v>2623</v>
      </c>
      <c r="H164" s="240">
        <v>535</v>
      </c>
      <c r="I164" s="239">
        <v>61705</v>
      </c>
    </row>
    <row r="165" spans="1:9" s="268" customFormat="1" ht="15" customHeight="1">
      <c r="A165" s="139">
        <v>41595</v>
      </c>
      <c r="B165" s="213">
        <v>0.69791666666666663</v>
      </c>
      <c r="C165" s="141">
        <v>41599</v>
      </c>
      <c r="D165" s="213">
        <v>0.69791666666666663</v>
      </c>
      <c r="E165" s="142" t="s">
        <v>2624</v>
      </c>
      <c r="F165" s="142" t="s">
        <v>826</v>
      </c>
      <c r="G165" s="142" t="s">
        <v>2368</v>
      </c>
      <c r="H165" s="240" t="s">
        <v>45</v>
      </c>
      <c r="I165" s="239">
        <v>50000</v>
      </c>
    </row>
    <row r="166" spans="1:9" s="268" customFormat="1" ht="15" customHeight="1">
      <c r="A166" s="139">
        <v>41595</v>
      </c>
      <c r="B166" s="213">
        <v>0.52430555555555558</v>
      </c>
      <c r="C166" s="141">
        <v>41598</v>
      </c>
      <c r="D166" s="213">
        <v>0.45833333333333331</v>
      </c>
      <c r="E166" s="142" t="s">
        <v>2625</v>
      </c>
      <c r="F166" s="142" t="s">
        <v>63</v>
      </c>
      <c r="G166" s="142" t="s">
        <v>2623</v>
      </c>
      <c r="H166" s="240" t="s">
        <v>45</v>
      </c>
      <c r="I166" s="239">
        <v>200000</v>
      </c>
    </row>
    <row r="167" spans="1:9" s="268" customFormat="1" ht="15" customHeight="1">
      <c r="A167" s="139">
        <v>41595</v>
      </c>
      <c r="B167" s="213">
        <v>0.54583333333333328</v>
      </c>
      <c r="C167" s="141">
        <v>41598</v>
      </c>
      <c r="D167" s="213">
        <v>0.54583333333333328</v>
      </c>
      <c r="E167" s="142" t="s">
        <v>2626</v>
      </c>
      <c r="F167" s="142" t="s">
        <v>826</v>
      </c>
      <c r="G167" s="142" t="s">
        <v>2368</v>
      </c>
      <c r="H167" s="240" t="s">
        <v>45</v>
      </c>
      <c r="I167" s="239">
        <v>75065</v>
      </c>
    </row>
    <row r="168" spans="1:9" s="268" customFormat="1" ht="15" customHeight="1">
      <c r="A168" s="139">
        <v>41595</v>
      </c>
      <c r="B168" s="213">
        <v>0.67986111111111114</v>
      </c>
      <c r="C168" s="141">
        <v>41596</v>
      </c>
      <c r="D168" s="213">
        <v>0.75</v>
      </c>
      <c r="E168" s="142" t="s">
        <v>1962</v>
      </c>
      <c r="F168" s="142" t="s">
        <v>826</v>
      </c>
      <c r="G168" s="142" t="s">
        <v>2368</v>
      </c>
      <c r="H168" s="240" t="s">
        <v>45</v>
      </c>
      <c r="I168" s="239">
        <v>77346</v>
      </c>
    </row>
    <row r="169" spans="1:9" s="268" customFormat="1" ht="15" customHeight="1">
      <c r="A169" s="139">
        <v>41595</v>
      </c>
      <c r="B169" s="213">
        <v>0.60486111111111118</v>
      </c>
      <c r="C169" s="141">
        <v>41595</v>
      </c>
      <c r="D169" s="213">
        <v>0.9375</v>
      </c>
      <c r="E169" s="142" t="s">
        <v>2627</v>
      </c>
      <c r="F169" s="142" t="s">
        <v>826</v>
      </c>
      <c r="G169" s="142" t="s">
        <v>2368</v>
      </c>
      <c r="H169" s="240" t="s">
        <v>45</v>
      </c>
      <c r="I169" s="239">
        <v>190000</v>
      </c>
    </row>
    <row r="170" spans="1:9" s="268" customFormat="1" ht="15" customHeight="1">
      <c r="A170" s="139">
        <v>41595</v>
      </c>
      <c r="B170" s="213">
        <v>0.69930555555555562</v>
      </c>
      <c r="C170" s="141">
        <v>41598</v>
      </c>
      <c r="D170" s="213">
        <v>0.69930555555555562</v>
      </c>
      <c r="E170" s="142" t="s">
        <v>2208</v>
      </c>
      <c r="F170" s="142" t="s">
        <v>826</v>
      </c>
      <c r="G170" s="142" t="s">
        <v>2368</v>
      </c>
      <c r="H170" s="240" t="s">
        <v>45</v>
      </c>
      <c r="I170" s="239">
        <v>61705</v>
      </c>
    </row>
    <row r="171" spans="1:9" s="268" customFormat="1" ht="15" customHeight="1">
      <c r="A171" s="139">
        <v>41598</v>
      </c>
      <c r="B171" s="213">
        <v>0.13055555555555556</v>
      </c>
      <c r="C171" s="141">
        <v>41598</v>
      </c>
      <c r="D171" s="213">
        <v>0.13125000000000001</v>
      </c>
      <c r="E171" s="142" t="s">
        <v>2628</v>
      </c>
      <c r="F171" s="142" t="s">
        <v>124</v>
      </c>
      <c r="G171" s="142" t="s">
        <v>2613</v>
      </c>
      <c r="H171" s="240" t="s">
        <v>45</v>
      </c>
      <c r="I171" s="239" t="s">
        <v>45</v>
      </c>
    </row>
    <row r="172" spans="1:9" s="268" customFormat="1" ht="15" customHeight="1">
      <c r="A172" s="139">
        <v>41599</v>
      </c>
      <c r="B172" s="213">
        <v>0.82291666666666663</v>
      </c>
      <c r="C172" s="141">
        <v>41600</v>
      </c>
      <c r="D172" s="213">
        <v>0.1388888888888889</v>
      </c>
      <c r="E172" s="142" t="s">
        <v>141</v>
      </c>
      <c r="F172" s="142" t="s">
        <v>124</v>
      </c>
      <c r="G172" s="142" t="s">
        <v>2491</v>
      </c>
      <c r="H172" s="240">
        <v>150</v>
      </c>
      <c r="I172" s="239">
        <v>89500</v>
      </c>
    </row>
    <row r="173" spans="1:9" s="268" customFormat="1" ht="15" customHeight="1" thickBot="1">
      <c r="A173" s="276">
        <v>41602</v>
      </c>
      <c r="B173" s="277">
        <v>0.31805555555555554</v>
      </c>
      <c r="C173" s="155">
        <v>41602</v>
      </c>
      <c r="D173" s="277">
        <v>0.31875000000000003</v>
      </c>
      <c r="E173" s="156" t="s">
        <v>2628</v>
      </c>
      <c r="F173" s="156" t="s">
        <v>124</v>
      </c>
      <c r="G173" s="156" t="s">
        <v>2613</v>
      </c>
      <c r="H173" s="278" t="s">
        <v>255</v>
      </c>
      <c r="I173" s="279" t="s">
        <v>255</v>
      </c>
    </row>
    <row r="174" spans="1:9" ht="15" hidden="1" customHeight="1">
      <c r="A174" s="839" t="s">
        <v>47</v>
      </c>
      <c r="B174" s="840"/>
      <c r="C174" s="264"/>
      <c r="D174" s="265"/>
      <c r="E174" s="264"/>
      <c r="F174" s="264"/>
      <c r="G174" s="264"/>
      <c r="H174" s="266"/>
      <c r="I174" s="267"/>
    </row>
    <row r="175" spans="1:9" s="127" customFormat="1" ht="20.100000000000001" customHeight="1">
      <c r="A175" s="280">
        <v>41612</v>
      </c>
      <c r="B175" s="281">
        <v>0.20833333333333334</v>
      </c>
      <c r="C175" s="282">
        <v>41612</v>
      </c>
      <c r="D175" s="281">
        <v>0.67847222222222225</v>
      </c>
      <c r="E175" s="283" t="s">
        <v>2629</v>
      </c>
      <c r="F175" s="283" t="s">
        <v>124</v>
      </c>
      <c r="G175" s="283" t="s">
        <v>2630</v>
      </c>
      <c r="H175" s="283">
        <v>150</v>
      </c>
      <c r="I175" s="284" t="s">
        <v>45</v>
      </c>
    </row>
    <row r="176" spans="1:9" s="127" customFormat="1" ht="15" customHeight="1">
      <c r="A176" s="280">
        <v>41614</v>
      </c>
      <c r="B176" s="281">
        <v>0.3659722222222222</v>
      </c>
      <c r="C176" s="282">
        <v>41614</v>
      </c>
      <c r="D176" s="281">
        <v>0.36736111111111108</v>
      </c>
      <c r="E176" s="283" t="s">
        <v>2631</v>
      </c>
      <c r="F176" s="283" t="s">
        <v>124</v>
      </c>
      <c r="G176" s="283" t="s">
        <v>2632</v>
      </c>
      <c r="H176" s="283" t="s">
        <v>255</v>
      </c>
      <c r="I176" s="284" t="s">
        <v>255</v>
      </c>
    </row>
    <row r="177" spans="1:9" s="127" customFormat="1" ht="15" customHeight="1">
      <c r="A177" s="280">
        <v>41614</v>
      </c>
      <c r="B177" s="281">
        <v>7.7083333333333337E-2</v>
      </c>
      <c r="C177" s="282">
        <v>41619</v>
      </c>
      <c r="D177" s="281">
        <v>0.5</v>
      </c>
      <c r="E177" s="283" t="s">
        <v>2633</v>
      </c>
      <c r="F177" s="283" t="s">
        <v>1352</v>
      </c>
      <c r="G177" s="283" t="s">
        <v>2634</v>
      </c>
      <c r="H177" s="283" t="s">
        <v>45</v>
      </c>
      <c r="I177" s="284">
        <v>881000</v>
      </c>
    </row>
    <row r="178" spans="1:9" s="127" customFormat="1" ht="15" customHeight="1">
      <c r="A178" s="280">
        <v>41617</v>
      </c>
      <c r="B178" s="281">
        <v>0.28750000000000003</v>
      </c>
      <c r="C178" s="282">
        <v>41617</v>
      </c>
      <c r="D178" s="281">
        <v>0.59861111111111109</v>
      </c>
      <c r="E178" s="283" t="s">
        <v>2635</v>
      </c>
      <c r="F178" s="283" t="s">
        <v>63</v>
      </c>
      <c r="G178" s="283" t="s">
        <v>2634</v>
      </c>
      <c r="H178" s="283">
        <v>293</v>
      </c>
      <c r="I178" s="284">
        <v>88000</v>
      </c>
    </row>
    <row r="179" spans="1:9" s="127" customFormat="1" ht="15" customHeight="1">
      <c r="A179" s="280">
        <v>41618</v>
      </c>
      <c r="B179" s="281">
        <v>4.2361111111111106E-2</v>
      </c>
      <c r="C179" s="282">
        <v>41619</v>
      </c>
      <c r="D179" s="281">
        <v>4.2361111111111106E-2</v>
      </c>
      <c r="E179" s="283" t="s">
        <v>24</v>
      </c>
      <c r="F179" s="283" t="s">
        <v>124</v>
      </c>
      <c r="G179" s="283" t="s">
        <v>2150</v>
      </c>
      <c r="H179" s="283" t="s">
        <v>45</v>
      </c>
      <c r="I179" s="284" t="s">
        <v>45</v>
      </c>
    </row>
    <row r="180" spans="1:9" s="127" customFormat="1" ht="15" customHeight="1">
      <c r="A180" s="280">
        <v>41621</v>
      </c>
      <c r="B180" s="281">
        <v>0.45833333333333331</v>
      </c>
      <c r="C180" s="282">
        <v>41635</v>
      </c>
      <c r="D180" s="281">
        <v>0.45833333333333331</v>
      </c>
      <c r="E180" s="283" t="s">
        <v>166</v>
      </c>
      <c r="F180" s="283" t="s">
        <v>1352</v>
      </c>
      <c r="G180" s="283" t="s">
        <v>2636</v>
      </c>
      <c r="H180" s="283" t="s">
        <v>45</v>
      </c>
      <c r="I180" s="284" t="s">
        <v>45</v>
      </c>
    </row>
    <row r="181" spans="1:9" s="127" customFormat="1" ht="15" customHeight="1">
      <c r="A181" s="280">
        <v>41621</v>
      </c>
      <c r="B181" s="281">
        <v>0.45833333333333331</v>
      </c>
      <c r="C181" s="282">
        <v>41635</v>
      </c>
      <c r="D181" s="281">
        <v>0.45833333333333331</v>
      </c>
      <c r="E181" s="283" t="s">
        <v>166</v>
      </c>
      <c r="F181" s="283" t="s">
        <v>2637</v>
      </c>
      <c r="G181" s="283" t="s">
        <v>2636</v>
      </c>
      <c r="H181" s="283" t="s">
        <v>45</v>
      </c>
      <c r="I181" s="284" t="s">
        <v>45</v>
      </c>
    </row>
    <row r="182" spans="1:9" s="127" customFormat="1" ht="20.100000000000001" customHeight="1">
      <c r="A182" s="280">
        <v>41630</v>
      </c>
      <c r="B182" s="281">
        <v>0.26111111111111113</v>
      </c>
      <c r="C182" s="282">
        <v>41632</v>
      </c>
      <c r="D182" s="281">
        <v>0.99930555555555556</v>
      </c>
      <c r="E182" s="283" t="s">
        <v>2638</v>
      </c>
      <c r="F182" s="283" t="s">
        <v>61</v>
      </c>
      <c r="G182" s="283" t="s">
        <v>2634</v>
      </c>
      <c r="H182" s="283" t="s">
        <v>45</v>
      </c>
      <c r="I182" s="284">
        <v>59000</v>
      </c>
    </row>
    <row r="183" spans="1:9" s="127" customFormat="1" ht="15" customHeight="1">
      <c r="A183" s="280">
        <v>41630</v>
      </c>
      <c r="B183" s="281">
        <v>0.27083333333333331</v>
      </c>
      <c r="C183" s="282">
        <v>41633</v>
      </c>
      <c r="D183" s="281">
        <v>0.21666666666666667</v>
      </c>
      <c r="E183" s="283" t="s">
        <v>1833</v>
      </c>
      <c r="F183" s="283" t="s">
        <v>826</v>
      </c>
      <c r="G183" s="283" t="s">
        <v>2634</v>
      </c>
      <c r="H183" s="283">
        <v>350</v>
      </c>
      <c r="I183" s="284">
        <v>140735</v>
      </c>
    </row>
    <row r="184" spans="1:9" s="127" customFormat="1" ht="20.100000000000001" customHeight="1">
      <c r="A184" s="280">
        <v>41630</v>
      </c>
      <c r="B184" s="281">
        <v>0.14444444444444446</v>
      </c>
      <c r="C184" s="282">
        <v>41636</v>
      </c>
      <c r="D184" s="285">
        <v>0.98958333333333337</v>
      </c>
      <c r="E184" s="283" t="s">
        <v>2639</v>
      </c>
      <c r="F184" s="283" t="s">
        <v>826</v>
      </c>
      <c r="G184" s="283" t="s">
        <v>2634</v>
      </c>
      <c r="H184" s="283" t="s">
        <v>45</v>
      </c>
      <c r="I184" s="284">
        <v>50000</v>
      </c>
    </row>
    <row r="185" spans="1:9" s="127" customFormat="1" ht="15" customHeight="1">
      <c r="A185" s="280">
        <v>41631</v>
      </c>
      <c r="B185" s="281">
        <v>0.63888888888888895</v>
      </c>
      <c r="C185" s="282">
        <v>41633</v>
      </c>
      <c r="D185" s="281">
        <v>0.48055555555555557</v>
      </c>
      <c r="E185" s="283" t="s">
        <v>2640</v>
      </c>
      <c r="F185" s="283" t="s">
        <v>61</v>
      </c>
      <c r="G185" s="283" t="s">
        <v>2634</v>
      </c>
      <c r="H185" s="283" t="s">
        <v>45</v>
      </c>
      <c r="I185" s="284">
        <v>52500</v>
      </c>
    </row>
    <row r="186" spans="1:9" s="127" customFormat="1" ht="15" customHeight="1">
      <c r="A186" s="280">
        <v>41635</v>
      </c>
      <c r="B186" s="281">
        <v>0.40486111111111112</v>
      </c>
      <c r="C186" s="282">
        <v>41635</v>
      </c>
      <c r="D186" s="281">
        <v>0.52986111111111112</v>
      </c>
      <c r="E186" s="283" t="s">
        <v>2641</v>
      </c>
      <c r="F186" s="283" t="s">
        <v>124</v>
      </c>
      <c r="G186" s="283" t="s">
        <v>2202</v>
      </c>
      <c r="H186" s="283" t="s">
        <v>255</v>
      </c>
      <c r="I186" s="284" t="s">
        <v>255</v>
      </c>
    </row>
    <row r="187" spans="1:9" s="127" customFormat="1" ht="15" customHeight="1">
      <c r="A187" s="280">
        <v>41638</v>
      </c>
      <c r="B187" s="281">
        <v>0.45833333333333331</v>
      </c>
      <c r="C187" s="282">
        <v>41638</v>
      </c>
      <c r="D187" s="281">
        <v>0.45902777777777781</v>
      </c>
      <c r="E187" s="283" t="s">
        <v>2628</v>
      </c>
      <c r="F187" s="283" t="s">
        <v>124</v>
      </c>
      <c r="G187" s="283" t="s">
        <v>2202</v>
      </c>
      <c r="H187" s="283" t="s">
        <v>255</v>
      </c>
      <c r="I187" s="284" t="s">
        <v>255</v>
      </c>
    </row>
    <row r="188" spans="1:9" s="127" customFormat="1" ht="15" customHeight="1" thickBot="1">
      <c r="A188" s="286">
        <v>41638</v>
      </c>
      <c r="B188" s="287">
        <v>0.45833333333333331</v>
      </c>
      <c r="C188" s="288">
        <v>41640</v>
      </c>
      <c r="D188" s="287">
        <v>0.33333333333333331</v>
      </c>
      <c r="E188" s="289" t="s">
        <v>2642</v>
      </c>
      <c r="F188" s="289" t="s">
        <v>124</v>
      </c>
      <c r="G188" s="289" t="s">
        <v>2202</v>
      </c>
      <c r="H188" s="289" t="s">
        <v>255</v>
      </c>
      <c r="I188" s="290" t="s">
        <v>255</v>
      </c>
    </row>
    <row r="189" spans="1:9" s="127" customFormat="1" ht="8.25" customHeight="1">
      <c r="A189" s="128"/>
      <c r="B189" s="128"/>
      <c r="C189" s="128"/>
      <c r="D189" s="128"/>
      <c r="E189" s="128"/>
      <c r="F189" s="129"/>
      <c r="G189" s="128"/>
      <c r="H189" s="128"/>
      <c r="I189" s="128"/>
    </row>
    <row r="190" spans="1:9">
      <c r="A190" s="138" t="s">
        <v>2339</v>
      </c>
    </row>
  </sheetData>
  <autoFilter ref="A2:I188" xr:uid="{00000000-0001-0000-0B00-000000000000}">
    <filterColumn colId="0">
      <filters>
        <dateGroupItem year="2013" dateTimeGrouping="year"/>
      </filters>
    </filterColumn>
  </autoFilter>
  <mergeCells count="13">
    <mergeCell ref="A174:B174"/>
    <mergeCell ref="A74:B74"/>
    <mergeCell ref="A101:B101"/>
    <mergeCell ref="A119:B119"/>
    <mergeCell ref="A141:B141"/>
    <mergeCell ref="A145:B145"/>
    <mergeCell ref="A153:B153"/>
    <mergeCell ref="A53:B53"/>
    <mergeCell ref="A1:I1"/>
    <mergeCell ref="A3:B3"/>
    <mergeCell ref="A15:B15"/>
    <mergeCell ref="A30:B30"/>
    <mergeCell ref="A42:B42"/>
  </mergeCells>
  <pageMargins left="0.7" right="0.7" top="0.75" bottom="0.75" header="0.3" footer="0.3"/>
  <pageSetup orientation="landscape" r:id="rId1"/>
  <rowBreaks count="1" manualBreakCount="1">
    <brk id="29"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L234"/>
  <sheetViews>
    <sheetView zoomScale="160" zoomScaleNormal="160" workbookViewId="0">
      <pane ySplit="2" topLeftCell="A214" activePane="bottomLeft" state="frozen"/>
      <selection pane="bottomLeft" activeCell="A2" sqref="A2:I228"/>
    </sheetView>
  </sheetViews>
  <sheetFormatPr defaultRowHeight="15"/>
  <cols>
    <col min="1" max="1" width="7.5703125" style="407" customWidth="1"/>
    <col min="2" max="2" width="6.5703125" style="408" customWidth="1"/>
    <col min="3" max="3" width="8.28515625" style="409" customWidth="1"/>
    <col min="4" max="4" width="7.85546875" style="408" customWidth="1"/>
    <col min="5" max="5" width="20.42578125" style="410" customWidth="1"/>
    <col min="6" max="6" width="5.7109375" style="66" customWidth="1"/>
    <col min="7" max="7" width="26.5703125" style="66" customWidth="1"/>
    <col min="8" max="8" width="7.7109375" style="66" customWidth="1"/>
    <col min="9" max="9" width="8.85546875" style="411" customWidth="1"/>
    <col min="10" max="16384" width="9.140625" style="66"/>
  </cols>
  <sheetData>
    <row r="1" spans="1:9" ht="15.75" customHeight="1" thickBot="1">
      <c r="A1" s="846" t="s">
        <v>2643</v>
      </c>
      <c r="B1" s="847"/>
      <c r="C1" s="847"/>
      <c r="D1" s="847"/>
      <c r="E1" s="847"/>
      <c r="F1" s="847"/>
      <c r="G1" s="847"/>
      <c r="H1" s="847"/>
      <c r="I1" s="848"/>
    </row>
    <row r="2" spans="1:9" s="296" customFormat="1" ht="37.5" customHeight="1">
      <c r="A2" s="291" t="s">
        <v>2105</v>
      </c>
      <c r="B2" s="292" t="s">
        <v>2106</v>
      </c>
      <c r="C2" s="293" t="s">
        <v>2107</v>
      </c>
      <c r="D2" s="292" t="s">
        <v>2108</v>
      </c>
      <c r="E2" s="294" t="s">
        <v>67</v>
      </c>
      <c r="F2" s="294" t="s">
        <v>57</v>
      </c>
      <c r="G2" s="294" t="s">
        <v>2109</v>
      </c>
      <c r="H2" s="294" t="s">
        <v>2110</v>
      </c>
      <c r="I2" s="295" t="s">
        <v>7</v>
      </c>
    </row>
    <row r="3" spans="1:9" ht="15" hidden="1" customHeight="1">
      <c r="A3" s="849" t="s">
        <v>1072</v>
      </c>
      <c r="B3" s="850"/>
      <c r="C3" s="297"/>
      <c r="D3" s="298"/>
      <c r="E3" s="299">
        <v>3</v>
      </c>
      <c r="F3" s="300"/>
      <c r="G3" s="299"/>
      <c r="H3" s="301"/>
      <c r="I3" s="302"/>
    </row>
    <row r="4" spans="1:9" ht="20.100000000000001" customHeight="1">
      <c r="A4" s="97">
        <v>41645</v>
      </c>
      <c r="B4" s="114">
        <v>0.82638888888888884</v>
      </c>
      <c r="C4" s="99">
        <v>41645</v>
      </c>
      <c r="D4" s="114">
        <v>0.86388888888888893</v>
      </c>
      <c r="E4" s="100" t="s">
        <v>2644</v>
      </c>
      <c r="F4" s="303" t="s">
        <v>826</v>
      </c>
      <c r="G4" s="100" t="s">
        <v>2645</v>
      </c>
      <c r="H4" s="105" t="s">
        <v>45</v>
      </c>
      <c r="I4" s="102" t="s">
        <v>45</v>
      </c>
    </row>
    <row r="5" spans="1:9" ht="20.100000000000001" customHeight="1">
      <c r="A5" s="97">
        <v>41645</v>
      </c>
      <c r="B5" s="114">
        <v>0.82638888888888884</v>
      </c>
      <c r="C5" s="99">
        <v>41645</v>
      </c>
      <c r="D5" s="114">
        <v>0.86388888888888893</v>
      </c>
      <c r="E5" s="100" t="s">
        <v>45</v>
      </c>
      <c r="F5" s="303" t="s">
        <v>826</v>
      </c>
      <c r="G5" s="100" t="s">
        <v>2645</v>
      </c>
      <c r="H5" s="105" t="s">
        <v>45</v>
      </c>
      <c r="I5" s="102" t="s">
        <v>45</v>
      </c>
    </row>
    <row r="6" spans="1:9" ht="20.100000000000001" customHeight="1">
      <c r="A6" s="97">
        <v>41645</v>
      </c>
      <c r="B6" s="114">
        <v>0.82777777777777783</v>
      </c>
      <c r="C6" s="99">
        <v>41645</v>
      </c>
      <c r="D6" s="114">
        <v>0.86458333333333337</v>
      </c>
      <c r="E6" s="100" t="s">
        <v>2646</v>
      </c>
      <c r="F6" s="303" t="s">
        <v>826</v>
      </c>
      <c r="G6" s="100" t="s">
        <v>2645</v>
      </c>
      <c r="H6" s="105" t="s">
        <v>45</v>
      </c>
      <c r="I6" s="102" t="s">
        <v>45</v>
      </c>
    </row>
    <row r="7" spans="1:9" ht="15" customHeight="1">
      <c r="A7" s="97">
        <v>41645</v>
      </c>
      <c r="B7" s="114">
        <v>0.86458333333333337</v>
      </c>
      <c r="C7" s="99">
        <v>41646</v>
      </c>
      <c r="D7" s="114">
        <v>0.875</v>
      </c>
      <c r="E7" s="100" t="s">
        <v>45</v>
      </c>
      <c r="F7" s="303" t="s">
        <v>826</v>
      </c>
      <c r="G7" s="100" t="s">
        <v>2647</v>
      </c>
      <c r="H7" s="105" t="s">
        <v>45</v>
      </c>
      <c r="I7" s="102" t="s">
        <v>45</v>
      </c>
    </row>
    <row r="8" spans="1:9" ht="20.100000000000001" customHeight="1">
      <c r="A8" s="97">
        <v>41645</v>
      </c>
      <c r="B8" s="114">
        <v>0.82638888888888884</v>
      </c>
      <c r="C8" s="99">
        <v>41645</v>
      </c>
      <c r="D8" s="114">
        <v>0.86736111111111114</v>
      </c>
      <c r="E8" s="100" t="s">
        <v>171</v>
      </c>
      <c r="F8" s="303" t="s">
        <v>826</v>
      </c>
      <c r="G8" s="100" t="s">
        <v>2645</v>
      </c>
      <c r="H8" s="105">
        <v>200</v>
      </c>
      <c r="I8" s="102">
        <v>62000</v>
      </c>
    </row>
    <row r="9" spans="1:9" ht="20.100000000000001" customHeight="1">
      <c r="A9" s="97">
        <v>41645</v>
      </c>
      <c r="B9" s="114">
        <v>0.82638888888888884</v>
      </c>
      <c r="C9" s="99">
        <v>41645</v>
      </c>
      <c r="D9" s="114">
        <v>0.86388888888888893</v>
      </c>
      <c r="E9" s="100" t="s">
        <v>171</v>
      </c>
      <c r="F9" s="303" t="s">
        <v>826</v>
      </c>
      <c r="G9" s="100" t="s">
        <v>2645</v>
      </c>
      <c r="H9" s="105" t="s">
        <v>45</v>
      </c>
      <c r="I9" s="102" t="s">
        <v>45</v>
      </c>
    </row>
    <row r="10" spans="1:9" ht="15" customHeight="1">
      <c r="A10" s="97">
        <v>41645</v>
      </c>
      <c r="B10" s="114">
        <v>0.60902777777777783</v>
      </c>
      <c r="C10" s="99">
        <v>41645</v>
      </c>
      <c r="D10" s="114">
        <v>0.60972222222222217</v>
      </c>
      <c r="E10" s="100" t="s">
        <v>1320</v>
      </c>
      <c r="F10" s="303" t="s">
        <v>826</v>
      </c>
      <c r="G10" s="100" t="s">
        <v>100</v>
      </c>
      <c r="H10" s="105" t="s">
        <v>255</v>
      </c>
      <c r="I10" s="102" t="s">
        <v>255</v>
      </c>
    </row>
    <row r="11" spans="1:9" ht="15" customHeight="1">
      <c r="A11" s="97">
        <v>41645</v>
      </c>
      <c r="B11" s="114">
        <v>0.91666666666666663</v>
      </c>
      <c r="C11" s="99">
        <v>41645</v>
      </c>
      <c r="D11" s="114">
        <v>0.91736111111111107</v>
      </c>
      <c r="E11" s="100" t="s">
        <v>2270</v>
      </c>
      <c r="F11" s="303" t="s">
        <v>826</v>
      </c>
      <c r="G11" s="100" t="s">
        <v>2647</v>
      </c>
      <c r="H11" s="105" t="s">
        <v>45</v>
      </c>
      <c r="I11" s="102" t="s">
        <v>45</v>
      </c>
    </row>
    <row r="12" spans="1:9" ht="15" customHeight="1">
      <c r="A12" s="97">
        <v>41645</v>
      </c>
      <c r="B12" s="114">
        <v>0.29236111111111113</v>
      </c>
      <c r="C12" s="99">
        <v>41646</v>
      </c>
      <c r="D12" s="114">
        <v>0.375</v>
      </c>
      <c r="E12" s="100" t="s">
        <v>166</v>
      </c>
      <c r="F12" s="303" t="s">
        <v>1352</v>
      </c>
      <c r="G12" s="100" t="s">
        <v>2647</v>
      </c>
      <c r="H12" s="105" t="s">
        <v>255</v>
      </c>
      <c r="I12" s="102" t="s">
        <v>255</v>
      </c>
    </row>
    <row r="13" spans="1:9" ht="15" customHeight="1">
      <c r="A13" s="97">
        <v>41646</v>
      </c>
      <c r="B13" s="114">
        <v>0.875</v>
      </c>
      <c r="C13" s="99">
        <v>41647</v>
      </c>
      <c r="D13" s="114">
        <v>0.375</v>
      </c>
      <c r="E13" s="100" t="s">
        <v>45</v>
      </c>
      <c r="F13" s="303" t="s">
        <v>826</v>
      </c>
      <c r="G13" s="100" t="s">
        <v>2647</v>
      </c>
      <c r="H13" s="105" t="s">
        <v>45</v>
      </c>
      <c r="I13" s="102" t="s">
        <v>45</v>
      </c>
    </row>
    <row r="14" spans="1:9" ht="15" customHeight="1">
      <c r="A14" s="97">
        <v>41646</v>
      </c>
      <c r="B14" s="114">
        <v>0.26250000000000001</v>
      </c>
      <c r="C14" s="99">
        <v>41646</v>
      </c>
      <c r="D14" s="114">
        <v>0.26319444444444445</v>
      </c>
      <c r="E14" s="100" t="s">
        <v>171</v>
      </c>
      <c r="F14" s="303" t="s">
        <v>826</v>
      </c>
      <c r="G14" s="100" t="s">
        <v>2648</v>
      </c>
      <c r="H14" s="105" t="s">
        <v>45</v>
      </c>
      <c r="I14" s="102" t="s">
        <v>45</v>
      </c>
    </row>
    <row r="15" spans="1:9" ht="20.100000000000001" customHeight="1">
      <c r="A15" s="97">
        <v>41646</v>
      </c>
      <c r="B15" s="114">
        <v>0.33194444444444443</v>
      </c>
      <c r="C15" s="99">
        <v>41646</v>
      </c>
      <c r="D15" s="114">
        <v>0.45833333333333331</v>
      </c>
      <c r="E15" s="100" t="s">
        <v>2482</v>
      </c>
      <c r="F15" s="303" t="s">
        <v>63</v>
      </c>
      <c r="G15" s="100" t="s">
        <v>2649</v>
      </c>
      <c r="H15" s="105">
        <v>14435</v>
      </c>
      <c r="I15" s="102" t="s">
        <v>45</v>
      </c>
    </row>
    <row r="16" spans="1:9" ht="15" customHeight="1">
      <c r="A16" s="97">
        <v>41646</v>
      </c>
      <c r="B16" s="114">
        <v>0.67708333333333337</v>
      </c>
      <c r="C16" s="99">
        <v>41647</v>
      </c>
      <c r="D16" s="114">
        <v>0.55555555555555558</v>
      </c>
      <c r="E16" s="100" t="s">
        <v>2482</v>
      </c>
      <c r="F16" s="303" t="s">
        <v>63</v>
      </c>
      <c r="G16" s="100" t="s">
        <v>2647</v>
      </c>
      <c r="H16" s="105" t="s">
        <v>45</v>
      </c>
      <c r="I16" s="102" t="s">
        <v>45</v>
      </c>
    </row>
    <row r="17" spans="1:9" ht="15" customHeight="1">
      <c r="A17" s="97">
        <v>41646</v>
      </c>
      <c r="B17" s="114">
        <v>0.25</v>
      </c>
      <c r="C17" s="99">
        <v>41646</v>
      </c>
      <c r="D17" s="114">
        <v>0.35416666666666669</v>
      </c>
      <c r="E17" s="100" t="s">
        <v>2180</v>
      </c>
      <c r="F17" s="303" t="s">
        <v>63</v>
      </c>
      <c r="G17" s="100" t="s">
        <v>2647</v>
      </c>
      <c r="H17" s="105" t="s">
        <v>45</v>
      </c>
      <c r="I17" s="102" t="s">
        <v>45</v>
      </c>
    </row>
    <row r="18" spans="1:9" ht="20.25" customHeight="1">
      <c r="A18" s="97">
        <v>41646</v>
      </c>
      <c r="B18" s="114">
        <v>0.25</v>
      </c>
      <c r="C18" s="99">
        <v>41646</v>
      </c>
      <c r="D18" s="114">
        <v>0.35416666666666669</v>
      </c>
      <c r="E18" s="100" t="s">
        <v>2650</v>
      </c>
      <c r="F18" s="303" t="s">
        <v>63</v>
      </c>
      <c r="G18" s="100" t="s">
        <v>2647</v>
      </c>
      <c r="H18" s="105" t="s">
        <v>45</v>
      </c>
      <c r="I18" s="102" t="s">
        <v>45</v>
      </c>
    </row>
    <row r="19" spans="1:9" ht="20.100000000000001" customHeight="1">
      <c r="A19" s="97">
        <v>41646</v>
      </c>
      <c r="B19" s="114">
        <v>0.75</v>
      </c>
      <c r="C19" s="99">
        <v>41646</v>
      </c>
      <c r="D19" s="114">
        <v>0.95833333333333337</v>
      </c>
      <c r="E19" s="100" t="s">
        <v>108</v>
      </c>
      <c r="F19" s="303" t="s">
        <v>63</v>
      </c>
      <c r="G19" s="100" t="s">
        <v>2651</v>
      </c>
      <c r="H19" s="105">
        <v>4853</v>
      </c>
      <c r="I19" s="102">
        <v>677858</v>
      </c>
    </row>
    <row r="20" spans="1:9" ht="15" customHeight="1">
      <c r="A20" s="97">
        <v>41646</v>
      </c>
      <c r="B20" s="114">
        <v>0.45763888888888887</v>
      </c>
      <c r="C20" s="99">
        <v>41648</v>
      </c>
      <c r="D20" s="114">
        <v>0.375</v>
      </c>
      <c r="E20" s="100" t="s">
        <v>33</v>
      </c>
      <c r="F20" s="303" t="s">
        <v>826</v>
      </c>
      <c r="G20" s="100" t="s">
        <v>2652</v>
      </c>
      <c r="H20" s="105" t="s">
        <v>255</v>
      </c>
      <c r="I20" s="102" t="s">
        <v>255</v>
      </c>
    </row>
    <row r="21" spans="1:9" ht="20.100000000000001" customHeight="1">
      <c r="A21" s="97">
        <v>41646</v>
      </c>
      <c r="B21" s="114">
        <v>0.39583333333333331</v>
      </c>
      <c r="C21" s="99">
        <v>41647</v>
      </c>
      <c r="D21" s="114">
        <v>0.39583333333333331</v>
      </c>
      <c r="E21" s="100" t="s">
        <v>2653</v>
      </c>
      <c r="F21" s="303" t="s">
        <v>63</v>
      </c>
      <c r="G21" s="100" t="s">
        <v>2654</v>
      </c>
      <c r="H21" s="105" t="s">
        <v>45</v>
      </c>
      <c r="I21" s="102" t="s">
        <v>45</v>
      </c>
    </row>
    <row r="22" spans="1:9" ht="20.100000000000001" customHeight="1">
      <c r="A22" s="97">
        <v>41647</v>
      </c>
      <c r="B22" s="114">
        <v>0.20833333333333334</v>
      </c>
      <c r="C22" s="99">
        <v>41647</v>
      </c>
      <c r="D22" s="114">
        <v>0.27083333333333331</v>
      </c>
      <c r="E22" s="100" t="s">
        <v>45</v>
      </c>
      <c r="F22" s="303" t="s">
        <v>826</v>
      </c>
      <c r="G22" s="100" t="s">
        <v>2645</v>
      </c>
      <c r="H22" s="105">
        <v>576</v>
      </c>
      <c r="I22" s="102" t="s">
        <v>45</v>
      </c>
    </row>
    <row r="23" spans="1:9" ht="20.100000000000001" customHeight="1">
      <c r="A23" s="97">
        <v>41647</v>
      </c>
      <c r="B23" s="114">
        <v>0.25</v>
      </c>
      <c r="C23" s="99">
        <v>41647</v>
      </c>
      <c r="D23" s="114">
        <v>0.375</v>
      </c>
      <c r="E23" s="100" t="s">
        <v>108</v>
      </c>
      <c r="F23" s="303" t="s">
        <v>63</v>
      </c>
      <c r="G23" s="100" t="s">
        <v>2651</v>
      </c>
      <c r="H23" s="105">
        <v>4545</v>
      </c>
      <c r="I23" s="102">
        <v>677858</v>
      </c>
    </row>
    <row r="24" spans="1:9" ht="15" customHeight="1">
      <c r="A24" s="97">
        <v>41652</v>
      </c>
      <c r="B24" s="114">
        <v>0.6972222222222223</v>
      </c>
      <c r="C24" s="99">
        <v>41652</v>
      </c>
      <c r="D24" s="114">
        <v>0.69791666666666663</v>
      </c>
      <c r="E24" s="100" t="s">
        <v>24</v>
      </c>
      <c r="F24" s="303" t="s">
        <v>124</v>
      </c>
      <c r="G24" s="100" t="s">
        <v>2613</v>
      </c>
      <c r="H24" s="105" t="s">
        <v>255</v>
      </c>
      <c r="I24" s="102" t="s">
        <v>255</v>
      </c>
    </row>
    <row r="25" spans="1:9" ht="15" customHeight="1">
      <c r="A25" s="97">
        <v>41654</v>
      </c>
      <c r="B25" s="114">
        <v>0.60555555555555551</v>
      </c>
      <c r="C25" s="99">
        <v>41654</v>
      </c>
      <c r="D25" s="114">
        <v>0.61458333333333337</v>
      </c>
      <c r="E25" s="100" t="s">
        <v>1320</v>
      </c>
      <c r="F25" s="303" t="s">
        <v>124</v>
      </c>
      <c r="G25" s="100" t="s">
        <v>2613</v>
      </c>
      <c r="H25" s="105" t="s">
        <v>45</v>
      </c>
      <c r="I25" s="102" t="s">
        <v>45</v>
      </c>
    </row>
    <row r="26" spans="1:9" ht="15" customHeight="1">
      <c r="A26" s="97">
        <v>41655</v>
      </c>
      <c r="B26" s="114">
        <v>0.52083333333333337</v>
      </c>
      <c r="C26" s="99">
        <v>41655</v>
      </c>
      <c r="D26" s="114">
        <v>0.58124999999999993</v>
      </c>
      <c r="E26" s="100" t="s">
        <v>24</v>
      </c>
      <c r="F26" s="303" t="s">
        <v>124</v>
      </c>
      <c r="G26" s="100" t="s">
        <v>2613</v>
      </c>
      <c r="H26" s="105" t="s">
        <v>255</v>
      </c>
      <c r="I26" s="102" t="s">
        <v>255</v>
      </c>
    </row>
    <row r="27" spans="1:9" ht="15" customHeight="1">
      <c r="A27" s="97">
        <v>41656</v>
      </c>
      <c r="B27" s="114">
        <v>0.51388888888888895</v>
      </c>
      <c r="C27" s="99">
        <v>41656</v>
      </c>
      <c r="D27" s="114">
        <v>0.51388888888888895</v>
      </c>
      <c r="E27" s="100" t="s">
        <v>160</v>
      </c>
      <c r="F27" s="303" t="s">
        <v>826</v>
      </c>
      <c r="G27" s="100" t="s">
        <v>2150</v>
      </c>
      <c r="H27" s="105" t="s">
        <v>45</v>
      </c>
      <c r="I27" s="102" t="s">
        <v>45</v>
      </c>
    </row>
    <row r="28" spans="1:9" ht="15" customHeight="1">
      <c r="A28" s="97">
        <v>41656</v>
      </c>
      <c r="B28" s="114">
        <v>0.4375</v>
      </c>
      <c r="C28" s="99">
        <v>41667</v>
      </c>
      <c r="D28" s="114">
        <v>0.375</v>
      </c>
      <c r="E28" s="100" t="s">
        <v>33</v>
      </c>
      <c r="F28" s="303" t="s">
        <v>826</v>
      </c>
      <c r="G28" s="172" t="s">
        <v>2652</v>
      </c>
      <c r="H28" s="105" t="s">
        <v>45</v>
      </c>
      <c r="I28" s="102" t="s">
        <v>45</v>
      </c>
    </row>
    <row r="29" spans="1:9" ht="15" customHeight="1">
      <c r="A29" s="97">
        <v>41657</v>
      </c>
      <c r="B29" s="114">
        <v>0.73541666666666661</v>
      </c>
      <c r="C29" s="100" t="s">
        <v>45</v>
      </c>
      <c r="D29" s="114" t="s">
        <v>45</v>
      </c>
      <c r="E29" s="100" t="s">
        <v>45</v>
      </c>
      <c r="F29" s="303" t="s">
        <v>826</v>
      </c>
      <c r="G29" s="100" t="s">
        <v>2655</v>
      </c>
      <c r="H29" s="105" t="s">
        <v>45</v>
      </c>
      <c r="I29" s="102" t="s">
        <v>45</v>
      </c>
    </row>
    <row r="30" spans="1:9" ht="15" customHeight="1">
      <c r="A30" s="97">
        <v>41657</v>
      </c>
      <c r="B30" s="114">
        <v>0.375</v>
      </c>
      <c r="C30" s="99">
        <v>41657</v>
      </c>
      <c r="D30" s="114">
        <v>0.40625</v>
      </c>
      <c r="E30" s="100" t="s">
        <v>166</v>
      </c>
      <c r="F30" s="303" t="s">
        <v>1352</v>
      </c>
      <c r="G30" s="100" t="s">
        <v>2221</v>
      </c>
      <c r="H30" s="105" t="s">
        <v>45</v>
      </c>
      <c r="I30" s="102" t="s">
        <v>45</v>
      </c>
    </row>
    <row r="31" spans="1:9" ht="15" customHeight="1">
      <c r="A31" s="97">
        <v>41660</v>
      </c>
      <c r="B31" s="114">
        <v>0.70833333333333337</v>
      </c>
      <c r="C31" s="100" t="s">
        <v>45</v>
      </c>
      <c r="D31" s="114" t="s">
        <v>45</v>
      </c>
      <c r="E31" s="100" t="s">
        <v>2288</v>
      </c>
      <c r="F31" s="303" t="s">
        <v>826</v>
      </c>
      <c r="G31" s="100" t="s">
        <v>2613</v>
      </c>
      <c r="H31" s="105" t="s">
        <v>45</v>
      </c>
      <c r="I31" s="102" t="s">
        <v>45</v>
      </c>
    </row>
    <row r="32" spans="1:9" ht="15" customHeight="1">
      <c r="A32" s="97">
        <v>41660</v>
      </c>
      <c r="B32" s="114">
        <v>0.50972222222222219</v>
      </c>
      <c r="C32" s="99">
        <v>41660</v>
      </c>
      <c r="D32" s="114">
        <v>0.52708333333333335</v>
      </c>
      <c r="E32" s="100" t="s">
        <v>16</v>
      </c>
      <c r="F32" s="303" t="s">
        <v>63</v>
      </c>
      <c r="G32" s="100" t="s">
        <v>2613</v>
      </c>
      <c r="H32" s="105">
        <v>10</v>
      </c>
      <c r="I32" s="102" t="s">
        <v>45</v>
      </c>
    </row>
    <row r="33" spans="1:9" ht="15" customHeight="1">
      <c r="A33" s="97">
        <v>41661</v>
      </c>
      <c r="B33" s="114">
        <v>0.57986111111111105</v>
      </c>
      <c r="C33" s="99">
        <v>41661</v>
      </c>
      <c r="D33" s="114">
        <v>0.62152777777777779</v>
      </c>
      <c r="E33" s="100" t="s">
        <v>2656</v>
      </c>
      <c r="F33" s="303" t="s">
        <v>674</v>
      </c>
      <c r="G33" s="100" t="s">
        <v>2613</v>
      </c>
      <c r="H33" s="105" t="s">
        <v>45</v>
      </c>
      <c r="I33" s="102" t="s">
        <v>45</v>
      </c>
    </row>
    <row r="34" spans="1:9" ht="15" customHeight="1">
      <c r="A34" s="97">
        <v>41661</v>
      </c>
      <c r="B34" s="114">
        <v>0.40625</v>
      </c>
      <c r="C34" s="99">
        <v>41661</v>
      </c>
      <c r="D34" s="114">
        <v>0.84652777777777777</v>
      </c>
      <c r="E34" s="100" t="s">
        <v>160</v>
      </c>
      <c r="F34" s="303" t="s">
        <v>826</v>
      </c>
      <c r="G34" s="100" t="s">
        <v>2613</v>
      </c>
      <c r="H34" s="105" t="s">
        <v>45</v>
      </c>
      <c r="I34" s="102" t="s">
        <v>45</v>
      </c>
    </row>
    <row r="35" spans="1:9" ht="15" customHeight="1">
      <c r="A35" s="97">
        <v>41661</v>
      </c>
      <c r="B35" s="114">
        <v>0.88541666666666663</v>
      </c>
      <c r="C35" s="99">
        <v>41662</v>
      </c>
      <c r="D35" s="114">
        <v>0.13055555555555556</v>
      </c>
      <c r="E35" s="100" t="s">
        <v>2657</v>
      </c>
      <c r="F35" s="303" t="s">
        <v>826</v>
      </c>
      <c r="G35" s="100" t="s">
        <v>2150</v>
      </c>
      <c r="H35" s="105" t="s">
        <v>45</v>
      </c>
      <c r="I35" s="102" t="s">
        <v>45</v>
      </c>
    </row>
    <row r="36" spans="1:9" ht="15" customHeight="1">
      <c r="A36" s="97">
        <v>41661</v>
      </c>
      <c r="B36" s="114">
        <v>2.0833333333333332E-2</v>
      </c>
      <c r="C36" s="99">
        <v>41661</v>
      </c>
      <c r="D36" s="114">
        <v>0.11458333333333333</v>
      </c>
      <c r="E36" s="100" t="s">
        <v>2656</v>
      </c>
      <c r="F36" s="303" t="s">
        <v>674</v>
      </c>
      <c r="G36" s="100" t="s">
        <v>2613</v>
      </c>
      <c r="H36" s="105" t="s">
        <v>45</v>
      </c>
      <c r="I36" s="102" t="s">
        <v>45</v>
      </c>
    </row>
    <row r="37" spans="1:9" ht="15" customHeight="1">
      <c r="A37" s="97">
        <v>41662</v>
      </c>
      <c r="B37" s="114">
        <v>0.16666666666666666</v>
      </c>
      <c r="C37" s="99">
        <v>41663</v>
      </c>
      <c r="D37" s="114">
        <v>0.5</v>
      </c>
      <c r="E37" s="100" t="s">
        <v>2650</v>
      </c>
      <c r="F37" s="303" t="s">
        <v>63</v>
      </c>
      <c r="G37" s="100" t="s">
        <v>2647</v>
      </c>
      <c r="H37" s="105" t="s">
        <v>45</v>
      </c>
      <c r="I37" s="102" t="s">
        <v>45</v>
      </c>
    </row>
    <row r="38" spans="1:9" ht="15" customHeight="1">
      <c r="A38" s="97">
        <v>41662</v>
      </c>
      <c r="B38" s="114">
        <v>0.88680555555555562</v>
      </c>
      <c r="C38" s="99">
        <v>41663</v>
      </c>
      <c r="D38" s="114">
        <v>0.70833333333333337</v>
      </c>
      <c r="E38" s="100" t="s">
        <v>2658</v>
      </c>
      <c r="F38" s="303" t="s">
        <v>124</v>
      </c>
      <c r="G38" s="100" t="s">
        <v>2613</v>
      </c>
      <c r="H38" s="105" t="s">
        <v>45</v>
      </c>
      <c r="I38" s="102" t="s">
        <v>45</v>
      </c>
    </row>
    <row r="39" spans="1:9" ht="15" customHeight="1">
      <c r="A39" s="97">
        <v>41662</v>
      </c>
      <c r="B39" s="114">
        <v>0.5444444444444444</v>
      </c>
      <c r="C39" s="99">
        <v>41663</v>
      </c>
      <c r="D39" s="114">
        <v>0.375</v>
      </c>
      <c r="E39" s="100" t="s">
        <v>2123</v>
      </c>
      <c r="F39" s="303" t="s">
        <v>826</v>
      </c>
      <c r="G39" s="100" t="s">
        <v>2647</v>
      </c>
      <c r="H39" s="105" t="s">
        <v>45</v>
      </c>
      <c r="I39" s="102" t="s">
        <v>45</v>
      </c>
    </row>
    <row r="40" spans="1:9" ht="15" customHeight="1">
      <c r="A40" s="97">
        <v>41662</v>
      </c>
      <c r="B40" s="114">
        <v>0.66666666666666663</v>
      </c>
      <c r="C40" s="99">
        <v>41663</v>
      </c>
      <c r="D40" s="114">
        <v>0.5</v>
      </c>
      <c r="E40" s="100" t="s">
        <v>2650</v>
      </c>
      <c r="F40" s="303" t="s">
        <v>63</v>
      </c>
      <c r="G40" s="100" t="s">
        <v>2647</v>
      </c>
      <c r="H40" s="105" t="s">
        <v>45</v>
      </c>
      <c r="I40" s="102" t="s">
        <v>45</v>
      </c>
    </row>
    <row r="41" spans="1:9" ht="15" customHeight="1">
      <c r="A41" s="97">
        <v>41663</v>
      </c>
      <c r="B41" s="114">
        <v>0</v>
      </c>
      <c r="C41" s="99">
        <v>41738</v>
      </c>
      <c r="D41" s="114">
        <v>0.49513888888888885</v>
      </c>
      <c r="E41" s="304" t="s">
        <v>2656</v>
      </c>
      <c r="F41" s="304" t="s">
        <v>826</v>
      </c>
      <c r="G41" s="172" t="s">
        <v>2659</v>
      </c>
      <c r="H41" s="305" t="s">
        <v>45</v>
      </c>
      <c r="I41" s="306" t="s">
        <v>45</v>
      </c>
    </row>
    <row r="42" spans="1:9" ht="15" customHeight="1">
      <c r="A42" s="97">
        <v>41663</v>
      </c>
      <c r="B42" s="114">
        <v>0.64583333333333337</v>
      </c>
      <c r="C42" s="99">
        <v>41663</v>
      </c>
      <c r="D42" s="114">
        <v>0.70833333333333337</v>
      </c>
      <c r="E42" s="100" t="s">
        <v>2656</v>
      </c>
      <c r="F42" s="303" t="s">
        <v>674</v>
      </c>
      <c r="G42" s="100" t="s">
        <v>2613</v>
      </c>
      <c r="H42" s="105" t="s">
        <v>45</v>
      </c>
      <c r="I42" s="102" t="s">
        <v>45</v>
      </c>
    </row>
    <row r="43" spans="1:9" ht="15" customHeight="1">
      <c r="A43" s="97">
        <v>41664</v>
      </c>
      <c r="B43" s="114">
        <v>0.41666666666666669</v>
      </c>
      <c r="C43" s="99">
        <v>41664</v>
      </c>
      <c r="D43" s="114">
        <v>0.45833333333333331</v>
      </c>
      <c r="E43" s="100" t="s">
        <v>2660</v>
      </c>
      <c r="F43" s="303" t="s">
        <v>674</v>
      </c>
      <c r="G43" s="100" t="s">
        <v>2613</v>
      </c>
      <c r="H43" s="105" t="s">
        <v>45</v>
      </c>
      <c r="I43" s="102" t="s">
        <v>45</v>
      </c>
    </row>
    <row r="44" spans="1:9" ht="15" customHeight="1">
      <c r="A44" s="97">
        <v>41665</v>
      </c>
      <c r="B44" s="114">
        <v>0.95833333333333337</v>
      </c>
      <c r="C44" s="100" t="s">
        <v>45</v>
      </c>
      <c r="D44" s="114" t="s">
        <v>45</v>
      </c>
      <c r="E44" s="100" t="s">
        <v>2288</v>
      </c>
      <c r="F44" s="303" t="s">
        <v>826</v>
      </c>
      <c r="G44" s="100" t="s">
        <v>2202</v>
      </c>
      <c r="H44" s="105" t="s">
        <v>45</v>
      </c>
      <c r="I44" s="102" t="s">
        <v>45</v>
      </c>
    </row>
    <row r="45" spans="1:9" ht="15" customHeight="1">
      <c r="A45" s="97">
        <v>41665</v>
      </c>
      <c r="B45" s="114">
        <v>0.875</v>
      </c>
      <c r="C45" s="99">
        <v>41666</v>
      </c>
      <c r="D45" s="114">
        <v>0.45833333333333331</v>
      </c>
      <c r="E45" s="100" t="s">
        <v>2152</v>
      </c>
      <c r="F45" s="303" t="s">
        <v>124</v>
      </c>
      <c r="G45" s="100" t="s">
        <v>2613</v>
      </c>
      <c r="H45" s="105" t="s">
        <v>255</v>
      </c>
      <c r="I45" s="102" t="s">
        <v>255</v>
      </c>
    </row>
    <row r="46" spans="1:9" ht="15" customHeight="1">
      <c r="A46" s="97">
        <v>41666</v>
      </c>
      <c r="B46" s="114">
        <v>0.59722222222222221</v>
      </c>
      <c r="C46" s="99">
        <v>41667</v>
      </c>
      <c r="D46" s="114">
        <v>0.875</v>
      </c>
      <c r="E46" s="100" t="s">
        <v>2123</v>
      </c>
      <c r="F46" s="303" t="s">
        <v>826</v>
      </c>
      <c r="G46" s="100" t="s">
        <v>2647</v>
      </c>
      <c r="H46" s="105" t="s">
        <v>45</v>
      </c>
      <c r="I46" s="102" t="s">
        <v>45</v>
      </c>
    </row>
    <row r="47" spans="1:9" ht="15" customHeight="1">
      <c r="A47" s="97">
        <v>41668</v>
      </c>
      <c r="B47" s="114">
        <v>0.66666666666666663</v>
      </c>
      <c r="C47" s="99">
        <v>41668</v>
      </c>
      <c r="D47" s="114">
        <v>0.6972222222222223</v>
      </c>
      <c r="E47" s="100" t="s">
        <v>45</v>
      </c>
      <c r="F47" s="303" t="s">
        <v>674</v>
      </c>
      <c r="G47" s="100" t="s">
        <v>2613</v>
      </c>
      <c r="H47" s="105" t="s">
        <v>45</v>
      </c>
      <c r="I47" s="102" t="s">
        <v>45</v>
      </c>
    </row>
    <row r="48" spans="1:9" ht="15" customHeight="1">
      <c r="A48" s="307">
        <v>41669</v>
      </c>
      <c r="B48" s="308">
        <v>0.625</v>
      </c>
      <c r="C48" s="309" t="s">
        <v>45</v>
      </c>
      <c r="D48" s="308" t="s">
        <v>45</v>
      </c>
      <c r="E48" s="309" t="s">
        <v>24</v>
      </c>
      <c r="F48" s="310" t="s">
        <v>124</v>
      </c>
      <c r="G48" s="309" t="s">
        <v>2613</v>
      </c>
      <c r="H48" s="311" t="s">
        <v>45</v>
      </c>
      <c r="I48" s="312" t="s">
        <v>45</v>
      </c>
    </row>
    <row r="49" spans="1:9" s="319" customFormat="1" ht="15" hidden="1" customHeight="1">
      <c r="A49" s="851" t="s">
        <v>2128</v>
      </c>
      <c r="B49" s="852"/>
      <c r="C49" s="313"/>
      <c r="D49" s="314"/>
      <c r="E49" s="315"/>
      <c r="F49" s="316"/>
      <c r="G49" s="315"/>
      <c r="H49" s="317"/>
      <c r="I49" s="318"/>
    </row>
    <row r="50" spans="1:9" s="319" customFormat="1">
      <c r="A50" s="320">
        <v>41675</v>
      </c>
      <c r="B50" s="321">
        <v>0</v>
      </c>
      <c r="C50" s="322">
        <v>41679</v>
      </c>
      <c r="D50" s="321">
        <v>0.75</v>
      </c>
      <c r="E50" s="304" t="s">
        <v>2661</v>
      </c>
      <c r="F50" s="304" t="s">
        <v>826</v>
      </c>
      <c r="G50" s="304" t="s">
        <v>2662</v>
      </c>
      <c r="H50" s="305" t="s">
        <v>45</v>
      </c>
      <c r="I50" s="306">
        <v>101580</v>
      </c>
    </row>
    <row r="51" spans="1:9" s="319" customFormat="1">
      <c r="A51" s="320">
        <v>41675</v>
      </c>
      <c r="B51" s="321">
        <v>4.1666666666666664E-2</v>
      </c>
      <c r="C51" s="322">
        <v>41679</v>
      </c>
      <c r="D51" s="321">
        <v>0.86111111111111116</v>
      </c>
      <c r="E51" s="304" t="s">
        <v>171</v>
      </c>
      <c r="F51" s="304" t="s">
        <v>826</v>
      </c>
      <c r="G51" s="304" t="s">
        <v>2662</v>
      </c>
      <c r="H51" s="305" t="s">
        <v>45</v>
      </c>
      <c r="I51" s="306">
        <v>144000</v>
      </c>
    </row>
    <row r="52" spans="1:9" s="319" customFormat="1">
      <c r="A52" s="320">
        <v>41675</v>
      </c>
      <c r="B52" s="321">
        <v>0.20833333333333334</v>
      </c>
      <c r="C52" s="322">
        <v>41675</v>
      </c>
      <c r="D52" s="321">
        <v>0.20902777777777778</v>
      </c>
      <c r="E52" s="304" t="s">
        <v>171</v>
      </c>
      <c r="F52" s="304" t="s">
        <v>826</v>
      </c>
      <c r="G52" s="304" t="s">
        <v>2662</v>
      </c>
      <c r="H52" s="305" t="s">
        <v>45</v>
      </c>
      <c r="I52" s="306">
        <v>715000</v>
      </c>
    </row>
    <row r="53" spans="1:9" s="319" customFormat="1">
      <c r="A53" s="320">
        <v>41675</v>
      </c>
      <c r="B53" s="321">
        <v>0.29166666666666669</v>
      </c>
      <c r="C53" s="322">
        <v>41693</v>
      </c>
      <c r="D53" s="321">
        <v>0.29166666666666669</v>
      </c>
      <c r="E53" s="304" t="s">
        <v>30</v>
      </c>
      <c r="F53" s="304" t="s">
        <v>61</v>
      </c>
      <c r="G53" s="172" t="s">
        <v>2659</v>
      </c>
      <c r="H53" s="305">
        <v>300</v>
      </c>
      <c r="I53" s="306" t="s">
        <v>45</v>
      </c>
    </row>
    <row r="54" spans="1:9" s="319" customFormat="1">
      <c r="A54" s="320">
        <v>41675</v>
      </c>
      <c r="B54" s="321">
        <v>0.31597222222222221</v>
      </c>
      <c r="C54" s="322">
        <v>41677</v>
      </c>
      <c r="D54" s="321">
        <v>0.16874999999999998</v>
      </c>
      <c r="E54" s="304" t="s">
        <v>2663</v>
      </c>
      <c r="F54" s="304" t="s">
        <v>826</v>
      </c>
      <c r="G54" s="304" t="s">
        <v>2662</v>
      </c>
      <c r="H54" s="305" t="s">
        <v>45</v>
      </c>
      <c r="I54" s="306">
        <v>62159</v>
      </c>
    </row>
    <row r="55" spans="1:9" s="319" customFormat="1">
      <c r="A55" s="320">
        <v>41675</v>
      </c>
      <c r="B55" s="321">
        <v>0.33680555555555558</v>
      </c>
      <c r="C55" s="322">
        <v>41675</v>
      </c>
      <c r="D55" s="321">
        <v>0.33749999999999997</v>
      </c>
      <c r="E55" s="304" t="s">
        <v>2153</v>
      </c>
      <c r="F55" s="304" t="s">
        <v>826</v>
      </c>
      <c r="G55" s="304" t="s">
        <v>2664</v>
      </c>
      <c r="H55" s="305">
        <v>800</v>
      </c>
      <c r="I55" s="306">
        <v>181000</v>
      </c>
    </row>
    <row r="56" spans="1:9" s="319" customFormat="1">
      <c r="A56" s="320">
        <v>41676</v>
      </c>
      <c r="B56" s="321">
        <v>0.54166666666666663</v>
      </c>
      <c r="C56" s="322">
        <v>41676</v>
      </c>
      <c r="D56" s="321">
        <v>0.91666666666666663</v>
      </c>
      <c r="E56" s="304" t="s">
        <v>18</v>
      </c>
      <c r="F56" s="304" t="s">
        <v>124</v>
      </c>
      <c r="G56" s="172" t="s">
        <v>2652</v>
      </c>
      <c r="H56" s="305">
        <v>4000</v>
      </c>
      <c r="I56" s="306" t="s">
        <v>45</v>
      </c>
    </row>
    <row r="57" spans="1:9" s="319" customFormat="1">
      <c r="A57" s="320">
        <v>41676</v>
      </c>
      <c r="B57" s="321">
        <v>0.54513888888888895</v>
      </c>
      <c r="C57" s="322">
        <v>41676</v>
      </c>
      <c r="D57" s="321">
        <v>0.80208333333333337</v>
      </c>
      <c r="E57" s="304" t="s">
        <v>141</v>
      </c>
      <c r="F57" s="304" t="s">
        <v>124</v>
      </c>
      <c r="G57" s="172" t="s">
        <v>2652</v>
      </c>
      <c r="H57" s="305">
        <v>160</v>
      </c>
      <c r="I57" s="306" t="s">
        <v>45</v>
      </c>
    </row>
    <row r="58" spans="1:9" s="319" customFormat="1">
      <c r="A58" s="320">
        <v>41676</v>
      </c>
      <c r="B58" s="321">
        <v>0.58194444444444449</v>
      </c>
      <c r="C58" s="322">
        <v>41676</v>
      </c>
      <c r="D58" s="321">
        <v>0.86111111111111116</v>
      </c>
      <c r="E58" s="304" t="s">
        <v>2665</v>
      </c>
      <c r="F58" s="304" t="s">
        <v>1352</v>
      </c>
      <c r="G58" s="172" t="s">
        <v>2221</v>
      </c>
      <c r="H58" s="305" t="s">
        <v>45</v>
      </c>
      <c r="I58" s="306" t="s">
        <v>45</v>
      </c>
    </row>
    <row r="59" spans="1:9" s="319" customFormat="1">
      <c r="A59" s="320">
        <v>41676</v>
      </c>
      <c r="B59" s="321">
        <v>0.59375</v>
      </c>
      <c r="C59" s="322">
        <v>41676</v>
      </c>
      <c r="D59" s="321">
        <v>0.81874999999999998</v>
      </c>
      <c r="E59" s="304" t="s">
        <v>18</v>
      </c>
      <c r="F59" s="304" t="s">
        <v>124</v>
      </c>
      <c r="G59" s="172" t="s">
        <v>2652</v>
      </c>
      <c r="H59" s="305">
        <v>611</v>
      </c>
      <c r="I59" s="306" t="s">
        <v>45</v>
      </c>
    </row>
    <row r="60" spans="1:9" s="319" customFormat="1">
      <c r="A60" s="320">
        <v>41676</v>
      </c>
      <c r="B60" s="321">
        <v>0.64930555555555558</v>
      </c>
      <c r="C60" s="322">
        <v>41677</v>
      </c>
      <c r="D60" s="321">
        <v>0.47916666666666669</v>
      </c>
      <c r="E60" s="304" t="s">
        <v>2666</v>
      </c>
      <c r="F60" s="304" t="s">
        <v>1352</v>
      </c>
      <c r="G60" s="172" t="s">
        <v>2221</v>
      </c>
      <c r="H60" s="305" t="s">
        <v>45</v>
      </c>
      <c r="I60" s="306" t="s">
        <v>45</v>
      </c>
    </row>
    <row r="61" spans="1:9" s="319" customFormat="1">
      <c r="A61" s="320">
        <v>41677</v>
      </c>
      <c r="B61" s="321">
        <v>0.29166666666666669</v>
      </c>
      <c r="C61" s="322">
        <v>41719</v>
      </c>
      <c r="D61" s="321">
        <v>0.33333333333333331</v>
      </c>
      <c r="E61" s="304" t="s">
        <v>2667</v>
      </c>
      <c r="F61" s="304" t="s">
        <v>61</v>
      </c>
      <c r="G61" s="172" t="s">
        <v>2659</v>
      </c>
      <c r="H61" s="305">
        <v>675</v>
      </c>
      <c r="I61" s="306" t="s">
        <v>45</v>
      </c>
    </row>
    <row r="62" spans="1:9" s="319" customFormat="1">
      <c r="A62" s="320">
        <v>41677</v>
      </c>
      <c r="B62" s="321">
        <v>0.6875</v>
      </c>
      <c r="C62" s="322">
        <v>41678</v>
      </c>
      <c r="D62" s="321">
        <v>0.375</v>
      </c>
      <c r="E62" s="304" t="s">
        <v>2666</v>
      </c>
      <c r="F62" s="304" t="s">
        <v>1352</v>
      </c>
      <c r="G62" s="172" t="s">
        <v>2221</v>
      </c>
      <c r="H62" s="305" t="s">
        <v>45</v>
      </c>
      <c r="I62" s="306" t="s">
        <v>45</v>
      </c>
    </row>
    <row r="63" spans="1:9" s="319" customFormat="1">
      <c r="A63" s="320">
        <v>41677</v>
      </c>
      <c r="B63" s="321">
        <v>0.70138888888888884</v>
      </c>
      <c r="C63" s="322">
        <v>41677</v>
      </c>
      <c r="D63" s="321">
        <v>0.85416666666666663</v>
      </c>
      <c r="E63" s="304" t="s">
        <v>166</v>
      </c>
      <c r="F63" s="304" t="s">
        <v>1352</v>
      </c>
      <c r="G63" s="172" t="s">
        <v>2221</v>
      </c>
      <c r="H63" s="305" t="s">
        <v>45</v>
      </c>
      <c r="I63" s="306" t="s">
        <v>45</v>
      </c>
    </row>
    <row r="64" spans="1:9" s="319" customFormat="1">
      <c r="A64" s="320">
        <v>41682</v>
      </c>
      <c r="B64" s="321">
        <v>0.32500000000000001</v>
      </c>
      <c r="C64" s="322">
        <v>41685</v>
      </c>
      <c r="D64" s="321">
        <v>0.1875</v>
      </c>
      <c r="E64" s="304" t="s">
        <v>2668</v>
      </c>
      <c r="F64" s="304" t="s">
        <v>63</v>
      </c>
      <c r="G64" s="304" t="s">
        <v>2662</v>
      </c>
      <c r="H64" s="305">
        <v>1246</v>
      </c>
      <c r="I64" s="306">
        <v>373835</v>
      </c>
    </row>
    <row r="65" spans="1:9" s="319" customFormat="1">
      <c r="A65" s="320">
        <v>41682</v>
      </c>
      <c r="B65" s="321">
        <v>0.4604166666666667</v>
      </c>
      <c r="C65" s="322">
        <v>41685</v>
      </c>
      <c r="D65" s="321">
        <v>0.3611111111111111</v>
      </c>
      <c r="E65" s="304" t="s">
        <v>108</v>
      </c>
      <c r="F65" s="304" t="s">
        <v>63</v>
      </c>
      <c r="G65" s="304" t="s">
        <v>2662</v>
      </c>
      <c r="H65" s="305">
        <v>700</v>
      </c>
      <c r="I65" s="306">
        <v>120124</v>
      </c>
    </row>
    <row r="66" spans="1:9" s="319" customFormat="1">
      <c r="A66" s="320">
        <v>41682</v>
      </c>
      <c r="B66" s="321">
        <v>0.50694444444444442</v>
      </c>
      <c r="C66" s="322">
        <v>41685</v>
      </c>
      <c r="D66" s="321">
        <v>0.63888888888888895</v>
      </c>
      <c r="E66" s="304" t="s">
        <v>2482</v>
      </c>
      <c r="F66" s="304" t="s">
        <v>63</v>
      </c>
      <c r="G66" s="304" t="s">
        <v>2662</v>
      </c>
      <c r="H66" s="305" t="s">
        <v>45</v>
      </c>
      <c r="I66" s="306">
        <v>200000</v>
      </c>
    </row>
    <row r="67" spans="1:9" s="319" customFormat="1">
      <c r="A67" s="320">
        <v>41682</v>
      </c>
      <c r="B67" s="321">
        <v>0.59375</v>
      </c>
      <c r="C67" s="322">
        <v>41682</v>
      </c>
      <c r="D67" s="321">
        <v>0.59444444444444444</v>
      </c>
      <c r="E67" s="304" t="s">
        <v>2245</v>
      </c>
      <c r="F67" s="304" t="s">
        <v>61</v>
      </c>
      <c r="G67" s="172" t="s">
        <v>2613</v>
      </c>
      <c r="H67" s="305" t="s">
        <v>45</v>
      </c>
      <c r="I67" s="306" t="s">
        <v>45</v>
      </c>
    </row>
    <row r="68" spans="1:9" s="319" customFormat="1">
      <c r="A68" s="320">
        <v>41684</v>
      </c>
      <c r="B68" s="321">
        <v>0.54166666666666663</v>
      </c>
      <c r="C68" s="322">
        <v>41684</v>
      </c>
      <c r="D68" s="321">
        <v>0.625</v>
      </c>
      <c r="E68" s="304" t="s">
        <v>2531</v>
      </c>
      <c r="F68" s="304" t="s">
        <v>124</v>
      </c>
      <c r="G68" s="172" t="s">
        <v>2613</v>
      </c>
      <c r="H68" s="305" t="s">
        <v>45</v>
      </c>
      <c r="I68" s="306" t="s">
        <v>45</v>
      </c>
    </row>
    <row r="69" spans="1:9" s="319" customFormat="1">
      <c r="A69" s="320">
        <v>41688</v>
      </c>
      <c r="B69" s="321">
        <v>0.77986111111111101</v>
      </c>
      <c r="C69" s="322">
        <v>41688</v>
      </c>
      <c r="D69" s="321">
        <v>0.78055555555555556</v>
      </c>
      <c r="E69" s="304" t="s">
        <v>2669</v>
      </c>
      <c r="F69" s="304" t="s">
        <v>124</v>
      </c>
      <c r="G69" s="172" t="s">
        <v>2613</v>
      </c>
      <c r="H69" s="305" t="s">
        <v>255</v>
      </c>
      <c r="I69" s="306" t="s">
        <v>255</v>
      </c>
    </row>
    <row r="70" spans="1:9" s="319" customFormat="1">
      <c r="A70" s="320">
        <v>41690</v>
      </c>
      <c r="B70" s="321">
        <v>0.69444444444444453</v>
      </c>
      <c r="C70" s="322">
        <v>41691</v>
      </c>
      <c r="D70" s="321">
        <v>0.99930555555555556</v>
      </c>
      <c r="E70" s="304" t="s">
        <v>2670</v>
      </c>
      <c r="F70" s="304" t="s">
        <v>63</v>
      </c>
      <c r="G70" s="304" t="s">
        <v>2662</v>
      </c>
      <c r="H70" s="305" t="s">
        <v>45</v>
      </c>
      <c r="I70" s="306">
        <v>66000</v>
      </c>
    </row>
    <row r="71" spans="1:9" s="319" customFormat="1" ht="19.5">
      <c r="A71" s="323">
        <v>41691</v>
      </c>
      <c r="B71" s="324">
        <v>0.12013888888888889</v>
      </c>
      <c r="C71" s="325">
        <v>41691</v>
      </c>
      <c r="D71" s="324">
        <v>0.875</v>
      </c>
      <c r="E71" s="326" t="s">
        <v>2668</v>
      </c>
      <c r="F71" s="326" t="s">
        <v>63</v>
      </c>
      <c r="G71" s="326" t="s">
        <v>2671</v>
      </c>
      <c r="H71" s="327">
        <v>221</v>
      </c>
      <c r="I71" s="328">
        <v>66445</v>
      </c>
    </row>
    <row r="72" spans="1:9" s="319" customFormat="1" ht="15" hidden="1" customHeight="1">
      <c r="A72" s="844" t="s">
        <v>20</v>
      </c>
      <c r="B72" s="845"/>
      <c r="C72" s="329"/>
      <c r="D72" s="330"/>
      <c r="E72" s="331"/>
      <c r="F72" s="332"/>
      <c r="G72" s="331"/>
      <c r="H72" s="333"/>
      <c r="I72" s="334"/>
    </row>
    <row r="73" spans="1:9" s="268" customFormat="1" ht="15" customHeight="1">
      <c r="A73" s="97">
        <v>41700</v>
      </c>
      <c r="B73" s="114">
        <v>0.79166666666666663</v>
      </c>
      <c r="C73" s="99">
        <v>41702</v>
      </c>
      <c r="D73" s="114">
        <v>0.375</v>
      </c>
      <c r="E73" s="100" t="s">
        <v>2666</v>
      </c>
      <c r="F73" s="100" t="s">
        <v>1352</v>
      </c>
      <c r="G73" s="100" t="s">
        <v>2647</v>
      </c>
      <c r="H73" s="100" t="s">
        <v>255</v>
      </c>
      <c r="I73" s="102" t="s">
        <v>255</v>
      </c>
    </row>
    <row r="74" spans="1:9" s="268" customFormat="1" ht="15" customHeight="1">
      <c r="A74" s="97">
        <v>41701</v>
      </c>
      <c r="B74" s="114">
        <v>0.72569444444444453</v>
      </c>
      <c r="C74" s="99">
        <v>41701</v>
      </c>
      <c r="D74" s="114">
        <v>0.72569444444444453</v>
      </c>
      <c r="E74" s="100" t="s">
        <v>30</v>
      </c>
      <c r="F74" s="100" t="s">
        <v>61</v>
      </c>
      <c r="G74" s="116" t="s">
        <v>2150</v>
      </c>
      <c r="H74" s="100" t="s">
        <v>45</v>
      </c>
      <c r="I74" s="102" t="s">
        <v>45</v>
      </c>
    </row>
    <row r="75" spans="1:9" s="268" customFormat="1" ht="15" customHeight="1">
      <c r="A75" s="97">
        <v>41701</v>
      </c>
      <c r="B75" s="114">
        <v>0.27777777777777779</v>
      </c>
      <c r="C75" s="99">
        <v>41701</v>
      </c>
      <c r="D75" s="114">
        <v>0.64444444444444449</v>
      </c>
      <c r="E75" s="100" t="s">
        <v>2650</v>
      </c>
      <c r="F75" s="100" t="s">
        <v>63</v>
      </c>
      <c r="G75" s="100" t="s">
        <v>2349</v>
      </c>
      <c r="H75" s="100" t="s">
        <v>45</v>
      </c>
      <c r="I75" s="102">
        <v>65904</v>
      </c>
    </row>
    <row r="76" spans="1:9" s="268" customFormat="1" ht="15" customHeight="1">
      <c r="A76" s="97">
        <v>41701</v>
      </c>
      <c r="B76" s="114">
        <v>7.4999999999999997E-2</v>
      </c>
      <c r="C76" s="99">
        <v>41701</v>
      </c>
      <c r="D76" s="114">
        <v>7.5694444444444439E-2</v>
      </c>
      <c r="E76" s="100" t="s">
        <v>2672</v>
      </c>
      <c r="F76" s="100" t="s">
        <v>124</v>
      </c>
      <c r="G76" s="116" t="s">
        <v>2530</v>
      </c>
      <c r="H76" s="100">
        <v>630</v>
      </c>
      <c r="I76" s="102" t="s">
        <v>45</v>
      </c>
    </row>
    <row r="77" spans="1:9" s="268" customFormat="1" ht="15" customHeight="1">
      <c r="A77" s="97">
        <v>41702</v>
      </c>
      <c r="B77" s="114">
        <v>0.37916666666666665</v>
      </c>
      <c r="C77" s="99">
        <v>41715</v>
      </c>
      <c r="D77" s="114">
        <v>0.37916666666666665</v>
      </c>
      <c r="E77" s="100" t="s">
        <v>2673</v>
      </c>
      <c r="F77" s="100" t="s">
        <v>674</v>
      </c>
      <c r="G77" s="116" t="s">
        <v>2659</v>
      </c>
      <c r="H77" s="100" t="s">
        <v>45</v>
      </c>
      <c r="I77" s="102" t="s">
        <v>45</v>
      </c>
    </row>
    <row r="78" spans="1:9" s="268" customFormat="1" ht="15" customHeight="1">
      <c r="A78" s="97">
        <v>41703</v>
      </c>
      <c r="B78" s="114">
        <v>0.71250000000000002</v>
      </c>
      <c r="C78" s="99">
        <v>41703</v>
      </c>
      <c r="D78" s="114">
        <v>0.71319444444444446</v>
      </c>
      <c r="E78" s="100" t="s">
        <v>2147</v>
      </c>
      <c r="F78" s="100" t="s">
        <v>124</v>
      </c>
      <c r="G78" s="116" t="s">
        <v>2202</v>
      </c>
      <c r="H78" s="100" t="s">
        <v>45</v>
      </c>
      <c r="I78" s="102" t="s">
        <v>45</v>
      </c>
    </row>
    <row r="79" spans="1:9" s="268" customFormat="1" ht="15" customHeight="1">
      <c r="A79" s="97">
        <v>41705</v>
      </c>
      <c r="B79" s="114">
        <v>0.14583333333333334</v>
      </c>
      <c r="C79" s="99">
        <v>41705</v>
      </c>
      <c r="D79" s="114">
        <v>0.875</v>
      </c>
      <c r="E79" s="100" t="s">
        <v>2674</v>
      </c>
      <c r="F79" s="100" t="s">
        <v>63</v>
      </c>
      <c r="G79" s="100" t="s">
        <v>2349</v>
      </c>
      <c r="H79" s="100">
        <v>1500</v>
      </c>
      <c r="I79" s="102">
        <v>370900</v>
      </c>
    </row>
    <row r="80" spans="1:9" s="268" customFormat="1" ht="15" customHeight="1">
      <c r="A80" s="97">
        <v>41709</v>
      </c>
      <c r="B80" s="114">
        <v>0</v>
      </c>
      <c r="C80" s="99">
        <v>41711</v>
      </c>
      <c r="D80" s="114">
        <v>0</v>
      </c>
      <c r="E80" s="100" t="s">
        <v>2675</v>
      </c>
      <c r="F80" s="100" t="s">
        <v>674</v>
      </c>
      <c r="G80" s="116" t="s">
        <v>2150</v>
      </c>
      <c r="H80" s="100" t="s">
        <v>45</v>
      </c>
      <c r="I80" s="102" t="s">
        <v>45</v>
      </c>
    </row>
    <row r="81" spans="1:9" s="268" customFormat="1" ht="15" customHeight="1">
      <c r="A81" s="97">
        <v>41710</v>
      </c>
      <c r="B81" s="114">
        <v>0.81597222222222221</v>
      </c>
      <c r="C81" s="99">
        <v>41711</v>
      </c>
      <c r="D81" s="114">
        <v>0.5</v>
      </c>
      <c r="E81" s="100" t="s">
        <v>2482</v>
      </c>
      <c r="F81" s="100" t="s">
        <v>63</v>
      </c>
      <c r="G81" s="100" t="s">
        <v>2175</v>
      </c>
      <c r="H81" s="100">
        <v>250</v>
      </c>
      <c r="I81" s="102">
        <v>61377</v>
      </c>
    </row>
    <row r="82" spans="1:9" s="268" customFormat="1" ht="15" customHeight="1">
      <c r="A82" s="97">
        <v>41712</v>
      </c>
      <c r="B82" s="114">
        <v>0.52361111111111114</v>
      </c>
      <c r="C82" s="99">
        <v>41712</v>
      </c>
      <c r="D82" s="114">
        <v>0.69791666666666663</v>
      </c>
      <c r="E82" s="100" t="s">
        <v>2675</v>
      </c>
      <c r="F82" s="100" t="s">
        <v>674</v>
      </c>
      <c r="G82" s="116" t="s">
        <v>2613</v>
      </c>
      <c r="H82" s="100" t="s">
        <v>45</v>
      </c>
      <c r="I82" s="102" t="s">
        <v>45</v>
      </c>
    </row>
    <row r="83" spans="1:9" s="268" customFormat="1" ht="15" customHeight="1">
      <c r="A83" s="97">
        <v>41715</v>
      </c>
      <c r="B83" s="114">
        <v>0.72569444444444453</v>
      </c>
      <c r="C83" s="99">
        <v>41716</v>
      </c>
      <c r="D83" s="114">
        <v>3.888888888888889E-2</v>
      </c>
      <c r="E83" s="100" t="s">
        <v>2676</v>
      </c>
      <c r="F83" s="100" t="s">
        <v>124</v>
      </c>
      <c r="G83" s="116" t="s">
        <v>2677</v>
      </c>
      <c r="H83" s="100" t="s">
        <v>255</v>
      </c>
      <c r="I83" s="102" t="s">
        <v>255</v>
      </c>
    </row>
    <row r="84" spans="1:9" ht="15" customHeight="1">
      <c r="A84" s="97">
        <v>41718</v>
      </c>
      <c r="B84" s="114">
        <v>0</v>
      </c>
      <c r="C84" s="99">
        <v>41718</v>
      </c>
      <c r="D84" s="114">
        <v>6.9444444444444447E-4</v>
      </c>
      <c r="E84" s="100" t="s">
        <v>30</v>
      </c>
      <c r="F84" s="100" t="s">
        <v>61</v>
      </c>
      <c r="G84" s="116" t="s">
        <v>2139</v>
      </c>
      <c r="H84" s="100" t="s">
        <v>45</v>
      </c>
      <c r="I84" s="335" t="s">
        <v>45</v>
      </c>
    </row>
    <row r="85" spans="1:9" s="268" customFormat="1" ht="15" customHeight="1">
      <c r="A85" s="97">
        <v>41722</v>
      </c>
      <c r="B85" s="114">
        <v>0.46319444444444446</v>
      </c>
      <c r="C85" s="99">
        <v>41722</v>
      </c>
      <c r="D85" s="114">
        <v>0.46388888888888885</v>
      </c>
      <c r="E85" s="100" t="s">
        <v>2147</v>
      </c>
      <c r="F85" s="100" t="s">
        <v>124</v>
      </c>
      <c r="G85" s="116" t="s">
        <v>2613</v>
      </c>
      <c r="H85" s="100" t="s">
        <v>255</v>
      </c>
      <c r="I85" s="102" t="s">
        <v>255</v>
      </c>
    </row>
    <row r="86" spans="1:9" s="268" customFormat="1" ht="15" customHeight="1">
      <c r="A86" s="97">
        <v>41724</v>
      </c>
      <c r="B86" s="114">
        <v>0.66666666666666663</v>
      </c>
      <c r="C86" s="99">
        <v>41739</v>
      </c>
      <c r="D86" s="114">
        <v>0.5</v>
      </c>
      <c r="E86" s="100" t="s">
        <v>2678</v>
      </c>
      <c r="F86" s="100" t="s">
        <v>674</v>
      </c>
      <c r="G86" s="116" t="s">
        <v>2202</v>
      </c>
      <c r="H86" s="100" t="s">
        <v>255</v>
      </c>
      <c r="I86" s="102" t="s">
        <v>255</v>
      </c>
    </row>
    <row r="87" spans="1:9" s="268" customFormat="1" ht="15" customHeight="1">
      <c r="A87" s="97">
        <v>41724</v>
      </c>
      <c r="B87" s="114">
        <v>0.56736111111111109</v>
      </c>
      <c r="C87" s="99">
        <v>41724</v>
      </c>
      <c r="D87" s="114">
        <v>0.60625000000000007</v>
      </c>
      <c r="E87" s="100" t="s">
        <v>2679</v>
      </c>
      <c r="F87" s="100" t="s">
        <v>124</v>
      </c>
      <c r="G87" s="116" t="s">
        <v>2037</v>
      </c>
      <c r="H87" s="100" t="s">
        <v>45</v>
      </c>
      <c r="I87" s="102" t="s">
        <v>45</v>
      </c>
    </row>
    <row r="88" spans="1:9" s="268" customFormat="1" ht="15" customHeight="1">
      <c r="A88" s="336">
        <v>41729</v>
      </c>
      <c r="B88" s="308">
        <v>0.65347222222222223</v>
      </c>
      <c r="C88" s="337">
        <v>41729</v>
      </c>
      <c r="D88" s="308">
        <v>0.83888888888888891</v>
      </c>
      <c r="E88" s="309" t="s">
        <v>2271</v>
      </c>
      <c r="F88" s="309" t="s">
        <v>255</v>
      </c>
      <c r="G88" s="338" t="s">
        <v>968</v>
      </c>
      <c r="H88" s="309" t="s">
        <v>45</v>
      </c>
      <c r="I88" s="312" t="s">
        <v>45</v>
      </c>
    </row>
    <row r="89" spans="1:9" s="268" customFormat="1" ht="15" hidden="1" customHeight="1">
      <c r="A89" s="844" t="s">
        <v>23</v>
      </c>
      <c r="B89" s="845"/>
      <c r="C89" s="329"/>
      <c r="D89" s="330"/>
      <c r="E89" s="331"/>
      <c r="F89" s="332"/>
      <c r="G89" s="331"/>
      <c r="H89" s="333"/>
      <c r="I89" s="334"/>
    </row>
    <row r="90" spans="1:9" ht="20.100000000000001" customHeight="1">
      <c r="A90" s="190">
        <v>41732</v>
      </c>
      <c r="B90" s="339">
        <v>0</v>
      </c>
      <c r="C90" s="192" t="s">
        <v>45</v>
      </c>
      <c r="D90" s="339" t="s">
        <v>45</v>
      </c>
      <c r="E90" s="340" t="s">
        <v>166</v>
      </c>
      <c r="F90" s="340" t="s">
        <v>1352</v>
      </c>
      <c r="G90" s="341" t="s">
        <v>2659</v>
      </c>
      <c r="H90" s="340" t="s">
        <v>45</v>
      </c>
      <c r="I90" s="342" t="s">
        <v>45</v>
      </c>
    </row>
    <row r="91" spans="1:9" ht="15" customHeight="1">
      <c r="A91" s="97">
        <v>41732</v>
      </c>
      <c r="B91" s="114">
        <v>0.61458333333333337</v>
      </c>
      <c r="C91" s="99">
        <v>41738</v>
      </c>
      <c r="D91" s="114">
        <v>0.49513888888888885</v>
      </c>
      <c r="E91" s="100" t="s">
        <v>2656</v>
      </c>
      <c r="F91" s="100" t="s">
        <v>674</v>
      </c>
      <c r="G91" s="172" t="s">
        <v>2659</v>
      </c>
      <c r="H91" s="100" t="s">
        <v>45</v>
      </c>
      <c r="I91" s="102" t="s">
        <v>45</v>
      </c>
    </row>
    <row r="92" spans="1:9" ht="15" customHeight="1">
      <c r="A92" s="97">
        <v>41733</v>
      </c>
      <c r="B92" s="114">
        <v>0.14583333333333334</v>
      </c>
      <c r="C92" s="99">
        <v>41733</v>
      </c>
      <c r="D92" s="114">
        <v>0.34375</v>
      </c>
      <c r="E92" s="100" t="s">
        <v>2265</v>
      </c>
      <c r="F92" s="100" t="s">
        <v>63</v>
      </c>
      <c r="G92" s="116" t="s">
        <v>2680</v>
      </c>
      <c r="H92" s="100" t="s">
        <v>45</v>
      </c>
      <c r="I92" s="335">
        <v>57200</v>
      </c>
    </row>
    <row r="93" spans="1:9" ht="20.100000000000001" customHeight="1">
      <c r="A93" s="97">
        <v>41737</v>
      </c>
      <c r="B93" s="114">
        <v>0.54166666666666663</v>
      </c>
      <c r="C93" s="99">
        <v>41737</v>
      </c>
      <c r="D93" s="114">
        <v>0.54236111111111118</v>
      </c>
      <c r="E93" s="100" t="s">
        <v>2681</v>
      </c>
      <c r="F93" s="100" t="s">
        <v>124</v>
      </c>
      <c r="G93" s="116" t="s">
        <v>2613</v>
      </c>
      <c r="H93" s="100" t="s">
        <v>45</v>
      </c>
      <c r="I93" s="335" t="s">
        <v>45</v>
      </c>
    </row>
    <row r="94" spans="1:9" ht="15" customHeight="1">
      <c r="A94" s="97">
        <v>41737</v>
      </c>
      <c r="B94" s="114">
        <v>0.46458333333333335</v>
      </c>
      <c r="C94" s="99">
        <v>41737</v>
      </c>
      <c r="D94" s="114">
        <v>0.47222222222222227</v>
      </c>
      <c r="E94" s="100" t="s">
        <v>2271</v>
      </c>
      <c r="F94" s="100" t="s">
        <v>255</v>
      </c>
      <c r="G94" s="100" t="s">
        <v>619</v>
      </c>
      <c r="H94" s="100" t="s">
        <v>45</v>
      </c>
      <c r="I94" s="335" t="s">
        <v>45</v>
      </c>
    </row>
    <row r="95" spans="1:9" ht="15" customHeight="1">
      <c r="A95" s="97">
        <v>41741</v>
      </c>
      <c r="B95" s="114">
        <v>0.76041666666666663</v>
      </c>
      <c r="C95" s="99">
        <v>41743</v>
      </c>
      <c r="D95" s="114">
        <v>0.375</v>
      </c>
      <c r="E95" s="100" t="s">
        <v>2682</v>
      </c>
      <c r="F95" s="100" t="s">
        <v>826</v>
      </c>
      <c r="G95" s="100" t="s">
        <v>2368</v>
      </c>
      <c r="H95" s="100" t="s">
        <v>45</v>
      </c>
      <c r="I95" s="335">
        <v>50000</v>
      </c>
    </row>
    <row r="96" spans="1:9" ht="15" customHeight="1">
      <c r="A96" s="97">
        <v>41741</v>
      </c>
      <c r="B96" s="114">
        <v>0.83333333333333337</v>
      </c>
      <c r="C96" s="99">
        <v>41744</v>
      </c>
      <c r="D96" s="114">
        <v>0.8125</v>
      </c>
      <c r="E96" s="100" t="s">
        <v>1833</v>
      </c>
      <c r="F96" s="100" t="s">
        <v>826</v>
      </c>
      <c r="G96" s="116" t="s">
        <v>22</v>
      </c>
      <c r="H96" s="100" t="s">
        <v>45</v>
      </c>
      <c r="I96" s="335">
        <v>164000</v>
      </c>
    </row>
    <row r="97" spans="1:9" ht="15" customHeight="1">
      <c r="A97" s="97">
        <v>41752</v>
      </c>
      <c r="B97" s="114">
        <v>0.82291666666666663</v>
      </c>
      <c r="C97" s="99">
        <v>41752</v>
      </c>
      <c r="D97" s="114">
        <v>0.85902777777777783</v>
      </c>
      <c r="E97" s="100" t="s">
        <v>2683</v>
      </c>
      <c r="F97" s="100" t="s">
        <v>63</v>
      </c>
      <c r="G97" s="116" t="s">
        <v>2684</v>
      </c>
      <c r="H97" s="100">
        <v>163</v>
      </c>
      <c r="I97" s="335">
        <v>28000</v>
      </c>
    </row>
    <row r="98" spans="1:9" ht="15" customHeight="1">
      <c r="A98" s="97">
        <v>41753</v>
      </c>
      <c r="B98" s="114">
        <v>0.62638888888888888</v>
      </c>
      <c r="C98" s="99">
        <v>41753</v>
      </c>
      <c r="D98" s="114">
        <v>0.71736111111111101</v>
      </c>
      <c r="E98" s="100" t="s">
        <v>2418</v>
      </c>
      <c r="F98" s="100" t="s">
        <v>124</v>
      </c>
      <c r="G98" s="116" t="s">
        <v>2037</v>
      </c>
      <c r="H98" s="100" t="s">
        <v>45</v>
      </c>
      <c r="I98" s="335" t="s">
        <v>45</v>
      </c>
    </row>
    <row r="99" spans="1:9" ht="15" customHeight="1">
      <c r="A99" s="97">
        <v>41754</v>
      </c>
      <c r="B99" s="114">
        <v>0.29166666666666669</v>
      </c>
      <c r="C99" s="99">
        <v>41754</v>
      </c>
      <c r="D99" s="114">
        <v>0.3125</v>
      </c>
      <c r="E99" s="100" t="s">
        <v>2646</v>
      </c>
      <c r="F99" s="100" t="s">
        <v>826</v>
      </c>
      <c r="G99" s="116" t="s">
        <v>2613</v>
      </c>
      <c r="H99" s="100" t="s">
        <v>45</v>
      </c>
      <c r="I99" s="335" t="s">
        <v>45</v>
      </c>
    </row>
    <row r="100" spans="1:9" ht="15" customHeight="1">
      <c r="A100" s="97">
        <v>41756</v>
      </c>
      <c r="B100" s="114">
        <v>0.38541666666666669</v>
      </c>
      <c r="C100" s="99" t="s">
        <v>45</v>
      </c>
      <c r="D100" s="114" t="s">
        <v>45</v>
      </c>
      <c r="E100" s="100" t="s">
        <v>2418</v>
      </c>
      <c r="F100" s="100" t="s">
        <v>124</v>
      </c>
      <c r="G100" s="116" t="s">
        <v>2037</v>
      </c>
      <c r="H100" s="100">
        <v>9750</v>
      </c>
      <c r="I100" s="335">
        <v>4000000</v>
      </c>
    </row>
    <row r="101" spans="1:9" ht="15" customHeight="1">
      <c r="A101" s="97">
        <v>41756</v>
      </c>
      <c r="B101" s="114">
        <v>0.50486111111111109</v>
      </c>
      <c r="C101" s="99">
        <v>41756</v>
      </c>
      <c r="D101" s="114">
        <v>0.50624999999999998</v>
      </c>
      <c r="E101" s="100" t="s">
        <v>2685</v>
      </c>
      <c r="F101" s="100" t="s">
        <v>124</v>
      </c>
      <c r="G101" s="116" t="s">
        <v>2613</v>
      </c>
      <c r="H101" s="100" t="s">
        <v>45</v>
      </c>
      <c r="I101" s="335" t="s">
        <v>45</v>
      </c>
    </row>
    <row r="102" spans="1:9" ht="15" customHeight="1">
      <c r="A102" s="97">
        <v>41758</v>
      </c>
      <c r="B102" s="114">
        <v>0.97916666666666663</v>
      </c>
      <c r="C102" s="99">
        <v>41758</v>
      </c>
      <c r="D102" s="114">
        <v>0.52083333333333337</v>
      </c>
      <c r="E102" s="100" t="s">
        <v>2686</v>
      </c>
      <c r="F102" s="100" t="s">
        <v>63</v>
      </c>
      <c r="G102" s="116" t="s">
        <v>2368</v>
      </c>
      <c r="H102" s="100">
        <v>355</v>
      </c>
      <c r="I102" s="335">
        <v>106648</v>
      </c>
    </row>
    <row r="103" spans="1:9" ht="20.100000000000001" customHeight="1">
      <c r="A103" s="97">
        <v>41758</v>
      </c>
      <c r="B103" s="114">
        <v>0.40069444444444446</v>
      </c>
      <c r="C103" s="99">
        <v>41760</v>
      </c>
      <c r="D103" s="114">
        <v>0.375</v>
      </c>
      <c r="E103" s="100" t="s">
        <v>2687</v>
      </c>
      <c r="F103" s="100" t="s">
        <v>63</v>
      </c>
      <c r="G103" s="116" t="s">
        <v>2368</v>
      </c>
      <c r="H103" s="100" t="s">
        <v>45</v>
      </c>
      <c r="I103" s="335">
        <v>57000</v>
      </c>
    </row>
    <row r="104" spans="1:9" ht="15" customHeight="1">
      <c r="A104" s="97">
        <v>41759</v>
      </c>
      <c r="B104" s="114">
        <v>0.15972222222222224</v>
      </c>
      <c r="C104" s="99">
        <v>41759</v>
      </c>
      <c r="D104" s="114">
        <v>0.58333333333333337</v>
      </c>
      <c r="E104" s="100" t="s">
        <v>2688</v>
      </c>
      <c r="F104" s="100" t="s">
        <v>63</v>
      </c>
      <c r="G104" s="116" t="s">
        <v>2368</v>
      </c>
      <c r="H104" s="100">
        <v>296</v>
      </c>
      <c r="I104" s="335">
        <v>89000</v>
      </c>
    </row>
    <row r="105" spans="1:9" s="268" customFormat="1" ht="15" hidden="1" customHeight="1">
      <c r="A105" s="844" t="s">
        <v>103</v>
      </c>
      <c r="B105" s="845"/>
      <c r="C105" s="329"/>
      <c r="D105" s="330"/>
      <c r="E105" s="331"/>
      <c r="F105" s="332"/>
      <c r="G105" s="331"/>
      <c r="H105" s="333"/>
      <c r="I105" s="334"/>
    </row>
    <row r="106" spans="1:9" s="268" customFormat="1" ht="15" customHeight="1">
      <c r="A106" s="139">
        <v>41767</v>
      </c>
      <c r="B106" s="213">
        <v>0.36041666666666666</v>
      </c>
      <c r="C106" s="141">
        <v>41767</v>
      </c>
      <c r="D106" s="213">
        <v>0.3611111111111111</v>
      </c>
      <c r="E106" s="172" t="s">
        <v>2689</v>
      </c>
      <c r="F106" s="172" t="s">
        <v>124</v>
      </c>
      <c r="G106" s="172" t="s">
        <v>2202</v>
      </c>
      <c r="H106" s="172" t="s">
        <v>45</v>
      </c>
      <c r="I106" s="343" t="s">
        <v>45</v>
      </c>
    </row>
    <row r="107" spans="1:9" s="268" customFormat="1" ht="15" customHeight="1">
      <c r="A107" s="139">
        <v>41767</v>
      </c>
      <c r="B107" s="213">
        <v>4.1666666666666664E-2</v>
      </c>
      <c r="C107" s="141">
        <v>41767</v>
      </c>
      <c r="D107" s="213">
        <v>4.2361111111111106E-2</v>
      </c>
      <c r="E107" s="172" t="s">
        <v>2690</v>
      </c>
      <c r="F107" s="172" t="s">
        <v>63</v>
      </c>
      <c r="G107" s="172" t="s">
        <v>2202</v>
      </c>
      <c r="H107" s="172" t="s">
        <v>45</v>
      </c>
      <c r="I107" s="343" t="s">
        <v>45</v>
      </c>
    </row>
    <row r="108" spans="1:9" s="268" customFormat="1" ht="15" customHeight="1">
      <c r="A108" s="139">
        <v>41768</v>
      </c>
      <c r="B108" s="213">
        <v>0.75</v>
      </c>
      <c r="C108" s="141">
        <v>41770</v>
      </c>
      <c r="D108" s="213">
        <v>0.54166666666666663</v>
      </c>
      <c r="E108" s="172" t="s">
        <v>1470</v>
      </c>
      <c r="F108" s="172" t="s">
        <v>826</v>
      </c>
      <c r="G108" s="172" t="s">
        <v>2615</v>
      </c>
      <c r="H108" s="172" t="s">
        <v>45</v>
      </c>
      <c r="I108" s="239">
        <v>56000</v>
      </c>
    </row>
    <row r="109" spans="1:9" s="268" customFormat="1" ht="15" customHeight="1">
      <c r="A109" s="139">
        <v>41770</v>
      </c>
      <c r="B109" s="213">
        <v>0.77638888888888891</v>
      </c>
      <c r="C109" s="141">
        <v>41770</v>
      </c>
      <c r="D109" s="213">
        <v>0.77708333333333324</v>
      </c>
      <c r="E109" s="172" t="s">
        <v>2691</v>
      </c>
      <c r="F109" s="172" t="s">
        <v>674</v>
      </c>
      <c r="G109" s="172" t="s">
        <v>2613</v>
      </c>
      <c r="H109" s="172" t="s">
        <v>45</v>
      </c>
      <c r="I109" s="343" t="s">
        <v>45</v>
      </c>
    </row>
    <row r="110" spans="1:9" s="268" customFormat="1" ht="15" customHeight="1">
      <c r="A110" s="139">
        <v>41771</v>
      </c>
      <c r="B110" s="213">
        <v>0.55138888888888882</v>
      </c>
      <c r="C110" s="141">
        <v>41771</v>
      </c>
      <c r="D110" s="213">
        <v>0.55208333333333337</v>
      </c>
      <c r="E110" s="172" t="s">
        <v>2692</v>
      </c>
      <c r="F110" s="172" t="s">
        <v>124</v>
      </c>
      <c r="G110" s="172" t="s">
        <v>2613</v>
      </c>
      <c r="H110" s="172" t="s">
        <v>45</v>
      </c>
      <c r="I110" s="343" t="s">
        <v>45</v>
      </c>
    </row>
    <row r="111" spans="1:9" s="268" customFormat="1" ht="17.25" customHeight="1">
      <c r="A111" s="139">
        <v>41773</v>
      </c>
      <c r="B111" s="213">
        <v>0.64861111111111114</v>
      </c>
      <c r="C111" s="99" t="s">
        <v>45</v>
      </c>
      <c r="D111" s="114" t="s">
        <v>45</v>
      </c>
      <c r="E111" s="172" t="s">
        <v>2693</v>
      </c>
      <c r="F111" s="172" t="s">
        <v>124</v>
      </c>
      <c r="G111" s="172" t="s">
        <v>2694</v>
      </c>
      <c r="H111" s="172" t="s">
        <v>255</v>
      </c>
      <c r="I111" s="343">
        <v>426</v>
      </c>
    </row>
    <row r="112" spans="1:9" s="268" customFormat="1" ht="17.25" customHeight="1">
      <c r="A112" s="139">
        <v>41774</v>
      </c>
      <c r="B112" s="213">
        <v>0.4465277777777778</v>
      </c>
      <c r="C112" s="99" t="s">
        <v>45</v>
      </c>
      <c r="D112" s="114" t="s">
        <v>45</v>
      </c>
      <c r="E112" s="172" t="s">
        <v>2693</v>
      </c>
      <c r="F112" s="172" t="s">
        <v>124</v>
      </c>
      <c r="G112" s="172" t="s">
        <v>2694</v>
      </c>
      <c r="H112" s="240">
        <v>3300</v>
      </c>
      <c r="I112" s="239">
        <v>1400000</v>
      </c>
    </row>
    <row r="113" spans="1:9" s="268" customFormat="1" ht="20.100000000000001" customHeight="1">
      <c r="A113" s="139">
        <v>41774</v>
      </c>
      <c r="B113" s="213">
        <v>0.50694444444444442</v>
      </c>
      <c r="C113" s="141">
        <v>41774</v>
      </c>
      <c r="D113" s="213">
        <v>0.50902777777777775</v>
      </c>
      <c r="E113" s="172" t="s">
        <v>2695</v>
      </c>
      <c r="F113" s="172" t="s">
        <v>826</v>
      </c>
      <c r="G113" s="172" t="s">
        <v>2150</v>
      </c>
      <c r="H113" s="172" t="s">
        <v>255</v>
      </c>
      <c r="I113" s="343" t="s">
        <v>255</v>
      </c>
    </row>
    <row r="114" spans="1:9" s="268" customFormat="1" ht="20.100000000000001" customHeight="1">
      <c r="A114" s="139">
        <v>41775</v>
      </c>
      <c r="B114" s="213">
        <v>0.4465277777777778</v>
      </c>
      <c r="C114" s="141">
        <v>41775</v>
      </c>
      <c r="D114" s="213">
        <v>0.875</v>
      </c>
      <c r="E114" s="172" t="s">
        <v>2693</v>
      </c>
      <c r="F114" s="172" t="s">
        <v>124</v>
      </c>
      <c r="G114" s="172" t="s">
        <v>2694</v>
      </c>
      <c r="H114" s="240">
        <v>3900</v>
      </c>
      <c r="I114" s="239">
        <v>1400000</v>
      </c>
    </row>
    <row r="115" spans="1:9" s="268" customFormat="1" ht="15" customHeight="1">
      <c r="A115" s="139">
        <v>41779</v>
      </c>
      <c r="B115" s="213">
        <v>0.29236111111111113</v>
      </c>
      <c r="C115" s="141">
        <v>41779</v>
      </c>
      <c r="D115" s="213">
        <v>0.29305555555555557</v>
      </c>
      <c r="E115" s="172" t="s">
        <v>2696</v>
      </c>
      <c r="F115" s="172" t="s">
        <v>124</v>
      </c>
      <c r="G115" s="172" t="s">
        <v>2613</v>
      </c>
      <c r="H115" s="240" t="s">
        <v>255</v>
      </c>
      <c r="I115" s="239" t="s">
        <v>255</v>
      </c>
    </row>
    <row r="116" spans="1:9" s="268" customFormat="1" ht="15" customHeight="1">
      <c r="A116" s="139">
        <v>41782</v>
      </c>
      <c r="B116" s="213">
        <v>0.625</v>
      </c>
      <c r="C116" s="141">
        <v>41784</v>
      </c>
      <c r="D116" s="213">
        <v>0.79166666666666663</v>
      </c>
      <c r="E116" s="172" t="s">
        <v>2482</v>
      </c>
      <c r="F116" s="172" t="s">
        <v>63</v>
      </c>
      <c r="G116" s="172" t="s">
        <v>2613</v>
      </c>
      <c r="H116" s="240" t="s">
        <v>45</v>
      </c>
      <c r="I116" s="239" t="s">
        <v>45</v>
      </c>
    </row>
    <row r="117" spans="1:9" s="268" customFormat="1" ht="15" customHeight="1">
      <c r="A117" s="139">
        <v>41785</v>
      </c>
      <c r="B117" s="213">
        <v>0.52152777777777781</v>
      </c>
      <c r="C117" s="141">
        <v>41785</v>
      </c>
      <c r="D117" s="213">
        <v>0.5541666666666667</v>
      </c>
      <c r="E117" s="172" t="s">
        <v>2697</v>
      </c>
      <c r="F117" s="172" t="s">
        <v>124</v>
      </c>
      <c r="G117" s="100" t="s">
        <v>2037</v>
      </c>
      <c r="H117" s="240" t="s">
        <v>45</v>
      </c>
      <c r="I117" s="239" t="s">
        <v>45</v>
      </c>
    </row>
    <row r="118" spans="1:9" s="268" customFormat="1" ht="15" customHeight="1">
      <c r="A118" s="139">
        <v>41786</v>
      </c>
      <c r="B118" s="213">
        <v>0.45833333333333331</v>
      </c>
      <c r="C118" s="141">
        <v>41786</v>
      </c>
      <c r="D118" s="213">
        <v>0.70347222222222217</v>
      </c>
      <c r="E118" s="172" t="s">
        <v>137</v>
      </c>
      <c r="F118" s="172" t="s">
        <v>124</v>
      </c>
      <c r="G118" s="172" t="s">
        <v>2613</v>
      </c>
      <c r="H118" s="240" t="s">
        <v>255</v>
      </c>
      <c r="I118" s="239" t="s">
        <v>255</v>
      </c>
    </row>
    <row r="119" spans="1:9" s="268" customFormat="1" ht="15" hidden="1" customHeight="1">
      <c r="A119" s="849" t="s">
        <v>123</v>
      </c>
      <c r="B119" s="853"/>
      <c r="C119" s="297"/>
      <c r="D119" s="298"/>
      <c r="E119" s="299"/>
      <c r="F119" s="300"/>
      <c r="G119" s="299"/>
      <c r="H119" s="301"/>
      <c r="I119" s="302"/>
    </row>
    <row r="120" spans="1:9" s="268" customFormat="1" ht="15" customHeight="1">
      <c r="A120" s="344">
        <v>41793</v>
      </c>
      <c r="B120" s="345">
        <v>6.805555555555555E-2</v>
      </c>
      <c r="C120" s="346">
        <v>41793</v>
      </c>
      <c r="D120" s="347">
        <v>7.1527777777777787E-2</v>
      </c>
      <c r="E120" s="163" t="s">
        <v>166</v>
      </c>
      <c r="F120" s="163" t="s">
        <v>90</v>
      </c>
      <c r="G120" s="100" t="s">
        <v>2613</v>
      </c>
      <c r="H120" s="82" t="s">
        <v>45</v>
      </c>
      <c r="I120" s="83" t="s">
        <v>45</v>
      </c>
    </row>
    <row r="121" spans="1:9" s="268" customFormat="1" ht="15" customHeight="1">
      <c r="A121" s="344">
        <v>41793</v>
      </c>
      <c r="B121" s="345">
        <v>0.64722222222222225</v>
      </c>
      <c r="C121" s="346">
        <v>41793</v>
      </c>
      <c r="D121" s="347">
        <v>0.66597222222222219</v>
      </c>
      <c r="E121" s="163" t="s">
        <v>2418</v>
      </c>
      <c r="F121" s="163" t="s">
        <v>124</v>
      </c>
      <c r="G121" s="100" t="s">
        <v>2655</v>
      </c>
      <c r="H121" s="82">
        <v>338</v>
      </c>
      <c r="I121" s="83" t="s">
        <v>255</v>
      </c>
    </row>
    <row r="122" spans="1:9" s="268" customFormat="1" ht="15" customHeight="1">
      <c r="A122" s="344">
        <v>41795</v>
      </c>
      <c r="B122" s="345">
        <v>0.125</v>
      </c>
      <c r="C122" s="346">
        <v>41797</v>
      </c>
      <c r="D122" s="347">
        <v>0.98958333333333337</v>
      </c>
      <c r="E122" s="163" t="s">
        <v>2164</v>
      </c>
      <c r="F122" s="163" t="s">
        <v>63</v>
      </c>
      <c r="G122" s="116" t="s">
        <v>2368</v>
      </c>
      <c r="H122" s="82">
        <v>494</v>
      </c>
      <c r="I122" s="83">
        <v>38500</v>
      </c>
    </row>
    <row r="123" spans="1:9" s="268" customFormat="1" ht="15" customHeight="1">
      <c r="A123" s="344">
        <v>41796</v>
      </c>
      <c r="B123" s="345">
        <v>0.54166666666666663</v>
      </c>
      <c r="C123" s="348" t="s">
        <v>45</v>
      </c>
      <c r="D123" s="347" t="s">
        <v>45</v>
      </c>
      <c r="E123" s="163" t="s">
        <v>166</v>
      </c>
      <c r="F123" s="163" t="s">
        <v>90</v>
      </c>
      <c r="G123" s="100" t="s">
        <v>2659</v>
      </c>
      <c r="H123" s="82" t="s">
        <v>45</v>
      </c>
      <c r="I123" s="83" t="s">
        <v>45</v>
      </c>
    </row>
    <row r="124" spans="1:9" s="268" customFormat="1" ht="15" customHeight="1">
      <c r="A124" s="344">
        <v>41795</v>
      </c>
      <c r="B124" s="345">
        <v>0.54583333333333328</v>
      </c>
      <c r="C124" s="346">
        <v>41795</v>
      </c>
      <c r="D124" s="347">
        <v>0.54652777777777783</v>
      </c>
      <c r="E124" s="163" t="s">
        <v>2698</v>
      </c>
      <c r="F124" s="163" t="s">
        <v>63</v>
      </c>
      <c r="G124" s="116" t="s">
        <v>2368</v>
      </c>
      <c r="H124" s="82" t="s">
        <v>45</v>
      </c>
      <c r="I124" s="83">
        <v>56475</v>
      </c>
    </row>
    <row r="125" spans="1:9" s="268" customFormat="1" ht="15" customHeight="1">
      <c r="A125" s="344">
        <v>41797</v>
      </c>
      <c r="B125" s="345">
        <v>0.95833333333333337</v>
      </c>
      <c r="C125" s="346">
        <v>41798</v>
      </c>
      <c r="D125" s="347">
        <v>0.22916666666666666</v>
      </c>
      <c r="E125" s="163" t="s">
        <v>2699</v>
      </c>
      <c r="F125" s="163" t="s">
        <v>63</v>
      </c>
      <c r="G125" s="116" t="s">
        <v>2368</v>
      </c>
      <c r="H125" s="82">
        <v>217</v>
      </c>
      <c r="I125" s="83">
        <v>65000</v>
      </c>
    </row>
    <row r="126" spans="1:9" s="268" customFormat="1" ht="15" customHeight="1">
      <c r="A126" s="344">
        <v>41799</v>
      </c>
      <c r="B126" s="345">
        <v>0.46319444444444446</v>
      </c>
      <c r="C126" s="346">
        <v>41799</v>
      </c>
      <c r="D126" s="347">
        <v>0.47916666666666669</v>
      </c>
      <c r="E126" s="163" t="s">
        <v>2418</v>
      </c>
      <c r="F126" s="163" t="s">
        <v>124</v>
      </c>
      <c r="G126" s="100" t="s">
        <v>2655</v>
      </c>
      <c r="H126" s="82" t="s">
        <v>45</v>
      </c>
      <c r="I126" s="83" t="s">
        <v>45</v>
      </c>
    </row>
    <row r="127" spans="1:9" s="268" customFormat="1" ht="18" customHeight="1">
      <c r="A127" s="344">
        <v>41801</v>
      </c>
      <c r="B127" s="345">
        <v>0.39583333333333331</v>
      </c>
      <c r="C127" s="346">
        <v>41801</v>
      </c>
      <c r="D127" s="347">
        <v>0.39652777777777781</v>
      </c>
      <c r="E127" s="163" t="s">
        <v>2700</v>
      </c>
      <c r="F127" s="163" t="s">
        <v>124</v>
      </c>
      <c r="G127" s="100" t="s">
        <v>2150</v>
      </c>
      <c r="H127" s="82" t="s">
        <v>255</v>
      </c>
      <c r="I127" s="83" t="s">
        <v>255</v>
      </c>
    </row>
    <row r="128" spans="1:9" s="268" customFormat="1" ht="15" customHeight="1">
      <c r="A128" s="344">
        <v>41800</v>
      </c>
      <c r="B128" s="345">
        <v>0.90972222222222221</v>
      </c>
      <c r="C128" s="346">
        <v>41801</v>
      </c>
      <c r="D128" s="347">
        <v>0.60416666666666663</v>
      </c>
      <c r="E128" s="163" t="s">
        <v>2402</v>
      </c>
      <c r="F128" s="163" t="s">
        <v>826</v>
      </c>
      <c r="G128" s="116" t="s">
        <v>2368</v>
      </c>
      <c r="H128" s="82" t="s">
        <v>45</v>
      </c>
      <c r="I128" s="83">
        <v>66383</v>
      </c>
    </row>
    <row r="129" spans="1:9" s="268" customFormat="1" ht="15" customHeight="1">
      <c r="A129" s="344">
        <v>41801</v>
      </c>
      <c r="B129" s="345">
        <v>0.66666666666666663</v>
      </c>
      <c r="C129" s="346">
        <v>41801</v>
      </c>
      <c r="D129" s="347">
        <v>0.6875</v>
      </c>
      <c r="E129" s="163" t="s">
        <v>2701</v>
      </c>
      <c r="F129" s="163" t="s">
        <v>63</v>
      </c>
      <c r="G129" s="100" t="s">
        <v>2613</v>
      </c>
      <c r="H129" s="82" t="s">
        <v>255</v>
      </c>
      <c r="I129" s="83" t="s">
        <v>255</v>
      </c>
    </row>
    <row r="130" spans="1:9" s="268" customFormat="1" ht="15" customHeight="1">
      <c r="A130" s="344">
        <v>41802</v>
      </c>
      <c r="B130" s="345">
        <v>0.38194444444444442</v>
      </c>
      <c r="C130" s="346">
        <v>41802</v>
      </c>
      <c r="D130" s="347">
        <v>0.38263888888888892</v>
      </c>
      <c r="E130" s="163" t="s">
        <v>2702</v>
      </c>
      <c r="F130" s="163" t="s">
        <v>90</v>
      </c>
      <c r="G130" s="100" t="s">
        <v>2150</v>
      </c>
      <c r="H130" s="82" t="s">
        <v>45</v>
      </c>
      <c r="I130" s="83" t="s">
        <v>45</v>
      </c>
    </row>
    <row r="131" spans="1:9" s="268" customFormat="1" ht="15" customHeight="1">
      <c r="A131" s="344">
        <v>41805</v>
      </c>
      <c r="B131" s="345">
        <v>0</v>
      </c>
      <c r="C131" s="346">
        <v>41805</v>
      </c>
      <c r="D131" s="347">
        <v>4.1666666666666664E-2</v>
      </c>
      <c r="E131" s="163" t="s">
        <v>2703</v>
      </c>
      <c r="F131" s="163" t="s">
        <v>674</v>
      </c>
      <c r="G131" s="116" t="s">
        <v>2368</v>
      </c>
      <c r="H131" s="82" t="s">
        <v>45</v>
      </c>
      <c r="I131" s="83">
        <v>55951</v>
      </c>
    </row>
    <row r="132" spans="1:9" s="268" customFormat="1" ht="15" customHeight="1">
      <c r="A132" s="344">
        <v>41808</v>
      </c>
      <c r="B132" s="345">
        <v>0.41111111111111115</v>
      </c>
      <c r="C132" s="346">
        <v>41808</v>
      </c>
      <c r="D132" s="347">
        <v>0.79166666666666663</v>
      </c>
      <c r="E132" s="163" t="s">
        <v>2575</v>
      </c>
      <c r="F132" s="163" t="s">
        <v>124</v>
      </c>
      <c r="G132" s="100" t="s">
        <v>2613</v>
      </c>
      <c r="H132" s="82" t="s">
        <v>45</v>
      </c>
      <c r="I132" s="83" t="s">
        <v>45</v>
      </c>
    </row>
    <row r="133" spans="1:9" s="268" customFormat="1" ht="15" customHeight="1">
      <c r="A133" s="344">
        <v>41808</v>
      </c>
      <c r="B133" s="345">
        <v>0.70833333333333337</v>
      </c>
      <c r="C133" s="346">
        <v>41810</v>
      </c>
      <c r="D133" s="347">
        <v>0.625</v>
      </c>
      <c r="E133" s="163" t="s">
        <v>420</v>
      </c>
      <c r="F133" s="163" t="s">
        <v>826</v>
      </c>
      <c r="G133" s="116" t="s">
        <v>2368</v>
      </c>
      <c r="H133" s="82" t="s">
        <v>45</v>
      </c>
      <c r="I133" s="83">
        <v>138802</v>
      </c>
    </row>
    <row r="134" spans="1:9" s="268" customFormat="1" ht="15" customHeight="1">
      <c r="A134" s="344">
        <v>41809</v>
      </c>
      <c r="B134" s="345">
        <v>0.3659722222222222</v>
      </c>
      <c r="C134" s="346">
        <v>41809</v>
      </c>
      <c r="D134" s="347">
        <v>0.3666666666666667</v>
      </c>
      <c r="E134" s="163" t="s">
        <v>2704</v>
      </c>
      <c r="F134" s="163" t="s">
        <v>63</v>
      </c>
      <c r="G134" s="100" t="s">
        <v>2613</v>
      </c>
      <c r="H134" s="82" t="s">
        <v>45</v>
      </c>
      <c r="I134" s="83" t="s">
        <v>45</v>
      </c>
    </row>
    <row r="135" spans="1:9" s="268" customFormat="1" ht="15" customHeight="1">
      <c r="A135" s="344">
        <v>41814</v>
      </c>
      <c r="B135" s="345">
        <v>0.62083333333333335</v>
      </c>
      <c r="C135" s="346">
        <v>41814</v>
      </c>
      <c r="D135" s="347">
        <v>0.62152777777777779</v>
      </c>
      <c r="E135" s="163" t="s">
        <v>2704</v>
      </c>
      <c r="F135" s="163" t="s">
        <v>63</v>
      </c>
      <c r="G135" s="100" t="s">
        <v>2613</v>
      </c>
      <c r="H135" s="82" t="s">
        <v>45</v>
      </c>
      <c r="I135" s="83" t="s">
        <v>45</v>
      </c>
    </row>
    <row r="136" spans="1:9" s="268" customFormat="1" ht="15" customHeight="1">
      <c r="A136" s="344">
        <v>41817</v>
      </c>
      <c r="B136" s="345">
        <v>0.55625000000000002</v>
      </c>
      <c r="C136" s="348" t="s">
        <v>45</v>
      </c>
      <c r="D136" s="347" t="s">
        <v>45</v>
      </c>
      <c r="E136" s="163" t="s">
        <v>2656</v>
      </c>
      <c r="F136" s="163" t="s">
        <v>674</v>
      </c>
      <c r="G136" s="100" t="s">
        <v>2659</v>
      </c>
      <c r="H136" s="82" t="s">
        <v>45</v>
      </c>
      <c r="I136" s="83" t="s">
        <v>45</v>
      </c>
    </row>
    <row r="137" spans="1:9" s="268" customFormat="1" ht="15" customHeight="1">
      <c r="A137" s="344">
        <v>41820</v>
      </c>
      <c r="B137" s="345">
        <v>0.74652777777777779</v>
      </c>
      <c r="C137" s="346">
        <v>41821</v>
      </c>
      <c r="D137" s="347">
        <v>0.12013888888888889</v>
      </c>
      <c r="E137" s="163" t="s">
        <v>2705</v>
      </c>
      <c r="F137" s="163" t="s">
        <v>674</v>
      </c>
      <c r="G137" s="116" t="s">
        <v>2368</v>
      </c>
      <c r="H137" s="82">
        <v>424</v>
      </c>
      <c r="I137" s="83">
        <v>120000</v>
      </c>
    </row>
    <row r="138" spans="1:9" s="268" customFormat="1" ht="15" customHeight="1">
      <c r="A138" s="344">
        <v>41820</v>
      </c>
      <c r="B138" s="345">
        <v>0.83333333333333337</v>
      </c>
      <c r="C138" s="346">
        <v>41822</v>
      </c>
      <c r="D138" s="347">
        <v>0.77083333333333337</v>
      </c>
      <c r="E138" s="163" t="s">
        <v>33</v>
      </c>
      <c r="F138" s="163" t="s">
        <v>826</v>
      </c>
      <c r="G138" s="116" t="s">
        <v>2368</v>
      </c>
      <c r="H138" s="82" t="s">
        <v>45</v>
      </c>
      <c r="I138" s="83">
        <v>420000</v>
      </c>
    </row>
    <row r="139" spans="1:9" s="268" customFormat="1" ht="15" customHeight="1">
      <c r="A139" s="344">
        <v>41820</v>
      </c>
      <c r="B139" s="345">
        <v>0.97222222222222221</v>
      </c>
      <c r="C139" s="346">
        <v>41821</v>
      </c>
      <c r="D139" s="347">
        <v>0.70833333333333337</v>
      </c>
      <c r="E139" s="163" t="s">
        <v>2626</v>
      </c>
      <c r="F139" s="163" t="s">
        <v>826</v>
      </c>
      <c r="G139" s="116" t="s">
        <v>2368</v>
      </c>
      <c r="H139" s="303" t="s">
        <v>45</v>
      </c>
      <c r="I139" s="83">
        <v>127000</v>
      </c>
    </row>
    <row r="140" spans="1:9" s="268" customFormat="1" ht="15" hidden="1" customHeight="1">
      <c r="A140" s="844" t="s">
        <v>26</v>
      </c>
      <c r="B140" s="845"/>
      <c r="C140" s="329"/>
      <c r="D140" s="330"/>
      <c r="E140" s="331"/>
      <c r="F140" s="332"/>
      <c r="G140" s="331"/>
      <c r="H140" s="333"/>
      <c r="I140" s="334"/>
    </row>
    <row r="141" spans="1:9" s="268" customFormat="1" ht="15" customHeight="1">
      <c r="A141" s="349">
        <v>41821</v>
      </c>
      <c r="B141" s="350">
        <v>0.20833333333333334</v>
      </c>
      <c r="C141" s="351">
        <v>41822</v>
      </c>
      <c r="D141" s="352">
        <v>8.3333333333333329E-2</v>
      </c>
      <c r="E141" s="193" t="s">
        <v>1962</v>
      </c>
      <c r="F141" s="193" t="s">
        <v>826</v>
      </c>
      <c r="G141" s="193" t="s">
        <v>2368</v>
      </c>
      <c r="H141" s="353" t="s">
        <v>45</v>
      </c>
      <c r="I141" s="354">
        <v>57237</v>
      </c>
    </row>
    <row r="142" spans="1:9" s="268" customFormat="1" ht="15" customHeight="1">
      <c r="A142" s="355">
        <v>41822</v>
      </c>
      <c r="B142" s="356">
        <v>0.36041666666666666</v>
      </c>
      <c r="C142" s="357">
        <v>41848</v>
      </c>
      <c r="D142" s="358">
        <v>0.63402777777777775</v>
      </c>
      <c r="E142" s="116" t="s">
        <v>2656</v>
      </c>
      <c r="F142" s="116" t="s">
        <v>674</v>
      </c>
      <c r="G142" s="100" t="s">
        <v>2659</v>
      </c>
      <c r="H142" s="303" t="s">
        <v>45</v>
      </c>
      <c r="I142" s="359" t="s">
        <v>45</v>
      </c>
    </row>
    <row r="143" spans="1:9" s="268" customFormat="1" ht="15" customHeight="1">
      <c r="A143" s="355">
        <v>41821</v>
      </c>
      <c r="B143" s="356">
        <v>0.14583333333333334</v>
      </c>
      <c r="C143" s="357" t="s">
        <v>45</v>
      </c>
      <c r="D143" s="358" t="s">
        <v>45</v>
      </c>
      <c r="E143" s="116" t="s">
        <v>1238</v>
      </c>
      <c r="F143" s="116" t="s">
        <v>826</v>
      </c>
      <c r="G143" s="116" t="s">
        <v>2368</v>
      </c>
      <c r="H143" s="303" t="s">
        <v>45</v>
      </c>
      <c r="I143" s="83">
        <v>51000</v>
      </c>
    </row>
    <row r="144" spans="1:9" s="268" customFormat="1" ht="15" customHeight="1">
      <c r="A144" s="355">
        <v>41821</v>
      </c>
      <c r="B144" s="356">
        <v>0.16666666666666666</v>
      </c>
      <c r="C144" s="357">
        <v>41823</v>
      </c>
      <c r="D144" s="358">
        <v>0.97916666666666663</v>
      </c>
      <c r="E144" s="116" t="s">
        <v>420</v>
      </c>
      <c r="F144" s="116" t="s">
        <v>826</v>
      </c>
      <c r="G144" s="116" t="s">
        <v>2368</v>
      </c>
      <c r="H144" s="303" t="s">
        <v>45</v>
      </c>
      <c r="I144" s="83">
        <v>140000</v>
      </c>
    </row>
    <row r="145" spans="1:12" s="268" customFormat="1" ht="15" customHeight="1">
      <c r="A145" s="355">
        <v>41823</v>
      </c>
      <c r="B145" s="356">
        <v>0.75</v>
      </c>
      <c r="C145" s="357">
        <v>41826</v>
      </c>
      <c r="D145" s="358">
        <v>0.5</v>
      </c>
      <c r="E145" s="116" t="s">
        <v>171</v>
      </c>
      <c r="F145" s="116" t="s">
        <v>826</v>
      </c>
      <c r="G145" s="116" t="s">
        <v>2368</v>
      </c>
      <c r="H145" s="303" t="s">
        <v>45</v>
      </c>
      <c r="I145" s="83">
        <v>298165</v>
      </c>
    </row>
    <row r="146" spans="1:12" s="268" customFormat="1" ht="30" customHeight="1">
      <c r="A146" s="355">
        <v>41823</v>
      </c>
      <c r="B146" s="356">
        <v>0.95486111111111116</v>
      </c>
      <c r="C146" s="357">
        <v>41824</v>
      </c>
      <c r="D146" s="358">
        <v>7.6388888888888895E-2</v>
      </c>
      <c r="E146" s="116" t="s">
        <v>2706</v>
      </c>
      <c r="F146" s="116" t="s">
        <v>61</v>
      </c>
      <c r="G146" s="116" t="s">
        <v>2368</v>
      </c>
      <c r="H146" s="303" t="s">
        <v>45</v>
      </c>
      <c r="I146" s="83">
        <v>64000</v>
      </c>
    </row>
    <row r="147" spans="1:12" s="268" customFormat="1" ht="15" customHeight="1">
      <c r="A147" s="355">
        <v>41828</v>
      </c>
      <c r="B147" s="356">
        <v>0.85416666666666663</v>
      </c>
      <c r="C147" s="357">
        <v>41831</v>
      </c>
      <c r="D147" s="358">
        <v>0.95833333333333337</v>
      </c>
      <c r="E147" s="116" t="s">
        <v>171</v>
      </c>
      <c r="F147" s="116" t="s">
        <v>826</v>
      </c>
      <c r="G147" s="116" t="s">
        <v>2368</v>
      </c>
      <c r="H147" s="303" t="s">
        <v>45</v>
      </c>
      <c r="I147" s="83">
        <v>260000</v>
      </c>
    </row>
    <row r="148" spans="1:12" s="268" customFormat="1" ht="15" customHeight="1">
      <c r="A148" s="355">
        <v>41828</v>
      </c>
      <c r="B148" s="356">
        <v>0.8965277777777777</v>
      </c>
      <c r="C148" s="357" t="s">
        <v>45</v>
      </c>
      <c r="D148" s="357" t="s">
        <v>45</v>
      </c>
      <c r="E148" s="116" t="s">
        <v>2123</v>
      </c>
      <c r="F148" s="116" t="s">
        <v>826</v>
      </c>
      <c r="G148" s="116" t="s">
        <v>2368</v>
      </c>
      <c r="H148" s="303" t="s">
        <v>45</v>
      </c>
      <c r="I148" s="83">
        <v>56600</v>
      </c>
    </row>
    <row r="149" spans="1:12" s="268" customFormat="1" ht="15" customHeight="1">
      <c r="A149" s="355">
        <v>41828</v>
      </c>
      <c r="B149" s="356">
        <v>0.75</v>
      </c>
      <c r="C149" s="357">
        <v>41831</v>
      </c>
      <c r="D149" s="358">
        <v>0.74513888888888891</v>
      </c>
      <c r="E149" s="116" t="s">
        <v>52</v>
      </c>
      <c r="F149" s="116" t="s">
        <v>826</v>
      </c>
      <c r="G149" s="116" t="s">
        <v>2368</v>
      </c>
      <c r="H149" s="303" t="s">
        <v>45</v>
      </c>
      <c r="I149" s="83">
        <v>69000</v>
      </c>
    </row>
    <row r="150" spans="1:12" s="268" customFormat="1" ht="15" customHeight="1">
      <c r="A150" s="355">
        <v>41828</v>
      </c>
      <c r="B150" s="356">
        <v>0.72916666666666663</v>
      </c>
      <c r="C150" s="357">
        <v>41832</v>
      </c>
      <c r="D150" s="358">
        <v>0.97222222222222221</v>
      </c>
      <c r="E150" s="116" t="s">
        <v>2661</v>
      </c>
      <c r="F150" s="116" t="s">
        <v>826</v>
      </c>
      <c r="G150" s="116" t="s">
        <v>2368</v>
      </c>
      <c r="H150" s="303" t="s">
        <v>45</v>
      </c>
      <c r="I150" s="83">
        <v>96000</v>
      </c>
    </row>
    <row r="151" spans="1:12" s="268" customFormat="1" ht="15" customHeight="1">
      <c r="A151" s="355">
        <v>41828</v>
      </c>
      <c r="B151" s="356">
        <v>0.72916666666666663</v>
      </c>
      <c r="C151" s="357">
        <v>41832</v>
      </c>
      <c r="D151" s="358">
        <v>0.97916666666666663</v>
      </c>
      <c r="E151" s="116" t="s">
        <v>2402</v>
      </c>
      <c r="F151" s="116" t="s">
        <v>826</v>
      </c>
      <c r="G151" s="116" t="s">
        <v>2368</v>
      </c>
      <c r="H151" s="303" t="s">
        <v>45</v>
      </c>
      <c r="I151" s="83">
        <v>71000</v>
      </c>
    </row>
    <row r="152" spans="1:12" s="268" customFormat="1" ht="20.25" customHeight="1">
      <c r="A152" s="355">
        <v>41828</v>
      </c>
      <c r="B152" s="356">
        <v>0.80625000000000002</v>
      </c>
      <c r="C152" s="357">
        <v>41831</v>
      </c>
      <c r="D152" s="358">
        <v>0.29166666666666669</v>
      </c>
      <c r="E152" s="116" t="s">
        <v>89</v>
      </c>
      <c r="F152" s="116" t="s">
        <v>61</v>
      </c>
      <c r="G152" s="116" t="s">
        <v>2368</v>
      </c>
      <c r="H152" s="303" t="s">
        <v>45</v>
      </c>
      <c r="I152" s="83">
        <v>65000</v>
      </c>
    </row>
    <row r="153" spans="1:12" s="268" customFormat="1" ht="19.5" customHeight="1">
      <c r="A153" s="355">
        <v>41828</v>
      </c>
      <c r="B153" s="356">
        <v>0.72916666666666663</v>
      </c>
      <c r="C153" s="357">
        <v>41830</v>
      </c>
      <c r="D153" s="358">
        <v>0.625</v>
      </c>
      <c r="E153" s="116" t="s">
        <v>2707</v>
      </c>
      <c r="F153" s="116" t="s">
        <v>826</v>
      </c>
      <c r="G153" s="116" t="s">
        <v>2368</v>
      </c>
      <c r="H153" s="303" t="s">
        <v>45</v>
      </c>
      <c r="I153" s="83">
        <v>66000</v>
      </c>
    </row>
    <row r="154" spans="1:12" s="268" customFormat="1" ht="15" customHeight="1">
      <c r="A154" s="355">
        <v>41834</v>
      </c>
      <c r="B154" s="356">
        <v>0.66666666666666663</v>
      </c>
      <c r="C154" s="357">
        <v>41834</v>
      </c>
      <c r="D154" s="358">
        <v>0.67708333333333337</v>
      </c>
      <c r="E154" s="116" t="s">
        <v>2575</v>
      </c>
      <c r="F154" s="116" t="s">
        <v>124</v>
      </c>
      <c r="G154" s="116" t="s">
        <v>2150</v>
      </c>
      <c r="H154" s="303" t="s">
        <v>45</v>
      </c>
      <c r="I154" s="83" t="s">
        <v>45</v>
      </c>
      <c r="J154" s="360"/>
      <c r="K154" s="360"/>
      <c r="L154" s="360"/>
    </row>
    <row r="155" spans="1:12" s="268" customFormat="1" ht="15" customHeight="1">
      <c r="A155" s="355">
        <v>41843</v>
      </c>
      <c r="B155" s="356">
        <v>0.80138888888888893</v>
      </c>
      <c r="C155" s="357">
        <v>41844</v>
      </c>
      <c r="D155" s="358">
        <v>1.5972222222222224E-2</v>
      </c>
      <c r="E155" s="116" t="s">
        <v>2708</v>
      </c>
      <c r="F155" s="116" t="s">
        <v>63</v>
      </c>
      <c r="G155" s="116" t="s">
        <v>2368</v>
      </c>
      <c r="H155" s="303" t="s">
        <v>45</v>
      </c>
      <c r="I155" s="83">
        <v>57299</v>
      </c>
    </row>
    <row r="156" spans="1:12" s="268" customFormat="1" ht="15" customHeight="1">
      <c r="A156" s="355">
        <v>41844</v>
      </c>
      <c r="B156" s="356">
        <v>0.68680555555555556</v>
      </c>
      <c r="C156" s="357">
        <v>41844</v>
      </c>
      <c r="D156" s="358">
        <v>0.98055555555555562</v>
      </c>
      <c r="E156" s="116" t="s">
        <v>18</v>
      </c>
      <c r="F156" s="116" t="s">
        <v>124</v>
      </c>
      <c r="G156" s="116" t="s">
        <v>2684</v>
      </c>
      <c r="H156" s="303">
        <v>126</v>
      </c>
      <c r="I156" s="83">
        <v>26856</v>
      </c>
    </row>
    <row r="157" spans="1:12" s="268" customFormat="1" ht="15" customHeight="1">
      <c r="A157" s="355">
        <v>41847</v>
      </c>
      <c r="B157" s="356">
        <v>0.70833333333333337</v>
      </c>
      <c r="C157" s="357">
        <v>41848</v>
      </c>
      <c r="D157" s="358">
        <v>0.95833333333333337</v>
      </c>
      <c r="E157" s="116" t="s">
        <v>420</v>
      </c>
      <c r="F157" s="116" t="s">
        <v>826</v>
      </c>
      <c r="G157" s="116" t="s">
        <v>2368</v>
      </c>
      <c r="H157" s="303" t="s">
        <v>45</v>
      </c>
      <c r="I157" s="83">
        <v>156611</v>
      </c>
    </row>
    <row r="158" spans="1:12" s="268" customFormat="1" ht="20.25" customHeight="1">
      <c r="A158" s="355">
        <v>41847</v>
      </c>
      <c r="B158" s="356">
        <v>0.95833333333333337</v>
      </c>
      <c r="C158" s="357">
        <v>41848</v>
      </c>
      <c r="D158" s="358">
        <v>0.16666666666666666</v>
      </c>
      <c r="E158" s="116" t="s">
        <v>1922</v>
      </c>
      <c r="F158" s="116" t="s">
        <v>124</v>
      </c>
      <c r="G158" s="116" t="s">
        <v>2709</v>
      </c>
      <c r="H158" s="303">
        <v>480</v>
      </c>
      <c r="I158" s="83">
        <v>1</v>
      </c>
    </row>
    <row r="159" spans="1:12" s="268" customFormat="1" ht="15" hidden="1" customHeight="1">
      <c r="A159" s="844" t="s">
        <v>32</v>
      </c>
      <c r="B159" s="845"/>
      <c r="C159" s="329"/>
      <c r="D159" s="330"/>
      <c r="E159" s="331"/>
      <c r="F159" s="332"/>
      <c r="G159" s="331"/>
      <c r="H159" s="333"/>
      <c r="I159" s="334"/>
    </row>
    <row r="160" spans="1:12" s="268" customFormat="1" ht="15" customHeight="1">
      <c r="A160" s="361">
        <v>41852</v>
      </c>
      <c r="B160" s="356">
        <v>0.62708333333333333</v>
      </c>
      <c r="C160" s="357">
        <v>41852</v>
      </c>
      <c r="D160" s="356">
        <v>0.62777777777777777</v>
      </c>
      <c r="E160" s="78" t="s">
        <v>1320</v>
      </c>
      <c r="F160" s="78" t="s">
        <v>124</v>
      </c>
      <c r="G160" s="78" t="s">
        <v>2202</v>
      </c>
      <c r="H160" s="82" t="s">
        <v>45</v>
      </c>
      <c r="I160" s="83" t="s">
        <v>45</v>
      </c>
    </row>
    <row r="161" spans="1:9" s="268" customFormat="1" ht="15" customHeight="1">
      <c r="A161" s="355">
        <v>41864</v>
      </c>
      <c r="B161" s="356">
        <v>0.25555555555555559</v>
      </c>
      <c r="C161" s="357">
        <v>41864</v>
      </c>
      <c r="D161" s="358">
        <v>0.27361111111111108</v>
      </c>
      <c r="E161" s="116" t="s">
        <v>2418</v>
      </c>
      <c r="F161" s="116" t="s">
        <v>124</v>
      </c>
      <c r="G161" s="100" t="s">
        <v>2037</v>
      </c>
      <c r="H161" s="303">
        <v>370</v>
      </c>
      <c r="I161" s="83" t="s">
        <v>45</v>
      </c>
    </row>
    <row r="162" spans="1:9" s="268" customFormat="1" ht="15" customHeight="1">
      <c r="A162" s="355">
        <v>41871</v>
      </c>
      <c r="B162" s="356">
        <v>5.6250000000000001E-2</v>
      </c>
      <c r="C162" s="357">
        <v>41871</v>
      </c>
      <c r="D162" s="358">
        <v>7.013888888888889E-2</v>
      </c>
      <c r="E162" s="116" t="s">
        <v>2418</v>
      </c>
      <c r="F162" s="116" t="s">
        <v>124</v>
      </c>
      <c r="G162" s="100" t="s">
        <v>2037</v>
      </c>
      <c r="H162" s="303" t="s">
        <v>45</v>
      </c>
      <c r="I162" s="83" t="s">
        <v>45</v>
      </c>
    </row>
    <row r="163" spans="1:9" s="268" customFormat="1" ht="15" customHeight="1">
      <c r="A163" s="355">
        <v>41874</v>
      </c>
      <c r="B163" s="356">
        <v>0.69374999999999998</v>
      </c>
      <c r="C163" s="357">
        <v>41875</v>
      </c>
      <c r="D163" s="358">
        <v>7.3611111111111113E-2</v>
      </c>
      <c r="E163" s="116" t="s">
        <v>2710</v>
      </c>
      <c r="F163" s="116" t="s">
        <v>826</v>
      </c>
      <c r="G163" s="100" t="s">
        <v>2711</v>
      </c>
      <c r="H163" s="303">
        <v>31</v>
      </c>
      <c r="I163" s="83">
        <v>6549</v>
      </c>
    </row>
    <row r="164" spans="1:9" s="268" customFormat="1" ht="15" customHeight="1">
      <c r="A164" s="355">
        <v>41875</v>
      </c>
      <c r="B164" s="356">
        <v>0.1388888888888889</v>
      </c>
      <c r="C164" s="357">
        <v>41876</v>
      </c>
      <c r="D164" s="358">
        <v>0.2951388888888889</v>
      </c>
      <c r="E164" s="116" t="s">
        <v>2712</v>
      </c>
      <c r="F164" s="116" t="s">
        <v>124</v>
      </c>
      <c r="G164" s="100" t="s">
        <v>313</v>
      </c>
      <c r="H164" s="303">
        <v>95</v>
      </c>
      <c r="I164" s="83">
        <v>70000</v>
      </c>
    </row>
    <row r="165" spans="1:9" s="268" customFormat="1" ht="15" customHeight="1">
      <c r="A165" s="355">
        <v>41877</v>
      </c>
      <c r="B165" s="356">
        <v>0.64583333333333337</v>
      </c>
      <c r="C165" s="357" t="s">
        <v>45</v>
      </c>
      <c r="D165" s="358" t="s">
        <v>45</v>
      </c>
      <c r="E165" s="116" t="s">
        <v>420</v>
      </c>
      <c r="F165" s="116" t="s">
        <v>826</v>
      </c>
      <c r="G165" s="116" t="s">
        <v>2368</v>
      </c>
      <c r="H165" s="303" t="s">
        <v>45</v>
      </c>
      <c r="I165" s="83" t="s">
        <v>45</v>
      </c>
    </row>
    <row r="166" spans="1:9" s="268" customFormat="1" ht="15" customHeight="1">
      <c r="A166" s="355">
        <v>41878</v>
      </c>
      <c r="B166" s="356">
        <v>0.53402777777777777</v>
      </c>
      <c r="C166" s="357">
        <v>41878</v>
      </c>
      <c r="D166" s="358">
        <v>0.5625</v>
      </c>
      <c r="E166" s="116" t="s">
        <v>2646</v>
      </c>
      <c r="F166" s="116" t="s">
        <v>826</v>
      </c>
      <c r="G166" s="100" t="s">
        <v>2150</v>
      </c>
      <c r="H166" s="303" t="s">
        <v>45</v>
      </c>
      <c r="I166" s="83" t="s">
        <v>45</v>
      </c>
    </row>
    <row r="167" spans="1:9" s="268" customFormat="1" ht="15" customHeight="1">
      <c r="A167" s="355">
        <v>41881</v>
      </c>
      <c r="B167" s="356">
        <v>0.64583333333333337</v>
      </c>
      <c r="C167" s="357">
        <v>41883</v>
      </c>
      <c r="D167" s="358">
        <v>0.60416666666666663</v>
      </c>
      <c r="E167" s="116" t="s">
        <v>2713</v>
      </c>
      <c r="F167" s="116" t="s">
        <v>826</v>
      </c>
      <c r="G167" s="100" t="s">
        <v>2150</v>
      </c>
      <c r="H167" s="362" t="s">
        <v>45</v>
      </c>
      <c r="I167" s="363" t="s">
        <v>45</v>
      </c>
    </row>
    <row r="168" spans="1:9" s="268" customFormat="1" ht="15" hidden="1" customHeight="1">
      <c r="A168" s="844" t="s">
        <v>219</v>
      </c>
      <c r="B168" s="845"/>
      <c r="C168" s="329"/>
      <c r="D168" s="330"/>
      <c r="E168" s="331"/>
      <c r="F168" s="332"/>
      <c r="G168" s="331"/>
      <c r="H168" s="333"/>
      <c r="I168" s="334"/>
    </row>
    <row r="169" spans="1:9" s="268" customFormat="1" ht="15" customHeight="1">
      <c r="A169" s="355">
        <v>41887</v>
      </c>
      <c r="B169" s="356">
        <v>0.83333333333333337</v>
      </c>
      <c r="C169" s="357" t="s">
        <v>45</v>
      </c>
      <c r="D169" s="358" t="s">
        <v>45</v>
      </c>
      <c r="E169" s="116" t="s">
        <v>1833</v>
      </c>
      <c r="F169" s="116" t="s">
        <v>826</v>
      </c>
      <c r="G169" s="116" t="s">
        <v>2368</v>
      </c>
      <c r="H169" s="303" t="s">
        <v>45</v>
      </c>
      <c r="I169" s="83">
        <v>324000</v>
      </c>
    </row>
    <row r="170" spans="1:9" s="268" customFormat="1" ht="15" customHeight="1">
      <c r="A170" s="355">
        <v>41887</v>
      </c>
      <c r="B170" s="356">
        <v>0.6875</v>
      </c>
      <c r="C170" s="357">
        <v>41888</v>
      </c>
      <c r="D170" s="358">
        <v>0.58333333333333337</v>
      </c>
      <c r="E170" s="116" t="s">
        <v>33</v>
      </c>
      <c r="F170" s="116" t="s">
        <v>826</v>
      </c>
      <c r="G170" s="116" t="s">
        <v>2368</v>
      </c>
      <c r="H170" s="303" t="s">
        <v>45</v>
      </c>
      <c r="I170" s="83">
        <v>180400</v>
      </c>
    </row>
    <row r="171" spans="1:9" s="268" customFormat="1" ht="15" customHeight="1">
      <c r="A171" s="355">
        <v>41887</v>
      </c>
      <c r="B171" s="356">
        <v>0.80138888888888893</v>
      </c>
      <c r="C171" s="357">
        <v>41888</v>
      </c>
      <c r="D171" s="358">
        <v>0.54166666666666663</v>
      </c>
      <c r="E171" s="116" t="s">
        <v>21</v>
      </c>
      <c r="F171" s="116" t="s">
        <v>826</v>
      </c>
      <c r="G171" s="116" t="s">
        <v>2368</v>
      </c>
      <c r="H171" s="303">
        <v>50</v>
      </c>
      <c r="I171" s="83">
        <v>60000</v>
      </c>
    </row>
    <row r="172" spans="1:9" s="268" customFormat="1" ht="15" customHeight="1">
      <c r="A172" s="355">
        <v>41891</v>
      </c>
      <c r="B172" s="356">
        <v>0.34583333333333338</v>
      </c>
      <c r="C172" s="357">
        <v>41891</v>
      </c>
      <c r="D172" s="358">
        <v>0.99930555555555556</v>
      </c>
      <c r="E172" s="116" t="s">
        <v>2418</v>
      </c>
      <c r="F172" s="116" t="s">
        <v>124</v>
      </c>
      <c r="G172" s="100" t="s">
        <v>2037</v>
      </c>
      <c r="H172" s="303" t="s">
        <v>45</v>
      </c>
      <c r="I172" s="83" t="s">
        <v>45</v>
      </c>
    </row>
    <row r="173" spans="1:9" s="268" customFormat="1" ht="15" customHeight="1">
      <c r="A173" s="355">
        <v>41893</v>
      </c>
      <c r="B173" s="356">
        <v>0.20555555555555557</v>
      </c>
      <c r="C173" s="357">
        <v>41893</v>
      </c>
      <c r="D173" s="358">
        <v>0.23402777777777781</v>
      </c>
      <c r="E173" s="116" t="s">
        <v>2418</v>
      </c>
      <c r="F173" s="116" t="s">
        <v>124</v>
      </c>
      <c r="G173" s="100" t="s">
        <v>2037</v>
      </c>
      <c r="H173" s="303" t="s">
        <v>45</v>
      </c>
      <c r="I173" s="83" t="s">
        <v>45</v>
      </c>
    </row>
    <row r="174" spans="1:9" s="268" customFormat="1" ht="15" customHeight="1">
      <c r="A174" s="355">
        <v>41896</v>
      </c>
      <c r="B174" s="356">
        <v>0.90972222222222221</v>
      </c>
      <c r="C174" s="357">
        <v>41899</v>
      </c>
      <c r="D174" s="358">
        <v>0.63055555555555554</v>
      </c>
      <c r="E174" s="116" t="s">
        <v>2152</v>
      </c>
      <c r="F174" s="116" t="s">
        <v>124</v>
      </c>
      <c r="G174" s="100" t="s">
        <v>2037</v>
      </c>
      <c r="H174" s="303">
        <v>1</v>
      </c>
      <c r="I174" s="83">
        <v>123</v>
      </c>
    </row>
    <row r="175" spans="1:9" s="268" customFormat="1" ht="15" customHeight="1">
      <c r="A175" s="355">
        <v>41898</v>
      </c>
      <c r="B175" s="356">
        <v>0.49722222222222223</v>
      </c>
      <c r="C175" s="357">
        <v>41898</v>
      </c>
      <c r="D175" s="358">
        <v>0.49791666666666662</v>
      </c>
      <c r="E175" s="116" t="s">
        <v>18</v>
      </c>
      <c r="F175" s="116" t="s">
        <v>124</v>
      </c>
      <c r="G175" s="100" t="s">
        <v>2613</v>
      </c>
      <c r="H175" s="303" t="s">
        <v>45</v>
      </c>
      <c r="I175" s="83" t="s">
        <v>45</v>
      </c>
    </row>
    <row r="176" spans="1:9" s="268" customFormat="1" ht="15" customHeight="1">
      <c r="A176" s="355">
        <v>41899</v>
      </c>
      <c r="B176" s="356">
        <v>0.5625</v>
      </c>
      <c r="C176" s="357">
        <v>41899</v>
      </c>
      <c r="D176" s="358">
        <v>0.58333333333333337</v>
      </c>
      <c r="E176" s="116" t="s">
        <v>1833</v>
      </c>
      <c r="F176" s="116" t="s">
        <v>826</v>
      </c>
      <c r="G176" s="100" t="s">
        <v>2714</v>
      </c>
      <c r="H176" s="303" t="s">
        <v>45</v>
      </c>
      <c r="I176" s="83" t="s">
        <v>45</v>
      </c>
    </row>
    <row r="177" spans="1:9" s="268" customFormat="1" ht="15" customHeight="1">
      <c r="A177" s="355">
        <v>41901</v>
      </c>
      <c r="B177" s="356">
        <v>0.59722222222222221</v>
      </c>
      <c r="C177" s="357">
        <v>41905</v>
      </c>
      <c r="D177" s="358">
        <v>0.54861111111111105</v>
      </c>
      <c r="E177" s="116" t="s">
        <v>2715</v>
      </c>
      <c r="F177" s="116" t="s">
        <v>124</v>
      </c>
      <c r="G177" s="100" t="s">
        <v>2037</v>
      </c>
      <c r="H177" s="303">
        <v>1</v>
      </c>
      <c r="I177" s="83">
        <v>123</v>
      </c>
    </row>
    <row r="178" spans="1:9" s="268" customFormat="1" ht="15" customHeight="1">
      <c r="A178" s="355">
        <v>41904</v>
      </c>
      <c r="B178" s="356">
        <v>0.45833333333333331</v>
      </c>
      <c r="C178" s="364">
        <v>41904</v>
      </c>
      <c r="D178" s="356">
        <v>0.45902777777777781</v>
      </c>
      <c r="E178" s="116" t="s">
        <v>2716</v>
      </c>
      <c r="F178" s="116" t="s">
        <v>674</v>
      </c>
      <c r="G178" s="100" t="s">
        <v>2659</v>
      </c>
      <c r="H178" s="365">
        <v>1000</v>
      </c>
      <c r="I178" s="83">
        <v>140000</v>
      </c>
    </row>
    <row r="179" spans="1:9" s="268" customFormat="1" ht="15" customHeight="1">
      <c r="A179" s="355">
        <v>41905</v>
      </c>
      <c r="B179" s="356">
        <v>5.0694444444444452E-2</v>
      </c>
      <c r="C179" s="357">
        <v>41905</v>
      </c>
      <c r="D179" s="358">
        <v>0.125</v>
      </c>
      <c r="E179" s="116" t="s">
        <v>30</v>
      </c>
      <c r="F179" s="116" t="s">
        <v>61</v>
      </c>
      <c r="G179" s="100" t="s">
        <v>2717</v>
      </c>
      <c r="H179" s="303" t="s">
        <v>255</v>
      </c>
      <c r="I179" s="83" t="s">
        <v>255</v>
      </c>
    </row>
    <row r="180" spans="1:9" s="268" customFormat="1" ht="15" customHeight="1">
      <c r="A180" s="355">
        <v>41903</v>
      </c>
      <c r="B180" s="356">
        <v>0.5625</v>
      </c>
      <c r="C180" s="357" t="s">
        <v>45</v>
      </c>
      <c r="D180" s="358" t="s">
        <v>45</v>
      </c>
      <c r="E180" s="116" t="s">
        <v>30</v>
      </c>
      <c r="F180" s="116" t="s">
        <v>61</v>
      </c>
      <c r="G180" s="100" t="s">
        <v>2717</v>
      </c>
      <c r="H180" s="303" t="s">
        <v>45</v>
      </c>
      <c r="I180" s="83" t="s">
        <v>45</v>
      </c>
    </row>
    <row r="181" spans="1:9" s="268" customFormat="1" ht="15" customHeight="1">
      <c r="A181" s="355">
        <v>41906</v>
      </c>
      <c r="B181" s="356">
        <v>0.47916666666666669</v>
      </c>
      <c r="C181" s="357">
        <v>41906</v>
      </c>
      <c r="D181" s="358">
        <v>0.65486111111111112</v>
      </c>
      <c r="E181" s="116" t="s">
        <v>2575</v>
      </c>
      <c r="F181" s="116" t="s">
        <v>124</v>
      </c>
      <c r="G181" s="116" t="s">
        <v>2613</v>
      </c>
      <c r="H181" s="303" t="s">
        <v>45</v>
      </c>
      <c r="I181" s="83" t="s">
        <v>45</v>
      </c>
    </row>
    <row r="182" spans="1:9" s="268" customFormat="1" ht="15" hidden="1" customHeight="1">
      <c r="A182" s="844" t="s">
        <v>35</v>
      </c>
      <c r="B182" s="845"/>
      <c r="C182" s="329"/>
      <c r="D182" s="330"/>
      <c r="E182" s="331"/>
      <c r="F182" s="332"/>
      <c r="G182" s="331"/>
      <c r="H182" s="333"/>
      <c r="I182" s="334"/>
    </row>
    <row r="183" spans="1:9" s="268" customFormat="1" ht="15" customHeight="1">
      <c r="A183" s="355">
        <v>41914</v>
      </c>
      <c r="B183" s="356">
        <v>0.625</v>
      </c>
      <c r="C183" s="357">
        <v>41914</v>
      </c>
      <c r="D183" s="358">
        <v>0.62569444444444444</v>
      </c>
      <c r="E183" s="116" t="s">
        <v>2718</v>
      </c>
      <c r="F183" s="116" t="s">
        <v>124</v>
      </c>
      <c r="G183" s="116" t="s">
        <v>2719</v>
      </c>
      <c r="H183" s="303" t="s">
        <v>45</v>
      </c>
      <c r="I183" s="83" t="s">
        <v>45</v>
      </c>
    </row>
    <row r="184" spans="1:9" s="268" customFormat="1" ht="15" customHeight="1">
      <c r="A184" s="355">
        <v>41914</v>
      </c>
      <c r="B184" s="356">
        <v>0.92708333333333337</v>
      </c>
      <c r="C184" s="357" t="s">
        <v>45</v>
      </c>
      <c r="D184" s="358" t="s">
        <v>45</v>
      </c>
      <c r="E184" s="116" t="s">
        <v>48</v>
      </c>
      <c r="F184" s="116" t="s">
        <v>63</v>
      </c>
      <c r="G184" s="116" t="s">
        <v>2368</v>
      </c>
      <c r="H184" s="303" t="s">
        <v>45</v>
      </c>
      <c r="I184" s="83">
        <v>67300</v>
      </c>
    </row>
    <row r="185" spans="1:9" s="268" customFormat="1" ht="15" customHeight="1">
      <c r="A185" s="355">
        <v>41914</v>
      </c>
      <c r="B185" s="356">
        <v>0.66666666666666663</v>
      </c>
      <c r="C185" s="357">
        <v>41919</v>
      </c>
      <c r="D185" s="358">
        <v>0.41666666666666669</v>
      </c>
      <c r="E185" s="362" t="s">
        <v>166</v>
      </c>
      <c r="F185" s="116" t="s">
        <v>1352</v>
      </c>
      <c r="G185" s="116" t="s">
        <v>2368</v>
      </c>
      <c r="H185" s="303" t="s">
        <v>45</v>
      </c>
      <c r="I185" s="83">
        <v>500000</v>
      </c>
    </row>
    <row r="186" spans="1:9" s="268" customFormat="1" ht="15" customHeight="1">
      <c r="A186" s="355">
        <v>41918</v>
      </c>
      <c r="B186" s="356">
        <v>0.45277777777777778</v>
      </c>
      <c r="C186" s="357">
        <v>41919</v>
      </c>
      <c r="D186" s="358">
        <v>3.6111111111111115E-2</v>
      </c>
      <c r="E186" s="116" t="s">
        <v>1098</v>
      </c>
      <c r="F186" s="116" t="s">
        <v>1352</v>
      </c>
      <c r="G186" s="116" t="s">
        <v>2368</v>
      </c>
      <c r="H186" s="303">
        <v>292</v>
      </c>
      <c r="I186" s="83">
        <v>129237</v>
      </c>
    </row>
    <row r="187" spans="1:9" s="268" customFormat="1" ht="21" customHeight="1">
      <c r="A187" s="355">
        <v>41919</v>
      </c>
      <c r="B187" s="356">
        <v>0.5</v>
      </c>
      <c r="C187" s="357">
        <v>41919</v>
      </c>
      <c r="D187" s="358">
        <v>0.50069444444444444</v>
      </c>
      <c r="E187" s="116" t="s">
        <v>2123</v>
      </c>
      <c r="F187" s="116" t="s">
        <v>826</v>
      </c>
      <c r="G187" s="116" t="s">
        <v>2719</v>
      </c>
      <c r="H187" s="303" t="s">
        <v>45</v>
      </c>
      <c r="I187" s="83" t="s">
        <v>45</v>
      </c>
    </row>
    <row r="188" spans="1:9" s="268" customFormat="1" ht="21" customHeight="1">
      <c r="A188" s="355">
        <v>41920</v>
      </c>
      <c r="B188" s="356">
        <v>0.69930555555555562</v>
      </c>
      <c r="C188" s="357">
        <v>41920</v>
      </c>
      <c r="D188" s="358">
        <v>0.77013888888888893</v>
      </c>
      <c r="E188" s="116" t="s">
        <v>2665</v>
      </c>
      <c r="F188" s="116" t="s">
        <v>1352</v>
      </c>
      <c r="G188" s="116" t="s">
        <v>2720</v>
      </c>
      <c r="H188" s="303" t="s">
        <v>45</v>
      </c>
      <c r="I188" s="83" t="s">
        <v>45</v>
      </c>
    </row>
    <row r="189" spans="1:9" s="268" customFormat="1" ht="19.5" customHeight="1">
      <c r="A189" s="355">
        <v>41920</v>
      </c>
      <c r="B189" s="356">
        <v>0.7006944444444444</v>
      </c>
      <c r="C189" s="357">
        <v>41920</v>
      </c>
      <c r="D189" s="358">
        <v>0.76597222222222217</v>
      </c>
      <c r="E189" s="116" t="s">
        <v>2665</v>
      </c>
      <c r="F189" s="116" t="s">
        <v>1352</v>
      </c>
      <c r="G189" s="116" t="s">
        <v>2720</v>
      </c>
      <c r="H189" s="303">
        <v>585</v>
      </c>
      <c r="I189" s="83">
        <v>120000</v>
      </c>
    </row>
    <row r="190" spans="1:9" s="268" customFormat="1" ht="15" customHeight="1">
      <c r="A190" s="355">
        <v>41921</v>
      </c>
      <c r="B190" s="356">
        <v>0.39374999999999999</v>
      </c>
      <c r="C190" s="357" t="s">
        <v>45</v>
      </c>
      <c r="D190" s="358" t="s">
        <v>45</v>
      </c>
      <c r="E190" s="116" t="s">
        <v>2665</v>
      </c>
      <c r="F190" s="116" t="s">
        <v>1352</v>
      </c>
      <c r="G190" s="100" t="s">
        <v>2221</v>
      </c>
      <c r="H190" s="303" t="s">
        <v>45</v>
      </c>
      <c r="I190" s="83">
        <v>2800</v>
      </c>
    </row>
    <row r="191" spans="1:9" s="268" customFormat="1" ht="15" customHeight="1">
      <c r="A191" s="355">
        <v>41925</v>
      </c>
      <c r="B191" s="356">
        <v>0.53125</v>
      </c>
      <c r="C191" s="357">
        <v>41925</v>
      </c>
      <c r="D191" s="358">
        <v>0.67708333333333337</v>
      </c>
      <c r="E191" s="116" t="s">
        <v>1577</v>
      </c>
      <c r="F191" s="116" t="s">
        <v>63</v>
      </c>
      <c r="G191" s="116" t="s">
        <v>2368</v>
      </c>
      <c r="H191" s="303" t="s">
        <v>45</v>
      </c>
      <c r="I191" s="83">
        <v>68600</v>
      </c>
    </row>
    <row r="192" spans="1:9" s="268" customFormat="1" ht="15" customHeight="1">
      <c r="A192" s="355">
        <v>41926</v>
      </c>
      <c r="B192" s="356">
        <v>0.31458333333333333</v>
      </c>
      <c r="C192" s="357">
        <v>41926</v>
      </c>
      <c r="D192" s="358">
        <v>0.31527777777777777</v>
      </c>
      <c r="E192" s="116" t="s">
        <v>2152</v>
      </c>
      <c r="F192" s="116" t="s">
        <v>124</v>
      </c>
      <c r="G192" s="116" t="s">
        <v>2719</v>
      </c>
      <c r="H192" s="303" t="s">
        <v>45</v>
      </c>
      <c r="I192" s="83" t="s">
        <v>45</v>
      </c>
    </row>
    <row r="193" spans="1:9" s="268" customFormat="1" ht="15" customHeight="1">
      <c r="A193" s="355">
        <v>41926</v>
      </c>
      <c r="B193" s="356">
        <v>0.76388888888888884</v>
      </c>
      <c r="C193" s="357">
        <v>41926</v>
      </c>
      <c r="D193" s="358">
        <v>0.76944444444444438</v>
      </c>
      <c r="E193" s="116" t="s">
        <v>2271</v>
      </c>
      <c r="F193" s="116" t="s">
        <v>255</v>
      </c>
      <c r="G193" s="116" t="s">
        <v>619</v>
      </c>
      <c r="H193" s="303" t="s">
        <v>45</v>
      </c>
      <c r="I193" s="83" t="s">
        <v>45</v>
      </c>
    </row>
    <row r="194" spans="1:9" s="268" customFormat="1" ht="15" customHeight="1">
      <c r="A194" s="355">
        <v>41926</v>
      </c>
      <c r="B194" s="356">
        <v>0.2388888888888889</v>
      </c>
      <c r="C194" s="357">
        <v>41926</v>
      </c>
      <c r="D194" s="358">
        <v>0.74305555555555547</v>
      </c>
      <c r="E194" s="116" t="s">
        <v>2688</v>
      </c>
      <c r="F194" s="116" t="s">
        <v>63</v>
      </c>
      <c r="G194" s="116" t="s">
        <v>2368</v>
      </c>
      <c r="H194" s="303">
        <v>191</v>
      </c>
      <c r="I194" s="83">
        <v>57475</v>
      </c>
    </row>
    <row r="195" spans="1:9" s="268" customFormat="1" ht="15" customHeight="1">
      <c r="A195" s="355">
        <v>41927</v>
      </c>
      <c r="B195" s="356">
        <v>0.32361111111111113</v>
      </c>
      <c r="C195" s="357">
        <v>41927</v>
      </c>
      <c r="D195" s="358">
        <v>0.32430555555555557</v>
      </c>
      <c r="E195" s="116" t="s">
        <v>2152</v>
      </c>
      <c r="F195" s="116" t="s">
        <v>124</v>
      </c>
      <c r="G195" s="116" t="s">
        <v>2719</v>
      </c>
      <c r="H195" s="303" t="s">
        <v>45</v>
      </c>
      <c r="I195" s="83" t="s">
        <v>45</v>
      </c>
    </row>
    <row r="196" spans="1:9" s="268" customFormat="1" ht="15" customHeight="1">
      <c r="A196" s="355">
        <v>41928</v>
      </c>
      <c r="B196" s="356">
        <v>0.3833333333333333</v>
      </c>
      <c r="C196" s="357">
        <v>41929</v>
      </c>
      <c r="D196" s="358">
        <v>0.625</v>
      </c>
      <c r="E196" s="116" t="s">
        <v>2721</v>
      </c>
      <c r="F196" s="116" t="s">
        <v>674</v>
      </c>
      <c r="G196" s="100" t="s">
        <v>2719</v>
      </c>
      <c r="H196" s="303" t="s">
        <v>45</v>
      </c>
      <c r="I196" s="83" t="s">
        <v>45</v>
      </c>
    </row>
    <row r="197" spans="1:9" s="268" customFormat="1" ht="15" customHeight="1">
      <c r="A197" s="355">
        <v>41928</v>
      </c>
      <c r="B197" s="356">
        <v>0.55902777777777779</v>
      </c>
      <c r="C197" s="357">
        <v>41928</v>
      </c>
      <c r="D197" s="358">
        <v>0.72638888888888886</v>
      </c>
      <c r="E197" s="116" t="s">
        <v>2722</v>
      </c>
      <c r="F197" s="116" t="s">
        <v>674</v>
      </c>
      <c r="G197" s="116" t="s">
        <v>2150</v>
      </c>
      <c r="H197" s="303">
        <v>129</v>
      </c>
      <c r="I197" s="83" t="s">
        <v>45</v>
      </c>
    </row>
    <row r="198" spans="1:9" s="268" customFormat="1" ht="15" customHeight="1">
      <c r="A198" s="355">
        <v>41932</v>
      </c>
      <c r="B198" s="356">
        <v>0</v>
      </c>
      <c r="C198" s="357" t="s">
        <v>45</v>
      </c>
      <c r="D198" s="358" t="s">
        <v>45</v>
      </c>
      <c r="E198" s="116" t="s">
        <v>2723</v>
      </c>
      <c r="F198" s="116" t="s">
        <v>674</v>
      </c>
      <c r="G198" s="100" t="s">
        <v>2719</v>
      </c>
      <c r="H198" s="303" t="s">
        <v>45</v>
      </c>
      <c r="I198" s="83" t="s">
        <v>45</v>
      </c>
    </row>
    <row r="199" spans="1:9" s="268" customFormat="1" ht="15" customHeight="1">
      <c r="A199" s="355">
        <v>41933</v>
      </c>
      <c r="B199" s="356">
        <v>0.35069444444444442</v>
      </c>
      <c r="C199" s="357">
        <v>41933</v>
      </c>
      <c r="D199" s="358">
        <v>0.42222222222222222</v>
      </c>
      <c r="E199" s="116" t="s">
        <v>2724</v>
      </c>
      <c r="F199" s="116" t="s">
        <v>674</v>
      </c>
      <c r="G199" s="116" t="s">
        <v>2139</v>
      </c>
      <c r="H199" s="303" t="s">
        <v>45</v>
      </c>
      <c r="I199" s="83" t="s">
        <v>45</v>
      </c>
    </row>
    <row r="200" spans="1:9" s="268" customFormat="1" ht="30" customHeight="1">
      <c r="A200" s="355">
        <v>41934</v>
      </c>
      <c r="B200" s="356">
        <v>0.94861111111111107</v>
      </c>
      <c r="C200" s="357">
        <v>41934</v>
      </c>
      <c r="D200" s="358">
        <v>0.94930555555555562</v>
      </c>
      <c r="E200" s="116" t="s">
        <v>2725</v>
      </c>
      <c r="F200" s="116" t="s">
        <v>61</v>
      </c>
      <c r="G200" s="116" t="s">
        <v>22</v>
      </c>
      <c r="H200" s="303" t="s">
        <v>45</v>
      </c>
      <c r="I200" s="83">
        <v>66650</v>
      </c>
    </row>
    <row r="201" spans="1:9" s="268" customFormat="1" ht="15" customHeight="1">
      <c r="A201" s="355">
        <v>41936</v>
      </c>
      <c r="B201" s="356">
        <v>0.76111111111111107</v>
      </c>
      <c r="C201" s="357">
        <v>41937</v>
      </c>
      <c r="D201" s="358">
        <v>0.57708333333333328</v>
      </c>
      <c r="E201" s="116" t="s">
        <v>2726</v>
      </c>
      <c r="F201" s="116" t="s">
        <v>61</v>
      </c>
      <c r="G201" s="100" t="s">
        <v>2719</v>
      </c>
      <c r="H201" s="303" t="s">
        <v>45</v>
      </c>
      <c r="I201" s="83" t="s">
        <v>45</v>
      </c>
    </row>
    <row r="202" spans="1:9" s="268" customFormat="1" ht="15" customHeight="1">
      <c r="A202" s="355">
        <v>41936</v>
      </c>
      <c r="B202" s="356">
        <v>0.66666666666666663</v>
      </c>
      <c r="C202" s="357">
        <v>41936</v>
      </c>
      <c r="D202" s="358">
        <v>0.74305555555555547</v>
      </c>
      <c r="E202" s="116" t="s">
        <v>2723</v>
      </c>
      <c r="F202" s="116" t="s">
        <v>674</v>
      </c>
      <c r="G202" s="100" t="s">
        <v>2719</v>
      </c>
      <c r="H202" s="303" t="s">
        <v>45</v>
      </c>
      <c r="I202" s="83" t="s">
        <v>45</v>
      </c>
    </row>
    <row r="203" spans="1:9" s="268" customFormat="1" ht="15" customHeight="1">
      <c r="A203" s="355">
        <v>41937</v>
      </c>
      <c r="B203" s="356">
        <v>0.66666666666666663</v>
      </c>
      <c r="C203" s="357">
        <v>41937</v>
      </c>
      <c r="D203" s="358">
        <v>0.91666666666666663</v>
      </c>
      <c r="E203" s="116" t="s">
        <v>2727</v>
      </c>
      <c r="F203" s="116" t="s">
        <v>124</v>
      </c>
      <c r="G203" s="116" t="s">
        <v>2680</v>
      </c>
      <c r="H203" s="303">
        <v>216</v>
      </c>
      <c r="I203" s="83">
        <v>78000</v>
      </c>
    </row>
    <row r="204" spans="1:9" s="268" customFormat="1" ht="15" customHeight="1">
      <c r="A204" s="366">
        <v>41937</v>
      </c>
      <c r="B204" s="367">
        <v>0.75</v>
      </c>
      <c r="C204" s="368" t="s">
        <v>45</v>
      </c>
      <c r="D204" s="369" t="s">
        <v>45</v>
      </c>
      <c r="E204" s="338" t="s">
        <v>2728</v>
      </c>
      <c r="F204" s="338" t="s">
        <v>124</v>
      </c>
      <c r="G204" s="338" t="s">
        <v>2680</v>
      </c>
      <c r="H204" s="310">
        <v>154</v>
      </c>
      <c r="I204" s="370">
        <v>96000</v>
      </c>
    </row>
    <row r="205" spans="1:9" s="268" customFormat="1" ht="15" hidden="1" customHeight="1">
      <c r="A205" s="844" t="s">
        <v>38</v>
      </c>
      <c r="B205" s="845"/>
      <c r="C205" s="329"/>
      <c r="D205" s="330"/>
      <c r="E205" s="331"/>
      <c r="F205" s="332"/>
      <c r="G205" s="331"/>
      <c r="H205" s="333"/>
      <c r="I205" s="334"/>
    </row>
    <row r="206" spans="1:9" s="268" customFormat="1" ht="15" customHeight="1">
      <c r="A206" s="349">
        <v>41944</v>
      </c>
      <c r="B206" s="350">
        <v>4.1666666666666664E-2</v>
      </c>
      <c r="C206" s="351">
        <v>41944</v>
      </c>
      <c r="D206" s="352">
        <v>4.2361111111111106E-2</v>
      </c>
      <c r="E206" s="193" t="s">
        <v>2531</v>
      </c>
      <c r="F206" s="193" t="s">
        <v>124</v>
      </c>
      <c r="G206" s="340" t="s">
        <v>2719</v>
      </c>
      <c r="H206" s="353" t="s">
        <v>45</v>
      </c>
      <c r="I206" s="354" t="s">
        <v>45</v>
      </c>
    </row>
    <row r="207" spans="1:9" s="268" customFormat="1" ht="28.5" customHeight="1">
      <c r="A207" s="355">
        <v>41945</v>
      </c>
      <c r="B207" s="356">
        <v>0.57361111111111118</v>
      </c>
      <c r="C207" s="357" t="s">
        <v>45</v>
      </c>
      <c r="D207" s="358" t="s">
        <v>45</v>
      </c>
      <c r="E207" s="116" t="s">
        <v>2729</v>
      </c>
      <c r="F207" s="116" t="s">
        <v>61</v>
      </c>
      <c r="G207" s="116" t="s">
        <v>2349</v>
      </c>
      <c r="H207" s="303" t="s">
        <v>45</v>
      </c>
      <c r="I207" s="83">
        <v>63719</v>
      </c>
    </row>
    <row r="208" spans="1:9" s="268" customFormat="1" ht="15" customHeight="1">
      <c r="A208" s="355">
        <v>41954</v>
      </c>
      <c r="B208" s="356">
        <v>0.75</v>
      </c>
      <c r="C208" s="357">
        <v>41957</v>
      </c>
      <c r="D208" s="358">
        <v>0.625</v>
      </c>
      <c r="E208" s="116" t="s">
        <v>2575</v>
      </c>
      <c r="F208" s="116" t="s">
        <v>124</v>
      </c>
      <c r="G208" s="116" t="s">
        <v>2680</v>
      </c>
      <c r="H208" s="303">
        <v>132</v>
      </c>
      <c r="I208" s="83">
        <v>68000</v>
      </c>
    </row>
    <row r="209" spans="1:9" s="268" customFormat="1" ht="15" customHeight="1">
      <c r="A209" s="355">
        <v>41955</v>
      </c>
      <c r="B209" s="356">
        <v>0.12430555555555556</v>
      </c>
      <c r="C209" s="357">
        <v>41955</v>
      </c>
      <c r="D209" s="358">
        <v>0.125</v>
      </c>
      <c r="E209" s="116" t="s">
        <v>45</v>
      </c>
      <c r="F209" s="116" t="s">
        <v>63</v>
      </c>
      <c r="G209" s="100" t="s">
        <v>2719</v>
      </c>
      <c r="H209" s="303" t="s">
        <v>45</v>
      </c>
      <c r="I209" s="83" t="s">
        <v>45</v>
      </c>
    </row>
    <row r="210" spans="1:9" s="268" customFormat="1" ht="15" customHeight="1">
      <c r="A210" s="355">
        <v>41956</v>
      </c>
      <c r="B210" s="356">
        <v>0.29652777777777778</v>
      </c>
      <c r="C210" s="357">
        <v>41956</v>
      </c>
      <c r="D210" s="358">
        <v>0.29722222222222222</v>
      </c>
      <c r="E210" s="116" t="s">
        <v>2730</v>
      </c>
      <c r="F210" s="116" t="s">
        <v>674</v>
      </c>
      <c r="G210" s="340" t="s">
        <v>2719</v>
      </c>
      <c r="H210" s="303" t="s">
        <v>45</v>
      </c>
      <c r="I210" s="83" t="s">
        <v>45</v>
      </c>
    </row>
    <row r="211" spans="1:9" s="268" customFormat="1" ht="15" customHeight="1">
      <c r="A211" s="355">
        <v>41957</v>
      </c>
      <c r="B211" s="356">
        <v>0.40972222222222227</v>
      </c>
      <c r="C211" s="357">
        <v>41957</v>
      </c>
      <c r="D211" s="358">
        <v>0.5541666666666667</v>
      </c>
      <c r="E211" s="116" t="s">
        <v>2715</v>
      </c>
      <c r="F211" s="116" t="s">
        <v>124</v>
      </c>
      <c r="G211" s="116" t="s">
        <v>2655</v>
      </c>
      <c r="H211" s="303">
        <v>1</v>
      </c>
      <c r="I211" s="83">
        <v>123</v>
      </c>
    </row>
    <row r="212" spans="1:9" s="268" customFormat="1" ht="21.75" customHeight="1">
      <c r="A212" s="355">
        <v>41962</v>
      </c>
      <c r="B212" s="356">
        <v>0.61388888888888882</v>
      </c>
      <c r="C212" s="357">
        <v>41962</v>
      </c>
      <c r="D212" s="358">
        <v>0.61458333333333337</v>
      </c>
      <c r="E212" s="116" t="s">
        <v>2731</v>
      </c>
      <c r="F212" s="116" t="s">
        <v>124</v>
      </c>
      <c r="G212" s="340" t="s">
        <v>2719</v>
      </c>
      <c r="H212" s="303" t="s">
        <v>45</v>
      </c>
      <c r="I212" s="83" t="s">
        <v>45</v>
      </c>
    </row>
    <row r="213" spans="1:9" s="268" customFormat="1" ht="15" customHeight="1">
      <c r="A213" s="355">
        <v>41964</v>
      </c>
      <c r="B213" s="356">
        <v>0.8534722222222223</v>
      </c>
      <c r="C213" s="357">
        <v>41966</v>
      </c>
      <c r="D213" s="358">
        <v>1.1111111111111112E-2</v>
      </c>
      <c r="E213" s="116" t="s">
        <v>2732</v>
      </c>
      <c r="F213" s="116" t="s">
        <v>124</v>
      </c>
      <c r="G213" s="340" t="s">
        <v>2719</v>
      </c>
      <c r="H213" s="303" t="s">
        <v>45</v>
      </c>
      <c r="I213" s="83" t="s">
        <v>45</v>
      </c>
    </row>
    <row r="214" spans="1:9" s="268" customFormat="1" ht="18.75" customHeight="1">
      <c r="A214" s="355">
        <v>41964</v>
      </c>
      <c r="B214" s="356">
        <v>0.47638888888888892</v>
      </c>
      <c r="C214" s="357">
        <v>41966</v>
      </c>
      <c r="D214" s="358">
        <v>0.72222222222222221</v>
      </c>
      <c r="E214" s="116" t="s">
        <v>2733</v>
      </c>
      <c r="F214" s="116" t="s">
        <v>124</v>
      </c>
      <c r="G214" s="340" t="s">
        <v>2719</v>
      </c>
      <c r="H214" s="303" t="s">
        <v>45</v>
      </c>
      <c r="I214" s="83" t="s">
        <v>45</v>
      </c>
    </row>
    <row r="215" spans="1:9" s="268" customFormat="1" ht="30.75" customHeight="1">
      <c r="A215" s="355">
        <v>41967</v>
      </c>
      <c r="B215" s="356">
        <v>0</v>
      </c>
      <c r="C215" s="357" t="s">
        <v>45</v>
      </c>
      <c r="D215" s="358" t="s">
        <v>45</v>
      </c>
      <c r="E215" s="116" t="s">
        <v>2734</v>
      </c>
      <c r="F215" s="116" t="s">
        <v>58</v>
      </c>
      <c r="G215" s="340" t="s">
        <v>2659</v>
      </c>
      <c r="H215" s="303" t="s">
        <v>45</v>
      </c>
      <c r="I215" s="83" t="s">
        <v>45</v>
      </c>
    </row>
    <row r="216" spans="1:9" s="268" customFormat="1" ht="15" customHeight="1">
      <c r="A216" s="355">
        <v>41967</v>
      </c>
      <c r="B216" s="356">
        <v>0.5</v>
      </c>
      <c r="C216" s="357">
        <v>41970</v>
      </c>
      <c r="D216" s="358">
        <v>0.54166666666666663</v>
      </c>
      <c r="E216" s="116" t="s">
        <v>1833</v>
      </c>
      <c r="F216" s="116" t="s">
        <v>826</v>
      </c>
      <c r="G216" s="116" t="s">
        <v>2680</v>
      </c>
      <c r="H216" s="303" t="s">
        <v>45</v>
      </c>
      <c r="I216" s="83">
        <v>186154</v>
      </c>
    </row>
    <row r="217" spans="1:9" s="268" customFormat="1" ht="29.25" customHeight="1">
      <c r="A217" s="366">
        <v>41969</v>
      </c>
      <c r="B217" s="367">
        <v>0.74305555555555547</v>
      </c>
      <c r="C217" s="368">
        <v>41971</v>
      </c>
      <c r="D217" s="369">
        <v>0.29166666666666669</v>
      </c>
      <c r="E217" s="338" t="s">
        <v>2735</v>
      </c>
      <c r="F217" s="338" t="s">
        <v>61</v>
      </c>
      <c r="G217" s="338" t="s">
        <v>2349</v>
      </c>
      <c r="H217" s="310" t="s">
        <v>45</v>
      </c>
      <c r="I217" s="370">
        <v>79530</v>
      </c>
    </row>
    <row r="218" spans="1:9" s="268" customFormat="1" ht="15" hidden="1" customHeight="1">
      <c r="A218" s="844" t="s">
        <v>47</v>
      </c>
      <c r="B218" s="845"/>
      <c r="C218" s="329"/>
      <c r="D218" s="330"/>
      <c r="E218" s="331"/>
      <c r="F218" s="332"/>
      <c r="G218" s="331"/>
      <c r="H218" s="333"/>
      <c r="I218" s="334"/>
    </row>
    <row r="219" spans="1:9" s="268" customFormat="1" ht="22.5" customHeight="1">
      <c r="A219" s="371">
        <v>41974</v>
      </c>
      <c r="B219" s="372">
        <v>0.44722222222222219</v>
      </c>
      <c r="C219" s="373">
        <v>41974</v>
      </c>
      <c r="D219" s="372">
        <v>0.44791666666666669</v>
      </c>
      <c r="E219" s="374" t="s">
        <v>2736</v>
      </c>
      <c r="F219" s="375" t="s">
        <v>63</v>
      </c>
      <c r="G219" s="340" t="s">
        <v>2719</v>
      </c>
      <c r="H219" s="376" t="s">
        <v>45</v>
      </c>
      <c r="I219" s="377" t="s">
        <v>45</v>
      </c>
    </row>
    <row r="220" spans="1:9" s="268" customFormat="1" ht="15" customHeight="1">
      <c r="A220" s="378">
        <v>41976</v>
      </c>
      <c r="B220" s="379">
        <v>0.51041666666666663</v>
      </c>
      <c r="C220" s="380">
        <v>41976</v>
      </c>
      <c r="D220" s="379">
        <v>0.51111111111111118</v>
      </c>
      <c r="E220" s="172" t="s">
        <v>2079</v>
      </c>
      <c r="F220" s="183" t="s">
        <v>61</v>
      </c>
      <c r="G220" s="340" t="s">
        <v>2719</v>
      </c>
      <c r="H220" s="143" t="s">
        <v>45</v>
      </c>
      <c r="I220" s="145" t="s">
        <v>45</v>
      </c>
    </row>
    <row r="221" spans="1:9" s="268" customFormat="1" ht="15" customHeight="1">
      <c r="A221" s="378">
        <v>41984</v>
      </c>
      <c r="B221" s="379">
        <v>0.27777777777777779</v>
      </c>
      <c r="C221" s="381" t="s">
        <v>45</v>
      </c>
      <c r="D221" s="379" t="s">
        <v>45</v>
      </c>
      <c r="E221" s="181" t="s">
        <v>141</v>
      </c>
      <c r="F221" s="183" t="s">
        <v>124</v>
      </c>
      <c r="G221" s="172" t="s">
        <v>2737</v>
      </c>
      <c r="H221" s="143" t="s">
        <v>45</v>
      </c>
      <c r="I221" s="145" t="s">
        <v>45</v>
      </c>
    </row>
    <row r="222" spans="1:9" s="268" customFormat="1" ht="15" customHeight="1">
      <c r="A222" s="378">
        <v>41984</v>
      </c>
      <c r="B222" s="379">
        <v>0.30624999999999997</v>
      </c>
      <c r="C222" s="380">
        <v>41984</v>
      </c>
      <c r="D222" s="379">
        <v>0.91180555555555554</v>
      </c>
      <c r="E222" s="172" t="s">
        <v>308</v>
      </c>
      <c r="F222" s="183" t="s">
        <v>124</v>
      </c>
      <c r="G222" s="172" t="s">
        <v>2738</v>
      </c>
      <c r="H222" s="143">
        <v>225</v>
      </c>
      <c r="I222" s="145">
        <v>75000</v>
      </c>
    </row>
    <row r="223" spans="1:9" s="268" customFormat="1" ht="15" customHeight="1">
      <c r="A223" s="382">
        <v>41984</v>
      </c>
      <c r="B223" s="383">
        <v>0.96875</v>
      </c>
      <c r="C223" s="384" t="s">
        <v>45</v>
      </c>
      <c r="D223" s="383" t="s">
        <v>45</v>
      </c>
      <c r="E223" s="385" t="s">
        <v>141</v>
      </c>
      <c r="F223" s="386" t="s">
        <v>124</v>
      </c>
      <c r="G223" s="273" t="s">
        <v>2737</v>
      </c>
      <c r="H223" s="387" t="s">
        <v>45</v>
      </c>
      <c r="I223" s="388" t="s">
        <v>45</v>
      </c>
    </row>
    <row r="224" spans="1:9" s="268" customFormat="1" ht="15" customHeight="1">
      <c r="A224" s="378">
        <v>41984</v>
      </c>
      <c r="B224" s="379">
        <v>0.67013888888888884</v>
      </c>
      <c r="C224" s="380">
        <v>41984</v>
      </c>
      <c r="D224" s="379">
        <v>0.875</v>
      </c>
      <c r="E224" s="181" t="s">
        <v>2531</v>
      </c>
      <c r="F224" s="183" t="s">
        <v>124</v>
      </c>
      <c r="G224" s="172" t="s">
        <v>2737</v>
      </c>
      <c r="H224" s="143">
        <v>250</v>
      </c>
      <c r="I224" s="145">
        <v>85470</v>
      </c>
    </row>
    <row r="225" spans="1:9" s="268" customFormat="1" ht="20.100000000000001" customHeight="1">
      <c r="A225" s="378">
        <v>41984</v>
      </c>
      <c r="B225" s="379">
        <v>0.70833333333333337</v>
      </c>
      <c r="C225" s="380">
        <v>41985</v>
      </c>
      <c r="D225" s="379">
        <v>0.41666666666666669</v>
      </c>
      <c r="E225" s="172" t="s">
        <v>2739</v>
      </c>
      <c r="F225" s="183" t="s">
        <v>124</v>
      </c>
      <c r="G225" s="172" t="s">
        <v>2737</v>
      </c>
      <c r="H225" s="143">
        <v>116</v>
      </c>
      <c r="I225" s="145">
        <v>264000</v>
      </c>
    </row>
    <row r="226" spans="1:9" s="268" customFormat="1" ht="15" customHeight="1">
      <c r="A226" s="378">
        <v>41990</v>
      </c>
      <c r="B226" s="379">
        <v>0.45833333333333331</v>
      </c>
      <c r="C226" s="380">
        <v>41990</v>
      </c>
      <c r="D226" s="379">
        <v>0.51041666666666663</v>
      </c>
      <c r="E226" s="172" t="s">
        <v>2575</v>
      </c>
      <c r="F226" s="183" t="s">
        <v>124</v>
      </c>
      <c r="G226" s="172" t="s">
        <v>2150</v>
      </c>
      <c r="H226" s="143" t="s">
        <v>45</v>
      </c>
      <c r="I226" s="145" t="s">
        <v>45</v>
      </c>
    </row>
    <row r="227" spans="1:9" s="268" customFormat="1" ht="27.75" customHeight="1">
      <c r="A227" s="378">
        <v>42003</v>
      </c>
      <c r="B227" s="379">
        <v>0.65972222222222221</v>
      </c>
      <c r="C227" s="380">
        <v>42004</v>
      </c>
      <c r="D227" s="379">
        <v>0.45833333333333331</v>
      </c>
      <c r="E227" s="309" t="s">
        <v>2735</v>
      </c>
      <c r="F227" s="183" t="s">
        <v>61</v>
      </c>
      <c r="G227" s="172" t="s">
        <v>2139</v>
      </c>
      <c r="H227" s="143" t="s">
        <v>45</v>
      </c>
      <c r="I227" s="145" t="s">
        <v>45</v>
      </c>
    </row>
    <row r="228" spans="1:9" s="268" customFormat="1" ht="15" customHeight="1" thickBot="1">
      <c r="A228" s="389">
        <v>42003</v>
      </c>
      <c r="B228" s="390">
        <v>0.54722222222222217</v>
      </c>
      <c r="C228" s="391">
        <v>42005</v>
      </c>
      <c r="D228" s="390">
        <v>0.70138888888888884</v>
      </c>
      <c r="E228" s="174" t="s">
        <v>141</v>
      </c>
      <c r="F228" s="392" t="s">
        <v>124</v>
      </c>
      <c r="G228" s="174" t="s">
        <v>2737</v>
      </c>
      <c r="H228" s="157">
        <v>127</v>
      </c>
      <c r="I228" s="159">
        <v>84500</v>
      </c>
    </row>
    <row r="229" spans="1:9" s="268" customFormat="1" ht="15" hidden="1" customHeight="1">
      <c r="A229" s="138" t="s">
        <v>2339</v>
      </c>
      <c r="B229" s="393"/>
      <c r="C229" s="394"/>
      <c r="D229" s="395"/>
      <c r="E229" s="396"/>
      <c r="F229" s="396"/>
      <c r="G229" s="396"/>
      <c r="H229" s="397"/>
      <c r="I229" s="398"/>
    </row>
    <row r="230" spans="1:9" s="268" customFormat="1" ht="15" hidden="1" customHeight="1">
      <c r="A230" s="138" t="s">
        <v>2740</v>
      </c>
      <c r="B230" s="393"/>
      <c r="C230" s="394"/>
      <c r="D230" s="395"/>
      <c r="E230" s="396"/>
      <c r="F230" s="396"/>
      <c r="G230" s="396"/>
      <c r="H230" s="397"/>
      <c r="I230" s="398"/>
    </row>
    <row r="231" spans="1:9" s="268" customFormat="1" ht="15" customHeight="1">
      <c r="A231" s="399"/>
      <c r="B231" s="393"/>
      <c r="C231" s="394"/>
      <c r="D231" s="395"/>
      <c r="E231" s="396"/>
      <c r="F231" s="396"/>
      <c r="G231" s="396"/>
      <c r="H231" s="397"/>
      <c r="I231" s="398"/>
    </row>
    <row r="232" spans="1:9" s="268" customFormat="1" ht="15" customHeight="1">
      <c r="B232" s="400"/>
      <c r="C232" s="401"/>
      <c r="D232" s="402"/>
      <c r="E232" s="403"/>
      <c r="F232" s="403"/>
      <c r="G232" s="396"/>
      <c r="H232" s="397"/>
      <c r="I232" s="398"/>
    </row>
    <row r="233" spans="1:9" s="268" customFormat="1" ht="15" customHeight="1">
      <c r="B233" s="400"/>
      <c r="C233" s="401"/>
      <c r="D233" s="402"/>
      <c r="E233" s="403"/>
      <c r="F233" s="403"/>
      <c r="G233" s="396"/>
      <c r="H233" s="397"/>
      <c r="I233" s="398"/>
    </row>
    <row r="234" spans="1:9" s="268" customFormat="1" ht="9.9499999999999993" customHeight="1">
      <c r="B234" s="404"/>
      <c r="C234" s="405"/>
      <c r="D234" s="404"/>
      <c r="E234" s="403"/>
      <c r="I234" s="406"/>
    </row>
  </sheetData>
  <autoFilter ref="A2:I230" xr:uid="{00000000-0009-0000-0000-00000C000000}">
    <filterColumn colId="0">
      <filters>
        <dateGroupItem year="2014" dateTimeGrouping="year"/>
      </filters>
    </filterColumn>
  </autoFilter>
  <mergeCells count="13">
    <mergeCell ref="A218:B218"/>
    <mergeCell ref="A119:B119"/>
    <mergeCell ref="A140:B140"/>
    <mergeCell ref="A159:B159"/>
    <mergeCell ref="A168:B168"/>
    <mergeCell ref="A182:B182"/>
    <mergeCell ref="A205:B205"/>
    <mergeCell ref="A105:B105"/>
    <mergeCell ref="A1:I1"/>
    <mergeCell ref="A3:B3"/>
    <mergeCell ref="A49:B49"/>
    <mergeCell ref="A72:B72"/>
    <mergeCell ref="A89:B89"/>
  </mergeCells>
  <pageMargins left="0.7" right="0.7"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193"/>
  <sheetViews>
    <sheetView zoomScaleNormal="100" workbookViewId="0">
      <pane ySplit="2" topLeftCell="A135" activePane="bottomLeft" state="frozen"/>
      <selection pane="bottomLeft" activeCell="B2" sqref="B2:K145"/>
    </sheetView>
  </sheetViews>
  <sheetFormatPr defaultRowHeight="14.25"/>
  <cols>
    <col min="1" max="1" width="9.140625" style="463"/>
    <col min="2" max="2" width="10.7109375" style="456" customWidth="1"/>
    <col min="3" max="3" width="10.7109375" style="457" customWidth="1"/>
    <col min="4" max="4" width="10.7109375" style="456" customWidth="1"/>
    <col min="5" max="5" width="10.7109375" style="457" customWidth="1"/>
    <col min="6" max="6" width="20.42578125" style="458" customWidth="1"/>
    <col min="7" max="7" width="6.7109375" style="459" customWidth="1"/>
    <col min="8" max="8" width="20.7109375" style="460" customWidth="1"/>
    <col min="9" max="9" width="15.85546875" style="459" customWidth="1"/>
    <col min="10" max="10" width="7.7109375" style="461" customWidth="1"/>
    <col min="11" max="11" width="9.7109375" style="462" customWidth="1"/>
    <col min="12" max="16384" width="9.140625" style="419"/>
  </cols>
  <sheetData>
    <row r="1" spans="1:11" s="412" customFormat="1" ht="15">
      <c r="A1" s="854" t="s">
        <v>2741</v>
      </c>
      <c r="B1" s="855"/>
      <c r="C1" s="855"/>
      <c r="D1" s="855"/>
      <c r="E1" s="855"/>
      <c r="F1" s="855"/>
      <c r="G1" s="855"/>
      <c r="H1" s="855"/>
      <c r="I1" s="855"/>
      <c r="J1" s="855"/>
      <c r="K1" s="856"/>
    </row>
    <row r="2" spans="1:11" ht="33.75">
      <c r="A2" s="413" t="s">
        <v>2742</v>
      </c>
      <c r="B2" s="414" t="s">
        <v>2105</v>
      </c>
      <c r="C2" s="415" t="s">
        <v>2106</v>
      </c>
      <c r="D2" s="414" t="s">
        <v>2107</v>
      </c>
      <c r="E2" s="415" t="s">
        <v>2108</v>
      </c>
      <c r="F2" s="416" t="s">
        <v>67</v>
      </c>
      <c r="G2" s="416" t="s">
        <v>57</v>
      </c>
      <c r="H2" s="416" t="s">
        <v>2743</v>
      </c>
      <c r="I2" s="416" t="s">
        <v>2109</v>
      </c>
      <c r="J2" s="417" t="s">
        <v>2110</v>
      </c>
      <c r="K2" s="418" t="s">
        <v>7</v>
      </c>
    </row>
    <row r="3" spans="1:11" s="423" customFormat="1" ht="22.5">
      <c r="A3" s="420" t="s">
        <v>9</v>
      </c>
      <c r="B3" s="421">
        <v>42011</v>
      </c>
      <c r="C3" s="422">
        <v>0.70833333333333337</v>
      </c>
      <c r="D3" s="421">
        <v>42012</v>
      </c>
      <c r="E3" s="422">
        <v>0.3576388888888889</v>
      </c>
      <c r="F3" s="423" t="s">
        <v>2650</v>
      </c>
      <c r="G3" s="424" t="s">
        <v>63</v>
      </c>
      <c r="H3" s="423" t="s">
        <v>2744</v>
      </c>
      <c r="I3" s="424" t="s">
        <v>2745</v>
      </c>
      <c r="J3" s="425" t="s">
        <v>45</v>
      </c>
      <c r="K3" s="426" t="s">
        <v>45</v>
      </c>
    </row>
    <row r="4" spans="1:11" s="423" customFormat="1" ht="33.75">
      <c r="A4" s="420" t="s">
        <v>9</v>
      </c>
      <c r="B4" s="421">
        <v>42011</v>
      </c>
      <c r="C4" s="422">
        <v>0.70833333333333337</v>
      </c>
      <c r="D4" s="421">
        <v>42012</v>
      </c>
      <c r="E4" s="422">
        <v>0.3576388888888889</v>
      </c>
      <c r="F4" s="423" t="s">
        <v>2746</v>
      </c>
      <c r="G4" s="424" t="s">
        <v>63</v>
      </c>
      <c r="H4" s="423" t="s">
        <v>2744</v>
      </c>
      <c r="I4" s="424" t="s">
        <v>2745</v>
      </c>
      <c r="J4" s="425" t="s">
        <v>45</v>
      </c>
      <c r="K4" s="426" t="s">
        <v>45</v>
      </c>
    </row>
    <row r="5" spans="1:11" s="423" customFormat="1" ht="11.25">
      <c r="A5" s="420" t="s">
        <v>9</v>
      </c>
      <c r="B5" s="421">
        <v>42026</v>
      </c>
      <c r="C5" s="422">
        <v>0.18333333333333335</v>
      </c>
      <c r="D5" s="421">
        <v>42026</v>
      </c>
      <c r="E5" s="422">
        <v>0.24652777777777779</v>
      </c>
      <c r="F5" s="423" t="s">
        <v>2531</v>
      </c>
      <c r="G5" s="424" t="s">
        <v>124</v>
      </c>
      <c r="H5" s="423" t="s">
        <v>2150</v>
      </c>
      <c r="I5" s="424" t="s">
        <v>100</v>
      </c>
      <c r="J5" s="425" t="s">
        <v>45</v>
      </c>
      <c r="K5" s="426" t="s">
        <v>45</v>
      </c>
    </row>
    <row r="6" spans="1:11" s="423" customFormat="1" ht="11.25">
      <c r="A6" s="420" t="s">
        <v>9</v>
      </c>
      <c r="B6" s="421">
        <v>42030</v>
      </c>
      <c r="C6" s="422">
        <v>0.61041666666666672</v>
      </c>
      <c r="D6" s="421">
        <v>42030</v>
      </c>
      <c r="E6" s="422">
        <v>0.61111111111111105</v>
      </c>
      <c r="F6" s="423" t="s">
        <v>2718</v>
      </c>
      <c r="G6" s="424" t="s">
        <v>124</v>
      </c>
      <c r="H6" s="423" t="s">
        <v>2150</v>
      </c>
      <c r="I6" s="424" t="s">
        <v>100</v>
      </c>
      <c r="J6" s="425" t="s">
        <v>45</v>
      </c>
      <c r="K6" s="427" t="s">
        <v>45</v>
      </c>
    </row>
    <row r="7" spans="1:11" s="423" customFormat="1" ht="11.25">
      <c r="A7" s="420" t="s">
        <v>9</v>
      </c>
      <c r="B7" s="421">
        <v>42031</v>
      </c>
      <c r="C7" s="422">
        <v>0.4375</v>
      </c>
      <c r="D7" s="421">
        <v>42031</v>
      </c>
      <c r="E7" s="422">
        <v>0.4381944444444445</v>
      </c>
      <c r="F7" s="423" t="s">
        <v>2747</v>
      </c>
      <c r="G7" s="424" t="s">
        <v>63</v>
      </c>
      <c r="H7" s="423" t="s">
        <v>2150</v>
      </c>
      <c r="I7" s="424" t="s">
        <v>2343</v>
      </c>
      <c r="J7" s="425">
        <v>0</v>
      </c>
      <c r="K7" s="427">
        <v>0</v>
      </c>
    </row>
    <row r="8" spans="1:11">
      <c r="A8" s="420" t="s">
        <v>17</v>
      </c>
      <c r="B8" s="421">
        <v>42036</v>
      </c>
      <c r="C8" s="422">
        <v>0.47500000000000003</v>
      </c>
      <c r="D8" s="421">
        <v>42036</v>
      </c>
      <c r="E8" s="422">
        <v>0.48888888888888887</v>
      </c>
      <c r="F8" s="423" t="s">
        <v>2748</v>
      </c>
      <c r="G8" s="424" t="s">
        <v>124</v>
      </c>
      <c r="H8" s="423" t="s">
        <v>2150</v>
      </c>
      <c r="I8" s="424" t="s">
        <v>100</v>
      </c>
      <c r="J8" s="425" t="s">
        <v>45</v>
      </c>
      <c r="K8" s="426" t="s">
        <v>45</v>
      </c>
    </row>
    <row r="9" spans="1:11" ht="15" customHeight="1">
      <c r="A9" s="420" t="s">
        <v>17</v>
      </c>
      <c r="B9" s="421">
        <v>42037</v>
      </c>
      <c r="C9" s="422">
        <v>0.40277777777777773</v>
      </c>
      <c r="D9" s="421">
        <v>42037</v>
      </c>
      <c r="E9" s="422">
        <v>0.40347222222222223</v>
      </c>
      <c r="F9" s="423" t="s">
        <v>2749</v>
      </c>
      <c r="G9" s="424" t="s">
        <v>1352</v>
      </c>
      <c r="H9" s="423" t="s">
        <v>2150</v>
      </c>
      <c r="I9" s="424" t="s">
        <v>2343</v>
      </c>
      <c r="J9" s="425" t="s">
        <v>45</v>
      </c>
      <c r="K9" s="426" t="s">
        <v>45</v>
      </c>
    </row>
    <row r="10" spans="1:11" ht="15" customHeight="1">
      <c r="A10" s="420" t="s">
        <v>17</v>
      </c>
      <c r="B10" s="421">
        <v>42039</v>
      </c>
      <c r="C10" s="422">
        <v>0.49652777777777773</v>
      </c>
      <c r="D10" s="421">
        <v>42039</v>
      </c>
      <c r="E10" s="422">
        <v>0.49722222222222223</v>
      </c>
      <c r="F10" s="423" t="s">
        <v>2750</v>
      </c>
      <c r="G10" s="424" t="s">
        <v>124</v>
      </c>
      <c r="H10" s="423" t="s">
        <v>2150</v>
      </c>
      <c r="I10" s="424" t="s">
        <v>100</v>
      </c>
      <c r="J10" s="425" t="s">
        <v>45</v>
      </c>
      <c r="K10" s="426" t="s">
        <v>45</v>
      </c>
    </row>
    <row r="11" spans="1:11" ht="15" customHeight="1">
      <c r="A11" s="420" t="s">
        <v>17</v>
      </c>
      <c r="B11" s="421">
        <v>42040</v>
      </c>
      <c r="C11" s="422">
        <v>0.34375</v>
      </c>
      <c r="D11" s="421">
        <v>42040</v>
      </c>
      <c r="E11" s="422">
        <v>0.34513888888888888</v>
      </c>
      <c r="F11" s="423" t="s">
        <v>2751</v>
      </c>
      <c r="G11" s="424" t="s">
        <v>124</v>
      </c>
      <c r="H11" s="423" t="s">
        <v>2150</v>
      </c>
      <c r="I11" s="424" t="s">
        <v>100</v>
      </c>
      <c r="J11" s="425" t="s">
        <v>45</v>
      </c>
      <c r="K11" s="426" t="s">
        <v>45</v>
      </c>
    </row>
    <row r="12" spans="1:11">
      <c r="A12" s="420" t="s">
        <v>17</v>
      </c>
      <c r="B12" s="421">
        <v>42040</v>
      </c>
      <c r="C12" s="422">
        <v>0.47222222222222227</v>
      </c>
      <c r="D12" s="421">
        <v>42040</v>
      </c>
      <c r="E12" s="422">
        <v>0.47291666666666665</v>
      </c>
      <c r="F12" s="423" t="s">
        <v>2752</v>
      </c>
      <c r="G12" s="424" t="s">
        <v>124</v>
      </c>
      <c r="H12" s="423" t="s">
        <v>2150</v>
      </c>
      <c r="I12" s="424" t="s">
        <v>100</v>
      </c>
      <c r="J12" s="425" t="s">
        <v>45</v>
      </c>
      <c r="K12" s="426" t="s">
        <v>45</v>
      </c>
    </row>
    <row r="13" spans="1:11" ht="36" customHeight="1">
      <c r="A13" s="420" t="s">
        <v>17</v>
      </c>
      <c r="B13" s="421">
        <v>42041</v>
      </c>
      <c r="C13" s="422">
        <v>0.87361111111111101</v>
      </c>
      <c r="D13" s="424" t="s">
        <v>45</v>
      </c>
      <c r="E13" s="424" t="s">
        <v>45</v>
      </c>
      <c r="F13" s="423" t="s">
        <v>141</v>
      </c>
      <c r="G13" s="424" t="s">
        <v>124</v>
      </c>
      <c r="H13" s="423" t="s">
        <v>2753</v>
      </c>
      <c r="I13" s="424" t="s">
        <v>2680</v>
      </c>
      <c r="J13" s="425" t="s">
        <v>45</v>
      </c>
      <c r="K13" s="426">
        <v>65000</v>
      </c>
    </row>
    <row r="14" spans="1:11">
      <c r="A14" s="420" t="s">
        <v>17</v>
      </c>
      <c r="B14" s="421">
        <v>42044</v>
      </c>
      <c r="C14" s="422">
        <v>0.47916666666666669</v>
      </c>
      <c r="D14" s="421">
        <v>42044</v>
      </c>
      <c r="E14" s="422">
        <v>0.55208333333333337</v>
      </c>
      <c r="F14" s="423" t="s">
        <v>2518</v>
      </c>
      <c r="G14" s="424" t="s">
        <v>124</v>
      </c>
      <c r="H14" s="423" t="s">
        <v>2150</v>
      </c>
      <c r="I14" s="424" t="s">
        <v>2343</v>
      </c>
      <c r="J14" s="425" t="s">
        <v>45</v>
      </c>
      <c r="K14" s="426" t="s">
        <v>45</v>
      </c>
    </row>
    <row r="15" spans="1:11" ht="38.25" customHeight="1">
      <c r="A15" s="420" t="s">
        <v>17</v>
      </c>
      <c r="B15" s="421">
        <v>42051</v>
      </c>
      <c r="C15" s="422">
        <v>0.90347222222222223</v>
      </c>
      <c r="D15" s="421">
        <v>42053</v>
      </c>
      <c r="E15" s="422">
        <v>0.29166666666666669</v>
      </c>
      <c r="F15" s="423" t="s">
        <v>2754</v>
      </c>
      <c r="G15" s="424" t="s">
        <v>63</v>
      </c>
      <c r="H15" s="423" t="s">
        <v>2753</v>
      </c>
      <c r="I15" s="424" t="s">
        <v>2745</v>
      </c>
      <c r="J15" s="425">
        <v>620</v>
      </c>
      <c r="K15" s="426">
        <v>186035</v>
      </c>
    </row>
    <row r="16" spans="1:11" ht="38.25" customHeight="1">
      <c r="A16" s="420" t="s">
        <v>17</v>
      </c>
      <c r="B16" s="421">
        <v>42051</v>
      </c>
      <c r="C16" s="422">
        <v>0.875</v>
      </c>
      <c r="D16" s="421">
        <v>42053</v>
      </c>
      <c r="E16" s="422">
        <v>0.58333333333333337</v>
      </c>
      <c r="F16" s="423" t="s">
        <v>2746</v>
      </c>
      <c r="G16" s="424" t="s">
        <v>63</v>
      </c>
      <c r="H16" s="423" t="s">
        <v>2753</v>
      </c>
      <c r="I16" s="424" t="s">
        <v>2745</v>
      </c>
      <c r="J16" s="425" t="s">
        <v>45</v>
      </c>
      <c r="K16" s="426">
        <v>67189</v>
      </c>
    </row>
    <row r="17" spans="1:11" ht="41.25" customHeight="1">
      <c r="A17" s="420" t="s">
        <v>17</v>
      </c>
      <c r="B17" s="421">
        <v>42052</v>
      </c>
      <c r="C17" s="422">
        <v>0.375</v>
      </c>
      <c r="D17" s="421">
        <v>42053</v>
      </c>
      <c r="E17" s="422">
        <v>0.95833333333333337</v>
      </c>
      <c r="F17" s="423" t="s">
        <v>2169</v>
      </c>
      <c r="G17" s="424" t="s">
        <v>63</v>
      </c>
      <c r="H17" s="423" t="s">
        <v>2753</v>
      </c>
      <c r="I17" s="424" t="s">
        <v>2745</v>
      </c>
      <c r="J17" s="425" t="s">
        <v>45</v>
      </c>
      <c r="K17" s="426">
        <v>52000</v>
      </c>
    </row>
    <row r="18" spans="1:11" ht="39.75" customHeight="1">
      <c r="A18" s="420" t="s">
        <v>17</v>
      </c>
      <c r="B18" s="421">
        <v>42052</v>
      </c>
      <c r="C18" s="422">
        <v>9.1666666666666674E-2</v>
      </c>
      <c r="D18" s="421">
        <v>42053</v>
      </c>
      <c r="E18" s="422">
        <v>0.66666666666666663</v>
      </c>
      <c r="F18" s="423" t="s">
        <v>2169</v>
      </c>
      <c r="G18" s="424" t="s">
        <v>63</v>
      </c>
      <c r="H18" s="423" t="s">
        <v>2753</v>
      </c>
      <c r="I18" s="424" t="s">
        <v>2745</v>
      </c>
      <c r="J18" s="425" t="s">
        <v>45</v>
      </c>
      <c r="K18" s="426">
        <v>68000</v>
      </c>
    </row>
    <row r="19" spans="1:11">
      <c r="A19" s="420" t="s">
        <v>17</v>
      </c>
      <c r="B19" s="421">
        <v>42052</v>
      </c>
      <c r="C19" s="422">
        <v>0.2638888888888889</v>
      </c>
      <c r="D19" s="421">
        <v>42052</v>
      </c>
      <c r="E19" s="422">
        <v>0.3125</v>
      </c>
      <c r="F19" s="423" t="s">
        <v>2755</v>
      </c>
      <c r="G19" s="424" t="s">
        <v>124</v>
      </c>
      <c r="H19" s="423" t="s">
        <v>2150</v>
      </c>
      <c r="I19" s="424" t="s">
        <v>100</v>
      </c>
      <c r="J19" s="425" t="s">
        <v>45</v>
      </c>
      <c r="K19" s="426" t="s">
        <v>45</v>
      </c>
    </row>
    <row r="20" spans="1:11" ht="33.75">
      <c r="A20" s="420" t="s">
        <v>17</v>
      </c>
      <c r="B20" s="421">
        <v>42053</v>
      </c>
      <c r="C20" s="422">
        <v>0.625</v>
      </c>
      <c r="D20" s="421">
        <v>42055</v>
      </c>
      <c r="E20" s="422">
        <v>0.375</v>
      </c>
      <c r="F20" s="423" t="s">
        <v>2746</v>
      </c>
      <c r="G20" s="424" t="s">
        <v>63</v>
      </c>
      <c r="H20" s="423" t="s">
        <v>2744</v>
      </c>
      <c r="I20" s="424" t="s">
        <v>2745</v>
      </c>
      <c r="J20" s="425" t="s">
        <v>45</v>
      </c>
      <c r="K20" s="426" t="s">
        <v>45</v>
      </c>
    </row>
    <row r="21" spans="1:11">
      <c r="A21" s="420" t="s">
        <v>17</v>
      </c>
      <c r="B21" s="421">
        <v>42054</v>
      </c>
      <c r="C21" s="422">
        <v>0.60416666666666663</v>
      </c>
      <c r="D21" s="421">
        <v>42054</v>
      </c>
      <c r="E21" s="422">
        <v>0.63888888888888895</v>
      </c>
      <c r="F21" s="423" t="s">
        <v>2756</v>
      </c>
      <c r="G21" s="424" t="s">
        <v>124</v>
      </c>
      <c r="H21" s="423" t="s">
        <v>2150</v>
      </c>
      <c r="I21" s="424" t="s">
        <v>100</v>
      </c>
      <c r="J21" s="425" t="s">
        <v>45</v>
      </c>
      <c r="K21" s="426" t="s">
        <v>45</v>
      </c>
    </row>
    <row r="22" spans="1:11" ht="33.75">
      <c r="A22" s="420" t="s">
        <v>17</v>
      </c>
      <c r="B22" s="421">
        <v>42055</v>
      </c>
      <c r="C22" s="422">
        <v>0.25</v>
      </c>
      <c r="D22" s="421">
        <v>42055</v>
      </c>
      <c r="E22" s="422">
        <v>0.41666666666666669</v>
      </c>
      <c r="F22" s="423" t="s">
        <v>2169</v>
      </c>
      <c r="G22" s="424" t="s">
        <v>63</v>
      </c>
      <c r="H22" s="423" t="s">
        <v>2622</v>
      </c>
      <c r="I22" s="424" t="s">
        <v>2745</v>
      </c>
      <c r="J22" s="425" t="s">
        <v>45</v>
      </c>
      <c r="K22" s="426" t="s">
        <v>45</v>
      </c>
    </row>
    <row r="23" spans="1:11" ht="38.25" customHeight="1">
      <c r="A23" s="420" t="s">
        <v>17</v>
      </c>
      <c r="B23" s="421">
        <v>42056</v>
      </c>
      <c r="C23" s="422">
        <v>0.35694444444444445</v>
      </c>
      <c r="D23" s="421">
        <v>42056</v>
      </c>
      <c r="E23" s="422">
        <v>0.53125</v>
      </c>
      <c r="F23" s="423" t="s">
        <v>2757</v>
      </c>
      <c r="G23" s="424" t="s">
        <v>63</v>
      </c>
      <c r="H23" s="423" t="s">
        <v>2753</v>
      </c>
      <c r="I23" s="424" t="s">
        <v>2745</v>
      </c>
      <c r="J23" s="425" t="s">
        <v>45</v>
      </c>
      <c r="K23" s="426">
        <v>50000</v>
      </c>
    </row>
    <row r="24" spans="1:11" ht="38.25" customHeight="1">
      <c r="A24" s="420" t="s">
        <v>17</v>
      </c>
      <c r="B24" s="421">
        <v>42061</v>
      </c>
      <c r="C24" s="422">
        <v>0.13333333333333333</v>
      </c>
      <c r="D24" s="421">
        <v>42061</v>
      </c>
      <c r="E24" s="422">
        <v>0.83333333333333337</v>
      </c>
      <c r="F24" s="423" t="s">
        <v>2169</v>
      </c>
      <c r="G24" s="424" t="s">
        <v>63</v>
      </c>
      <c r="H24" s="423" t="s">
        <v>2753</v>
      </c>
      <c r="I24" s="424" t="s">
        <v>2745</v>
      </c>
      <c r="J24" s="425" t="s">
        <v>45</v>
      </c>
      <c r="K24" s="426">
        <v>124000</v>
      </c>
    </row>
    <row r="25" spans="1:11" ht="38.25" customHeight="1">
      <c r="A25" s="420" t="s">
        <v>17</v>
      </c>
      <c r="B25" s="421">
        <v>42061</v>
      </c>
      <c r="C25" s="422">
        <v>0.14583333333333334</v>
      </c>
      <c r="D25" s="421">
        <v>42062</v>
      </c>
      <c r="E25" s="422">
        <v>0.5</v>
      </c>
      <c r="F25" s="423" t="s">
        <v>2758</v>
      </c>
      <c r="G25" s="424" t="s">
        <v>63</v>
      </c>
      <c r="H25" s="423" t="s">
        <v>2753</v>
      </c>
      <c r="I25" s="424" t="s">
        <v>2745</v>
      </c>
      <c r="J25" s="425">
        <v>400</v>
      </c>
      <c r="K25" s="427">
        <v>103776</v>
      </c>
    </row>
    <row r="26" spans="1:11" s="412" customFormat="1" ht="11.25">
      <c r="A26" s="428" t="s">
        <v>20</v>
      </c>
      <c r="B26" s="429">
        <v>42067</v>
      </c>
      <c r="C26" s="430">
        <v>0.37847222222222227</v>
      </c>
      <c r="D26" s="429">
        <v>42067</v>
      </c>
      <c r="E26" s="430">
        <v>0.59375</v>
      </c>
      <c r="F26" s="423" t="s">
        <v>2759</v>
      </c>
      <c r="G26" s="424" t="s">
        <v>63</v>
      </c>
      <c r="H26" s="423" t="s">
        <v>2150</v>
      </c>
      <c r="I26" s="424" t="s">
        <v>100</v>
      </c>
      <c r="J26" s="431" t="s">
        <v>45</v>
      </c>
      <c r="K26" s="432" t="s">
        <v>45</v>
      </c>
    </row>
    <row r="27" spans="1:11" s="412" customFormat="1" ht="11.25">
      <c r="A27" s="428" t="s">
        <v>20</v>
      </c>
      <c r="B27" s="433">
        <v>42072</v>
      </c>
      <c r="C27" s="434">
        <v>0.99305555555555547</v>
      </c>
      <c r="D27" s="433">
        <v>42073</v>
      </c>
      <c r="E27" s="434">
        <v>0.45347222222222222</v>
      </c>
      <c r="F27" s="423" t="s">
        <v>2575</v>
      </c>
      <c r="G27" s="424" t="s">
        <v>124</v>
      </c>
      <c r="H27" s="435" t="s">
        <v>2150</v>
      </c>
      <c r="I27" s="424" t="s">
        <v>100</v>
      </c>
      <c r="J27" s="431" t="s">
        <v>45</v>
      </c>
      <c r="K27" s="432" t="s">
        <v>45</v>
      </c>
    </row>
    <row r="28" spans="1:11" s="412" customFormat="1" ht="45">
      <c r="A28" s="428" t="s">
        <v>20</v>
      </c>
      <c r="B28" s="433">
        <v>42078</v>
      </c>
      <c r="C28" s="434">
        <v>0.64583333333333337</v>
      </c>
      <c r="D28" s="433">
        <v>42078</v>
      </c>
      <c r="E28" s="434">
        <v>0.79166666666666663</v>
      </c>
      <c r="F28" s="423" t="s">
        <v>2760</v>
      </c>
      <c r="G28" s="424" t="s">
        <v>124</v>
      </c>
      <c r="H28" s="423" t="s">
        <v>2753</v>
      </c>
      <c r="I28" s="424" t="s">
        <v>2680</v>
      </c>
      <c r="J28" s="431">
        <v>210</v>
      </c>
      <c r="K28" s="432">
        <v>71000</v>
      </c>
    </row>
    <row r="29" spans="1:11" s="412" customFormat="1" ht="11.25">
      <c r="A29" s="428" t="s">
        <v>20</v>
      </c>
      <c r="B29" s="433">
        <v>42079</v>
      </c>
      <c r="C29" s="434">
        <v>0.31319444444444444</v>
      </c>
      <c r="D29" s="433">
        <v>42079</v>
      </c>
      <c r="E29" s="434">
        <v>0.42083333333333334</v>
      </c>
      <c r="F29" s="423" t="s">
        <v>2761</v>
      </c>
      <c r="G29" s="424" t="s">
        <v>674</v>
      </c>
      <c r="H29" s="435" t="s">
        <v>2150</v>
      </c>
      <c r="I29" s="424" t="s">
        <v>2343</v>
      </c>
      <c r="J29" s="431">
        <v>20</v>
      </c>
      <c r="K29" s="432">
        <v>5941</v>
      </c>
    </row>
    <row r="30" spans="1:11" s="412" customFormat="1" ht="11.25">
      <c r="A30" s="428" t="s">
        <v>20</v>
      </c>
      <c r="B30" s="433">
        <v>42082</v>
      </c>
      <c r="C30" s="434">
        <v>0.77083333333333337</v>
      </c>
      <c r="D30" s="433">
        <v>42082</v>
      </c>
      <c r="E30" s="434">
        <v>0.90069444444444446</v>
      </c>
      <c r="F30" s="423" t="s">
        <v>2235</v>
      </c>
      <c r="G30" s="424" t="s">
        <v>58</v>
      </c>
      <c r="H30" s="435" t="s">
        <v>2150</v>
      </c>
      <c r="I30" s="424" t="s">
        <v>100</v>
      </c>
      <c r="J30" s="431" t="s">
        <v>45</v>
      </c>
      <c r="K30" s="432" t="s">
        <v>45</v>
      </c>
    </row>
    <row r="31" spans="1:11" s="412" customFormat="1" ht="11.25">
      <c r="A31" s="428" t="s">
        <v>20</v>
      </c>
      <c r="B31" s="433">
        <v>42085</v>
      </c>
      <c r="C31" s="434">
        <v>0.68402777777777779</v>
      </c>
      <c r="D31" s="433">
        <v>42085</v>
      </c>
      <c r="E31" s="434">
        <v>0.68472222222222223</v>
      </c>
      <c r="F31" s="423" t="s">
        <v>2402</v>
      </c>
      <c r="G31" s="424" t="s">
        <v>826</v>
      </c>
      <c r="H31" s="435" t="s">
        <v>2150</v>
      </c>
      <c r="I31" s="424" t="s">
        <v>100</v>
      </c>
      <c r="J31" s="431">
        <v>24</v>
      </c>
      <c r="K31" s="432">
        <v>0</v>
      </c>
    </row>
    <row r="32" spans="1:11" s="412" customFormat="1" ht="56.25">
      <c r="A32" s="428" t="s">
        <v>20</v>
      </c>
      <c r="B32" s="433">
        <v>42089</v>
      </c>
      <c r="C32" s="434">
        <v>0.63958333333333328</v>
      </c>
      <c r="D32" s="433">
        <v>42089</v>
      </c>
      <c r="E32" s="434">
        <v>0.70763888888888893</v>
      </c>
      <c r="F32" s="423" t="s">
        <v>2762</v>
      </c>
      <c r="G32" s="424" t="s">
        <v>124</v>
      </c>
      <c r="H32" s="435" t="s">
        <v>2763</v>
      </c>
      <c r="I32" s="424" t="s">
        <v>2764</v>
      </c>
      <c r="J32" s="431">
        <v>15</v>
      </c>
      <c r="K32" s="432" t="s">
        <v>45</v>
      </c>
    </row>
    <row r="33" spans="1:12" s="412" customFormat="1" ht="11.25">
      <c r="A33" s="428" t="s">
        <v>20</v>
      </c>
      <c r="B33" s="433">
        <v>42092</v>
      </c>
      <c r="C33" s="434">
        <v>0.18472222222222223</v>
      </c>
      <c r="D33" s="433">
        <v>42092</v>
      </c>
      <c r="E33" s="434">
        <v>0.38958333333333334</v>
      </c>
      <c r="F33" s="423" t="s">
        <v>18</v>
      </c>
      <c r="G33" s="424" t="s">
        <v>124</v>
      </c>
      <c r="H33" s="435" t="s">
        <v>2150</v>
      </c>
      <c r="I33" s="424" t="s">
        <v>100</v>
      </c>
      <c r="J33" s="431" t="s">
        <v>45</v>
      </c>
      <c r="K33" s="432" t="s">
        <v>45</v>
      </c>
    </row>
    <row r="34" spans="1:12" s="438" customFormat="1" ht="15" customHeight="1">
      <c r="A34" s="428" t="s">
        <v>23</v>
      </c>
      <c r="B34" s="421">
        <v>42095</v>
      </c>
      <c r="C34" s="422">
        <v>0.76736111111111116</v>
      </c>
      <c r="D34" s="421">
        <v>42095</v>
      </c>
      <c r="E34" s="422">
        <v>0.7680555555555556</v>
      </c>
      <c r="F34" s="423" t="s">
        <v>2765</v>
      </c>
      <c r="G34" s="424" t="s">
        <v>124</v>
      </c>
      <c r="H34" s="435" t="s">
        <v>2150</v>
      </c>
      <c r="I34" s="424" t="s">
        <v>100</v>
      </c>
      <c r="J34" s="436" t="s">
        <v>45</v>
      </c>
      <c r="K34" s="437">
        <v>37</v>
      </c>
      <c r="L34" s="412"/>
    </row>
    <row r="35" spans="1:12" s="438" customFormat="1" ht="15" customHeight="1">
      <c r="A35" s="428" t="s">
        <v>23</v>
      </c>
      <c r="B35" s="421">
        <v>42096</v>
      </c>
      <c r="C35" s="422">
        <v>0.29444444444444445</v>
      </c>
      <c r="D35" s="421">
        <v>42096</v>
      </c>
      <c r="E35" s="422">
        <v>0.37291666666666662</v>
      </c>
      <c r="F35" s="423" t="s">
        <v>2765</v>
      </c>
      <c r="G35" s="424" t="s">
        <v>124</v>
      </c>
      <c r="H35" s="435" t="s">
        <v>2150</v>
      </c>
      <c r="I35" s="424" t="s">
        <v>100</v>
      </c>
      <c r="J35" s="436">
        <v>6</v>
      </c>
      <c r="K35" s="437">
        <v>5763</v>
      </c>
      <c r="L35" s="412"/>
    </row>
    <row r="36" spans="1:12" s="438" customFormat="1" ht="45">
      <c r="A36" s="428" t="s">
        <v>23</v>
      </c>
      <c r="B36" s="421">
        <v>42097</v>
      </c>
      <c r="C36" s="422">
        <v>8.3333333333333329E-2</v>
      </c>
      <c r="D36" s="421">
        <v>42097</v>
      </c>
      <c r="E36" s="422">
        <v>0.32500000000000001</v>
      </c>
      <c r="F36" s="423" t="s">
        <v>2766</v>
      </c>
      <c r="G36" s="424" t="s">
        <v>58</v>
      </c>
      <c r="H36" s="423" t="s">
        <v>2753</v>
      </c>
      <c r="I36" s="424" t="s">
        <v>2368</v>
      </c>
      <c r="J36" s="436" t="s">
        <v>45</v>
      </c>
      <c r="K36" s="437">
        <v>70000</v>
      </c>
    </row>
    <row r="37" spans="1:12" s="438" customFormat="1" ht="45">
      <c r="A37" s="428" t="s">
        <v>23</v>
      </c>
      <c r="B37" s="421">
        <v>42100</v>
      </c>
      <c r="C37" s="422">
        <v>0.34166666666666662</v>
      </c>
      <c r="D37" s="421">
        <v>42100</v>
      </c>
      <c r="E37" s="422">
        <v>0.50555555555555554</v>
      </c>
      <c r="F37" s="423" t="s">
        <v>2767</v>
      </c>
      <c r="G37" s="424" t="s">
        <v>124</v>
      </c>
      <c r="H37" s="423" t="s">
        <v>2753</v>
      </c>
      <c r="I37" s="424" t="s">
        <v>2764</v>
      </c>
      <c r="J37" s="436" t="s">
        <v>45</v>
      </c>
      <c r="K37" s="437">
        <v>80000</v>
      </c>
    </row>
    <row r="38" spans="1:12" s="438" customFormat="1" ht="56.25">
      <c r="A38" s="428" t="s">
        <v>23</v>
      </c>
      <c r="B38" s="421">
        <v>42101</v>
      </c>
      <c r="C38" s="422">
        <v>0.52083333333333337</v>
      </c>
      <c r="D38" s="421">
        <v>42101</v>
      </c>
      <c r="E38" s="422">
        <v>0.7319444444444444</v>
      </c>
      <c r="F38" s="423" t="s">
        <v>2768</v>
      </c>
      <c r="G38" s="424" t="s">
        <v>826</v>
      </c>
      <c r="H38" s="435" t="s">
        <v>2769</v>
      </c>
      <c r="I38" s="424" t="s">
        <v>2764</v>
      </c>
      <c r="J38" s="436" t="s">
        <v>45</v>
      </c>
      <c r="K38" s="437" t="s">
        <v>45</v>
      </c>
    </row>
    <row r="39" spans="1:12" s="438" customFormat="1" ht="56.25">
      <c r="A39" s="428" t="s">
        <v>23</v>
      </c>
      <c r="B39" s="421">
        <v>42101</v>
      </c>
      <c r="C39" s="422">
        <v>0.64861111111111114</v>
      </c>
      <c r="D39" s="421">
        <v>42101</v>
      </c>
      <c r="E39" s="422">
        <v>0.65694444444444444</v>
      </c>
      <c r="F39" s="423" t="s">
        <v>18</v>
      </c>
      <c r="G39" s="424" t="s">
        <v>124</v>
      </c>
      <c r="H39" s="435" t="s">
        <v>2763</v>
      </c>
      <c r="I39" s="424" t="s">
        <v>2764</v>
      </c>
      <c r="J39" s="436">
        <v>0</v>
      </c>
      <c r="K39" s="432">
        <v>0</v>
      </c>
    </row>
    <row r="40" spans="1:12" s="438" customFormat="1" ht="45">
      <c r="A40" s="428" t="s">
        <v>23</v>
      </c>
      <c r="B40" s="421">
        <v>42111</v>
      </c>
      <c r="C40" s="422">
        <v>0.89583333333333337</v>
      </c>
      <c r="D40" s="421">
        <v>42113</v>
      </c>
      <c r="E40" s="422">
        <v>0.99305555555555547</v>
      </c>
      <c r="F40" s="423" t="s">
        <v>1098</v>
      </c>
      <c r="G40" s="424" t="s">
        <v>1352</v>
      </c>
      <c r="H40" s="423" t="s">
        <v>2753</v>
      </c>
      <c r="I40" s="424" t="s">
        <v>22</v>
      </c>
      <c r="J40" s="436" t="s">
        <v>45</v>
      </c>
      <c r="K40" s="437">
        <v>280982</v>
      </c>
    </row>
    <row r="41" spans="1:12" s="438" customFormat="1" ht="56.25">
      <c r="A41" s="428" t="s">
        <v>23</v>
      </c>
      <c r="B41" s="421">
        <v>42111</v>
      </c>
      <c r="C41" s="422">
        <v>0.38611111111111113</v>
      </c>
      <c r="D41" s="421">
        <v>42111</v>
      </c>
      <c r="E41" s="422">
        <v>0.45833333333333331</v>
      </c>
      <c r="F41" s="423" t="s">
        <v>2770</v>
      </c>
      <c r="G41" s="424" t="s">
        <v>124</v>
      </c>
      <c r="H41" s="435" t="s">
        <v>2763</v>
      </c>
      <c r="I41" s="424" t="s">
        <v>2764</v>
      </c>
      <c r="J41" s="436">
        <v>9300</v>
      </c>
      <c r="K41" s="437" t="s">
        <v>45</v>
      </c>
    </row>
    <row r="42" spans="1:12" s="438" customFormat="1" ht="45">
      <c r="A42" s="428" t="s">
        <v>23</v>
      </c>
      <c r="B42" s="421">
        <v>42112</v>
      </c>
      <c r="C42" s="422">
        <v>0.875</v>
      </c>
      <c r="D42" s="421">
        <v>42115</v>
      </c>
      <c r="E42" s="422">
        <v>0.16666666666666666</v>
      </c>
      <c r="F42" s="423" t="s">
        <v>2771</v>
      </c>
      <c r="G42" s="424" t="s">
        <v>1352</v>
      </c>
      <c r="H42" s="423" t="s">
        <v>2753</v>
      </c>
      <c r="I42" s="424" t="s">
        <v>22</v>
      </c>
      <c r="J42" s="436" t="s">
        <v>45</v>
      </c>
      <c r="K42" s="437">
        <v>89000</v>
      </c>
    </row>
    <row r="43" spans="1:12" s="438" customFormat="1" ht="45">
      <c r="A43" s="428" t="s">
        <v>23</v>
      </c>
      <c r="B43" s="421">
        <v>42118</v>
      </c>
      <c r="C43" s="422">
        <v>0.79861111111111116</v>
      </c>
      <c r="D43" s="421">
        <v>42120</v>
      </c>
      <c r="E43" s="422">
        <v>0.66666666666666663</v>
      </c>
      <c r="F43" s="423" t="s">
        <v>2771</v>
      </c>
      <c r="G43" s="424" t="s">
        <v>1352</v>
      </c>
      <c r="H43" s="423" t="s">
        <v>2753</v>
      </c>
      <c r="I43" s="424" t="s">
        <v>22</v>
      </c>
      <c r="J43" s="436" t="s">
        <v>45</v>
      </c>
      <c r="K43" s="437">
        <v>57000</v>
      </c>
    </row>
    <row r="44" spans="1:12" s="438" customFormat="1" ht="45">
      <c r="A44" s="428" t="s">
        <v>23</v>
      </c>
      <c r="B44" s="421">
        <v>42121</v>
      </c>
      <c r="C44" s="422">
        <v>0.4375</v>
      </c>
      <c r="D44" s="421">
        <v>42122</v>
      </c>
      <c r="E44" s="422">
        <v>0.78125</v>
      </c>
      <c r="F44" s="423" t="s">
        <v>2772</v>
      </c>
      <c r="G44" s="424" t="s">
        <v>63</v>
      </c>
      <c r="H44" s="423" t="s">
        <v>2753</v>
      </c>
      <c r="I44" s="424" t="s">
        <v>22</v>
      </c>
      <c r="J44" s="436" t="s">
        <v>45</v>
      </c>
      <c r="K44" s="437">
        <v>199000</v>
      </c>
    </row>
    <row r="45" spans="1:12" s="412" customFormat="1" ht="15" customHeight="1">
      <c r="A45" s="428" t="s">
        <v>103</v>
      </c>
      <c r="B45" s="433">
        <v>42126</v>
      </c>
      <c r="C45" s="434">
        <v>0.95208333333333339</v>
      </c>
      <c r="D45" s="433">
        <v>42127</v>
      </c>
      <c r="E45" s="434">
        <v>1.8055555555555557E-2</v>
      </c>
      <c r="F45" s="423" t="s">
        <v>2773</v>
      </c>
      <c r="G45" s="424" t="s">
        <v>63</v>
      </c>
      <c r="H45" s="435" t="s">
        <v>2150</v>
      </c>
      <c r="I45" s="424" t="s">
        <v>100</v>
      </c>
      <c r="J45" s="436">
        <v>1</v>
      </c>
      <c r="K45" s="437">
        <v>215</v>
      </c>
    </row>
    <row r="46" spans="1:12" s="412" customFormat="1" ht="15" customHeight="1">
      <c r="A46" s="428" t="s">
        <v>103</v>
      </c>
      <c r="B46" s="433">
        <v>42128</v>
      </c>
      <c r="C46" s="434">
        <v>0.64236111111111105</v>
      </c>
      <c r="D46" s="433">
        <v>42128</v>
      </c>
      <c r="E46" s="434">
        <v>0.6430555555555556</v>
      </c>
      <c r="F46" s="423" t="s">
        <v>2300</v>
      </c>
      <c r="G46" s="424" t="s">
        <v>124</v>
      </c>
      <c r="H46" s="435" t="s">
        <v>2150</v>
      </c>
      <c r="I46" s="424" t="s">
        <v>100</v>
      </c>
      <c r="J46" s="436" t="s">
        <v>45</v>
      </c>
      <c r="K46" s="437" t="s">
        <v>45</v>
      </c>
    </row>
    <row r="47" spans="1:12" s="412" customFormat="1" ht="11.25">
      <c r="A47" s="428" t="s">
        <v>103</v>
      </c>
      <c r="B47" s="433">
        <v>42135</v>
      </c>
      <c r="C47" s="434">
        <v>0.35555555555555557</v>
      </c>
      <c r="D47" s="433">
        <v>42135</v>
      </c>
      <c r="E47" s="434">
        <v>0.35625000000000001</v>
      </c>
      <c r="F47" s="423" t="s">
        <v>2774</v>
      </c>
      <c r="G47" s="424" t="s">
        <v>124</v>
      </c>
      <c r="H47" s="435" t="s">
        <v>2150</v>
      </c>
      <c r="I47" s="424" t="s">
        <v>2343</v>
      </c>
      <c r="J47" s="436">
        <v>0</v>
      </c>
      <c r="K47" s="437">
        <v>0</v>
      </c>
    </row>
    <row r="48" spans="1:12" s="412" customFormat="1" ht="22.5">
      <c r="A48" s="428" t="s">
        <v>103</v>
      </c>
      <c r="B48" s="433">
        <v>42136</v>
      </c>
      <c r="C48" s="434">
        <v>2.7777777777777776E-2</v>
      </c>
      <c r="D48" s="433">
        <v>42136</v>
      </c>
      <c r="E48" s="434">
        <v>3.125E-2</v>
      </c>
      <c r="F48" s="423" t="s">
        <v>2775</v>
      </c>
      <c r="G48" s="424" t="s">
        <v>63</v>
      </c>
      <c r="H48" s="435" t="s">
        <v>2150</v>
      </c>
      <c r="I48" s="424" t="s">
        <v>2343</v>
      </c>
      <c r="J48" s="436">
        <v>0</v>
      </c>
      <c r="K48" s="437">
        <v>0</v>
      </c>
    </row>
    <row r="49" spans="1:11" s="412" customFormat="1" ht="56.25">
      <c r="A49" s="428" t="s">
        <v>103</v>
      </c>
      <c r="B49" s="433">
        <v>42142</v>
      </c>
      <c r="C49" s="434">
        <v>0.64444444444444449</v>
      </c>
      <c r="D49" s="433">
        <v>42142</v>
      </c>
      <c r="E49" s="434">
        <v>0.65763888888888888</v>
      </c>
      <c r="F49" s="423" t="s">
        <v>2575</v>
      </c>
      <c r="G49" s="424" t="s">
        <v>124</v>
      </c>
      <c r="H49" s="435" t="s">
        <v>2763</v>
      </c>
      <c r="I49" s="424" t="s">
        <v>22</v>
      </c>
      <c r="J49" s="436">
        <v>275</v>
      </c>
      <c r="K49" s="437">
        <v>0</v>
      </c>
    </row>
    <row r="50" spans="1:11" s="412" customFormat="1" ht="45">
      <c r="A50" s="428" t="s">
        <v>103</v>
      </c>
      <c r="B50" s="433">
        <v>42149</v>
      </c>
      <c r="C50" s="434">
        <v>0.75</v>
      </c>
      <c r="D50" s="433">
        <v>42153</v>
      </c>
      <c r="E50" s="434">
        <v>0.30208333333333331</v>
      </c>
      <c r="F50" s="423" t="s">
        <v>116</v>
      </c>
      <c r="G50" s="424" t="s">
        <v>1352</v>
      </c>
      <c r="H50" s="423" t="s">
        <v>2753</v>
      </c>
      <c r="I50" s="424" t="s">
        <v>22</v>
      </c>
      <c r="J50" s="436" t="s">
        <v>45</v>
      </c>
      <c r="K50" s="437">
        <v>454000</v>
      </c>
    </row>
    <row r="51" spans="1:11" s="412" customFormat="1" ht="45">
      <c r="A51" s="428" t="s">
        <v>103</v>
      </c>
      <c r="B51" s="433">
        <v>42149</v>
      </c>
      <c r="C51" s="434">
        <v>0.94791666666666663</v>
      </c>
      <c r="D51" s="433">
        <v>42152</v>
      </c>
      <c r="E51" s="434">
        <v>5.9027777777777783E-2</v>
      </c>
      <c r="F51" s="423" t="s">
        <v>2776</v>
      </c>
      <c r="G51" s="424" t="s">
        <v>1352</v>
      </c>
      <c r="H51" s="423" t="s">
        <v>2753</v>
      </c>
      <c r="I51" s="424" t="s">
        <v>22</v>
      </c>
      <c r="J51" s="436" t="s">
        <v>45</v>
      </c>
      <c r="K51" s="437">
        <v>61000</v>
      </c>
    </row>
    <row r="52" spans="1:11" s="412" customFormat="1" ht="45">
      <c r="A52" s="428" t="s">
        <v>103</v>
      </c>
      <c r="B52" s="433">
        <v>42149</v>
      </c>
      <c r="C52" s="434">
        <v>0.85416666666666663</v>
      </c>
      <c r="D52" s="433">
        <v>42150</v>
      </c>
      <c r="E52" s="434">
        <v>0.77083333333333337</v>
      </c>
      <c r="F52" s="423" t="s">
        <v>166</v>
      </c>
      <c r="G52" s="424" t="s">
        <v>58</v>
      </c>
      <c r="H52" s="423" t="s">
        <v>2753</v>
      </c>
      <c r="I52" s="424" t="s">
        <v>22</v>
      </c>
      <c r="J52" s="436" t="s">
        <v>45</v>
      </c>
      <c r="K52" s="437">
        <v>57531</v>
      </c>
    </row>
    <row r="53" spans="1:11" s="412" customFormat="1" ht="45">
      <c r="A53" s="428" t="s">
        <v>103</v>
      </c>
      <c r="B53" s="433">
        <v>42149</v>
      </c>
      <c r="C53" s="434">
        <v>0.85416666666666663</v>
      </c>
      <c r="D53" s="433" t="s">
        <v>45</v>
      </c>
      <c r="E53" s="434" t="s">
        <v>45</v>
      </c>
      <c r="F53" s="435" t="s">
        <v>2777</v>
      </c>
      <c r="G53" s="424" t="s">
        <v>58</v>
      </c>
      <c r="H53" s="423" t="s">
        <v>2753</v>
      </c>
      <c r="I53" s="424" t="s">
        <v>22</v>
      </c>
      <c r="J53" s="436" t="s">
        <v>45</v>
      </c>
      <c r="K53" s="437">
        <v>57351</v>
      </c>
    </row>
    <row r="54" spans="1:11" s="412" customFormat="1" ht="45">
      <c r="A54" s="428" t="s">
        <v>103</v>
      </c>
      <c r="B54" s="433">
        <v>42150</v>
      </c>
      <c r="C54" s="434">
        <v>0.22916666666666666</v>
      </c>
      <c r="D54" s="433">
        <v>42151</v>
      </c>
      <c r="E54" s="434">
        <v>0.79166666666666663</v>
      </c>
      <c r="F54" s="435" t="s">
        <v>2778</v>
      </c>
      <c r="G54" s="424" t="s">
        <v>63</v>
      </c>
      <c r="H54" s="423" t="s">
        <v>2753</v>
      </c>
      <c r="I54" s="424" t="s">
        <v>22</v>
      </c>
      <c r="J54" s="436" t="s">
        <v>45</v>
      </c>
      <c r="K54" s="437">
        <v>78515</v>
      </c>
    </row>
    <row r="55" spans="1:11">
      <c r="A55" s="428" t="s">
        <v>123</v>
      </c>
      <c r="B55" s="439">
        <v>42156</v>
      </c>
      <c r="C55" s="440">
        <v>1.8749999999999999E-2</v>
      </c>
      <c r="D55" s="439">
        <v>42156</v>
      </c>
      <c r="E55" s="440">
        <v>9.375E-2</v>
      </c>
      <c r="F55" s="441" t="s">
        <v>2258</v>
      </c>
      <c r="G55" s="442" t="s">
        <v>63</v>
      </c>
      <c r="H55" s="441" t="s">
        <v>2150</v>
      </c>
      <c r="I55" s="442" t="s">
        <v>100</v>
      </c>
      <c r="J55" s="443">
        <v>2</v>
      </c>
      <c r="K55" s="444">
        <v>110</v>
      </c>
    </row>
    <row r="56" spans="1:11" ht="56.25">
      <c r="A56" s="428" t="s">
        <v>123</v>
      </c>
      <c r="B56" s="439">
        <v>42156</v>
      </c>
      <c r="C56" s="440">
        <v>0.80486111111111114</v>
      </c>
      <c r="D56" s="439">
        <v>42157</v>
      </c>
      <c r="E56" s="440">
        <v>0.35833333333333334</v>
      </c>
      <c r="F56" s="441" t="s">
        <v>18</v>
      </c>
      <c r="G56" s="442" t="s">
        <v>124</v>
      </c>
      <c r="H56" s="441" t="s">
        <v>2763</v>
      </c>
      <c r="I56" s="442" t="s">
        <v>2764</v>
      </c>
      <c r="J56" s="443">
        <v>5</v>
      </c>
      <c r="K56" s="444">
        <v>484</v>
      </c>
    </row>
    <row r="57" spans="1:11" ht="56.25">
      <c r="A57" s="428" t="s">
        <v>123</v>
      </c>
      <c r="B57" s="439">
        <v>42157</v>
      </c>
      <c r="C57" s="440">
        <v>0.79027777777777775</v>
      </c>
      <c r="D57" s="439">
        <v>42157</v>
      </c>
      <c r="E57" s="440">
        <v>0.80833333333333324</v>
      </c>
      <c r="F57" s="441" t="s">
        <v>18</v>
      </c>
      <c r="G57" s="442" t="s">
        <v>124</v>
      </c>
      <c r="H57" s="441" t="s">
        <v>2763</v>
      </c>
      <c r="I57" s="442" t="s">
        <v>2764</v>
      </c>
      <c r="J57" s="443">
        <v>5</v>
      </c>
      <c r="K57" s="444">
        <v>727</v>
      </c>
    </row>
    <row r="58" spans="1:11" ht="22.5">
      <c r="A58" s="428" t="s">
        <v>123</v>
      </c>
      <c r="B58" s="439">
        <v>42158</v>
      </c>
      <c r="C58" s="440">
        <v>0.625</v>
      </c>
      <c r="D58" s="439">
        <v>42160</v>
      </c>
      <c r="E58" s="440">
        <v>0.70833333333333337</v>
      </c>
      <c r="F58" s="441" t="s">
        <v>166</v>
      </c>
      <c r="G58" s="442" t="s">
        <v>1352</v>
      </c>
      <c r="H58" s="441" t="s">
        <v>2744</v>
      </c>
      <c r="I58" s="442" t="s">
        <v>2764</v>
      </c>
      <c r="J58" s="443" t="s">
        <v>45</v>
      </c>
      <c r="K58" s="444" t="s">
        <v>45</v>
      </c>
    </row>
    <row r="59" spans="1:11" ht="101.25">
      <c r="A59" s="428" t="s">
        <v>123</v>
      </c>
      <c r="B59" s="439">
        <v>42162</v>
      </c>
      <c r="C59" s="440">
        <v>0.57916666666666672</v>
      </c>
      <c r="D59" s="439">
        <v>42162</v>
      </c>
      <c r="E59" s="440">
        <v>0.59236111111111112</v>
      </c>
      <c r="F59" s="441" t="s">
        <v>2164</v>
      </c>
      <c r="G59" s="442" t="s">
        <v>63</v>
      </c>
      <c r="H59" s="441" t="s">
        <v>2779</v>
      </c>
      <c r="I59" s="442" t="s">
        <v>2764</v>
      </c>
      <c r="J59" s="443">
        <v>926</v>
      </c>
      <c r="K59" s="444" t="s">
        <v>45</v>
      </c>
    </row>
    <row r="60" spans="1:11" ht="56.25">
      <c r="A60" s="428" t="s">
        <v>123</v>
      </c>
      <c r="B60" s="439">
        <v>42162</v>
      </c>
      <c r="C60" s="440">
        <v>0.57777777777777783</v>
      </c>
      <c r="D60" s="439">
        <v>42162</v>
      </c>
      <c r="E60" s="440">
        <v>0.59236111111111112</v>
      </c>
      <c r="F60" s="441" t="s">
        <v>2650</v>
      </c>
      <c r="G60" s="442" t="s">
        <v>63</v>
      </c>
      <c r="H60" s="441" t="s">
        <v>2769</v>
      </c>
      <c r="I60" s="442" t="s">
        <v>2764</v>
      </c>
      <c r="J60" s="443" t="s">
        <v>45</v>
      </c>
      <c r="K60" s="444" t="s">
        <v>45</v>
      </c>
    </row>
    <row r="61" spans="1:11" ht="45">
      <c r="A61" s="428" t="s">
        <v>123</v>
      </c>
      <c r="B61" s="439">
        <v>42163</v>
      </c>
      <c r="C61" s="440">
        <v>0</v>
      </c>
      <c r="D61" s="442" t="s">
        <v>45</v>
      </c>
      <c r="E61" s="440" t="s">
        <v>45</v>
      </c>
      <c r="F61" s="441" t="s">
        <v>2507</v>
      </c>
      <c r="G61" s="442" t="s">
        <v>124</v>
      </c>
      <c r="H61" s="441" t="s">
        <v>2780</v>
      </c>
      <c r="I61" s="442" t="s">
        <v>2764</v>
      </c>
      <c r="J61" s="443">
        <v>176</v>
      </c>
      <c r="K61" s="444" t="s">
        <v>45</v>
      </c>
    </row>
    <row r="62" spans="1:11">
      <c r="A62" s="428" t="s">
        <v>123</v>
      </c>
      <c r="B62" s="439">
        <v>42175</v>
      </c>
      <c r="C62" s="440">
        <v>0.57777777777777783</v>
      </c>
      <c r="D62" s="439">
        <v>42175</v>
      </c>
      <c r="E62" s="440">
        <v>0.64583333333333337</v>
      </c>
      <c r="F62" s="441" t="s">
        <v>2781</v>
      </c>
      <c r="G62" s="442" t="s">
        <v>124</v>
      </c>
      <c r="H62" s="441" t="s">
        <v>2150</v>
      </c>
      <c r="I62" s="442" t="s">
        <v>100</v>
      </c>
      <c r="J62" s="443" t="s">
        <v>45</v>
      </c>
      <c r="K62" s="444">
        <v>0</v>
      </c>
    </row>
    <row r="63" spans="1:11" ht="45">
      <c r="A63" s="428" t="s">
        <v>123</v>
      </c>
      <c r="B63" s="439">
        <v>42178</v>
      </c>
      <c r="C63" s="440">
        <v>0.75</v>
      </c>
      <c r="D63" s="439">
        <v>42185</v>
      </c>
      <c r="E63" s="440">
        <v>0.75</v>
      </c>
      <c r="F63" s="441" t="s">
        <v>2782</v>
      </c>
      <c r="G63" s="442" t="s">
        <v>826</v>
      </c>
      <c r="H63" s="441" t="s">
        <v>2753</v>
      </c>
      <c r="I63" s="424" t="s">
        <v>22</v>
      </c>
      <c r="J63" s="443" t="s">
        <v>45</v>
      </c>
      <c r="K63" s="444">
        <v>263000</v>
      </c>
    </row>
    <row r="64" spans="1:11" ht="45">
      <c r="A64" s="428" t="s">
        <v>123</v>
      </c>
      <c r="B64" s="439">
        <v>42178</v>
      </c>
      <c r="C64" s="440">
        <v>0.71250000000000002</v>
      </c>
      <c r="D64" s="439">
        <v>42181</v>
      </c>
      <c r="E64" s="440">
        <v>0.66666666666666663</v>
      </c>
      <c r="F64" s="441" t="s">
        <v>2783</v>
      </c>
      <c r="G64" s="442" t="s">
        <v>826</v>
      </c>
      <c r="H64" s="441" t="s">
        <v>2753</v>
      </c>
      <c r="I64" s="424" t="s">
        <v>22</v>
      </c>
      <c r="J64" s="443" t="s">
        <v>45</v>
      </c>
      <c r="K64" s="444">
        <v>65000</v>
      </c>
    </row>
    <row r="65" spans="1:11" ht="45">
      <c r="A65" s="428" t="s">
        <v>123</v>
      </c>
      <c r="B65" s="439">
        <v>42178</v>
      </c>
      <c r="C65" s="440">
        <v>0.72916666666666663</v>
      </c>
      <c r="D65" s="439">
        <v>42178</v>
      </c>
      <c r="E65" s="440">
        <v>0.79166666666666663</v>
      </c>
      <c r="F65" s="441" t="s">
        <v>2784</v>
      </c>
      <c r="G65" s="442" t="s">
        <v>826</v>
      </c>
      <c r="H65" s="441" t="s">
        <v>2753</v>
      </c>
      <c r="I65" s="424" t="s">
        <v>22</v>
      </c>
      <c r="J65" s="443" t="s">
        <v>45</v>
      </c>
      <c r="K65" s="444">
        <v>200000</v>
      </c>
    </row>
    <row r="66" spans="1:11" s="438" customFormat="1" ht="45">
      <c r="A66" s="428" t="s">
        <v>123</v>
      </c>
      <c r="B66" s="439">
        <v>42178</v>
      </c>
      <c r="C66" s="440">
        <v>0.77083333333333337</v>
      </c>
      <c r="D66" s="439">
        <v>42179</v>
      </c>
      <c r="E66" s="440">
        <v>0.20833333333333334</v>
      </c>
      <c r="F66" s="441" t="s">
        <v>2785</v>
      </c>
      <c r="G66" s="442" t="s">
        <v>61</v>
      </c>
      <c r="H66" s="441" t="s">
        <v>2753</v>
      </c>
      <c r="I66" s="424" t="s">
        <v>22</v>
      </c>
      <c r="J66" s="443" t="s">
        <v>45</v>
      </c>
      <c r="K66" s="444">
        <v>62442</v>
      </c>
    </row>
    <row r="67" spans="1:11" s="438" customFormat="1" ht="112.5">
      <c r="A67" s="428" t="s">
        <v>123</v>
      </c>
      <c r="B67" s="439">
        <v>42178</v>
      </c>
      <c r="C67" s="440">
        <v>0.76250000000000007</v>
      </c>
      <c r="D67" s="439">
        <v>42178</v>
      </c>
      <c r="E67" s="440">
        <v>0.85416666666666663</v>
      </c>
      <c r="F67" s="441" t="s">
        <v>2288</v>
      </c>
      <c r="G67" s="442" t="s">
        <v>826</v>
      </c>
      <c r="H67" s="441" t="s">
        <v>2786</v>
      </c>
      <c r="I67" s="442" t="s">
        <v>2764</v>
      </c>
      <c r="J67" s="443">
        <v>198</v>
      </c>
      <c r="K67" s="444">
        <v>156338</v>
      </c>
    </row>
    <row r="68" spans="1:11" s="438" customFormat="1" ht="45">
      <c r="A68" s="428" t="s">
        <v>123</v>
      </c>
      <c r="B68" s="439">
        <v>42178</v>
      </c>
      <c r="C68" s="440">
        <v>0.7680555555555556</v>
      </c>
      <c r="D68" s="442" t="s">
        <v>45</v>
      </c>
      <c r="E68" s="440" t="s">
        <v>45</v>
      </c>
      <c r="F68" s="441" t="s">
        <v>2288</v>
      </c>
      <c r="G68" s="442" t="s">
        <v>61</v>
      </c>
      <c r="H68" s="441" t="s">
        <v>2753</v>
      </c>
      <c r="I68" s="424" t="s">
        <v>22</v>
      </c>
      <c r="J68" s="443">
        <v>90</v>
      </c>
      <c r="K68" s="444">
        <v>73000</v>
      </c>
    </row>
    <row r="69" spans="1:11" s="438" customFormat="1" ht="45">
      <c r="A69" s="428" t="s">
        <v>123</v>
      </c>
      <c r="B69" s="439">
        <v>42181</v>
      </c>
      <c r="C69" s="440">
        <v>8.3333333333333329E-2</v>
      </c>
      <c r="D69" s="442" t="s">
        <v>45</v>
      </c>
      <c r="E69" s="440" t="s">
        <v>45</v>
      </c>
      <c r="F69" s="441" t="s">
        <v>2787</v>
      </c>
      <c r="G69" s="442" t="s">
        <v>58</v>
      </c>
      <c r="H69" s="441" t="s">
        <v>2753</v>
      </c>
      <c r="I69" s="424" t="s">
        <v>22</v>
      </c>
      <c r="J69" s="443" t="s">
        <v>45</v>
      </c>
      <c r="K69" s="444">
        <v>110000</v>
      </c>
    </row>
    <row r="70" spans="1:11" s="438" customFormat="1" ht="45">
      <c r="A70" s="428" t="s">
        <v>123</v>
      </c>
      <c r="B70" s="439">
        <v>42182</v>
      </c>
      <c r="C70" s="440">
        <v>0.70833333333333337</v>
      </c>
      <c r="D70" s="439">
        <v>42185</v>
      </c>
      <c r="E70" s="440">
        <v>0.72083333333333333</v>
      </c>
      <c r="F70" s="441" t="s">
        <v>2788</v>
      </c>
      <c r="G70" s="442" t="s">
        <v>826</v>
      </c>
      <c r="H70" s="441" t="s">
        <v>2753</v>
      </c>
      <c r="I70" s="424" t="s">
        <v>22</v>
      </c>
      <c r="J70" s="443" t="s">
        <v>45</v>
      </c>
      <c r="K70" s="444">
        <v>68000</v>
      </c>
    </row>
    <row r="71" spans="1:11" s="438" customFormat="1" ht="56.25">
      <c r="A71" s="428" t="s">
        <v>123</v>
      </c>
      <c r="B71" s="439">
        <v>42184</v>
      </c>
      <c r="C71" s="440">
        <v>0.80625000000000002</v>
      </c>
      <c r="D71" s="439">
        <v>42184</v>
      </c>
      <c r="E71" s="440">
        <v>0.8208333333333333</v>
      </c>
      <c r="F71" s="441" t="s">
        <v>2575</v>
      </c>
      <c r="G71" s="442" t="s">
        <v>124</v>
      </c>
      <c r="H71" s="441" t="s">
        <v>2763</v>
      </c>
      <c r="I71" s="424" t="s">
        <v>22</v>
      </c>
      <c r="J71" s="443">
        <v>0</v>
      </c>
      <c r="K71" s="444">
        <v>0</v>
      </c>
    </row>
    <row r="72" spans="1:11" s="438" customFormat="1" ht="22.5">
      <c r="A72" s="428" t="s">
        <v>123</v>
      </c>
      <c r="B72" s="439">
        <v>42185</v>
      </c>
      <c r="C72" s="440">
        <v>0.58333333333333337</v>
      </c>
      <c r="D72" s="439">
        <v>42185</v>
      </c>
      <c r="E72" s="440">
        <v>0.875</v>
      </c>
      <c r="F72" s="441" t="s">
        <v>18</v>
      </c>
      <c r="G72" s="442" t="s">
        <v>124</v>
      </c>
      <c r="H72" s="441" t="s">
        <v>2744</v>
      </c>
      <c r="I72" s="424" t="s">
        <v>22</v>
      </c>
      <c r="J72" s="443" t="s">
        <v>45</v>
      </c>
      <c r="K72" s="444" t="s">
        <v>45</v>
      </c>
    </row>
    <row r="73" spans="1:11" s="438" customFormat="1" ht="22.5">
      <c r="A73" s="428" t="s">
        <v>123</v>
      </c>
      <c r="B73" s="439">
        <v>42185</v>
      </c>
      <c r="C73" s="440">
        <v>0.4513888888888889</v>
      </c>
      <c r="D73" s="439">
        <v>42186</v>
      </c>
      <c r="E73" s="440">
        <v>0.875</v>
      </c>
      <c r="F73" s="441" t="s">
        <v>18</v>
      </c>
      <c r="G73" s="442" t="s">
        <v>124</v>
      </c>
      <c r="H73" s="441" t="s">
        <v>2744</v>
      </c>
      <c r="I73" s="424" t="s">
        <v>22</v>
      </c>
      <c r="J73" s="443" t="s">
        <v>45</v>
      </c>
      <c r="K73" s="444" t="s">
        <v>45</v>
      </c>
    </row>
    <row r="74" spans="1:11" s="438" customFormat="1" ht="11.25">
      <c r="A74" s="428" t="s">
        <v>26</v>
      </c>
      <c r="B74" s="433">
        <v>42188</v>
      </c>
      <c r="C74" s="434">
        <v>0.35416666666666669</v>
      </c>
      <c r="D74" s="433">
        <v>42188</v>
      </c>
      <c r="E74" s="434">
        <v>0.60416666666666663</v>
      </c>
      <c r="F74" s="423" t="s">
        <v>2767</v>
      </c>
      <c r="G74" s="424" t="s">
        <v>124</v>
      </c>
      <c r="H74" s="435" t="s">
        <v>2150</v>
      </c>
      <c r="I74" s="424" t="s">
        <v>2789</v>
      </c>
      <c r="J74" s="436">
        <v>0</v>
      </c>
      <c r="K74" s="437">
        <v>0</v>
      </c>
    </row>
    <row r="75" spans="1:11" s="438" customFormat="1" ht="56.25">
      <c r="A75" s="428" t="s">
        <v>26</v>
      </c>
      <c r="B75" s="433">
        <v>42188</v>
      </c>
      <c r="C75" s="434">
        <v>0.72013888888888899</v>
      </c>
      <c r="D75" s="433">
        <v>42188</v>
      </c>
      <c r="E75" s="434">
        <v>0.97916666666666663</v>
      </c>
      <c r="F75" s="423" t="s">
        <v>166</v>
      </c>
      <c r="G75" s="424" t="s">
        <v>1352</v>
      </c>
      <c r="H75" s="435" t="s">
        <v>2769</v>
      </c>
      <c r="I75" s="442" t="s">
        <v>2764</v>
      </c>
      <c r="J75" s="436">
        <v>350</v>
      </c>
      <c r="K75" s="437">
        <v>30000</v>
      </c>
    </row>
    <row r="76" spans="1:11" s="438" customFormat="1" ht="45">
      <c r="A76" s="428" t="s">
        <v>26</v>
      </c>
      <c r="B76" s="433">
        <v>42198</v>
      </c>
      <c r="C76" s="434">
        <v>0.59305555555555556</v>
      </c>
      <c r="D76" s="433">
        <v>42201</v>
      </c>
      <c r="E76" s="434">
        <v>0.25</v>
      </c>
      <c r="F76" s="423" t="s">
        <v>2790</v>
      </c>
      <c r="G76" s="424" t="s">
        <v>826</v>
      </c>
      <c r="H76" s="435" t="s">
        <v>2753</v>
      </c>
      <c r="I76" s="424" t="s">
        <v>22</v>
      </c>
      <c r="J76" s="436">
        <v>480</v>
      </c>
      <c r="K76" s="437">
        <v>68339</v>
      </c>
    </row>
    <row r="77" spans="1:11" s="438" customFormat="1" ht="45">
      <c r="A77" s="428" t="s">
        <v>26</v>
      </c>
      <c r="B77" s="433">
        <v>42198</v>
      </c>
      <c r="C77" s="434">
        <v>0.81944444444444453</v>
      </c>
      <c r="D77" s="433">
        <v>42200</v>
      </c>
      <c r="E77" s="434">
        <v>0.51041666666666663</v>
      </c>
      <c r="F77" s="423" t="s">
        <v>2004</v>
      </c>
      <c r="G77" s="424" t="s">
        <v>826</v>
      </c>
      <c r="H77" s="435" t="s">
        <v>2753</v>
      </c>
      <c r="I77" s="424" t="s">
        <v>22</v>
      </c>
      <c r="J77" s="436" t="s">
        <v>45</v>
      </c>
      <c r="K77" s="437">
        <v>52739</v>
      </c>
    </row>
    <row r="78" spans="1:11" s="438" customFormat="1" ht="56.25">
      <c r="A78" s="428" t="s">
        <v>26</v>
      </c>
      <c r="B78" s="433">
        <v>42199</v>
      </c>
      <c r="C78" s="434">
        <v>0.64513888888888882</v>
      </c>
      <c r="D78" s="433">
        <v>42200</v>
      </c>
      <c r="E78" s="434">
        <v>0.49652777777777773</v>
      </c>
      <c r="F78" s="423" t="s">
        <v>48</v>
      </c>
      <c r="G78" s="424" t="s">
        <v>58</v>
      </c>
      <c r="H78" s="435" t="s">
        <v>2769</v>
      </c>
      <c r="I78" s="424" t="s">
        <v>22</v>
      </c>
      <c r="J78" s="436" t="s">
        <v>45</v>
      </c>
      <c r="K78" s="437" t="s">
        <v>45</v>
      </c>
    </row>
    <row r="79" spans="1:11" s="438" customFormat="1" ht="45">
      <c r="A79" s="428" t="s">
        <v>26</v>
      </c>
      <c r="B79" s="433">
        <v>42199</v>
      </c>
      <c r="C79" s="434">
        <v>0.83333333333333337</v>
      </c>
      <c r="D79" s="433">
        <v>42200</v>
      </c>
      <c r="E79" s="434">
        <v>0.39097222222222222</v>
      </c>
      <c r="F79" s="423" t="s">
        <v>113</v>
      </c>
      <c r="G79" s="424" t="s">
        <v>63</v>
      </c>
      <c r="H79" s="435" t="s">
        <v>2753</v>
      </c>
      <c r="I79" s="424" t="s">
        <v>22</v>
      </c>
      <c r="J79" s="436">
        <v>366</v>
      </c>
      <c r="K79" s="437">
        <v>111644</v>
      </c>
    </row>
    <row r="80" spans="1:11" s="438" customFormat="1" ht="56.25">
      <c r="A80" s="428" t="s">
        <v>26</v>
      </c>
      <c r="B80" s="433">
        <v>42200</v>
      </c>
      <c r="C80" s="434">
        <v>8.3333333333333329E-2</v>
      </c>
      <c r="D80" s="433">
        <v>42200</v>
      </c>
      <c r="E80" s="434">
        <v>0.12152777777777778</v>
      </c>
      <c r="F80" s="423" t="s">
        <v>18</v>
      </c>
      <c r="G80" s="424" t="s">
        <v>124</v>
      </c>
      <c r="H80" s="435" t="s">
        <v>2769</v>
      </c>
      <c r="I80" s="442" t="s">
        <v>2764</v>
      </c>
      <c r="J80" s="436">
        <v>360</v>
      </c>
      <c r="K80" s="437">
        <v>0</v>
      </c>
    </row>
    <row r="81" spans="1:11" s="438" customFormat="1" ht="56.25">
      <c r="A81" s="428" t="s">
        <v>26</v>
      </c>
      <c r="B81" s="433">
        <v>42201</v>
      </c>
      <c r="C81" s="434">
        <v>0.69791666666666663</v>
      </c>
      <c r="D81" s="433">
        <v>42201</v>
      </c>
      <c r="E81" s="434">
        <v>0.7416666666666667</v>
      </c>
      <c r="F81" s="423" t="s">
        <v>166</v>
      </c>
      <c r="G81" s="424" t="s">
        <v>58</v>
      </c>
      <c r="H81" s="435" t="s">
        <v>2791</v>
      </c>
      <c r="I81" s="442" t="s">
        <v>2764</v>
      </c>
      <c r="J81" s="436">
        <v>117</v>
      </c>
      <c r="K81" s="437">
        <v>17311</v>
      </c>
    </row>
    <row r="82" spans="1:11" s="438" customFormat="1" ht="45">
      <c r="A82" s="428" t="s">
        <v>26</v>
      </c>
      <c r="B82" s="433">
        <v>42203</v>
      </c>
      <c r="C82" s="434">
        <v>8.3333333333333329E-2</v>
      </c>
      <c r="D82" s="433">
        <v>42204</v>
      </c>
      <c r="E82" s="434">
        <v>0.29166666666666669</v>
      </c>
      <c r="F82" s="423" t="s">
        <v>2792</v>
      </c>
      <c r="G82" s="424" t="s">
        <v>674</v>
      </c>
      <c r="H82" s="435" t="s">
        <v>2753</v>
      </c>
      <c r="I82" s="424" t="s">
        <v>22</v>
      </c>
      <c r="J82" s="436">
        <v>250</v>
      </c>
      <c r="K82" s="437">
        <v>250000</v>
      </c>
    </row>
    <row r="83" spans="1:11" s="438" customFormat="1" ht="56.25">
      <c r="A83" s="428" t="s">
        <v>26</v>
      </c>
      <c r="B83" s="433">
        <v>42203</v>
      </c>
      <c r="C83" s="434">
        <v>0.7680555555555556</v>
      </c>
      <c r="D83" s="433">
        <v>42203</v>
      </c>
      <c r="E83" s="434">
        <v>0.87708333333333333</v>
      </c>
      <c r="F83" s="423" t="s">
        <v>18</v>
      </c>
      <c r="G83" s="424" t="s">
        <v>124</v>
      </c>
      <c r="H83" s="441" t="s">
        <v>2763</v>
      </c>
      <c r="I83" s="442" t="s">
        <v>2764</v>
      </c>
      <c r="J83" s="436">
        <v>30</v>
      </c>
      <c r="K83" s="437">
        <v>70</v>
      </c>
    </row>
    <row r="84" spans="1:11" s="438" customFormat="1" ht="45">
      <c r="A84" s="428" t="s">
        <v>26</v>
      </c>
      <c r="B84" s="433">
        <v>42203</v>
      </c>
      <c r="C84" s="434">
        <v>0.83263888888888893</v>
      </c>
      <c r="D84" s="433">
        <v>42203</v>
      </c>
      <c r="E84" s="434">
        <v>0.94791666666666663</v>
      </c>
      <c r="F84" s="423" t="s">
        <v>18</v>
      </c>
      <c r="G84" s="424" t="s">
        <v>124</v>
      </c>
      <c r="H84" s="435" t="s">
        <v>2753</v>
      </c>
      <c r="I84" s="424" t="s">
        <v>22</v>
      </c>
      <c r="J84" s="436">
        <v>160</v>
      </c>
      <c r="K84" s="437">
        <v>78164</v>
      </c>
    </row>
    <row r="85" spans="1:11" s="438" customFormat="1" ht="56.25">
      <c r="A85" s="428" t="s">
        <v>26</v>
      </c>
      <c r="B85" s="433">
        <v>42206</v>
      </c>
      <c r="C85" s="434">
        <v>0.53263888888888888</v>
      </c>
      <c r="D85" s="433">
        <v>42206</v>
      </c>
      <c r="E85" s="434">
        <v>0.54999999999999993</v>
      </c>
      <c r="F85" s="423" t="s">
        <v>2575</v>
      </c>
      <c r="G85" s="424" t="s">
        <v>124</v>
      </c>
      <c r="H85" s="435" t="s">
        <v>2791</v>
      </c>
      <c r="I85" s="442" t="s">
        <v>2764</v>
      </c>
      <c r="J85" s="436">
        <v>200</v>
      </c>
      <c r="K85" s="437" t="s">
        <v>45</v>
      </c>
    </row>
    <row r="86" spans="1:11" s="438" customFormat="1" ht="56.25">
      <c r="A86" s="428" t="s">
        <v>26</v>
      </c>
      <c r="B86" s="433">
        <v>42212</v>
      </c>
      <c r="C86" s="434">
        <v>0.16111111111111112</v>
      </c>
      <c r="D86" s="433">
        <v>42212</v>
      </c>
      <c r="E86" s="434">
        <v>0.19166666666666665</v>
      </c>
      <c r="F86" s="423" t="s">
        <v>18</v>
      </c>
      <c r="G86" s="424" t="s">
        <v>124</v>
      </c>
      <c r="H86" s="441" t="s">
        <v>2763</v>
      </c>
      <c r="I86" s="442" t="s">
        <v>2764</v>
      </c>
      <c r="J86" s="436" t="s">
        <v>45</v>
      </c>
      <c r="K86" s="437">
        <v>484</v>
      </c>
    </row>
    <row r="87" spans="1:11" s="438" customFormat="1" ht="33.75">
      <c r="A87" s="428" t="s">
        <v>26</v>
      </c>
      <c r="B87" s="433">
        <v>42213</v>
      </c>
      <c r="C87" s="434">
        <v>0.50347222222222221</v>
      </c>
      <c r="D87" s="433">
        <v>42213</v>
      </c>
      <c r="E87" s="434">
        <v>0.5180555555555556</v>
      </c>
      <c r="F87" s="423" t="s">
        <v>2271</v>
      </c>
      <c r="G87" s="424" t="s">
        <v>255</v>
      </c>
      <c r="H87" s="435" t="s">
        <v>2622</v>
      </c>
      <c r="I87" s="442" t="s">
        <v>2764</v>
      </c>
      <c r="J87" s="436">
        <v>150</v>
      </c>
      <c r="K87" s="437" t="s">
        <v>45</v>
      </c>
    </row>
    <row r="88" spans="1:11" s="438" customFormat="1" ht="45">
      <c r="A88" s="428" t="s">
        <v>26</v>
      </c>
      <c r="B88" s="433">
        <v>42214</v>
      </c>
      <c r="C88" s="434">
        <v>0.69791666666666663</v>
      </c>
      <c r="D88" s="433">
        <v>42214</v>
      </c>
      <c r="E88" s="434">
        <v>0.875</v>
      </c>
      <c r="F88" s="423" t="s">
        <v>30</v>
      </c>
      <c r="G88" s="424" t="s">
        <v>61</v>
      </c>
      <c r="H88" s="435" t="s">
        <v>2780</v>
      </c>
      <c r="I88" s="442" t="s">
        <v>2764</v>
      </c>
      <c r="J88" s="436">
        <v>500</v>
      </c>
      <c r="K88" s="437">
        <v>0</v>
      </c>
    </row>
    <row r="89" spans="1:11" s="438" customFormat="1" ht="22.5">
      <c r="A89" s="428" t="s">
        <v>26</v>
      </c>
      <c r="B89" s="433">
        <v>42215</v>
      </c>
      <c r="C89" s="434">
        <v>0.40972222222222227</v>
      </c>
      <c r="D89" s="433">
        <v>42215</v>
      </c>
      <c r="E89" s="434">
        <v>0.79166666666666663</v>
      </c>
      <c r="F89" s="423" t="s">
        <v>166</v>
      </c>
      <c r="G89" s="424" t="s">
        <v>1352</v>
      </c>
      <c r="H89" s="441" t="s">
        <v>2744</v>
      </c>
      <c r="I89" s="442" t="s">
        <v>2764</v>
      </c>
      <c r="J89" s="436" t="s">
        <v>45</v>
      </c>
      <c r="K89" s="437" t="s">
        <v>45</v>
      </c>
    </row>
    <row r="90" spans="1:11" s="438" customFormat="1" ht="11.25">
      <c r="A90" s="428" t="s">
        <v>26</v>
      </c>
      <c r="B90" s="433">
        <v>42215</v>
      </c>
      <c r="C90" s="434">
        <v>0.54166666666666663</v>
      </c>
      <c r="D90" s="433" t="s">
        <v>45</v>
      </c>
      <c r="E90" s="434" t="s">
        <v>45</v>
      </c>
      <c r="F90" s="423" t="s">
        <v>2650</v>
      </c>
      <c r="G90" s="424" t="s">
        <v>63</v>
      </c>
      <c r="H90" s="435" t="s">
        <v>2150</v>
      </c>
      <c r="I90" s="424" t="s">
        <v>100</v>
      </c>
      <c r="J90" s="436">
        <v>0</v>
      </c>
      <c r="K90" s="437">
        <v>0</v>
      </c>
    </row>
    <row r="91" spans="1:11" s="438" customFormat="1" ht="56.25">
      <c r="A91" s="428" t="s">
        <v>26</v>
      </c>
      <c r="B91" s="433">
        <v>42216</v>
      </c>
      <c r="C91" s="434">
        <v>0.4548611111111111</v>
      </c>
      <c r="D91" s="433" t="s">
        <v>45</v>
      </c>
      <c r="E91" s="434" t="s">
        <v>45</v>
      </c>
      <c r="F91" s="423" t="s">
        <v>2575</v>
      </c>
      <c r="G91" s="424" t="s">
        <v>124</v>
      </c>
      <c r="H91" s="441" t="s">
        <v>2763</v>
      </c>
      <c r="I91" s="442" t="s">
        <v>2764</v>
      </c>
      <c r="J91" s="436">
        <v>9</v>
      </c>
      <c r="K91" s="437">
        <v>0</v>
      </c>
    </row>
    <row r="92" spans="1:11" s="438" customFormat="1" ht="78.75">
      <c r="A92" s="428" t="s">
        <v>32</v>
      </c>
      <c r="B92" s="433">
        <v>42218</v>
      </c>
      <c r="C92" s="434">
        <v>0.73958333333333337</v>
      </c>
      <c r="D92" s="433">
        <v>42220</v>
      </c>
      <c r="E92" s="434">
        <v>0.125</v>
      </c>
      <c r="F92" s="423" t="s">
        <v>2793</v>
      </c>
      <c r="G92" s="424" t="s">
        <v>826</v>
      </c>
      <c r="H92" s="435" t="s">
        <v>2753</v>
      </c>
      <c r="I92" s="424" t="s">
        <v>22</v>
      </c>
      <c r="J92" s="436" t="s">
        <v>45</v>
      </c>
      <c r="K92" s="437">
        <v>162000</v>
      </c>
    </row>
    <row r="93" spans="1:11" s="438" customFormat="1" ht="45">
      <c r="A93" s="428" t="s">
        <v>32</v>
      </c>
      <c r="B93" s="433">
        <v>42219</v>
      </c>
      <c r="C93" s="434">
        <v>2.0833333333333332E-2</v>
      </c>
      <c r="D93" s="433">
        <v>42219</v>
      </c>
      <c r="E93" s="434">
        <v>8.3333333333333329E-2</v>
      </c>
      <c r="F93" s="423" t="s">
        <v>33</v>
      </c>
      <c r="G93" s="424" t="s">
        <v>826</v>
      </c>
      <c r="H93" s="435" t="s">
        <v>2753</v>
      </c>
      <c r="I93" s="424" t="s">
        <v>22</v>
      </c>
      <c r="J93" s="436" t="s">
        <v>45</v>
      </c>
      <c r="K93" s="437">
        <v>115000</v>
      </c>
    </row>
    <row r="94" spans="1:11" s="438" customFormat="1" ht="45">
      <c r="A94" s="428" t="s">
        <v>32</v>
      </c>
      <c r="B94" s="433">
        <v>42219</v>
      </c>
      <c r="C94" s="434">
        <v>4.1666666666666664E-2</v>
      </c>
      <c r="D94" s="433">
        <v>42221</v>
      </c>
      <c r="E94" s="434">
        <v>0</v>
      </c>
      <c r="F94" s="423" t="s">
        <v>1833</v>
      </c>
      <c r="G94" s="424" t="s">
        <v>826</v>
      </c>
      <c r="H94" s="435" t="s">
        <v>2753</v>
      </c>
      <c r="I94" s="424" t="s">
        <v>22</v>
      </c>
      <c r="J94" s="436" t="s">
        <v>45</v>
      </c>
      <c r="K94" s="437">
        <v>72520</v>
      </c>
    </row>
    <row r="95" spans="1:11" s="438" customFormat="1" ht="11.25">
      <c r="A95" s="428" t="s">
        <v>32</v>
      </c>
      <c r="B95" s="433">
        <v>42219</v>
      </c>
      <c r="C95" s="434">
        <v>0.3520833333333333</v>
      </c>
      <c r="D95" s="433">
        <v>42220</v>
      </c>
      <c r="E95" s="434">
        <v>5.4166666666666669E-2</v>
      </c>
      <c r="F95" s="423" t="s">
        <v>2794</v>
      </c>
      <c r="G95" s="424" t="s">
        <v>124</v>
      </c>
      <c r="H95" s="435" t="s">
        <v>2150</v>
      </c>
      <c r="I95" s="424" t="s">
        <v>2343</v>
      </c>
      <c r="J95" s="436">
        <v>0</v>
      </c>
      <c r="K95" s="437" t="s">
        <v>45</v>
      </c>
    </row>
    <row r="96" spans="1:11" s="438" customFormat="1" ht="45">
      <c r="A96" s="428" t="s">
        <v>32</v>
      </c>
      <c r="B96" s="433">
        <v>42220</v>
      </c>
      <c r="C96" s="434">
        <v>0.3034722222222222</v>
      </c>
      <c r="D96" s="433">
        <v>42221</v>
      </c>
      <c r="E96" s="434">
        <v>0.53611111111111109</v>
      </c>
      <c r="F96" s="423" t="s">
        <v>2795</v>
      </c>
      <c r="G96" s="424" t="s">
        <v>61</v>
      </c>
      <c r="H96" s="435" t="s">
        <v>2753</v>
      </c>
      <c r="I96" s="424" t="s">
        <v>22</v>
      </c>
      <c r="J96" s="436" t="s">
        <v>45</v>
      </c>
      <c r="K96" s="437">
        <v>132000</v>
      </c>
    </row>
    <row r="97" spans="1:11" s="438" customFormat="1" ht="45">
      <c r="A97" s="428" t="s">
        <v>32</v>
      </c>
      <c r="B97" s="433">
        <v>42227</v>
      </c>
      <c r="C97" s="434">
        <v>0.8125</v>
      </c>
      <c r="D97" s="433">
        <v>42229</v>
      </c>
      <c r="E97" s="434">
        <v>0.17013888888888887</v>
      </c>
      <c r="F97" s="423" t="s">
        <v>2796</v>
      </c>
      <c r="G97" s="424" t="s">
        <v>1352</v>
      </c>
      <c r="H97" s="435" t="s">
        <v>2753</v>
      </c>
      <c r="I97" s="424" t="s">
        <v>22</v>
      </c>
      <c r="J97" s="436" t="s">
        <v>45</v>
      </c>
      <c r="K97" s="437">
        <v>100000</v>
      </c>
    </row>
    <row r="98" spans="1:11" s="438" customFormat="1" ht="22.5">
      <c r="A98" s="428" t="s">
        <v>32</v>
      </c>
      <c r="B98" s="433">
        <v>42229</v>
      </c>
      <c r="C98" s="434">
        <v>0.63541666666666663</v>
      </c>
      <c r="D98" s="433">
        <v>42229</v>
      </c>
      <c r="E98" s="434">
        <v>0.79166666666666663</v>
      </c>
      <c r="F98" s="423" t="s">
        <v>2797</v>
      </c>
      <c r="G98" s="424" t="s">
        <v>1352</v>
      </c>
      <c r="H98" s="441" t="s">
        <v>2744</v>
      </c>
      <c r="I98" s="424" t="s">
        <v>2798</v>
      </c>
      <c r="J98" s="436" t="s">
        <v>45</v>
      </c>
      <c r="K98" s="437" t="s">
        <v>45</v>
      </c>
    </row>
    <row r="99" spans="1:11" s="438" customFormat="1" ht="90">
      <c r="A99" s="428" t="s">
        <v>32</v>
      </c>
      <c r="B99" s="433">
        <v>42243</v>
      </c>
      <c r="C99" s="434">
        <v>0.91041666666666676</v>
      </c>
      <c r="D99" s="433">
        <v>42244</v>
      </c>
      <c r="E99" s="434">
        <v>0.75</v>
      </c>
      <c r="F99" s="423" t="s">
        <v>2271</v>
      </c>
      <c r="G99" s="424" t="s">
        <v>124</v>
      </c>
      <c r="H99" s="435" t="s">
        <v>2799</v>
      </c>
      <c r="I99" s="424" t="s">
        <v>2764</v>
      </c>
      <c r="J99" s="436">
        <v>360</v>
      </c>
      <c r="K99" s="437" t="s">
        <v>45</v>
      </c>
    </row>
    <row r="100" spans="1:11" s="438" customFormat="1" ht="45">
      <c r="A100" s="428" t="s">
        <v>32</v>
      </c>
      <c r="B100" s="433">
        <v>42245</v>
      </c>
      <c r="C100" s="434">
        <v>0.41666666666666669</v>
      </c>
      <c r="D100" s="433" t="s">
        <v>45</v>
      </c>
      <c r="E100" s="434" t="s">
        <v>45</v>
      </c>
      <c r="F100" s="423" t="s">
        <v>2575</v>
      </c>
      <c r="G100" s="424" t="s">
        <v>124</v>
      </c>
      <c r="H100" s="435" t="s">
        <v>2753</v>
      </c>
      <c r="I100" s="424" t="s">
        <v>22</v>
      </c>
      <c r="J100" s="436" t="s">
        <v>45</v>
      </c>
      <c r="K100" s="437">
        <v>500000</v>
      </c>
    </row>
    <row r="101" spans="1:11" s="438" customFormat="1" ht="56.25">
      <c r="A101" s="428" t="s">
        <v>32</v>
      </c>
      <c r="B101" s="433">
        <v>42245</v>
      </c>
      <c r="C101" s="434">
        <v>0.45833333333333331</v>
      </c>
      <c r="D101" s="433">
        <v>42251</v>
      </c>
      <c r="E101" s="434">
        <v>0.625</v>
      </c>
      <c r="F101" s="423" t="s">
        <v>2800</v>
      </c>
      <c r="G101" s="424" t="s">
        <v>124</v>
      </c>
      <c r="H101" s="435" t="s">
        <v>2753</v>
      </c>
      <c r="I101" s="424" t="s">
        <v>22</v>
      </c>
      <c r="J101" s="436">
        <v>250</v>
      </c>
      <c r="K101" s="437">
        <v>250000</v>
      </c>
    </row>
    <row r="102" spans="1:11" s="438" customFormat="1" ht="45">
      <c r="A102" s="428" t="s">
        <v>32</v>
      </c>
      <c r="B102" s="433">
        <v>42245</v>
      </c>
      <c r="C102" s="434">
        <v>0.54166666666666663</v>
      </c>
      <c r="D102" s="433">
        <v>42247</v>
      </c>
      <c r="E102" s="434">
        <v>0.29166666666666669</v>
      </c>
      <c r="F102" s="423" t="s">
        <v>2801</v>
      </c>
      <c r="G102" s="424" t="s">
        <v>124</v>
      </c>
      <c r="H102" s="435" t="s">
        <v>2753</v>
      </c>
      <c r="I102" s="424" t="s">
        <v>22</v>
      </c>
      <c r="J102" s="436">
        <v>1200</v>
      </c>
      <c r="K102" s="437">
        <v>64000</v>
      </c>
    </row>
    <row r="103" spans="1:11" s="438" customFormat="1" ht="45">
      <c r="A103" s="428" t="s">
        <v>219</v>
      </c>
      <c r="B103" s="433">
        <v>42250</v>
      </c>
      <c r="C103" s="434">
        <v>0.10625</v>
      </c>
      <c r="D103" s="433">
        <v>42250</v>
      </c>
      <c r="E103" s="434">
        <v>0.2673611111111111</v>
      </c>
      <c r="F103" s="423" t="s">
        <v>1833</v>
      </c>
      <c r="G103" s="424" t="s">
        <v>826</v>
      </c>
      <c r="H103" s="435" t="s">
        <v>2753</v>
      </c>
      <c r="I103" s="424" t="s">
        <v>22</v>
      </c>
      <c r="J103" s="436" t="s">
        <v>45</v>
      </c>
      <c r="K103" s="437">
        <v>50114</v>
      </c>
    </row>
    <row r="104" spans="1:11" s="438" customFormat="1" ht="22.5">
      <c r="A104" s="428" t="s">
        <v>219</v>
      </c>
      <c r="B104" s="433">
        <v>42260</v>
      </c>
      <c r="C104" s="434">
        <v>0.74722222222222223</v>
      </c>
      <c r="D104" s="433">
        <v>42260</v>
      </c>
      <c r="E104" s="434">
        <v>0.85902777777777783</v>
      </c>
      <c r="F104" s="423" t="s">
        <v>2802</v>
      </c>
      <c r="G104" s="424" t="s">
        <v>61</v>
      </c>
      <c r="H104" s="435" t="s">
        <v>2150</v>
      </c>
      <c r="I104" s="424" t="s">
        <v>100</v>
      </c>
      <c r="J104" s="436">
        <v>0</v>
      </c>
      <c r="K104" s="437">
        <v>0</v>
      </c>
    </row>
    <row r="105" spans="1:11" s="438" customFormat="1" ht="56.25">
      <c r="A105" s="428" t="s">
        <v>219</v>
      </c>
      <c r="B105" s="433">
        <v>42267</v>
      </c>
      <c r="C105" s="434">
        <v>0.54999999999999993</v>
      </c>
      <c r="D105" s="433">
        <v>42267</v>
      </c>
      <c r="E105" s="434">
        <v>0.57222222222222219</v>
      </c>
      <c r="F105" s="423" t="s">
        <v>18</v>
      </c>
      <c r="G105" s="424" t="s">
        <v>124</v>
      </c>
      <c r="H105" s="435" t="s">
        <v>2791</v>
      </c>
      <c r="I105" s="424" t="s">
        <v>2764</v>
      </c>
      <c r="J105" s="436">
        <v>150</v>
      </c>
      <c r="K105" s="437" t="s">
        <v>45</v>
      </c>
    </row>
    <row r="106" spans="1:11" s="438" customFormat="1" ht="15" customHeight="1">
      <c r="A106" s="428" t="s">
        <v>219</v>
      </c>
      <c r="B106" s="433">
        <v>42276</v>
      </c>
      <c r="C106" s="434">
        <v>0.65277777777777779</v>
      </c>
      <c r="D106" s="433">
        <v>42276</v>
      </c>
      <c r="E106" s="434">
        <v>0.65347222222222223</v>
      </c>
      <c r="F106" s="423" t="s">
        <v>2152</v>
      </c>
      <c r="G106" s="424" t="s">
        <v>124</v>
      </c>
      <c r="H106" s="435" t="s">
        <v>2150</v>
      </c>
      <c r="I106" s="424" t="s">
        <v>100</v>
      </c>
      <c r="J106" s="436" t="s">
        <v>45</v>
      </c>
      <c r="K106" s="437" t="s">
        <v>45</v>
      </c>
    </row>
    <row r="107" spans="1:11" s="438" customFormat="1" ht="15" customHeight="1">
      <c r="A107" s="428" t="s">
        <v>35</v>
      </c>
      <c r="B107" s="433">
        <v>42290</v>
      </c>
      <c r="C107" s="434">
        <v>0.27083333333333331</v>
      </c>
      <c r="D107" s="433">
        <v>42290</v>
      </c>
      <c r="E107" s="434">
        <v>0.35416666666666669</v>
      </c>
      <c r="F107" s="423" t="s">
        <v>2803</v>
      </c>
      <c r="G107" s="424" t="s">
        <v>124</v>
      </c>
      <c r="H107" s="435" t="s">
        <v>2150</v>
      </c>
      <c r="I107" s="424" t="s">
        <v>100</v>
      </c>
      <c r="J107" s="436">
        <v>0</v>
      </c>
      <c r="K107" s="437">
        <v>0</v>
      </c>
    </row>
    <row r="108" spans="1:11" s="438" customFormat="1" ht="22.5">
      <c r="A108" s="428" t="s">
        <v>35</v>
      </c>
      <c r="B108" s="433">
        <v>42290</v>
      </c>
      <c r="C108" s="434">
        <v>0.43402777777777773</v>
      </c>
      <c r="D108" s="433">
        <v>42290</v>
      </c>
      <c r="E108" s="434">
        <v>0.75</v>
      </c>
      <c r="F108" s="423" t="s">
        <v>166</v>
      </c>
      <c r="G108" s="424" t="s">
        <v>1352</v>
      </c>
      <c r="H108" s="441" t="s">
        <v>2744</v>
      </c>
      <c r="I108" s="424" t="s">
        <v>2798</v>
      </c>
      <c r="J108" s="436" t="s">
        <v>45</v>
      </c>
      <c r="K108" s="437" t="s">
        <v>45</v>
      </c>
    </row>
    <row r="109" spans="1:11" s="438" customFormat="1" ht="22.5">
      <c r="A109" s="428" t="s">
        <v>35</v>
      </c>
      <c r="B109" s="433">
        <v>42290</v>
      </c>
      <c r="C109" s="434">
        <v>0.68888888888888899</v>
      </c>
      <c r="D109" s="433">
        <v>42290</v>
      </c>
      <c r="E109" s="434">
        <v>0.86041666666666661</v>
      </c>
      <c r="F109" s="423" t="s">
        <v>18</v>
      </c>
      <c r="G109" s="424" t="s">
        <v>124</v>
      </c>
      <c r="H109" s="441" t="s">
        <v>2744</v>
      </c>
      <c r="I109" s="424" t="s">
        <v>2798</v>
      </c>
      <c r="J109" s="436">
        <v>41788</v>
      </c>
      <c r="K109" s="437" t="s">
        <v>45</v>
      </c>
    </row>
    <row r="110" spans="1:11" s="438" customFormat="1" ht="11.25">
      <c r="A110" s="428" t="s">
        <v>35</v>
      </c>
      <c r="B110" s="433">
        <v>42293</v>
      </c>
      <c r="C110" s="434">
        <v>0.51736111111111105</v>
      </c>
      <c r="D110" s="433">
        <v>42293</v>
      </c>
      <c r="E110" s="434">
        <v>0.53888888888888886</v>
      </c>
      <c r="F110" s="423" t="s">
        <v>2804</v>
      </c>
      <c r="G110" s="424" t="s">
        <v>124</v>
      </c>
      <c r="H110" s="435" t="s">
        <v>2150</v>
      </c>
      <c r="I110" s="424" t="s">
        <v>100</v>
      </c>
      <c r="J110" s="436">
        <v>0</v>
      </c>
      <c r="K110" s="437">
        <v>0</v>
      </c>
    </row>
    <row r="111" spans="1:11" s="438" customFormat="1" ht="45">
      <c r="A111" s="428" t="s">
        <v>35</v>
      </c>
      <c r="B111" s="433">
        <v>42295</v>
      </c>
      <c r="C111" s="434">
        <v>0.29166666666666669</v>
      </c>
      <c r="D111" s="433">
        <v>42295</v>
      </c>
      <c r="E111" s="434">
        <v>0.9784722222222223</v>
      </c>
      <c r="F111" s="423" t="s">
        <v>2805</v>
      </c>
      <c r="G111" s="424" t="s">
        <v>124</v>
      </c>
      <c r="H111" s="435" t="s">
        <v>2753</v>
      </c>
      <c r="I111" s="424" t="s">
        <v>22</v>
      </c>
      <c r="J111" s="436">
        <v>88</v>
      </c>
      <c r="K111" s="437">
        <v>55677</v>
      </c>
    </row>
    <row r="112" spans="1:11" s="438" customFormat="1" ht="157.5">
      <c r="A112" s="428" t="s">
        <v>35</v>
      </c>
      <c r="B112" s="433">
        <v>42300</v>
      </c>
      <c r="C112" s="434">
        <v>0.40416666666666662</v>
      </c>
      <c r="D112" s="433">
        <v>42300</v>
      </c>
      <c r="E112" s="434">
        <v>0.55972222222222223</v>
      </c>
      <c r="F112" s="423" t="s">
        <v>2271</v>
      </c>
      <c r="G112" s="424" t="s">
        <v>255</v>
      </c>
      <c r="H112" s="441" t="s">
        <v>2806</v>
      </c>
      <c r="I112" s="424" t="s">
        <v>2764</v>
      </c>
      <c r="J112" s="436">
        <v>500</v>
      </c>
      <c r="K112" s="437">
        <v>300000</v>
      </c>
    </row>
    <row r="113" spans="1:12" s="438" customFormat="1" ht="33.75">
      <c r="A113" s="428" t="s">
        <v>35</v>
      </c>
      <c r="B113" s="433">
        <v>42305</v>
      </c>
      <c r="C113" s="434">
        <v>0.56805555555555554</v>
      </c>
      <c r="D113" s="433">
        <v>42306</v>
      </c>
      <c r="E113" s="434">
        <v>0.70833333333333337</v>
      </c>
      <c r="F113" s="423" t="s">
        <v>2807</v>
      </c>
      <c r="G113" s="424" t="s">
        <v>826</v>
      </c>
      <c r="H113" s="435" t="s">
        <v>2150</v>
      </c>
      <c r="I113" s="424" t="s">
        <v>2798</v>
      </c>
      <c r="J113" s="436" t="s">
        <v>45</v>
      </c>
      <c r="K113" s="437">
        <v>35000</v>
      </c>
    </row>
    <row r="114" spans="1:12" s="438" customFormat="1">
      <c r="A114" s="428" t="s">
        <v>35</v>
      </c>
      <c r="B114" s="433">
        <v>42307</v>
      </c>
      <c r="C114" s="434">
        <v>0.625</v>
      </c>
      <c r="D114" s="433">
        <v>42307</v>
      </c>
      <c r="E114" s="434">
        <v>0.66666666666666663</v>
      </c>
      <c r="F114" s="423" t="s">
        <v>2808</v>
      </c>
      <c r="G114" s="424" t="s">
        <v>124</v>
      </c>
      <c r="H114" s="435" t="s">
        <v>2150</v>
      </c>
      <c r="I114" s="424" t="s">
        <v>2798</v>
      </c>
      <c r="J114" s="436">
        <v>0</v>
      </c>
      <c r="K114" s="437">
        <v>0</v>
      </c>
      <c r="L114" s="445"/>
    </row>
    <row r="115" spans="1:12" s="438" customFormat="1" ht="45">
      <c r="A115" s="428" t="s">
        <v>35</v>
      </c>
      <c r="B115" s="433">
        <v>42308</v>
      </c>
      <c r="C115" s="434">
        <v>3.125E-2</v>
      </c>
      <c r="D115" s="433">
        <v>42309</v>
      </c>
      <c r="E115" s="434">
        <v>0.67013888888888884</v>
      </c>
      <c r="F115" s="423" t="s">
        <v>2809</v>
      </c>
      <c r="G115" s="424" t="s">
        <v>1352</v>
      </c>
      <c r="H115" s="435" t="s">
        <v>2753</v>
      </c>
      <c r="I115" s="424" t="s">
        <v>22</v>
      </c>
      <c r="J115" s="436" t="s">
        <v>45</v>
      </c>
      <c r="K115" s="437">
        <v>130252</v>
      </c>
    </row>
    <row r="116" spans="1:12" s="438" customFormat="1" ht="15" customHeight="1">
      <c r="A116" s="428" t="s">
        <v>38</v>
      </c>
      <c r="B116" s="433">
        <v>42309</v>
      </c>
      <c r="C116" s="434">
        <v>0.49513888888888885</v>
      </c>
      <c r="D116" s="433">
        <v>42309</v>
      </c>
      <c r="E116" s="434">
        <v>0.5</v>
      </c>
      <c r="F116" s="423" t="s">
        <v>2810</v>
      </c>
      <c r="G116" s="424" t="s">
        <v>826</v>
      </c>
      <c r="H116" s="435" t="s">
        <v>2150</v>
      </c>
      <c r="I116" s="424" t="s">
        <v>100</v>
      </c>
      <c r="J116" s="436">
        <v>0</v>
      </c>
      <c r="K116" s="437">
        <v>0</v>
      </c>
    </row>
    <row r="117" spans="1:12" s="438" customFormat="1" ht="22.5">
      <c r="A117" s="428" t="s">
        <v>38</v>
      </c>
      <c r="B117" s="433">
        <v>42310</v>
      </c>
      <c r="C117" s="434">
        <v>0.73402777777777783</v>
      </c>
      <c r="D117" s="433">
        <v>42312</v>
      </c>
      <c r="E117" s="434">
        <v>0.375</v>
      </c>
      <c r="F117" s="423" t="s">
        <v>2811</v>
      </c>
      <c r="G117" s="424" t="s">
        <v>63</v>
      </c>
      <c r="H117" s="435" t="s">
        <v>2150</v>
      </c>
      <c r="I117" s="424" t="s">
        <v>2343</v>
      </c>
      <c r="J117" s="436">
        <v>4</v>
      </c>
      <c r="K117" s="437">
        <v>0</v>
      </c>
    </row>
    <row r="118" spans="1:12" s="438" customFormat="1" ht="11.25">
      <c r="A118" s="428" t="s">
        <v>38</v>
      </c>
      <c r="B118" s="433">
        <v>42318</v>
      </c>
      <c r="C118" s="434">
        <v>0.5</v>
      </c>
      <c r="D118" s="433">
        <v>42318</v>
      </c>
      <c r="E118" s="434">
        <v>0.58333333333333337</v>
      </c>
      <c r="F118" s="423" t="s">
        <v>2812</v>
      </c>
      <c r="G118" s="424" t="s">
        <v>826</v>
      </c>
      <c r="H118" s="435" t="s">
        <v>2150</v>
      </c>
      <c r="I118" s="424" t="s">
        <v>2343</v>
      </c>
      <c r="J118" s="436">
        <v>0</v>
      </c>
      <c r="K118" s="437">
        <v>0</v>
      </c>
    </row>
    <row r="119" spans="1:12" s="438" customFormat="1" ht="11.25">
      <c r="A119" s="428" t="s">
        <v>38</v>
      </c>
      <c r="B119" s="433">
        <v>42321</v>
      </c>
      <c r="C119" s="434">
        <v>0.47916666666666669</v>
      </c>
      <c r="D119" s="433">
        <v>42321</v>
      </c>
      <c r="E119" s="434">
        <v>0.4826388888888889</v>
      </c>
      <c r="F119" s="423" t="s">
        <v>30</v>
      </c>
      <c r="G119" s="424" t="s">
        <v>61</v>
      </c>
      <c r="H119" s="435" t="s">
        <v>2150</v>
      </c>
      <c r="I119" s="424" t="s">
        <v>2789</v>
      </c>
      <c r="J119" s="436" t="s">
        <v>45</v>
      </c>
      <c r="K119" s="437" t="s">
        <v>45</v>
      </c>
    </row>
    <row r="120" spans="1:12" s="438" customFormat="1" ht="45">
      <c r="A120" s="428" t="s">
        <v>38</v>
      </c>
      <c r="B120" s="433">
        <v>42325</v>
      </c>
      <c r="C120" s="434">
        <v>0.375</v>
      </c>
      <c r="D120" s="433" t="s">
        <v>45</v>
      </c>
      <c r="E120" s="433" t="s">
        <v>45</v>
      </c>
      <c r="F120" s="423" t="s">
        <v>2813</v>
      </c>
      <c r="G120" s="424" t="s">
        <v>124</v>
      </c>
      <c r="H120" s="435" t="s">
        <v>2753</v>
      </c>
      <c r="I120" s="424" t="s">
        <v>22</v>
      </c>
      <c r="J120" s="436">
        <v>900</v>
      </c>
      <c r="K120" s="437">
        <v>89000</v>
      </c>
    </row>
    <row r="121" spans="1:12" s="438" customFormat="1" ht="45">
      <c r="A121" s="428" t="s">
        <v>38</v>
      </c>
      <c r="B121" s="433">
        <v>42325</v>
      </c>
      <c r="C121" s="434">
        <v>0.41666666666666669</v>
      </c>
      <c r="D121" s="433" t="s">
        <v>45</v>
      </c>
      <c r="E121" s="433" t="s">
        <v>45</v>
      </c>
      <c r="F121" s="423" t="s">
        <v>2575</v>
      </c>
      <c r="G121" s="424" t="s">
        <v>124</v>
      </c>
      <c r="H121" s="435" t="s">
        <v>2753</v>
      </c>
      <c r="I121" s="424" t="s">
        <v>22</v>
      </c>
      <c r="J121" s="436" t="s">
        <v>45</v>
      </c>
      <c r="K121" s="437">
        <v>300000</v>
      </c>
    </row>
    <row r="122" spans="1:12" s="438" customFormat="1" ht="90">
      <c r="A122" s="428" t="s">
        <v>38</v>
      </c>
      <c r="B122" s="433">
        <v>42325</v>
      </c>
      <c r="C122" s="434">
        <v>0.5625</v>
      </c>
      <c r="D122" s="433" t="s">
        <v>45</v>
      </c>
      <c r="E122" s="433" t="s">
        <v>45</v>
      </c>
      <c r="F122" s="423" t="s">
        <v>2814</v>
      </c>
      <c r="G122" s="424" t="s">
        <v>124</v>
      </c>
      <c r="H122" s="435" t="s">
        <v>2753</v>
      </c>
      <c r="I122" s="424" t="s">
        <v>22</v>
      </c>
      <c r="J122" s="436" t="s">
        <v>45</v>
      </c>
      <c r="K122" s="437">
        <v>182000</v>
      </c>
    </row>
    <row r="123" spans="1:12" s="438" customFormat="1" ht="45">
      <c r="A123" s="428" t="s">
        <v>38</v>
      </c>
      <c r="B123" s="433">
        <v>42329</v>
      </c>
      <c r="C123" s="434">
        <v>0.85416666666666663</v>
      </c>
      <c r="D123" s="433">
        <v>42331</v>
      </c>
      <c r="E123" s="434">
        <v>4.1666666666666664E-2</v>
      </c>
      <c r="F123" s="423" t="s">
        <v>1833</v>
      </c>
      <c r="G123" s="424" t="s">
        <v>826</v>
      </c>
      <c r="H123" s="435" t="s">
        <v>2753</v>
      </c>
      <c r="I123" s="424" t="s">
        <v>22</v>
      </c>
      <c r="J123" s="436" t="s">
        <v>45</v>
      </c>
      <c r="K123" s="437">
        <v>60000</v>
      </c>
    </row>
    <row r="124" spans="1:12" s="438" customFormat="1" ht="45">
      <c r="A124" s="428" t="s">
        <v>38</v>
      </c>
      <c r="B124" s="433">
        <v>42336</v>
      </c>
      <c r="C124" s="434">
        <v>0.25</v>
      </c>
      <c r="D124" s="433">
        <v>42338</v>
      </c>
      <c r="E124" s="434">
        <v>0.54166666666666663</v>
      </c>
      <c r="F124" s="423" t="s">
        <v>10</v>
      </c>
      <c r="G124" s="424" t="s">
        <v>58</v>
      </c>
      <c r="H124" s="435" t="s">
        <v>2753</v>
      </c>
      <c r="I124" s="424" t="s">
        <v>22</v>
      </c>
      <c r="J124" s="436" t="s">
        <v>45</v>
      </c>
      <c r="K124" s="437">
        <v>55609</v>
      </c>
    </row>
    <row r="125" spans="1:12" s="438" customFormat="1" ht="45">
      <c r="A125" s="428" t="s">
        <v>38</v>
      </c>
      <c r="B125" s="433">
        <v>42336</v>
      </c>
      <c r="C125" s="434">
        <v>0.25</v>
      </c>
      <c r="D125" s="433" t="s">
        <v>45</v>
      </c>
      <c r="E125" s="433" t="s">
        <v>45</v>
      </c>
      <c r="F125" s="423" t="s">
        <v>10</v>
      </c>
      <c r="G125" s="424" t="s">
        <v>58</v>
      </c>
      <c r="H125" s="435" t="s">
        <v>2753</v>
      </c>
      <c r="I125" s="424" t="s">
        <v>22</v>
      </c>
      <c r="J125" s="436" t="s">
        <v>45</v>
      </c>
      <c r="K125" s="437">
        <v>35000</v>
      </c>
    </row>
    <row r="126" spans="1:12" s="438" customFormat="1" ht="33.75">
      <c r="A126" s="428" t="s">
        <v>38</v>
      </c>
      <c r="B126" s="433">
        <v>42337</v>
      </c>
      <c r="C126" s="434">
        <v>0.70000000000000007</v>
      </c>
      <c r="D126" s="433">
        <v>42337</v>
      </c>
      <c r="E126" s="434">
        <v>0.76388888888888884</v>
      </c>
      <c r="F126" s="423" t="s">
        <v>2271</v>
      </c>
      <c r="G126" s="424" t="s">
        <v>255</v>
      </c>
      <c r="H126" s="435" t="s">
        <v>2622</v>
      </c>
      <c r="I126" s="424" t="s">
        <v>2764</v>
      </c>
      <c r="J126" s="436">
        <v>0</v>
      </c>
      <c r="K126" s="437">
        <v>0</v>
      </c>
    </row>
    <row r="127" spans="1:12" s="438" customFormat="1" ht="33.75">
      <c r="A127" s="428" t="s">
        <v>38</v>
      </c>
      <c r="B127" s="433">
        <v>42338</v>
      </c>
      <c r="C127" s="434">
        <v>0.26250000000000001</v>
      </c>
      <c r="D127" s="433">
        <v>42338</v>
      </c>
      <c r="E127" s="434">
        <v>0.88750000000000007</v>
      </c>
      <c r="F127" s="423" t="s">
        <v>2271</v>
      </c>
      <c r="G127" s="424" t="s">
        <v>255</v>
      </c>
      <c r="H127" s="435" t="s">
        <v>2622</v>
      </c>
      <c r="I127" s="424" t="s">
        <v>2764</v>
      </c>
      <c r="J127" s="436">
        <v>100</v>
      </c>
      <c r="K127" s="437">
        <v>86559</v>
      </c>
    </row>
    <row r="128" spans="1:12" s="438" customFormat="1" ht="11.25">
      <c r="A128" s="428" t="s">
        <v>47</v>
      </c>
      <c r="B128" s="421">
        <v>42340</v>
      </c>
      <c r="C128" s="422">
        <v>0.54375000000000007</v>
      </c>
      <c r="D128" s="421">
        <v>42341</v>
      </c>
      <c r="E128" s="422">
        <v>0.52013888888888882</v>
      </c>
      <c r="F128" s="435" t="s">
        <v>2815</v>
      </c>
      <c r="G128" s="424" t="s">
        <v>58</v>
      </c>
      <c r="H128" s="435" t="s">
        <v>2150</v>
      </c>
      <c r="I128" s="424" t="s">
        <v>100</v>
      </c>
      <c r="J128" s="424">
        <v>0</v>
      </c>
      <c r="K128" s="446">
        <v>0</v>
      </c>
    </row>
    <row r="129" spans="1:11" s="438" customFormat="1" ht="11.25">
      <c r="A129" s="428" t="s">
        <v>47</v>
      </c>
      <c r="B129" s="421">
        <v>42343</v>
      </c>
      <c r="C129" s="422">
        <v>0.875</v>
      </c>
      <c r="D129" s="421">
        <v>42343</v>
      </c>
      <c r="E129" s="422">
        <v>0.9375</v>
      </c>
      <c r="F129" s="435" t="s">
        <v>2787</v>
      </c>
      <c r="G129" s="424" t="s">
        <v>58</v>
      </c>
      <c r="H129" s="435" t="s">
        <v>2150</v>
      </c>
      <c r="I129" s="424" t="s">
        <v>100</v>
      </c>
      <c r="J129" s="424">
        <v>0</v>
      </c>
      <c r="K129" s="446">
        <v>0</v>
      </c>
    </row>
    <row r="130" spans="1:11" s="438" customFormat="1" ht="45">
      <c r="A130" s="428" t="s">
        <v>47</v>
      </c>
      <c r="B130" s="421">
        <v>42343</v>
      </c>
      <c r="C130" s="422">
        <v>0.80694444444444446</v>
      </c>
      <c r="D130" s="421">
        <v>42344</v>
      </c>
      <c r="E130" s="422">
        <v>0.22708333333333333</v>
      </c>
      <c r="F130" s="435" t="s">
        <v>2816</v>
      </c>
      <c r="G130" s="447" t="s">
        <v>61</v>
      </c>
      <c r="H130" s="435" t="s">
        <v>2753</v>
      </c>
      <c r="I130" s="424" t="s">
        <v>2798</v>
      </c>
      <c r="J130" s="424">
        <v>110</v>
      </c>
      <c r="K130" s="446">
        <v>52476</v>
      </c>
    </row>
    <row r="131" spans="1:11" s="438" customFormat="1" ht="11.25">
      <c r="A131" s="428" t="s">
        <v>47</v>
      </c>
      <c r="B131" s="421">
        <v>42346</v>
      </c>
      <c r="C131" s="422">
        <v>0.58333333333333337</v>
      </c>
      <c r="D131" s="421">
        <v>42346</v>
      </c>
      <c r="E131" s="422">
        <v>0.58402777777777781</v>
      </c>
      <c r="F131" s="435" t="s">
        <v>2817</v>
      </c>
      <c r="G131" s="447" t="s">
        <v>124</v>
      </c>
      <c r="H131" s="435" t="s">
        <v>2150</v>
      </c>
      <c r="I131" s="424" t="s">
        <v>2343</v>
      </c>
      <c r="J131" s="424">
        <v>0</v>
      </c>
      <c r="K131" s="446">
        <v>0</v>
      </c>
    </row>
    <row r="132" spans="1:11" s="438" customFormat="1" ht="33.75">
      <c r="A132" s="428" t="s">
        <v>47</v>
      </c>
      <c r="B132" s="421">
        <v>42347</v>
      </c>
      <c r="C132" s="422">
        <v>0.75416666666666676</v>
      </c>
      <c r="D132" s="421">
        <v>42347</v>
      </c>
      <c r="E132" s="422">
        <v>0.91111111111111109</v>
      </c>
      <c r="F132" s="435" t="s">
        <v>2271</v>
      </c>
      <c r="G132" s="424"/>
      <c r="H132" s="435" t="s">
        <v>2622</v>
      </c>
      <c r="I132" s="424" t="s">
        <v>2764</v>
      </c>
      <c r="J132" s="424">
        <v>0</v>
      </c>
      <c r="K132" s="446">
        <v>0</v>
      </c>
    </row>
    <row r="133" spans="1:11" s="438" customFormat="1" ht="45">
      <c r="A133" s="428" t="s">
        <v>47</v>
      </c>
      <c r="B133" s="421">
        <v>42347</v>
      </c>
      <c r="C133" s="422">
        <v>0.16666666666666666</v>
      </c>
      <c r="D133" s="421">
        <v>42347</v>
      </c>
      <c r="E133" s="422">
        <v>0.45833333333333331</v>
      </c>
      <c r="F133" s="435" t="s">
        <v>2575</v>
      </c>
      <c r="G133" s="447" t="s">
        <v>124</v>
      </c>
      <c r="H133" s="435" t="s">
        <v>2753</v>
      </c>
      <c r="I133" s="424" t="s">
        <v>22</v>
      </c>
      <c r="J133" s="424">
        <v>115</v>
      </c>
      <c r="K133" s="446">
        <v>76300</v>
      </c>
    </row>
    <row r="134" spans="1:11" s="438" customFormat="1" ht="56.25">
      <c r="A134" s="428" t="s">
        <v>47</v>
      </c>
      <c r="B134" s="421">
        <v>42348</v>
      </c>
      <c r="C134" s="422">
        <v>0.89236111111111116</v>
      </c>
      <c r="D134" s="421">
        <v>42348</v>
      </c>
      <c r="E134" s="422">
        <v>0.9375</v>
      </c>
      <c r="F134" s="435" t="s">
        <v>2818</v>
      </c>
      <c r="G134" s="424" t="s">
        <v>63</v>
      </c>
      <c r="H134" s="435" t="s">
        <v>2769</v>
      </c>
      <c r="I134" s="424" t="s">
        <v>2764</v>
      </c>
      <c r="J134" s="424">
        <v>400</v>
      </c>
      <c r="K134" s="446">
        <v>1</v>
      </c>
    </row>
    <row r="135" spans="1:11" s="438" customFormat="1" ht="22.5">
      <c r="A135" s="428" t="s">
        <v>47</v>
      </c>
      <c r="B135" s="421">
        <v>42348</v>
      </c>
      <c r="C135" s="422">
        <v>0.74652777777777779</v>
      </c>
      <c r="D135" s="421">
        <v>42348</v>
      </c>
      <c r="E135" s="422">
        <v>0.74722222222222223</v>
      </c>
      <c r="F135" s="435" t="s">
        <v>2819</v>
      </c>
      <c r="G135" s="447" t="s">
        <v>124</v>
      </c>
      <c r="H135" s="435" t="s">
        <v>2150</v>
      </c>
      <c r="I135" s="424" t="s">
        <v>100</v>
      </c>
      <c r="J135" s="424" t="s">
        <v>45</v>
      </c>
      <c r="K135" s="446" t="s">
        <v>45</v>
      </c>
    </row>
    <row r="136" spans="1:11" s="438" customFormat="1" ht="56.25">
      <c r="A136" s="428" t="s">
        <v>47</v>
      </c>
      <c r="B136" s="421">
        <v>42348</v>
      </c>
      <c r="C136" s="422">
        <v>0.16180555555555556</v>
      </c>
      <c r="D136" s="421">
        <v>42348</v>
      </c>
      <c r="E136" s="422">
        <v>0.17222222222222225</v>
      </c>
      <c r="F136" s="435" t="s">
        <v>2820</v>
      </c>
      <c r="G136" s="447" t="s">
        <v>124</v>
      </c>
      <c r="H136" s="441" t="s">
        <v>2763</v>
      </c>
      <c r="I136" s="424" t="s">
        <v>22</v>
      </c>
      <c r="J136" s="424">
        <v>24</v>
      </c>
      <c r="K136" s="446">
        <v>9956</v>
      </c>
    </row>
    <row r="137" spans="1:11" s="438" customFormat="1" ht="56.25">
      <c r="A137" s="428" t="s">
        <v>47</v>
      </c>
      <c r="B137" s="421">
        <v>42348</v>
      </c>
      <c r="C137" s="422">
        <v>0.25069444444444444</v>
      </c>
      <c r="D137" s="421">
        <v>42348</v>
      </c>
      <c r="E137" s="422">
        <v>0.30069444444444443</v>
      </c>
      <c r="F137" s="435" t="s">
        <v>2821</v>
      </c>
      <c r="G137" s="447" t="s">
        <v>124</v>
      </c>
      <c r="H137" s="441" t="s">
        <v>2763</v>
      </c>
      <c r="I137" s="424" t="s">
        <v>22</v>
      </c>
      <c r="J137" s="424">
        <v>29</v>
      </c>
      <c r="K137" s="446">
        <v>9956</v>
      </c>
    </row>
    <row r="138" spans="1:11" s="438" customFormat="1" ht="101.25">
      <c r="A138" s="428" t="s">
        <v>47</v>
      </c>
      <c r="B138" s="421">
        <v>42362</v>
      </c>
      <c r="C138" s="422">
        <v>0.125</v>
      </c>
      <c r="D138" s="421">
        <v>42364</v>
      </c>
      <c r="E138" s="422">
        <v>0</v>
      </c>
      <c r="F138" s="435" t="s">
        <v>2822</v>
      </c>
      <c r="G138" s="447" t="s">
        <v>826</v>
      </c>
      <c r="H138" s="435" t="s">
        <v>2753</v>
      </c>
      <c r="I138" s="424" t="s">
        <v>22</v>
      </c>
      <c r="J138" s="424" t="s">
        <v>45</v>
      </c>
      <c r="K138" s="446">
        <v>168000</v>
      </c>
    </row>
    <row r="139" spans="1:11" s="438" customFormat="1" ht="45">
      <c r="A139" s="428" t="s">
        <v>47</v>
      </c>
      <c r="B139" s="421">
        <v>42364</v>
      </c>
      <c r="C139" s="422">
        <v>0.8125</v>
      </c>
      <c r="D139" s="424" t="s">
        <v>45</v>
      </c>
      <c r="E139" s="422" t="s">
        <v>45</v>
      </c>
      <c r="F139" s="435" t="s">
        <v>166</v>
      </c>
      <c r="G139" s="424" t="s">
        <v>1352</v>
      </c>
      <c r="H139" s="435" t="s">
        <v>2753</v>
      </c>
      <c r="I139" s="424" t="s">
        <v>22</v>
      </c>
      <c r="J139" s="424" t="s">
        <v>45</v>
      </c>
      <c r="K139" s="446">
        <v>70000</v>
      </c>
    </row>
    <row r="140" spans="1:11" s="438" customFormat="1" ht="45">
      <c r="A140" s="428" t="s">
        <v>47</v>
      </c>
      <c r="B140" s="421">
        <v>42364</v>
      </c>
      <c r="C140" s="422">
        <v>0.75</v>
      </c>
      <c r="D140" s="421">
        <v>42368</v>
      </c>
      <c r="E140" s="422">
        <v>0.25</v>
      </c>
      <c r="F140" s="435" t="s">
        <v>2823</v>
      </c>
      <c r="G140" s="424" t="s">
        <v>58</v>
      </c>
      <c r="H140" s="435" t="s">
        <v>2753</v>
      </c>
      <c r="I140" s="424" t="s">
        <v>22</v>
      </c>
      <c r="J140" s="424" t="s">
        <v>45</v>
      </c>
      <c r="K140" s="446">
        <v>116800</v>
      </c>
    </row>
    <row r="141" spans="1:11" s="438" customFormat="1" ht="45">
      <c r="A141" s="428" t="s">
        <v>47</v>
      </c>
      <c r="B141" s="421">
        <v>42365</v>
      </c>
      <c r="C141" s="422">
        <v>0.98472222222222217</v>
      </c>
      <c r="D141" s="421">
        <v>42366</v>
      </c>
      <c r="E141" s="422">
        <v>0.70833333333333337</v>
      </c>
      <c r="F141" s="435" t="s">
        <v>10</v>
      </c>
      <c r="G141" s="447" t="s">
        <v>58</v>
      </c>
      <c r="H141" s="435" t="s">
        <v>2753</v>
      </c>
      <c r="I141" s="424" t="s">
        <v>22</v>
      </c>
      <c r="J141" s="424" t="s">
        <v>45</v>
      </c>
      <c r="K141" s="446">
        <v>54476</v>
      </c>
    </row>
    <row r="142" spans="1:11" s="438" customFormat="1" ht="45">
      <c r="A142" s="428" t="s">
        <v>47</v>
      </c>
      <c r="B142" s="421">
        <v>42365</v>
      </c>
      <c r="C142" s="422">
        <v>0.70833333333333337</v>
      </c>
      <c r="D142" s="424" t="s">
        <v>45</v>
      </c>
      <c r="E142" s="422" t="s">
        <v>45</v>
      </c>
      <c r="F142" s="435" t="s">
        <v>10</v>
      </c>
      <c r="G142" s="447" t="s">
        <v>58</v>
      </c>
      <c r="H142" s="435" t="s">
        <v>2753</v>
      </c>
      <c r="I142" s="424" t="s">
        <v>22</v>
      </c>
      <c r="J142" s="424" t="s">
        <v>45</v>
      </c>
      <c r="K142" s="446">
        <v>50500</v>
      </c>
    </row>
    <row r="143" spans="1:11" s="438" customFormat="1" ht="11.25">
      <c r="A143" s="428" t="s">
        <v>47</v>
      </c>
      <c r="B143" s="421">
        <v>42367</v>
      </c>
      <c r="C143" s="422">
        <v>0.35416666666666669</v>
      </c>
      <c r="D143" s="421">
        <v>42367</v>
      </c>
      <c r="E143" s="422">
        <v>0.35486111111111113</v>
      </c>
      <c r="F143" s="435" t="s">
        <v>2079</v>
      </c>
      <c r="G143" s="447" t="s">
        <v>61</v>
      </c>
      <c r="H143" s="435" t="s">
        <v>2150</v>
      </c>
      <c r="I143" s="424" t="s">
        <v>2343</v>
      </c>
      <c r="J143" s="424">
        <v>0</v>
      </c>
      <c r="K143" s="446">
        <v>0</v>
      </c>
    </row>
    <row r="144" spans="1:11" s="438" customFormat="1" ht="22.5">
      <c r="A144" s="428" t="s">
        <v>47</v>
      </c>
      <c r="B144" s="421">
        <v>42369</v>
      </c>
      <c r="C144" s="422">
        <v>0.70833333333333337</v>
      </c>
      <c r="D144" s="421">
        <v>42369</v>
      </c>
      <c r="E144" s="422">
        <v>0.90277777777777779</v>
      </c>
      <c r="F144" s="435" t="s">
        <v>2824</v>
      </c>
      <c r="G144" s="447" t="s">
        <v>58</v>
      </c>
      <c r="H144" s="441" t="s">
        <v>2744</v>
      </c>
      <c r="I144" s="424" t="s">
        <v>22</v>
      </c>
      <c r="J144" s="424">
        <v>8</v>
      </c>
      <c r="K144" s="446">
        <v>1500</v>
      </c>
    </row>
    <row r="145" spans="1:11" s="438" customFormat="1" ht="12" thickBot="1">
      <c r="A145" s="448" t="s">
        <v>47</v>
      </c>
      <c r="B145" s="449">
        <v>42369</v>
      </c>
      <c r="C145" s="450">
        <v>0.45833333333333331</v>
      </c>
      <c r="D145" s="451" t="s">
        <v>45</v>
      </c>
      <c r="E145" s="450" t="s">
        <v>45</v>
      </c>
      <c r="F145" s="452" t="s">
        <v>16</v>
      </c>
      <c r="G145" s="453" t="s">
        <v>63</v>
      </c>
      <c r="H145" s="452" t="s">
        <v>2150</v>
      </c>
      <c r="I145" s="451" t="s">
        <v>2343</v>
      </c>
      <c r="J145" s="451">
        <v>0</v>
      </c>
      <c r="K145" s="454">
        <v>0</v>
      </c>
    </row>
    <row r="146" spans="1:11" s="438" customFormat="1" ht="21" customHeight="1">
      <c r="A146" s="455"/>
      <c r="B146" s="456"/>
      <c r="C146" s="457"/>
      <c r="D146" s="456"/>
      <c r="E146" s="457"/>
      <c r="F146" s="458"/>
      <c r="G146" s="459"/>
      <c r="H146" s="460"/>
      <c r="I146" s="459"/>
      <c r="J146" s="461"/>
      <c r="K146" s="462"/>
    </row>
    <row r="147" spans="1:11" s="438" customFormat="1" ht="19.5" customHeight="1">
      <c r="A147" s="455"/>
      <c r="B147" s="456"/>
      <c r="C147" s="457"/>
      <c r="D147" s="456"/>
      <c r="E147" s="457"/>
      <c r="F147" s="458"/>
      <c r="G147" s="459"/>
      <c r="H147" s="460"/>
      <c r="I147" s="459"/>
      <c r="J147" s="461"/>
      <c r="K147" s="462"/>
    </row>
    <row r="148" spans="1:11" s="438" customFormat="1" ht="15" customHeight="1">
      <c r="A148" s="455"/>
      <c r="B148" s="456"/>
      <c r="C148" s="457"/>
      <c r="D148" s="456"/>
      <c r="E148" s="457"/>
      <c r="F148" s="458"/>
      <c r="G148" s="459"/>
      <c r="H148" s="460"/>
      <c r="I148" s="459"/>
      <c r="J148" s="461"/>
      <c r="K148" s="462"/>
    </row>
    <row r="149" spans="1:11" s="438" customFormat="1" ht="15" customHeight="1">
      <c r="A149" s="455"/>
      <c r="B149" s="456"/>
      <c r="C149" s="457"/>
      <c r="D149" s="456"/>
      <c r="E149" s="457"/>
      <c r="F149" s="458"/>
      <c r="G149" s="459"/>
      <c r="H149" s="460"/>
      <c r="I149" s="459"/>
      <c r="J149" s="461"/>
      <c r="K149" s="462"/>
    </row>
    <row r="150" spans="1:11" s="438" customFormat="1" ht="15" customHeight="1">
      <c r="A150" s="455"/>
      <c r="B150" s="456"/>
      <c r="C150" s="457"/>
      <c r="D150" s="456"/>
      <c r="E150" s="457"/>
      <c r="F150" s="458"/>
      <c r="G150" s="459"/>
      <c r="H150" s="460"/>
      <c r="I150" s="459"/>
      <c r="J150" s="461"/>
      <c r="K150" s="462"/>
    </row>
    <row r="151" spans="1:11" s="438" customFormat="1" ht="15" customHeight="1">
      <c r="A151" s="455"/>
      <c r="B151" s="456"/>
      <c r="C151" s="457"/>
      <c r="D151" s="456"/>
      <c r="E151" s="457"/>
      <c r="F151" s="458"/>
      <c r="G151" s="459"/>
      <c r="H151" s="460"/>
      <c r="I151" s="459"/>
      <c r="J151" s="461"/>
      <c r="K151" s="462"/>
    </row>
    <row r="152" spans="1:11" s="438" customFormat="1" ht="15" customHeight="1">
      <c r="A152" s="455"/>
      <c r="B152" s="456"/>
      <c r="C152" s="457"/>
      <c r="D152" s="456"/>
      <c r="E152" s="457"/>
      <c r="F152" s="458"/>
      <c r="G152" s="459"/>
      <c r="H152" s="460"/>
      <c r="I152" s="459"/>
      <c r="J152" s="461"/>
      <c r="K152" s="462"/>
    </row>
    <row r="153" spans="1:11" s="438" customFormat="1" ht="15" customHeight="1">
      <c r="A153" s="455"/>
      <c r="B153" s="456"/>
      <c r="C153" s="457"/>
      <c r="D153" s="456"/>
      <c r="E153" s="457"/>
      <c r="F153" s="458"/>
      <c r="G153" s="459"/>
      <c r="H153" s="460"/>
      <c r="I153" s="459"/>
      <c r="J153" s="461"/>
      <c r="K153" s="462"/>
    </row>
    <row r="154" spans="1:11" s="438" customFormat="1" ht="15" customHeight="1">
      <c r="A154" s="455"/>
      <c r="B154" s="456"/>
      <c r="C154" s="457"/>
      <c r="D154" s="456"/>
      <c r="E154" s="457"/>
      <c r="F154" s="458"/>
      <c r="G154" s="459"/>
      <c r="H154" s="460"/>
      <c r="I154" s="459"/>
      <c r="J154" s="461"/>
      <c r="K154" s="462"/>
    </row>
    <row r="155" spans="1:11" s="438" customFormat="1" ht="15" customHeight="1">
      <c r="A155" s="455"/>
      <c r="B155" s="456"/>
      <c r="C155" s="457"/>
      <c r="D155" s="456"/>
      <c r="E155" s="457"/>
      <c r="F155" s="458"/>
      <c r="G155" s="459"/>
      <c r="H155" s="460"/>
      <c r="I155" s="459"/>
      <c r="J155" s="461"/>
      <c r="K155" s="462"/>
    </row>
    <row r="156" spans="1:11" s="438" customFormat="1" ht="15" customHeight="1">
      <c r="A156" s="455"/>
      <c r="B156" s="456"/>
      <c r="C156" s="457"/>
      <c r="D156" s="456"/>
      <c r="E156" s="457"/>
      <c r="F156" s="458"/>
      <c r="G156" s="459"/>
      <c r="H156" s="460"/>
      <c r="I156" s="459"/>
      <c r="J156" s="461"/>
      <c r="K156" s="462"/>
    </row>
    <row r="157" spans="1:11" s="438" customFormat="1" ht="15" customHeight="1">
      <c r="A157" s="455"/>
      <c r="B157" s="456"/>
      <c r="C157" s="457"/>
      <c r="D157" s="456"/>
      <c r="E157" s="457"/>
      <c r="F157" s="458"/>
      <c r="G157" s="459"/>
      <c r="H157" s="460"/>
      <c r="I157" s="459"/>
      <c r="J157" s="461"/>
      <c r="K157" s="462"/>
    </row>
    <row r="158" spans="1:11" s="438" customFormat="1" ht="30" customHeight="1">
      <c r="A158" s="455"/>
      <c r="B158" s="456"/>
      <c r="C158" s="457"/>
      <c r="D158" s="456"/>
      <c r="E158" s="457"/>
      <c r="F158" s="458"/>
      <c r="G158" s="459"/>
      <c r="H158" s="460"/>
      <c r="I158" s="459"/>
      <c r="J158" s="461"/>
      <c r="K158" s="462"/>
    </row>
    <row r="159" spans="1:11" s="438" customFormat="1" ht="15" customHeight="1">
      <c r="A159" s="455"/>
      <c r="B159" s="456"/>
      <c r="C159" s="457"/>
      <c r="D159" s="456"/>
      <c r="E159" s="457"/>
      <c r="F159" s="458"/>
      <c r="G159" s="459"/>
      <c r="H159" s="460"/>
      <c r="I159" s="459"/>
      <c r="J159" s="461"/>
      <c r="K159" s="462"/>
    </row>
    <row r="160" spans="1:11" s="438" customFormat="1" ht="15" customHeight="1">
      <c r="A160" s="455"/>
      <c r="B160" s="456"/>
      <c r="C160" s="457"/>
      <c r="D160" s="456"/>
      <c r="E160" s="457"/>
      <c r="F160" s="458"/>
      <c r="G160" s="459"/>
      <c r="H160" s="460"/>
      <c r="I160" s="459"/>
      <c r="J160" s="461"/>
      <c r="K160" s="462"/>
    </row>
    <row r="161" spans="1:11" s="438" customFormat="1" ht="15" customHeight="1">
      <c r="A161" s="455"/>
      <c r="B161" s="456"/>
      <c r="C161" s="457"/>
      <c r="D161" s="456"/>
      <c r="E161" s="457"/>
      <c r="F161" s="458"/>
      <c r="G161" s="459"/>
      <c r="H161" s="460"/>
      <c r="I161" s="459"/>
      <c r="J161" s="461"/>
      <c r="K161" s="462"/>
    </row>
    <row r="162" spans="1:11" s="438" customFormat="1" ht="15" customHeight="1">
      <c r="A162" s="455"/>
      <c r="B162" s="456"/>
      <c r="C162" s="457"/>
      <c r="D162" s="456"/>
      <c r="E162" s="457"/>
      <c r="F162" s="458"/>
      <c r="G162" s="459"/>
      <c r="H162" s="460"/>
      <c r="I162" s="459"/>
      <c r="J162" s="461"/>
      <c r="K162" s="462"/>
    </row>
    <row r="163" spans="1:11" s="438" customFormat="1" ht="15" customHeight="1">
      <c r="A163" s="455"/>
      <c r="B163" s="456"/>
      <c r="C163" s="457"/>
      <c r="D163" s="456"/>
      <c r="E163" s="457"/>
      <c r="F163" s="458"/>
      <c r="G163" s="459"/>
      <c r="H163" s="460"/>
      <c r="I163" s="459"/>
      <c r="J163" s="461"/>
      <c r="K163" s="462"/>
    </row>
    <row r="164" spans="1:11" s="438" customFormat="1" ht="15" customHeight="1">
      <c r="A164" s="455"/>
      <c r="B164" s="456"/>
      <c r="C164" s="457"/>
      <c r="D164" s="456"/>
      <c r="E164" s="457"/>
      <c r="F164" s="458"/>
      <c r="G164" s="459"/>
      <c r="H164" s="460"/>
      <c r="I164" s="459"/>
      <c r="J164" s="461"/>
      <c r="K164" s="462"/>
    </row>
    <row r="165" spans="1:11" s="438" customFormat="1" ht="28.5" customHeight="1">
      <c r="A165" s="455"/>
      <c r="B165" s="456"/>
      <c r="C165" s="457"/>
      <c r="D165" s="456"/>
      <c r="E165" s="457"/>
      <c r="F165" s="458"/>
      <c r="G165" s="459"/>
      <c r="H165" s="460"/>
      <c r="I165" s="459"/>
      <c r="J165" s="461"/>
      <c r="K165" s="462"/>
    </row>
    <row r="166" spans="1:11" s="438" customFormat="1" ht="15" customHeight="1">
      <c r="A166" s="455"/>
      <c r="B166" s="456"/>
      <c r="C166" s="457"/>
      <c r="D166" s="456"/>
      <c r="E166" s="457"/>
      <c r="F166" s="458"/>
      <c r="G166" s="459"/>
      <c r="H166" s="460"/>
      <c r="I166" s="459"/>
      <c r="J166" s="461"/>
      <c r="K166" s="462"/>
    </row>
    <row r="167" spans="1:11" s="438" customFormat="1" ht="15" customHeight="1">
      <c r="A167" s="455"/>
      <c r="B167" s="456"/>
      <c r="C167" s="457"/>
      <c r="D167" s="456"/>
      <c r="E167" s="457"/>
      <c r="F167" s="458"/>
      <c r="G167" s="459"/>
      <c r="H167" s="460"/>
      <c r="I167" s="459"/>
      <c r="J167" s="461"/>
      <c r="K167" s="462"/>
    </row>
    <row r="168" spans="1:11" s="438" customFormat="1" ht="15" customHeight="1">
      <c r="A168" s="455"/>
      <c r="B168" s="456"/>
      <c r="C168" s="457"/>
      <c r="D168" s="456"/>
      <c r="E168" s="457"/>
      <c r="F168" s="458"/>
      <c r="G168" s="459"/>
      <c r="H168" s="460"/>
      <c r="I168" s="459"/>
      <c r="J168" s="461"/>
      <c r="K168" s="462"/>
    </row>
    <row r="169" spans="1:11" s="438" customFormat="1" ht="15" customHeight="1">
      <c r="A169" s="455"/>
      <c r="B169" s="456"/>
      <c r="C169" s="457"/>
      <c r="D169" s="456"/>
      <c r="E169" s="457"/>
      <c r="F169" s="458"/>
      <c r="G169" s="459"/>
      <c r="H169" s="460"/>
      <c r="I169" s="459"/>
      <c r="J169" s="461"/>
      <c r="K169" s="462"/>
    </row>
    <row r="170" spans="1:11" s="438" customFormat="1" ht="21.75" customHeight="1">
      <c r="A170" s="455"/>
      <c r="B170" s="456"/>
      <c r="C170" s="457"/>
      <c r="D170" s="456"/>
      <c r="E170" s="457"/>
      <c r="F170" s="458"/>
      <c r="G170" s="459"/>
      <c r="H170" s="460"/>
      <c r="I170" s="459"/>
      <c r="J170" s="461"/>
      <c r="K170" s="462"/>
    </row>
    <row r="171" spans="1:11" s="438" customFormat="1" ht="15" customHeight="1">
      <c r="A171" s="455"/>
      <c r="B171" s="456"/>
      <c r="C171" s="457"/>
      <c r="D171" s="456"/>
      <c r="E171" s="457"/>
      <c r="F171" s="458"/>
      <c r="G171" s="459"/>
      <c r="H171" s="460"/>
      <c r="I171" s="459"/>
      <c r="J171" s="461"/>
      <c r="K171" s="462"/>
    </row>
    <row r="172" spans="1:11" s="438" customFormat="1" ht="18.75" customHeight="1">
      <c r="A172" s="455"/>
      <c r="B172" s="456"/>
      <c r="C172" s="457"/>
      <c r="D172" s="456"/>
      <c r="E172" s="457"/>
      <c r="F172" s="458"/>
      <c r="G172" s="459"/>
      <c r="H172" s="460"/>
      <c r="I172" s="459"/>
      <c r="J172" s="461"/>
      <c r="K172" s="462"/>
    </row>
    <row r="173" spans="1:11" s="438" customFormat="1" ht="30.75" customHeight="1">
      <c r="A173" s="455"/>
      <c r="B173" s="456"/>
      <c r="C173" s="457"/>
      <c r="D173" s="456"/>
      <c r="E173" s="457"/>
      <c r="F173" s="458"/>
      <c r="G173" s="459"/>
      <c r="H173" s="460"/>
      <c r="I173" s="459"/>
      <c r="J173" s="461"/>
      <c r="K173" s="462"/>
    </row>
    <row r="174" spans="1:11" s="438" customFormat="1" ht="15" customHeight="1">
      <c r="A174" s="455"/>
      <c r="B174" s="456"/>
      <c r="C174" s="457"/>
      <c r="D174" s="456"/>
      <c r="E174" s="457"/>
      <c r="F174" s="458"/>
      <c r="G174" s="459"/>
      <c r="H174" s="460"/>
      <c r="I174" s="459"/>
      <c r="J174" s="461"/>
      <c r="K174" s="462"/>
    </row>
    <row r="175" spans="1:11" s="438" customFormat="1" ht="29.25" customHeight="1">
      <c r="A175" s="455"/>
      <c r="B175" s="456"/>
      <c r="C175" s="457"/>
      <c r="D175" s="456"/>
      <c r="E175" s="457"/>
      <c r="F175" s="458"/>
      <c r="G175" s="459"/>
      <c r="H175" s="460"/>
      <c r="I175" s="459"/>
      <c r="J175" s="461"/>
      <c r="K175" s="462"/>
    </row>
    <row r="176" spans="1:11" s="438" customFormat="1" ht="15" customHeight="1">
      <c r="A176" s="455"/>
      <c r="B176" s="456"/>
      <c r="C176" s="457"/>
      <c r="D176" s="456"/>
      <c r="E176" s="457"/>
      <c r="F176" s="458"/>
      <c r="G176" s="459"/>
      <c r="H176" s="460"/>
      <c r="I176" s="459"/>
      <c r="J176" s="461"/>
      <c r="K176" s="462"/>
    </row>
    <row r="177" spans="1:11" s="438" customFormat="1" ht="22.5" customHeight="1">
      <c r="A177" s="455"/>
      <c r="B177" s="456"/>
      <c r="C177" s="457"/>
      <c r="D177" s="456"/>
      <c r="E177" s="457"/>
      <c r="F177" s="458"/>
      <c r="G177" s="459"/>
      <c r="H177" s="460"/>
      <c r="I177" s="459"/>
      <c r="J177" s="461"/>
      <c r="K177" s="462"/>
    </row>
    <row r="178" spans="1:11" s="438" customFormat="1" ht="15" customHeight="1">
      <c r="A178" s="455"/>
      <c r="B178" s="456"/>
      <c r="C178" s="457"/>
      <c r="D178" s="456"/>
      <c r="E178" s="457"/>
      <c r="F178" s="458"/>
      <c r="G178" s="459"/>
      <c r="H178" s="460"/>
      <c r="I178" s="459"/>
      <c r="J178" s="461"/>
      <c r="K178" s="462"/>
    </row>
    <row r="179" spans="1:11" s="438" customFormat="1" ht="15" customHeight="1">
      <c r="A179" s="455"/>
      <c r="B179" s="456"/>
      <c r="C179" s="457"/>
      <c r="D179" s="456"/>
      <c r="E179" s="457"/>
      <c r="F179" s="458"/>
      <c r="G179" s="459"/>
      <c r="H179" s="460"/>
      <c r="I179" s="459"/>
      <c r="J179" s="461"/>
      <c r="K179" s="462"/>
    </row>
    <row r="180" spans="1:11" s="438" customFormat="1" ht="15" customHeight="1">
      <c r="A180" s="455"/>
      <c r="B180" s="456"/>
      <c r="C180" s="457"/>
      <c r="D180" s="456"/>
      <c r="E180" s="457"/>
      <c r="F180" s="458"/>
      <c r="G180" s="459"/>
      <c r="H180" s="460"/>
      <c r="I180" s="459"/>
      <c r="J180" s="461"/>
      <c r="K180" s="462"/>
    </row>
    <row r="181" spans="1:11" s="438" customFormat="1" ht="15" customHeight="1">
      <c r="A181" s="455"/>
      <c r="B181" s="456"/>
      <c r="C181" s="457"/>
      <c r="D181" s="456"/>
      <c r="E181" s="457"/>
      <c r="F181" s="458"/>
      <c r="G181" s="459"/>
      <c r="H181" s="460"/>
      <c r="I181" s="459"/>
      <c r="J181" s="461"/>
      <c r="K181" s="462"/>
    </row>
    <row r="182" spans="1:11" s="438" customFormat="1" ht="15" customHeight="1">
      <c r="A182" s="455"/>
      <c r="B182" s="456"/>
      <c r="C182" s="457"/>
      <c r="D182" s="456"/>
      <c r="E182" s="457"/>
      <c r="F182" s="458"/>
      <c r="G182" s="459"/>
      <c r="H182" s="460"/>
      <c r="I182" s="459"/>
      <c r="J182" s="461"/>
      <c r="K182" s="462"/>
    </row>
    <row r="183" spans="1:11" s="438" customFormat="1" ht="20.100000000000001" customHeight="1">
      <c r="A183" s="455"/>
      <c r="B183" s="456"/>
      <c r="C183" s="457"/>
      <c r="D183" s="456"/>
      <c r="E183" s="457"/>
      <c r="F183" s="458"/>
      <c r="G183" s="459"/>
      <c r="H183" s="460"/>
      <c r="I183" s="459"/>
      <c r="J183" s="461"/>
      <c r="K183" s="462"/>
    </row>
    <row r="184" spans="1:11" s="438" customFormat="1" ht="15" customHeight="1">
      <c r="A184" s="455"/>
      <c r="B184" s="456"/>
      <c r="C184" s="457"/>
      <c r="D184" s="456"/>
      <c r="E184" s="457"/>
      <c r="F184" s="458"/>
      <c r="G184" s="459"/>
      <c r="H184" s="460"/>
      <c r="I184" s="459"/>
      <c r="J184" s="461"/>
      <c r="K184" s="462"/>
    </row>
    <row r="185" spans="1:11" s="438" customFormat="1" ht="27.75" customHeight="1">
      <c r="A185" s="455"/>
      <c r="B185" s="456"/>
      <c r="C185" s="457"/>
      <c r="D185" s="456"/>
      <c r="E185" s="457"/>
      <c r="F185" s="458"/>
      <c r="G185" s="459"/>
      <c r="H185" s="460"/>
      <c r="I185" s="459"/>
      <c r="J185" s="461"/>
      <c r="K185" s="462"/>
    </row>
    <row r="186" spans="1:11" s="438" customFormat="1" ht="15" customHeight="1">
      <c r="A186" s="455"/>
      <c r="B186" s="456"/>
      <c r="C186" s="457"/>
      <c r="D186" s="456"/>
      <c r="E186" s="457"/>
      <c r="F186" s="458"/>
      <c r="G186" s="459"/>
      <c r="H186" s="460"/>
      <c r="I186" s="459"/>
      <c r="J186" s="461"/>
      <c r="K186" s="462"/>
    </row>
    <row r="187" spans="1:11" s="438" customFormat="1" ht="15" customHeight="1">
      <c r="A187" s="455"/>
      <c r="B187" s="456"/>
      <c r="C187" s="457"/>
      <c r="D187" s="456"/>
      <c r="E187" s="457"/>
      <c r="F187" s="458"/>
      <c r="G187" s="459"/>
      <c r="H187" s="460"/>
      <c r="I187" s="459"/>
      <c r="J187" s="461"/>
      <c r="K187" s="462"/>
    </row>
    <row r="188" spans="1:11" s="438" customFormat="1" ht="15" customHeight="1">
      <c r="A188" s="455"/>
      <c r="B188" s="456"/>
      <c r="C188" s="457"/>
      <c r="D188" s="456"/>
      <c r="E188" s="457"/>
      <c r="F188" s="458"/>
      <c r="G188" s="459"/>
      <c r="H188" s="460"/>
      <c r="I188" s="459"/>
      <c r="J188" s="461"/>
      <c r="K188" s="462"/>
    </row>
    <row r="189" spans="1:11" s="438" customFormat="1" ht="15" customHeight="1">
      <c r="A189" s="455"/>
      <c r="B189" s="456"/>
      <c r="C189" s="457"/>
      <c r="D189" s="456"/>
      <c r="E189" s="457"/>
      <c r="F189" s="458"/>
      <c r="G189" s="459"/>
      <c r="H189" s="460"/>
      <c r="I189" s="459"/>
      <c r="J189" s="461"/>
      <c r="K189" s="462"/>
    </row>
    <row r="190" spans="1:11" s="438" customFormat="1" ht="15" customHeight="1">
      <c r="A190" s="455"/>
      <c r="B190" s="456"/>
      <c r="C190" s="457"/>
      <c r="D190" s="456"/>
      <c r="E190" s="457"/>
      <c r="F190" s="458"/>
      <c r="G190" s="459"/>
      <c r="H190" s="460"/>
      <c r="I190" s="459"/>
      <c r="J190" s="461"/>
      <c r="K190" s="462"/>
    </row>
    <row r="191" spans="1:11" s="438" customFormat="1" ht="15" customHeight="1">
      <c r="A191" s="455"/>
      <c r="B191" s="456"/>
      <c r="C191" s="457"/>
      <c r="D191" s="456"/>
      <c r="E191" s="457"/>
      <c r="F191" s="458"/>
      <c r="G191" s="459"/>
      <c r="H191" s="460"/>
      <c r="I191" s="459"/>
      <c r="J191" s="461"/>
      <c r="K191" s="462"/>
    </row>
    <row r="192" spans="1:11" s="438" customFormat="1" ht="9.9499999999999993" customHeight="1">
      <c r="A192" s="455"/>
      <c r="B192" s="456"/>
      <c r="C192" s="457"/>
      <c r="D192" s="456"/>
      <c r="E192" s="457"/>
      <c r="F192" s="458"/>
      <c r="G192" s="459"/>
      <c r="H192" s="460"/>
      <c r="I192" s="459"/>
      <c r="J192" s="461"/>
      <c r="K192" s="462"/>
    </row>
    <row r="193" spans="1:1">
      <c r="A193" s="455"/>
    </row>
  </sheetData>
  <autoFilter ref="A2:K145" xr:uid="{00000000-0009-0000-0000-00000D000000}"/>
  <mergeCells count="1">
    <mergeCell ref="A1:K1"/>
  </mergeCells>
  <printOptions gridLines="1"/>
  <pageMargins left="0.25" right="0.25" top="0.75" bottom="0.75" header="0.3" footer="0.3"/>
  <pageSetup scale="84" fitToHeight="0" orientation="landscape" r:id="rId1"/>
  <headerFooter>
    <oddHeader>&amp;RData Through 10/30/2015</oddHeader>
    <oddFooter>&amp;C&amp;"Arial,Bold"Page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191"/>
  <sheetViews>
    <sheetView zoomScaleNormal="100" workbookViewId="0">
      <pane ySplit="2" topLeftCell="A135" activePane="bottomLeft" state="frozen"/>
      <selection pane="bottomLeft" activeCell="B2" sqref="B2:K143"/>
    </sheetView>
  </sheetViews>
  <sheetFormatPr defaultRowHeight="14.25"/>
  <cols>
    <col min="1" max="1" width="9.140625" style="463"/>
    <col min="2" max="2" width="10.7109375" style="456" customWidth="1"/>
    <col min="3" max="3" width="10.7109375" style="457" customWidth="1"/>
    <col min="4" max="4" width="10.7109375" style="456" customWidth="1"/>
    <col min="5" max="5" width="10.7109375" style="457" customWidth="1"/>
    <col min="6" max="6" width="20.42578125" style="458" customWidth="1"/>
    <col min="7" max="7" width="6.7109375" style="459" customWidth="1"/>
    <col min="8" max="8" width="26.140625" style="460" customWidth="1"/>
    <col min="9" max="9" width="15.85546875" style="459" customWidth="1"/>
    <col min="10" max="10" width="7.7109375" style="461" customWidth="1"/>
    <col min="11" max="11" width="9.7109375" style="462" customWidth="1"/>
    <col min="12" max="16384" width="9.140625" style="419"/>
  </cols>
  <sheetData>
    <row r="1" spans="1:11" s="412" customFormat="1" ht="15">
      <c r="A1" s="854" t="s">
        <v>2825</v>
      </c>
      <c r="B1" s="855"/>
      <c r="C1" s="855"/>
      <c r="D1" s="855"/>
      <c r="E1" s="855"/>
      <c r="F1" s="855"/>
      <c r="G1" s="855"/>
      <c r="H1" s="855"/>
      <c r="I1" s="855"/>
      <c r="J1" s="855"/>
      <c r="K1" s="856"/>
    </row>
    <row r="2" spans="1:11" ht="34.5" thickBot="1">
      <c r="A2" s="464" t="s">
        <v>2742</v>
      </c>
      <c r="B2" s="465" t="s">
        <v>2105</v>
      </c>
      <c r="C2" s="466" t="s">
        <v>2106</v>
      </c>
      <c r="D2" s="465" t="s">
        <v>2107</v>
      </c>
      <c r="E2" s="466" t="s">
        <v>2108</v>
      </c>
      <c r="F2" s="467" t="s">
        <v>67</v>
      </c>
      <c r="G2" s="467" t="s">
        <v>57</v>
      </c>
      <c r="H2" s="467" t="s">
        <v>2743</v>
      </c>
      <c r="I2" s="467" t="s">
        <v>2109</v>
      </c>
      <c r="J2" s="468" t="s">
        <v>2110</v>
      </c>
      <c r="K2" s="469" t="s">
        <v>7</v>
      </c>
    </row>
    <row r="3" spans="1:11" s="423" customFormat="1" ht="23.25" thickBot="1">
      <c r="A3" s="470" t="s">
        <v>9</v>
      </c>
      <c r="B3" s="471">
        <v>42373</v>
      </c>
      <c r="C3" s="472">
        <v>0.21875</v>
      </c>
      <c r="D3" s="471">
        <v>42374</v>
      </c>
      <c r="E3" s="472">
        <v>0.33333333333333331</v>
      </c>
      <c r="F3" s="473" t="s">
        <v>2826</v>
      </c>
      <c r="G3" s="474" t="s">
        <v>674</v>
      </c>
      <c r="H3" s="474" t="s">
        <v>2150</v>
      </c>
      <c r="I3" s="474" t="s">
        <v>2343</v>
      </c>
      <c r="J3" s="475">
        <v>0</v>
      </c>
      <c r="K3" s="476">
        <v>0</v>
      </c>
    </row>
    <row r="4" spans="1:11" s="423" customFormat="1" ht="45.75" thickBot="1">
      <c r="A4" s="477" t="s">
        <v>9</v>
      </c>
      <c r="B4" s="471">
        <v>42379</v>
      </c>
      <c r="C4" s="479">
        <v>0.8652777777777777</v>
      </c>
      <c r="D4" s="478">
        <v>42380</v>
      </c>
      <c r="E4" s="479">
        <v>0.22569444444444445</v>
      </c>
      <c r="F4" s="480" t="s">
        <v>2827</v>
      </c>
      <c r="G4" s="481" t="s">
        <v>61</v>
      </c>
      <c r="H4" s="481" t="s">
        <v>2753</v>
      </c>
      <c r="I4" s="481" t="s">
        <v>2828</v>
      </c>
      <c r="J4" s="482" t="s">
        <v>45</v>
      </c>
      <c r="K4" s="483">
        <v>59859</v>
      </c>
    </row>
    <row r="5" spans="1:11" s="423" customFormat="1" ht="23.25" thickBot="1">
      <c r="A5" s="477" t="s">
        <v>9</v>
      </c>
      <c r="B5" s="471">
        <v>42380</v>
      </c>
      <c r="C5" s="479">
        <v>0.84444444444444444</v>
      </c>
      <c r="D5" s="478">
        <v>42380</v>
      </c>
      <c r="E5" s="479">
        <v>0.95833333333333337</v>
      </c>
      <c r="F5" s="480" t="s">
        <v>2829</v>
      </c>
      <c r="G5" s="481" t="s">
        <v>826</v>
      </c>
      <c r="H5" s="481" t="s">
        <v>2150</v>
      </c>
      <c r="I5" s="481" t="s">
        <v>100</v>
      </c>
      <c r="J5" s="482">
        <v>0</v>
      </c>
      <c r="K5" s="483">
        <v>0</v>
      </c>
    </row>
    <row r="6" spans="1:11" s="423" customFormat="1" ht="12" thickBot="1">
      <c r="A6" s="477" t="s">
        <v>9</v>
      </c>
      <c r="B6" s="471">
        <v>42383</v>
      </c>
      <c r="C6" s="479">
        <v>0.3520833333333333</v>
      </c>
      <c r="D6" s="478">
        <v>42383</v>
      </c>
      <c r="E6" s="479">
        <v>0.5</v>
      </c>
      <c r="F6" s="480" t="s">
        <v>2830</v>
      </c>
      <c r="G6" s="481" t="s">
        <v>826</v>
      </c>
      <c r="H6" s="481" t="s">
        <v>2150</v>
      </c>
      <c r="I6" s="481" t="s">
        <v>100</v>
      </c>
      <c r="J6" s="482">
        <v>0</v>
      </c>
      <c r="K6" s="483">
        <v>0</v>
      </c>
    </row>
    <row r="7" spans="1:11" s="423" customFormat="1" ht="12" thickBot="1">
      <c r="A7" s="477" t="s">
        <v>9</v>
      </c>
      <c r="B7" s="471">
        <v>42386</v>
      </c>
      <c r="C7" s="479">
        <v>0.5</v>
      </c>
      <c r="D7" s="478">
        <v>42386</v>
      </c>
      <c r="E7" s="479">
        <v>0.54166666666666663</v>
      </c>
      <c r="F7" s="480" t="s">
        <v>2831</v>
      </c>
      <c r="G7" s="481" t="s">
        <v>124</v>
      </c>
      <c r="H7" s="481" t="s">
        <v>2150</v>
      </c>
      <c r="I7" s="481" t="s">
        <v>2343</v>
      </c>
      <c r="J7" s="482">
        <v>0</v>
      </c>
      <c r="K7" s="483">
        <v>0</v>
      </c>
    </row>
    <row r="8" spans="1:11" ht="34.5" thickBot="1">
      <c r="A8" s="477" t="s">
        <v>9</v>
      </c>
      <c r="B8" s="471">
        <v>42391</v>
      </c>
      <c r="C8" s="479">
        <v>0.66111111111111109</v>
      </c>
      <c r="D8" s="478">
        <v>42393</v>
      </c>
      <c r="E8" s="479">
        <v>0.52083333333333337</v>
      </c>
      <c r="F8" s="480" t="s">
        <v>2832</v>
      </c>
      <c r="G8" s="481" t="s">
        <v>63</v>
      </c>
      <c r="H8" s="481" t="s">
        <v>2753</v>
      </c>
      <c r="I8" s="481" t="s">
        <v>2828</v>
      </c>
      <c r="J8" s="482" t="s">
        <v>45</v>
      </c>
      <c r="K8" s="483">
        <v>150000</v>
      </c>
    </row>
    <row r="9" spans="1:11" ht="34.5" thickBot="1">
      <c r="A9" s="477" t="s">
        <v>9</v>
      </c>
      <c r="B9" s="471">
        <v>42392</v>
      </c>
      <c r="C9" s="479">
        <v>0.32569444444444445</v>
      </c>
      <c r="D9" s="478">
        <v>42392</v>
      </c>
      <c r="E9" s="479">
        <v>0.37847222222222227</v>
      </c>
      <c r="F9" s="480" t="s">
        <v>2833</v>
      </c>
      <c r="G9" s="481" t="s">
        <v>826</v>
      </c>
      <c r="H9" s="481" t="s">
        <v>2753</v>
      </c>
      <c r="I9" s="481" t="s">
        <v>2828</v>
      </c>
      <c r="J9" s="482" t="s">
        <v>45</v>
      </c>
      <c r="K9" s="483">
        <v>50900</v>
      </c>
    </row>
    <row r="10" spans="1:11" ht="34.5" thickBot="1">
      <c r="A10" s="477" t="s">
        <v>17</v>
      </c>
      <c r="B10" s="471">
        <v>42405</v>
      </c>
      <c r="C10" s="479">
        <v>0.47291666666666665</v>
      </c>
      <c r="D10" s="478">
        <v>42406</v>
      </c>
      <c r="E10" s="479">
        <v>0.65833333333333333</v>
      </c>
      <c r="F10" s="484" t="s">
        <v>2834</v>
      </c>
      <c r="G10" s="485" t="s">
        <v>61</v>
      </c>
      <c r="H10" s="481" t="s">
        <v>2753</v>
      </c>
      <c r="I10" s="481" t="s">
        <v>2828</v>
      </c>
      <c r="J10" s="481" t="s">
        <v>45</v>
      </c>
      <c r="K10" s="486">
        <v>115057</v>
      </c>
    </row>
    <row r="11" spans="1:11" ht="15" thickBot="1">
      <c r="A11" s="477" t="s">
        <v>17</v>
      </c>
      <c r="B11" s="471">
        <v>42407</v>
      </c>
      <c r="C11" s="479">
        <v>0.47916666666666669</v>
      </c>
      <c r="D11" s="481" t="s">
        <v>45</v>
      </c>
      <c r="E11" s="481" t="s">
        <v>45</v>
      </c>
      <c r="F11" s="484" t="s">
        <v>2835</v>
      </c>
      <c r="G11" s="485" t="s">
        <v>61</v>
      </c>
      <c r="H11" s="481" t="s">
        <v>2139</v>
      </c>
      <c r="I11" s="481" t="s">
        <v>2836</v>
      </c>
      <c r="J11" s="481" t="s">
        <v>45</v>
      </c>
      <c r="K11" s="486" t="s">
        <v>45</v>
      </c>
    </row>
    <row r="12" spans="1:11" ht="15" thickBot="1">
      <c r="A12" s="477" t="s">
        <v>17</v>
      </c>
      <c r="B12" s="471">
        <v>42407</v>
      </c>
      <c r="C12" s="479">
        <v>0.62361111111111112</v>
      </c>
      <c r="D12" s="481" t="s">
        <v>45</v>
      </c>
      <c r="E12" s="481" t="s">
        <v>45</v>
      </c>
      <c r="F12" s="484" t="s">
        <v>2837</v>
      </c>
      <c r="G12" s="485" t="s">
        <v>124</v>
      </c>
      <c r="H12" s="481" t="s">
        <v>2150</v>
      </c>
      <c r="I12" s="481" t="s">
        <v>2343</v>
      </c>
      <c r="J12" s="481" t="s">
        <v>45</v>
      </c>
      <c r="K12" s="486" t="s">
        <v>45</v>
      </c>
    </row>
    <row r="13" spans="1:11" ht="15" thickBot="1">
      <c r="A13" s="477" t="s">
        <v>17</v>
      </c>
      <c r="B13" s="471">
        <v>42407</v>
      </c>
      <c r="C13" s="479">
        <v>0.55625000000000002</v>
      </c>
      <c r="D13" s="478">
        <v>42407</v>
      </c>
      <c r="E13" s="479">
        <v>0.5708333333333333</v>
      </c>
      <c r="F13" s="484" t="s">
        <v>2838</v>
      </c>
      <c r="G13" s="485" t="s">
        <v>124</v>
      </c>
      <c r="H13" s="481" t="s">
        <v>2150</v>
      </c>
      <c r="I13" s="481" t="s">
        <v>100</v>
      </c>
      <c r="J13" s="481">
        <v>0</v>
      </c>
      <c r="K13" s="486">
        <v>0</v>
      </c>
    </row>
    <row r="14" spans="1:11" ht="68.25" thickBot="1">
      <c r="A14" s="477" t="s">
        <v>17</v>
      </c>
      <c r="B14" s="471">
        <v>42413</v>
      </c>
      <c r="C14" s="479">
        <v>0.53055555555555556</v>
      </c>
      <c r="D14" s="478">
        <v>42413</v>
      </c>
      <c r="E14" s="479">
        <v>0.68541666666666667</v>
      </c>
      <c r="F14" s="484" t="s">
        <v>18</v>
      </c>
      <c r="G14" s="485" t="s">
        <v>63</v>
      </c>
      <c r="H14" s="481" t="s">
        <v>2839</v>
      </c>
      <c r="I14" s="481" t="s">
        <v>2840</v>
      </c>
      <c r="J14" s="481">
        <v>7</v>
      </c>
      <c r="K14" s="486">
        <v>4300</v>
      </c>
    </row>
    <row r="15" spans="1:11" ht="57" thickBot="1">
      <c r="A15" s="477" t="s">
        <v>17</v>
      </c>
      <c r="B15" s="471">
        <v>42416</v>
      </c>
      <c r="C15" s="479">
        <v>0.3576388888888889</v>
      </c>
      <c r="D15" s="478">
        <v>42416</v>
      </c>
      <c r="E15" s="479">
        <v>0.72777777777777775</v>
      </c>
      <c r="F15" s="484" t="s">
        <v>2841</v>
      </c>
      <c r="G15" s="485" t="s">
        <v>826</v>
      </c>
      <c r="H15" s="481" t="s">
        <v>2753</v>
      </c>
      <c r="I15" s="481" t="s">
        <v>2828</v>
      </c>
      <c r="J15" s="481" t="s">
        <v>45</v>
      </c>
      <c r="K15" s="486">
        <v>52640</v>
      </c>
    </row>
    <row r="16" spans="1:11" ht="34.5" thickBot="1">
      <c r="A16" s="477" t="s">
        <v>17</v>
      </c>
      <c r="B16" s="471">
        <v>42419</v>
      </c>
      <c r="C16" s="479">
        <v>0.91666666666666663</v>
      </c>
      <c r="D16" s="478">
        <v>42420</v>
      </c>
      <c r="E16" s="479">
        <v>0.96736111111111101</v>
      </c>
      <c r="F16" s="484" t="s">
        <v>1833</v>
      </c>
      <c r="G16" s="485" t="s">
        <v>826</v>
      </c>
      <c r="H16" s="481" t="s">
        <v>2753</v>
      </c>
      <c r="I16" s="481" t="s">
        <v>2828</v>
      </c>
      <c r="J16" s="481" t="s">
        <v>45</v>
      </c>
      <c r="K16" s="486">
        <v>145314</v>
      </c>
    </row>
    <row r="17" spans="1:11" ht="15" thickBot="1">
      <c r="A17" s="477" t="s">
        <v>17</v>
      </c>
      <c r="B17" s="471">
        <v>42421</v>
      </c>
      <c r="C17" s="479">
        <v>0.66249999999999998</v>
      </c>
      <c r="D17" s="478">
        <v>42421</v>
      </c>
      <c r="E17" s="479">
        <v>0.71319444444444446</v>
      </c>
      <c r="F17" s="484" t="s">
        <v>2837</v>
      </c>
      <c r="G17" s="485" t="s">
        <v>124</v>
      </c>
      <c r="H17" s="481" t="s">
        <v>2150</v>
      </c>
      <c r="I17" s="481" t="s">
        <v>2343</v>
      </c>
      <c r="J17" s="481">
        <v>0</v>
      </c>
      <c r="K17" s="486">
        <v>0</v>
      </c>
    </row>
    <row r="18" spans="1:11" ht="34.5" thickBot="1">
      <c r="A18" s="477" t="s">
        <v>17</v>
      </c>
      <c r="B18" s="471">
        <v>42424</v>
      </c>
      <c r="C18" s="479">
        <v>0.61458333333333337</v>
      </c>
      <c r="D18" s="478">
        <v>42425</v>
      </c>
      <c r="E18" s="479">
        <v>0.20833333333333334</v>
      </c>
      <c r="F18" s="484" t="s">
        <v>2842</v>
      </c>
      <c r="G18" s="485" t="s">
        <v>63</v>
      </c>
      <c r="H18" s="481" t="s">
        <v>2753</v>
      </c>
      <c r="I18" s="481" t="s">
        <v>2828</v>
      </c>
      <c r="J18" s="481">
        <v>400</v>
      </c>
      <c r="K18" s="486">
        <v>284610</v>
      </c>
    </row>
    <row r="19" spans="1:11" ht="15" thickBot="1">
      <c r="A19" s="477" t="s">
        <v>17</v>
      </c>
      <c r="B19" s="471">
        <v>42424</v>
      </c>
      <c r="C19" s="479">
        <v>0.38194444444444442</v>
      </c>
      <c r="D19" s="478">
        <v>42424</v>
      </c>
      <c r="E19" s="479">
        <v>0.42708333333333331</v>
      </c>
      <c r="F19" s="484" t="s">
        <v>2646</v>
      </c>
      <c r="G19" s="485" t="s">
        <v>826</v>
      </c>
      <c r="H19" s="481" t="s">
        <v>2150</v>
      </c>
      <c r="I19" s="481" t="s">
        <v>100</v>
      </c>
      <c r="J19" s="481">
        <v>0</v>
      </c>
      <c r="K19" s="486">
        <v>0</v>
      </c>
    </row>
    <row r="20" spans="1:11" ht="34.5" thickBot="1">
      <c r="A20" s="477" t="s">
        <v>17</v>
      </c>
      <c r="B20" s="471">
        <v>42425</v>
      </c>
      <c r="C20" s="479">
        <v>7.2222222222222229E-2</v>
      </c>
      <c r="D20" s="478">
        <v>42425</v>
      </c>
      <c r="E20" s="479">
        <v>0.61458333333333337</v>
      </c>
      <c r="F20" s="484" t="s">
        <v>2843</v>
      </c>
      <c r="G20" s="485" t="s">
        <v>61</v>
      </c>
      <c r="H20" s="481" t="s">
        <v>2753</v>
      </c>
      <c r="I20" s="481" t="s">
        <v>2828</v>
      </c>
      <c r="J20" s="481" t="s">
        <v>45</v>
      </c>
      <c r="K20" s="486">
        <v>114190</v>
      </c>
    </row>
    <row r="21" spans="1:11" ht="23.25" thickBot="1">
      <c r="A21" s="477" t="s">
        <v>17</v>
      </c>
      <c r="B21" s="471">
        <v>42426</v>
      </c>
      <c r="C21" s="479">
        <v>0.69097222222222221</v>
      </c>
      <c r="D21" s="478">
        <v>42426</v>
      </c>
      <c r="E21" s="479">
        <v>0.84861111111111109</v>
      </c>
      <c r="F21" s="484" t="s">
        <v>2844</v>
      </c>
      <c r="G21" s="485" t="s">
        <v>124</v>
      </c>
      <c r="H21" s="481" t="s">
        <v>2150</v>
      </c>
      <c r="I21" s="481" t="s">
        <v>2845</v>
      </c>
      <c r="J21" s="481">
        <v>2</v>
      </c>
      <c r="K21" s="486">
        <v>2713</v>
      </c>
    </row>
    <row r="22" spans="1:11" ht="34.5" thickBot="1">
      <c r="A22" s="477" t="s">
        <v>17</v>
      </c>
      <c r="B22" s="471">
        <v>42426</v>
      </c>
      <c r="C22" s="479">
        <v>6.9444444444444447E-4</v>
      </c>
      <c r="D22" s="481" t="s">
        <v>45</v>
      </c>
      <c r="E22" s="481" t="s">
        <v>45</v>
      </c>
      <c r="F22" s="484" t="s">
        <v>2846</v>
      </c>
      <c r="G22" s="485" t="s">
        <v>124</v>
      </c>
      <c r="H22" s="481" t="s">
        <v>2780</v>
      </c>
      <c r="I22" s="481" t="s">
        <v>1138</v>
      </c>
      <c r="J22" s="481">
        <v>0</v>
      </c>
      <c r="K22" s="486">
        <v>0</v>
      </c>
    </row>
    <row r="23" spans="1:11" ht="15" thickBot="1">
      <c r="A23" s="477" t="s">
        <v>20</v>
      </c>
      <c r="B23" s="471">
        <v>42430</v>
      </c>
      <c r="C23" s="479">
        <v>0.56597222222222221</v>
      </c>
      <c r="D23" s="481" t="s">
        <v>45</v>
      </c>
      <c r="E23" s="481" t="s">
        <v>45</v>
      </c>
      <c r="F23" s="487" t="s">
        <v>2847</v>
      </c>
      <c r="G23" s="485" t="s">
        <v>124</v>
      </c>
      <c r="H23" s="481" t="s">
        <v>2150</v>
      </c>
      <c r="I23" s="481" t="s">
        <v>100</v>
      </c>
      <c r="J23" s="481">
        <v>0</v>
      </c>
      <c r="K23" s="486">
        <v>0</v>
      </c>
    </row>
    <row r="24" spans="1:11" ht="34.5" thickBot="1">
      <c r="A24" s="477" t="s">
        <v>20</v>
      </c>
      <c r="B24" s="471">
        <v>42430</v>
      </c>
      <c r="C24" s="479">
        <v>0.625</v>
      </c>
      <c r="D24" s="481" t="s">
        <v>45</v>
      </c>
      <c r="E24" s="481" t="s">
        <v>45</v>
      </c>
      <c r="F24" s="487" t="s">
        <v>2848</v>
      </c>
      <c r="G24" s="485" t="s">
        <v>124</v>
      </c>
      <c r="H24" s="485" t="s">
        <v>2753</v>
      </c>
      <c r="I24" s="481" t="s">
        <v>2828</v>
      </c>
      <c r="J24" s="481" t="s">
        <v>45</v>
      </c>
      <c r="K24" s="486">
        <v>56000</v>
      </c>
    </row>
    <row r="25" spans="1:11" ht="34.5" thickBot="1">
      <c r="A25" s="477" t="s">
        <v>20</v>
      </c>
      <c r="B25" s="471">
        <v>42432</v>
      </c>
      <c r="C25" s="479">
        <v>0.45833333333333331</v>
      </c>
      <c r="D25" s="478">
        <v>42466</v>
      </c>
      <c r="E25" s="479">
        <v>0.82430555555555562</v>
      </c>
      <c r="F25" s="484" t="s">
        <v>2849</v>
      </c>
      <c r="G25" s="485" t="s">
        <v>124</v>
      </c>
      <c r="H25" s="488" t="s">
        <v>2780</v>
      </c>
      <c r="I25" s="481" t="s">
        <v>1138</v>
      </c>
      <c r="J25" s="481">
        <v>0</v>
      </c>
      <c r="K25" s="486">
        <v>0</v>
      </c>
    </row>
    <row r="26" spans="1:11" s="412" customFormat="1" ht="12" thickBot="1">
      <c r="A26" s="477" t="s">
        <v>20</v>
      </c>
      <c r="B26" s="471">
        <v>42437</v>
      </c>
      <c r="C26" s="479">
        <v>0</v>
      </c>
      <c r="D26" s="478">
        <v>42437</v>
      </c>
      <c r="E26" s="479">
        <v>0</v>
      </c>
      <c r="F26" s="484" t="s">
        <v>2850</v>
      </c>
      <c r="G26" s="485" t="s">
        <v>124</v>
      </c>
      <c r="H26" s="481" t="s">
        <v>2150</v>
      </c>
      <c r="I26" s="481" t="s">
        <v>2343</v>
      </c>
      <c r="J26" s="481">
        <v>0</v>
      </c>
      <c r="K26" s="486">
        <v>0</v>
      </c>
    </row>
    <row r="27" spans="1:11" s="412" customFormat="1" ht="45.75" thickBot="1">
      <c r="A27" s="477" t="s">
        <v>20</v>
      </c>
      <c r="B27" s="471">
        <v>42439</v>
      </c>
      <c r="C27" s="479">
        <v>0.16666666666666666</v>
      </c>
      <c r="D27" s="478">
        <v>42440</v>
      </c>
      <c r="E27" s="479">
        <v>0.4993055555555555</v>
      </c>
      <c r="F27" s="484" t="s">
        <v>2851</v>
      </c>
      <c r="G27" s="485" t="s">
        <v>124</v>
      </c>
      <c r="H27" s="481" t="s">
        <v>2150</v>
      </c>
      <c r="I27" s="481" t="s">
        <v>2343</v>
      </c>
      <c r="J27" s="481">
        <v>0</v>
      </c>
      <c r="K27" s="486">
        <v>0</v>
      </c>
    </row>
    <row r="28" spans="1:11" s="412" customFormat="1" ht="57" thickBot="1">
      <c r="A28" s="477" t="s">
        <v>20</v>
      </c>
      <c r="B28" s="471">
        <v>42442</v>
      </c>
      <c r="C28" s="479">
        <v>0.58333333333333337</v>
      </c>
      <c r="D28" s="481" t="s">
        <v>45</v>
      </c>
      <c r="E28" s="481" t="s">
        <v>45</v>
      </c>
      <c r="F28" s="484" t="s">
        <v>2852</v>
      </c>
      <c r="G28" s="485" t="s">
        <v>124</v>
      </c>
      <c r="H28" s="481" t="s">
        <v>2150</v>
      </c>
      <c r="I28" s="481" t="s">
        <v>2343</v>
      </c>
      <c r="J28" s="481">
        <v>0</v>
      </c>
      <c r="K28" s="486">
        <v>0</v>
      </c>
    </row>
    <row r="29" spans="1:11" s="412" customFormat="1" ht="12" thickBot="1">
      <c r="A29" s="477" t="s">
        <v>20</v>
      </c>
      <c r="B29" s="471">
        <v>42442</v>
      </c>
      <c r="C29" s="479">
        <v>0.70486111111111116</v>
      </c>
      <c r="D29" s="481" t="s">
        <v>45</v>
      </c>
      <c r="E29" s="481" t="s">
        <v>45</v>
      </c>
      <c r="F29" s="484" t="s">
        <v>2853</v>
      </c>
      <c r="G29" s="485" t="s">
        <v>124</v>
      </c>
      <c r="H29" s="481" t="s">
        <v>2150</v>
      </c>
      <c r="I29" s="481" t="s">
        <v>100</v>
      </c>
      <c r="J29" s="481">
        <v>0</v>
      </c>
      <c r="K29" s="486">
        <v>0</v>
      </c>
    </row>
    <row r="30" spans="1:11" s="412" customFormat="1" ht="34.5" thickBot="1">
      <c r="A30" s="477" t="s">
        <v>20</v>
      </c>
      <c r="B30" s="471">
        <v>42452</v>
      </c>
      <c r="C30" s="479">
        <v>0.20833333333333334</v>
      </c>
      <c r="D30" s="478">
        <v>42454</v>
      </c>
      <c r="E30" s="479">
        <v>0.99930555555555556</v>
      </c>
      <c r="F30" s="484" t="s">
        <v>2854</v>
      </c>
      <c r="G30" s="485" t="s">
        <v>124</v>
      </c>
      <c r="H30" s="481" t="s">
        <v>2753</v>
      </c>
      <c r="I30" s="481" t="s">
        <v>2828</v>
      </c>
      <c r="J30" s="481">
        <v>0</v>
      </c>
      <c r="K30" s="486">
        <v>0</v>
      </c>
    </row>
    <row r="31" spans="1:11" s="412" customFormat="1" ht="12" thickBot="1">
      <c r="A31" s="477" t="s">
        <v>20</v>
      </c>
      <c r="B31" s="471">
        <v>42456</v>
      </c>
      <c r="C31" s="479">
        <v>0.5</v>
      </c>
      <c r="D31" s="478">
        <v>42456</v>
      </c>
      <c r="E31" s="479">
        <v>0.54166666666666663</v>
      </c>
      <c r="F31" s="484" t="s">
        <v>2817</v>
      </c>
      <c r="G31" s="485" t="s">
        <v>124</v>
      </c>
      <c r="H31" s="481" t="s">
        <v>2150</v>
      </c>
      <c r="I31" s="481" t="s">
        <v>2343</v>
      </c>
      <c r="J31" s="481" t="s">
        <v>45</v>
      </c>
      <c r="K31" s="486">
        <v>110000</v>
      </c>
    </row>
    <row r="32" spans="1:11" s="412" customFormat="1" ht="23.25" thickBot="1">
      <c r="A32" s="477" t="s">
        <v>20</v>
      </c>
      <c r="B32" s="471">
        <v>42459</v>
      </c>
      <c r="C32" s="479">
        <v>0.8833333333333333</v>
      </c>
      <c r="D32" s="478">
        <v>42460</v>
      </c>
      <c r="E32" s="479">
        <v>0.625</v>
      </c>
      <c r="F32" s="484" t="s">
        <v>2855</v>
      </c>
      <c r="G32" s="485" t="s">
        <v>61</v>
      </c>
      <c r="H32" s="481" t="s">
        <v>2150</v>
      </c>
      <c r="I32" s="481" t="s">
        <v>2343</v>
      </c>
      <c r="J32" s="481">
        <v>200</v>
      </c>
      <c r="K32" s="486">
        <v>50500</v>
      </c>
    </row>
    <row r="33" spans="1:12" s="412" customFormat="1" ht="12" thickBot="1">
      <c r="A33" s="477" t="s">
        <v>23</v>
      </c>
      <c r="B33" s="471">
        <v>42461</v>
      </c>
      <c r="C33" s="479">
        <v>0.69236111111111109</v>
      </c>
      <c r="D33" s="478">
        <v>42461</v>
      </c>
      <c r="E33" s="479">
        <v>0.75</v>
      </c>
      <c r="F33" s="480" t="s">
        <v>2856</v>
      </c>
      <c r="G33" s="485" t="s">
        <v>301</v>
      </c>
      <c r="H33" s="481" t="s">
        <v>2150</v>
      </c>
      <c r="I33" s="481" t="s">
        <v>2343</v>
      </c>
      <c r="J33" s="489">
        <v>0</v>
      </c>
      <c r="K33" s="490">
        <v>0</v>
      </c>
    </row>
    <row r="34" spans="1:12" s="438" customFormat="1" ht="45.75" thickBot="1">
      <c r="A34" s="477" t="s">
        <v>23</v>
      </c>
      <c r="B34" s="471">
        <v>42462</v>
      </c>
      <c r="C34" s="479">
        <v>0.46388888888888885</v>
      </c>
      <c r="D34" s="478">
        <v>42462</v>
      </c>
      <c r="E34" s="479">
        <v>0.48125000000000001</v>
      </c>
      <c r="F34" s="480" t="s">
        <v>18</v>
      </c>
      <c r="G34" s="485" t="s">
        <v>124</v>
      </c>
      <c r="H34" s="481" t="s">
        <v>2769</v>
      </c>
      <c r="I34" s="481" t="s">
        <v>2764</v>
      </c>
      <c r="J34" s="489">
        <v>360</v>
      </c>
      <c r="K34" s="490">
        <v>0</v>
      </c>
      <c r="L34" s="412"/>
    </row>
    <row r="35" spans="1:12" s="438" customFormat="1" ht="23.25" thickBot="1">
      <c r="A35" s="477" t="s">
        <v>23</v>
      </c>
      <c r="B35" s="471">
        <v>42472</v>
      </c>
      <c r="C35" s="479">
        <v>0.47916666666666669</v>
      </c>
      <c r="D35" s="478">
        <v>42472</v>
      </c>
      <c r="E35" s="479">
        <v>0.69652777777777775</v>
      </c>
      <c r="F35" s="480" t="s">
        <v>2857</v>
      </c>
      <c r="G35" s="485" t="s">
        <v>124</v>
      </c>
      <c r="H35" s="481" t="s">
        <v>2139</v>
      </c>
      <c r="I35" s="481" t="s">
        <v>2836</v>
      </c>
      <c r="J35" s="489">
        <v>0</v>
      </c>
      <c r="K35" s="490">
        <v>0</v>
      </c>
      <c r="L35" s="412"/>
    </row>
    <row r="36" spans="1:12" s="438" customFormat="1" ht="12" thickBot="1">
      <c r="A36" s="477" t="s">
        <v>23</v>
      </c>
      <c r="B36" s="471">
        <v>42474</v>
      </c>
      <c r="C36" s="479">
        <v>0.7006944444444444</v>
      </c>
      <c r="D36" s="478">
        <v>42475</v>
      </c>
      <c r="E36" s="479">
        <v>0.86249999999999993</v>
      </c>
      <c r="F36" s="480" t="s">
        <v>2858</v>
      </c>
      <c r="G36" s="485" t="s">
        <v>826</v>
      </c>
      <c r="H36" s="481" t="s">
        <v>2150</v>
      </c>
      <c r="I36" s="481" t="s">
        <v>2343</v>
      </c>
      <c r="J36" s="489">
        <v>0</v>
      </c>
      <c r="K36" s="490">
        <v>0</v>
      </c>
    </row>
    <row r="37" spans="1:12" s="438" customFormat="1" ht="12" thickBot="1">
      <c r="A37" s="477" t="s">
        <v>23</v>
      </c>
      <c r="B37" s="471">
        <v>42475</v>
      </c>
      <c r="C37" s="479">
        <v>0.41666666666666669</v>
      </c>
      <c r="D37" s="478">
        <v>42475</v>
      </c>
      <c r="E37" s="479">
        <v>0.45833333333333331</v>
      </c>
      <c r="F37" s="480" t="s">
        <v>2859</v>
      </c>
      <c r="G37" s="485" t="s">
        <v>124</v>
      </c>
      <c r="H37" s="481" t="s">
        <v>2150</v>
      </c>
      <c r="I37" s="481" t="s">
        <v>100</v>
      </c>
      <c r="J37" s="489">
        <v>0</v>
      </c>
      <c r="K37" s="490">
        <v>0</v>
      </c>
    </row>
    <row r="38" spans="1:12" s="438" customFormat="1" ht="34.5" thickBot="1">
      <c r="A38" s="477" t="s">
        <v>23</v>
      </c>
      <c r="B38" s="471">
        <v>42478</v>
      </c>
      <c r="C38" s="479">
        <v>0.21180555555555555</v>
      </c>
      <c r="D38" s="478">
        <v>42480</v>
      </c>
      <c r="E38" s="479">
        <v>0.3298611111111111</v>
      </c>
      <c r="F38" s="484" t="s">
        <v>2860</v>
      </c>
      <c r="G38" s="491" t="s">
        <v>1352</v>
      </c>
      <c r="H38" s="481" t="s">
        <v>2753</v>
      </c>
      <c r="I38" s="481" t="s">
        <v>2828</v>
      </c>
      <c r="J38" s="489" t="s">
        <v>45</v>
      </c>
      <c r="K38" s="490">
        <v>415103</v>
      </c>
    </row>
    <row r="39" spans="1:12" s="438" customFormat="1" ht="12" thickBot="1">
      <c r="A39" s="477" t="s">
        <v>23</v>
      </c>
      <c r="B39" s="471">
        <v>42487</v>
      </c>
      <c r="C39" s="479">
        <v>0.56666666666666665</v>
      </c>
      <c r="D39" s="481" t="s">
        <v>45</v>
      </c>
      <c r="E39" s="479" t="s">
        <v>45</v>
      </c>
      <c r="F39" s="484" t="s">
        <v>2650</v>
      </c>
      <c r="G39" s="491" t="s">
        <v>63</v>
      </c>
      <c r="H39" s="481" t="s">
        <v>2150</v>
      </c>
      <c r="I39" s="481" t="s">
        <v>100</v>
      </c>
      <c r="J39" s="489">
        <v>0</v>
      </c>
      <c r="K39" s="490">
        <v>0</v>
      </c>
    </row>
    <row r="40" spans="1:12" s="438" customFormat="1" ht="34.5" thickBot="1">
      <c r="A40" s="477" t="s">
        <v>23</v>
      </c>
      <c r="B40" s="471">
        <v>42487</v>
      </c>
      <c r="C40" s="479">
        <v>0.24305555555555555</v>
      </c>
      <c r="D40" s="478">
        <v>42488</v>
      </c>
      <c r="E40" s="479">
        <v>6.5972222222222224E-2</v>
      </c>
      <c r="F40" s="484" t="s">
        <v>2860</v>
      </c>
      <c r="G40" s="491" t="s">
        <v>1352</v>
      </c>
      <c r="H40" s="481" t="s">
        <v>2753</v>
      </c>
      <c r="I40" s="481" t="s">
        <v>2828</v>
      </c>
      <c r="J40" s="489" t="s">
        <v>45</v>
      </c>
      <c r="K40" s="490">
        <v>214864</v>
      </c>
    </row>
    <row r="41" spans="1:12" s="438" customFormat="1" ht="12" thickBot="1">
      <c r="A41" s="477" t="s">
        <v>23</v>
      </c>
      <c r="B41" s="471">
        <v>42487</v>
      </c>
      <c r="C41" s="479">
        <v>0.75</v>
      </c>
      <c r="D41" s="478">
        <v>42487</v>
      </c>
      <c r="E41" s="479">
        <v>0.75347222222222221</v>
      </c>
      <c r="F41" s="484" t="s">
        <v>2861</v>
      </c>
      <c r="G41" s="491" t="s">
        <v>1352</v>
      </c>
      <c r="H41" s="481" t="s">
        <v>2150</v>
      </c>
      <c r="I41" s="481" t="s">
        <v>2343</v>
      </c>
      <c r="J41" s="489">
        <v>0</v>
      </c>
      <c r="K41" s="490">
        <v>0</v>
      </c>
    </row>
    <row r="42" spans="1:12" s="438" customFormat="1" ht="23.25" thickBot="1">
      <c r="A42" s="477" t="s">
        <v>103</v>
      </c>
      <c r="B42" s="471">
        <v>42497</v>
      </c>
      <c r="C42" s="479">
        <v>0.32569444444444445</v>
      </c>
      <c r="D42" s="478">
        <v>42497</v>
      </c>
      <c r="E42" s="479">
        <v>0.37638888888888888</v>
      </c>
      <c r="F42" s="484" t="s">
        <v>2802</v>
      </c>
      <c r="G42" s="492" t="s">
        <v>61</v>
      </c>
      <c r="H42" s="481" t="s">
        <v>2150</v>
      </c>
      <c r="I42" s="481" t="s">
        <v>2343</v>
      </c>
      <c r="J42" s="481">
        <v>0</v>
      </c>
      <c r="K42" s="486">
        <v>0</v>
      </c>
    </row>
    <row r="43" spans="1:12" s="438" customFormat="1" ht="68.25" thickBot="1">
      <c r="A43" s="477" t="s">
        <v>103</v>
      </c>
      <c r="B43" s="471">
        <v>42498</v>
      </c>
      <c r="C43" s="479">
        <v>0.3833333333333333</v>
      </c>
      <c r="D43" s="481" t="s">
        <v>2768</v>
      </c>
      <c r="E43" s="481" t="s">
        <v>2768</v>
      </c>
      <c r="F43" s="484" t="s">
        <v>2862</v>
      </c>
      <c r="G43" s="492" t="s">
        <v>124</v>
      </c>
      <c r="H43" s="481" t="s">
        <v>2839</v>
      </c>
      <c r="I43" s="481" t="s">
        <v>2840</v>
      </c>
      <c r="J43" s="481" t="s">
        <v>45</v>
      </c>
      <c r="K43" s="486" t="s">
        <v>45</v>
      </c>
    </row>
    <row r="44" spans="1:12" s="438" customFormat="1" ht="34.5" thickBot="1">
      <c r="A44" s="477" t="s">
        <v>103</v>
      </c>
      <c r="B44" s="471">
        <v>42500</v>
      </c>
      <c r="C44" s="479">
        <v>0.86458333333333337</v>
      </c>
      <c r="D44" s="478">
        <v>42503</v>
      </c>
      <c r="E44" s="479">
        <v>0.125</v>
      </c>
      <c r="F44" s="484" t="s">
        <v>2863</v>
      </c>
      <c r="G44" s="492" t="s">
        <v>1352</v>
      </c>
      <c r="H44" s="481" t="s">
        <v>2753</v>
      </c>
      <c r="I44" s="481" t="s">
        <v>2490</v>
      </c>
      <c r="J44" s="481" t="s">
        <v>45</v>
      </c>
      <c r="K44" s="486">
        <v>85000</v>
      </c>
    </row>
    <row r="45" spans="1:12" s="412" customFormat="1" ht="23.25" customHeight="1" thickBot="1">
      <c r="A45" s="477" t="s">
        <v>103</v>
      </c>
      <c r="B45" s="471">
        <v>42504</v>
      </c>
      <c r="C45" s="479">
        <v>0.89236111111111116</v>
      </c>
      <c r="D45" s="478">
        <v>42505</v>
      </c>
      <c r="E45" s="479">
        <v>0.72499999999999998</v>
      </c>
      <c r="F45" s="484" t="s">
        <v>2864</v>
      </c>
      <c r="G45" s="492" t="s">
        <v>63</v>
      </c>
      <c r="H45" s="481" t="s">
        <v>2150</v>
      </c>
      <c r="I45" s="481" t="s">
        <v>2343</v>
      </c>
      <c r="J45" s="481">
        <v>0</v>
      </c>
      <c r="K45" s="486">
        <v>0</v>
      </c>
    </row>
    <row r="46" spans="1:12" s="412" customFormat="1" ht="44.25" customHeight="1" thickBot="1">
      <c r="A46" s="477" t="s">
        <v>103</v>
      </c>
      <c r="B46" s="471">
        <v>42509</v>
      </c>
      <c r="C46" s="479">
        <v>0.9</v>
      </c>
      <c r="D46" s="478">
        <v>42510</v>
      </c>
      <c r="E46" s="479">
        <v>4.1666666666666664E-2</v>
      </c>
      <c r="F46" s="484" t="s">
        <v>2865</v>
      </c>
      <c r="G46" s="492" t="s">
        <v>124</v>
      </c>
      <c r="H46" s="481" t="s">
        <v>2769</v>
      </c>
      <c r="I46" s="481" t="s">
        <v>2764</v>
      </c>
      <c r="J46" s="481">
        <v>461</v>
      </c>
      <c r="K46" s="486">
        <v>85179</v>
      </c>
    </row>
    <row r="47" spans="1:12" s="412" customFormat="1" ht="34.5" thickBot="1">
      <c r="A47" s="477" t="s">
        <v>103</v>
      </c>
      <c r="B47" s="471">
        <v>42510</v>
      </c>
      <c r="C47" s="479">
        <v>0</v>
      </c>
      <c r="D47" s="478">
        <v>42512</v>
      </c>
      <c r="E47" s="479">
        <v>0.20833333333333334</v>
      </c>
      <c r="F47" s="484" t="s">
        <v>2866</v>
      </c>
      <c r="G47" s="492" t="s">
        <v>63</v>
      </c>
      <c r="H47" s="481" t="s">
        <v>2753</v>
      </c>
      <c r="I47" s="481" t="s">
        <v>2867</v>
      </c>
      <c r="J47" s="481" t="s">
        <v>45</v>
      </c>
      <c r="K47" s="486">
        <v>85000</v>
      </c>
    </row>
    <row r="48" spans="1:12" s="412" customFormat="1" ht="34.5" thickBot="1">
      <c r="A48" s="477" t="s">
        <v>103</v>
      </c>
      <c r="B48" s="471">
        <v>42510</v>
      </c>
      <c r="C48" s="479">
        <v>5.2083333333333336E-2</v>
      </c>
      <c r="D48" s="481" t="s">
        <v>2768</v>
      </c>
      <c r="E48" s="481" t="s">
        <v>2768</v>
      </c>
      <c r="F48" s="484" t="s">
        <v>2866</v>
      </c>
      <c r="G48" s="492" t="s">
        <v>63</v>
      </c>
      <c r="H48" s="481" t="s">
        <v>2753</v>
      </c>
      <c r="I48" s="481" t="s">
        <v>2828</v>
      </c>
      <c r="J48" s="481" t="s">
        <v>45</v>
      </c>
      <c r="K48" s="486">
        <v>57184</v>
      </c>
    </row>
    <row r="49" spans="1:11" s="412" customFormat="1" ht="12" thickBot="1">
      <c r="A49" s="477" t="s">
        <v>103</v>
      </c>
      <c r="B49" s="471">
        <v>42514</v>
      </c>
      <c r="C49" s="479">
        <v>0.33333333333333331</v>
      </c>
      <c r="D49" s="481" t="s">
        <v>2768</v>
      </c>
      <c r="E49" s="481" t="s">
        <v>2768</v>
      </c>
      <c r="F49" s="484" t="s">
        <v>2864</v>
      </c>
      <c r="G49" s="492" t="s">
        <v>63</v>
      </c>
      <c r="H49" s="481" t="s">
        <v>2150</v>
      </c>
      <c r="I49" s="481" t="s">
        <v>100</v>
      </c>
      <c r="J49" s="481">
        <v>0</v>
      </c>
      <c r="K49" s="486">
        <v>0</v>
      </c>
    </row>
    <row r="50" spans="1:11" s="412" customFormat="1" ht="34.5" thickBot="1">
      <c r="A50" s="477" t="s">
        <v>103</v>
      </c>
      <c r="B50" s="471">
        <v>42516</v>
      </c>
      <c r="C50" s="479">
        <v>0.89513888888888893</v>
      </c>
      <c r="D50" s="478">
        <v>42517</v>
      </c>
      <c r="E50" s="479">
        <v>2.7777777777777776E-2</v>
      </c>
      <c r="F50" s="484" t="s">
        <v>2868</v>
      </c>
      <c r="G50" s="492" t="s">
        <v>61</v>
      </c>
      <c r="H50" s="481" t="s">
        <v>2753</v>
      </c>
      <c r="I50" s="481" t="s">
        <v>2483</v>
      </c>
      <c r="J50" s="481">
        <v>82</v>
      </c>
      <c r="K50" s="486">
        <v>56645</v>
      </c>
    </row>
    <row r="51" spans="1:11" s="412" customFormat="1" ht="34.5" thickBot="1">
      <c r="A51" s="477" t="s">
        <v>103</v>
      </c>
      <c r="B51" s="471">
        <v>42521</v>
      </c>
      <c r="C51" s="479">
        <v>0.3125</v>
      </c>
      <c r="D51" s="478">
        <v>42534</v>
      </c>
      <c r="E51" s="479">
        <v>0.31041666666666667</v>
      </c>
      <c r="F51" s="484" t="s">
        <v>2869</v>
      </c>
      <c r="G51" s="491" t="s">
        <v>61</v>
      </c>
      <c r="H51" s="481" t="s">
        <v>2780</v>
      </c>
      <c r="I51" s="481" t="s">
        <v>1138</v>
      </c>
      <c r="J51" s="481">
        <v>150</v>
      </c>
      <c r="K51" s="486" t="s">
        <v>45</v>
      </c>
    </row>
    <row r="52" spans="1:11" s="412" customFormat="1" ht="12" thickBot="1">
      <c r="A52" s="477" t="s">
        <v>123</v>
      </c>
      <c r="B52" s="471">
        <v>42528</v>
      </c>
      <c r="C52" s="479">
        <v>0.5</v>
      </c>
      <c r="D52" s="478">
        <v>42528</v>
      </c>
      <c r="E52" s="479">
        <v>0.51041666666666663</v>
      </c>
      <c r="F52" s="484" t="s">
        <v>1320</v>
      </c>
      <c r="G52" s="484" t="s">
        <v>124</v>
      </c>
      <c r="H52" s="481" t="s">
        <v>2150</v>
      </c>
      <c r="I52" s="481" t="s">
        <v>2870</v>
      </c>
      <c r="J52" s="481">
        <v>0</v>
      </c>
      <c r="K52" s="486">
        <v>0</v>
      </c>
    </row>
    <row r="53" spans="1:11" s="412" customFormat="1" ht="12" thickBot="1">
      <c r="A53" s="477" t="s">
        <v>123</v>
      </c>
      <c r="B53" s="471">
        <v>42535</v>
      </c>
      <c r="C53" s="479">
        <v>0.33263888888888887</v>
      </c>
      <c r="D53" s="478">
        <v>42535</v>
      </c>
      <c r="E53" s="479">
        <v>0.33333333333333331</v>
      </c>
      <c r="F53" s="484" t="s">
        <v>2288</v>
      </c>
      <c r="G53" s="484" t="s">
        <v>826</v>
      </c>
      <c r="H53" s="481" t="s">
        <v>2150</v>
      </c>
      <c r="I53" s="481" t="s">
        <v>100</v>
      </c>
      <c r="J53" s="481">
        <v>0</v>
      </c>
      <c r="K53" s="486">
        <v>0</v>
      </c>
    </row>
    <row r="54" spans="1:11" s="412" customFormat="1" ht="34.5" thickBot="1">
      <c r="A54" s="477" t="s">
        <v>123</v>
      </c>
      <c r="B54" s="471">
        <v>42538</v>
      </c>
      <c r="C54" s="479">
        <v>0.65277777777777779</v>
      </c>
      <c r="D54" s="478">
        <v>42539</v>
      </c>
      <c r="E54" s="479">
        <v>0.35694444444444445</v>
      </c>
      <c r="F54" s="484" t="s">
        <v>2871</v>
      </c>
      <c r="G54" s="484" t="s">
        <v>63</v>
      </c>
      <c r="H54" s="481" t="s">
        <v>2753</v>
      </c>
      <c r="I54" s="481" t="s">
        <v>2828</v>
      </c>
      <c r="J54" s="481">
        <v>304</v>
      </c>
      <c r="K54" s="486">
        <v>91260</v>
      </c>
    </row>
    <row r="55" spans="1:11" ht="15" thickBot="1">
      <c r="A55" s="477" t="s">
        <v>123</v>
      </c>
      <c r="B55" s="471">
        <v>42538</v>
      </c>
      <c r="C55" s="479">
        <v>0.1875</v>
      </c>
      <c r="D55" s="478">
        <v>42538</v>
      </c>
      <c r="E55" s="479">
        <v>0.18819444444444444</v>
      </c>
      <c r="F55" s="484" t="s">
        <v>2646</v>
      </c>
      <c r="G55" s="484" t="s">
        <v>826</v>
      </c>
      <c r="H55" s="481" t="s">
        <v>2150</v>
      </c>
      <c r="I55" s="481" t="s">
        <v>100</v>
      </c>
      <c r="J55" s="481">
        <v>0</v>
      </c>
      <c r="K55" s="486">
        <v>0</v>
      </c>
    </row>
    <row r="56" spans="1:11" ht="23.25" thickBot="1">
      <c r="A56" s="477" t="s">
        <v>26</v>
      </c>
      <c r="B56" s="471">
        <v>42553</v>
      </c>
      <c r="C56" s="479">
        <v>0.16666666666666666</v>
      </c>
      <c r="D56" s="478">
        <v>42555</v>
      </c>
      <c r="E56" s="479">
        <v>2.7777777777777776E-2</v>
      </c>
      <c r="F56" s="484" t="s">
        <v>2872</v>
      </c>
      <c r="G56" s="493" t="s">
        <v>124</v>
      </c>
      <c r="H56" s="481" t="s">
        <v>2150</v>
      </c>
      <c r="I56" s="481" t="s">
        <v>2873</v>
      </c>
      <c r="J56" s="481">
        <v>0</v>
      </c>
      <c r="K56" s="486">
        <v>0</v>
      </c>
    </row>
    <row r="57" spans="1:11" ht="34.5" thickBot="1">
      <c r="A57" s="477" t="s">
        <v>26</v>
      </c>
      <c r="B57" s="471">
        <v>42556</v>
      </c>
      <c r="C57" s="479">
        <v>0.11458333333333333</v>
      </c>
      <c r="D57" s="478">
        <v>42557</v>
      </c>
      <c r="E57" s="479">
        <v>0.125</v>
      </c>
      <c r="F57" s="484" t="s">
        <v>2874</v>
      </c>
      <c r="G57" s="493" t="s">
        <v>1352</v>
      </c>
      <c r="H57" s="481" t="s">
        <v>2753</v>
      </c>
      <c r="I57" s="481" t="s">
        <v>22</v>
      </c>
      <c r="J57" s="481" t="s">
        <v>45</v>
      </c>
      <c r="K57" s="486">
        <v>52000</v>
      </c>
    </row>
    <row r="58" spans="1:11" ht="34.5" thickBot="1">
      <c r="A58" s="477" t="s">
        <v>26</v>
      </c>
      <c r="B58" s="471">
        <v>42556</v>
      </c>
      <c r="C58" s="479">
        <v>0.72916666666666663</v>
      </c>
      <c r="D58" s="478">
        <v>42557</v>
      </c>
      <c r="E58" s="479">
        <v>0.66666666666666663</v>
      </c>
      <c r="F58" s="484" t="s">
        <v>2875</v>
      </c>
      <c r="G58" s="493" t="s">
        <v>674</v>
      </c>
      <c r="H58" s="481" t="s">
        <v>2753</v>
      </c>
      <c r="I58" s="481" t="s">
        <v>22</v>
      </c>
      <c r="J58" s="481" t="s">
        <v>45</v>
      </c>
      <c r="K58" s="486">
        <v>250000</v>
      </c>
    </row>
    <row r="59" spans="1:11" ht="79.5" thickBot="1">
      <c r="A59" s="477" t="s">
        <v>26</v>
      </c>
      <c r="B59" s="471">
        <v>42558</v>
      </c>
      <c r="C59" s="479">
        <v>0.18055555555555555</v>
      </c>
      <c r="D59" s="478">
        <v>42558</v>
      </c>
      <c r="E59" s="479">
        <v>0.33333333333333331</v>
      </c>
      <c r="F59" s="484" t="s">
        <v>2876</v>
      </c>
      <c r="G59" s="493" t="s">
        <v>63</v>
      </c>
      <c r="H59" s="481" t="s">
        <v>2753</v>
      </c>
      <c r="I59" s="481" t="s">
        <v>22</v>
      </c>
      <c r="J59" s="481" t="s">
        <v>45</v>
      </c>
      <c r="K59" s="486">
        <v>58500</v>
      </c>
    </row>
    <row r="60" spans="1:11" ht="23.25" thickBot="1">
      <c r="A60" s="477" t="s">
        <v>26</v>
      </c>
      <c r="B60" s="471">
        <v>42558</v>
      </c>
      <c r="C60" s="479">
        <v>0.24513888888888888</v>
      </c>
      <c r="D60" s="478">
        <v>42558</v>
      </c>
      <c r="E60" s="479">
        <v>0.3611111111111111</v>
      </c>
      <c r="F60" s="484" t="s">
        <v>2877</v>
      </c>
      <c r="G60" s="493" t="s">
        <v>63</v>
      </c>
      <c r="H60" s="481" t="s">
        <v>2878</v>
      </c>
      <c r="I60" s="481" t="s">
        <v>100</v>
      </c>
      <c r="J60" s="481">
        <v>0</v>
      </c>
      <c r="K60" s="486">
        <v>0</v>
      </c>
    </row>
    <row r="61" spans="1:11" ht="34.5" thickBot="1">
      <c r="A61" s="477" t="s">
        <v>26</v>
      </c>
      <c r="B61" s="471">
        <v>42559</v>
      </c>
      <c r="C61" s="479">
        <v>0.86805555555555547</v>
      </c>
      <c r="D61" s="478">
        <v>42560</v>
      </c>
      <c r="E61" s="479">
        <v>0.80902777777777779</v>
      </c>
      <c r="F61" s="484" t="s">
        <v>2482</v>
      </c>
      <c r="G61" s="493" t="s">
        <v>63</v>
      </c>
      <c r="H61" s="481" t="s">
        <v>2753</v>
      </c>
      <c r="I61" s="481" t="s">
        <v>22</v>
      </c>
      <c r="J61" s="481">
        <v>600</v>
      </c>
      <c r="K61" s="486">
        <v>203345</v>
      </c>
    </row>
    <row r="62" spans="1:11" ht="68.25" thickBot="1">
      <c r="A62" s="477" t="s">
        <v>26</v>
      </c>
      <c r="B62" s="471">
        <v>42559</v>
      </c>
      <c r="C62" s="479">
        <v>0.79166666666666663</v>
      </c>
      <c r="D62" s="478">
        <v>42560</v>
      </c>
      <c r="E62" s="479">
        <v>0</v>
      </c>
      <c r="F62" s="484" t="s">
        <v>2879</v>
      </c>
      <c r="G62" s="493" t="s">
        <v>826</v>
      </c>
      <c r="H62" s="481" t="s">
        <v>2753</v>
      </c>
      <c r="I62" s="481" t="s">
        <v>22</v>
      </c>
      <c r="J62" s="481" t="s">
        <v>45</v>
      </c>
      <c r="K62" s="486">
        <v>160895</v>
      </c>
    </row>
    <row r="63" spans="1:11" ht="34.5" thickBot="1">
      <c r="A63" s="477" t="s">
        <v>26</v>
      </c>
      <c r="B63" s="471">
        <v>42559</v>
      </c>
      <c r="C63" s="479">
        <v>0.75</v>
      </c>
      <c r="D63" s="481" t="s">
        <v>45</v>
      </c>
      <c r="E63" s="479" t="s">
        <v>45</v>
      </c>
      <c r="F63" s="484" t="s">
        <v>2880</v>
      </c>
      <c r="G63" s="493" t="s">
        <v>826</v>
      </c>
      <c r="H63" s="481" t="s">
        <v>2753</v>
      </c>
      <c r="I63" s="481" t="s">
        <v>22</v>
      </c>
      <c r="J63" s="481" t="s">
        <v>45</v>
      </c>
      <c r="K63" s="486">
        <v>62961</v>
      </c>
    </row>
    <row r="64" spans="1:11" ht="34.5" thickBot="1">
      <c r="A64" s="477" t="s">
        <v>26</v>
      </c>
      <c r="B64" s="471">
        <v>42560</v>
      </c>
      <c r="C64" s="479">
        <v>0.73958333333333337</v>
      </c>
      <c r="D64" s="478">
        <v>42562</v>
      </c>
      <c r="E64" s="479">
        <v>0.58333333333333337</v>
      </c>
      <c r="F64" s="484" t="s">
        <v>2881</v>
      </c>
      <c r="G64" s="493" t="s">
        <v>1352</v>
      </c>
      <c r="H64" s="481" t="s">
        <v>2753</v>
      </c>
      <c r="I64" s="481" t="s">
        <v>22</v>
      </c>
      <c r="J64" s="481" t="s">
        <v>45</v>
      </c>
      <c r="K64" s="486">
        <v>62000</v>
      </c>
    </row>
    <row r="65" spans="1:11" ht="15" thickBot="1">
      <c r="A65" s="477" t="s">
        <v>26</v>
      </c>
      <c r="B65" s="471">
        <v>42563</v>
      </c>
      <c r="C65" s="479">
        <v>0.59027777777777779</v>
      </c>
      <c r="D65" s="478">
        <v>42563</v>
      </c>
      <c r="E65" s="479">
        <v>0.85625000000000007</v>
      </c>
      <c r="F65" s="484" t="s">
        <v>2271</v>
      </c>
      <c r="G65" s="493" t="s">
        <v>472</v>
      </c>
      <c r="H65" s="481" t="s">
        <v>619</v>
      </c>
      <c r="I65" s="481" t="s">
        <v>2764</v>
      </c>
      <c r="J65" s="481">
        <v>450</v>
      </c>
      <c r="K65" s="486">
        <v>218000</v>
      </c>
    </row>
    <row r="66" spans="1:11" s="438" customFormat="1" ht="12" thickBot="1">
      <c r="A66" s="477" t="s">
        <v>26</v>
      </c>
      <c r="B66" s="471">
        <v>42564</v>
      </c>
      <c r="C66" s="479">
        <v>0.54166666666666663</v>
      </c>
      <c r="D66" s="478">
        <v>42564</v>
      </c>
      <c r="E66" s="479">
        <v>0.54236111111111118</v>
      </c>
      <c r="F66" s="484" t="s">
        <v>2575</v>
      </c>
      <c r="G66" s="493" t="s">
        <v>124</v>
      </c>
      <c r="H66" s="481" t="s">
        <v>2150</v>
      </c>
      <c r="I66" s="481" t="s">
        <v>100</v>
      </c>
      <c r="J66" s="481">
        <v>0</v>
      </c>
      <c r="K66" s="486">
        <v>0</v>
      </c>
    </row>
    <row r="67" spans="1:11" s="438" customFormat="1" ht="12" thickBot="1">
      <c r="A67" s="477" t="s">
        <v>26</v>
      </c>
      <c r="B67" s="471">
        <v>42564</v>
      </c>
      <c r="C67" s="479">
        <v>0.625</v>
      </c>
      <c r="D67" s="481" t="s">
        <v>45</v>
      </c>
      <c r="E67" s="479" t="s">
        <v>45</v>
      </c>
      <c r="F67" s="484" t="s">
        <v>2882</v>
      </c>
      <c r="G67" s="493" t="s">
        <v>63</v>
      </c>
      <c r="H67" s="481" t="s">
        <v>1152</v>
      </c>
      <c r="I67" s="481" t="s">
        <v>2764</v>
      </c>
      <c r="J67" s="481" t="s">
        <v>45</v>
      </c>
      <c r="K67" s="486" t="s">
        <v>45</v>
      </c>
    </row>
    <row r="68" spans="1:11" s="438" customFormat="1" ht="34.5" thickBot="1">
      <c r="A68" s="477" t="s">
        <v>26</v>
      </c>
      <c r="B68" s="471">
        <v>42565</v>
      </c>
      <c r="C68" s="479">
        <v>0.72916666666666663</v>
      </c>
      <c r="D68" s="478">
        <v>42567</v>
      </c>
      <c r="E68" s="479">
        <v>0.83333333333333337</v>
      </c>
      <c r="F68" s="484" t="s">
        <v>2883</v>
      </c>
      <c r="G68" s="493" t="s">
        <v>58</v>
      </c>
      <c r="H68" s="481" t="s">
        <v>2753</v>
      </c>
      <c r="I68" s="481" t="s">
        <v>22</v>
      </c>
      <c r="J68" s="481" t="s">
        <v>45</v>
      </c>
      <c r="K68" s="486">
        <v>7300</v>
      </c>
    </row>
    <row r="69" spans="1:11" s="438" customFormat="1" ht="34.5" thickBot="1">
      <c r="A69" s="477" t="s">
        <v>26</v>
      </c>
      <c r="B69" s="471">
        <v>42565</v>
      </c>
      <c r="C69" s="479">
        <v>0.6875</v>
      </c>
      <c r="D69" s="478">
        <v>42567</v>
      </c>
      <c r="E69" s="479">
        <v>0</v>
      </c>
      <c r="F69" s="484" t="s">
        <v>2884</v>
      </c>
      <c r="G69" s="484" t="s">
        <v>2885</v>
      </c>
      <c r="H69" s="481" t="s">
        <v>2753</v>
      </c>
      <c r="I69" s="481" t="s">
        <v>22</v>
      </c>
      <c r="J69" s="481" t="s">
        <v>45</v>
      </c>
      <c r="K69" s="486">
        <v>170244</v>
      </c>
    </row>
    <row r="70" spans="1:11" s="438" customFormat="1" ht="34.5" thickBot="1">
      <c r="A70" s="477" t="s">
        <v>26</v>
      </c>
      <c r="B70" s="471">
        <v>42565</v>
      </c>
      <c r="C70" s="479">
        <v>0.61388888888888882</v>
      </c>
      <c r="D70" s="478">
        <v>42566</v>
      </c>
      <c r="E70" s="479">
        <v>0.16666666666666666</v>
      </c>
      <c r="F70" s="484" t="s">
        <v>10</v>
      </c>
      <c r="G70" s="493" t="s">
        <v>58</v>
      </c>
      <c r="H70" s="481" t="s">
        <v>2753</v>
      </c>
      <c r="I70" s="481" t="s">
        <v>22</v>
      </c>
      <c r="J70" s="481" t="s">
        <v>45</v>
      </c>
      <c r="K70" s="486">
        <v>96966</v>
      </c>
    </row>
    <row r="71" spans="1:11" s="438" customFormat="1" ht="23.25" thickBot="1">
      <c r="A71" s="477" t="s">
        <v>26</v>
      </c>
      <c r="B71" s="471">
        <v>42570</v>
      </c>
      <c r="C71" s="479">
        <v>0.65625</v>
      </c>
      <c r="D71" s="478">
        <v>42570</v>
      </c>
      <c r="E71" s="479">
        <v>0.81180555555555556</v>
      </c>
      <c r="F71" s="484" t="s">
        <v>126</v>
      </c>
      <c r="G71" s="493" t="s">
        <v>124</v>
      </c>
      <c r="H71" s="481" t="s">
        <v>2886</v>
      </c>
      <c r="I71" s="481" t="s">
        <v>2764</v>
      </c>
      <c r="J71" s="481">
        <v>290</v>
      </c>
      <c r="K71" s="486" t="s">
        <v>45</v>
      </c>
    </row>
    <row r="72" spans="1:11" s="438" customFormat="1" ht="23.25" thickBot="1">
      <c r="A72" s="477" t="s">
        <v>26</v>
      </c>
      <c r="B72" s="471">
        <v>42570</v>
      </c>
      <c r="C72" s="479">
        <v>0.65625</v>
      </c>
      <c r="D72" s="478">
        <v>42570</v>
      </c>
      <c r="E72" s="479">
        <v>0.80902777777777779</v>
      </c>
      <c r="F72" s="484" t="s">
        <v>126</v>
      </c>
      <c r="G72" s="493" t="s">
        <v>124</v>
      </c>
      <c r="H72" s="481" t="s">
        <v>2886</v>
      </c>
      <c r="I72" s="481" t="s">
        <v>2764</v>
      </c>
      <c r="J72" s="481">
        <v>485</v>
      </c>
      <c r="K72" s="486" t="s">
        <v>45</v>
      </c>
    </row>
    <row r="73" spans="1:11" s="438" customFormat="1" ht="23.25" thickBot="1">
      <c r="A73" s="477" t="s">
        <v>26</v>
      </c>
      <c r="B73" s="471">
        <v>42572</v>
      </c>
      <c r="C73" s="479">
        <v>0.80625000000000002</v>
      </c>
      <c r="D73" s="478">
        <v>42573</v>
      </c>
      <c r="E73" s="479">
        <v>6.2499999999999995E-3</v>
      </c>
      <c r="F73" s="484" t="s">
        <v>2271</v>
      </c>
      <c r="G73" s="493" t="s">
        <v>472</v>
      </c>
      <c r="H73" s="481" t="s">
        <v>2887</v>
      </c>
      <c r="I73" s="481" t="s">
        <v>2764</v>
      </c>
      <c r="J73" s="481">
        <v>200</v>
      </c>
      <c r="K73" s="486">
        <v>266000</v>
      </c>
    </row>
    <row r="74" spans="1:11" s="438" customFormat="1" ht="23.25" thickBot="1">
      <c r="A74" s="477" t="s">
        <v>26</v>
      </c>
      <c r="B74" s="471">
        <v>42572</v>
      </c>
      <c r="C74" s="479">
        <v>0.26250000000000001</v>
      </c>
      <c r="D74" s="478">
        <v>42572</v>
      </c>
      <c r="E74" s="479">
        <v>0.61458333333333337</v>
      </c>
      <c r="F74" s="484" t="s">
        <v>2888</v>
      </c>
      <c r="G74" s="493" t="s">
        <v>826</v>
      </c>
      <c r="H74" s="481" t="s">
        <v>2150</v>
      </c>
      <c r="I74" s="481" t="s">
        <v>2118</v>
      </c>
      <c r="J74" s="481">
        <v>0</v>
      </c>
      <c r="K74" s="486">
        <v>0</v>
      </c>
    </row>
    <row r="75" spans="1:11" s="438" customFormat="1" ht="45.75" thickBot="1">
      <c r="A75" s="477" t="s">
        <v>26</v>
      </c>
      <c r="B75" s="471">
        <v>42573</v>
      </c>
      <c r="C75" s="479">
        <v>0.99305555555555547</v>
      </c>
      <c r="D75" s="478">
        <v>42574</v>
      </c>
      <c r="E75" s="479">
        <v>0.38194444444444442</v>
      </c>
      <c r="F75" s="484" t="s">
        <v>2889</v>
      </c>
      <c r="G75" s="493" t="s">
        <v>61</v>
      </c>
      <c r="H75" s="481" t="s">
        <v>2753</v>
      </c>
      <c r="I75" s="481" t="s">
        <v>22</v>
      </c>
      <c r="J75" s="481" t="s">
        <v>45</v>
      </c>
      <c r="K75" s="486">
        <v>57058</v>
      </c>
    </row>
    <row r="76" spans="1:11" s="438" customFormat="1" ht="23.25" thickBot="1">
      <c r="A76" s="477" t="s">
        <v>26</v>
      </c>
      <c r="B76" s="471">
        <v>42574</v>
      </c>
      <c r="C76" s="479">
        <v>0.63541666666666663</v>
      </c>
      <c r="D76" s="478">
        <v>42574</v>
      </c>
      <c r="E76" s="479">
        <v>0.82847222222222217</v>
      </c>
      <c r="F76" s="484" t="s">
        <v>2890</v>
      </c>
      <c r="G76" s="493" t="s">
        <v>826</v>
      </c>
      <c r="H76" s="481" t="s">
        <v>619</v>
      </c>
      <c r="I76" s="481" t="s">
        <v>2764</v>
      </c>
      <c r="J76" s="481">
        <v>87</v>
      </c>
      <c r="K76" s="486" t="s">
        <v>45</v>
      </c>
    </row>
    <row r="77" spans="1:11" s="438" customFormat="1" ht="45.75" thickBot="1">
      <c r="A77" s="477" t="s">
        <v>26</v>
      </c>
      <c r="B77" s="471">
        <v>42574</v>
      </c>
      <c r="C77" s="479">
        <v>0.8125</v>
      </c>
      <c r="D77" s="478">
        <v>42575</v>
      </c>
      <c r="E77" s="479">
        <v>0.3125</v>
      </c>
      <c r="F77" s="484" t="s">
        <v>2891</v>
      </c>
      <c r="G77" s="493" t="s">
        <v>61</v>
      </c>
      <c r="H77" s="481" t="s">
        <v>2753</v>
      </c>
      <c r="I77" s="481" t="s">
        <v>22</v>
      </c>
      <c r="J77" s="481" t="s">
        <v>45</v>
      </c>
      <c r="K77" s="486">
        <v>101073</v>
      </c>
    </row>
    <row r="78" spans="1:11" s="438" customFormat="1" ht="12" thickBot="1">
      <c r="A78" s="477" t="s">
        <v>26</v>
      </c>
      <c r="B78" s="471">
        <v>42576</v>
      </c>
      <c r="C78" s="479">
        <v>0.78541666666666676</v>
      </c>
      <c r="D78" s="478">
        <v>42577</v>
      </c>
      <c r="E78" s="479">
        <v>9.6527777777777768E-2</v>
      </c>
      <c r="F78" s="484" t="s">
        <v>2271</v>
      </c>
      <c r="G78" s="493" t="s">
        <v>472</v>
      </c>
      <c r="H78" s="481" t="s">
        <v>619</v>
      </c>
      <c r="I78" s="481" t="s">
        <v>2764</v>
      </c>
      <c r="J78" s="481">
        <v>0</v>
      </c>
      <c r="K78" s="486">
        <v>0</v>
      </c>
    </row>
    <row r="79" spans="1:11" s="438" customFormat="1" ht="12" thickBot="1">
      <c r="A79" s="477" t="s">
        <v>26</v>
      </c>
      <c r="B79" s="471">
        <v>42577</v>
      </c>
      <c r="C79" s="479">
        <v>0.78541666666666676</v>
      </c>
      <c r="D79" s="478">
        <v>42578</v>
      </c>
      <c r="E79" s="479">
        <v>7.2916666666666671E-2</v>
      </c>
      <c r="F79" s="484" t="s">
        <v>2271</v>
      </c>
      <c r="G79" s="493" t="s">
        <v>472</v>
      </c>
      <c r="H79" s="481" t="s">
        <v>619</v>
      </c>
      <c r="I79" s="481" t="s">
        <v>2764</v>
      </c>
      <c r="J79" s="481">
        <v>25</v>
      </c>
      <c r="K79" s="486">
        <v>37100</v>
      </c>
    </row>
    <row r="80" spans="1:11" s="438" customFormat="1" ht="12" thickBot="1">
      <c r="A80" s="477" t="s">
        <v>26</v>
      </c>
      <c r="B80" s="471">
        <v>42578</v>
      </c>
      <c r="C80" s="479">
        <v>0.78472222222222221</v>
      </c>
      <c r="D80" s="478">
        <v>42579</v>
      </c>
      <c r="E80" s="479">
        <v>6.805555555555555E-2</v>
      </c>
      <c r="F80" s="484" t="s">
        <v>2271</v>
      </c>
      <c r="G80" s="493" t="s">
        <v>472</v>
      </c>
      <c r="H80" s="481" t="s">
        <v>619</v>
      </c>
      <c r="I80" s="481" t="s">
        <v>2764</v>
      </c>
      <c r="J80" s="481">
        <v>80</v>
      </c>
      <c r="K80" s="486">
        <v>106300</v>
      </c>
    </row>
    <row r="81" spans="1:11" s="438" customFormat="1" ht="12" thickBot="1">
      <c r="A81" s="477" t="s">
        <v>26</v>
      </c>
      <c r="B81" s="471">
        <v>42579</v>
      </c>
      <c r="C81" s="479">
        <v>0.78541666666666676</v>
      </c>
      <c r="D81" s="478">
        <v>42580</v>
      </c>
      <c r="E81" s="479">
        <v>8.4722222222222213E-2</v>
      </c>
      <c r="F81" s="484" t="s">
        <v>2271</v>
      </c>
      <c r="G81" s="493" t="s">
        <v>472</v>
      </c>
      <c r="H81" s="481" t="s">
        <v>619</v>
      </c>
      <c r="I81" s="481" t="s">
        <v>2764</v>
      </c>
      <c r="J81" s="481">
        <v>22</v>
      </c>
      <c r="K81" s="486">
        <v>21600</v>
      </c>
    </row>
    <row r="82" spans="1:11" s="438" customFormat="1" ht="12" thickBot="1">
      <c r="A82" s="477" t="s">
        <v>26</v>
      </c>
      <c r="B82" s="471">
        <v>42580</v>
      </c>
      <c r="C82" s="479">
        <v>0.79791666666666661</v>
      </c>
      <c r="D82" s="478">
        <v>42580</v>
      </c>
      <c r="E82" s="479">
        <v>0.83124999999999993</v>
      </c>
      <c r="F82" s="484" t="s">
        <v>2271</v>
      </c>
      <c r="G82" s="493" t="s">
        <v>472</v>
      </c>
      <c r="H82" s="481" t="s">
        <v>619</v>
      </c>
      <c r="I82" s="481" t="s">
        <v>2764</v>
      </c>
      <c r="J82" s="481">
        <v>0</v>
      </c>
      <c r="K82" s="486">
        <v>0</v>
      </c>
    </row>
    <row r="83" spans="1:11" s="438" customFormat="1" ht="23.25" thickBot="1">
      <c r="A83" s="477" t="s">
        <v>32</v>
      </c>
      <c r="B83" s="471">
        <v>42586</v>
      </c>
      <c r="C83" s="479">
        <v>0.59375</v>
      </c>
      <c r="D83" s="478">
        <v>42586</v>
      </c>
      <c r="E83" s="479">
        <v>0.59930555555555554</v>
      </c>
      <c r="F83" s="484" t="s">
        <v>2892</v>
      </c>
      <c r="G83" s="493" t="s">
        <v>826</v>
      </c>
      <c r="H83" s="481" t="s">
        <v>2150</v>
      </c>
      <c r="I83" s="481" t="s">
        <v>100</v>
      </c>
      <c r="J83" s="481">
        <v>0</v>
      </c>
      <c r="K83" s="486">
        <v>0</v>
      </c>
    </row>
    <row r="84" spans="1:11" s="438" customFormat="1" ht="45.75" thickBot="1">
      <c r="A84" s="477" t="s">
        <v>32</v>
      </c>
      <c r="B84" s="471">
        <v>42589</v>
      </c>
      <c r="C84" s="479">
        <v>0.77708333333333324</v>
      </c>
      <c r="D84" s="478">
        <v>42589</v>
      </c>
      <c r="E84" s="479">
        <v>0.8520833333333333</v>
      </c>
      <c r="F84" s="484" t="s">
        <v>2893</v>
      </c>
      <c r="G84" s="493" t="s">
        <v>124</v>
      </c>
      <c r="H84" s="481" t="s">
        <v>2769</v>
      </c>
      <c r="I84" s="481" t="s">
        <v>2764</v>
      </c>
      <c r="J84" s="481" t="s">
        <v>45</v>
      </c>
      <c r="K84" s="486" t="s">
        <v>45</v>
      </c>
    </row>
    <row r="85" spans="1:11" s="438" customFormat="1" ht="34.5" thickBot="1">
      <c r="A85" s="477" t="s">
        <v>32</v>
      </c>
      <c r="B85" s="471">
        <v>42592</v>
      </c>
      <c r="C85" s="479">
        <v>0.25</v>
      </c>
      <c r="D85" s="481" t="s">
        <v>45</v>
      </c>
      <c r="E85" s="479" t="s">
        <v>45</v>
      </c>
      <c r="F85" s="484" t="s">
        <v>2894</v>
      </c>
      <c r="G85" s="493" t="s">
        <v>124</v>
      </c>
      <c r="H85" s="481" t="s">
        <v>2780</v>
      </c>
      <c r="I85" s="481" t="s">
        <v>1138</v>
      </c>
      <c r="J85" s="481">
        <v>0</v>
      </c>
      <c r="K85" s="486">
        <v>0</v>
      </c>
    </row>
    <row r="86" spans="1:11" s="438" customFormat="1" ht="34.5" thickBot="1">
      <c r="A86" s="477" t="s">
        <v>32</v>
      </c>
      <c r="B86" s="471">
        <v>42593</v>
      </c>
      <c r="C86" s="479">
        <v>0.6875</v>
      </c>
      <c r="D86" s="478">
        <v>42593</v>
      </c>
      <c r="E86" s="479">
        <v>0.80208333333333337</v>
      </c>
      <c r="F86" s="484" t="s">
        <v>2895</v>
      </c>
      <c r="G86" s="493" t="s">
        <v>826</v>
      </c>
      <c r="H86" s="481" t="s">
        <v>2753</v>
      </c>
      <c r="I86" s="481" t="s">
        <v>22</v>
      </c>
      <c r="J86" s="481" t="s">
        <v>45</v>
      </c>
      <c r="K86" s="486">
        <v>62140</v>
      </c>
    </row>
    <row r="87" spans="1:11" s="438" customFormat="1" ht="45.75" thickBot="1">
      <c r="A87" s="477" t="s">
        <v>32</v>
      </c>
      <c r="B87" s="471">
        <v>42595</v>
      </c>
      <c r="C87" s="479">
        <v>0.48749999999999999</v>
      </c>
      <c r="D87" s="478">
        <v>42595</v>
      </c>
      <c r="E87" s="479">
        <v>0.58819444444444446</v>
      </c>
      <c r="F87" s="484" t="s">
        <v>2896</v>
      </c>
      <c r="G87" s="493" t="s">
        <v>63</v>
      </c>
      <c r="H87" s="481" t="s">
        <v>2769</v>
      </c>
      <c r="I87" s="481" t="s">
        <v>2764</v>
      </c>
      <c r="J87" s="481">
        <v>506</v>
      </c>
      <c r="K87" s="486">
        <v>0</v>
      </c>
    </row>
    <row r="88" spans="1:11" s="438" customFormat="1" ht="23.25" thickBot="1">
      <c r="A88" s="477" t="s">
        <v>32</v>
      </c>
      <c r="B88" s="471">
        <v>42602</v>
      </c>
      <c r="C88" s="479">
        <v>0.59583333333333333</v>
      </c>
      <c r="D88" s="478">
        <v>42602</v>
      </c>
      <c r="E88" s="479">
        <v>0.8881944444444444</v>
      </c>
      <c r="F88" s="484" t="s">
        <v>2868</v>
      </c>
      <c r="G88" s="493" t="s">
        <v>61</v>
      </c>
      <c r="H88" s="481" t="s">
        <v>2293</v>
      </c>
      <c r="I88" s="481" t="s">
        <v>2873</v>
      </c>
      <c r="J88" s="481" t="s">
        <v>45</v>
      </c>
      <c r="K88" s="486">
        <v>40000</v>
      </c>
    </row>
    <row r="89" spans="1:11" s="438" customFormat="1" ht="34.5" thickBot="1">
      <c r="A89" s="477" t="s">
        <v>32</v>
      </c>
      <c r="B89" s="471">
        <v>42605</v>
      </c>
      <c r="C89" s="479">
        <v>0.70833333333333337</v>
      </c>
      <c r="D89" s="478">
        <v>42606</v>
      </c>
      <c r="E89" s="479">
        <v>3.472222222222222E-3</v>
      </c>
      <c r="F89" s="484" t="s">
        <v>2809</v>
      </c>
      <c r="G89" s="493" t="s">
        <v>1352</v>
      </c>
      <c r="H89" s="481" t="s">
        <v>2753</v>
      </c>
      <c r="I89" s="481" t="s">
        <v>22</v>
      </c>
      <c r="J89" s="481" t="s">
        <v>45</v>
      </c>
      <c r="K89" s="486">
        <v>72200</v>
      </c>
    </row>
    <row r="90" spans="1:11" s="438" customFormat="1" ht="45.75" thickBot="1">
      <c r="A90" s="477" t="s">
        <v>32</v>
      </c>
      <c r="B90" s="471">
        <v>42606</v>
      </c>
      <c r="C90" s="479">
        <v>0.75902777777777775</v>
      </c>
      <c r="D90" s="478">
        <v>42606</v>
      </c>
      <c r="E90" s="479">
        <v>0.80138888888888893</v>
      </c>
      <c r="F90" s="484" t="s">
        <v>2897</v>
      </c>
      <c r="G90" s="493" t="s">
        <v>472</v>
      </c>
      <c r="H90" s="481" t="s">
        <v>2769</v>
      </c>
      <c r="I90" s="481" t="s">
        <v>2764</v>
      </c>
      <c r="J90" s="481">
        <v>600</v>
      </c>
      <c r="K90" s="486">
        <v>400000</v>
      </c>
    </row>
    <row r="91" spans="1:11" s="438" customFormat="1" ht="68.25" thickBot="1">
      <c r="A91" s="477" t="s">
        <v>32</v>
      </c>
      <c r="B91" s="471">
        <v>42606</v>
      </c>
      <c r="C91" s="479">
        <v>0.8041666666666667</v>
      </c>
      <c r="D91" s="478">
        <v>42606</v>
      </c>
      <c r="E91" s="479">
        <v>0.82430555555555562</v>
      </c>
      <c r="F91" s="484" t="s">
        <v>2801</v>
      </c>
      <c r="G91" s="493" t="s">
        <v>124</v>
      </c>
      <c r="H91" s="481" t="s">
        <v>2839</v>
      </c>
      <c r="I91" s="481" t="s">
        <v>2840</v>
      </c>
      <c r="J91" s="481">
        <v>9232</v>
      </c>
      <c r="K91" s="486" t="s">
        <v>45</v>
      </c>
    </row>
    <row r="92" spans="1:11" s="438" customFormat="1" ht="12" thickBot="1">
      <c r="A92" s="477" t="s">
        <v>32</v>
      </c>
      <c r="B92" s="471">
        <v>42607</v>
      </c>
      <c r="C92" s="479">
        <v>0.77777777777777779</v>
      </c>
      <c r="D92" s="478">
        <v>42608</v>
      </c>
      <c r="E92" s="479">
        <v>0.7631944444444444</v>
      </c>
      <c r="F92" s="484" t="s">
        <v>2898</v>
      </c>
      <c r="G92" s="493" t="s">
        <v>124</v>
      </c>
      <c r="H92" s="481" t="s">
        <v>2899</v>
      </c>
      <c r="I92" s="481" t="s">
        <v>100</v>
      </c>
      <c r="J92" s="481">
        <v>0</v>
      </c>
      <c r="K92" s="486">
        <v>0</v>
      </c>
    </row>
    <row r="93" spans="1:11" s="438" customFormat="1" ht="68.25" thickBot="1">
      <c r="A93" s="477" t="s">
        <v>32</v>
      </c>
      <c r="B93" s="471">
        <v>42613</v>
      </c>
      <c r="C93" s="479">
        <v>0.40625</v>
      </c>
      <c r="D93" s="478">
        <v>42613</v>
      </c>
      <c r="E93" s="479">
        <v>0.41319444444444442</v>
      </c>
      <c r="F93" s="484" t="s">
        <v>2900</v>
      </c>
      <c r="G93" s="493" t="s">
        <v>124</v>
      </c>
      <c r="H93" s="481" t="s">
        <v>2839</v>
      </c>
      <c r="I93" s="481" t="s">
        <v>2483</v>
      </c>
      <c r="J93" s="481">
        <v>0</v>
      </c>
      <c r="K93" s="486">
        <v>0</v>
      </c>
    </row>
    <row r="94" spans="1:11" s="438" customFormat="1" ht="68.25" thickBot="1">
      <c r="A94" s="477" t="s">
        <v>32</v>
      </c>
      <c r="B94" s="471">
        <v>42613</v>
      </c>
      <c r="C94" s="479">
        <v>0.61944444444444446</v>
      </c>
      <c r="D94" s="481" t="s">
        <v>45</v>
      </c>
      <c r="E94" s="479" t="s">
        <v>45</v>
      </c>
      <c r="F94" s="484" t="s">
        <v>2862</v>
      </c>
      <c r="G94" s="493" t="s">
        <v>124</v>
      </c>
      <c r="H94" s="481" t="s">
        <v>2839</v>
      </c>
      <c r="I94" s="481" t="s">
        <v>2840</v>
      </c>
      <c r="J94" s="481">
        <v>0</v>
      </c>
      <c r="K94" s="486">
        <v>0</v>
      </c>
    </row>
    <row r="95" spans="1:11" s="438" customFormat="1" ht="34.5" thickBot="1">
      <c r="A95" s="477" t="s">
        <v>219</v>
      </c>
      <c r="B95" s="471">
        <v>42614</v>
      </c>
      <c r="C95" s="479">
        <v>0.91666666666666663</v>
      </c>
      <c r="D95" s="481" t="s">
        <v>45</v>
      </c>
      <c r="E95" s="481" t="s">
        <v>45</v>
      </c>
      <c r="F95" s="484" t="s">
        <v>2901</v>
      </c>
      <c r="G95" s="493" t="s">
        <v>301</v>
      </c>
      <c r="H95" s="481" t="s">
        <v>2753</v>
      </c>
      <c r="I95" s="481" t="s">
        <v>22</v>
      </c>
      <c r="J95" s="481">
        <v>100</v>
      </c>
      <c r="K95" s="486" t="s">
        <v>45</v>
      </c>
    </row>
    <row r="96" spans="1:11" s="438" customFormat="1" ht="34.5" thickBot="1">
      <c r="A96" s="477" t="s">
        <v>219</v>
      </c>
      <c r="B96" s="471">
        <v>42615</v>
      </c>
      <c r="C96" s="479">
        <v>2.7777777777777776E-2</v>
      </c>
      <c r="D96" s="478">
        <v>42617</v>
      </c>
      <c r="E96" s="479">
        <v>0.83333333333333337</v>
      </c>
      <c r="F96" s="484" t="s">
        <v>2902</v>
      </c>
      <c r="G96" s="493" t="s">
        <v>301</v>
      </c>
      <c r="H96" s="481" t="s">
        <v>2753</v>
      </c>
      <c r="I96" s="481" t="s">
        <v>22</v>
      </c>
      <c r="J96" s="481">
        <v>450</v>
      </c>
      <c r="K96" s="486">
        <v>75000</v>
      </c>
    </row>
    <row r="97" spans="1:11" s="438" customFormat="1" ht="225.75" thickBot="1">
      <c r="A97" s="477" t="s">
        <v>219</v>
      </c>
      <c r="B97" s="471">
        <v>42615</v>
      </c>
      <c r="C97" s="479">
        <v>0.16666666666666666</v>
      </c>
      <c r="D97" s="478">
        <v>42615</v>
      </c>
      <c r="E97" s="479">
        <v>0.66666666666666663</v>
      </c>
      <c r="F97" s="484" t="s">
        <v>2903</v>
      </c>
      <c r="G97" s="493" t="s">
        <v>301</v>
      </c>
      <c r="H97" s="481" t="s">
        <v>2753</v>
      </c>
      <c r="I97" s="481" t="s">
        <v>22</v>
      </c>
      <c r="J97" s="481">
        <v>225</v>
      </c>
      <c r="K97" s="486">
        <v>90000</v>
      </c>
    </row>
    <row r="98" spans="1:11" s="438" customFormat="1" ht="34.5" thickBot="1">
      <c r="A98" s="477" t="s">
        <v>219</v>
      </c>
      <c r="B98" s="471">
        <v>42615</v>
      </c>
      <c r="C98" s="479">
        <v>0.23958333333333334</v>
      </c>
      <c r="D98" s="478">
        <v>42616</v>
      </c>
      <c r="E98" s="479">
        <v>2.0833333333333332E-2</v>
      </c>
      <c r="F98" s="484" t="s">
        <v>2904</v>
      </c>
      <c r="G98" s="493" t="s">
        <v>63</v>
      </c>
      <c r="H98" s="481" t="s">
        <v>2753</v>
      </c>
      <c r="I98" s="481" t="s">
        <v>22</v>
      </c>
      <c r="J98" s="481" t="s">
        <v>45</v>
      </c>
      <c r="K98" s="486">
        <v>57000</v>
      </c>
    </row>
    <row r="99" spans="1:11" s="438" customFormat="1" ht="68.25" thickBot="1">
      <c r="A99" s="477" t="s">
        <v>219</v>
      </c>
      <c r="B99" s="471">
        <v>42619</v>
      </c>
      <c r="C99" s="479">
        <v>0.7583333333333333</v>
      </c>
      <c r="D99" s="478">
        <v>42619</v>
      </c>
      <c r="E99" s="479">
        <v>0.89166666666666661</v>
      </c>
      <c r="F99" s="484" t="s">
        <v>2862</v>
      </c>
      <c r="G99" s="493" t="s">
        <v>124</v>
      </c>
      <c r="H99" s="481" t="s">
        <v>2839</v>
      </c>
      <c r="I99" s="481" t="s">
        <v>2840</v>
      </c>
      <c r="J99" s="481">
        <v>300</v>
      </c>
      <c r="K99" s="486" t="s">
        <v>45</v>
      </c>
    </row>
    <row r="100" spans="1:11" s="438" customFormat="1" ht="34.5" thickBot="1">
      <c r="A100" s="477" t="s">
        <v>219</v>
      </c>
      <c r="B100" s="471">
        <v>42621</v>
      </c>
      <c r="C100" s="479">
        <v>0.35416666666666669</v>
      </c>
      <c r="D100" s="478">
        <v>42638</v>
      </c>
      <c r="E100" s="479">
        <v>0</v>
      </c>
      <c r="F100" s="484" t="s">
        <v>2869</v>
      </c>
      <c r="G100" s="493" t="s">
        <v>61</v>
      </c>
      <c r="H100" s="481" t="s">
        <v>2780</v>
      </c>
      <c r="I100" s="481" t="s">
        <v>1138</v>
      </c>
      <c r="J100" s="481">
        <v>210</v>
      </c>
      <c r="K100" s="486" t="s">
        <v>45</v>
      </c>
    </row>
    <row r="101" spans="1:11" s="438" customFormat="1" ht="68.25" thickBot="1">
      <c r="A101" s="477" t="s">
        <v>219</v>
      </c>
      <c r="B101" s="471">
        <v>42621</v>
      </c>
      <c r="C101" s="479">
        <v>0.61736111111111114</v>
      </c>
      <c r="D101" s="478">
        <v>42621</v>
      </c>
      <c r="E101" s="479">
        <v>0.62708333333333333</v>
      </c>
      <c r="F101" s="484" t="s">
        <v>2853</v>
      </c>
      <c r="G101" s="493" t="s">
        <v>124</v>
      </c>
      <c r="H101" s="481" t="s">
        <v>2839</v>
      </c>
      <c r="I101" s="481" t="s">
        <v>2840</v>
      </c>
      <c r="J101" s="481">
        <v>0</v>
      </c>
      <c r="K101" s="486">
        <v>0</v>
      </c>
    </row>
    <row r="102" spans="1:11" s="438" customFormat="1" ht="34.5" thickBot="1">
      <c r="A102" s="477" t="s">
        <v>219</v>
      </c>
      <c r="B102" s="471">
        <v>42623</v>
      </c>
      <c r="C102" s="479">
        <v>0.40416666666666662</v>
      </c>
      <c r="D102" s="478">
        <v>42623</v>
      </c>
      <c r="E102" s="479">
        <v>0.4145833333333333</v>
      </c>
      <c r="F102" s="484" t="s">
        <v>2862</v>
      </c>
      <c r="G102" s="493" t="s">
        <v>124</v>
      </c>
      <c r="H102" s="481" t="s">
        <v>2791</v>
      </c>
      <c r="I102" s="481" t="s">
        <v>2905</v>
      </c>
      <c r="J102" s="481">
        <v>135</v>
      </c>
      <c r="K102" s="486" t="s">
        <v>45</v>
      </c>
    </row>
    <row r="103" spans="1:11" s="438" customFormat="1" ht="45.75" thickBot="1">
      <c r="A103" s="477" t="s">
        <v>219</v>
      </c>
      <c r="B103" s="471">
        <v>42624</v>
      </c>
      <c r="C103" s="479">
        <v>0.50347222222222221</v>
      </c>
      <c r="D103" s="478">
        <v>42624</v>
      </c>
      <c r="E103" s="479">
        <v>0.63194444444444442</v>
      </c>
      <c r="F103" s="484" t="s">
        <v>2906</v>
      </c>
      <c r="G103" s="493" t="s">
        <v>61</v>
      </c>
      <c r="H103" s="481" t="s">
        <v>2753</v>
      </c>
      <c r="I103" s="481" t="s">
        <v>22</v>
      </c>
      <c r="J103" s="481" t="s">
        <v>45</v>
      </c>
      <c r="K103" s="486">
        <v>57960</v>
      </c>
    </row>
    <row r="104" spans="1:11" s="438" customFormat="1" ht="45.75" thickBot="1">
      <c r="A104" s="477" t="s">
        <v>219</v>
      </c>
      <c r="B104" s="471">
        <v>42625</v>
      </c>
      <c r="C104" s="479">
        <v>0.52083333333333337</v>
      </c>
      <c r="D104" s="478">
        <v>42625</v>
      </c>
      <c r="E104" s="479">
        <v>0.74722222222222223</v>
      </c>
      <c r="F104" s="484" t="s">
        <v>2907</v>
      </c>
      <c r="G104" s="493" t="s">
        <v>124</v>
      </c>
      <c r="H104" s="481" t="s">
        <v>2791</v>
      </c>
      <c r="I104" s="481" t="s">
        <v>2905</v>
      </c>
      <c r="J104" s="481">
        <v>110</v>
      </c>
      <c r="K104" s="486">
        <v>53753</v>
      </c>
    </row>
    <row r="105" spans="1:11" s="438" customFormat="1" ht="48.75" customHeight="1" thickBot="1">
      <c r="A105" s="477" t="s">
        <v>219</v>
      </c>
      <c r="B105" s="471">
        <v>42634</v>
      </c>
      <c r="C105" s="479">
        <v>0.60416666666666663</v>
      </c>
      <c r="D105" s="478">
        <v>42637</v>
      </c>
      <c r="E105" s="479">
        <v>0.10416666666666667</v>
      </c>
      <c r="F105" s="484" t="s">
        <v>2897</v>
      </c>
      <c r="G105" s="493"/>
      <c r="H105" s="481" t="s">
        <v>2908</v>
      </c>
      <c r="I105" s="481" t="s">
        <v>2764</v>
      </c>
      <c r="J105" s="481">
        <v>2750</v>
      </c>
      <c r="K105" s="486">
        <v>1475000</v>
      </c>
    </row>
    <row r="106" spans="1:11" s="438" customFormat="1" ht="68.25" customHeight="1" thickBot="1">
      <c r="A106" s="477" t="s">
        <v>219</v>
      </c>
      <c r="B106" s="471">
        <v>42634</v>
      </c>
      <c r="C106" s="479">
        <v>0.8222222222222223</v>
      </c>
      <c r="D106" s="478">
        <v>42634</v>
      </c>
      <c r="E106" s="479">
        <v>0.88680555555555562</v>
      </c>
      <c r="F106" s="484" t="s">
        <v>2909</v>
      </c>
      <c r="G106" s="493" t="s">
        <v>1352</v>
      </c>
      <c r="H106" s="481" t="s">
        <v>2910</v>
      </c>
      <c r="I106" s="481" t="s">
        <v>2873</v>
      </c>
      <c r="J106" s="481">
        <v>0</v>
      </c>
      <c r="K106" s="486">
        <v>0</v>
      </c>
    </row>
    <row r="107" spans="1:11" s="438" customFormat="1" ht="59.25" customHeight="1" thickBot="1">
      <c r="A107" s="477" t="s">
        <v>219</v>
      </c>
      <c r="B107" s="471">
        <v>42635</v>
      </c>
      <c r="C107" s="479">
        <v>0.45555555555555555</v>
      </c>
      <c r="D107" s="478">
        <v>42635</v>
      </c>
      <c r="E107" s="479">
        <v>0.48680555555555555</v>
      </c>
      <c r="F107" s="484" t="s">
        <v>2911</v>
      </c>
      <c r="G107" s="493" t="s">
        <v>674</v>
      </c>
      <c r="H107" s="481" t="s">
        <v>2908</v>
      </c>
      <c r="I107" s="481" t="s">
        <v>2764</v>
      </c>
      <c r="J107" s="481">
        <v>69</v>
      </c>
      <c r="K107" s="486">
        <v>19124</v>
      </c>
    </row>
    <row r="108" spans="1:11" s="438" customFormat="1" ht="68.25" thickBot="1">
      <c r="A108" s="477" t="s">
        <v>219</v>
      </c>
      <c r="B108" s="471">
        <v>42638</v>
      </c>
      <c r="C108" s="479">
        <v>0.53402777777777777</v>
      </c>
      <c r="D108" s="478">
        <v>42638</v>
      </c>
      <c r="E108" s="494">
        <v>0.76388888888888884</v>
      </c>
      <c r="F108" s="484" t="s">
        <v>2912</v>
      </c>
      <c r="G108" s="484" t="s">
        <v>124</v>
      </c>
      <c r="H108" s="481" t="s">
        <v>2910</v>
      </c>
      <c r="I108" s="481" t="s">
        <v>100</v>
      </c>
      <c r="J108" s="495">
        <v>20</v>
      </c>
      <c r="K108" s="496">
        <v>10000</v>
      </c>
    </row>
    <row r="109" spans="1:11" s="438" customFormat="1" ht="45.75" thickBot="1">
      <c r="A109" s="477" t="s">
        <v>35</v>
      </c>
      <c r="B109" s="471">
        <v>42644</v>
      </c>
      <c r="C109" s="498">
        <v>0.51666666666666672</v>
      </c>
      <c r="D109" s="497" t="s">
        <v>2913</v>
      </c>
      <c r="E109" s="498">
        <v>8.6111111111111124E-2</v>
      </c>
      <c r="F109" s="499" t="s">
        <v>2914</v>
      </c>
      <c r="G109" s="484" t="s">
        <v>124</v>
      </c>
      <c r="H109" s="481" t="s">
        <v>2915</v>
      </c>
      <c r="I109" s="481" t="s">
        <v>2873</v>
      </c>
      <c r="J109" s="497">
        <v>0</v>
      </c>
      <c r="K109" s="500">
        <v>0</v>
      </c>
    </row>
    <row r="110" spans="1:11" s="438" customFormat="1" ht="45.75" thickBot="1">
      <c r="A110" s="477" t="s">
        <v>35</v>
      </c>
      <c r="B110" s="471">
        <v>42645</v>
      </c>
      <c r="C110" s="498">
        <v>0.97916666666666663</v>
      </c>
      <c r="D110" s="497" t="s">
        <v>2916</v>
      </c>
      <c r="E110" s="498">
        <v>0.33333333333333331</v>
      </c>
      <c r="F110" s="499" t="s">
        <v>2865</v>
      </c>
      <c r="G110" s="484" t="s">
        <v>124</v>
      </c>
      <c r="H110" s="497" t="s">
        <v>2917</v>
      </c>
      <c r="I110" s="481" t="s">
        <v>2483</v>
      </c>
      <c r="J110" s="497">
        <v>50</v>
      </c>
      <c r="K110" s="500">
        <v>4000</v>
      </c>
    </row>
    <row r="111" spans="1:11" s="438" customFormat="1" ht="45.75" thickBot="1">
      <c r="A111" s="477" t="s">
        <v>35</v>
      </c>
      <c r="B111" s="471">
        <v>42646</v>
      </c>
      <c r="C111" s="498">
        <v>0.63124999999999998</v>
      </c>
      <c r="D111" s="497" t="s">
        <v>2918</v>
      </c>
      <c r="E111" s="498">
        <v>0.79166666666666663</v>
      </c>
      <c r="F111" s="499" t="s">
        <v>2919</v>
      </c>
      <c r="G111" s="484" t="s">
        <v>1352</v>
      </c>
      <c r="H111" s="497" t="s">
        <v>2917</v>
      </c>
      <c r="I111" s="481" t="s">
        <v>1152</v>
      </c>
      <c r="J111" s="497" t="s">
        <v>45</v>
      </c>
      <c r="K111" s="500" t="s">
        <v>45</v>
      </c>
    </row>
    <row r="112" spans="1:11" s="438" customFormat="1" ht="45.75" thickBot="1">
      <c r="A112" s="477" t="s">
        <v>35</v>
      </c>
      <c r="B112" s="471">
        <v>42648</v>
      </c>
      <c r="C112" s="498">
        <v>0.48055555555555557</v>
      </c>
      <c r="D112" s="497" t="s">
        <v>2916</v>
      </c>
      <c r="E112" s="498">
        <v>0.79166666666666663</v>
      </c>
      <c r="F112" s="499" t="s">
        <v>2919</v>
      </c>
      <c r="G112" s="484" t="s">
        <v>1352</v>
      </c>
      <c r="H112" s="497" t="s">
        <v>2917</v>
      </c>
      <c r="I112" s="481" t="s">
        <v>1152</v>
      </c>
      <c r="J112" s="497" t="s">
        <v>45</v>
      </c>
      <c r="K112" s="500" t="s">
        <v>45</v>
      </c>
    </row>
    <row r="113" spans="1:12" s="438" customFormat="1" ht="68.25" thickBot="1">
      <c r="A113" s="477" t="s">
        <v>35</v>
      </c>
      <c r="B113" s="471">
        <v>42648</v>
      </c>
      <c r="C113" s="498">
        <v>0.66041666666666665</v>
      </c>
      <c r="D113" s="497" t="s">
        <v>45</v>
      </c>
      <c r="E113" s="498" t="s">
        <v>45</v>
      </c>
      <c r="F113" s="499" t="s">
        <v>2920</v>
      </c>
      <c r="G113" s="484" t="s">
        <v>124</v>
      </c>
      <c r="H113" s="497" t="s">
        <v>2910</v>
      </c>
      <c r="I113" s="481" t="s">
        <v>100</v>
      </c>
      <c r="J113" s="497">
        <v>0</v>
      </c>
      <c r="K113" s="500">
        <v>0</v>
      </c>
    </row>
    <row r="114" spans="1:12" s="438" customFormat="1" ht="45.75" thickBot="1">
      <c r="A114" s="477" t="s">
        <v>35</v>
      </c>
      <c r="B114" s="471">
        <v>42649</v>
      </c>
      <c r="C114" s="498">
        <v>0.40972222222222227</v>
      </c>
      <c r="D114" s="497" t="s">
        <v>2921</v>
      </c>
      <c r="E114" s="498">
        <v>0.79166666666666663</v>
      </c>
      <c r="F114" s="499" t="s">
        <v>2919</v>
      </c>
      <c r="G114" s="484" t="s">
        <v>1352</v>
      </c>
      <c r="H114" s="497" t="s">
        <v>2917</v>
      </c>
      <c r="I114" s="481" t="s">
        <v>1152</v>
      </c>
      <c r="J114" s="497" t="s">
        <v>45</v>
      </c>
      <c r="K114" s="500" t="s">
        <v>45</v>
      </c>
      <c r="L114" s="445"/>
    </row>
    <row r="115" spans="1:12" s="438" customFormat="1" ht="34.5" thickBot="1">
      <c r="A115" s="477" t="s">
        <v>35</v>
      </c>
      <c r="B115" s="471">
        <v>42649</v>
      </c>
      <c r="C115" s="498">
        <v>0.8125</v>
      </c>
      <c r="D115" s="501">
        <v>42651</v>
      </c>
      <c r="E115" s="498">
        <v>0.75</v>
      </c>
      <c r="F115" s="499" t="s">
        <v>2901</v>
      </c>
      <c r="G115" s="484" t="s">
        <v>301</v>
      </c>
      <c r="H115" s="481" t="s">
        <v>2753</v>
      </c>
      <c r="I115" s="481" t="s">
        <v>22</v>
      </c>
      <c r="J115" s="495">
        <v>5600</v>
      </c>
      <c r="K115" s="496">
        <v>1200000</v>
      </c>
    </row>
    <row r="116" spans="1:12" s="438" customFormat="1" ht="15" customHeight="1" thickBot="1">
      <c r="A116" s="477" t="s">
        <v>35</v>
      </c>
      <c r="B116" s="471">
        <v>42650</v>
      </c>
      <c r="C116" s="498">
        <v>0.33333333333333331</v>
      </c>
      <c r="D116" s="497" t="s">
        <v>2923</v>
      </c>
      <c r="E116" s="498">
        <v>0.54166666666666663</v>
      </c>
      <c r="F116" s="499" t="s">
        <v>2903</v>
      </c>
      <c r="G116" s="484" t="s">
        <v>301</v>
      </c>
      <c r="H116" s="481" t="s">
        <v>2753</v>
      </c>
      <c r="I116" s="481" t="s">
        <v>22</v>
      </c>
      <c r="J116" s="497">
        <v>413</v>
      </c>
      <c r="K116" s="500">
        <v>165000</v>
      </c>
    </row>
    <row r="117" spans="1:12" s="438" customFormat="1" ht="45.75" thickBot="1">
      <c r="A117" s="477" t="s">
        <v>35</v>
      </c>
      <c r="B117" s="471">
        <v>42650</v>
      </c>
      <c r="C117" s="498">
        <v>0.46388888888888885</v>
      </c>
      <c r="D117" s="497" t="s">
        <v>2922</v>
      </c>
      <c r="E117" s="498">
        <v>0.79166666666666663</v>
      </c>
      <c r="F117" s="499" t="s">
        <v>2919</v>
      </c>
      <c r="G117" s="484" t="s">
        <v>1352</v>
      </c>
      <c r="H117" s="497" t="s">
        <v>2917</v>
      </c>
      <c r="I117" s="481" t="s">
        <v>2905</v>
      </c>
      <c r="J117" s="497" t="s">
        <v>45</v>
      </c>
      <c r="K117" s="500" t="s">
        <v>45</v>
      </c>
    </row>
    <row r="118" spans="1:12" s="438" customFormat="1" ht="34.5" thickBot="1">
      <c r="A118" s="477" t="s">
        <v>35</v>
      </c>
      <c r="B118" s="471">
        <v>42650</v>
      </c>
      <c r="C118" s="498">
        <v>0.68194444444444446</v>
      </c>
      <c r="D118" s="497" t="s">
        <v>2924</v>
      </c>
      <c r="E118" s="498">
        <v>0.45833333333333331</v>
      </c>
      <c r="F118" s="499" t="s">
        <v>2904</v>
      </c>
      <c r="G118" s="484" t="s">
        <v>63</v>
      </c>
      <c r="H118" s="481" t="s">
        <v>2753</v>
      </c>
      <c r="I118" s="481" t="s">
        <v>22</v>
      </c>
      <c r="J118" s="497">
        <v>122</v>
      </c>
      <c r="K118" s="500">
        <v>36384</v>
      </c>
    </row>
    <row r="119" spans="1:12" s="438" customFormat="1" ht="34.5" thickBot="1">
      <c r="A119" s="477" t="s">
        <v>35</v>
      </c>
      <c r="B119" s="471">
        <v>42650</v>
      </c>
      <c r="C119" s="498">
        <v>0.94791666666666663</v>
      </c>
      <c r="D119" s="497" t="s">
        <v>45</v>
      </c>
      <c r="E119" s="498" t="s">
        <v>45</v>
      </c>
      <c r="F119" s="499" t="s">
        <v>2901</v>
      </c>
      <c r="G119" s="484" t="s">
        <v>301</v>
      </c>
      <c r="H119" s="481" t="s">
        <v>2753</v>
      </c>
      <c r="I119" s="481" t="s">
        <v>22</v>
      </c>
      <c r="J119" s="497" t="s">
        <v>45</v>
      </c>
      <c r="K119" s="500" t="s">
        <v>45</v>
      </c>
    </row>
    <row r="120" spans="1:12" s="438" customFormat="1" ht="214.5" thickBot="1">
      <c r="A120" s="477" t="s">
        <v>35</v>
      </c>
      <c r="B120" s="471">
        <v>42650</v>
      </c>
      <c r="C120" s="498">
        <v>0.95833333333333337</v>
      </c>
      <c r="D120" s="497" t="s">
        <v>45</v>
      </c>
      <c r="E120" s="498" t="s">
        <v>45</v>
      </c>
      <c r="F120" s="499" t="s">
        <v>2925</v>
      </c>
      <c r="G120" s="484" t="s">
        <v>63</v>
      </c>
      <c r="H120" s="497" t="s">
        <v>2926</v>
      </c>
      <c r="I120" s="481" t="s">
        <v>22</v>
      </c>
      <c r="J120" s="497" t="s">
        <v>45</v>
      </c>
      <c r="K120" s="500" t="s">
        <v>45</v>
      </c>
    </row>
    <row r="121" spans="1:12" s="438" customFormat="1" ht="34.5" thickBot="1">
      <c r="A121" s="477" t="s">
        <v>35</v>
      </c>
      <c r="B121" s="471">
        <v>42651</v>
      </c>
      <c r="C121" s="498">
        <v>0.34791666666666665</v>
      </c>
      <c r="D121" s="497" t="s">
        <v>2927</v>
      </c>
      <c r="E121" s="498">
        <v>0.72916666666666663</v>
      </c>
      <c r="F121" s="499" t="s">
        <v>2832</v>
      </c>
      <c r="G121" s="484" t="s">
        <v>63</v>
      </c>
      <c r="H121" s="481" t="s">
        <v>2753</v>
      </c>
      <c r="I121" s="481" t="s">
        <v>22</v>
      </c>
      <c r="J121" s="497" t="s">
        <v>45</v>
      </c>
      <c r="K121" s="500" t="s">
        <v>45</v>
      </c>
    </row>
    <row r="122" spans="1:12" s="438" customFormat="1" ht="45.75" thickBot="1">
      <c r="A122" s="477" t="s">
        <v>35</v>
      </c>
      <c r="B122" s="471">
        <v>42651</v>
      </c>
      <c r="C122" s="498">
        <v>0.58680555555555558</v>
      </c>
      <c r="D122" s="497" t="s">
        <v>2923</v>
      </c>
      <c r="E122" s="498">
        <v>0.25416666666666665</v>
      </c>
      <c r="F122" s="499" t="s">
        <v>2928</v>
      </c>
      <c r="G122" s="484" t="s">
        <v>63</v>
      </c>
      <c r="H122" s="497" t="s">
        <v>2769</v>
      </c>
      <c r="I122" s="481" t="s">
        <v>22</v>
      </c>
      <c r="J122" s="497" t="s">
        <v>45</v>
      </c>
      <c r="K122" s="500">
        <v>44875</v>
      </c>
    </row>
    <row r="123" spans="1:12" s="438" customFormat="1" ht="34.5" thickBot="1">
      <c r="A123" s="477" t="s">
        <v>35</v>
      </c>
      <c r="B123" s="471">
        <v>42651</v>
      </c>
      <c r="C123" s="498">
        <v>4.8611111111111112E-2</v>
      </c>
      <c r="D123" s="497" t="s">
        <v>45</v>
      </c>
      <c r="E123" s="498" t="s">
        <v>45</v>
      </c>
      <c r="F123" s="499" t="s">
        <v>2896</v>
      </c>
      <c r="G123" s="484" t="s">
        <v>63</v>
      </c>
      <c r="H123" s="481" t="s">
        <v>2753</v>
      </c>
      <c r="I123" s="481" t="s">
        <v>22</v>
      </c>
      <c r="J123" s="497">
        <v>1050</v>
      </c>
      <c r="K123" s="500">
        <v>290824</v>
      </c>
    </row>
    <row r="124" spans="1:12" s="438" customFormat="1" ht="45.75" thickBot="1">
      <c r="A124" s="477" t="s">
        <v>35</v>
      </c>
      <c r="B124" s="471">
        <v>42653</v>
      </c>
      <c r="C124" s="498">
        <v>0.55208333333333337</v>
      </c>
      <c r="D124" s="497" t="s">
        <v>2929</v>
      </c>
      <c r="E124" s="498">
        <v>0.79166666666666663</v>
      </c>
      <c r="F124" s="499" t="s">
        <v>2919</v>
      </c>
      <c r="G124" s="484" t="s">
        <v>1352</v>
      </c>
      <c r="H124" s="497" t="s">
        <v>2917</v>
      </c>
      <c r="I124" s="481" t="s">
        <v>2905</v>
      </c>
      <c r="J124" s="497" t="s">
        <v>45</v>
      </c>
      <c r="K124" s="500" t="s">
        <v>45</v>
      </c>
    </row>
    <row r="125" spans="1:12" s="438" customFormat="1" ht="68.25" thickBot="1">
      <c r="A125" s="477" t="s">
        <v>35</v>
      </c>
      <c r="B125" s="471">
        <v>42655</v>
      </c>
      <c r="C125" s="498">
        <v>0.50624999999999998</v>
      </c>
      <c r="D125" s="497" t="s">
        <v>2924</v>
      </c>
      <c r="E125" s="498">
        <v>0.55277777777777781</v>
      </c>
      <c r="F125" s="499" t="s">
        <v>2817</v>
      </c>
      <c r="G125" s="484" t="s">
        <v>124</v>
      </c>
      <c r="H125" s="497" t="s">
        <v>2910</v>
      </c>
      <c r="I125" s="481" t="s">
        <v>100</v>
      </c>
      <c r="J125" s="497">
        <v>4</v>
      </c>
      <c r="K125" s="500">
        <v>1671</v>
      </c>
    </row>
    <row r="126" spans="1:12" s="438" customFormat="1" ht="68.25" thickBot="1">
      <c r="A126" s="477" t="s">
        <v>35</v>
      </c>
      <c r="B126" s="471">
        <v>42661</v>
      </c>
      <c r="C126" s="498">
        <v>0.58750000000000002</v>
      </c>
      <c r="D126" s="495" t="s">
        <v>2930</v>
      </c>
      <c r="E126" s="502">
        <v>0.625</v>
      </c>
      <c r="F126" s="499" t="s">
        <v>2931</v>
      </c>
      <c r="G126" s="484" t="s">
        <v>124</v>
      </c>
      <c r="H126" s="497" t="s">
        <v>2910</v>
      </c>
      <c r="I126" s="481" t="s">
        <v>100</v>
      </c>
      <c r="J126" s="497">
        <v>0</v>
      </c>
      <c r="K126" s="500">
        <v>0</v>
      </c>
    </row>
    <row r="127" spans="1:12" s="438" customFormat="1" ht="68.25" thickBot="1">
      <c r="A127" s="477" t="s">
        <v>35</v>
      </c>
      <c r="B127" s="471">
        <v>42663</v>
      </c>
      <c r="C127" s="498">
        <v>0.52083333333333337</v>
      </c>
      <c r="D127" s="497" t="s">
        <v>2932</v>
      </c>
      <c r="E127" s="498">
        <v>0.52152777777777781</v>
      </c>
      <c r="F127" s="499" t="s">
        <v>2933</v>
      </c>
      <c r="G127" s="484" t="s">
        <v>124</v>
      </c>
      <c r="H127" s="497" t="s">
        <v>2910</v>
      </c>
      <c r="I127" s="481" t="s">
        <v>100</v>
      </c>
      <c r="J127" s="497">
        <v>0</v>
      </c>
      <c r="K127" s="500">
        <v>0</v>
      </c>
    </row>
    <row r="128" spans="1:12" s="438" customFormat="1" ht="68.25" thickBot="1">
      <c r="A128" s="477" t="s">
        <v>35</v>
      </c>
      <c r="B128" s="471">
        <v>42668</v>
      </c>
      <c r="C128" s="498">
        <v>0.31944444444444448</v>
      </c>
      <c r="D128" s="497" t="s">
        <v>2934</v>
      </c>
      <c r="E128" s="498">
        <v>0.31944444444444448</v>
      </c>
      <c r="F128" s="499" t="s">
        <v>2935</v>
      </c>
      <c r="G128" s="484" t="s">
        <v>63</v>
      </c>
      <c r="H128" s="497" t="s">
        <v>2910</v>
      </c>
      <c r="I128" s="481" t="s">
        <v>100</v>
      </c>
      <c r="J128" s="497">
        <v>0</v>
      </c>
      <c r="K128" s="500">
        <v>0</v>
      </c>
    </row>
    <row r="129" spans="1:11" s="438" customFormat="1" ht="68.25" thickBot="1">
      <c r="A129" s="477" t="s">
        <v>35</v>
      </c>
      <c r="B129" s="471">
        <v>42669</v>
      </c>
      <c r="C129" s="498">
        <v>0.22638888888888889</v>
      </c>
      <c r="D129" s="497" t="s">
        <v>2936</v>
      </c>
      <c r="E129" s="498">
        <v>0.22708333333333333</v>
      </c>
      <c r="F129" s="499" t="s">
        <v>2937</v>
      </c>
      <c r="G129" s="484" t="s">
        <v>124</v>
      </c>
      <c r="H129" s="497" t="s">
        <v>2910</v>
      </c>
      <c r="I129" s="481" t="s">
        <v>100</v>
      </c>
      <c r="J129" s="497">
        <v>0</v>
      </c>
      <c r="K129" s="500">
        <v>0</v>
      </c>
    </row>
    <row r="130" spans="1:11" s="438" customFormat="1" ht="68.25" thickBot="1">
      <c r="A130" s="503" t="s">
        <v>35</v>
      </c>
      <c r="B130" s="471">
        <v>42671</v>
      </c>
      <c r="C130" s="505">
        <v>0.56180555555555556</v>
      </c>
      <c r="D130" s="504" t="s">
        <v>2938</v>
      </c>
      <c r="E130" s="505">
        <v>0.56805555555555554</v>
      </c>
      <c r="F130" s="506" t="s">
        <v>2939</v>
      </c>
      <c r="G130" s="507" t="s">
        <v>124</v>
      </c>
      <c r="H130" s="508" t="s">
        <v>2839</v>
      </c>
      <c r="I130" s="508" t="s">
        <v>2840</v>
      </c>
      <c r="J130" s="504">
        <v>4</v>
      </c>
      <c r="K130" s="509">
        <v>482</v>
      </c>
    </row>
    <row r="131" spans="1:11" s="438" customFormat="1" ht="45.75" thickBot="1">
      <c r="A131" s="477" t="s">
        <v>35</v>
      </c>
      <c r="B131" s="471">
        <v>42674</v>
      </c>
      <c r="C131" s="498">
        <v>0.33749999999999997</v>
      </c>
      <c r="D131" s="497" t="s">
        <v>2940</v>
      </c>
      <c r="E131" s="498">
        <v>0.66180555555555554</v>
      </c>
      <c r="F131" s="499" t="s">
        <v>2941</v>
      </c>
      <c r="G131" s="484" t="s">
        <v>63</v>
      </c>
      <c r="H131" s="481" t="s">
        <v>2915</v>
      </c>
      <c r="I131" s="481" t="s">
        <v>2873</v>
      </c>
      <c r="J131" s="497">
        <v>0</v>
      </c>
      <c r="K131" s="500">
        <v>0</v>
      </c>
    </row>
    <row r="132" spans="1:11" s="438" customFormat="1" ht="45.75" thickBot="1">
      <c r="A132" s="477" t="s">
        <v>38</v>
      </c>
      <c r="B132" s="471">
        <v>42683</v>
      </c>
      <c r="C132" s="479">
        <v>0.4993055555555555</v>
      </c>
      <c r="D132" s="481" t="s">
        <v>2942</v>
      </c>
      <c r="E132" s="479">
        <v>0.76041666666666663</v>
      </c>
      <c r="F132" s="484" t="s">
        <v>2943</v>
      </c>
      <c r="G132" s="484" t="s">
        <v>124</v>
      </c>
      <c r="H132" s="481" t="s">
        <v>2944</v>
      </c>
      <c r="I132" s="481" t="s">
        <v>2836</v>
      </c>
      <c r="J132" s="481">
        <v>0</v>
      </c>
      <c r="K132" s="486">
        <v>0</v>
      </c>
    </row>
    <row r="133" spans="1:11" s="438" customFormat="1" ht="68.25" thickBot="1">
      <c r="A133" s="503" t="s">
        <v>38</v>
      </c>
      <c r="B133" s="471">
        <v>42683</v>
      </c>
      <c r="C133" s="510">
        <v>0.28055555555555556</v>
      </c>
      <c r="D133" s="508" t="s">
        <v>2942</v>
      </c>
      <c r="E133" s="510">
        <v>0.32222222222222224</v>
      </c>
      <c r="F133" s="507" t="s">
        <v>2945</v>
      </c>
      <c r="G133" s="507" t="s">
        <v>124</v>
      </c>
      <c r="H133" s="508" t="s">
        <v>2910</v>
      </c>
      <c r="I133" s="508" t="s">
        <v>100</v>
      </c>
      <c r="J133" s="508">
        <v>0</v>
      </c>
      <c r="K133" s="511">
        <v>0</v>
      </c>
    </row>
    <row r="134" spans="1:11" s="438" customFormat="1" ht="68.25" thickBot="1">
      <c r="A134" s="477" t="s">
        <v>38</v>
      </c>
      <c r="B134" s="471">
        <v>42675</v>
      </c>
      <c r="C134" s="479">
        <v>0.87152777777777779</v>
      </c>
      <c r="D134" s="481" t="s">
        <v>45</v>
      </c>
      <c r="E134" s="481" t="s">
        <v>45</v>
      </c>
      <c r="F134" s="484" t="s">
        <v>2862</v>
      </c>
      <c r="G134" s="484" t="s">
        <v>124</v>
      </c>
      <c r="H134" s="481" t="s">
        <v>2839</v>
      </c>
      <c r="I134" s="481" t="s">
        <v>2483</v>
      </c>
      <c r="J134" s="481">
        <v>0</v>
      </c>
      <c r="K134" s="486">
        <v>0</v>
      </c>
    </row>
    <row r="135" spans="1:11" s="438" customFormat="1" ht="68.25" thickBot="1">
      <c r="A135" s="477" t="s">
        <v>47</v>
      </c>
      <c r="B135" s="471">
        <v>42712</v>
      </c>
      <c r="C135" s="479">
        <v>4.1666666666666664E-2</v>
      </c>
      <c r="D135" s="481" t="s">
        <v>2946</v>
      </c>
      <c r="E135" s="479">
        <v>0.10416666666666667</v>
      </c>
      <c r="F135" s="484" t="s">
        <v>2947</v>
      </c>
      <c r="G135" s="484" t="s">
        <v>124</v>
      </c>
      <c r="H135" s="481" t="s">
        <v>2910</v>
      </c>
      <c r="I135" s="481" t="s">
        <v>100</v>
      </c>
      <c r="J135" s="481">
        <v>0</v>
      </c>
      <c r="K135" s="486">
        <v>0</v>
      </c>
    </row>
    <row r="136" spans="1:11" s="438" customFormat="1" ht="68.25" thickBot="1">
      <c r="A136" s="477" t="s">
        <v>47</v>
      </c>
      <c r="B136" s="471">
        <v>42715</v>
      </c>
      <c r="C136" s="479">
        <v>0.32291666666666669</v>
      </c>
      <c r="D136" s="481" t="s">
        <v>2948</v>
      </c>
      <c r="E136" s="479">
        <v>0.32361111111111113</v>
      </c>
      <c r="F136" s="484" t="s">
        <v>2949</v>
      </c>
      <c r="G136" s="484" t="s">
        <v>124</v>
      </c>
      <c r="H136" s="481" t="s">
        <v>2910</v>
      </c>
      <c r="I136" s="481" t="s">
        <v>100</v>
      </c>
      <c r="J136" s="481">
        <v>0</v>
      </c>
      <c r="K136" s="486">
        <v>0</v>
      </c>
    </row>
    <row r="137" spans="1:11" s="438" customFormat="1" ht="34.5" thickBot="1">
      <c r="A137" s="477" t="s">
        <v>47</v>
      </c>
      <c r="B137" s="471">
        <v>42717</v>
      </c>
      <c r="C137" s="479">
        <v>0.58958333333333335</v>
      </c>
      <c r="D137" s="481" t="s">
        <v>2950</v>
      </c>
      <c r="E137" s="479">
        <v>0.60416666666666663</v>
      </c>
      <c r="F137" s="484" t="s">
        <v>2951</v>
      </c>
      <c r="G137" s="484" t="s">
        <v>124</v>
      </c>
      <c r="H137" s="481" t="s">
        <v>2944</v>
      </c>
      <c r="I137" s="481" t="s">
        <v>2952</v>
      </c>
      <c r="J137" s="481">
        <v>0</v>
      </c>
      <c r="K137" s="486">
        <v>0</v>
      </c>
    </row>
    <row r="138" spans="1:11" s="438" customFormat="1" ht="34.5" thickBot="1">
      <c r="A138" s="477" t="s">
        <v>47</v>
      </c>
      <c r="B138" s="471">
        <v>42719</v>
      </c>
      <c r="C138" s="479">
        <v>0.27083333333333331</v>
      </c>
      <c r="D138" s="481" t="s">
        <v>45</v>
      </c>
      <c r="E138" s="479" t="s">
        <v>45</v>
      </c>
      <c r="F138" s="484" t="s">
        <v>2953</v>
      </c>
      <c r="G138" s="484" t="s">
        <v>124</v>
      </c>
      <c r="H138" s="481" t="s">
        <v>2780</v>
      </c>
      <c r="I138" s="481" t="s">
        <v>1138</v>
      </c>
      <c r="J138" s="481" t="s">
        <v>45</v>
      </c>
      <c r="K138" s="486" t="s">
        <v>45</v>
      </c>
    </row>
    <row r="139" spans="1:11" s="438" customFormat="1" ht="68.25" thickBot="1">
      <c r="A139" s="477" t="s">
        <v>47</v>
      </c>
      <c r="B139" s="471">
        <v>42720</v>
      </c>
      <c r="C139" s="479">
        <v>0.32291666666666669</v>
      </c>
      <c r="D139" s="481" t="s">
        <v>2954</v>
      </c>
      <c r="E139" s="479">
        <v>0.36458333333333331</v>
      </c>
      <c r="F139" s="484" t="s">
        <v>2947</v>
      </c>
      <c r="G139" s="484" t="s">
        <v>124</v>
      </c>
      <c r="H139" s="481" t="s">
        <v>2910</v>
      </c>
      <c r="I139" s="481" t="s">
        <v>100</v>
      </c>
      <c r="J139" s="481">
        <v>0</v>
      </c>
      <c r="K139" s="486">
        <v>0</v>
      </c>
    </row>
    <row r="140" spans="1:11" s="438" customFormat="1" ht="68.25" thickBot="1">
      <c r="A140" s="477" t="s">
        <v>47</v>
      </c>
      <c r="B140" s="471">
        <v>42730</v>
      </c>
      <c r="C140" s="479">
        <v>0.16666666666666666</v>
      </c>
      <c r="D140" s="481" t="s">
        <v>2955</v>
      </c>
      <c r="E140" s="479">
        <v>0.25</v>
      </c>
      <c r="F140" s="484" t="s">
        <v>2853</v>
      </c>
      <c r="G140" s="484" t="s">
        <v>124</v>
      </c>
      <c r="H140" s="481" t="s">
        <v>2910</v>
      </c>
      <c r="I140" s="481" t="s">
        <v>100</v>
      </c>
      <c r="J140" s="481">
        <v>0</v>
      </c>
      <c r="K140" s="486">
        <v>0</v>
      </c>
    </row>
    <row r="141" spans="1:11" s="438" customFormat="1" ht="34.5" thickBot="1">
      <c r="A141" s="477" t="s">
        <v>47</v>
      </c>
      <c r="B141" s="471">
        <v>42732</v>
      </c>
      <c r="C141" s="479">
        <v>0.16874999999999998</v>
      </c>
      <c r="D141" s="481" t="s">
        <v>2956</v>
      </c>
      <c r="E141" s="479">
        <v>0.25</v>
      </c>
      <c r="F141" s="484" t="s">
        <v>2945</v>
      </c>
      <c r="G141" s="484" t="s">
        <v>124</v>
      </c>
      <c r="H141" s="481" t="s">
        <v>2780</v>
      </c>
      <c r="I141" s="481" t="s">
        <v>1138</v>
      </c>
      <c r="J141" s="481">
        <v>0</v>
      </c>
      <c r="K141" s="486">
        <v>0</v>
      </c>
    </row>
    <row r="142" spans="1:11" s="438" customFormat="1" ht="34.5" thickBot="1">
      <c r="A142" s="477" t="s">
        <v>47</v>
      </c>
      <c r="B142" s="471">
        <v>42734</v>
      </c>
      <c r="C142" s="479">
        <v>0.37152777777777773</v>
      </c>
      <c r="D142" s="481" t="s">
        <v>2957</v>
      </c>
      <c r="E142" s="479">
        <v>0.37222222222222223</v>
      </c>
      <c r="F142" s="484" t="s">
        <v>2958</v>
      </c>
      <c r="G142" s="493" t="s">
        <v>61</v>
      </c>
      <c r="H142" s="481" t="s">
        <v>2944</v>
      </c>
      <c r="I142" s="481" t="s">
        <v>2798</v>
      </c>
      <c r="J142" s="481">
        <v>0</v>
      </c>
      <c r="K142" s="486">
        <v>0</v>
      </c>
    </row>
    <row r="143" spans="1:11" s="438" customFormat="1" ht="34.5" thickBot="1">
      <c r="A143" s="512" t="s">
        <v>47</v>
      </c>
      <c r="B143" s="471">
        <v>42734</v>
      </c>
      <c r="C143" s="514">
        <v>0.10416666666666667</v>
      </c>
      <c r="D143" s="513" t="s">
        <v>2957</v>
      </c>
      <c r="E143" s="514">
        <v>0.79166666666666663</v>
      </c>
      <c r="F143" s="515" t="s">
        <v>2959</v>
      </c>
      <c r="G143" s="516" t="s">
        <v>61</v>
      </c>
      <c r="H143" s="513" t="s">
        <v>2753</v>
      </c>
      <c r="I143" s="513" t="s">
        <v>2960</v>
      </c>
      <c r="J143" s="513" t="s">
        <v>45</v>
      </c>
      <c r="K143" s="517">
        <v>85263</v>
      </c>
    </row>
    <row r="144" spans="1:11" s="438" customFormat="1" ht="21" customHeight="1">
      <c r="A144" s="455"/>
      <c r="B144" s="456"/>
      <c r="C144" s="457"/>
      <c r="D144" s="456"/>
      <c r="E144" s="457"/>
      <c r="F144" s="458"/>
      <c r="G144" s="459"/>
      <c r="H144" s="460"/>
      <c r="I144" s="459"/>
      <c r="J144" s="461"/>
      <c r="K144" s="462"/>
    </row>
    <row r="145" spans="1:11" s="438" customFormat="1" ht="19.5" customHeight="1">
      <c r="A145" s="455"/>
      <c r="B145" s="456"/>
      <c r="C145" s="457"/>
      <c r="D145" s="456"/>
      <c r="E145" s="457"/>
      <c r="F145" s="458"/>
      <c r="G145" s="459"/>
      <c r="H145" s="460"/>
      <c r="I145" s="459"/>
      <c r="J145" s="461"/>
      <c r="K145" s="462"/>
    </row>
    <row r="146" spans="1:11" s="438" customFormat="1" ht="15" customHeight="1">
      <c r="A146" s="455"/>
      <c r="B146" s="456"/>
      <c r="C146" s="457"/>
      <c r="D146" s="456"/>
      <c r="E146" s="457"/>
      <c r="F146" s="458"/>
      <c r="G146" s="459"/>
      <c r="H146" s="460"/>
      <c r="I146" s="459"/>
      <c r="J146" s="461"/>
      <c r="K146" s="462"/>
    </row>
    <row r="147" spans="1:11" s="438" customFormat="1" ht="15" customHeight="1">
      <c r="A147" s="455"/>
      <c r="B147" s="456"/>
      <c r="C147" s="457"/>
      <c r="D147" s="456"/>
      <c r="E147" s="457"/>
      <c r="F147" s="458"/>
      <c r="G147" s="459"/>
      <c r="H147" s="460"/>
      <c r="I147" s="459"/>
      <c r="J147" s="461"/>
      <c r="K147" s="462"/>
    </row>
    <row r="148" spans="1:11" s="438" customFormat="1" ht="15" customHeight="1">
      <c r="A148" s="455"/>
      <c r="B148" s="456"/>
      <c r="C148" s="457"/>
      <c r="D148" s="456"/>
      <c r="E148" s="457"/>
      <c r="F148" s="458"/>
      <c r="G148" s="459"/>
      <c r="H148" s="460"/>
      <c r="I148" s="459"/>
      <c r="J148" s="461"/>
      <c r="K148" s="462"/>
    </row>
    <row r="149" spans="1:11" s="438" customFormat="1" ht="15" customHeight="1">
      <c r="A149" s="455"/>
      <c r="B149" s="456"/>
      <c r="C149" s="457"/>
      <c r="D149" s="456"/>
      <c r="E149" s="457"/>
      <c r="F149" s="458"/>
      <c r="G149" s="459"/>
      <c r="H149" s="460"/>
      <c r="I149" s="459"/>
      <c r="J149" s="461"/>
      <c r="K149" s="462"/>
    </row>
    <row r="150" spans="1:11" s="438" customFormat="1" ht="15" customHeight="1">
      <c r="A150" s="455"/>
      <c r="B150" s="456"/>
      <c r="C150" s="457"/>
      <c r="D150" s="456"/>
      <c r="E150" s="457"/>
      <c r="F150" s="458"/>
      <c r="G150" s="459"/>
      <c r="H150" s="460"/>
      <c r="I150" s="459"/>
      <c r="J150" s="461"/>
      <c r="K150" s="462"/>
    </row>
    <row r="151" spans="1:11" s="438" customFormat="1" ht="15" customHeight="1">
      <c r="A151" s="455"/>
      <c r="B151" s="456"/>
      <c r="C151" s="457"/>
      <c r="D151" s="456"/>
      <c r="E151" s="457"/>
      <c r="F151" s="458"/>
      <c r="G151" s="459"/>
      <c r="H151" s="460"/>
      <c r="I151" s="459"/>
      <c r="J151" s="461"/>
      <c r="K151" s="462"/>
    </row>
    <row r="152" spans="1:11" s="438" customFormat="1" ht="15" customHeight="1">
      <c r="A152" s="455"/>
      <c r="B152" s="456"/>
      <c r="C152" s="457"/>
      <c r="D152" s="456"/>
      <c r="E152" s="457"/>
      <c r="F152" s="458"/>
      <c r="G152" s="459"/>
      <c r="H152" s="460"/>
      <c r="I152" s="459"/>
      <c r="J152" s="461"/>
      <c r="K152" s="462"/>
    </row>
    <row r="153" spans="1:11" s="438" customFormat="1" ht="15" customHeight="1">
      <c r="A153" s="455"/>
      <c r="B153" s="456"/>
      <c r="C153" s="457"/>
      <c r="D153" s="456"/>
      <c r="E153" s="457"/>
      <c r="F153" s="458"/>
      <c r="G153" s="459"/>
      <c r="H153" s="460"/>
      <c r="I153" s="459"/>
      <c r="J153" s="461"/>
      <c r="K153" s="462"/>
    </row>
    <row r="154" spans="1:11" s="438" customFormat="1" ht="15" customHeight="1">
      <c r="A154" s="455"/>
      <c r="B154" s="456"/>
      <c r="C154" s="457"/>
      <c r="D154" s="456"/>
      <c r="E154" s="457"/>
      <c r="F154" s="458"/>
      <c r="G154" s="459"/>
      <c r="H154" s="460"/>
      <c r="I154" s="459"/>
      <c r="J154" s="461"/>
      <c r="K154" s="462"/>
    </row>
    <row r="155" spans="1:11" s="438" customFormat="1" ht="15" customHeight="1">
      <c r="A155" s="455"/>
      <c r="B155" s="456"/>
      <c r="C155" s="457"/>
      <c r="D155" s="456"/>
      <c r="E155" s="457"/>
      <c r="F155" s="458"/>
      <c r="G155" s="459"/>
      <c r="H155" s="460"/>
      <c r="I155" s="459"/>
      <c r="J155" s="461"/>
      <c r="K155" s="462"/>
    </row>
    <row r="156" spans="1:11" s="438" customFormat="1" ht="30" customHeight="1">
      <c r="A156" s="455"/>
      <c r="B156" s="456"/>
      <c r="C156" s="457"/>
      <c r="D156" s="456"/>
      <c r="E156" s="457"/>
      <c r="F156" s="458"/>
      <c r="G156" s="459"/>
      <c r="H156" s="460"/>
      <c r="I156" s="459"/>
      <c r="J156" s="461"/>
      <c r="K156" s="462"/>
    </row>
    <row r="157" spans="1:11" s="438" customFormat="1" ht="15" customHeight="1">
      <c r="A157" s="455"/>
      <c r="B157" s="456"/>
      <c r="C157" s="457"/>
      <c r="D157" s="456"/>
      <c r="E157" s="457"/>
      <c r="F157" s="458"/>
      <c r="G157" s="459"/>
      <c r="H157" s="460"/>
      <c r="I157" s="459"/>
      <c r="J157" s="461"/>
      <c r="K157" s="462"/>
    </row>
    <row r="158" spans="1:11" s="438" customFormat="1" ht="15" customHeight="1">
      <c r="A158" s="455"/>
      <c r="B158" s="456"/>
      <c r="C158" s="457"/>
      <c r="D158" s="456"/>
      <c r="E158" s="457"/>
      <c r="F158" s="458"/>
      <c r="G158" s="459"/>
      <c r="H158" s="460"/>
      <c r="I158" s="459"/>
      <c r="J158" s="461"/>
      <c r="K158" s="462"/>
    </row>
    <row r="159" spans="1:11" s="438" customFormat="1" ht="15" customHeight="1">
      <c r="A159" s="455"/>
      <c r="B159" s="456"/>
      <c r="C159" s="457"/>
      <c r="D159" s="456"/>
      <c r="E159" s="457"/>
      <c r="F159" s="458"/>
      <c r="G159" s="459"/>
      <c r="H159" s="460"/>
      <c r="I159" s="459"/>
      <c r="J159" s="461"/>
      <c r="K159" s="462"/>
    </row>
    <row r="160" spans="1:11" s="438" customFormat="1" ht="15" customHeight="1">
      <c r="A160" s="455"/>
      <c r="B160" s="456"/>
      <c r="C160" s="457"/>
      <c r="D160" s="456"/>
      <c r="E160" s="457"/>
      <c r="F160" s="458"/>
      <c r="G160" s="459"/>
      <c r="H160" s="460"/>
      <c r="I160" s="459"/>
      <c r="J160" s="461"/>
      <c r="K160" s="462"/>
    </row>
    <row r="161" spans="1:11" s="438" customFormat="1" ht="15" customHeight="1">
      <c r="A161" s="455"/>
      <c r="B161" s="456"/>
      <c r="C161" s="457"/>
      <c r="D161" s="456"/>
      <c r="E161" s="457"/>
      <c r="F161" s="458"/>
      <c r="G161" s="459"/>
      <c r="H161" s="460"/>
      <c r="I161" s="459"/>
      <c r="J161" s="461"/>
      <c r="K161" s="462"/>
    </row>
    <row r="162" spans="1:11" s="438" customFormat="1" ht="15" customHeight="1">
      <c r="A162" s="455"/>
      <c r="B162" s="456"/>
      <c r="C162" s="457"/>
      <c r="D162" s="456"/>
      <c r="E162" s="457"/>
      <c r="F162" s="458"/>
      <c r="G162" s="459"/>
      <c r="H162" s="460"/>
      <c r="I162" s="459"/>
      <c r="J162" s="461"/>
      <c r="K162" s="462"/>
    </row>
    <row r="163" spans="1:11" s="438" customFormat="1" ht="28.5" customHeight="1">
      <c r="A163" s="455"/>
      <c r="B163" s="456"/>
      <c r="C163" s="457"/>
      <c r="D163" s="456"/>
      <c r="E163" s="457"/>
      <c r="F163" s="458"/>
      <c r="G163" s="459"/>
      <c r="H163" s="460"/>
      <c r="I163" s="459"/>
      <c r="J163" s="461"/>
      <c r="K163" s="462"/>
    </row>
    <row r="164" spans="1:11" s="438" customFormat="1" ht="15" customHeight="1">
      <c r="A164" s="455"/>
      <c r="B164" s="456"/>
      <c r="C164" s="457"/>
      <c r="D164" s="456"/>
      <c r="E164" s="457"/>
      <c r="F164" s="458"/>
      <c r="G164" s="459"/>
      <c r="H164" s="460"/>
      <c r="I164" s="459"/>
      <c r="J164" s="461"/>
      <c r="K164" s="462"/>
    </row>
    <row r="165" spans="1:11" s="438" customFormat="1" ht="15" customHeight="1">
      <c r="A165" s="455"/>
      <c r="B165" s="456"/>
      <c r="C165" s="457"/>
      <c r="D165" s="456"/>
      <c r="E165" s="457"/>
      <c r="F165" s="458"/>
      <c r="G165" s="459"/>
      <c r="H165" s="460"/>
      <c r="I165" s="459"/>
      <c r="J165" s="461"/>
      <c r="K165" s="462"/>
    </row>
    <row r="166" spans="1:11" s="438" customFormat="1" ht="15" customHeight="1">
      <c r="A166" s="455"/>
      <c r="B166" s="456"/>
      <c r="C166" s="457"/>
      <c r="D166" s="456"/>
      <c r="E166" s="457"/>
      <c r="F166" s="458"/>
      <c r="G166" s="459"/>
      <c r="H166" s="460"/>
      <c r="I166" s="459"/>
      <c r="J166" s="461"/>
      <c r="K166" s="462"/>
    </row>
    <row r="167" spans="1:11" s="438" customFormat="1" ht="15" customHeight="1">
      <c r="A167" s="455"/>
      <c r="B167" s="456"/>
      <c r="C167" s="457"/>
      <c r="D167" s="456"/>
      <c r="E167" s="457"/>
      <c r="F167" s="458"/>
      <c r="G167" s="459"/>
      <c r="H167" s="460"/>
      <c r="I167" s="459"/>
      <c r="J167" s="461"/>
      <c r="K167" s="462"/>
    </row>
    <row r="168" spans="1:11" s="438" customFormat="1" ht="21.75" customHeight="1">
      <c r="A168" s="455"/>
      <c r="B168" s="456"/>
      <c r="C168" s="457"/>
      <c r="D168" s="456"/>
      <c r="E168" s="457"/>
      <c r="F168" s="458"/>
      <c r="G168" s="459"/>
      <c r="H168" s="460"/>
      <c r="I168" s="459"/>
      <c r="J168" s="461"/>
      <c r="K168" s="462"/>
    </row>
    <row r="169" spans="1:11" s="438" customFormat="1" ht="15" customHeight="1">
      <c r="A169" s="455"/>
      <c r="B169" s="456"/>
      <c r="C169" s="457"/>
      <c r="D169" s="456"/>
      <c r="E169" s="457"/>
      <c r="F169" s="458"/>
      <c r="G169" s="459"/>
      <c r="H169" s="460"/>
      <c r="I169" s="459"/>
      <c r="J169" s="461"/>
      <c r="K169" s="462"/>
    </row>
    <row r="170" spans="1:11" s="438" customFormat="1" ht="18.75" customHeight="1">
      <c r="A170" s="455"/>
      <c r="B170" s="456"/>
      <c r="C170" s="457"/>
      <c r="D170" s="456"/>
      <c r="E170" s="457"/>
      <c r="F170" s="458"/>
      <c r="G170" s="459"/>
      <c r="H170" s="460"/>
      <c r="I170" s="459"/>
      <c r="J170" s="461"/>
      <c r="K170" s="462"/>
    </row>
    <row r="171" spans="1:11" s="438" customFormat="1" ht="30.75" customHeight="1">
      <c r="A171" s="455"/>
      <c r="B171" s="456"/>
      <c r="C171" s="457"/>
      <c r="D171" s="456"/>
      <c r="E171" s="457"/>
      <c r="F171" s="458"/>
      <c r="G171" s="459"/>
      <c r="H171" s="460"/>
      <c r="I171" s="459"/>
      <c r="J171" s="461"/>
      <c r="K171" s="462"/>
    </row>
    <row r="172" spans="1:11" s="438" customFormat="1" ht="15" customHeight="1">
      <c r="A172" s="455"/>
      <c r="B172" s="456"/>
      <c r="C172" s="457"/>
      <c r="D172" s="456"/>
      <c r="E172" s="457"/>
      <c r="F172" s="458"/>
      <c r="G172" s="459"/>
      <c r="H172" s="460"/>
      <c r="I172" s="459"/>
      <c r="J172" s="461"/>
      <c r="K172" s="462"/>
    </row>
    <row r="173" spans="1:11" s="438" customFormat="1" ht="29.25" customHeight="1">
      <c r="A173" s="455"/>
      <c r="B173" s="456"/>
      <c r="C173" s="457"/>
      <c r="D173" s="456"/>
      <c r="E173" s="457"/>
      <c r="F173" s="458"/>
      <c r="G173" s="459"/>
      <c r="H173" s="460"/>
      <c r="I173" s="459"/>
      <c r="J173" s="461"/>
      <c r="K173" s="462"/>
    </row>
    <row r="174" spans="1:11" s="438" customFormat="1" ht="15" customHeight="1">
      <c r="A174" s="455"/>
      <c r="B174" s="456"/>
      <c r="C174" s="457"/>
      <c r="D174" s="456"/>
      <c r="E174" s="457"/>
      <c r="F174" s="458"/>
      <c r="G174" s="459"/>
      <c r="H174" s="460"/>
      <c r="I174" s="459"/>
      <c r="J174" s="461"/>
      <c r="K174" s="462"/>
    </row>
    <row r="175" spans="1:11" s="438" customFormat="1" ht="22.5" customHeight="1">
      <c r="A175" s="455"/>
      <c r="B175" s="456"/>
      <c r="C175" s="457"/>
      <c r="D175" s="456"/>
      <c r="E175" s="457"/>
      <c r="F175" s="458"/>
      <c r="G175" s="459"/>
      <c r="H175" s="460"/>
      <c r="I175" s="459"/>
      <c r="J175" s="461"/>
      <c r="K175" s="462"/>
    </row>
    <row r="176" spans="1:11" s="438" customFormat="1" ht="15" customHeight="1">
      <c r="A176" s="455"/>
      <c r="B176" s="456"/>
      <c r="C176" s="457"/>
      <c r="D176" s="456"/>
      <c r="E176" s="457"/>
      <c r="F176" s="458"/>
      <c r="G176" s="459"/>
      <c r="H176" s="460"/>
      <c r="I176" s="459"/>
      <c r="J176" s="461"/>
      <c r="K176" s="462"/>
    </row>
    <row r="177" spans="1:11" s="438" customFormat="1" ht="15" customHeight="1">
      <c r="A177" s="455"/>
      <c r="B177" s="456"/>
      <c r="C177" s="457"/>
      <c r="D177" s="456"/>
      <c r="E177" s="457"/>
      <c r="F177" s="458"/>
      <c r="G177" s="459"/>
      <c r="H177" s="460"/>
      <c r="I177" s="459"/>
      <c r="J177" s="461"/>
      <c r="K177" s="462"/>
    </row>
    <row r="178" spans="1:11" s="438" customFormat="1" ht="15" customHeight="1">
      <c r="A178" s="455"/>
      <c r="B178" s="456"/>
      <c r="C178" s="457"/>
      <c r="D178" s="456"/>
      <c r="E178" s="457"/>
      <c r="F178" s="458"/>
      <c r="G178" s="459"/>
      <c r="H178" s="460"/>
      <c r="I178" s="459"/>
      <c r="J178" s="461"/>
      <c r="K178" s="462"/>
    </row>
    <row r="179" spans="1:11" s="438" customFormat="1" ht="15" customHeight="1">
      <c r="A179" s="455"/>
      <c r="B179" s="456"/>
      <c r="C179" s="457"/>
      <c r="D179" s="456"/>
      <c r="E179" s="457"/>
      <c r="F179" s="458"/>
      <c r="G179" s="459"/>
      <c r="H179" s="460"/>
      <c r="I179" s="459"/>
      <c r="J179" s="461"/>
      <c r="K179" s="462"/>
    </row>
    <row r="180" spans="1:11" s="438" customFormat="1" ht="15" customHeight="1">
      <c r="A180" s="455"/>
      <c r="B180" s="456"/>
      <c r="C180" s="457"/>
      <c r="D180" s="456"/>
      <c r="E180" s="457"/>
      <c r="F180" s="458"/>
      <c r="G180" s="459"/>
      <c r="H180" s="460"/>
      <c r="I180" s="459"/>
      <c r="J180" s="461"/>
      <c r="K180" s="462"/>
    </row>
    <row r="181" spans="1:11" s="438" customFormat="1" ht="20.100000000000001" customHeight="1">
      <c r="A181" s="455"/>
      <c r="B181" s="456"/>
      <c r="C181" s="457"/>
      <c r="D181" s="456"/>
      <c r="E181" s="457"/>
      <c r="F181" s="458"/>
      <c r="G181" s="459"/>
      <c r="H181" s="460"/>
      <c r="I181" s="459"/>
      <c r="J181" s="461"/>
      <c r="K181" s="462"/>
    </row>
    <row r="182" spans="1:11" s="438" customFormat="1" ht="15" customHeight="1">
      <c r="A182" s="455"/>
      <c r="B182" s="456"/>
      <c r="C182" s="457"/>
      <c r="D182" s="456"/>
      <c r="E182" s="457"/>
      <c r="F182" s="458"/>
      <c r="G182" s="459"/>
      <c r="H182" s="460"/>
      <c r="I182" s="459"/>
      <c r="J182" s="461"/>
      <c r="K182" s="462"/>
    </row>
    <row r="183" spans="1:11" s="438" customFormat="1" ht="27.75" customHeight="1">
      <c r="A183" s="455"/>
      <c r="B183" s="456"/>
      <c r="C183" s="457"/>
      <c r="D183" s="456"/>
      <c r="E183" s="457"/>
      <c r="F183" s="458"/>
      <c r="G183" s="459"/>
      <c r="H183" s="460"/>
      <c r="I183" s="459"/>
      <c r="J183" s="461"/>
      <c r="K183" s="462"/>
    </row>
    <row r="184" spans="1:11" s="438" customFormat="1" ht="15" customHeight="1">
      <c r="A184" s="455"/>
      <c r="B184" s="456"/>
      <c r="C184" s="457"/>
      <c r="D184" s="456"/>
      <c r="E184" s="457"/>
      <c r="F184" s="458"/>
      <c r="G184" s="459"/>
      <c r="H184" s="460"/>
      <c r="I184" s="459"/>
      <c r="J184" s="461"/>
      <c r="K184" s="462"/>
    </row>
    <row r="185" spans="1:11" s="438" customFormat="1" ht="15" customHeight="1">
      <c r="A185" s="455"/>
      <c r="B185" s="456"/>
      <c r="C185" s="457"/>
      <c r="D185" s="456"/>
      <c r="E185" s="457"/>
      <c r="F185" s="458"/>
      <c r="G185" s="459"/>
      <c r="H185" s="460"/>
      <c r="I185" s="459"/>
      <c r="J185" s="461"/>
      <c r="K185" s="462"/>
    </row>
    <row r="186" spans="1:11" s="438" customFormat="1" ht="15" customHeight="1">
      <c r="A186" s="455"/>
      <c r="B186" s="456"/>
      <c r="C186" s="457"/>
      <c r="D186" s="456"/>
      <c r="E186" s="457"/>
      <c r="F186" s="458"/>
      <c r="G186" s="459"/>
      <c r="H186" s="460"/>
      <c r="I186" s="459"/>
      <c r="J186" s="461"/>
      <c r="K186" s="462"/>
    </row>
    <row r="187" spans="1:11" s="438" customFormat="1" ht="15" customHeight="1">
      <c r="A187" s="455"/>
      <c r="B187" s="456"/>
      <c r="C187" s="457"/>
      <c r="D187" s="456"/>
      <c r="E187" s="457"/>
      <c r="F187" s="458"/>
      <c r="G187" s="459"/>
      <c r="H187" s="460"/>
      <c r="I187" s="459"/>
      <c r="J187" s="461"/>
      <c r="K187" s="462"/>
    </row>
    <row r="188" spans="1:11" s="438" customFormat="1" ht="15" customHeight="1">
      <c r="A188" s="455"/>
      <c r="B188" s="456"/>
      <c r="C188" s="457"/>
      <c r="D188" s="456"/>
      <c r="E188" s="457"/>
      <c r="F188" s="458"/>
      <c r="G188" s="459"/>
      <c r="H188" s="460"/>
      <c r="I188" s="459"/>
      <c r="J188" s="461"/>
      <c r="K188" s="462"/>
    </row>
    <row r="189" spans="1:11" s="438" customFormat="1" ht="15" customHeight="1">
      <c r="A189" s="455"/>
      <c r="B189" s="456"/>
      <c r="C189" s="457"/>
      <c r="D189" s="456"/>
      <c r="E189" s="457"/>
      <c r="F189" s="458"/>
      <c r="G189" s="459"/>
      <c r="H189" s="460"/>
      <c r="I189" s="459"/>
      <c r="J189" s="461"/>
      <c r="K189" s="462"/>
    </row>
    <row r="190" spans="1:11" s="438" customFormat="1" ht="9.9499999999999993" customHeight="1">
      <c r="A190" s="455"/>
      <c r="B190" s="456"/>
      <c r="C190" s="457"/>
      <c r="D190" s="456"/>
      <c r="E190" s="457"/>
      <c r="F190" s="458"/>
      <c r="G190" s="459"/>
      <c r="H190" s="460"/>
      <c r="I190" s="459"/>
      <c r="J190" s="461"/>
      <c r="K190" s="462"/>
    </row>
    <row r="191" spans="1:11">
      <c r="A191" s="455"/>
    </row>
  </sheetData>
  <autoFilter ref="A2:K143" xr:uid="{00000000-0009-0000-0000-00000E000000}"/>
  <mergeCells count="1">
    <mergeCell ref="A1:K1"/>
  </mergeCells>
  <printOptions gridLines="1"/>
  <pageMargins left="0.25" right="0.25" top="0.75" bottom="0.75" header="0.3" footer="0.3"/>
  <pageSetup scale="81" fitToHeight="0" orientation="landscape" r:id="rId1"/>
  <headerFooter>
    <oddFooter>&amp;C&amp;"Arial,Bold"Page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193"/>
  <sheetViews>
    <sheetView zoomScaleNormal="100" workbookViewId="0">
      <pane ySplit="2" topLeftCell="A145" activePane="bottomLeft" state="frozen"/>
      <selection pane="bottomLeft" activeCell="E2" sqref="E2"/>
    </sheetView>
  </sheetViews>
  <sheetFormatPr defaultRowHeight="14.25"/>
  <cols>
    <col min="1" max="1" width="9.140625" style="463"/>
    <col min="2" max="2" width="10.7109375" style="456" customWidth="1"/>
    <col min="3" max="3" width="10.7109375" style="457" customWidth="1"/>
    <col min="4" max="4" width="10.7109375" style="456" customWidth="1"/>
    <col min="5" max="5" width="10.7109375" style="457" customWidth="1"/>
    <col min="6" max="6" width="20.42578125" style="458" customWidth="1"/>
    <col min="7" max="7" width="6.7109375" style="459" customWidth="1"/>
    <col min="8" max="8" width="26.140625" style="460" customWidth="1"/>
    <col min="9" max="9" width="15.85546875" style="459" customWidth="1"/>
    <col min="10" max="10" width="7.7109375" style="461" customWidth="1"/>
    <col min="11" max="11" width="9.7109375" style="462" customWidth="1"/>
    <col min="12" max="16384" width="9.140625" style="419"/>
  </cols>
  <sheetData>
    <row r="1" spans="1:11" s="412" customFormat="1" ht="15">
      <c r="A1" s="857" t="s">
        <v>2961</v>
      </c>
      <c r="B1" s="857"/>
      <c r="C1" s="857"/>
      <c r="D1" s="857"/>
      <c r="E1" s="857"/>
      <c r="F1" s="857"/>
      <c r="G1" s="857"/>
      <c r="H1" s="857"/>
      <c r="I1" s="857"/>
      <c r="J1" s="857"/>
      <c r="K1" s="857"/>
    </row>
    <row r="2" spans="1:11" ht="33.75">
      <c r="A2" s="518" t="s">
        <v>2742</v>
      </c>
      <c r="B2" s="414" t="s">
        <v>2105</v>
      </c>
      <c r="C2" s="415" t="s">
        <v>2106</v>
      </c>
      <c r="D2" s="414" t="s">
        <v>2107</v>
      </c>
      <c r="E2" s="415" t="s">
        <v>2108</v>
      </c>
      <c r="F2" s="416" t="s">
        <v>67</v>
      </c>
      <c r="G2" s="416" t="s">
        <v>57</v>
      </c>
      <c r="H2" s="416" t="s">
        <v>2743</v>
      </c>
      <c r="I2" s="416" t="s">
        <v>2109</v>
      </c>
      <c r="J2" s="417" t="s">
        <v>2110</v>
      </c>
      <c r="K2" s="519" t="s">
        <v>7</v>
      </c>
    </row>
    <row r="3" spans="1:11" s="423" customFormat="1" ht="67.5">
      <c r="A3" s="481" t="s">
        <v>2962</v>
      </c>
      <c r="B3" s="478">
        <v>42740</v>
      </c>
      <c r="C3" s="479">
        <v>0.7055555555555556</v>
      </c>
      <c r="D3" s="481" t="s">
        <v>2963</v>
      </c>
      <c r="E3" s="479">
        <v>0.70624999999999993</v>
      </c>
      <c r="F3" s="481" t="s">
        <v>2964</v>
      </c>
      <c r="G3" s="481" t="s">
        <v>301</v>
      </c>
      <c r="H3" s="480" t="s">
        <v>2910</v>
      </c>
      <c r="I3" s="481" t="s">
        <v>2150</v>
      </c>
      <c r="J3" s="481">
        <v>0</v>
      </c>
      <c r="K3" s="481">
        <v>0</v>
      </c>
    </row>
    <row r="4" spans="1:11" s="423" customFormat="1" ht="33.75">
      <c r="A4" s="481" t="s">
        <v>2962</v>
      </c>
      <c r="B4" s="478">
        <v>42743</v>
      </c>
      <c r="C4" s="479">
        <v>0.37986111111111115</v>
      </c>
      <c r="D4" s="481" t="s">
        <v>2965</v>
      </c>
      <c r="E4" s="479">
        <v>0.60416666666666663</v>
      </c>
      <c r="F4" s="481" t="s">
        <v>18</v>
      </c>
      <c r="G4" s="481" t="s">
        <v>124</v>
      </c>
      <c r="H4" s="480" t="s">
        <v>2753</v>
      </c>
      <c r="I4" s="481" t="s">
        <v>22</v>
      </c>
      <c r="J4" s="481" t="s">
        <v>45</v>
      </c>
      <c r="K4" s="481">
        <v>106000</v>
      </c>
    </row>
    <row r="5" spans="1:11" s="423" customFormat="1" ht="33.75">
      <c r="A5" s="481" t="s">
        <v>2962</v>
      </c>
      <c r="B5" s="478">
        <v>42743</v>
      </c>
      <c r="C5" s="479">
        <v>0.99930555555555556</v>
      </c>
      <c r="D5" s="481" t="s">
        <v>45</v>
      </c>
      <c r="E5" s="479" t="s">
        <v>45</v>
      </c>
      <c r="F5" s="481" t="s">
        <v>18</v>
      </c>
      <c r="G5" s="481" t="s">
        <v>124</v>
      </c>
      <c r="H5" s="480" t="s">
        <v>2780</v>
      </c>
      <c r="I5" s="481" t="s">
        <v>1138</v>
      </c>
      <c r="J5" s="481">
        <v>0</v>
      </c>
      <c r="K5" s="481">
        <v>0</v>
      </c>
    </row>
    <row r="6" spans="1:11" s="423" customFormat="1" ht="33.75">
      <c r="A6" s="481" t="s">
        <v>2962</v>
      </c>
      <c r="B6" s="478">
        <v>42745</v>
      </c>
      <c r="C6" s="479">
        <v>0.8125</v>
      </c>
      <c r="D6" s="481" t="s">
        <v>2965</v>
      </c>
      <c r="E6" s="479">
        <v>0.60416666666666663</v>
      </c>
      <c r="F6" s="481" t="s">
        <v>18</v>
      </c>
      <c r="G6" s="481" t="s">
        <v>124</v>
      </c>
      <c r="H6" s="480" t="s">
        <v>2753</v>
      </c>
      <c r="I6" s="481" t="s">
        <v>22</v>
      </c>
      <c r="J6" s="481" t="s">
        <v>45</v>
      </c>
      <c r="K6" s="481">
        <v>87000</v>
      </c>
    </row>
    <row r="7" spans="1:11" s="423" customFormat="1" ht="33.75">
      <c r="A7" s="481" t="s">
        <v>2962</v>
      </c>
      <c r="B7" s="478">
        <v>42750</v>
      </c>
      <c r="C7" s="479">
        <v>0.27430555555555552</v>
      </c>
      <c r="D7" s="481" t="s">
        <v>2966</v>
      </c>
      <c r="E7" s="479">
        <v>0.32222222222222224</v>
      </c>
      <c r="F7" s="481" t="s">
        <v>2967</v>
      </c>
      <c r="G7" s="481" t="s">
        <v>124</v>
      </c>
      <c r="H7" s="480" t="s">
        <v>2753</v>
      </c>
      <c r="I7" s="481" t="s">
        <v>2968</v>
      </c>
      <c r="J7" s="481">
        <v>176</v>
      </c>
      <c r="K7" s="481">
        <v>126000</v>
      </c>
    </row>
    <row r="8" spans="1:11" ht="67.5">
      <c r="A8" s="481" t="s">
        <v>2962</v>
      </c>
      <c r="B8" s="478">
        <v>42750</v>
      </c>
      <c r="C8" s="479">
        <v>0.39374999999999999</v>
      </c>
      <c r="D8" s="481" t="s">
        <v>2969</v>
      </c>
      <c r="E8" s="479">
        <v>8.1944444444444445E-2</v>
      </c>
      <c r="F8" s="481" t="s">
        <v>2970</v>
      </c>
      <c r="G8" s="481" t="s">
        <v>58</v>
      </c>
      <c r="H8" s="480" t="s">
        <v>2839</v>
      </c>
      <c r="I8" s="481" t="s">
        <v>22</v>
      </c>
      <c r="J8" s="481">
        <v>1</v>
      </c>
      <c r="K8" s="481">
        <v>788</v>
      </c>
    </row>
    <row r="9" spans="1:11" ht="33.75">
      <c r="A9" s="481" t="s">
        <v>2962</v>
      </c>
      <c r="B9" s="478">
        <v>42753</v>
      </c>
      <c r="C9" s="479">
        <v>0.75347222222222221</v>
      </c>
      <c r="D9" s="481" t="s">
        <v>2971</v>
      </c>
      <c r="E9" s="479">
        <v>3.472222222222222E-3</v>
      </c>
      <c r="F9" s="481" t="s">
        <v>18</v>
      </c>
      <c r="G9" s="481" t="s">
        <v>124</v>
      </c>
      <c r="H9" s="480" t="s">
        <v>2753</v>
      </c>
      <c r="I9" s="481" t="s">
        <v>22</v>
      </c>
      <c r="J9" s="481" t="s">
        <v>45</v>
      </c>
      <c r="K9" s="481">
        <v>75000</v>
      </c>
    </row>
    <row r="10" spans="1:11" ht="33.75">
      <c r="A10" s="481" t="s">
        <v>2962</v>
      </c>
      <c r="B10" s="478">
        <v>42757</v>
      </c>
      <c r="C10" s="479">
        <v>0.17708333333333334</v>
      </c>
      <c r="D10" s="481" t="s">
        <v>2972</v>
      </c>
      <c r="E10" s="479">
        <v>0.58333333333333337</v>
      </c>
      <c r="F10" s="481" t="s">
        <v>18</v>
      </c>
      <c r="G10" s="495" t="s">
        <v>124</v>
      </c>
      <c r="H10" s="480" t="s">
        <v>2753</v>
      </c>
      <c r="I10" s="481" t="s">
        <v>22</v>
      </c>
      <c r="J10" s="481">
        <v>97</v>
      </c>
      <c r="K10" s="481">
        <v>64000</v>
      </c>
    </row>
    <row r="11" spans="1:11" ht="33.75">
      <c r="A11" s="481" t="s">
        <v>2962</v>
      </c>
      <c r="B11" s="478">
        <v>42757</v>
      </c>
      <c r="C11" s="479">
        <v>0.25</v>
      </c>
      <c r="D11" s="481" t="s">
        <v>45</v>
      </c>
      <c r="E11" s="479" t="s">
        <v>45</v>
      </c>
      <c r="F11" s="481" t="s">
        <v>18</v>
      </c>
      <c r="G11" s="495" t="s">
        <v>124</v>
      </c>
      <c r="H11" s="480" t="s">
        <v>2780</v>
      </c>
      <c r="I11" s="481" t="s">
        <v>1138</v>
      </c>
      <c r="J11" s="481">
        <v>0</v>
      </c>
      <c r="K11" s="481">
        <v>0</v>
      </c>
    </row>
    <row r="12" spans="1:11" ht="33.75">
      <c r="A12" s="481" t="s">
        <v>2962</v>
      </c>
      <c r="B12" s="478">
        <v>42757</v>
      </c>
      <c r="C12" s="479">
        <v>0.66666666666666663</v>
      </c>
      <c r="D12" s="481" t="s">
        <v>2973</v>
      </c>
      <c r="E12" s="479">
        <v>0.14305555555555557</v>
      </c>
      <c r="F12" s="481" t="s">
        <v>2974</v>
      </c>
      <c r="G12" s="495" t="s">
        <v>63</v>
      </c>
      <c r="H12" s="480" t="s">
        <v>2753</v>
      </c>
      <c r="I12" s="481" t="s">
        <v>22</v>
      </c>
      <c r="J12" s="481">
        <v>100</v>
      </c>
      <c r="K12" s="481">
        <v>29965</v>
      </c>
    </row>
    <row r="13" spans="1:11" ht="45">
      <c r="A13" s="481" t="s">
        <v>17</v>
      </c>
      <c r="B13" s="478">
        <v>42768</v>
      </c>
      <c r="C13" s="479">
        <v>4.4444444444444446E-2</v>
      </c>
      <c r="D13" s="478">
        <v>42768</v>
      </c>
      <c r="E13" s="479">
        <v>0.20833333333333334</v>
      </c>
      <c r="F13" s="481" t="s">
        <v>2975</v>
      </c>
      <c r="G13" s="481" t="s">
        <v>124</v>
      </c>
      <c r="H13" s="480" t="s">
        <v>2769</v>
      </c>
      <c r="I13" s="481" t="s">
        <v>2483</v>
      </c>
      <c r="J13" s="495">
        <v>396</v>
      </c>
      <c r="K13" s="495">
        <v>149223</v>
      </c>
    </row>
    <row r="14" spans="1:11" ht="45">
      <c r="A14" s="481" t="s">
        <v>17</v>
      </c>
      <c r="B14" s="478">
        <v>42768</v>
      </c>
      <c r="C14" s="479">
        <v>4.9305555555555554E-2</v>
      </c>
      <c r="D14" s="481" t="s">
        <v>45</v>
      </c>
      <c r="E14" s="479" t="s">
        <v>45</v>
      </c>
      <c r="F14" s="481" t="s">
        <v>2893</v>
      </c>
      <c r="G14" s="481" t="s">
        <v>124</v>
      </c>
      <c r="H14" s="480" t="s">
        <v>2769</v>
      </c>
      <c r="I14" s="481" t="s">
        <v>2483</v>
      </c>
      <c r="J14" s="495">
        <v>400</v>
      </c>
      <c r="K14" s="495" t="s">
        <v>45</v>
      </c>
    </row>
    <row r="15" spans="1:11" ht="33.75">
      <c r="A15" s="481" t="s">
        <v>17</v>
      </c>
      <c r="B15" s="478">
        <v>42772</v>
      </c>
      <c r="C15" s="479">
        <v>4.1666666666666664E-2</v>
      </c>
      <c r="D15" s="478">
        <v>42772</v>
      </c>
      <c r="E15" s="479">
        <v>0.8125</v>
      </c>
      <c r="F15" s="481" t="s">
        <v>2976</v>
      </c>
      <c r="G15" s="481" t="s">
        <v>124</v>
      </c>
      <c r="H15" s="480" t="s">
        <v>2753</v>
      </c>
      <c r="I15" s="481" t="s">
        <v>22</v>
      </c>
      <c r="J15" s="495" t="s">
        <v>45</v>
      </c>
      <c r="K15" s="495">
        <v>103000</v>
      </c>
    </row>
    <row r="16" spans="1:11" ht="33.75">
      <c r="A16" s="481" t="s">
        <v>17</v>
      </c>
      <c r="B16" s="478">
        <v>42775</v>
      </c>
      <c r="C16" s="479">
        <v>0.67013888888888884</v>
      </c>
      <c r="D16" s="478">
        <v>42776</v>
      </c>
      <c r="E16" s="479">
        <v>0.21875</v>
      </c>
      <c r="F16" s="481" t="s">
        <v>2834</v>
      </c>
      <c r="G16" s="481" t="s">
        <v>61</v>
      </c>
      <c r="H16" s="480" t="s">
        <v>2753</v>
      </c>
      <c r="I16" s="481" t="s">
        <v>22</v>
      </c>
      <c r="J16" s="495" t="s">
        <v>45</v>
      </c>
      <c r="K16" s="495">
        <v>11525</v>
      </c>
    </row>
    <row r="17" spans="1:11" ht="67.5">
      <c r="A17" s="481" t="s">
        <v>17</v>
      </c>
      <c r="B17" s="478">
        <v>42777</v>
      </c>
      <c r="C17" s="479">
        <v>0.65694444444444444</v>
      </c>
      <c r="D17" s="478">
        <v>42777</v>
      </c>
      <c r="E17" s="479">
        <v>0.65972222222222221</v>
      </c>
      <c r="F17" s="481" t="s">
        <v>1320</v>
      </c>
      <c r="G17" s="481" t="s">
        <v>124</v>
      </c>
      <c r="H17" s="480" t="s">
        <v>2910</v>
      </c>
      <c r="I17" s="481" t="s">
        <v>2293</v>
      </c>
      <c r="J17" s="495">
        <v>0</v>
      </c>
      <c r="K17" s="495">
        <v>0</v>
      </c>
    </row>
    <row r="18" spans="1:11" ht="67.5">
      <c r="A18" s="481" t="s">
        <v>17</v>
      </c>
      <c r="B18" s="478">
        <v>42779</v>
      </c>
      <c r="C18" s="479">
        <v>0.54166666666666663</v>
      </c>
      <c r="D18" s="478">
        <v>42781</v>
      </c>
      <c r="E18" s="479">
        <v>0.56597222222222221</v>
      </c>
      <c r="F18" s="481" t="s">
        <v>2977</v>
      </c>
      <c r="G18" s="481" t="s">
        <v>63</v>
      </c>
      <c r="H18" s="480" t="s">
        <v>2910</v>
      </c>
      <c r="I18" s="481" t="s">
        <v>2978</v>
      </c>
      <c r="J18" s="495">
        <v>0</v>
      </c>
      <c r="K18" s="495">
        <v>0</v>
      </c>
    </row>
    <row r="19" spans="1:11" ht="67.5">
      <c r="A19" s="481" t="s">
        <v>17</v>
      </c>
      <c r="B19" s="478">
        <v>42783</v>
      </c>
      <c r="C19" s="479">
        <v>0.54166666666666663</v>
      </c>
      <c r="D19" s="478">
        <v>42783</v>
      </c>
      <c r="E19" s="479">
        <v>0.55208333333333337</v>
      </c>
      <c r="F19" s="481" t="s">
        <v>2817</v>
      </c>
      <c r="G19" s="481" t="s">
        <v>124</v>
      </c>
      <c r="H19" s="480" t="s">
        <v>2910</v>
      </c>
      <c r="I19" s="481" t="s">
        <v>2978</v>
      </c>
      <c r="J19" s="495">
        <v>0</v>
      </c>
      <c r="K19" s="495">
        <v>0</v>
      </c>
    </row>
    <row r="20" spans="1:11" ht="33.75">
      <c r="A20" s="481" t="s">
        <v>17</v>
      </c>
      <c r="B20" s="478">
        <v>42783</v>
      </c>
      <c r="C20" s="479">
        <v>0.625</v>
      </c>
      <c r="D20" s="478">
        <v>42786</v>
      </c>
      <c r="E20" s="479">
        <v>0.45833333333333331</v>
      </c>
      <c r="F20" s="481" t="s">
        <v>2967</v>
      </c>
      <c r="G20" s="481" t="s">
        <v>124</v>
      </c>
      <c r="H20" s="480" t="s">
        <v>2753</v>
      </c>
      <c r="I20" s="481" t="s">
        <v>22</v>
      </c>
      <c r="J20" s="495" t="s">
        <v>45</v>
      </c>
      <c r="K20" s="495">
        <v>111591</v>
      </c>
    </row>
    <row r="21" spans="1:11" ht="33.75">
      <c r="A21" s="481" t="s">
        <v>17</v>
      </c>
      <c r="B21" s="478">
        <v>42783</v>
      </c>
      <c r="C21" s="479">
        <v>0.33958333333333335</v>
      </c>
      <c r="D21" s="478">
        <v>42788</v>
      </c>
      <c r="E21" s="479">
        <v>0.8125</v>
      </c>
      <c r="F21" s="481" t="s">
        <v>18</v>
      </c>
      <c r="G21" s="481" t="s">
        <v>124</v>
      </c>
      <c r="H21" s="480" t="s">
        <v>2753</v>
      </c>
      <c r="I21" s="481" t="s">
        <v>22</v>
      </c>
      <c r="J21" s="495">
        <v>254</v>
      </c>
      <c r="K21" s="495">
        <v>169250</v>
      </c>
    </row>
    <row r="22" spans="1:11" ht="33.75">
      <c r="A22" s="481" t="s">
        <v>17</v>
      </c>
      <c r="B22" s="478">
        <v>42783</v>
      </c>
      <c r="C22" s="479">
        <v>0.18888888888888888</v>
      </c>
      <c r="D22" s="478">
        <v>42783</v>
      </c>
      <c r="E22" s="479">
        <v>0.20972222222222223</v>
      </c>
      <c r="F22" s="481" t="s">
        <v>2979</v>
      </c>
      <c r="G22" s="481" t="s">
        <v>58</v>
      </c>
      <c r="H22" s="480" t="s">
        <v>2944</v>
      </c>
      <c r="I22" s="495" t="s">
        <v>2764</v>
      </c>
      <c r="J22" s="495">
        <v>0</v>
      </c>
      <c r="K22" s="495">
        <v>0</v>
      </c>
    </row>
    <row r="23" spans="1:11" ht="33.75">
      <c r="A23" s="481" t="s">
        <v>20</v>
      </c>
      <c r="B23" s="478">
        <v>42795</v>
      </c>
      <c r="C23" s="479">
        <v>0.49236111111111108</v>
      </c>
      <c r="D23" s="481" t="s">
        <v>2981</v>
      </c>
      <c r="E23" s="479">
        <v>0.89583333333333337</v>
      </c>
      <c r="F23" s="481" t="s">
        <v>2982</v>
      </c>
      <c r="G23" s="481" t="s">
        <v>826</v>
      </c>
      <c r="H23" s="480" t="s">
        <v>2753</v>
      </c>
      <c r="I23" s="481" t="s">
        <v>22</v>
      </c>
      <c r="J23" s="481" t="s">
        <v>45</v>
      </c>
      <c r="K23" s="481">
        <v>98575</v>
      </c>
    </row>
    <row r="24" spans="1:11" ht="33.75">
      <c r="A24" s="481" t="s">
        <v>20</v>
      </c>
      <c r="B24" s="478">
        <v>42795</v>
      </c>
      <c r="C24" s="494">
        <v>0.35416666666666669</v>
      </c>
      <c r="D24" s="481" t="s">
        <v>2980</v>
      </c>
      <c r="E24" s="494">
        <v>0.58333333333333337</v>
      </c>
      <c r="F24" s="481" t="s">
        <v>2983</v>
      </c>
      <c r="G24" s="481" t="s">
        <v>63</v>
      </c>
      <c r="H24" s="480" t="s">
        <v>2753</v>
      </c>
      <c r="I24" s="481" t="s">
        <v>22</v>
      </c>
      <c r="J24" s="481" t="s">
        <v>45</v>
      </c>
      <c r="K24" s="481">
        <v>58000</v>
      </c>
    </row>
    <row r="25" spans="1:11" ht="45">
      <c r="A25" s="481" t="s">
        <v>20</v>
      </c>
      <c r="B25" s="478">
        <v>42796</v>
      </c>
      <c r="C25" s="494">
        <v>0.51388888888888895</v>
      </c>
      <c r="D25" s="481" t="s">
        <v>2981</v>
      </c>
      <c r="E25" s="494">
        <v>0.98958333333333337</v>
      </c>
      <c r="F25" s="481" t="s">
        <v>2984</v>
      </c>
      <c r="G25" s="481" t="s">
        <v>61</v>
      </c>
      <c r="H25" s="480" t="s">
        <v>2753</v>
      </c>
      <c r="I25" s="481" t="s">
        <v>22</v>
      </c>
      <c r="J25" s="481" t="s">
        <v>45</v>
      </c>
      <c r="K25" s="481">
        <v>54316</v>
      </c>
    </row>
    <row r="26" spans="1:11" s="412" customFormat="1" ht="67.5">
      <c r="A26" s="481" t="s">
        <v>20</v>
      </c>
      <c r="B26" s="478">
        <v>42800</v>
      </c>
      <c r="C26" s="494">
        <v>0.83333333333333337</v>
      </c>
      <c r="D26" s="481" t="s">
        <v>2985</v>
      </c>
      <c r="E26" s="494">
        <v>4.1666666666666664E-2</v>
      </c>
      <c r="F26" s="481" t="s">
        <v>2986</v>
      </c>
      <c r="G26" s="481" t="s">
        <v>63</v>
      </c>
      <c r="H26" s="480" t="s">
        <v>2753</v>
      </c>
      <c r="I26" s="481" t="s">
        <v>22</v>
      </c>
      <c r="J26" s="481" t="s">
        <v>45</v>
      </c>
      <c r="K26" s="481">
        <v>97734</v>
      </c>
    </row>
    <row r="27" spans="1:11" s="412" customFormat="1" ht="33.75">
      <c r="A27" s="481" t="s">
        <v>20</v>
      </c>
      <c r="B27" s="478">
        <v>42802</v>
      </c>
      <c r="C27" s="479">
        <v>0.47916666666666669</v>
      </c>
      <c r="D27" s="481" t="s">
        <v>2987</v>
      </c>
      <c r="E27" s="479">
        <v>0.82777777777777783</v>
      </c>
      <c r="F27" s="481" t="s">
        <v>160</v>
      </c>
      <c r="G27" s="481" t="s">
        <v>826</v>
      </c>
      <c r="H27" s="480" t="s">
        <v>2753</v>
      </c>
      <c r="I27" s="481" t="s">
        <v>22</v>
      </c>
      <c r="J27" s="481" t="s">
        <v>45</v>
      </c>
      <c r="K27" s="481">
        <v>71012</v>
      </c>
    </row>
    <row r="28" spans="1:11" s="412" customFormat="1" ht="33.75">
      <c r="A28" s="481" t="s">
        <v>20</v>
      </c>
      <c r="B28" s="478">
        <v>42802</v>
      </c>
      <c r="C28" s="494">
        <v>0.5</v>
      </c>
      <c r="D28" s="481" t="s">
        <v>2988</v>
      </c>
      <c r="E28" s="494">
        <v>0.47986111111111113</v>
      </c>
      <c r="F28" s="481" t="s">
        <v>1833</v>
      </c>
      <c r="G28" s="481" t="s">
        <v>826</v>
      </c>
      <c r="H28" s="484" t="s">
        <v>2753</v>
      </c>
      <c r="I28" s="481" t="s">
        <v>22</v>
      </c>
      <c r="J28" s="481" t="s">
        <v>45</v>
      </c>
      <c r="K28" s="481">
        <v>800000</v>
      </c>
    </row>
    <row r="29" spans="1:11" s="412" customFormat="1" ht="78.75">
      <c r="A29" s="481" t="s">
        <v>20</v>
      </c>
      <c r="B29" s="478">
        <v>42802</v>
      </c>
      <c r="C29" s="479">
        <v>0.39583333333333331</v>
      </c>
      <c r="D29" s="481" t="s">
        <v>2988</v>
      </c>
      <c r="E29" s="479">
        <v>0.20833333333333334</v>
      </c>
      <c r="F29" s="481" t="s">
        <v>2989</v>
      </c>
      <c r="G29" s="481" t="s">
        <v>826</v>
      </c>
      <c r="H29" s="484" t="s">
        <v>2753</v>
      </c>
      <c r="I29" s="481" t="s">
        <v>22</v>
      </c>
      <c r="J29" s="481" t="s">
        <v>45</v>
      </c>
      <c r="K29" s="481">
        <v>343000</v>
      </c>
    </row>
    <row r="30" spans="1:11" s="412" customFormat="1" ht="33.75">
      <c r="A30" s="481" t="s">
        <v>20</v>
      </c>
      <c r="B30" s="478">
        <v>42802</v>
      </c>
      <c r="C30" s="494">
        <v>0.5625</v>
      </c>
      <c r="D30" s="481" t="s">
        <v>2987</v>
      </c>
      <c r="E30" s="494">
        <v>0.6875</v>
      </c>
      <c r="F30" s="481" t="s">
        <v>30</v>
      </c>
      <c r="G30" s="481" t="s">
        <v>61</v>
      </c>
      <c r="H30" s="484" t="s">
        <v>2753</v>
      </c>
      <c r="I30" s="481" t="s">
        <v>2990</v>
      </c>
      <c r="J30" s="481" t="s">
        <v>45</v>
      </c>
      <c r="K30" s="481">
        <v>106869</v>
      </c>
    </row>
    <row r="31" spans="1:11" s="412" customFormat="1" ht="33.75">
      <c r="A31" s="481" t="s">
        <v>20</v>
      </c>
      <c r="B31" s="478">
        <v>42802</v>
      </c>
      <c r="C31" s="494">
        <v>0.6479166666666667</v>
      </c>
      <c r="D31" s="481" t="s">
        <v>45</v>
      </c>
      <c r="E31" s="481" t="s">
        <v>45</v>
      </c>
      <c r="F31" s="481" t="s">
        <v>30</v>
      </c>
      <c r="G31" s="481" t="s">
        <v>61</v>
      </c>
      <c r="H31" s="484" t="s">
        <v>2753</v>
      </c>
      <c r="I31" s="481" t="s">
        <v>22</v>
      </c>
      <c r="J31" s="481" t="s">
        <v>45</v>
      </c>
      <c r="K31" s="481">
        <v>50000</v>
      </c>
    </row>
    <row r="32" spans="1:11" s="412" customFormat="1" ht="67.5">
      <c r="A32" s="481" t="s">
        <v>20</v>
      </c>
      <c r="B32" s="478">
        <v>42806</v>
      </c>
      <c r="C32" s="479">
        <v>0.41388888888888892</v>
      </c>
      <c r="D32" s="481" t="s">
        <v>2991</v>
      </c>
      <c r="E32" s="479">
        <v>0.47222222222222227</v>
      </c>
      <c r="F32" s="481" t="s">
        <v>2920</v>
      </c>
      <c r="G32" s="481" t="s">
        <v>124</v>
      </c>
      <c r="H32" s="484" t="s">
        <v>2910</v>
      </c>
      <c r="I32" s="495" t="s">
        <v>100</v>
      </c>
      <c r="J32" s="481">
        <v>0</v>
      </c>
      <c r="K32" s="481">
        <v>1</v>
      </c>
    </row>
    <row r="33" spans="1:12" s="412" customFormat="1" ht="45">
      <c r="A33" s="481" t="s">
        <v>20</v>
      </c>
      <c r="B33" s="478">
        <v>42808</v>
      </c>
      <c r="C33" s="494">
        <v>0.52222222222222225</v>
      </c>
      <c r="D33" s="481" t="s">
        <v>45</v>
      </c>
      <c r="E33" s="481" t="s">
        <v>45</v>
      </c>
      <c r="F33" s="481" t="s">
        <v>2992</v>
      </c>
      <c r="G33" s="481" t="s">
        <v>61</v>
      </c>
      <c r="H33" s="484" t="s">
        <v>2753</v>
      </c>
      <c r="I33" s="481" t="s">
        <v>22</v>
      </c>
      <c r="J33" s="481" t="s">
        <v>45</v>
      </c>
      <c r="K33" s="481">
        <v>69647</v>
      </c>
    </row>
    <row r="34" spans="1:12" s="438" customFormat="1" ht="33.75">
      <c r="A34" s="481" t="s">
        <v>20</v>
      </c>
      <c r="B34" s="478">
        <v>42815</v>
      </c>
      <c r="C34" s="494">
        <v>0.83333333333333337</v>
      </c>
      <c r="D34" s="481" t="s">
        <v>2993</v>
      </c>
      <c r="E34" s="494">
        <v>0.38541666666666669</v>
      </c>
      <c r="F34" s="481" t="s">
        <v>361</v>
      </c>
      <c r="G34" s="481" t="s">
        <v>63</v>
      </c>
      <c r="H34" s="484" t="s">
        <v>2753</v>
      </c>
      <c r="I34" s="481" t="s">
        <v>22</v>
      </c>
      <c r="J34" s="481">
        <v>857</v>
      </c>
      <c r="K34" s="481">
        <v>257000</v>
      </c>
      <c r="L34" s="412"/>
    </row>
    <row r="35" spans="1:12" s="438" customFormat="1" ht="67.5">
      <c r="A35" s="481" t="s">
        <v>20</v>
      </c>
      <c r="B35" s="478">
        <v>42818</v>
      </c>
      <c r="C35" s="494">
        <v>0.27013888888888887</v>
      </c>
      <c r="D35" s="481" t="s">
        <v>2994</v>
      </c>
      <c r="E35" s="494">
        <v>0.30069444444444443</v>
      </c>
      <c r="F35" s="481" t="s">
        <v>2995</v>
      </c>
      <c r="G35" s="481" t="s">
        <v>124</v>
      </c>
      <c r="H35" s="484" t="s">
        <v>2910</v>
      </c>
      <c r="I35" s="495" t="s">
        <v>2343</v>
      </c>
      <c r="J35" s="481">
        <v>0</v>
      </c>
      <c r="K35" s="481">
        <v>0</v>
      </c>
      <c r="L35" s="412"/>
    </row>
    <row r="36" spans="1:12" s="438" customFormat="1" ht="67.5">
      <c r="A36" s="481" t="s">
        <v>20</v>
      </c>
      <c r="B36" s="478">
        <v>42822</v>
      </c>
      <c r="C36" s="494">
        <v>0.67152777777777783</v>
      </c>
      <c r="D36" s="481" t="s">
        <v>2996</v>
      </c>
      <c r="E36" s="494">
        <v>0.67222222222222217</v>
      </c>
      <c r="F36" s="481" t="s">
        <v>2808</v>
      </c>
      <c r="G36" s="481" t="s">
        <v>124</v>
      </c>
      <c r="H36" s="484" t="s">
        <v>2910</v>
      </c>
      <c r="I36" s="495" t="s">
        <v>2118</v>
      </c>
      <c r="J36" s="481">
        <v>0</v>
      </c>
      <c r="K36" s="481">
        <v>0</v>
      </c>
    </row>
    <row r="37" spans="1:12" s="438" customFormat="1" ht="33.75">
      <c r="A37" s="481" t="s">
        <v>20</v>
      </c>
      <c r="B37" s="478">
        <v>42823</v>
      </c>
      <c r="C37" s="494">
        <v>0.14583333333333334</v>
      </c>
      <c r="D37" s="481" t="s">
        <v>2997</v>
      </c>
      <c r="E37" s="494">
        <v>0.25</v>
      </c>
      <c r="F37" s="481" t="s">
        <v>166</v>
      </c>
      <c r="G37" s="481" t="s">
        <v>1352</v>
      </c>
      <c r="H37" s="484" t="s">
        <v>2753</v>
      </c>
      <c r="I37" s="481" t="s">
        <v>22</v>
      </c>
      <c r="J37" s="481" t="s">
        <v>45</v>
      </c>
      <c r="K37" s="481">
        <v>175000</v>
      </c>
    </row>
    <row r="38" spans="1:12" s="438" customFormat="1" ht="67.5">
      <c r="A38" s="481" t="s">
        <v>20</v>
      </c>
      <c r="B38" s="478">
        <v>42825</v>
      </c>
      <c r="C38" s="494">
        <v>0.80208333333333337</v>
      </c>
      <c r="D38" s="481" t="s">
        <v>2997</v>
      </c>
      <c r="E38" s="494">
        <v>0.87986111111111109</v>
      </c>
      <c r="F38" s="481" t="s">
        <v>2998</v>
      </c>
      <c r="G38" s="481" t="s">
        <v>63</v>
      </c>
      <c r="H38" s="484" t="s">
        <v>2910</v>
      </c>
      <c r="I38" s="481" t="s">
        <v>100</v>
      </c>
      <c r="J38" s="481">
        <v>0</v>
      </c>
      <c r="K38" s="481">
        <v>0</v>
      </c>
    </row>
    <row r="39" spans="1:12" s="438" customFormat="1" ht="33.75">
      <c r="A39" s="481" t="s">
        <v>23</v>
      </c>
      <c r="B39" s="478">
        <v>42828</v>
      </c>
      <c r="C39" s="479">
        <v>0.45833333333333331</v>
      </c>
      <c r="D39" s="481" t="s">
        <v>2999</v>
      </c>
      <c r="E39" s="479">
        <v>0.83333333333333337</v>
      </c>
      <c r="F39" s="481" t="s">
        <v>3000</v>
      </c>
      <c r="G39" s="481" t="s">
        <v>63</v>
      </c>
      <c r="H39" s="491" t="s">
        <v>2753</v>
      </c>
      <c r="I39" s="481" t="s">
        <v>22</v>
      </c>
      <c r="J39" s="481">
        <v>290</v>
      </c>
      <c r="K39" s="481">
        <v>86330</v>
      </c>
    </row>
    <row r="40" spans="1:12" s="438" customFormat="1" ht="33.75">
      <c r="A40" s="481" t="s">
        <v>23</v>
      </c>
      <c r="B40" s="478">
        <v>42831</v>
      </c>
      <c r="C40" s="479">
        <v>0.79166666666666663</v>
      </c>
      <c r="D40" s="481" t="s">
        <v>45</v>
      </c>
      <c r="E40" s="479" t="s">
        <v>45</v>
      </c>
      <c r="F40" s="481" t="s">
        <v>18</v>
      </c>
      <c r="G40" s="481" t="s">
        <v>124</v>
      </c>
      <c r="H40" s="491" t="s">
        <v>2753</v>
      </c>
      <c r="I40" s="481" t="s">
        <v>22</v>
      </c>
      <c r="J40" s="481" t="s">
        <v>45</v>
      </c>
      <c r="K40" s="481">
        <v>100000</v>
      </c>
    </row>
    <row r="41" spans="1:12" s="438" customFormat="1" ht="33.75">
      <c r="A41" s="481" t="s">
        <v>23</v>
      </c>
      <c r="B41" s="478">
        <v>42832</v>
      </c>
      <c r="C41" s="479">
        <v>0.17777777777777778</v>
      </c>
      <c r="D41" s="481" t="s">
        <v>45</v>
      </c>
      <c r="E41" s="479" t="s">
        <v>45</v>
      </c>
      <c r="F41" s="481" t="s">
        <v>3002</v>
      </c>
      <c r="G41" s="481" t="s">
        <v>124</v>
      </c>
      <c r="H41" s="484" t="s">
        <v>2780</v>
      </c>
      <c r="I41" s="481" t="s">
        <v>1138</v>
      </c>
      <c r="J41" s="481">
        <v>0</v>
      </c>
      <c r="K41" s="481">
        <v>0</v>
      </c>
    </row>
    <row r="42" spans="1:12" s="438" customFormat="1" ht="33.75">
      <c r="A42" s="481" t="s">
        <v>23</v>
      </c>
      <c r="B42" s="478">
        <v>42832</v>
      </c>
      <c r="C42" s="479">
        <v>0.34375</v>
      </c>
      <c r="D42" s="481" t="s">
        <v>3003</v>
      </c>
      <c r="E42" s="479">
        <v>9.7222222222222224E-3</v>
      </c>
      <c r="F42" s="481" t="s">
        <v>3004</v>
      </c>
      <c r="G42" s="481" t="s">
        <v>124</v>
      </c>
      <c r="H42" s="491" t="s">
        <v>2753</v>
      </c>
      <c r="I42" s="481" t="s">
        <v>22</v>
      </c>
      <c r="J42" s="481" t="s">
        <v>45</v>
      </c>
      <c r="K42" s="481">
        <v>153867</v>
      </c>
    </row>
    <row r="43" spans="1:12" s="438" customFormat="1" ht="33.75">
      <c r="A43" s="481" t="s">
        <v>23</v>
      </c>
      <c r="B43" s="478">
        <v>42832</v>
      </c>
      <c r="C43" s="479">
        <v>0.18958333333333333</v>
      </c>
      <c r="D43" s="481" t="s">
        <v>3001</v>
      </c>
      <c r="E43" s="479">
        <v>0.34722222222222227</v>
      </c>
      <c r="F43" s="481" t="s">
        <v>2152</v>
      </c>
      <c r="G43" s="481" t="s">
        <v>124</v>
      </c>
      <c r="H43" s="491" t="s">
        <v>2753</v>
      </c>
      <c r="I43" s="481" t="s">
        <v>22</v>
      </c>
      <c r="J43" s="481">
        <v>100</v>
      </c>
      <c r="K43" s="481">
        <v>64852</v>
      </c>
    </row>
    <row r="44" spans="1:12" s="438" customFormat="1" ht="45">
      <c r="A44" s="481" t="s">
        <v>23</v>
      </c>
      <c r="B44" s="478">
        <v>42838</v>
      </c>
      <c r="C44" s="479">
        <v>0.3263888888888889</v>
      </c>
      <c r="D44" s="481" t="s">
        <v>3005</v>
      </c>
      <c r="E44" s="479">
        <v>0.33819444444444446</v>
      </c>
      <c r="F44" s="481" t="s">
        <v>3006</v>
      </c>
      <c r="G44" s="481" t="s">
        <v>124</v>
      </c>
      <c r="H44" s="484" t="s">
        <v>2915</v>
      </c>
      <c r="I44" s="495" t="s">
        <v>2343</v>
      </c>
      <c r="J44" s="481">
        <v>53</v>
      </c>
      <c r="K44" s="481">
        <v>10000</v>
      </c>
    </row>
    <row r="45" spans="1:12" s="412" customFormat="1" ht="23.25" customHeight="1">
      <c r="A45" s="481" t="s">
        <v>23</v>
      </c>
      <c r="B45" s="478">
        <v>42842</v>
      </c>
      <c r="C45" s="479">
        <v>0.3923611111111111</v>
      </c>
      <c r="D45" s="481" t="s">
        <v>3007</v>
      </c>
      <c r="E45" s="479">
        <v>0.39305555555555555</v>
      </c>
      <c r="F45" s="481" t="s">
        <v>3008</v>
      </c>
      <c r="G45" s="481" t="s">
        <v>124</v>
      </c>
      <c r="H45" s="484" t="s">
        <v>2910</v>
      </c>
      <c r="I45" s="481" t="s">
        <v>2343</v>
      </c>
      <c r="J45" s="481">
        <v>0</v>
      </c>
      <c r="K45" s="481">
        <v>0</v>
      </c>
    </row>
    <row r="46" spans="1:12" s="412" customFormat="1" ht="44.25" customHeight="1">
      <c r="A46" s="481" t="s">
        <v>23</v>
      </c>
      <c r="B46" s="478">
        <v>42845</v>
      </c>
      <c r="C46" s="479">
        <v>0.66666666666666663</v>
      </c>
      <c r="D46" s="481" t="s">
        <v>3009</v>
      </c>
      <c r="E46" s="479">
        <v>0.75</v>
      </c>
      <c r="F46" s="481" t="s">
        <v>3010</v>
      </c>
      <c r="G46" s="481" t="s">
        <v>124</v>
      </c>
      <c r="H46" s="484" t="s">
        <v>2910</v>
      </c>
      <c r="I46" s="481" t="s">
        <v>3011</v>
      </c>
      <c r="J46" s="481">
        <v>0</v>
      </c>
      <c r="K46" s="481">
        <v>0</v>
      </c>
    </row>
    <row r="47" spans="1:12" s="412" customFormat="1" ht="67.5">
      <c r="A47" s="481" t="s">
        <v>23</v>
      </c>
      <c r="B47" s="478">
        <v>42846</v>
      </c>
      <c r="C47" s="479">
        <v>0.44027777777777777</v>
      </c>
      <c r="D47" s="481" t="s">
        <v>3012</v>
      </c>
      <c r="E47" s="479">
        <v>0.66319444444444442</v>
      </c>
      <c r="F47" s="481" t="s">
        <v>3013</v>
      </c>
      <c r="G47" s="481" t="s">
        <v>63</v>
      </c>
      <c r="H47" s="484" t="s">
        <v>2910</v>
      </c>
      <c r="I47" s="481" t="s">
        <v>3011</v>
      </c>
      <c r="J47" s="481">
        <v>0</v>
      </c>
      <c r="K47" s="481">
        <v>0</v>
      </c>
    </row>
    <row r="48" spans="1:12" s="412" customFormat="1" ht="33.75">
      <c r="A48" s="481" t="s">
        <v>23</v>
      </c>
      <c r="B48" s="478">
        <v>42846</v>
      </c>
      <c r="C48" s="479">
        <v>0.37916666666666665</v>
      </c>
      <c r="D48" s="481" t="s">
        <v>3012</v>
      </c>
      <c r="E48" s="479">
        <v>0.73958333333333337</v>
      </c>
      <c r="F48" s="481" t="s">
        <v>3014</v>
      </c>
      <c r="G48" s="481" t="s">
        <v>124</v>
      </c>
      <c r="H48" s="491" t="s">
        <v>2753</v>
      </c>
      <c r="I48" s="481" t="s">
        <v>2764</v>
      </c>
      <c r="J48" s="481">
        <v>130</v>
      </c>
      <c r="K48" s="481">
        <v>88000</v>
      </c>
    </row>
    <row r="49" spans="1:11" s="412" customFormat="1" ht="67.5">
      <c r="A49" s="481" t="s">
        <v>23</v>
      </c>
      <c r="B49" s="478">
        <v>42848</v>
      </c>
      <c r="C49" s="479">
        <v>0.99652777777777779</v>
      </c>
      <c r="D49" s="481" t="s">
        <v>3015</v>
      </c>
      <c r="E49" s="479">
        <v>0.99722222222222223</v>
      </c>
      <c r="F49" s="481" t="s">
        <v>2872</v>
      </c>
      <c r="G49" s="481" t="s">
        <v>124</v>
      </c>
      <c r="H49" s="484" t="s">
        <v>2910</v>
      </c>
      <c r="I49" s="481" t="s">
        <v>100</v>
      </c>
      <c r="J49" s="481">
        <v>0</v>
      </c>
      <c r="K49" s="481">
        <v>0</v>
      </c>
    </row>
    <row r="50" spans="1:11" s="412" customFormat="1" ht="33.75">
      <c r="A50" s="481" t="s">
        <v>23</v>
      </c>
      <c r="B50" s="478">
        <v>42849</v>
      </c>
      <c r="C50" s="479">
        <v>0.23055555555555554</v>
      </c>
      <c r="D50" s="481" t="s">
        <v>3016</v>
      </c>
      <c r="E50" s="479">
        <v>0.27291666666666664</v>
      </c>
      <c r="F50" s="481" t="s">
        <v>3017</v>
      </c>
      <c r="G50" s="481" t="s">
        <v>63</v>
      </c>
      <c r="H50" s="491" t="s">
        <v>2753</v>
      </c>
      <c r="I50" s="481" t="s">
        <v>22</v>
      </c>
      <c r="J50" s="481">
        <v>240</v>
      </c>
      <c r="K50" s="481">
        <v>74698</v>
      </c>
    </row>
    <row r="51" spans="1:11" s="412" customFormat="1" ht="33.75">
      <c r="A51" s="481" t="s">
        <v>23</v>
      </c>
      <c r="B51" s="478">
        <v>42855</v>
      </c>
      <c r="C51" s="479">
        <v>4.1666666666666664E-2</v>
      </c>
      <c r="D51" s="481" t="s">
        <v>3018</v>
      </c>
      <c r="E51" s="479">
        <v>0.73958333333333337</v>
      </c>
      <c r="F51" s="481" t="s">
        <v>2181</v>
      </c>
      <c r="G51" s="481" t="s">
        <v>63</v>
      </c>
      <c r="H51" s="491" t="s">
        <v>2753</v>
      </c>
      <c r="I51" s="481" t="s">
        <v>22</v>
      </c>
      <c r="J51" s="481" t="s">
        <v>45</v>
      </c>
      <c r="K51" s="481">
        <v>145174</v>
      </c>
    </row>
    <row r="52" spans="1:11" s="412" customFormat="1" ht="33.75">
      <c r="A52" s="481" t="s">
        <v>103</v>
      </c>
      <c r="B52" s="478">
        <v>42856</v>
      </c>
      <c r="C52" s="479">
        <v>0.96805555555555556</v>
      </c>
      <c r="D52" s="481" t="s">
        <v>3019</v>
      </c>
      <c r="E52" s="479">
        <v>0.9819444444444444</v>
      </c>
      <c r="F52" s="481" t="s">
        <v>160</v>
      </c>
      <c r="G52" s="481" t="s">
        <v>826</v>
      </c>
      <c r="H52" s="491" t="s">
        <v>2753</v>
      </c>
      <c r="I52" s="481" t="s">
        <v>22</v>
      </c>
      <c r="J52" s="481" t="s">
        <v>45</v>
      </c>
      <c r="K52" s="481">
        <v>92390</v>
      </c>
    </row>
    <row r="53" spans="1:11" s="412" customFormat="1" ht="33.75">
      <c r="A53" s="481" t="s">
        <v>103</v>
      </c>
      <c r="B53" s="478">
        <v>42858</v>
      </c>
      <c r="C53" s="479">
        <v>0.79513888888888884</v>
      </c>
      <c r="D53" s="481" t="s">
        <v>3020</v>
      </c>
      <c r="E53" s="479">
        <v>0.875</v>
      </c>
      <c r="F53" s="481" t="s">
        <v>18</v>
      </c>
      <c r="G53" s="481" t="s">
        <v>124</v>
      </c>
      <c r="H53" s="491" t="s">
        <v>2791</v>
      </c>
      <c r="I53" s="481" t="s">
        <v>2905</v>
      </c>
      <c r="J53" s="481">
        <v>878</v>
      </c>
      <c r="K53" s="481" t="s">
        <v>45</v>
      </c>
    </row>
    <row r="54" spans="1:11" s="412" customFormat="1" ht="33.75">
      <c r="A54" s="481" t="s">
        <v>103</v>
      </c>
      <c r="B54" s="478">
        <v>42858</v>
      </c>
      <c r="C54" s="479">
        <v>0.79027777777777775</v>
      </c>
      <c r="D54" s="481" t="s">
        <v>3020</v>
      </c>
      <c r="E54" s="479">
        <v>0.88541666666666663</v>
      </c>
      <c r="F54" s="481" t="s">
        <v>18</v>
      </c>
      <c r="G54" s="481" t="s">
        <v>124</v>
      </c>
      <c r="H54" s="491" t="s">
        <v>2791</v>
      </c>
      <c r="I54" s="481" t="s">
        <v>2905</v>
      </c>
      <c r="J54" s="481">
        <v>572</v>
      </c>
      <c r="K54" s="481">
        <v>0</v>
      </c>
    </row>
    <row r="55" spans="1:11" ht="67.5">
      <c r="A55" s="481" t="s">
        <v>103</v>
      </c>
      <c r="B55" s="478">
        <v>42858</v>
      </c>
      <c r="C55" s="479">
        <v>0.95833333333333337</v>
      </c>
      <c r="D55" s="481" t="s">
        <v>45</v>
      </c>
      <c r="E55" s="481" t="s">
        <v>45</v>
      </c>
      <c r="F55" s="481" t="s">
        <v>3021</v>
      </c>
      <c r="G55" s="481" t="s">
        <v>826</v>
      </c>
      <c r="H55" s="491" t="s">
        <v>2910</v>
      </c>
      <c r="I55" s="481" t="s">
        <v>100</v>
      </c>
      <c r="J55" s="481">
        <v>0</v>
      </c>
      <c r="K55" s="481">
        <v>0</v>
      </c>
    </row>
    <row r="56" spans="1:11" ht="33.75">
      <c r="A56" s="481" t="s">
        <v>103</v>
      </c>
      <c r="B56" s="478">
        <v>42859</v>
      </c>
      <c r="C56" s="479">
        <v>0.20833333333333334</v>
      </c>
      <c r="D56" s="481" t="s">
        <v>3022</v>
      </c>
      <c r="E56" s="479">
        <v>0.91666666666666663</v>
      </c>
      <c r="F56" s="481" t="s">
        <v>3023</v>
      </c>
      <c r="G56" s="481" t="s">
        <v>63</v>
      </c>
      <c r="H56" s="491" t="s">
        <v>2753</v>
      </c>
      <c r="I56" s="481" t="s">
        <v>22</v>
      </c>
      <c r="J56" s="481">
        <v>200</v>
      </c>
      <c r="K56" s="481">
        <v>60377</v>
      </c>
    </row>
    <row r="57" spans="1:11" ht="45">
      <c r="A57" s="481" t="s">
        <v>103</v>
      </c>
      <c r="B57" s="478">
        <v>42862</v>
      </c>
      <c r="C57" s="479">
        <v>0.97916666666666663</v>
      </c>
      <c r="D57" s="481" t="s">
        <v>3024</v>
      </c>
      <c r="E57" s="479">
        <v>0.20833333333333334</v>
      </c>
      <c r="F57" s="481" t="s">
        <v>3025</v>
      </c>
      <c r="G57" s="481" t="s">
        <v>63</v>
      </c>
      <c r="H57" s="491" t="s">
        <v>2917</v>
      </c>
      <c r="I57" s="481" t="s">
        <v>2905</v>
      </c>
      <c r="J57" s="481">
        <v>80</v>
      </c>
      <c r="K57" s="481">
        <v>0</v>
      </c>
    </row>
    <row r="58" spans="1:11" ht="33.75">
      <c r="A58" s="481" t="s">
        <v>103</v>
      </c>
      <c r="B58" s="478">
        <v>42862</v>
      </c>
      <c r="C58" s="479">
        <v>0.21875</v>
      </c>
      <c r="D58" s="481" t="s">
        <v>45</v>
      </c>
      <c r="E58" s="481" t="s">
        <v>45</v>
      </c>
      <c r="F58" s="481" t="s">
        <v>3002</v>
      </c>
      <c r="G58" s="481" t="s">
        <v>124</v>
      </c>
      <c r="H58" s="491" t="s">
        <v>2780</v>
      </c>
      <c r="I58" s="481" t="s">
        <v>1138</v>
      </c>
      <c r="J58" s="481">
        <v>0</v>
      </c>
      <c r="K58" s="481">
        <v>0</v>
      </c>
    </row>
    <row r="59" spans="1:11" ht="67.5">
      <c r="A59" s="481" t="s">
        <v>103</v>
      </c>
      <c r="B59" s="478">
        <v>42866</v>
      </c>
      <c r="C59" s="479">
        <v>0.46180555555555558</v>
      </c>
      <c r="D59" s="481" t="s">
        <v>3026</v>
      </c>
      <c r="E59" s="479">
        <v>0.54513888888888895</v>
      </c>
      <c r="F59" s="481" t="s">
        <v>3027</v>
      </c>
      <c r="G59" s="481" t="s">
        <v>124</v>
      </c>
      <c r="H59" s="491" t="s">
        <v>2910</v>
      </c>
      <c r="I59" s="481" t="s">
        <v>100</v>
      </c>
      <c r="J59" s="481">
        <v>0</v>
      </c>
      <c r="K59" s="481">
        <v>0</v>
      </c>
    </row>
    <row r="60" spans="1:11" ht="33.75">
      <c r="A60" s="481" t="s">
        <v>103</v>
      </c>
      <c r="B60" s="478">
        <v>42874</v>
      </c>
      <c r="C60" s="479">
        <v>0.22916666666666666</v>
      </c>
      <c r="D60" s="481" t="s">
        <v>45</v>
      </c>
      <c r="E60" s="481" t="s">
        <v>45</v>
      </c>
      <c r="F60" s="481" t="s">
        <v>3028</v>
      </c>
      <c r="G60" s="481" t="s">
        <v>63</v>
      </c>
      <c r="H60" s="491" t="s">
        <v>2753</v>
      </c>
      <c r="I60" s="481" t="s">
        <v>22</v>
      </c>
      <c r="J60" s="481" t="s">
        <v>45</v>
      </c>
      <c r="K60" s="481">
        <v>70696</v>
      </c>
    </row>
    <row r="61" spans="1:11" ht="67.5">
      <c r="A61" s="481" t="s">
        <v>103</v>
      </c>
      <c r="B61" s="478">
        <v>42876</v>
      </c>
      <c r="C61" s="479">
        <v>0.6972222222222223</v>
      </c>
      <c r="D61" s="481" t="s">
        <v>3029</v>
      </c>
      <c r="E61" s="479">
        <v>0.73819444444444438</v>
      </c>
      <c r="F61" s="481" t="s">
        <v>3030</v>
      </c>
      <c r="G61" s="481" t="s">
        <v>124</v>
      </c>
      <c r="H61" s="491" t="s">
        <v>2910</v>
      </c>
      <c r="I61" s="481" t="s">
        <v>100</v>
      </c>
      <c r="J61" s="481">
        <v>21</v>
      </c>
      <c r="K61" s="481">
        <v>9598</v>
      </c>
    </row>
    <row r="62" spans="1:11" ht="67.5">
      <c r="A62" s="481" t="s">
        <v>103</v>
      </c>
      <c r="B62" s="478">
        <v>42878</v>
      </c>
      <c r="C62" s="479">
        <v>0.20972222222222223</v>
      </c>
      <c r="D62" s="481" t="s">
        <v>3031</v>
      </c>
      <c r="E62" s="479">
        <v>0.3611111111111111</v>
      </c>
      <c r="F62" s="481" t="s">
        <v>3032</v>
      </c>
      <c r="G62" s="481" t="s">
        <v>63</v>
      </c>
      <c r="H62" s="491" t="s">
        <v>2910</v>
      </c>
      <c r="I62" s="481" t="s">
        <v>100</v>
      </c>
      <c r="J62" s="481">
        <v>10</v>
      </c>
      <c r="K62" s="481">
        <v>4700</v>
      </c>
    </row>
    <row r="63" spans="1:11" ht="56.25">
      <c r="A63" s="481" t="s">
        <v>103</v>
      </c>
      <c r="B63" s="478">
        <v>42882</v>
      </c>
      <c r="C63" s="479">
        <v>0.95833333333333337</v>
      </c>
      <c r="D63" s="481" t="s">
        <v>45</v>
      </c>
      <c r="E63" s="481" t="s">
        <v>45</v>
      </c>
      <c r="F63" s="481" t="s">
        <v>3033</v>
      </c>
      <c r="G63" s="481" t="s">
        <v>63</v>
      </c>
      <c r="H63" s="491" t="s">
        <v>2753</v>
      </c>
      <c r="I63" s="481" t="s">
        <v>22</v>
      </c>
      <c r="J63" s="481" t="s">
        <v>45</v>
      </c>
      <c r="K63" s="481">
        <v>116000</v>
      </c>
    </row>
    <row r="64" spans="1:11" ht="33.75">
      <c r="A64" s="481" t="s">
        <v>103</v>
      </c>
      <c r="B64" s="478">
        <v>42882</v>
      </c>
      <c r="C64" s="479">
        <v>0.96527777777777779</v>
      </c>
      <c r="D64" s="481" t="s">
        <v>45</v>
      </c>
      <c r="E64" s="481" t="s">
        <v>45</v>
      </c>
      <c r="F64" s="481" t="s">
        <v>2882</v>
      </c>
      <c r="G64" s="481" t="s">
        <v>63</v>
      </c>
      <c r="H64" s="491" t="s">
        <v>2753</v>
      </c>
      <c r="I64" s="481" t="s">
        <v>22</v>
      </c>
      <c r="J64" s="481">
        <v>391</v>
      </c>
      <c r="K64" s="481">
        <v>188000</v>
      </c>
    </row>
    <row r="65" spans="1:11" ht="33.75">
      <c r="A65" s="481" t="s">
        <v>103</v>
      </c>
      <c r="B65" s="478">
        <v>42883</v>
      </c>
      <c r="C65" s="479">
        <v>0.8125</v>
      </c>
      <c r="D65" s="481" t="s">
        <v>3035</v>
      </c>
      <c r="E65" s="479">
        <v>0.91666666666666663</v>
      </c>
      <c r="F65" s="481" t="s">
        <v>3036</v>
      </c>
      <c r="G65" s="481" t="s">
        <v>63</v>
      </c>
      <c r="H65" s="491" t="s">
        <v>2753</v>
      </c>
      <c r="I65" s="481" t="s">
        <v>22</v>
      </c>
      <c r="J65" s="481" t="s">
        <v>45</v>
      </c>
      <c r="K65" s="481">
        <v>103000</v>
      </c>
    </row>
    <row r="66" spans="1:11" s="438" customFormat="1" ht="67.5">
      <c r="A66" s="481" t="s">
        <v>103</v>
      </c>
      <c r="B66" s="478">
        <v>42883</v>
      </c>
      <c r="C66" s="479">
        <v>0.68541666666666667</v>
      </c>
      <c r="D66" s="481" t="s">
        <v>3034</v>
      </c>
      <c r="E66" s="479">
        <v>0.68611111111111101</v>
      </c>
      <c r="F66" s="481" t="s">
        <v>3037</v>
      </c>
      <c r="G66" s="481" t="s">
        <v>124</v>
      </c>
      <c r="H66" s="491" t="s">
        <v>2910</v>
      </c>
      <c r="I66" s="481" t="s">
        <v>100</v>
      </c>
      <c r="J66" s="481">
        <v>0</v>
      </c>
      <c r="K66" s="481">
        <v>0</v>
      </c>
    </row>
    <row r="67" spans="1:11" s="438" customFormat="1" ht="33.75">
      <c r="A67" s="481" t="s">
        <v>103</v>
      </c>
      <c r="B67" s="478">
        <v>42883</v>
      </c>
      <c r="C67" s="479">
        <v>0.8125</v>
      </c>
      <c r="D67" s="481" t="s">
        <v>3035</v>
      </c>
      <c r="E67" s="479">
        <v>0.91666666666666663</v>
      </c>
      <c r="F67" s="481" t="s">
        <v>3038</v>
      </c>
      <c r="G67" s="481" t="s">
        <v>1352</v>
      </c>
      <c r="H67" s="491" t="s">
        <v>2753</v>
      </c>
      <c r="I67" s="481" t="s">
        <v>22</v>
      </c>
      <c r="J67" s="481" t="s">
        <v>45</v>
      </c>
      <c r="K67" s="481">
        <v>103000</v>
      </c>
    </row>
    <row r="68" spans="1:11" s="438" customFormat="1" ht="67.5">
      <c r="A68" s="481" t="s">
        <v>123</v>
      </c>
      <c r="B68" s="478">
        <v>42893</v>
      </c>
      <c r="C68" s="479">
        <v>0.54999999999999993</v>
      </c>
      <c r="D68" s="481" t="s">
        <v>3039</v>
      </c>
      <c r="E68" s="479">
        <v>0.55069444444444449</v>
      </c>
      <c r="F68" s="481" t="s">
        <v>3027</v>
      </c>
      <c r="G68" s="481" t="s">
        <v>124</v>
      </c>
      <c r="H68" s="491" t="s">
        <v>2910</v>
      </c>
      <c r="I68" s="481" t="s">
        <v>2978</v>
      </c>
      <c r="J68" s="481">
        <v>0</v>
      </c>
      <c r="K68" s="481">
        <v>0</v>
      </c>
    </row>
    <row r="69" spans="1:11" s="438" customFormat="1" ht="33.75">
      <c r="A69" s="481" t="s">
        <v>123</v>
      </c>
      <c r="B69" s="478">
        <v>42897</v>
      </c>
      <c r="C69" s="479">
        <v>0.55902777777777779</v>
      </c>
      <c r="D69" s="481" t="s">
        <v>3040</v>
      </c>
      <c r="E69" s="479">
        <v>0.80208333333333337</v>
      </c>
      <c r="F69" s="481" t="s">
        <v>2656</v>
      </c>
      <c r="G69" s="481" t="s">
        <v>674</v>
      </c>
      <c r="H69" s="491" t="s">
        <v>2753</v>
      </c>
      <c r="I69" s="481" t="s">
        <v>22</v>
      </c>
      <c r="J69" s="481" t="s">
        <v>45</v>
      </c>
      <c r="K69" s="481">
        <v>53610</v>
      </c>
    </row>
    <row r="70" spans="1:11" s="438" customFormat="1" ht="67.5">
      <c r="A70" s="481" t="s">
        <v>123</v>
      </c>
      <c r="B70" s="478">
        <v>42897</v>
      </c>
      <c r="C70" s="479">
        <v>0.61041666666666672</v>
      </c>
      <c r="D70" s="481" t="s">
        <v>3040</v>
      </c>
      <c r="E70" s="479">
        <v>0.74652777777777779</v>
      </c>
      <c r="F70" s="481" t="s">
        <v>1833</v>
      </c>
      <c r="G70" s="481" t="s">
        <v>826</v>
      </c>
      <c r="H70" s="491" t="s">
        <v>2839</v>
      </c>
      <c r="I70" s="481" t="s">
        <v>2483</v>
      </c>
      <c r="J70" s="481">
        <v>63</v>
      </c>
      <c r="K70" s="481" t="s">
        <v>45</v>
      </c>
    </row>
    <row r="71" spans="1:11" s="438" customFormat="1" ht="33.75">
      <c r="A71" s="481" t="s">
        <v>123</v>
      </c>
      <c r="B71" s="478">
        <v>42897</v>
      </c>
      <c r="C71" s="479">
        <v>0.29166666666666669</v>
      </c>
      <c r="D71" s="481" t="s">
        <v>3040</v>
      </c>
      <c r="E71" s="479">
        <v>0.47361111111111115</v>
      </c>
      <c r="F71" s="481" t="s">
        <v>675</v>
      </c>
      <c r="G71" s="481" t="s">
        <v>674</v>
      </c>
      <c r="H71" s="491" t="s">
        <v>2753</v>
      </c>
      <c r="I71" s="481" t="s">
        <v>22</v>
      </c>
      <c r="J71" s="481" t="s">
        <v>45</v>
      </c>
      <c r="K71" s="481">
        <v>70000</v>
      </c>
    </row>
    <row r="72" spans="1:11" s="438" customFormat="1" ht="33.75">
      <c r="A72" s="481" t="s">
        <v>123</v>
      </c>
      <c r="B72" s="478">
        <v>42901</v>
      </c>
      <c r="C72" s="479">
        <v>0.70833333333333337</v>
      </c>
      <c r="D72" s="481" t="s">
        <v>3041</v>
      </c>
      <c r="E72" s="479">
        <v>0.91666666666666663</v>
      </c>
      <c r="F72" s="481" t="s">
        <v>3000</v>
      </c>
      <c r="G72" s="481" t="s">
        <v>63</v>
      </c>
      <c r="H72" s="491" t="s">
        <v>2753</v>
      </c>
      <c r="I72" s="481" t="s">
        <v>22</v>
      </c>
      <c r="J72" s="481">
        <v>275</v>
      </c>
      <c r="K72" s="481">
        <v>82713</v>
      </c>
    </row>
    <row r="73" spans="1:11" s="438" customFormat="1" ht="33.75">
      <c r="A73" s="481" t="s">
        <v>123</v>
      </c>
      <c r="B73" s="478">
        <v>42902</v>
      </c>
      <c r="C73" s="479">
        <v>0.83333333333333337</v>
      </c>
      <c r="D73" s="481" t="s">
        <v>3042</v>
      </c>
      <c r="E73" s="479">
        <v>0.25</v>
      </c>
      <c r="F73" s="481" t="s">
        <v>48</v>
      </c>
      <c r="G73" s="481" t="s">
        <v>63</v>
      </c>
      <c r="H73" s="491" t="s">
        <v>2753</v>
      </c>
      <c r="I73" s="481" t="s">
        <v>22</v>
      </c>
      <c r="J73" s="481" t="s">
        <v>45</v>
      </c>
      <c r="K73" s="481">
        <v>76000</v>
      </c>
    </row>
    <row r="74" spans="1:11" s="438" customFormat="1" ht="33.75">
      <c r="A74" s="481" t="s">
        <v>123</v>
      </c>
      <c r="B74" s="478">
        <v>42902</v>
      </c>
      <c r="C74" s="479">
        <v>0.83333333333333337</v>
      </c>
      <c r="D74" s="481" t="s">
        <v>45</v>
      </c>
      <c r="E74" s="479" t="s">
        <v>45</v>
      </c>
      <c r="F74" s="481" t="s">
        <v>3043</v>
      </c>
      <c r="G74" s="481" t="s">
        <v>674</v>
      </c>
      <c r="H74" s="491" t="s">
        <v>2753</v>
      </c>
      <c r="I74" s="481" t="s">
        <v>22</v>
      </c>
      <c r="J74" s="481" t="s">
        <v>45</v>
      </c>
      <c r="K74" s="481">
        <v>76000</v>
      </c>
    </row>
    <row r="75" spans="1:11" s="438" customFormat="1" ht="33.75">
      <c r="A75" s="481" t="s">
        <v>123</v>
      </c>
      <c r="B75" s="478">
        <v>42903</v>
      </c>
      <c r="C75" s="479">
        <v>0.875</v>
      </c>
      <c r="D75" s="481" t="s">
        <v>3044</v>
      </c>
      <c r="E75" s="479">
        <v>0.29166666666666669</v>
      </c>
      <c r="F75" s="481" t="s">
        <v>3045</v>
      </c>
      <c r="G75" s="481" t="s">
        <v>674</v>
      </c>
      <c r="H75" s="491" t="s">
        <v>2753</v>
      </c>
      <c r="I75" s="481" t="s">
        <v>22</v>
      </c>
      <c r="J75" s="481" t="s">
        <v>45</v>
      </c>
      <c r="K75" s="481" t="s">
        <v>3046</v>
      </c>
    </row>
    <row r="76" spans="1:11" s="438" customFormat="1" ht="67.5">
      <c r="A76" s="481" t="s">
        <v>123</v>
      </c>
      <c r="B76" s="478">
        <v>42907</v>
      </c>
      <c r="C76" s="479">
        <v>0</v>
      </c>
      <c r="D76" s="481" t="s">
        <v>3047</v>
      </c>
      <c r="E76" s="479">
        <v>4.1666666666666664E-2</v>
      </c>
      <c r="F76" s="481" t="s">
        <v>3048</v>
      </c>
      <c r="G76" s="481" t="s">
        <v>124</v>
      </c>
      <c r="H76" s="491" t="s">
        <v>2910</v>
      </c>
      <c r="I76" s="481" t="s">
        <v>2202</v>
      </c>
      <c r="J76" s="481">
        <v>0</v>
      </c>
      <c r="K76" s="481">
        <v>0</v>
      </c>
    </row>
    <row r="77" spans="1:11" s="438" customFormat="1" ht="33.75">
      <c r="A77" s="481" t="s">
        <v>123</v>
      </c>
      <c r="B77" s="478">
        <v>42908</v>
      </c>
      <c r="C77" s="479">
        <v>0.75</v>
      </c>
      <c r="D77" s="481" t="s">
        <v>3049</v>
      </c>
      <c r="E77" s="479">
        <v>0.53125</v>
      </c>
      <c r="F77" s="481" t="s">
        <v>3050</v>
      </c>
      <c r="G77" s="481" t="s">
        <v>826</v>
      </c>
      <c r="H77" s="491" t="s">
        <v>2753</v>
      </c>
      <c r="I77" s="481" t="s">
        <v>22</v>
      </c>
      <c r="J77" s="481" t="s">
        <v>45</v>
      </c>
      <c r="K77" s="481">
        <v>118631</v>
      </c>
    </row>
    <row r="78" spans="1:11" s="438" customFormat="1" ht="67.5">
      <c r="A78" s="481" t="s">
        <v>123</v>
      </c>
      <c r="B78" s="478">
        <v>42915</v>
      </c>
      <c r="C78" s="479">
        <v>0.16666666666666666</v>
      </c>
      <c r="D78" s="481" t="s">
        <v>45</v>
      </c>
      <c r="E78" s="479" t="s">
        <v>45</v>
      </c>
      <c r="F78" s="481" t="s">
        <v>3051</v>
      </c>
      <c r="G78" s="481" t="s">
        <v>63</v>
      </c>
      <c r="H78" s="491" t="s">
        <v>2910</v>
      </c>
      <c r="I78" s="481" t="s">
        <v>2978</v>
      </c>
      <c r="J78" s="481">
        <v>130</v>
      </c>
      <c r="K78" s="481">
        <v>6467</v>
      </c>
    </row>
    <row r="79" spans="1:11" s="438" customFormat="1" ht="67.5">
      <c r="A79" s="481" t="s">
        <v>123</v>
      </c>
      <c r="B79" s="478">
        <v>42916</v>
      </c>
      <c r="C79" s="479">
        <v>0.32291666666666669</v>
      </c>
      <c r="D79" s="481" t="s">
        <v>3052</v>
      </c>
      <c r="E79" s="479">
        <v>0.32361111111111113</v>
      </c>
      <c r="F79" s="481" t="s">
        <v>3053</v>
      </c>
      <c r="G79" s="481" t="s">
        <v>124</v>
      </c>
      <c r="H79" s="491" t="s">
        <v>2910</v>
      </c>
      <c r="I79" s="481" t="s">
        <v>2978</v>
      </c>
      <c r="J79" s="481">
        <v>0</v>
      </c>
      <c r="K79" s="481">
        <v>0</v>
      </c>
    </row>
    <row r="80" spans="1:11" s="438" customFormat="1" ht="67.5">
      <c r="A80" s="481" t="s">
        <v>26</v>
      </c>
      <c r="B80" s="478">
        <v>42922</v>
      </c>
      <c r="C80" s="479">
        <v>0</v>
      </c>
      <c r="D80" s="481" t="s">
        <v>45</v>
      </c>
      <c r="E80" s="479" t="s">
        <v>45</v>
      </c>
      <c r="F80" s="481" t="s">
        <v>3054</v>
      </c>
      <c r="G80" s="481" t="s">
        <v>124</v>
      </c>
      <c r="H80" s="485" t="s">
        <v>2910</v>
      </c>
      <c r="I80" s="481" t="s">
        <v>100</v>
      </c>
      <c r="J80" s="481">
        <v>0</v>
      </c>
      <c r="K80" s="481" t="s">
        <v>3055</v>
      </c>
    </row>
    <row r="81" spans="1:11" s="438" customFormat="1" ht="56.25">
      <c r="A81" s="481" t="s">
        <v>26</v>
      </c>
      <c r="B81" s="478">
        <v>42923</v>
      </c>
      <c r="C81" s="479">
        <v>0.14583333333333334</v>
      </c>
      <c r="D81" s="481" t="s">
        <v>3056</v>
      </c>
      <c r="E81" s="479">
        <v>0.8125</v>
      </c>
      <c r="F81" s="481" t="s">
        <v>3057</v>
      </c>
      <c r="G81" s="481" t="s">
        <v>826</v>
      </c>
      <c r="H81" s="485" t="s">
        <v>2753</v>
      </c>
      <c r="I81" s="481" t="s">
        <v>22</v>
      </c>
      <c r="J81" s="481" t="s">
        <v>45</v>
      </c>
      <c r="K81" s="481" t="s">
        <v>3058</v>
      </c>
    </row>
    <row r="82" spans="1:11" s="438" customFormat="1" ht="45">
      <c r="A82" s="481" t="s">
        <v>26</v>
      </c>
      <c r="B82" s="478">
        <v>42924</v>
      </c>
      <c r="C82" s="479">
        <v>0.78611111111111109</v>
      </c>
      <c r="D82" s="481" t="s">
        <v>3059</v>
      </c>
      <c r="E82" s="479">
        <v>0.33333333333333331</v>
      </c>
      <c r="F82" s="481" t="s">
        <v>3060</v>
      </c>
      <c r="G82" s="481" t="s">
        <v>124</v>
      </c>
      <c r="H82" s="485" t="s">
        <v>2769</v>
      </c>
      <c r="I82" s="481" t="s">
        <v>2483</v>
      </c>
      <c r="J82" s="481" t="s">
        <v>3061</v>
      </c>
      <c r="K82" s="481" t="s">
        <v>3062</v>
      </c>
    </row>
    <row r="83" spans="1:11" s="438" customFormat="1" ht="67.5">
      <c r="A83" s="481" t="s">
        <v>26</v>
      </c>
      <c r="B83" s="478">
        <v>42927</v>
      </c>
      <c r="C83" s="479">
        <v>0.41666666666666669</v>
      </c>
      <c r="D83" s="481" t="s">
        <v>3063</v>
      </c>
      <c r="E83" s="479">
        <v>0.5</v>
      </c>
      <c r="F83" s="481" t="s">
        <v>675</v>
      </c>
      <c r="G83" s="481" t="s">
        <v>674</v>
      </c>
      <c r="H83" s="485" t="s">
        <v>2910</v>
      </c>
      <c r="I83" s="481" t="s">
        <v>100</v>
      </c>
      <c r="J83" s="481" t="s">
        <v>3055</v>
      </c>
      <c r="K83" s="481" t="s">
        <v>3055</v>
      </c>
    </row>
    <row r="84" spans="1:11" s="438" customFormat="1" ht="67.5">
      <c r="A84" s="481" t="s">
        <v>26</v>
      </c>
      <c r="B84" s="478">
        <v>42928</v>
      </c>
      <c r="C84" s="479">
        <v>0.51736111111111105</v>
      </c>
      <c r="D84" s="481" t="s">
        <v>3064</v>
      </c>
      <c r="E84" s="479">
        <v>0.375</v>
      </c>
      <c r="F84" s="481" t="s">
        <v>2650</v>
      </c>
      <c r="G84" s="481" t="s">
        <v>63</v>
      </c>
      <c r="H84" s="485" t="s">
        <v>2910</v>
      </c>
      <c r="I84" s="481" t="s">
        <v>100</v>
      </c>
      <c r="J84" s="481" t="s">
        <v>3055</v>
      </c>
      <c r="K84" s="481" t="s">
        <v>3055</v>
      </c>
    </row>
    <row r="85" spans="1:11" s="438" customFormat="1" ht="67.5">
      <c r="A85" s="481" t="s">
        <v>26</v>
      </c>
      <c r="B85" s="478">
        <v>42928</v>
      </c>
      <c r="C85" s="479">
        <v>0.51736111111111105</v>
      </c>
      <c r="D85" s="481" t="s">
        <v>45</v>
      </c>
      <c r="E85" s="479" t="s">
        <v>45</v>
      </c>
      <c r="F85" s="481" t="s">
        <v>2882</v>
      </c>
      <c r="G85" s="481" t="s">
        <v>63</v>
      </c>
      <c r="H85" s="485" t="s">
        <v>2910</v>
      </c>
      <c r="I85" s="481" t="s">
        <v>100</v>
      </c>
      <c r="J85" s="481" t="s">
        <v>45</v>
      </c>
      <c r="K85" s="481" t="s">
        <v>45</v>
      </c>
    </row>
    <row r="86" spans="1:11" s="438" customFormat="1" ht="67.5">
      <c r="A86" s="481" t="s">
        <v>26</v>
      </c>
      <c r="B86" s="478">
        <v>42934</v>
      </c>
      <c r="C86" s="479">
        <v>0.16874999999999998</v>
      </c>
      <c r="D86" s="481" t="s">
        <v>45</v>
      </c>
      <c r="E86" s="481" t="s">
        <v>45</v>
      </c>
      <c r="F86" s="481" t="s">
        <v>16</v>
      </c>
      <c r="G86" s="481" t="s">
        <v>63</v>
      </c>
      <c r="H86" s="485" t="s">
        <v>2910</v>
      </c>
      <c r="I86" s="481" t="s">
        <v>2293</v>
      </c>
      <c r="J86" s="481" t="s">
        <v>45</v>
      </c>
      <c r="K86" s="481" t="s">
        <v>3066</v>
      </c>
    </row>
    <row r="87" spans="1:11" s="438" customFormat="1" ht="45">
      <c r="A87" s="481" t="s">
        <v>26</v>
      </c>
      <c r="B87" s="478">
        <v>42934</v>
      </c>
      <c r="C87" s="479">
        <v>0.68263888888888891</v>
      </c>
      <c r="D87" s="481" t="s">
        <v>3065</v>
      </c>
      <c r="E87" s="479">
        <v>0.77708333333333324</v>
      </c>
      <c r="F87" s="481" t="s">
        <v>2346</v>
      </c>
      <c r="G87" s="481" t="s">
        <v>124</v>
      </c>
      <c r="H87" s="485" t="s">
        <v>2769</v>
      </c>
      <c r="I87" s="481" t="s">
        <v>22</v>
      </c>
      <c r="J87" s="481" t="s">
        <v>3055</v>
      </c>
      <c r="K87" s="481" t="s">
        <v>3055</v>
      </c>
    </row>
    <row r="88" spans="1:11" s="438" customFormat="1" ht="67.5">
      <c r="A88" s="481" t="s">
        <v>26</v>
      </c>
      <c r="B88" s="478">
        <v>42936</v>
      </c>
      <c r="C88" s="479">
        <v>4.1666666666666664E-2</v>
      </c>
      <c r="D88" s="481" t="s">
        <v>3067</v>
      </c>
      <c r="E88" s="479">
        <v>0.4069444444444445</v>
      </c>
      <c r="F88" s="481" t="s">
        <v>3068</v>
      </c>
      <c r="G88" s="481" t="s">
        <v>124</v>
      </c>
      <c r="H88" s="485" t="s">
        <v>2910</v>
      </c>
      <c r="I88" s="481" t="s">
        <v>100</v>
      </c>
      <c r="J88" s="481" t="s">
        <v>3055</v>
      </c>
      <c r="K88" s="481" t="s">
        <v>3055</v>
      </c>
    </row>
    <row r="89" spans="1:11" s="438" customFormat="1" ht="67.5">
      <c r="A89" s="481" t="s">
        <v>26</v>
      </c>
      <c r="B89" s="478">
        <v>42938</v>
      </c>
      <c r="C89" s="479">
        <v>0.91666666666666663</v>
      </c>
      <c r="D89" s="481" t="s">
        <v>3069</v>
      </c>
      <c r="E89" s="479">
        <v>0.5</v>
      </c>
      <c r="F89" s="481" t="s">
        <v>3070</v>
      </c>
      <c r="G89" s="481" t="s">
        <v>63</v>
      </c>
      <c r="H89" s="485" t="s">
        <v>2753</v>
      </c>
      <c r="I89" s="481" t="s">
        <v>22</v>
      </c>
      <c r="J89" s="481" t="s">
        <v>45</v>
      </c>
      <c r="K89" s="481" t="s">
        <v>3071</v>
      </c>
    </row>
    <row r="90" spans="1:11" s="438" customFormat="1" ht="33.75">
      <c r="A90" s="481" t="s">
        <v>26</v>
      </c>
      <c r="B90" s="478">
        <v>42938</v>
      </c>
      <c r="C90" s="479">
        <v>0.91666666666666663</v>
      </c>
      <c r="D90" s="481" t="s">
        <v>45</v>
      </c>
      <c r="E90" s="479" t="s">
        <v>45</v>
      </c>
      <c r="F90" s="481" t="s">
        <v>16</v>
      </c>
      <c r="G90" s="481" t="s">
        <v>63</v>
      </c>
      <c r="H90" s="485" t="s">
        <v>2753</v>
      </c>
      <c r="I90" s="481" t="s">
        <v>22</v>
      </c>
      <c r="J90" s="481" t="s">
        <v>45</v>
      </c>
      <c r="K90" s="481" t="s">
        <v>3072</v>
      </c>
    </row>
    <row r="91" spans="1:11" s="438" customFormat="1" ht="33.75">
      <c r="A91" s="481" t="s">
        <v>26</v>
      </c>
      <c r="B91" s="478">
        <v>42938</v>
      </c>
      <c r="C91" s="479">
        <v>0.91666666666666663</v>
      </c>
      <c r="D91" s="481" t="s">
        <v>45</v>
      </c>
      <c r="E91" s="481" t="s">
        <v>45</v>
      </c>
      <c r="F91" s="481" t="s">
        <v>16</v>
      </c>
      <c r="G91" s="481" t="s">
        <v>63</v>
      </c>
      <c r="H91" s="485" t="s">
        <v>2753</v>
      </c>
      <c r="I91" s="481" t="s">
        <v>22</v>
      </c>
      <c r="J91" s="481" t="s">
        <v>45</v>
      </c>
      <c r="K91" s="481" t="s">
        <v>3073</v>
      </c>
    </row>
    <row r="92" spans="1:11" s="438" customFormat="1" ht="33.75">
      <c r="A92" s="481" t="s">
        <v>26</v>
      </c>
      <c r="B92" s="478">
        <v>42939</v>
      </c>
      <c r="C92" s="479">
        <v>0.16666666666666666</v>
      </c>
      <c r="D92" s="481" t="s">
        <v>45</v>
      </c>
      <c r="E92" s="481" t="s">
        <v>45</v>
      </c>
      <c r="F92" s="481" t="s">
        <v>3074</v>
      </c>
      <c r="G92" s="481" t="s">
        <v>63</v>
      </c>
      <c r="H92" s="485" t="s">
        <v>2753</v>
      </c>
      <c r="I92" s="481" t="s">
        <v>22</v>
      </c>
      <c r="J92" s="481" t="s">
        <v>45</v>
      </c>
      <c r="K92" s="481" t="s">
        <v>3075</v>
      </c>
    </row>
    <row r="93" spans="1:11" s="438" customFormat="1" ht="33.75">
      <c r="A93" s="481" t="s">
        <v>26</v>
      </c>
      <c r="B93" s="478">
        <v>42943</v>
      </c>
      <c r="C93" s="479">
        <v>0.25</v>
      </c>
      <c r="D93" s="481" t="s">
        <v>3076</v>
      </c>
      <c r="E93" s="479">
        <v>0.47847222222222219</v>
      </c>
      <c r="F93" s="481" t="s">
        <v>3077</v>
      </c>
      <c r="G93" s="481" t="s">
        <v>124</v>
      </c>
      <c r="H93" s="485" t="s">
        <v>2780</v>
      </c>
      <c r="I93" s="481" t="s">
        <v>1138</v>
      </c>
      <c r="J93" s="481" t="s">
        <v>3055</v>
      </c>
      <c r="K93" s="481" t="s">
        <v>3055</v>
      </c>
    </row>
    <row r="94" spans="1:11" s="438" customFormat="1" ht="67.5">
      <c r="A94" s="481" t="s">
        <v>32</v>
      </c>
      <c r="B94" s="478">
        <v>42952</v>
      </c>
      <c r="C94" s="479">
        <v>0.55555555555555558</v>
      </c>
      <c r="D94" s="481" t="s">
        <v>3078</v>
      </c>
      <c r="E94" s="479">
        <v>0.59722222222222221</v>
      </c>
      <c r="F94" s="481" t="s">
        <v>3079</v>
      </c>
      <c r="G94" s="481" t="s">
        <v>124</v>
      </c>
      <c r="H94" s="485" t="s">
        <v>2910</v>
      </c>
      <c r="I94" s="481" t="s">
        <v>100</v>
      </c>
      <c r="J94" s="481" t="s">
        <v>3055</v>
      </c>
      <c r="K94" s="481" t="s">
        <v>3055</v>
      </c>
    </row>
    <row r="95" spans="1:11" s="438" customFormat="1" ht="67.5">
      <c r="A95" s="481" t="s">
        <v>32</v>
      </c>
      <c r="B95" s="478">
        <v>42968</v>
      </c>
      <c r="C95" s="479">
        <v>0.9868055555555556</v>
      </c>
      <c r="D95" s="481" t="s">
        <v>3080</v>
      </c>
      <c r="E95" s="479">
        <v>1.4583333333333332E-2</v>
      </c>
      <c r="F95" s="481" t="s">
        <v>2939</v>
      </c>
      <c r="G95" s="481" t="s">
        <v>124</v>
      </c>
      <c r="H95" s="485" t="s">
        <v>2839</v>
      </c>
      <c r="I95" s="481" t="s">
        <v>2764</v>
      </c>
      <c r="J95" s="481" t="s">
        <v>3081</v>
      </c>
      <c r="K95" s="481" t="s">
        <v>3082</v>
      </c>
    </row>
    <row r="96" spans="1:11" s="438" customFormat="1" ht="33.75">
      <c r="A96" s="481" t="s">
        <v>32</v>
      </c>
      <c r="B96" s="478">
        <v>42972</v>
      </c>
      <c r="C96" s="479">
        <v>0.77083333333333337</v>
      </c>
      <c r="D96" s="481" t="s">
        <v>3083</v>
      </c>
      <c r="E96" s="479">
        <v>0.70833333333333337</v>
      </c>
      <c r="F96" s="481" t="s">
        <v>2919</v>
      </c>
      <c r="G96" s="481" t="s">
        <v>1352</v>
      </c>
      <c r="H96" s="485" t="s">
        <v>2753</v>
      </c>
      <c r="I96" s="481" t="s">
        <v>22</v>
      </c>
      <c r="J96" s="481" t="s">
        <v>45</v>
      </c>
      <c r="K96" s="481" t="s">
        <v>3084</v>
      </c>
    </row>
    <row r="97" spans="1:11" s="438" customFormat="1" ht="101.25">
      <c r="A97" s="481" t="s">
        <v>32</v>
      </c>
      <c r="B97" s="478">
        <v>42972</v>
      </c>
      <c r="C97" s="479">
        <v>0.76180555555555562</v>
      </c>
      <c r="D97" s="481" t="s">
        <v>3085</v>
      </c>
      <c r="E97" s="479">
        <v>0.70833333333333337</v>
      </c>
      <c r="F97" s="481" t="s">
        <v>3086</v>
      </c>
      <c r="G97" s="481" t="s">
        <v>1352</v>
      </c>
      <c r="H97" s="485" t="s">
        <v>2753</v>
      </c>
      <c r="I97" s="481" t="s">
        <v>22</v>
      </c>
      <c r="J97" s="481" t="s">
        <v>45</v>
      </c>
      <c r="K97" s="481" t="s">
        <v>3087</v>
      </c>
    </row>
    <row r="98" spans="1:11" s="438" customFormat="1" ht="33.75">
      <c r="A98" s="481" t="s">
        <v>32</v>
      </c>
      <c r="B98" s="478">
        <v>42973</v>
      </c>
      <c r="C98" s="479">
        <v>0.26805555555555555</v>
      </c>
      <c r="D98" s="481" t="s">
        <v>3089</v>
      </c>
      <c r="E98" s="479">
        <v>0</v>
      </c>
      <c r="F98" s="481" t="s">
        <v>2919</v>
      </c>
      <c r="G98" s="481" t="s">
        <v>1352</v>
      </c>
      <c r="H98" s="485" t="s">
        <v>2753</v>
      </c>
      <c r="I98" s="481" t="s">
        <v>22</v>
      </c>
      <c r="J98" s="481" t="s">
        <v>45</v>
      </c>
      <c r="K98" s="481" t="s">
        <v>3090</v>
      </c>
    </row>
    <row r="99" spans="1:11" s="438" customFormat="1" ht="67.5">
      <c r="A99" s="481" t="s">
        <v>32</v>
      </c>
      <c r="B99" s="478">
        <v>42973</v>
      </c>
      <c r="C99" s="479">
        <v>2.7083333333333334E-2</v>
      </c>
      <c r="D99" s="481" t="s">
        <v>3088</v>
      </c>
      <c r="E99" s="479">
        <v>3.6111111111111115E-2</v>
      </c>
      <c r="F99" s="481" t="s">
        <v>2919</v>
      </c>
      <c r="G99" s="481" t="s">
        <v>1352</v>
      </c>
      <c r="H99" s="485" t="s">
        <v>2839</v>
      </c>
      <c r="I99" s="481" t="s">
        <v>22</v>
      </c>
      <c r="J99" s="481" t="s">
        <v>45</v>
      </c>
      <c r="K99" s="481" t="s">
        <v>45</v>
      </c>
    </row>
    <row r="100" spans="1:11" s="438" customFormat="1" ht="33.75">
      <c r="A100" s="481" t="s">
        <v>32</v>
      </c>
      <c r="B100" s="478">
        <v>42974</v>
      </c>
      <c r="C100" s="479">
        <v>0.21527777777777779</v>
      </c>
      <c r="D100" s="481" t="s">
        <v>3089</v>
      </c>
      <c r="E100" s="479">
        <v>0</v>
      </c>
      <c r="F100" s="481" t="s">
        <v>2809</v>
      </c>
      <c r="G100" s="481" t="s">
        <v>1352</v>
      </c>
      <c r="H100" s="485" t="s">
        <v>2753</v>
      </c>
      <c r="I100" s="481" t="s">
        <v>22</v>
      </c>
      <c r="J100" s="481" t="s">
        <v>45</v>
      </c>
      <c r="K100" s="481" t="s">
        <v>3090</v>
      </c>
    </row>
    <row r="101" spans="1:11" s="438" customFormat="1" ht="33.75">
      <c r="A101" s="481" t="s">
        <v>32</v>
      </c>
      <c r="B101" s="478">
        <v>42977</v>
      </c>
      <c r="C101" s="479">
        <v>9.375E-2</v>
      </c>
      <c r="D101" s="481" t="s">
        <v>45</v>
      </c>
      <c r="E101" s="479" t="s">
        <v>45</v>
      </c>
      <c r="F101" s="481" t="s">
        <v>2919</v>
      </c>
      <c r="G101" s="481" t="s">
        <v>1352</v>
      </c>
      <c r="H101" s="485" t="s">
        <v>2753</v>
      </c>
      <c r="I101" s="481" t="s">
        <v>22</v>
      </c>
      <c r="J101" s="481" t="s">
        <v>45</v>
      </c>
      <c r="K101" s="481" t="s">
        <v>3091</v>
      </c>
    </row>
    <row r="102" spans="1:11" s="438" customFormat="1" ht="33.75">
      <c r="A102" s="481" t="s">
        <v>32</v>
      </c>
      <c r="B102" s="478">
        <v>42978</v>
      </c>
      <c r="C102" s="479">
        <v>0.61736111111111114</v>
      </c>
      <c r="D102" s="481" t="s">
        <v>3092</v>
      </c>
      <c r="E102" s="479">
        <v>0.71805555555555556</v>
      </c>
      <c r="F102" s="481" t="s">
        <v>2967</v>
      </c>
      <c r="G102" s="481" t="s">
        <v>124</v>
      </c>
      <c r="H102" s="485" t="s">
        <v>2791</v>
      </c>
      <c r="I102" s="481" t="s">
        <v>22</v>
      </c>
      <c r="J102" s="481" t="s">
        <v>3093</v>
      </c>
      <c r="K102" s="481" t="s">
        <v>3055</v>
      </c>
    </row>
    <row r="103" spans="1:11" s="438" customFormat="1" ht="33.75">
      <c r="A103" s="481" t="s">
        <v>219</v>
      </c>
      <c r="B103" s="478">
        <v>42979</v>
      </c>
      <c r="C103" s="479">
        <v>0.65347222222222223</v>
      </c>
      <c r="D103" s="481" t="s">
        <v>3094</v>
      </c>
      <c r="E103" s="479">
        <v>0.85416666666666663</v>
      </c>
      <c r="F103" s="481" t="s">
        <v>2945</v>
      </c>
      <c r="G103" s="481" t="s">
        <v>124</v>
      </c>
      <c r="H103" s="485" t="s">
        <v>2791</v>
      </c>
      <c r="I103" s="481" t="s">
        <v>22</v>
      </c>
      <c r="J103" s="481" t="s">
        <v>3095</v>
      </c>
      <c r="K103" s="481" t="s">
        <v>3055</v>
      </c>
    </row>
    <row r="104" spans="1:11" s="438" customFormat="1" ht="33.75">
      <c r="A104" s="481" t="s">
        <v>219</v>
      </c>
      <c r="B104" s="478">
        <v>42987</v>
      </c>
      <c r="C104" s="479">
        <v>0</v>
      </c>
      <c r="D104" s="481" t="s">
        <v>45</v>
      </c>
      <c r="E104" s="479" t="s">
        <v>45</v>
      </c>
      <c r="F104" s="481" t="s">
        <v>3096</v>
      </c>
      <c r="G104" s="481" t="s">
        <v>301</v>
      </c>
      <c r="H104" s="485" t="s">
        <v>2753</v>
      </c>
      <c r="I104" s="481" t="s">
        <v>22</v>
      </c>
      <c r="J104" s="481" t="s">
        <v>3097</v>
      </c>
      <c r="K104" s="481" t="s">
        <v>3098</v>
      </c>
    </row>
    <row r="105" spans="1:11" s="438" customFormat="1" ht="48.75" customHeight="1">
      <c r="A105" s="481" t="s">
        <v>219</v>
      </c>
      <c r="B105" s="478">
        <v>42987</v>
      </c>
      <c r="C105" s="479">
        <v>0.52083333333333337</v>
      </c>
      <c r="D105" s="481" t="s">
        <v>45</v>
      </c>
      <c r="E105" s="479" t="s">
        <v>45</v>
      </c>
      <c r="F105" s="481" t="s">
        <v>2901</v>
      </c>
      <c r="G105" s="481" t="s">
        <v>301</v>
      </c>
      <c r="H105" s="485" t="s">
        <v>2753</v>
      </c>
      <c r="I105" s="481" t="s">
        <v>22</v>
      </c>
      <c r="J105" s="481" t="s">
        <v>45</v>
      </c>
      <c r="K105" s="481" t="s">
        <v>3099</v>
      </c>
    </row>
    <row r="106" spans="1:11" s="438" customFormat="1" ht="68.25" customHeight="1">
      <c r="A106" s="481" t="s">
        <v>219</v>
      </c>
      <c r="B106" s="478">
        <v>42988</v>
      </c>
      <c r="C106" s="479">
        <v>0.85902777777777783</v>
      </c>
      <c r="D106" s="481" t="s">
        <v>45</v>
      </c>
      <c r="E106" s="479" t="s">
        <v>45</v>
      </c>
      <c r="F106" s="481" t="s">
        <v>2901</v>
      </c>
      <c r="G106" s="481" t="s">
        <v>301</v>
      </c>
      <c r="H106" s="485" t="s">
        <v>2753</v>
      </c>
      <c r="I106" s="481" t="s">
        <v>22</v>
      </c>
      <c r="J106" s="481" t="s">
        <v>45</v>
      </c>
      <c r="K106" s="481" t="s">
        <v>3100</v>
      </c>
    </row>
    <row r="107" spans="1:11" s="438" customFormat="1" ht="247.5">
      <c r="A107" s="481" t="s">
        <v>219</v>
      </c>
      <c r="B107" s="478">
        <v>42988</v>
      </c>
      <c r="C107" s="479">
        <v>0.77430555555555547</v>
      </c>
      <c r="D107" s="481" t="s">
        <v>3101</v>
      </c>
      <c r="E107" s="479">
        <v>0.70833333333333337</v>
      </c>
      <c r="F107" s="481" t="s">
        <v>3102</v>
      </c>
      <c r="G107" s="481" t="s">
        <v>301</v>
      </c>
      <c r="H107" s="485" t="s">
        <v>2753</v>
      </c>
      <c r="I107" s="481" t="s">
        <v>22</v>
      </c>
      <c r="J107" s="481" t="s">
        <v>3103</v>
      </c>
      <c r="K107" s="481" t="s">
        <v>3104</v>
      </c>
    </row>
    <row r="108" spans="1:11" s="438" customFormat="1" ht="33.75">
      <c r="A108" s="481" t="s">
        <v>219</v>
      </c>
      <c r="B108" s="478">
        <v>42989</v>
      </c>
      <c r="C108" s="479">
        <v>0.10208333333333335</v>
      </c>
      <c r="D108" s="481" t="s">
        <v>3105</v>
      </c>
      <c r="E108" s="479">
        <v>0.86388888888888893</v>
      </c>
      <c r="F108" s="481" t="s">
        <v>2904</v>
      </c>
      <c r="G108" s="481" t="s">
        <v>63</v>
      </c>
      <c r="H108" s="485" t="s">
        <v>2753</v>
      </c>
      <c r="I108" s="481" t="s">
        <v>22</v>
      </c>
      <c r="J108" s="481" t="s">
        <v>3106</v>
      </c>
      <c r="K108" s="481" t="s">
        <v>3107</v>
      </c>
    </row>
    <row r="109" spans="1:11" s="438" customFormat="1" ht="33.75">
      <c r="A109" s="481" t="s">
        <v>219</v>
      </c>
      <c r="B109" s="478">
        <v>42989</v>
      </c>
      <c r="C109" s="479">
        <v>0.72916666666666663</v>
      </c>
      <c r="D109" s="481" t="s">
        <v>3101</v>
      </c>
      <c r="E109" s="479">
        <v>0.39583333333333331</v>
      </c>
      <c r="F109" s="481" t="s">
        <v>2832</v>
      </c>
      <c r="G109" s="481" t="s">
        <v>63</v>
      </c>
      <c r="H109" s="485" t="s">
        <v>2753</v>
      </c>
      <c r="I109" s="481" t="s">
        <v>22</v>
      </c>
      <c r="J109" s="481" t="s">
        <v>3108</v>
      </c>
      <c r="K109" s="481" t="s">
        <v>3109</v>
      </c>
    </row>
    <row r="110" spans="1:11" s="438" customFormat="1" ht="33.75">
      <c r="A110" s="481" t="s">
        <v>219</v>
      </c>
      <c r="B110" s="478">
        <v>42989</v>
      </c>
      <c r="C110" s="479">
        <v>2.0833333333333332E-2</v>
      </c>
      <c r="D110" s="481" t="s">
        <v>45</v>
      </c>
      <c r="E110" s="479" t="s">
        <v>45</v>
      </c>
      <c r="F110" s="481" t="s">
        <v>2901</v>
      </c>
      <c r="G110" s="481" t="s">
        <v>301</v>
      </c>
      <c r="H110" s="485" t="s">
        <v>2753</v>
      </c>
      <c r="I110" s="481" t="s">
        <v>22</v>
      </c>
      <c r="J110" s="481" t="s">
        <v>3110</v>
      </c>
      <c r="K110" s="481" t="s">
        <v>3111</v>
      </c>
    </row>
    <row r="111" spans="1:11" s="438" customFormat="1" ht="33.75">
      <c r="A111" s="481" t="s">
        <v>219</v>
      </c>
      <c r="B111" s="478">
        <v>42989</v>
      </c>
      <c r="C111" s="479">
        <v>0.53819444444444442</v>
      </c>
      <c r="D111" s="481" t="s">
        <v>3112</v>
      </c>
      <c r="E111" s="479">
        <v>0.33333333333333331</v>
      </c>
      <c r="F111" s="481" t="s">
        <v>2896</v>
      </c>
      <c r="G111" s="481" t="s">
        <v>63</v>
      </c>
      <c r="H111" s="485" t="s">
        <v>2753</v>
      </c>
      <c r="I111" s="481" t="s">
        <v>22</v>
      </c>
      <c r="J111" s="481" t="s">
        <v>3113</v>
      </c>
      <c r="K111" s="481" t="s">
        <v>3114</v>
      </c>
    </row>
    <row r="112" spans="1:11" s="438" customFormat="1" ht="67.5">
      <c r="A112" s="481" t="s">
        <v>35</v>
      </c>
      <c r="B112" s="478">
        <v>43012</v>
      </c>
      <c r="C112" s="479">
        <v>0.10416666666666667</v>
      </c>
      <c r="D112" s="481" t="s">
        <v>45</v>
      </c>
      <c r="E112" s="481" t="s">
        <v>45</v>
      </c>
      <c r="F112" s="481" t="s">
        <v>2935</v>
      </c>
      <c r="G112" s="481" t="s">
        <v>63</v>
      </c>
      <c r="H112" s="485" t="s">
        <v>2910</v>
      </c>
      <c r="I112" s="481" t="s">
        <v>100</v>
      </c>
      <c r="J112" s="481" t="s">
        <v>3055</v>
      </c>
      <c r="K112" s="481" t="s">
        <v>3055</v>
      </c>
    </row>
    <row r="113" spans="1:12" s="438" customFormat="1" ht="67.5">
      <c r="A113" s="481" t="s">
        <v>35</v>
      </c>
      <c r="B113" s="478">
        <v>43012</v>
      </c>
      <c r="C113" s="479">
        <v>5.5555555555555552E-2</v>
      </c>
      <c r="D113" s="481" t="s">
        <v>3115</v>
      </c>
      <c r="E113" s="479">
        <v>0.125</v>
      </c>
      <c r="F113" s="481" t="s">
        <v>3116</v>
      </c>
      <c r="G113" s="481" t="s">
        <v>63</v>
      </c>
      <c r="H113" s="485" t="s">
        <v>2910</v>
      </c>
      <c r="I113" s="481" t="s">
        <v>2293</v>
      </c>
      <c r="J113" s="481" t="s">
        <v>45</v>
      </c>
      <c r="K113" s="481" t="s">
        <v>45</v>
      </c>
    </row>
    <row r="114" spans="1:12" s="438" customFormat="1" ht="33.75">
      <c r="A114" s="481" t="s">
        <v>35</v>
      </c>
      <c r="B114" s="478">
        <v>43016</v>
      </c>
      <c r="C114" s="479">
        <v>0.125</v>
      </c>
      <c r="D114" s="481" t="s">
        <v>45</v>
      </c>
      <c r="E114" s="481" t="s">
        <v>45</v>
      </c>
      <c r="F114" s="481" t="s">
        <v>3117</v>
      </c>
      <c r="G114" s="481" t="s">
        <v>63</v>
      </c>
      <c r="H114" s="485" t="s">
        <v>2753</v>
      </c>
      <c r="I114" s="481" t="s">
        <v>22</v>
      </c>
      <c r="J114" s="481" t="s">
        <v>3118</v>
      </c>
      <c r="K114" s="481" t="s">
        <v>3119</v>
      </c>
      <c r="L114" s="445"/>
    </row>
    <row r="115" spans="1:12" s="438" customFormat="1" ht="33.75">
      <c r="A115" s="481" t="s">
        <v>35</v>
      </c>
      <c r="B115" s="478">
        <v>43017</v>
      </c>
      <c r="C115" s="479">
        <v>8.5416666666666655E-2</v>
      </c>
      <c r="D115" s="481" t="s">
        <v>3120</v>
      </c>
      <c r="E115" s="479">
        <v>0.5625</v>
      </c>
      <c r="F115" s="481" t="s">
        <v>2945</v>
      </c>
      <c r="G115" s="481" t="s">
        <v>124</v>
      </c>
      <c r="H115" s="485" t="s">
        <v>2753</v>
      </c>
      <c r="I115" s="481" t="s">
        <v>2990</v>
      </c>
      <c r="J115" s="481" t="s">
        <v>3121</v>
      </c>
      <c r="K115" s="481" t="s">
        <v>3122</v>
      </c>
    </row>
    <row r="116" spans="1:12" s="438" customFormat="1" ht="67.5">
      <c r="A116" s="481" t="s">
        <v>35</v>
      </c>
      <c r="B116" s="478">
        <v>43017</v>
      </c>
      <c r="C116" s="479">
        <v>0.28055555555555556</v>
      </c>
      <c r="D116" s="481" t="s">
        <v>45</v>
      </c>
      <c r="E116" s="481" t="s">
        <v>45</v>
      </c>
      <c r="F116" s="481" t="s">
        <v>2945</v>
      </c>
      <c r="G116" s="481" t="s">
        <v>124</v>
      </c>
      <c r="H116" s="485" t="s">
        <v>2839</v>
      </c>
      <c r="I116" s="481" t="s">
        <v>22</v>
      </c>
      <c r="J116" s="481" t="s">
        <v>3093</v>
      </c>
      <c r="K116" s="481" t="s">
        <v>45</v>
      </c>
    </row>
    <row r="117" spans="1:12" s="438" customFormat="1" ht="45">
      <c r="A117" s="481" t="s">
        <v>35</v>
      </c>
      <c r="B117" s="478">
        <v>43020</v>
      </c>
      <c r="C117" s="479">
        <v>0.38125000000000003</v>
      </c>
      <c r="D117" s="481" t="s">
        <v>45</v>
      </c>
      <c r="E117" s="481" t="s">
        <v>45</v>
      </c>
      <c r="F117" s="481" t="s">
        <v>3123</v>
      </c>
      <c r="G117" s="481" t="s">
        <v>63</v>
      </c>
      <c r="H117" s="485" t="s">
        <v>2917</v>
      </c>
      <c r="I117" s="481" t="s">
        <v>2764</v>
      </c>
      <c r="J117" s="481" t="s">
        <v>45</v>
      </c>
      <c r="K117" s="481" t="s">
        <v>45</v>
      </c>
    </row>
    <row r="118" spans="1:12" s="438" customFormat="1" ht="67.5">
      <c r="A118" s="481" t="s">
        <v>35</v>
      </c>
      <c r="B118" s="478">
        <v>43024</v>
      </c>
      <c r="C118" s="479">
        <v>0.66319444444444442</v>
      </c>
      <c r="D118" s="478">
        <v>43024</v>
      </c>
      <c r="E118" s="479">
        <v>0.67361111111111116</v>
      </c>
      <c r="F118" s="481" t="s">
        <v>2853</v>
      </c>
      <c r="G118" s="481" t="s">
        <v>124</v>
      </c>
      <c r="H118" s="485" t="s">
        <v>2839</v>
      </c>
      <c r="I118" s="481" t="s">
        <v>2483</v>
      </c>
      <c r="J118" s="481" t="s">
        <v>3055</v>
      </c>
      <c r="K118" s="481" t="s">
        <v>3055</v>
      </c>
    </row>
    <row r="119" spans="1:12" s="438" customFormat="1" ht="67.5">
      <c r="A119" s="481" t="s">
        <v>35</v>
      </c>
      <c r="B119" s="478">
        <v>43024</v>
      </c>
      <c r="C119" s="479">
        <v>0.65625</v>
      </c>
      <c r="D119" s="481" t="s">
        <v>3124</v>
      </c>
      <c r="E119" s="479">
        <v>0.67291666666666661</v>
      </c>
      <c r="F119" s="481" t="s">
        <v>3125</v>
      </c>
      <c r="G119" s="481" t="s">
        <v>124</v>
      </c>
      <c r="H119" s="485" t="s">
        <v>2839</v>
      </c>
      <c r="I119" s="481" t="s">
        <v>2483</v>
      </c>
      <c r="J119" s="481" t="s">
        <v>3055</v>
      </c>
      <c r="K119" s="481" t="s">
        <v>3055</v>
      </c>
    </row>
    <row r="120" spans="1:12" s="438" customFormat="1" ht="67.5">
      <c r="A120" s="481" t="s">
        <v>35</v>
      </c>
      <c r="B120" s="478">
        <v>43027</v>
      </c>
      <c r="C120" s="479">
        <v>0.66736111111111107</v>
      </c>
      <c r="D120" s="481" t="s">
        <v>3126</v>
      </c>
      <c r="E120" s="479">
        <v>0.66805555555555562</v>
      </c>
      <c r="F120" s="481" t="s">
        <v>2831</v>
      </c>
      <c r="G120" s="481" t="s">
        <v>124</v>
      </c>
      <c r="H120" s="485" t="s">
        <v>2910</v>
      </c>
      <c r="I120" s="481" t="s">
        <v>2150</v>
      </c>
      <c r="J120" s="481" t="s">
        <v>3055</v>
      </c>
      <c r="K120" s="481" t="s">
        <v>3055</v>
      </c>
    </row>
    <row r="121" spans="1:12" s="438" customFormat="1" ht="45">
      <c r="A121" s="481" t="s">
        <v>35</v>
      </c>
      <c r="B121" s="478">
        <v>43028</v>
      </c>
      <c r="C121" s="479">
        <v>0.15555555555555556</v>
      </c>
      <c r="D121" s="481" t="s">
        <v>3127</v>
      </c>
      <c r="E121" s="479">
        <v>0.15625</v>
      </c>
      <c r="F121" s="481" t="s">
        <v>2853</v>
      </c>
      <c r="G121" s="481" t="s">
        <v>124</v>
      </c>
      <c r="H121" s="485" t="s">
        <v>2769</v>
      </c>
      <c r="I121" s="481" t="s">
        <v>22</v>
      </c>
      <c r="J121" s="481" t="s">
        <v>3128</v>
      </c>
      <c r="K121" s="481" t="s">
        <v>45</v>
      </c>
    </row>
    <row r="122" spans="1:12" s="438" customFormat="1" ht="67.5">
      <c r="A122" s="481" t="s">
        <v>35</v>
      </c>
      <c r="B122" s="478">
        <v>43028</v>
      </c>
      <c r="C122" s="479">
        <v>0.77083333333333337</v>
      </c>
      <c r="D122" s="481" t="s">
        <v>3127</v>
      </c>
      <c r="E122" s="479">
        <v>0.93194444444444446</v>
      </c>
      <c r="F122" s="481" t="s">
        <v>2919</v>
      </c>
      <c r="G122" s="481" t="s">
        <v>1352</v>
      </c>
      <c r="H122" s="485" t="s">
        <v>2910</v>
      </c>
      <c r="I122" s="481" t="s">
        <v>100</v>
      </c>
      <c r="J122" s="481" t="s">
        <v>3055</v>
      </c>
      <c r="K122" s="481" t="s">
        <v>3055</v>
      </c>
    </row>
    <row r="123" spans="1:12" s="438" customFormat="1" ht="33.75">
      <c r="A123" s="481" t="s">
        <v>35</v>
      </c>
      <c r="B123" s="478">
        <v>43030</v>
      </c>
      <c r="C123" s="479">
        <v>0.36458333333333331</v>
      </c>
      <c r="D123" s="481" t="s">
        <v>3129</v>
      </c>
      <c r="E123" s="479">
        <v>0.58333333333333337</v>
      </c>
      <c r="F123" s="481" t="s">
        <v>3130</v>
      </c>
      <c r="G123" s="481" t="s">
        <v>63</v>
      </c>
      <c r="H123" s="485" t="s">
        <v>2753</v>
      </c>
      <c r="I123" s="481" t="s">
        <v>22</v>
      </c>
      <c r="J123" s="481" t="s">
        <v>45</v>
      </c>
      <c r="K123" s="481" t="s">
        <v>45</v>
      </c>
    </row>
    <row r="124" spans="1:12" s="438" customFormat="1" ht="33.75">
      <c r="A124" s="481" t="s">
        <v>35</v>
      </c>
      <c r="B124" s="478">
        <v>43031</v>
      </c>
      <c r="C124" s="479">
        <v>0.74305555555555547</v>
      </c>
      <c r="D124" s="481" t="s">
        <v>3131</v>
      </c>
      <c r="E124" s="479">
        <v>0.76180555555555562</v>
      </c>
      <c r="F124" s="481" t="s">
        <v>2832</v>
      </c>
      <c r="G124" s="481" t="s">
        <v>63</v>
      </c>
      <c r="H124" s="485" t="s">
        <v>2753</v>
      </c>
      <c r="I124" s="481" t="s">
        <v>22</v>
      </c>
      <c r="J124" s="481" t="s">
        <v>3132</v>
      </c>
      <c r="K124" s="481" t="s">
        <v>3133</v>
      </c>
    </row>
    <row r="125" spans="1:12" s="438" customFormat="1" ht="33.75">
      <c r="A125" s="481" t="s">
        <v>35</v>
      </c>
      <c r="B125" s="478">
        <v>43033</v>
      </c>
      <c r="C125" s="479">
        <v>0.5</v>
      </c>
      <c r="D125" s="481" t="s">
        <v>3134</v>
      </c>
      <c r="E125" s="479">
        <v>0.66666666666666663</v>
      </c>
      <c r="F125" s="481" t="s">
        <v>2945</v>
      </c>
      <c r="G125" s="481" t="s">
        <v>124</v>
      </c>
      <c r="H125" s="485" t="s">
        <v>2944</v>
      </c>
      <c r="I125" s="481" t="s">
        <v>2118</v>
      </c>
      <c r="J125" s="481" t="s">
        <v>45</v>
      </c>
      <c r="K125" s="481" t="s">
        <v>45</v>
      </c>
    </row>
    <row r="126" spans="1:12" s="438" customFormat="1" ht="67.5">
      <c r="A126" s="481" t="s">
        <v>35</v>
      </c>
      <c r="B126" s="478">
        <v>43034</v>
      </c>
      <c r="C126" s="479">
        <v>0.74305555555555547</v>
      </c>
      <c r="D126" s="481" t="s">
        <v>45</v>
      </c>
      <c r="E126" s="481" t="s">
        <v>45</v>
      </c>
      <c r="F126" s="481" t="s">
        <v>3136</v>
      </c>
      <c r="G126" s="481" t="s">
        <v>124</v>
      </c>
      <c r="H126" s="485" t="s">
        <v>2910</v>
      </c>
      <c r="I126" s="481" t="s">
        <v>2293</v>
      </c>
      <c r="J126" s="481" t="s">
        <v>3055</v>
      </c>
      <c r="K126" s="481" t="s">
        <v>3055</v>
      </c>
    </row>
    <row r="127" spans="1:12" s="438" customFormat="1" ht="67.5">
      <c r="A127" s="481" t="s">
        <v>35</v>
      </c>
      <c r="B127" s="478">
        <v>43034</v>
      </c>
      <c r="C127" s="479">
        <v>0.34513888888888888</v>
      </c>
      <c r="D127" s="481" t="s">
        <v>3135</v>
      </c>
      <c r="E127" s="479">
        <v>0.36180555555555555</v>
      </c>
      <c r="F127" s="481" t="s">
        <v>3137</v>
      </c>
      <c r="G127" s="481" t="s">
        <v>124</v>
      </c>
      <c r="H127" s="485" t="s">
        <v>2839</v>
      </c>
      <c r="I127" s="481" t="s">
        <v>2483</v>
      </c>
      <c r="J127" s="481" t="s">
        <v>3055</v>
      </c>
      <c r="K127" s="481" t="s">
        <v>3055</v>
      </c>
    </row>
    <row r="128" spans="1:12" s="438" customFormat="1" ht="67.5">
      <c r="A128" s="481" t="s">
        <v>35</v>
      </c>
      <c r="B128" s="478">
        <v>43034</v>
      </c>
      <c r="C128" s="479">
        <v>0.34513888888888888</v>
      </c>
      <c r="D128" s="481" t="s">
        <v>3135</v>
      </c>
      <c r="E128" s="479">
        <v>0.36180555555555555</v>
      </c>
      <c r="F128" s="481" t="s">
        <v>2862</v>
      </c>
      <c r="G128" s="481" t="s">
        <v>124</v>
      </c>
      <c r="H128" s="485" t="s">
        <v>2839</v>
      </c>
      <c r="I128" s="481" t="s">
        <v>2483</v>
      </c>
      <c r="J128" s="481" t="s">
        <v>3055</v>
      </c>
      <c r="K128" s="481" t="s">
        <v>3055</v>
      </c>
    </row>
    <row r="129" spans="1:11" s="438" customFormat="1" ht="45">
      <c r="A129" s="481" t="s">
        <v>35</v>
      </c>
      <c r="B129" s="478">
        <v>43037</v>
      </c>
      <c r="C129" s="479">
        <v>0.98611111111111116</v>
      </c>
      <c r="D129" s="481" t="s">
        <v>3138</v>
      </c>
      <c r="E129" s="479">
        <v>0.75555555555555554</v>
      </c>
      <c r="F129" s="481" t="s">
        <v>3139</v>
      </c>
      <c r="G129" s="481" t="s">
        <v>61</v>
      </c>
      <c r="H129" s="485" t="s">
        <v>2753</v>
      </c>
      <c r="I129" s="481" t="s">
        <v>22</v>
      </c>
      <c r="J129" s="481" t="s">
        <v>45</v>
      </c>
      <c r="K129" s="481" t="s">
        <v>3140</v>
      </c>
    </row>
    <row r="130" spans="1:11" s="438" customFormat="1" ht="45">
      <c r="A130" s="481" t="s">
        <v>38</v>
      </c>
      <c r="B130" s="478">
        <v>43040</v>
      </c>
      <c r="C130" s="479">
        <v>0.65277777777777779</v>
      </c>
      <c r="D130" s="481" t="s">
        <v>3138</v>
      </c>
      <c r="E130" s="479">
        <v>0.91666666666666663</v>
      </c>
      <c r="F130" s="481" t="s">
        <v>3141</v>
      </c>
      <c r="G130" s="481" t="s">
        <v>63</v>
      </c>
      <c r="H130" s="485" t="s">
        <v>2917</v>
      </c>
      <c r="I130" s="481" t="s">
        <v>2905</v>
      </c>
      <c r="J130" s="481" t="s">
        <v>3055</v>
      </c>
      <c r="K130" s="481" t="s">
        <v>3055</v>
      </c>
    </row>
    <row r="131" spans="1:11" s="438" customFormat="1" ht="33.75">
      <c r="A131" s="481" t="s">
        <v>38</v>
      </c>
      <c r="B131" s="478">
        <v>43044</v>
      </c>
      <c r="C131" s="479">
        <v>0.81597222222222221</v>
      </c>
      <c r="D131" s="481" t="s">
        <v>3142</v>
      </c>
      <c r="E131" s="479">
        <v>0.96458333333333324</v>
      </c>
      <c r="F131" s="481" t="s">
        <v>2895</v>
      </c>
      <c r="G131" s="481" t="s">
        <v>3143</v>
      </c>
      <c r="H131" s="485" t="s">
        <v>2753</v>
      </c>
      <c r="I131" s="481" t="s">
        <v>22</v>
      </c>
      <c r="J131" s="481" t="s">
        <v>45</v>
      </c>
      <c r="K131" s="481" t="s">
        <v>3144</v>
      </c>
    </row>
    <row r="132" spans="1:11" s="438" customFormat="1" ht="67.5">
      <c r="A132" s="481" t="s">
        <v>38</v>
      </c>
      <c r="B132" s="478">
        <v>43046</v>
      </c>
      <c r="C132" s="479">
        <v>0.52013888888888882</v>
      </c>
      <c r="D132" s="481" t="s">
        <v>45</v>
      </c>
      <c r="E132" s="481" t="s">
        <v>45</v>
      </c>
      <c r="F132" s="481" t="s">
        <v>2866</v>
      </c>
      <c r="G132" s="481" t="s">
        <v>63</v>
      </c>
      <c r="H132" s="485" t="s">
        <v>2910</v>
      </c>
      <c r="I132" s="481" t="s">
        <v>2118</v>
      </c>
      <c r="J132" s="481" t="s">
        <v>3055</v>
      </c>
      <c r="K132" s="481" t="s">
        <v>3055</v>
      </c>
    </row>
    <row r="133" spans="1:11" s="438" customFormat="1" ht="33.75">
      <c r="A133" s="481" t="s">
        <v>38</v>
      </c>
      <c r="B133" s="478">
        <v>43048</v>
      </c>
      <c r="C133" s="479">
        <v>0.36458333333333331</v>
      </c>
      <c r="D133" s="481" t="s">
        <v>3145</v>
      </c>
      <c r="E133" s="479">
        <v>0.58333333333333337</v>
      </c>
      <c r="F133" s="481" t="s">
        <v>3146</v>
      </c>
      <c r="G133" s="481" t="s">
        <v>124</v>
      </c>
      <c r="H133" s="485" t="s">
        <v>2944</v>
      </c>
      <c r="I133" s="481" t="s">
        <v>2764</v>
      </c>
      <c r="J133" s="481" t="s">
        <v>3055</v>
      </c>
      <c r="K133" s="481" t="s">
        <v>3055</v>
      </c>
    </row>
    <row r="134" spans="1:11" s="438" customFormat="1" ht="33.75">
      <c r="A134" s="481" t="s">
        <v>38</v>
      </c>
      <c r="B134" s="478">
        <v>43052</v>
      </c>
      <c r="C134" s="479">
        <v>0.68958333333333333</v>
      </c>
      <c r="D134" s="481" t="s">
        <v>3147</v>
      </c>
      <c r="E134" s="479">
        <v>0.25</v>
      </c>
      <c r="F134" s="481" t="s">
        <v>2801</v>
      </c>
      <c r="G134" s="481" t="s">
        <v>124</v>
      </c>
      <c r="H134" s="485" t="s">
        <v>2753</v>
      </c>
      <c r="I134" s="481" t="s">
        <v>22</v>
      </c>
      <c r="J134" s="481" t="s">
        <v>3148</v>
      </c>
      <c r="K134" s="481" t="s">
        <v>3149</v>
      </c>
    </row>
    <row r="135" spans="1:11" s="438" customFormat="1" ht="45">
      <c r="A135" s="481" t="s">
        <v>38</v>
      </c>
      <c r="B135" s="478">
        <v>43052</v>
      </c>
      <c r="C135" s="479">
        <v>8.3333333333333329E-2</v>
      </c>
      <c r="D135" s="481" t="s">
        <v>3150</v>
      </c>
      <c r="E135" s="479">
        <v>0.34513888888888888</v>
      </c>
      <c r="F135" s="481" t="s">
        <v>3151</v>
      </c>
      <c r="G135" s="481" t="s">
        <v>124</v>
      </c>
      <c r="H135" s="485" t="s">
        <v>2753</v>
      </c>
      <c r="I135" s="481" t="s">
        <v>22</v>
      </c>
      <c r="J135" s="481" t="s">
        <v>45</v>
      </c>
      <c r="K135" s="481" t="s">
        <v>3152</v>
      </c>
    </row>
    <row r="136" spans="1:11" s="438" customFormat="1" ht="67.5">
      <c r="A136" s="481" t="s">
        <v>38</v>
      </c>
      <c r="B136" s="478">
        <v>43055</v>
      </c>
      <c r="C136" s="479">
        <v>0.62847222222222221</v>
      </c>
      <c r="D136" s="478" t="s">
        <v>3147</v>
      </c>
      <c r="E136" s="479">
        <v>0.62916666666666665</v>
      </c>
      <c r="F136" s="481" t="s">
        <v>3153</v>
      </c>
      <c r="G136" s="481" t="s">
        <v>124</v>
      </c>
      <c r="H136" s="485" t="s">
        <v>2910</v>
      </c>
      <c r="I136" s="481" t="s">
        <v>100</v>
      </c>
      <c r="J136" s="481" t="s">
        <v>3055</v>
      </c>
      <c r="K136" s="481" t="s">
        <v>3055</v>
      </c>
    </row>
    <row r="137" spans="1:11" s="438" customFormat="1" ht="67.5">
      <c r="A137" s="481" t="s">
        <v>38</v>
      </c>
      <c r="B137" s="478">
        <v>43063</v>
      </c>
      <c r="C137" s="479">
        <v>0.71250000000000002</v>
      </c>
      <c r="D137" s="481" t="s">
        <v>3154</v>
      </c>
      <c r="E137" s="479">
        <v>0.72361111111111109</v>
      </c>
      <c r="F137" s="481" t="s">
        <v>2817</v>
      </c>
      <c r="G137" s="481" t="s">
        <v>124</v>
      </c>
      <c r="H137" s="485" t="s">
        <v>2910</v>
      </c>
      <c r="I137" s="481" t="s">
        <v>100</v>
      </c>
      <c r="J137" s="481" t="s">
        <v>3055</v>
      </c>
      <c r="K137" s="481" t="s">
        <v>3055</v>
      </c>
    </row>
    <row r="138" spans="1:11" s="438" customFormat="1" ht="45">
      <c r="A138" s="481" t="s">
        <v>47</v>
      </c>
      <c r="B138" s="478">
        <v>43073</v>
      </c>
      <c r="C138" s="479">
        <v>0.91180555555555554</v>
      </c>
      <c r="D138" s="481" t="s">
        <v>45</v>
      </c>
      <c r="E138" s="479" t="s">
        <v>45</v>
      </c>
      <c r="F138" s="481" t="s">
        <v>2945</v>
      </c>
      <c r="G138" s="481" t="s">
        <v>124</v>
      </c>
      <c r="H138" s="485" t="s">
        <v>2769</v>
      </c>
      <c r="I138" s="481" t="s">
        <v>2990</v>
      </c>
      <c r="J138" s="481" t="s">
        <v>3155</v>
      </c>
      <c r="K138" s="481" t="s">
        <v>3156</v>
      </c>
    </row>
    <row r="139" spans="1:11" s="438" customFormat="1" ht="45">
      <c r="A139" s="481" t="s">
        <v>47</v>
      </c>
      <c r="B139" s="478">
        <v>43074</v>
      </c>
      <c r="C139" s="479">
        <v>0.27083333333333331</v>
      </c>
      <c r="D139" s="481" t="s">
        <v>3158</v>
      </c>
      <c r="E139" s="479">
        <v>0.41666666666666669</v>
      </c>
      <c r="F139" s="481" t="s">
        <v>3159</v>
      </c>
      <c r="G139" s="481" t="s">
        <v>3143</v>
      </c>
      <c r="H139" s="485" t="s">
        <v>2753</v>
      </c>
      <c r="I139" s="481" t="s">
        <v>22</v>
      </c>
      <c r="J139" s="481" t="s">
        <v>45</v>
      </c>
      <c r="K139" s="481" t="s">
        <v>3160</v>
      </c>
    </row>
    <row r="140" spans="1:11" s="438" customFormat="1" ht="67.5">
      <c r="A140" s="481" t="s">
        <v>47</v>
      </c>
      <c r="B140" s="478">
        <v>43074</v>
      </c>
      <c r="C140" s="479">
        <v>0.28472222222222221</v>
      </c>
      <c r="D140" s="481" t="s">
        <v>3157</v>
      </c>
      <c r="E140" s="479">
        <v>0.375</v>
      </c>
      <c r="F140" s="481" t="s">
        <v>2866</v>
      </c>
      <c r="G140" s="481" t="s">
        <v>63</v>
      </c>
      <c r="H140" s="485" t="s">
        <v>2910</v>
      </c>
      <c r="I140" s="481" t="s">
        <v>100</v>
      </c>
      <c r="J140" s="481" t="s">
        <v>3055</v>
      </c>
      <c r="K140" s="481" t="s">
        <v>3055</v>
      </c>
    </row>
    <row r="141" spans="1:11" s="438" customFormat="1" ht="33.75">
      <c r="A141" s="481" t="s">
        <v>47</v>
      </c>
      <c r="B141" s="478">
        <v>43076</v>
      </c>
      <c r="C141" s="479">
        <v>0.83333333333333337</v>
      </c>
      <c r="D141" s="481" t="s">
        <v>3161</v>
      </c>
      <c r="E141" s="479">
        <v>0.70833333333333337</v>
      </c>
      <c r="F141" s="481" t="s">
        <v>3162</v>
      </c>
      <c r="G141" s="481" t="s">
        <v>1352</v>
      </c>
      <c r="H141" s="485" t="s">
        <v>2753</v>
      </c>
      <c r="I141" s="481" t="s">
        <v>22</v>
      </c>
      <c r="J141" s="481" t="s">
        <v>45</v>
      </c>
      <c r="K141" s="481" t="s">
        <v>3163</v>
      </c>
    </row>
    <row r="142" spans="1:11" s="438" customFormat="1" ht="33.75">
      <c r="A142" s="481" t="s">
        <v>47</v>
      </c>
      <c r="B142" s="478">
        <v>43077</v>
      </c>
      <c r="C142" s="479">
        <v>0.39583333333333331</v>
      </c>
      <c r="D142" s="481" t="s">
        <v>3161</v>
      </c>
      <c r="E142" s="479">
        <v>0.9375</v>
      </c>
      <c r="F142" s="481" t="s">
        <v>3164</v>
      </c>
      <c r="G142" s="481" t="s">
        <v>63</v>
      </c>
      <c r="H142" s="485" t="s">
        <v>2753</v>
      </c>
      <c r="I142" s="481" t="s">
        <v>22</v>
      </c>
      <c r="J142" s="481" t="s">
        <v>45</v>
      </c>
      <c r="K142" s="481" t="s">
        <v>3165</v>
      </c>
    </row>
    <row r="143" spans="1:11" s="438" customFormat="1" ht="33.75">
      <c r="A143" s="481" t="s">
        <v>47</v>
      </c>
      <c r="B143" s="478">
        <v>43077</v>
      </c>
      <c r="C143" s="479">
        <v>0.41666666666666669</v>
      </c>
      <c r="D143" s="481" t="s">
        <v>3166</v>
      </c>
      <c r="E143" s="479">
        <v>0.86805555555555547</v>
      </c>
      <c r="F143" s="481" t="s">
        <v>3167</v>
      </c>
      <c r="G143" s="481" t="s">
        <v>63</v>
      </c>
      <c r="H143" s="485" t="s">
        <v>2753</v>
      </c>
      <c r="I143" s="481" t="s">
        <v>22</v>
      </c>
      <c r="J143" s="481" t="s">
        <v>3168</v>
      </c>
      <c r="K143" s="481" t="s">
        <v>3169</v>
      </c>
    </row>
    <row r="144" spans="1:11" s="438" customFormat="1" ht="33.75">
      <c r="A144" s="481" t="s">
        <v>47</v>
      </c>
      <c r="B144" s="478">
        <v>43079</v>
      </c>
      <c r="C144" s="479">
        <v>5.9027777777777783E-2</v>
      </c>
      <c r="D144" s="478" t="s">
        <v>3166</v>
      </c>
      <c r="E144" s="479">
        <v>0.10416666666666667</v>
      </c>
      <c r="F144" s="481" t="s">
        <v>3170</v>
      </c>
      <c r="G144" s="481" t="s">
        <v>124</v>
      </c>
      <c r="H144" s="485" t="s">
        <v>2753</v>
      </c>
      <c r="I144" s="481" t="s">
        <v>2990</v>
      </c>
      <c r="J144" s="481" t="s">
        <v>3171</v>
      </c>
      <c r="K144" s="481" t="s">
        <v>3172</v>
      </c>
    </row>
    <row r="145" spans="1:11" s="438" customFormat="1" ht="67.5">
      <c r="A145" s="481" t="s">
        <v>47</v>
      </c>
      <c r="B145" s="478">
        <v>43081</v>
      </c>
      <c r="C145" s="479">
        <v>9.8611111111111108E-2</v>
      </c>
      <c r="D145" s="481" t="s">
        <v>3173</v>
      </c>
      <c r="E145" s="479">
        <v>0.10069444444444443</v>
      </c>
      <c r="F145" s="481" t="s">
        <v>3174</v>
      </c>
      <c r="G145" s="481" t="s">
        <v>61</v>
      </c>
      <c r="H145" s="485" t="s">
        <v>2910</v>
      </c>
      <c r="I145" s="481" t="s">
        <v>2293</v>
      </c>
      <c r="J145" s="481" t="s">
        <v>3175</v>
      </c>
      <c r="K145" s="481" t="s">
        <v>3176</v>
      </c>
    </row>
    <row r="146" spans="1:11" s="438" customFormat="1" ht="33.75">
      <c r="A146" s="481" t="s">
        <v>47</v>
      </c>
      <c r="B146" s="478">
        <v>43082</v>
      </c>
      <c r="C146" s="479">
        <v>0.41319444444444442</v>
      </c>
      <c r="D146" s="481" t="s">
        <v>3177</v>
      </c>
      <c r="E146" s="479">
        <v>0.61458333333333337</v>
      </c>
      <c r="F146" s="481" t="s">
        <v>3178</v>
      </c>
      <c r="G146" s="481" t="s">
        <v>61</v>
      </c>
      <c r="H146" s="485" t="s">
        <v>2780</v>
      </c>
      <c r="I146" s="481" t="s">
        <v>1138</v>
      </c>
      <c r="J146" s="481" t="s">
        <v>3055</v>
      </c>
      <c r="K146" s="481" t="s">
        <v>3055</v>
      </c>
    </row>
    <row r="147" spans="1:11" s="438" customFormat="1" ht="67.5">
      <c r="A147" s="481" t="s">
        <v>47</v>
      </c>
      <c r="B147" s="478">
        <v>43082</v>
      </c>
      <c r="C147" s="479">
        <v>0.36805555555555558</v>
      </c>
      <c r="D147" s="481" t="s">
        <v>45</v>
      </c>
      <c r="E147" s="479" t="s">
        <v>45</v>
      </c>
      <c r="F147" s="481" t="s">
        <v>3179</v>
      </c>
      <c r="G147" s="481" t="s">
        <v>61</v>
      </c>
      <c r="H147" s="485" t="s">
        <v>2910</v>
      </c>
      <c r="I147" s="481" t="s">
        <v>2118</v>
      </c>
      <c r="J147" s="481" t="s">
        <v>3055</v>
      </c>
      <c r="K147" s="481" t="s">
        <v>3055</v>
      </c>
    </row>
    <row r="148" spans="1:11" s="438" customFormat="1" ht="67.5">
      <c r="A148" s="481" t="s">
        <v>47</v>
      </c>
      <c r="B148" s="478">
        <v>43087</v>
      </c>
      <c r="C148" s="479">
        <v>0.54166666666666663</v>
      </c>
      <c r="D148" s="481" t="s">
        <v>3180</v>
      </c>
      <c r="E148" s="479">
        <v>0.70833333333333337</v>
      </c>
      <c r="F148" s="481" t="s">
        <v>3116</v>
      </c>
      <c r="G148" s="481" t="s">
        <v>63</v>
      </c>
      <c r="H148" s="485" t="s">
        <v>2910</v>
      </c>
      <c r="I148" s="481" t="s">
        <v>100</v>
      </c>
      <c r="J148" s="481" t="s">
        <v>3055</v>
      </c>
      <c r="K148" s="481" t="s">
        <v>3055</v>
      </c>
    </row>
    <row r="149" spans="1:11" s="438" customFormat="1" ht="67.5">
      <c r="A149" s="481" t="s">
        <v>47</v>
      </c>
      <c r="B149" s="478">
        <v>43088</v>
      </c>
      <c r="C149" s="479">
        <v>0.3611111111111111</v>
      </c>
      <c r="D149" s="481" t="s">
        <v>3181</v>
      </c>
      <c r="E149" s="479">
        <v>0.44166666666666665</v>
      </c>
      <c r="F149" s="481" t="s">
        <v>3182</v>
      </c>
      <c r="G149" s="481" t="s">
        <v>301</v>
      </c>
      <c r="H149" s="485" t="s">
        <v>2910</v>
      </c>
      <c r="I149" s="481" t="s">
        <v>100</v>
      </c>
      <c r="J149" s="481" t="s">
        <v>3055</v>
      </c>
      <c r="K149" s="481" t="s">
        <v>3055</v>
      </c>
    </row>
    <row r="150" spans="1:11" s="438" customFormat="1" ht="67.5">
      <c r="A150" s="481" t="s">
        <v>47</v>
      </c>
      <c r="B150" s="478">
        <v>43098</v>
      </c>
      <c r="C150" s="479">
        <v>0.26041666666666669</v>
      </c>
      <c r="D150" s="481" t="s">
        <v>3183</v>
      </c>
      <c r="E150" s="479">
        <v>0.48888888888888887</v>
      </c>
      <c r="F150" s="481" t="s">
        <v>3184</v>
      </c>
      <c r="G150" s="481" t="s">
        <v>1352</v>
      </c>
      <c r="H150" s="485" t="s">
        <v>2910</v>
      </c>
      <c r="I150" s="481" t="s">
        <v>2118</v>
      </c>
      <c r="J150" s="481" t="s">
        <v>45</v>
      </c>
      <c r="K150" s="481" t="s">
        <v>45</v>
      </c>
    </row>
    <row r="151" spans="1:11" s="438" customFormat="1" ht="33.75">
      <c r="A151" s="481" t="s">
        <v>47</v>
      </c>
      <c r="B151" s="478">
        <v>43098</v>
      </c>
      <c r="C151" s="479">
        <v>0.29166666666666669</v>
      </c>
      <c r="D151" s="481" t="s">
        <v>45</v>
      </c>
      <c r="E151" s="479" t="s">
        <v>45</v>
      </c>
      <c r="F151" s="481" t="s">
        <v>2869</v>
      </c>
      <c r="G151" s="481" t="s">
        <v>61</v>
      </c>
      <c r="H151" s="485" t="s">
        <v>2780</v>
      </c>
      <c r="I151" s="481" t="s">
        <v>1138</v>
      </c>
      <c r="J151" s="481" t="s">
        <v>3185</v>
      </c>
      <c r="K151" s="481" t="s">
        <v>45</v>
      </c>
    </row>
    <row r="152" spans="1:11" s="438" customFormat="1" ht="67.5">
      <c r="A152" s="481" t="s">
        <v>47</v>
      </c>
      <c r="B152" s="478">
        <v>43100</v>
      </c>
      <c r="C152" s="479">
        <v>0.99583333333333324</v>
      </c>
      <c r="D152" s="481" t="s">
        <v>3186</v>
      </c>
      <c r="E152" s="479">
        <v>0.59305555555555556</v>
      </c>
      <c r="F152" s="481" t="s">
        <v>2900</v>
      </c>
      <c r="G152" s="481" t="s">
        <v>124</v>
      </c>
      <c r="H152" s="485" t="s">
        <v>2910</v>
      </c>
      <c r="I152" s="481" t="s">
        <v>100</v>
      </c>
      <c r="J152" s="481" t="s">
        <v>3055</v>
      </c>
      <c r="K152" s="481" t="s">
        <v>3055</v>
      </c>
    </row>
    <row r="153" spans="1:11" s="438" customFormat="1" ht="15" customHeight="1">
      <c r="A153" s="455"/>
      <c r="B153" s="456"/>
      <c r="C153" s="457"/>
      <c r="D153" s="456"/>
      <c r="E153" s="457"/>
      <c r="F153" s="458"/>
      <c r="G153" s="459"/>
      <c r="H153" s="460"/>
      <c r="I153" s="459"/>
      <c r="J153" s="461"/>
      <c r="K153" s="462"/>
    </row>
    <row r="154" spans="1:11" s="438" customFormat="1" ht="15" customHeight="1">
      <c r="A154" s="455"/>
      <c r="B154" s="456"/>
      <c r="C154" s="457"/>
      <c r="D154" s="456"/>
      <c r="E154" s="457"/>
      <c r="F154" s="458"/>
      <c r="G154" s="459"/>
      <c r="H154" s="460"/>
      <c r="I154" s="459"/>
      <c r="J154" s="461"/>
      <c r="K154" s="462"/>
    </row>
    <row r="155" spans="1:11" s="438" customFormat="1" ht="15" customHeight="1">
      <c r="A155" s="455"/>
      <c r="B155" s="456"/>
      <c r="C155" s="457"/>
      <c r="D155" s="456"/>
      <c r="E155" s="457"/>
      <c r="F155" s="458"/>
      <c r="G155" s="459"/>
      <c r="H155" s="460"/>
      <c r="I155" s="459"/>
      <c r="J155" s="461"/>
      <c r="K155" s="462"/>
    </row>
    <row r="156" spans="1:11" s="438" customFormat="1" ht="15" customHeight="1">
      <c r="A156" s="455"/>
      <c r="B156" s="456"/>
      <c r="C156" s="457"/>
      <c r="D156" s="456"/>
      <c r="E156" s="457"/>
      <c r="F156" s="458"/>
      <c r="G156" s="459"/>
      <c r="H156" s="460"/>
      <c r="I156" s="459"/>
      <c r="J156" s="461"/>
      <c r="K156" s="462"/>
    </row>
    <row r="157" spans="1:11" s="438" customFormat="1" ht="15" customHeight="1">
      <c r="A157" s="455"/>
      <c r="B157" s="456"/>
      <c r="C157" s="457"/>
      <c r="D157" s="456"/>
      <c r="E157" s="457"/>
      <c r="F157" s="458"/>
      <c r="G157" s="459"/>
      <c r="H157" s="460"/>
      <c r="I157" s="459"/>
      <c r="J157" s="461"/>
      <c r="K157" s="462"/>
    </row>
    <row r="158" spans="1:11" s="438" customFormat="1" ht="30" customHeight="1">
      <c r="A158" s="455"/>
      <c r="B158" s="456"/>
      <c r="C158" s="457"/>
      <c r="D158" s="456"/>
      <c r="E158" s="457"/>
      <c r="F158" s="458"/>
      <c r="G158" s="459"/>
      <c r="H158" s="460"/>
      <c r="I158" s="459"/>
      <c r="J158" s="461"/>
      <c r="K158" s="462"/>
    </row>
    <row r="159" spans="1:11" s="438" customFormat="1" ht="15" customHeight="1">
      <c r="A159" s="455"/>
      <c r="B159" s="456"/>
      <c r="C159" s="457"/>
      <c r="D159" s="456"/>
      <c r="E159" s="457"/>
      <c r="F159" s="458"/>
      <c r="G159" s="459"/>
      <c r="H159" s="460"/>
      <c r="I159" s="459"/>
      <c r="J159" s="461"/>
      <c r="K159" s="462"/>
    </row>
    <row r="160" spans="1:11" s="438" customFormat="1" ht="15" customHeight="1">
      <c r="A160" s="455"/>
      <c r="B160" s="456"/>
      <c r="C160" s="457"/>
      <c r="D160" s="456"/>
      <c r="E160" s="457"/>
      <c r="F160" s="458"/>
      <c r="G160" s="459"/>
      <c r="H160" s="460"/>
      <c r="I160" s="459"/>
      <c r="J160" s="461"/>
      <c r="K160" s="462"/>
    </row>
    <row r="161" spans="1:11" s="438" customFormat="1" ht="15" customHeight="1">
      <c r="A161" s="455"/>
      <c r="B161" s="456"/>
      <c r="C161" s="457"/>
      <c r="D161" s="456"/>
      <c r="E161" s="457"/>
      <c r="F161" s="458"/>
      <c r="G161" s="459"/>
      <c r="H161" s="460"/>
      <c r="I161" s="459"/>
      <c r="J161" s="461"/>
      <c r="K161" s="462"/>
    </row>
    <row r="162" spans="1:11" s="438" customFormat="1" ht="15" customHeight="1">
      <c r="A162" s="455"/>
      <c r="B162" s="456"/>
      <c r="C162" s="457"/>
      <c r="D162" s="456"/>
      <c r="E162" s="457"/>
      <c r="F162" s="458"/>
      <c r="G162" s="459"/>
      <c r="H162" s="460"/>
      <c r="I162" s="459"/>
      <c r="J162" s="461"/>
      <c r="K162" s="462"/>
    </row>
    <row r="163" spans="1:11" s="438" customFormat="1" ht="15" customHeight="1">
      <c r="A163" s="455"/>
      <c r="B163" s="456"/>
      <c r="C163" s="457"/>
      <c r="D163" s="456"/>
      <c r="E163" s="457"/>
      <c r="F163" s="458"/>
      <c r="G163" s="459"/>
      <c r="H163" s="460"/>
      <c r="I163" s="459"/>
      <c r="J163" s="461"/>
      <c r="K163" s="462"/>
    </row>
    <row r="164" spans="1:11" s="438" customFormat="1" ht="15" customHeight="1">
      <c r="A164" s="455"/>
      <c r="B164" s="456"/>
      <c r="C164" s="457"/>
      <c r="D164" s="456"/>
      <c r="E164" s="457"/>
      <c r="F164" s="458"/>
      <c r="G164" s="459"/>
      <c r="H164" s="460"/>
      <c r="I164" s="459"/>
      <c r="J164" s="461"/>
      <c r="K164" s="462"/>
    </row>
    <row r="165" spans="1:11" s="438" customFormat="1" ht="28.5" customHeight="1">
      <c r="A165" s="455"/>
      <c r="B165" s="456"/>
      <c r="C165" s="457"/>
      <c r="D165" s="456"/>
      <c r="E165" s="457"/>
      <c r="F165" s="458"/>
      <c r="G165" s="459"/>
      <c r="H165" s="460"/>
      <c r="I165" s="459"/>
      <c r="J165" s="461"/>
      <c r="K165" s="462"/>
    </row>
    <row r="166" spans="1:11" s="438" customFormat="1" ht="15" customHeight="1">
      <c r="A166" s="455"/>
      <c r="B166" s="456"/>
      <c r="C166" s="457"/>
      <c r="D166" s="456"/>
      <c r="E166" s="457"/>
      <c r="F166" s="458"/>
      <c r="G166" s="459"/>
      <c r="H166" s="460"/>
      <c r="I166" s="459"/>
      <c r="J166" s="461"/>
      <c r="K166" s="462"/>
    </row>
    <row r="167" spans="1:11" s="438" customFormat="1" ht="15" customHeight="1">
      <c r="A167" s="455"/>
      <c r="B167" s="456"/>
      <c r="C167" s="457"/>
      <c r="D167" s="456"/>
      <c r="E167" s="457"/>
      <c r="F167" s="458"/>
      <c r="G167" s="459"/>
      <c r="H167" s="460"/>
      <c r="I167" s="459"/>
      <c r="J167" s="461"/>
      <c r="K167" s="462"/>
    </row>
    <row r="168" spans="1:11" s="438" customFormat="1" ht="15" customHeight="1">
      <c r="A168" s="455"/>
      <c r="B168" s="456"/>
      <c r="C168" s="457"/>
      <c r="D168" s="456"/>
      <c r="E168" s="457"/>
      <c r="F168" s="458"/>
      <c r="G168" s="459"/>
      <c r="H168" s="460"/>
      <c r="I168" s="459"/>
      <c r="J168" s="461"/>
      <c r="K168" s="462"/>
    </row>
    <row r="169" spans="1:11" s="438" customFormat="1" ht="15" customHeight="1">
      <c r="A169" s="455"/>
      <c r="B169" s="456"/>
      <c r="C169" s="457"/>
      <c r="D169" s="456"/>
      <c r="E169" s="457"/>
      <c r="F169" s="458"/>
      <c r="G169" s="459"/>
      <c r="H169" s="460"/>
      <c r="I169" s="459"/>
      <c r="J169" s="461"/>
      <c r="K169" s="462"/>
    </row>
    <row r="170" spans="1:11" s="438" customFormat="1" ht="21.75" customHeight="1">
      <c r="A170" s="455"/>
      <c r="B170" s="456"/>
      <c r="C170" s="457"/>
      <c r="D170" s="456"/>
      <c r="E170" s="457"/>
      <c r="F170" s="458"/>
      <c r="G170" s="459"/>
      <c r="H170" s="460"/>
      <c r="I170" s="459"/>
      <c r="J170" s="461"/>
      <c r="K170" s="462"/>
    </row>
    <row r="171" spans="1:11" s="438" customFormat="1" ht="15" customHeight="1">
      <c r="A171" s="455"/>
      <c r="B171" s="456"/>
      <c r="C171" s="457"/>
      <c r="D171" s="456"/>
      <c r="E171" s="457"/>
      <c r="F171" s="458"/>
      <c r="G171" s="459"/>
      <c r="H171" s="460"/>
      <c r="I171" s="459"/>
      <c r="J171" s="461"/>
      <c r="K171" s="462"/>
    </row>
    <row r="172" spans="1:11" s="438" customFormat="1" ht="18.75" customHeight="1">
      <c r="A172" s="455"/>
      <c r="B172" s="456"/>
      <c r="C172" s="457"/>
      <c r="D172" s="456"/>
      <c r="E172" s="457"/>
      <c r="F172" s="458"/>
      <c r="G172" s="459"/>
      <c r="H172" s="460"/>
      <c r="I172" s="459"/>
      <c r="J172" s="461"/>
      <c r="K172" s="462"/>
    </row>
    <row r="173" spans="1:11" s="438" customFormat="1" ht="30.75" customHeight="1">
      <c r="A173" s="455"/>
      <c r="B173" s="456"/>
      <c r="C173" s="457"/>
      <c r="D173" s="456"/>
      <c r="E173" s="457"/>
      <c r="F173" s="458"/>
      <c r="G173" s="459"/>
      <c r="H173" s="460"/>
      <c r="I173" s="459"/>
      <c r="J173" s="461"/>
      <c r="K173" s="462"/>
    </row>
    <row r="174" spans="1:11" s="438" customFormat="1" ht="15" customHeight="1">
      <c r="A174" s="455"/>
      <c r="B174" s="456"/>
      <c r="C174" s="457"/>
      <c r="D174" s="456"/>
      <c r="E174" s="457"/>
      <c r="F174" s="458"/>
      <c r="G174" s="459"/>
      <c r="H174" s="460"/>
      <c r="I174" s="459"/>
      <c r="J174" s="461"/>
      <c r="K174" s="462"/>
    </row>
    <row r="175" spans="1:11" s="438" customFormat="1" ht="29.25" customHeight="1">
      <c r="A175" s="455"/>
      <c r="B175" s="456"/>
      <c r="C175" s="457"/>
      <c r="D175" s="456"/>
      <c r="E175" s="457"/>
      <c r="F175" s="458"/>
      <c r="G175" s="459"/>
      <c r="H175" s="460"/>
      <c r="I175" s="459"/>
      <c r="J175" s="461"/>
      <c r="K175" s="462"/>
    </row>
    <row r="176" spans="1:11" s="438" customFormat="1" ht="15" customHeight="1">
      <c r="A176" s="455"/>
      <c r="B176" s="456"/>
      <c r="C176" s="457"/>
      <c r="D176" s="456"/>
      <c r="E176" s="457"/>
      <c r="F176" s="458"/>
      <c r="G176" s="459"/>
      <c r="H176" s="460"/>
      <c r="I176" s="459"/>
      <c r="J176" s="461"/>
      <c r="K176" s="462"/>
    </row>
    <row r="177" spans="1:11" s="438" customFormat="1" ht="22.5" customHeight="1">
      <c r="A177" s="455"/>
      <c r="B177" s="456"/>
      <c r="C177" s="457"/>
      <c r="D177" s="456"/>
      <c r="E177" s="457"/>
      <c r="F177" s="458"/>
      <c r="G177" s="459"/>
      <c r="H177" s="460"/>
      <c r="I177" s="459"/>
      <c r="J177" s="461"/>
      <c r="K177" s="462"/>
    </row>
    <row r="178" spans="1:11" s="438" customFormat="1" ht="15" customHeight="1">
      <c r="A178" s="455"/>
      <c r="B178" s="456"/>
      <c r="C178" s="457"/>
      <c r="D178" s="456"/>
      <c r="E178" s="457"/>
      <c r="F178" s="458"/>
      <c r="G178" s="459"/>
      <c r="H178" s="460"/>
      <c r="I178" s="459"/>
      <c r="J178" s="461"/>
      <c r="K178" s="462"/>
    </row>
    <row r="179" spans="1:11" s="438" customFormat="1" ht="15" customHeight="1">
      <c r="A179" s="455"/>
      <c r="B179" s="456"/>
      <c r="C179" s="457"/>
      <c r="D179" s="456"/>
      <c r="E179" s="457"/>
      <c r="F179" s="458"/>
      <c r="G179" s="459"/>
      <c r="H179" s="460"/>
      <c r="I179" s="459"/>
      <c r="J179" s="461"/>
      <c r="K179" s="462"/>
    </row>
    <row r="180" spans="1:11" s="438" customFormat="1" ht="15" customHeight="1">
      <c r="A180" s="455"/>
      <c r="B180" s="456"/>
      <c r="C180" s="457"/>
      <c r="D180" s="456"/>
      <c r="E180" s="457"/>
      <c r="F180" s="458"/>
      <c r="G180" s="459"/>
      <c r="H180" s="460"/>
      <c r="I180" s="459"/>
      <c r="J180" s="461"/>
      <c r="K180" s="462"/>
    </row>
    <row r="181" spans="1:11" s="438" customFormat="1" ht="15" customHeight="1">
      <c r="A181" s="455"/>
      <c r="B181" s="456"/>
      <c r="C181" s="457"/>
      <c r="D181" s="456"/>
      <c r="E181" s="457"/>
      <c r="F181" s="458"/>
      <c r="G181" s="459"/>
      <c r="H181" s="460"/>
      <c r="I181" s="459"/>
      <c r="J181" s="461"/>
      <c r="K181" s="462"/>
    </row>
    <row r="182" spans="1:11" s="438" customFormat="1" ht="15" customHeight="1">
      <c r="A182" s="455"/>
      <c r="B182" s="456"/>
      <c r="C182" s="457"/>
      <c r="D182" s="456"/>
      <c r="E182" s="457"/>
      <c r="F182" s="458"/>
      <c r="G182" s="459"/>
      <c r="H182" s="460"/>
      <c r="I182" s="459"/>
      <c r="J182" s="461"/>
      <c r="K182" s="462"/>
    </row>
    <row r="183" spans="1:11" s="438" customFormat="1" ht="20.100000000000001" customHeight="1">
      <c r="A183" s="455"/>
      <c r="B183" s="456"/>
      <c r="C183" s="457"/>
      <c r="D183" s="456"/>
      <c r="E183" s="457"/>
      <c r="F183" s="458"/>
      <c r="G183" s="459"/>
      <c r="H183" s="460"/>
      <c r="I183" s="459"/>
      <c r="J183" s="461"/>
      <c r="K183" s="462"/>
    </row>
    <row r="184" spans="1:11" s="438" customFormat="1" ht="15" customHeight="1">
      <c r="A184" s="455"/>
      <c r="B184" s="456"/>
      <c r="C184" s="457"/>
      <c r="D184" s="456"/>
      <c r="E184" s="457"/>
      <c r="F184" s="458"/>
      <c r="G184" s="459"/>
      <c r="H184" s="460"/>
      <c r="I184" s="459"/>
      <c r="J184" s="461"/>
      <c r="K184" s="462"/>
    </row>
    <row r="185" spans="1:11" s="438" customFormat="1" ht="27.75" customHeight="1">
      <c r="A185" s="455"/>
      <c r="B185" s="456"/>
      <c r="C185" s="457"/>
      <c r="D185" s="456"/>
      <c r="E185" s="457"/>
      <c r="F185" s="458"/>
      <c r="G185" s="459"/>
      <c r="H185" s="460"/>
      <c r="I185" s="459"/>
      <c r="J185" s="461"/>
      <c r="K185" s="462"/>
    </row>
    <row r="186" spans="1:11" s="438" customFormat="1" ht="15" customHeight="1">
      <c r="A186" s="455"/>
      <c r="B186" s="456"/>
      <c r="C186" s="457"/>
      <c r="D186" s="456"/>
      <c r="E186" s="457"/>
      <c r="F186" s="458"/>
      <c r="G186" s="459"/>
      <c r="H186" s="460"/>
      <c r="I186" s="459"/>
      <c r="J186" s="461"/>
      <c r="K186" s="462"/>
    </row>
    <row r="187" spans="1:11" s="438" customFormat="1" ht="15" customHeight="1">
      <c r="A187" s="455"/>
      <c r="B187" s="456"/>
      <c r="C187" s="457"/>
      <c r="D187" s="456"/>
      <c r="E187" s="457"/>
      <c r="F187" s="458"/>
      <c r="G187" s="459"/>
      <c r="H187" s="460"/>
      <c r="I187" s="459"/>
      <c r="J187" s="461"/>
      <c r="K187" s="462"/>
    </row>
    <row r="188" spans="1:11" s="438" customFormat="1" ht="15" customHeight="1">
      <c r="A188" s="455"/>
      <c r="B188" s="456"/>
      <c r="C188" s="457"/>
      <c r="D188" s="456"/>
      <c r="E188" s="457"/>
      <c r="F188" s="458"/>
      <c r="G188" s="459"/>
      <c r="H188" s="460"/>
      <c r="I188" s="459"/>
      <c r="J188" s="461"/>
      <c r="K188" s="462"/>
    </row>
    <row r="189" spans="1:11" s="438" customFormat="1" ht="15" customHeight="1">
      <c r="A189" s="455"/>
      <c r="B189" s="456"/>
      <c r="C189" s="457"/>
      <c r="D189" s="456"/>
      <c r="E189" s="457"/>
      <c r="F189" s="458"/>
      <c r="G189" s="459"/>
      <c r="H189" s="460"/>
      <c r="I189" s="459"/>
      <c r="J189" s="461"/>
      <c r="K189" s="462"/>
    </row>
    <row r="190" spans="1:11" s="438" customFormat="1" ht="15" customHeight="1">
      <c r="A190" s="455"/>
      <c r="B190" s="456"/>
      <c r="C190" s="457"/>
      <c r="D190" s="456"/>
      <c r="E190" s="457"/>
      <c r="F190" s="458"/>
      <c r="G190" s="459"/>
      <c r="H190" s="460"/>
      <c r="I190" s="459"/>
      <c r="J190" s="461"/>
      <c r="K190" s="462"/>
    </row>
    <row r="191" spans="1:11" s="438" customFormat="1" ht="15" customHeight="1">
      <c r="A191" s="455"/>
      <c r="B191" s="456"/>
      <c r="C191" s="457"/>
      <c r="D191" s="456"/>
      <c r="E191" s="457"/>
      <c r="F191" s="458"/>
      <c r="G191" s="459"/>
      <c r="H191" s="460"/>
      <c r="I191" s="459"/>
      <c r="J191" s="461"/>
      <c r="K191" s="462"/>
    </row>
    <row r="192" spans="1:11" s="438" customFormat="1" ht="9.9499999999999993" customHeight="1">
      <c r="A192" s="455"/>
      <c r="B192" s="456"/>
      <c r="C192" s="457"/>
      <c r="D192" s="456"/>
      <c r="E192" s="457"/>
      <c r="F192" s="458"/>
      <c r="G192" s="459"/>
      <c r="H192" s="460"/>
      <c r="I192" s="459"/>
      <c r="J192" s="461"/>
      <c r="K192" s="462"/>
    </row>
    <row r="193" spans="1:1">
      <c r="A193" s="455"/>
    </row>
  </sheetData>
  <autoFilter ref="A2:K145" xr:uid="{00000000-0009-0000-0000-00000F000000}"/>
  <mergeCells count="1">
    <mergeCell ref="A1:K1"/>
  </mergeCells>
  <printOptions gridLines="1"/>
  <pageMargins left="0.25" right="0.25" top="0.75" bottom="0.75" header="0.3" footer="0.3"/>
  <pageSetup scale="97" fitToHeight="0" orientation="landscape" r:id="rId1"/>
  <headerFooter>
    <oddFooter>&amp;C&amp;"Arial,Bold"Page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K222"/>
  <sheetViews>
    <sheetView zoomScaleNormal="100" workbookViewId="0">
      <pane ySplit="2" topLeftCell="A214" activePane="bottomLeft" state="frozen"/>
      <selection pane="bottomLeft" activeCell="B2" sqref="B2:K222"/>
    </sheetView>
  </sheetViews>
  <sheetFormatPr defaultRowHeight="14.25"/>
  <cols>
    <col min="1" max="1" width="9.140625" style="463"/>
    <col min="2" max="2" width="10.5703125" style="456" customWidth="1"/>
    <col min="3" max="3" width="10.5703125" style="457" customWidth="1"/>
    <col min="4" max="4" width="10.5703125" style="456" customWidth="1"/>
    <col min="5" max="5" width="10.5703125" style="457" customWidth="1"/>
    <col min="6" max="6" width="20.42578125" style="458" customWidth="1"/>
    <col min="7" max="7" width="6.5703125" style="459" customWidth="1"/>
    <col min="8" max="8" width="26.140625" style="460" customWidth="1"/>
    <col min="9" max="9" width="15.85546875" style="459" customWidth="1"/>
    <col min="10" max="10" width="7.5703125" style="461" customWidth="1"/>
    <col min="11" max="11" width="9.5703125" style="462" customWidth="1"/>
    <col min="12" max="16384" width="9.140625" style="419"/>
  </cols>
  <sheetData>
    <row r="1" spans="1:11" s="412" customFormat="1" ht="15">
      <c r="A1" s="857" t="s">
        <v>3187</v>
      </c>
      <c r="B1" s="857"/>
      <c r="C1" s="857"/>
      <c r="D1" s="857"/>
      <c r="E1" s="857"/>
      <c r="F1" s="857"/>
      <c r="G1" s="857"/>
      <c r="H1" s="857"/>
      <c r="I1" s="857"/>
      <c r="J1" s="857"/>
      <c r="K1" s="857"/>
    </row>
    <row r="2" spans="1:11" ht="33.75">
      <c r="A2" s="518" t="s">
        <v>2742</v>
      </c>
      <c r="B2" s="414" t="s">
        <v>2105</v>
      </c>
      <c r="C2" s="415" t="s">
        <v>2106</v>
      </c>
      <c r="D2" s="414" t="s">
        <v>2107</v>
      </c>
      <c r="E2" s="415" t="s">
        <v>2108</v>
      </c>
      <c r="F2" s="416" t="s">
        <v>67</v>
      </c>
      <c r="G2" s="416" t="s">
        <v>57</v>
      </c>
      <c r="H2" s="416" t="s">
        <v>2743</v>
      </c>
      <c r="I2" s="416" t="s">
        <v>2109</v>
      </c>
      <c r="J2" s="417" t="s">
        <v>2110</v>
      </c>
      <c r="K2" s="519" t="s">
        <v>7</v>
      </c>
    </row>
    <row r="3" spans="1:11" s="438" customFormat="1" ht="45">
      <c r="A3" s="495" t="s">
        <v>2962</v>
      </c>
      <c r="B3" s="481" t="s">
        <v>3186</v>
      </c>
      <c r="C3" s="479">
        <v>0.76458333333333339</v>
      </c>
      <c r="D3" s="481" t="s">
        <v>3188</v>
      </c>
      <c r="E3" s="479">
        <v>0.75763888888888886</v>
      </c>
      <c r="F3" s="481" t="s">
        <v>3189</v>
      </c>
      <c r="G3" s="481" t="s">
        <v>63</v>
      </c>
      <c r="H3" s="485" t="s">
        <v>3190</v>
      </c>
      <c r="I3" s="481" t="s">
        <v>22</v>
      </c>
      <c r="J3" s="481" t="s">
        <v>45</v>
      </c>
      <c r="K3" s="481" t="s">
        <v>45</v>
      </c>
    </row>
    <row r="4" spans="1:11" s="438" customFormat="1" ht="45">
      <c r="A4" s="481" t="s">
        <v>9</v>
      </c>
      <c r="B4" s="481" t="s">
        <v>3186</v>
      </c>
      <c r="C4" s="479">
        <v>0.73819444444444438</v>
      </c>
      <c r="D4" s="481" t="s">
        <v>45</v>
      </c>
      <c r="E4" s="481" t="s">
        <v>45</v>
      </c>
      <c r="F4" s="481" t="s">
        <v>2919</v>
      </c>
      <c r="G4" s="481" t="s">
        <v>1352</v>
      </c>
      <c r="H4" s="485" t="s">
        <v>3190</v>
      </c>
      <c r="I4" s="481" t="s">
        <v>22</v>
      </c>
      <c r="J4" s="481" t="s">
        <v>45</v>
      </c>
      <c r="K4" s="481" t="s">
        <v>45</v>
      </c>
    </row>
    <row r="5" spans="1:11" s="438" customFormat="1" ht="45">
      <c r="A5" s="495" t="s">
        <v>9</v>
      </c>
      <c r="B5" s="481" t="s">
        <v>3186</v>
      </c>
      <c r="C5" s="479">
        <v>0.90069444444444446</v>
      </c>
      <c r="D5" s="481" t="s">
        <v>3188</v>
      </c>
      <c r="E5" s="479">
        <v>0.4375</v>
      </c>
      <c r="F5" s="481" t="s">
        <v>3189</v>
      </c>
      <c r="G5" s="481" t="s">
        <v>63</v>
      </c>
      <c r="H5" s="485" t="s">
        <v>3190</v>
      </c>
      <c r="I5" s="481" t="s">
        <v>2764</v>
      </c>
      <c r="J5" s="481" t="s">
        <v>45</v>
      </c>
      <c r="K5" s="481" t="s">
        <v>45</v>
      </c>
    </row>
    <row r="6" spans="1:11" s="438" customFormat="1" ht="33.75">
      <c r="A6" s="481" t="s">
        <v>9</v>
      </c>
      <c r="B6" s="481" t="s">
        <v>3188</v>
      </c>
      <c r="C6" s="479">
        <v>0.41666666666666669</v>
      </c>
      <c r="D6" s="481" t="s">
        <v>3191</v>
      </c>
      <c r="E6" s="479">
        <v>0.33333333333333331</v>
      </c>
      <c r="F6" s="481" t="s">
        <v>3192</v>
      </c>
      <c r="G6" s="481" t="s">
        <v>61</v>
      </c>
      <c r="H6" s="485" t="s">
        <v>2780</v>
      </c>
      <c r="I6" s="481" t="s">
        <v>1138</v>
      </c>
      <c r="J6" s="481" t="s">
        <v>3193</v>
      </c>
      <c r="K6" s="481" t="s">
        <v>45</v>
      </c>
    </row>
    <row r="7" spans="1:11" s="438" customFormat="1" ht="45">
      <c r="A7" s="495" t="s">
        <v>9</v>
      </c>
      <c r="B7" s="481" t="s">
        <v>3188</v>
      </c>
      <c r="C7" s="479">
        <v>0.3125</v>
      </c>
      <c r="D7" s="481" t="s">
        <v>45</v>
      </c>
      <c r="E7" s="481" t="s">
        <v>45</v>
      </c>
      <c r="F7" s="481" t="s">
        <v>2896</v>
      </c>
      <c r="G7" s="481" t="s">
        <v>63</v>
      </c>
      <c r="H7" s="485" t="s">
        <v>3190</v>
      </c>
      <c r="I7" s="481" t="s">
        <v>22</v>
      </c>
      <c r="J7" s="481" t="s">
        <v>3055</v>
      </c>
      <c r="K7" s="481" t="s">
        <v>3194</v>
      </c>
    </row>
    <row r="8" spans="1:11" s="438" customFormat="1" ht="22.5">
      <c r="A8" s="481" t="s">
        <v>9</v>
      </c>
      <c r="B8" s="481" t="s">
        <v>3188</v>
      </c>
      <c r="C8" s="479">
        <v>0.28125</v>
      </c>
      <c r="D8" s="481" t="s">
        <v>3188</v>
      </c>
      <c r="E8" s="479">
        <v>0.375</v>
      </c>
      <c r="F8" s="481" t="s">
        <v>2832</v>
      </c>
      <c r="G8" s="481" t="s">
        <v>63</v>
      </c>
      <c r="H8" s="485" t="s">
        <v>2622</v>
      </c>
      <c r="I8" s="481" t="s">
        <v>22</v>
      </c>
      <c r="J8" s="481" t="s">
        <v>3195</v>
      </c>
      <c r="K8" s="481" t="s">
        <v>45</v>
      </c>
    </row>
    <row r="9" spans="1:11" s="438" customFormat="1" ht="67.5">
      <c r="A9" s="495" t="s">
        <v>9</v>
      </c>
      <c r="B9" s="481" t="s">
        <v>3196</v>
      </c>
      <c r="C9" s="479">
        <v>7.5694444444444439E-2</v>
      </c>
      <c r="D9" s="478" t="s">
        <v>3196</v>
      </c>
      <c r="E9" s="479">
        <v>8.9583333333333334E-2</v>
      </c>
      <c r="F9" s="481" t="s">
        <v>3197</v>
      </c>
      <c r="G9" s="481" t="s">
        <v>1352</v>
      </c>
      <c r="H9" s="485" t="s">
        <v>2910</v>
      </c>
      <c r="I9" s="481" t="s">
        <v>2293</v>
      </c>
      <c r="J9" s="481" t="s">
        <v>45</v>
      </c>
      <c r="K9" s="481" t="s">
        <v>3198</v>
      </c>
    </row>
    <row r="10" spans="1:11" s="438" customFormat="1" ht="33.75">
      <c r="A10" s="481" t="s">
        <v>9</v>
      </c>
      <c r="B10" s="481" t="s">
        <v>3199</v>
      </c>
      <c r="C10" s="479">
        <v>0.54722222222222217</v>
      </c>
      <c r="D10" s="481" t="s">
        <v>3199</v>
      </c>
      <c r="E10" s="479">
        <v>0.62013888888888891</v>
      </c>
      <c r="F10" s="481" t="s">
        <v>3200</v>
      </c>
      <c r="G10" s="481" t="s">
        <v>3143</v>
      </c>
      <c r="H10" s="485" t="s">
        <v>3201</v>
      </c>
      <c r="I10" s="481" t="s">
        <v>2764</v>
      </c>
      <c r="J10" s="481" t="s">
        <v>3202</v>
      </c>
      <c r="K10" s="481" t="s">
        <v>3203</v>
      </c>
    </row>
    <row r="11" spans="1:11" s="438" customFormat="1" ht="45">
      <c r="A11" s="495" t="s">
        <v>9</v>
      </c>
      <c r="B11" s="481" t="s">
        <v>3204</v>
      </c>
      <c r="C11" s="479">
        <v>0.18055555555555555</v>
      </c>
      <c r="D11" s="481" t="s">
        <v>3205</v>
      </c>
      <c r="E11" s="479">
        <v>0.24166666666666667</v>
      </c>
      <c r="F11" s="481" t="s">
        <v>2919</v>
      </c>
      <c r="G11" s="481" t="s">
        <v>1352</v>
      </c>
      <c r="H11" s="485" t="s">
        <v>3190</v>
      </c>
      <c r="I11" s="481" t="s">
        <v>22</v>
      </c>
      <c r="J11" s="481" t="s">
        <v>45</v>
      </c>
      <c r="K11" s="481" t="s">
        <v>45</v>
      </c>
    </row>
    <row r="12" spans="1:11" s="438" customFormat="1" ht="45">
      <c r="A12" s="481" t="s">
        <v>9</v>
      </c>
      <c r="B12" s="481" t="s">
        <v>3206</v>
      </c>
      <c r="C12" s="479">
        <v>0.625</v>
      </c>
      <c r="D12" s="481" t="s">
        <v>3205</v>
      </c>
      <c r="E12" s="479">
        <v>0.54166666666666663</v>
      </c>
      <c r="F12" s="481" t="s">
        <v>3189</v>
      </c>
      <c r="G12" s="481" t="s">
        <v>63</v>
      </c>
      <c r="H12" s="485" t="s">
        <v>3190</v>
      </c>
      <c r="I12" s="481" t="s">
        <v>22</v>
      </c>
      <c r="J12" s="481" t="s">
        <v>45</v>
      </c>
      <c r="K12" s="481" t="s">
        <v>45</v>
      </c>
    </row>
    <row r="13" spans="1:11" s="438" customFormat="1" ht="45">
      <c r="A13" s="495" t="s">
        <v>9</v>
      </c>
      <c r="B13" s="481" t="s">
        <v>3206</v>
      </c>
      <c r="C13" s="479">
        <v>0.625</v>
      </c>
      <c r="D13" s="481" t="s">
        <v>3205</v>
      </c>
      <c r="E13" s="479">
        <v>0.54166666666666663</v>
      </c>
      <c r="F13" s="481" t="s">
        <v>2935</v>
      </c>
      <c r="G13" s="481" t="s">
        <v>63</v>
      </c>
      <c r="H13" s="485" t="s">
        <v>3190</v>
      </c>
      <c r="I13" s="481" t="s">
        <v>2764</v>
      </c>
      <c r="J13" s="481" t="s">
        <v>45</v>
      </c>
      <c r="K13" s="481" t="s">
        <v>45</v>
      </c>
    </row>
    <row r="14" spans="1:11" s="438" customFormat="1" ht="67.5">
      <c r="A14" s="481" t="s">
        <v>9</v>
      </c>
      <c r="B14" s="481" t="s">
        <v>3206</v>
      </c>
      <c r="C14" s="479">
        <v>0.58124999999999993</v>
      </c>
      <c r="D14" s="481" t="s">
        <v>3206</v>
      </c>
      <c r="E14" s="479">
        <v>0.60555555555555551</v>
      </c>
      <c r="F14" s="481" t="s">
        <v>2919</v>
      </c>
      <c r="G14" s="481" t="s">
        <v>1352</v>
      </c>
      <c r="H14" s="485" t="s">
        <v>2839</v>
      </c>
      <c r="I14" s="481" t="s">
        <v>22</v>
      </c>
      <c r="J14" s="481" t="s">
        <v>45</v>
      </c>
      <c r="K14" s="481" t="s">
        <v>45</v>
      </c>
    </row>
    <row r="15" spans="1:11" s="438" customFormat="1" ht="45">
      <c r="A15" s="495" t="s">
        <v>9</v>
      </c>
      <c r="B15" s="481" t="s">
        <v>3207</v>
      </c>
      <c r="C15" s="479">
        <v>0.21527777777777779</v>
      </c>
      <c r="D15" s="481" t="s">
        <v>3207</v>
      </c>
      <c r="E15" s="479">
        <v>0.54166666666666663</v>
      </c>
      <c r="F15" s="481" t="s">
        <v>3116</v>
      </c>
      <c r="G15" s="481" t="s">
        <v>63</v>
      </c>
      <c r="H15" s="485" t="s">
        <v>3190</v>
      </c>
      <c r="I15" s="481" t="s">
        <v>2764</v>
      </c>
      <c r="J15" s="481" t="s">
        <v>3208</v>
      </c>
      <c r="K15" s="481" t="s">
        <v>3209</v>
      </c>
    </row>
    <row r="16" spans="1:11" s="438" customFormat="1" ht="45">
      <c r="A16" s="481" t="s">
        <v>9</v>
      </c>
      <c r="B16" s="481" t="s">
        <v>3207</v>
      </c>
      <c r="C16" s="479">
        <v>0.25694444444444448</v>
      </c>
      <c r="D16" s="481" t="s">
        <v>3207</v>
      </c>
      <c r="E16" s="479">
        <v>0.58333333333333337</v>
      </c>
      <c r="F16" s="481" t="s">
        <v>2866</v>
      </c>
      <c r="G16" s="481" t="s">
        <v>63</v>
      </c>
      <c r="H16" s="485" t="s">
        <v>3190</v>
      </c>
      <c r="I16" s="481" t="s">
        <v>2764</v>
      </c>
      <c r="J16" s="481" t="s">
        <v>45</v>
      </c>
      <c r="K16" s="481" t="s">
        <v>45</v>
      </c>
    </row>
    <row r="17" spans="1:11" s="438" customFormat="1" ht="45">
      <c r="A17" s="495" t="s">
        <v>9</v>
      </c>
      <c r="B17" s="481" t="s">
        <v>3205</v>
      </c>
      <c r="C17" s="479">
        <v>0.20833333333333334</v>
      </c>
      <c r="D17" s="481" t="s">
        <v>3205</v>
      </c>
      <c r="E17" s="479">
        <v>0.45833333333333331</v>
      </c>
      <c r="F17" s="481" t="s">
        <v>3210</v>
      </c>
      <c r="G17" s="481" t="s">
        <v>63</v>
      </c>
      <c r="H17" s="485" t="s">
        <v>3190</v>
      </c>
      <c r="I17" s="481" t="s">
        <v>22</v>
      </c>
      <c r="J17" s="481" t="s">
        <v>3211</v>
      </c>
      <c r="K17" s="481" t="s">
        <v>45</v>
      </c>
    </row>
    <row r="18" spans="1:11" s="438" customFormat="1" ht="45">
      <c r="A18" s="481" t="s">
        <v>9</v>
      </c>
      <c r="B18" s="481" t="s">
        <v>3205</v>
      </c>
      <c r="C18" s="479">
        <v>0.20833333333333334</v>
      </c>
      <c r="D18" s="481" t="s">
        <v>3205</v>
      </c>
      <c r="E18" s="479">
        <v>0.40625</v>
      </c>
      <c r="F18" s="481" t="s">
        <v>3116</v>
      </c>
      <c r="G18" s="481" t="s">
        <v>63</v>
      </c>
      <c r="H18" s="485" t="s">
        <v>3190</v>
      </c>
      <c r="I18" s="481" t="s">
        <v>2764</v>
      </c>
      <c r="J18" s="481" t="s">
        <v>3212</v>
      </c>
      <c r="K18" s="481" t="s">
        <v>3209</v>
      </c>
    </row>
    <row r="19" spans="1:11" s="438" customFormat="1" ht="45">
      <c r="A19" s="495" t="s">
        <v>9</v>
      </c>
      <c r="B19" s="481" t="s">
        <v>3205</v>
      </c>
      <c r="C19" s="479">
        <v>0.25</v>
      </c>
      <c r="D19" s="481" t="s">
        <v>45</v>
      </c>
      <c r="E19" s="481" t="s">
        <v>45</v>
      </c>
      <c r="F19" s="481" t="s">
        <v>2866</v>
      </c>
      <c r="G19" s="481" t="s">
        <v>63</v>
      </c>
      <c r="H19" s="485" t="s">
        <v>3190</v>
      </c>
      <c r="I19" s="481" t="s">
        <v>2764</v>
      </c>
      <c r="J19" s="481" t="s">
        <v>45</v>
      </c>
      <c r="K19" s="481" t="s">
        <v>45</v>
      </c>
    </row>
    <row r="20" spans="1:11" s="438" customFormat="1" ht="33.75">
      <c r="A20" s="481" t="s">
        <v>9</v>
      </c>
      <c r="B20" s="481" t="s">
        <v>3213</v>
      </c>
      <c r="C20" s="479">
        <v>0.84652777777777777</v>
      </c>
      <c r="D20" s="481" t="s">
        <v>3214</v>
      </c>
      <c r="E20" s="479">
        <v>8.3333333333333329E-2</v>
      </c>
      <c r="F20" s="481" t="s">
        <v>3215</v>
      </c>
      <c r="G20" s="481" t="s">
        <v>3143</v>
      </c>
      <c r="H20" s="485" t="s">
        <v>2944</v>
      </c>
      <c r="I20" s="481" t="s">
        <v>2118</v>
      </c>
      <c r="J20" s="481" t="s">
        <v>45</v>
      </c>
      <c r="K20" s="481" t="s">
        <v>45</v>
      </c>
    </row>
    <row r="21" spans="1:11" s="438" customFormat="1" ht="67.5">
      <c r="A21" s="481" t="s">
        <v>17</v>
      </c>
      <c r="B21" s="481" t="s">
        <v>3216</v>
      </c>
      <c r="C21" s="479">
        <v>0.5708333333333333</v>
      </c>
      <c r="D21" s="481" t="s">
        <v>3216</v>
      </c>
      <c r="E21" s="479">
        <v>0.64236111111111105</v>
      </c>
      <c r="F21" s="481" t="s">
        <v>2945</v>
      </c>
      <c r="G21" s="481" t="s">
        <v>124</v>
      </c>
      <c r="H21" s="485" t="s">
        <v>2910</v>
      </c>
      <c r="I21" s="481" t="s">
        <v>100</v>
      </c>
      <c r="J21" s="481" t="s">
        <v>3217</v>
      </c>
      <c r="K21" s="481" t="s">
        <v>3055</v>
      </c>
    </row>
    <row r="22" spans="1:11" s="438" customFormat="1" ht="67.5">
      <c r="A22" s="481" t="s">
        <v>17</v>
      </c>
      <c r="B22" s="481" t="s">
        <v>3218</v>
      </c>
      <c r="C22" s="479">
        <v>0.55902777777777779</v>
      </c>
      <c r="D22" s="481" t="s">
        <v>3218</v>
      </c>
      <c r="E22" s="479">
        <v>0.56319444444444444</v>
      </c>
      <c r="F22" s="481" t="s">
        <v>2945</v>
      </c>
      <c r="G22" s="481" t="s">
        <v>124</v>
      </c>
      <c r="H22" s="485" t="s">
        <v>2839</v>
      </c>
      <c r="I22" s="481" t="s">
        <v>2764</v>
      </c>
      <c r="J22" s="481" t="s">
        <v>3219</v>
      </c>
      <c r="K22" s="481" t="s">
        <v>3220</v>
      </c>
    </row>
    <row r="23" spans="1:11" s="438" customFormat="1" ht="45">
      <c r="A23" s="481" t="s">
        <v>17</v>
      </c>
      <c r="B23" s="481" t="s">
        <v>3221</v>
      </c>
      <c r="C23" s="479">
        <v>0.68958333333333333</v>
      </c>
      <c r="D23" s="481" t="s">
        <v>3222</v>
      </c>
      <c r="E23" s="479">
        <v>0</v>
      </c>
      <c r="F23" s="481" t="s">
        <v>3223</v>
      </c>
      <c r="G23" s="481" t="s">
        <v>124</v>
      </c>
      <c r="H23" s="485" t="s">
        <v>2915</v>
      </c>
      <c r="I23" s="481" t="s">
        <v>100</v>
      </c>
      <c r="J23" s="481" t="s">
        <v>3224</v>
      </c>
      <c r="K23" s="481" t="s">
        <v>3055</v>
      </c>
    </row>
    <row r="24" spans="1:11" s="438" customFormat="1" ht="45">
      <c r="A24" s="481" t="s">
        <v>17</v>
      </c>
      <c r="B24" s="481" t="s">
        <v>3221</v>
      </c>
      <c r="C24" s="479">
        <v>0.74722222222222223</v>
      </c>
      <c r="D24" s="481" t="s">
        <v>3222</v>
      </c>
      <c r="E24" s="479">
        <v>0.17430555555555557</v>
      </c>
      <c r="F24" s="481" t="s">
        <v>3223</v>
      </c>
      <c r="G24" s="481" t="s">
        <v>124</v>
      </c>
      <c r="H24" s="485" t="s">
        <v>2915</v>
      </c>
      <c r="I24" s="481" t="s">
        <v>100</v>
      </c>
      <c r="J24" s="481" t="s">
        <v>3225</v>
      </c>
      <c r="K24" s="481" t="s">
        <v>3055</v>
      </c>
    </row>
    <row r="25" spans="1:11" s="438" customFormat="1" ht="33.75">
      <c r="A25" s="481" t="s">
        <v>17</v>
      </c>
      <c r="B25" s="481" t="s">
        <v>3226</v>
      </c>
      <c r="C25" s="479">
        <v>0.50555555555555554</v>
      </c>
      <c r="D25" s="481" t="s">
        <v>3227</v>
      </c>
      <c r="E25" s="479">
        <v>0.65625</v>
      </c>
      <c r="F25" s="481" t="s">
        <v>2901</v>
      </c>
      <c r="G25" s="481" t="s">
        <v>301</v>
      </c>
      <c r="H25" s="485" t="s">
        <v>2944</v>
      </c>
      <c r="I25" s="481" t="s">
        <v>2764</v>
      </c>
      <c r="J25" s="481" t="s">
        <v>3055</v>
      </c>
      <c r="K25" s="481" t="s">
        <v>3055</v>
      </c>
    </row>
    <row r="26" spans="1:11" s="438" customFormat="1" ht="33.75">
      <c r="A26" s="481" t="s">
        <v>17</v>
      </c>
      <c r="B26" s="481" t="s">
        <v>3226</v>
      </c>
      <c r="C26" s="479">
        <v>0.50555555555555554</v>
      </c>
      <c r="D26" s="481" t="s">
        <v>3227</v>
      </c>
      <c r="E26" s="479">
        <v>0.65625</v>
      </c>
      <c r="F26" s="481" t="s">
        <v>2901</v>
      </c>
      <c r="G26" s="481" t="s">
        <v>301</v>
      </c>
      <c r="H26" s="485" t="s">
        <v>2944</v>
      </c>
      <c r="I26" s="481" t="s">
        <v>2764</v>
      </c>
      <c r="J26" s="481" t="s">
        <v>3055</v>
      </c>
      <c r="K26" s="481" t="s">
        <v>3055</v>
      </c>
    </row>
    <row r="27" spans="1:11" s="438" customFormat="1" ht="67.5">
      <c r="A27" s="481" t="s">
        <v>20</v>
      </c>
      <c r="B27" s="481" t="s">
        <v>3227</v>
      </c>
      <c r="C27" s="479">
        <v>0.48819444444444443</v>
      </c>
      <c r="D27" s="481" t="s">
        <v>3227</v>
      </c>
      <c r="E27" s="479">
        <v>0.49722222222222223</v>
      </c>
      <c r="F27" s="481" t="s">
        <v>2945</v>
      </c>
      <c r="G27" s="481" t="s">
        <v>124</v>
      </c>
      <c r="H27" s="485" t="s">
        <v>2839</v>
      </c>
      <c r="I27" s="481" t="s">
        <v>22</v>
      </c>
      <c r="J27" s="481" t="s">
        <v>3228</v>
      </c>
      <c r="K27" s="481" t="s">
        <v>3229</v>
      </c>
    </row>
    <row r="28" spans="1:11" s="438" customFormat="1" ht="33.75">
      <c r="A28" s="481" t="s">
        <v>20</v>
      </c>
      <c r="B28" s="481" t="s">
        <v>3227</v>
      </c>
      <c r="C28" s="479">
        <v>0.9145833333333333</v>
      </c>
      <c r="D28" s="481" t="s">
        <v>3230</v>
      </c>
      <c r="E28" s="479">
        <v>0.42638888888888887</v>
      </c>
      <c r="F28" s="481" t="s">
        <v>2895</v>
      </c>
      <c r="G28" s="481" t="s">
        <v>3143</v>
      </c>
      <c r="H28" s="485" t="s">
        <v>2753</v>
      </c>
      <c r="I28" s="481" t="s">
        <v>22</v>
      </c>
      <c r="J28" s="481" t="s">
        <v>45</v>
      </c>
      <c r="K28" s="481" t="s">
        <v>3231</v>
      </c>
    </row>
    <row r="29" spans="1:11" s="438" customFormat="1" ht="45">
      <c r="A29" s="481" t="s">
        <v>20</v>
      </c>
      <c r="B29" s="481" t="s">
        <v>3227</v>
      </c>
      <c r="C29" s="479">
        <v>0.93055555555555547</v>
      </c>
      <c r="D29" s="481" t="s">
        <v>3232</v>
      </c>
      <c r="E29" s="479">
        <v>0.83333333333333337</v>
      </c>
      <c r="F29" s="481" t="s">
        <v>3233</v>
      </c>
      <c r="G29" s="481" t="s">
        <v>3143</v>
      </c>
      <c r="H29" s="485" t="s">
        <v>2753</v>
      </c>
      <c r="I29" s="481" t="s">
        <v>22</v>
      </c>
      <c r="J29" s="481" t="s">
        <v>45</v>
      </c>
      <c r="K29" s="481" t="s">
        <v>3234</v>
      </c>
    </row>
    <row r="30" spans="1:11" s="438" customFormat="1" ht="33.75">
      <c r="A30" s="481" t="s">
        <v>20</v>
      </c>
      <c r="B30" s="481" t="s">
        <v>3230</v>
      </c>
      <c r="C30" s="479">
        <v>0.70833333333333337</v>
      </c>
      <c r="D30" s="481" t="s">
        <v>3235</v>
      </c>
      <c r="E30" s="479">
        <v>0.45833333333333331</v>
      </c>
      <c r="F30" s="481" t="s">
        <v>3236</v>
      </c>
      <c r="G30" s="481" t="s">
        <v>3143</v>
      </c>
      <c r="H30" s="485" t="s">
        <v>2753</v>
      </c>
      <c r="I30" s="481" t="s">
        <v>22</v>
      </c>
      <c r="J30" s="481" t="s">
        <v>45</v>
      </c>
      <c r="K30" s="481" t="s">
        <v>3237</v>
      </c>
    </row>
    <row r="31" spans="1:11" s="438" customFormat="1" ht="67.5">
      <c r="A31" s="481" t="s">
        <v>20</v>
      </c>
      <c r="B31" s="481" t="s">
        <v>3230</v>
      </c>
      <c r="C31" s="479">
        <v>0.97013888888888899</v>
      </c>
      <c r="D31" s="481" t="s">
        <v>3238</v>
      </c>
      <c r="E31" s="479">
        <v>3.5416666666666666E-2</v>
      </c>
      <c r="F31" s="481" t="s">
        <v>2862</v>
      </c>
      <c r="G31" s="481" t="s">
        <v>124</v>
      </c>
      <c r="H31" s="485" t="s">
        <v>2910</v>
      </c>
      <c r="I31" s="481" t="s">
        <v>100</v>
      </c>
      <c r="J31" s="481" t="s">
        <v>3055</v>
      </c>
      <c r="K31" s="481" t="s">
        <v>3055</v>
      </c>
    </row>
    <row r="32" spans="1:11" s="438" customFormat="1" ht="33.75">
      <c r="A32" s="481" t="s">
        <v>20</v>
      </c>
      <c r="B32" s="481" t="s">
        <v>3230</v>
      </c>
      <c r="C32" s="479">
        <v>0.63194444444444442</v>
      </c>
      <c r="D32" s="478" t="s">
        <v>3235</v>
      </c>
      <c r="E32" s="479">
        <v>0.20625000000000002</v>
      </c>
      <c r="F32" s="481" t="s">
        <v>2895</v>
      </c>
      <c r="G32" s="481" t="s">
        <v>3143</v>
      </c>
      <c r="H32" s="485" t="s">
        <v>2753</v>
      </c>
      <c r="I32" s="481" t="s">
        <v>22</v>
      </c>
      <c r="J32" s="481" t="s">
        <v>45</v>
      </c>
      <c r="K32" s="481" t="s">
        <v>3239</v>
      </c>
    </row>
    <row r="33" spans="1:11" s="438" customFormat="1" ht="33.75">
      <c r="A33" s="481" t="s">
        <v>20</v>
      </c>
      <c r="B33" s="481" t="s">
        <v>3230</v>
      </c>
      <c r="C33" s="479">
        <v>0.48194444444444445</v>
      </c>
      <c r="D33" s="478" t="s">
        <v>45</v>
      </c>
      <c r="E33" s="479" t="s">
        <v>45</v>
      </c>
      <c r="F33" s="481" t="s">
        <v>2868</v>
      </c>
      <c r="G33" s="481" t="s">
        <v>61</v>
      </c>
      <c r="H33" s="485" t="s">
        <v>2753</v>
      </c>
      <c r="I33" s="481" t="s">
        <v>22</v>
      </c>
      <c r="J33" s="481" t="s">
        <v>45</v>
      </c>
      <c r="K33" s="481" t="s">
        <v>3240</v>
      </c>
    </row>
    <row r="34" spans="1:11" s="438" customFormat="1" ht="33.75">
      <c r="A34" s="481" t="s">
        <v>20</v>
      </c>
      <c r="B34" s="481" t="s">
        <v>3230</v>
      </c>
      <c r="C34" s="479">
        <v>0.65694444444444444</v>
      </c>
      <c r="D34" s="478" t="s">
        <v>3232</v>
      </c>
      <c r="E34" s="479">
        <v>0.82361111111111107</v>
      </c>
      <c r="F34" s="481" t="s">
        <v>3241</v>
      </c>
      <c r="G34" s="481" t="s">
        <v>61</v>
      </c>
      <c r="H34" s="485" t="s">
        <v>2753</v>
      </c>
      <c r="I34" s="481" t="s">
        <v>22</v>
      </c>
      <c r="J34" s="481" t="s">
        <v>45</v>
      </c>
      <c r="K34" s="481" t="s">
        <v>3242</v>
      </c>
    </row>
    <row r="35" spans="1:11" s="438" customFormat="1" ht="33.75">
      <c r="A35" s="481" t="s">
        <v>20</v>
      </c>
      <c r="B35" s="481" t="s">
        <v>3230</v>
      </c>
      <c r="C35" s="479">
        <v>0.57708333333333328</v>
      </c>
      <c r="D35" s="478" t="s">
        <v>3243</v>
      </c>
      <c r="E35" s="479">
        <v>0.5541666666666667</v>
      </c>
      <c r="F35" s="481" t="s">
        <v>2834</v>
      </c>
      <c r="G35" s="481" t="s">
        <v>61</v>
      </c>
      <c r="H35" s="485" t="s">
        <v>2753</v>
      </c>
      <c r="I35" s="481" t="s">
        <v>22</v>
      </c>
      <c r="J35" s="481" t="s">
        <v>45</v>
      </c>
      <c r="K35" s="481" t="s">
        <v>3244</v>
      </c>
    </row>
    <row r="36" spans="1:11" s="438" customFormat="1" ht="33.75">
      <c r="A36" s="481" t="s">
        <v>20</v>
      </c>
      <c r="B36" s="481" t="s">
        <v>3230</v>
      </c>
      <c r="C36" s="479">
        <v>0.57708333333333328</v>
      </c>
      <c r="D36" s="478" t="s">
        <v>3232</v>
      </c>
      <c r="E36" s="479">
        <v>0.50763888888888886</v>
      </c>
      <c r="F36" s="481" t="s">
        <v>3245</v>
      </c>
      <c r="G36" s="481" t="s">
        <v>3143</v>
      </c>
      <c r="H36" s="485" t="s">
        <v>2753</v>
      </c>
      <c r="I36" s="481" t="s">
        <v>22</v>
      </c>
      <c r="J36" s="481" t="s">
        <v>45</v>
      </c>
      <c r="K36" s="481" t="s">
        <v>3246</v>
      </c>
    </row>
    <row r="37" spans="1:11" s="438" customFormat="1" ht="202.5">
      <c r="A37" s="481" t="s">
        <v>20</v>
      </c>
      <c r="B37" s="481" t="s">
        <v>3230</v>
      </c>
      <c r="C37" s="479">
        <v>0.49861111111111112</v>
      </c>
      <c r="D37" s="478" t="s">
        <v>45</v>
      </c>
      <c r="E37" s="479" t="s">
        <v>45</v>
      </c>
      <c r="F37" s="481" t="s">
        <v>3247</v>
      </c>
      <c r="G37" s="481" t="s">
        <v>3143</v>
      </c>
      <c r="H37" s="485" t="s">
        <v>2839</v>
      </c>
      <c r="I37" s="481" t="s">
        <v>22</v>
      </c>
      <c r="J37" s="481" t="s">
        <v>45</v>
      </c>
      <c r="K37" s="481" t="s">
        <v>3248</v>
      </c>
    </row>
    <row r="38" spans="1:11" s="438" customFormat="1" ht="33.75">
      <c r="A38" s="481" t="s">
        <v>20</v>
      </c>
      <c r="B38" s="481" t="s">
        <v>3230</v>
      </c>
      <c r="C38" s="479">
        <v>0.5</v>
      </c>
      <c r="D38" s="478" t="s">
        <v>3243</v>
      </c>
      <c r="E38" s="479">
        <v>0</v>
      </c>
      <c r="F38" s="481" t="s">
        <v>3245</v>
      </c>
      <c r="G38" s="481" t="s">
        <v>3143</v>
      </c>
      <c r="H38" s="485" t="s">
        <v>2753</v>
      </c>
      <c r="I38" s="481" t="s">
        <v>22</v>
      </c>
      <c r="J38" s="481" t="s">
        <v>45</v>
      </c>
      <c r="K38" s="481" t="s">
        <v>3249</v>
      </c>
    </row>
    <row r="39" spans="1:11" s="438" customFormat="1" ht="67.5">
      <c r="A39" s="481" t="s">
        <v>20</v>
      </c>
      <c r="B39" s="481" t="s">
        <v>3230</v>
      </c>
      <c r="C39" s="479">
        <v>0.29166666666666669</v>
      </c>
      <c r="D39" s="478" t="s">
        <v>45</v>
      </c>
      <c r="E39" s="479" t="s">
        <v>45</v>
      </c>
      <c r="F39" s="481" t="s">
        <v>3250</v>
      </c>
      <c r="G39" s="481" t="s">
        <v>61</v>
      </c>
      <c r="H39" s="485" t="s">
        <v>2753</v>
      </c>
      <c r="I39" s="481" t="s">
        <v>22</v>
      </c>
      <c r="J39" s="481" t="s">
        <v>45</v>
      </c>
      <c r="K39" s="481" t="s">
        <v>3251</v>
      </c>
    </row>
    <row r="40" spans="1:11" s="438" customFormat="1" ht="45">
      <c r="A40" s="481" t="s">
        <v>20</v>
      </c>
      <c r="B40" s="481" t="s">
        <v>3230</v>
      </c>
      <c r="C40" s="479">
        <v>0.5</v>
      </c>
      <c r="D40" s="478" t="s">
        <v>45</v>
      </c>
      <c r="E40" s="479" t="s">
        <v>45</v>
      </c>
      <c r="F40" s="481" t="s">
        <v>3252</v>
      </c>
      <c r="G40" s="481" t="s">
        <v>3143</v>
      </c>
      <c r="H40" s="485" t="s">
        <v>2917</v>
      </c>
      <c r="I40" s="481" t="s">
        <v>22</v>
      </c>
      <c r="J40" s="481" t="s">
        <v>3253</v>
      </c>
      <c r="K40" s="481" t="s">
        <v>3254</v>
      </c>
    </row>
    <row r="41" spans="1:11" s="438" customFormat="1" ht="33.75">
      <c r="A41" s="481" t="s">
        <v>20</v>
      </c>
      <c r="B41" s="481" t="s">
        <v>3230</v>
      </c>
      <c r="C41" s="479">
        <v>0.36249999999999999</v>
      </c>
      <c r="D41" s="478" t="s">
        <v>45</v>
      </c>
      <c r="E41" s="479" t="s">
        <v>45</v>
      </c>
      <c r="F41" s="481" t="s">
        <v>2868</v>
      </c>
      <c r="G41" s="481" t="s">
        <v>61</v>
      </c>
      <c r="H41" s="485" t="s">
        <v>2753</v>
      </c>
      <c r="I41" s="481" t="s">
        <v>22</v>
      </c>
      <c r="J41" s="481" t="s">
        <v>45</v>
      </c>
      <c r="K41" s="481" t="s">
        <v>3255</v>
      </c>
    </row>
    <row r="42" spans="1:11" s="438" customFormat="1" ht="33.75">
      <c r="A42" s="481" t="s">
        <v>20</v>
      </c>
      <c r="B42" s="481" t="s">
        <v>3230</v>
      </c>
      <c r="C42" s="479">
        <v>0.33333333333333331</v>
      </c>
      <c r="D42" s="478" t="s">
        <v>3238</v>
      </c>
      <c r="E42" s="479">
        <v>0.95833333333333337</v>
      </c>
      <c r="F42" s="481" t="s">
        <v>3256</v>
      </c>
      <c r="G42" s="481" t="s">
        <v>3143</v>
      </c>
      <c r="H42" s="485" t="s">
        <v>2753</v>
      </c>
      <c r="I42" s="481" t="s">
        <v>22</v>
      </c>
      <c r="J42" s="481" t="s">
        <v>45</v>
      </c>
      <c r="K42" s="481" t="s">
        <v>3257</v>
      </c>
    </row>
    <row r="43" spans="1:11" ht="33.75">
      <c r="A43" s="481" t="s">
        <v>20</v>
      </c>
      <c r="B43" s="481" t="s">
        <v>3258</v>
      </c>
      <c r="C43" s="479">
        <v>0.67361111111111116</v>
      </c>
      <c r="D43" s="478" t="s">
        <v>3259</v>
      </c>
      <c r="E43" s="479">
        <v>0.48055555555555557</v>
      </c>
      <c r="F43" s="481" t="s">
        <v>2833</v>
      </c>
      <c r="G43" s="481" t="s">
        <v>3143</v>
      </c>
      <c r="H43" s="485" t="s">
        <v>2753</v>
      </c>
      <c r="I43" s="481" t="s">
        <v>22</v>
      </c>
      <c r="J43" s="481" t="s">
        <v>45</v>
      </c>
      <c r="K43" s="481" t="s">
        <v>3260</v>
      </c>
    </row>
    <row r="44" spans="1:11" ht="33.75">
      <c r="A44" s="481" t="s">
        <v>20</v>
      </c>
      <c r="B44" s="481" t="s">
        <v>3258</v>
      </c>
      <c r="C44" s="479">
        <v>0.71875</v>
      </c>
      <c r="D44" s="478" t="s">
        <v>45</v>
      </c>
      <c r="E44" s="479" t="s">
        <v>45</v>
      </c>
      <c r="F44" s="481" t="s">
        <v>2833</v>
      </c>
      <c r="G44" s="481" t="s">
        <v>3143</v>
      </c>
      <c r="H44" s="485" t="s">
        <v>2753</v>
      </c>
      <c r="I44" s="481" t="s">
        <v>22</v>
      </c>
      <c r="J44" s="481" t="s">
        <v>3261</v>
      </c>
      <c r="K44" s="481" t="s">
        <v>3262</v>
      </c>
    </row>
    <row r="45" spans="1:11" ht="33.75">
      <c r="A45" s="481" t="s">
        <v>20</v>
      </c>
      <c r="B45" s="481" t="s">
        <v>3258</v>
      </c>
      <c r="C45" s="479">
        <v>0.5</v>
      </c>
      <c r="D45" s="478" t="s">
        <v>3258</v>
      </c>
      <c r="E45" s="479">
        <v>0.70833333333333337</v>
      </c>
      <c r="F45" s="481" t="s">
        <v>3245</v>
      </c>
      <c r="G45" s="481" t="s">
        <v>3143</v>
      </c>
      <c r="H45" s="485" t="s">
        <v>2753</v>
      </c>
      <c r="I45" s="481" t="s">
        <v>22</v>
      </c>
      <c r="J45" s="481" t="s">
        <v>45</v>
      </c>
      <c r="K45" s="481" t="s">
        <v>3263</v>
      </c>
    </row>
    <row r="46" spans="1:11" ht="45">
      <c r="A46" s="481" t="s">
        <v>20</v>
      </c>
      <c r="B46" s="481" t="s">
        <v>3258</v>
      </c>
      <c r="C46" s="479">
        <v>0.81736111111111109</v>
      </c>
      <c r="D46" s="478" t="s">
        <v>3259</v>
      </c>
      <c r="E46" s="479">
        <v>0.69097222222222221</v>
      </c>
      <c r="F46" s="481" t="s">
        <v>3264</v>
      </c>
      <c r="G46" s="481" t="s">
        <v>61</v>
      </c>
      <c r="H46" s="485" t="s">
        <v>2753</v>
      </c>
      <c r="I46" s="481" t="s">
        <v>22</v>
      </c>
      <c r="J46" s="481" t="s">
        <v>45</v>
      </c>
      <c r="K46" s="481" t="s">
        <v>3265</v>
      </c>
    </row>
    <row r="47" spans="1:11" ht="67.5">
      <c r="A47" s="481" t="s">
        <v>20</v>
      </c>
      <c r="B47" s="481" t="s">
        <v>3266</v>
      </c>
      <c r="C47" s="479">
        <v>0</v>
      </c>
      <c r="D47" s="478" t="s">
        <v>3267</v>
      </c>
      <c r="E47" s="479">
        <v>0.45833333333333331</v>
      </c>
      <c r="F47" s="481" t="s">
        <v>2802</v>
      </c>
      <c r="G47" s="481" t="s">
        <v>61</v>
      </c>
      <c r="H47" s="485" t="s">
        <v>2910</v>
      </c>
      <c r="I47" s="481" t="s">
        <v>100</v>
      </c>
      <c r="J47" s="481" t="s">
        <v>3055</v>
      </c>
      <c r="K47" s="481" t="s">
        <v>3055</v>
      </c>
    </row>
    <row r="48" spans="1:11" ht="33.75">
      <c r="A48" s="481" t="s">
        <v>20</v>
      </c>
      <c r="B48" s="481" t="s">
        <v>3268</v>
      </c>
      <c r="C48" s="479">
        <v>0.36805555555555558</v>
      </c>
      <c r="D48" s="478" t="s">
        <v>3269</v>
      </c>
      <c r="E48" s="479">
        <v>0.97361111111111109</v>
      </c>
      <c r="F48" s="481" t="s">
        <v>2795</v>
      </c>
      <c r="G48" s="481" t="s">
        <v>61</v>
      </c>
      <c r="H48" s="485" t="s">
        <v>2753</v>
      </c>
      <c r="I48" s="481" t="s">
        <v>22</v>
      </c>
      <c r="J48" s="481" t="s">
        <v>45</v>
      </c>
      <c r="K48" s="481" t="s">
        <v>3270</v>
      </c>
    </row>
    <row r="49" spans="1:11" ht="67.5">
      <c r="A49" s="481" t="s">
        <v>20</v>
      </c>
      <c r="B49" s="481" t="s">
        <v>3268</v>
      </c>
      <c r="C49" s="479">
        <v>6.9444444444444441E-3</v>
      </c>
      <c r="D49" s="478" t="s">
        <v>3268</v>
      </c>
      <c r="E49" s="479">
        <v>2.361111111111111E-2</v>
      </c>
      <c r="F49" s="481" t="s">
        <v>2900</v>
      </c>
      <c r="G49" s="481" t="s">
        <v>124</v>
      </c>
      <c r="H49" s="485" t="s">
        <v>2910</v>
      </c>
      <c r="I49" s="481" t="s">
        <v>2118</v>
      </c>
      <c r="J49" s="481" t="s">
        <v>3055</v>
      </c>
      <c r="K49" s="481" t="s">
        <v>3055</v>
      </c>
    </row>
    <row r="50" spans="1:11" ht="33.75">
      <c r="A50" s="481" t="s">
        <v>20</v>
      </c>
      <c r="B50" s="481" t="s">
        <v>3271</v>
      </c>
      <c r="C50" s="479">
        <v>0.9784722222222223</v>
      </c>
      <c r="D50" s="478" t="s">
        <v>3272</v>
      </c>
      <c r="E50" s="479">
        <v>0.15069444444444444</v>
      </c>
      <c r="F50" s="481" t="s">
        <v>3273</v>
      </c>
      <c r="G50" s="481" t="s">
        <v>63</v>
      </c>
      <c r="H50" s="485" t="s">
        <v>2753</v>
      </c>
      <c r="I50" s="481" t="s">
        <v>22</v>
      </c>
      <c r="J50" s="481" t="s">
        <v>3274</v>
      </c>
      <c r="K50" s="481" t="s">
        <v>3275</v>
      </c>
    </row>
    <row r="51" spans="1:11" ht="67.5">
      <c r="A51" s="481" t="s">
        <v>20</v>
      </c>
      <c r="B51" s="481" t="s">
        <v>3272</v>
      </c>
      <c r="C51" s="479">
        <v>0.79166666666666663</v>
      </c>
      <c r="D51" s="478" t="s">
        <v>3276</v>
      </c>
      <c r="E51" s="479">
        <v>0.27083333333333331</v>
      </c>
      <c r="F51" s="481" t="s">
        <v>3277</v>
      </c>
      <c r="G51" s="481" t="s">
        <v>3143</v>
      </c>
      <c r="H51" s="485" t="s">
        <v>2753</v>
      </c>
      <c r="I51" s="481" t="s">
        <v>22</v>
      </c>
      <c r="J51" s="481" t="s">
        <v>3278</v>
      </c>
      <c r="K51" s="481" t="s">
        <v>3279</v>
      </c>
    </row>
    <row r="52" spans="1:11" ht="33.75">
      <c r="A52" s="481" t="s">
        <v>20</v>
      </c>
      <c r="B52" s="481" t="s">
        <v>3280</v>
      </c>
      <c r="C52" s="479">
        <v>0.9375</v>
      </c>
      <c r="D52" s="478" t="s">
        <v>3281</v>
      </c>
      <c r="E52" s="479">
        <v>0.83333333333333337</v>
      </c>
      <c r="F52" s="481" t="s">
        <v>3256</v>
      </c>
      <c r="G52" s="481" t="s">
        <v>3143</v>
      </c>
      <c r="H52" s="485" t="s">
        <v>2753</v>
      </c>
      <c r="I52" s="481" t="s">
        <v>22</v>
      </c>
      <c r="J52" s="481" t="s">
        <v>45</v>
      </c>
      <c r="K52" s="481" t="s">
        <v>3282</v>
      </c>
    </row>
    <row r="53" spans="1:11" ht="67.5">
      <c r="A53" s="481" t="s">
        <v>20</v>
      </c>
      <c r="B53" s="481" t="s">
        <v>3281</v>
      </c>
      <c r="C53" s="479">
        <v>0.12847222222222224</v>
      </c>
      <c r="D53" s="478" t="s">
        <v>3281</v>
      </c>
      <c r="E53" s="479">
        <v>0.14930555555555555</v>
      </c>
      <c r="F53" s="481" t="s">
        <v>2945</v>
      </c>
      <c r="G53" s="481" t="s">
        <v>124</v>
      </c>
      <c r="H53" s="485" t="s">
        <v>2910</v>
      </c>
      <c r="I53" s="481" t="s">
        <v>100</v>
      </c>
      <c r="J53" s="481" t="s">
        <v>3055</v>
      </c>
      <c r="K53" s="481" t="s">
        <v>3055</v>
      </c>
    </row>
    <row r="54" spans="1:11" ht="67.5">
      <c r="A54" s="481" t="s">
        <v>20</v>
      </c>
      <c r="B54" s="481" t="s">
        <v>3283</v>
      </c>
      <c r="C54" s="479">
        <v>0.625</v>
      </c>
      <c r="D54" s="478" t="s">
        <v>3283</v>
      </c>
      <c r="E54" s="479">
        <v>0.66666666666666663</v>
      </c>
      <c r="F54" s="481" t="s">
        <v>3284</v>
      </c>
      <c r="G54" s="481" t="s">
        <v>124</v>
      </c>
      <c r="H54" s="485" t="s">
        <v>2910</v>
      </c>
      <c r="I54" s="481" t="s">
        <v>100</v>
      </c>
      <c r="J54" s="481" t="s">
        <v>3285</v>
      </c>
      <c r="K54" s="481" t="s">
        <v>3286</v>
      </c>
    </row>
    <row r="55" spans="1:11" ht="67.5">
      <c r="A55" s="481" t="s">
        <v>23</v>
      </c>
      <c r="B55" s="481" t="s">
        <v>3287</v>
      </c>
      <c r="C55" s="479">
        <v>0.46875</v>
      </c>
      <c r="D55" s="481" t="s">
        <v>3287</v>
      </c>
      <c r="E55" s="479">
        <v>0.47916666666666669</v>
      </c>
      <c r="F55" s="481" t="s">
        <v>2945</v>
      </c>
      <c r="G55" s="481" t="s">
        <v>124</v>
      </c>
      <c r="H55" s="485" t="s">
        <v>2910</v>
      </c>
      <c r="I55" s="481" t="s">
        <v>100</v>
      </c>
      <c r="J55" s="481" t="s">
        <v>3055</v>
      </c>
      <c r="K55" s="481" t="s">
        <v>3055</v>
      </c>
    </row>
    <row r="56" spans="1:11" ht="33.75">
      <c r="A56" s="481" t="s">
        <v>23</v>
      </c>
      <c r="B56" s="481" t="s">
        <v>3288</v>
      </c>
      <c r="C56" s="479">
        <v>0.6958333333333333</v>
      </c>
      <c r="D56" s="481" t="s">
        <v>3289</v>
      </c>
      <c r="E56" s="479">
        <v>0.26527777777777778</v>
      </c>
      <c r="F56" s="481" t="s">
        <v>2868</v>
      </c>
      <c r="G56" s="481" t="s">
        <v>61</v>
      </c>
      <c r="H56" s="485" t="s">
        <v>2753</v>
      </c>
      <c r="I56" s="481" t="s">
        <v>22</v>
      </c>
      <c r="J56" s="481" t="s">
        <v>45</v>
      </c>
      <c r="K56" s="481" t="s">
        <v>3290</v>
      </c>
    </row>
    <row r="57" spans="1:11" ht="45">
      <c r="A57" s="481" t="s">
        <v>23</v>
      </c>
      <c r="B57" s="481" t="s">
        <v>3291</v>
      </c>
      <c r="C57" s="479">
        <v>3.4722222222222224E-2</v>
      </c>
      <c r="D57" s="481" t="s">
        <v>3291</v>
      </c>
      <c r="E57" s="479">
        <v>0.66666666666666663</v>
      </c>
      <c r="F57" s="481" t="s">
        <v>2984</v>
      </c>
      <c r="G57" s="481" t="s">
        <v>61</v>
      </c>
      <c r="H57" s="485" t="s">
        <v>2753</v>
      </c>
      <c r="I57" s="481" t="s">
        <v>22</v>
      </c>
      <c r="J57" s="481" t="s">
        <v>45</v>
      </c>
      <c r="K57" s="481" t="s">
        <v>3292</v>
      </c>
    </row>
    <row r="58" spans="1:11" ht="67.5">
      <c r="A58" s="481" t="s">
        <v>23</v>
      </c>
      <c r="B58" s="481" t="s">
        <v>3293</v>
      </c>
      <c r="C58" s="479">
        <v>0.42152777777777778</v>
      </c>
      <c r="D58" s="481" t="s">
        <v>3293</v>
      </c>
      <c r="E58" s="479">
        <v>0.66666666666666663</v>
      </c>
      <c r="F58" s="481" t="s">
        <v>3284</v>
      </c>
      <c r="G58" s="481" t="s">
        <v>124</v>
      </c>
      <c r="H58" s="485" t="s">
        <v>2910</v>
      </c>
      <c r="I58" s="481" t="s">
        <v>100</v>
      </c>
      <c r="J58" s="481" t="s">
        <v>3055</v>
      </c>
      <c r="K58" s="481" t="s">
        <v>3055</v>
      </c>
    </row>
    <row r="59" spans="1:11" ht="45">
      <c r="A59" s="481" t="s">
        <v>23</v>
      </c>
      <c r="B59" s="481" t="s">
        <v>3293</v>
      </c>
      <c r="C59" s="479">
        <v>0.51111111111111118</v>
      </c>
      <c r="D59" s="478" t="s">
        <v>3293</v>
      </c>
      <c r="E59" s="479">
        <v>0.57777777777777783</v>
      </c>
      <c r="F59" s="481" t="s">
        <v>2831</v>
      </c>
      <c r="G59" s="481" t="s">
        <v>124</v>
      </c>
      <c r="H59" s="485" t="s">
        <v>2769</v>
      </c>
      <c r="I59" s="481" t="s">
        <v>2483</v>
      </c>
      <c r="J59" s="481" t="s">
        <v>3294</v>
      </c>
      <c r="K59" s="481" t="s">
        <v>3295</v>
      </c>
    </row>
    <row r="60" spans="1:11" ht="45">
      <c r="A60" s="481" t="s">
        <v>23</v>
      </c>
      <c r="B60" s="481" t="s">
        <v>3293</v>
      </c>
      <c r="C60" s="479">
        <v>0.4694444444444445</v>
      </c>
      <c r="D60" s="478" t="s">
        <v>45</v>
      </c>
      <c r="E60" s="479" t="s">
        <v>45</v>
      </c>
      <c r="F60" s="481" t="s">
        <v>2865</v>
      </c>
      <c r="G60" s="481" t="s">
        <v>124</v>
      </c>
      <c r="H60" s="485" t="s">
        <v>2769</v>
      </c>
      <c r="I60" s="481" t="s">
        <v>2483</v>
      </c>
      <c r="J60" s="481" t="s">
        <v>3296</v>
      </c>
      <c r="K60" s="481" t="s">
        <v>3297</v>
      </c>
    </row>
    <row r="61" spans="1:11" ht="45">
      <c r="A61" s="481" t="s">
        <v>23</v>
      </c>
      <c r="B61" s="481" t="s">
        <v>3293</v>
      </c>
      <c r="C61" s="479">
        <v>0.96527777777777779</v>
      </c>
      <c r="D61" s="478" t="s">
        <v>3298</v>
      </c>
      <c r="E61" s="479">
        <v>0.28263888888888888</v>
      </c>
      <c r="F61" s="481" t="s">
        <v>3299</v>
      </c>
      <c r="G61" s="481" t="s">
        <v>301</v>
      </c>
      <c r="H61" s="485" t="s">
        <v>2915</v>
      </c>
      <c r="I61" s="481" t="s">
        <v>2343</v>
      </c>
      <c r="J61" s="481" t="s">
        <v>3300</v>
      </c>
      <c r="K61" s="481" t="s">
        <v>3301</v>
      </c>
    </row>
    <row r="62" spans="1:11" ht="33.75">
      <c r="A62" s="481" t="s">
        <v>23</v>
      </c>
      <c r="B62" s="481" t="s">
        <v>3302</v>
      </c>
      <c r="C62" s="479">
        <v>0.39583333333333331</v>
      </c>
      <c r="D62" s="478" t="s">
        <v>3302</v>
      </c>
      <c r="E62" s="479">
        <v>0.41666666666666669</v>
      </c>
      <c r="F62" s="481" t="s">
        <v>3303</v>
      </c>
      <c r="G62" s="481" t="s">
        <v>63</v>
      </c>
      <c r="H62" s="485" t="s">
        <v>2753</v>
      </c>
      <c r="I62" s="481" t="s">
        <v>22</v>
      </c>
      <c r="J62" s="481" t="s">
        <v>45</v>
      </c>
      <c r="K62" s="481" t="s">
        <v>3304</v>
      </c>
    </row>
    <row r="63" spans="1:11" ht="33.75">
      <c r="A63" s="481" t="s">
        <v>23</v>
      </c>
      <c r="B63" s="481" t="s">
        <v>3305</v>
      </c>
      <c r="C63" s="479">
        <v>0.3125</v>
      </c>
      <c r="D63" s="478" t="s">
        <v>3306</v>
      </c>
      <c r="E63" s="479">
        <v>0.3125</v>
      </c>
      <c r="F63" s="481" t="s">
        <v>3307</v>
      </c>
      <c r="G63" s="481" t="s">
        <v>3143</v>
      </c>
      <c r="H63" s="485" t="s">
        <v>2753</v>
      </c>
      <c r="I63" s="481" t="s">
        <v>22</v>
      </c>
      <c r="J63" s="481" t="s">
        <v>45</v>
      </c>
      <c r="K63" s="481" t="s">
        <v>3308</v>
      </c>
    </row>
    <row r="64" spans="1:11" ht="33.75">
      <c r="A64" s="481" t="s">
        <v>23</v>
      </c>
      <c r="B64" s="481" t="s">
        <v>3305</v>
      </c>
      <c r="C64" s="479">
        <v>0.71805555555555556</v>
      </c>
      <c r="D64" s="478" t="s">
        <v>3305</v>
      </c>
      <c r="E64" s="479">
        <v>0.97569444444444453</v>
      </c>
      <c r="F64" s="481" t="s">
        <v>2832</v>
      </c>
      <c r="G64" s="481" t="s">
        <v>63</v>
      </c>
      <c r="H64" s="485" t="s">
        <v>2753</v>
      </c>
      <c r="I64" s="481" t="s">
        <v>22</v>
      </c>
      <c r="J64" s="481" t="s">
        <v>45</v>
      </c>
      <c r="K64" s="481" t="s">
        <v>3309</v>
      </c>
    </row>
    <row r="65" spans="1:11" ht="67.5">
      <c r="A65" s="481" t="s">
        <v>103</v>
      </c>
      <c r="B65" s="481" t="s">
        <v>3310</v>
      </c>
      <c r="C65" s="479">
        <v>0.61944444444444446</v>
      </c>
      <c r="D65" s="481" t="s">
        <v>3310</v>
      </c>
      <c r="E65" s="479">
        <v>0.67638888888888893</v>
      </c>
      <c r="F65" s="481" t="s">
        <v>2928</v>
      </c>
      <c r="G65" s="481" t="s">
        <v>63</v>
      </c>
      <c r="H65" s="485" t="s">
        <v>2910</v>
      </c>
      <c r="I65" s="481" t="s">
        <v>100</v>
      </c>
      <c r="J65" s="481" t="s">
        <v>3055</v>
      </c>
      <c r="K65" s="481" t="s">
        <v>3055</v>
      </c>
    </row>
    <row r="66" spans="1:11" ht="67.5">
      <c r="A66" s="481" t="s">
        <v>103</v>
      </c>
      <c r="B66" s="481" t="s">
        <v>3311</v>
      </c>
      <c r="C66" s="479">
        <v>0.58333333333333337</v>
      </c>
      <c r="D66" s="481" t="s">
        <v>3312</v>
      </c>
      <c r="E66" s="479">
        <v>0.39583333333333331</v>
      </c>
      <c r="F66" s="481" t="s">
        <v>3313</v>
      </c>
      <c r="G66" s="481" t="s">
        <v>3143</v>
      </c>
      <c r="H66" s="485" t="s">
        <v>2753</v>
      </c>
      <c r="I66" s="481" t="s">
        <v>22</v>
      </c>
      <c r="J66" s="481" t="s">
        <v>45</v>
      </c>
      <c r="K66" s="481" t="s">
        <v>3251</v>
      </c>
    </row>
    <row r="67" spans="1:11" ht="33.75">
      <c r="A67" s="481" t="s">
        <v>103</v>
      </c>
      <c r="B67" s="481" t="s">
        <v>3311</v>
      </c>
      <c r="C67" s="479">
        <v>0.5</v>
      </c>
      <c r="D67" s="481" t="s">
        <v>3314</v>
      </c>
      <c r="E67" s="479">
        <v>0.54166666666666663</v>
      </c>
      <c r="F67" s="481" t="s">
        <v>3307</v>
      </c>
      <c r="G67" s="481" t="s">
        <v>3143</v>
      </c>
      <c r="H67" s="485" t="s">
        <v>2753</v>
      </c>
      <c r="I67" s="481" t="s">
        <v>22</v>
      </c>
      <c r="J67" s="481" t="s">
        <v>45</v>
      </c>
      <c r="K67" s="481" t="s">
        <v>3315</v>
      </c>
    </row>
    <row r="68" spans="1:11" ht="33.75">
      <c r="A68" s="481" t="s">
        <v>103</v>
      </c>
      <c r="B68" s="481" t="s">
        <v>3311</v>
      </c>
      <c r="C68" s="479">
        <v>0.84027777777777779</v>
      </c>
      <c r="D68" s="478" t="s">
        <v>45</v>
      </c>
      <c r="E68" s="478" t="s">
        <v>45</v>
      </c>
      <c r="F68" s="481" t="s">
        <v>2868</v>
      </c>
      <c r="G68" s="481" t="s">
        <v>61</v>
      </c>
      <c r="H68" s="485" t="s">
        <v>2753</v>
      </c>
      <c r="I68" s="481" t="s">
        <v>22</v>
      </c>
      <c r="J68" s="481" t="s">
        <v>45</v>
      </c>
      <c r="K68" s="481" t="s">
        <v>3316</v>
      </c>
    </row>
    <row r="69" spans="1:11" ht="33.75">
      <c r="A69" s="481" t="s">
        <v>103</v>
      </c>
      <c r="B69" s="481" t="s">
        <v>3311</v>
      </c>
      <c r="C69" s="479">
        <v>0.96527777777777779</v>
      </c>
      <c r="D69" s="478" t="s">
        <v>3312</v>
      </c>
      <c r="E69" s="479">
        <v>2.7777777777777776E-2</v>
      </c>
      <c r="F69" s="481" t="s">
        <v>3317</v>
      </c>
      <c r="G69" s="481" t="s">
        <v>61</v>
      </c>
      <c r="H69" s="485" t="s">
        <v>2753</v>
      </c>
      <c r="I69" s="481" t="s">
        <v>22</v>
      </c>
      <c r="J69" s="481" t="s">
        <v>45</v>
      </c>
      <c r="K69" s="481" t="s">
        <v>3318</v>
      </c>
    </row>
    <row r="70" spans="1:11" ht="33.75">
      <c r="A70" s="481" t="s">
        <v>103</v>
      </c>
      <c r="B70" s="481" t="s">
        <v>3312</v>
      </c>
      <c r="C70" s="479">
        <v>0.1875</v>
      </c>
      <c r="D70" s="478" t="s">
        <v>3312</v>
      </c>
      <c r="E70" s="479">
        <v>0.64583333333333337</v>
      </c>
      <c r="F70" s="481" t="s">
        <v>3319</v>
      </c>
      <c r="G70" s="481" t="s">
        <v>61</v>
      </c>
      <c r="H70" s="485" t="s">
        <v>2753</v>
      </c>
      <c r="I70" s="481" t="s">
        <v>22</v>
      </c>
      <c r="J70" s="481" t="s">
        <v>45</v>
      </c>
      <c r="K70" s="481" t="s">
        <v>3320</v>
      </c>
    </row>
    <row r="71" spans="1:11" ht="67.5">
      <c r="A71" s="481" t="s">
        <v>103</v>
      </c>
      <c r="B71" s="488" t="s">
        <v>3321</v>
      </c>
      <c r="C71" s="520">
        <v>0.4375</v>
      </c>
      <c r="D71" s="521" t="s">
        <v>3321</v>
      </c>
      <c r="E71" s="520">
        <v>0.44166666666666665</v>
      </c>
      <c r="F71" s="488" t="s">
        <v>2869</v>
      </c>
      <c r="G71" s="488" t="s">
        <v>61</v>
      </c>
      <c r="H71" s="522" t="s">
        <v>2910</v>
      </c>
      <c r="I71" s="522" t="s">
        <v>2150</v>
      </c>
      <c r="J71" s="488" t="s">
        <v>3055</v>
      </c>
      <c r="K71" s="488" t="s">
        <v>3055</v>
      </c>
    </row>
    <row r="72" spans="1:11" ht="67.5">
      <c r="A72" s="481" t="s">
        <v>103</v>
      </c>
      <c r="B72" s="488" t="s">
        <v>3322</v>
      </c>
      <c r="C72" s="520">
        <v>0.66666666666666663</v>
      </c>
      <c r="D72" s="521" t="s">
        <v>3322</v>
      </c>
      <c r="E72" s="520">
        <v>0.66736111111111107</v>
      </c>
      <c r="F72" s="488" t="s">
        <v>3323</v>
      </c>
      <c r="G72" s="488" t="s">
        <v>124</v>
      </c>
      <c r="H72" s="522" t="s">
        <v>2910</v>
      </c>
      <c r="I72" s="522" t="s">
        <v>2293</v>
      </c>
      <c r="J72" s="488" t="s">
        <v>3055</v>
      </c>
      <c r="K72" s="488" t="s">
        <v>3055</v>
      </c>
    </row>
    <row r="73" spans="1:11" ht="33.75">
      <c r="A73" s="481" t="s">
        <v>103</v>
      </c>
      <c r="B73" s="481" t="s">
        <v>3324</v>
      </c>
      <c r="C73" s="479">
        <v>0.79722222222222217</v>
      </c>
      <c r="D73" s="478" t="s">
        <v>45</v>
      </c>
      <c r="E73" s="478" t="s">
        <v>45</v>
      </c>
      <c r="F73" s="481" t="s">
        <v>3325</v>
      </c>
      <c r="G73" s="481" t="s">
        <v>63</v>
      </c>
      <c r="H73" s="485" t="s">
        <v>2753</v>
      </c>
      <c r="I73" s="481" t="s">
        <v>22</v>
      </c>
      <c r="J73" s="481" t="s">
        <v>45</v>
      </c>
      <c r="K73" s="481" t="s">
        <v>3326</v>
      </c>
    </row>
    <row r="74" spans="1:11" ht="123.75">
      <c r="A74" s="481" t="s">
        <v>103</v>
      </c>
      <c r="B74" s="481" t="s">
        <v>3327</v>
      </c>
      <c r="C74" s="479">
        <v>0.61805555555555558</v>
      </c>
      <c r="D74" s="478" t="s">
        <v>45</v>
      </c>
      <c r="E74" s="478" t="s">
        <v>45</v>
      </c>
      <c r="F74" s="481" t="s">
        <v>3328</v>
      </c>
      <c r="G74" s="481" t="s">
        <v>3143</v>
      </c>
      <c r="H74" s="485" t="s">
        <v>2753</v>
      </c>
      <c r="I74" s="481" t="s">
        <v>22</v>
      </c>
      <c r="J74" s="481" t="s">
        <v>45</v>
      </c>
      <c r="K74" s="481" t="s">
        <v>3329</v>
      </c>
    </row>
    <row r="75" spans="1:11" ht="33.75">
      <c r="A75" s="481" t="s">
        <v>103</v>
      </c>
      <c r="B75" s="481" t="s">
        <v>3327</v>
      </c>
      <c r="C75" s="479">
        <v>0.66666666666666663</v>
      </c>
      <c r="D75" s="478" t="s">
        <v>45</v>
      </c>
      <c r="E75" s="478" t="s">
        <v>45</v>
      </c>
      <c r="F75" s="481" t="s">
        <v>3330</v>
      </c>
      <c r="G75" s="481" t="s">
        <v>61</v>
      </c>
      <c r="H75" s="485" t="s">
        <v>2753</v>
      </c>
      <c r="I75" s="481" t="s">
        <v>22</v>
      </c>
      <c r="J75" s="481" t="s">
        <v>45</v>
      </c>
      <c r="K75" s="481" t="s">
        <v>3331</v>
      </c>
    </row>
    <row r="76" spans="1:11" ht="33.75">
      <c r="A76" s="481" t="s">
        <v>103</v>
      </c>
      <c r="B76" s="481" t="s">
        <v>3327</v>
      </c>
      <c r="C76" s="479">
        <v>0.72569444444444453</v>
      </c>
      <c r="D76" s="478" t="s">
        <v>45</v>
      </c>
      <c r="E76" s="478" t="s">
        <v>45</v>
      </c>
      <c r="F76" s="481" t="s">
        <v>2833</v>
      </c>
      <c r="G76" s="481" t="s">
        <v>3143</v>
      </c>
      <c r="H76" s="485" t="s">
        <v>2753</v>
      </c>
      <c r="I76" s="481" t="s">
        <v>22</v>
      </c>
      <c r="J76" s="481" t="s">
        <v>45</v>
      </c>
      <c r="K76" s="481" t="s">
        <v>3332</v>
      </c>
    </row>
    <row r="77" spans="1:11" ht="33.75">
      <c r="A77" s="481" t="s">
        <v>103</v>
      </c>
      <c r="B77" s="481" t="s">
        <v>3327</v>
      </c>
      <c r="C77" s="479">
        <v>0.7597222222222223</v>
      </c>
      <c r="D77" s="478" t="s">
        <v>3327</v>
      </c>
      <c r="E77" s="479">
        <v>0.79166666666666663</v>
      </c>
      <c r="F77" s="481" t="s">
        <v>3245</v>
      </c>
      <c r="G77" s="481" t="s">
        <v>3143</v>
      </c>
      <c r="H77" s="485" t="s">
        <v>2753</v>
      </c>
      <c r="I77" s="481" t="s">
        <v>22</v>
      </c>
      <c r="J77" s="481" t="s">
        <v>45</v>
      </c>
      <c r="K77" s="481" t="s">
        <v>3333</v>
      </c>
    </row>
    <row r="78" spans="1:11" ht="33.75">
      <c r="A78" s="481" t="s">
        <v>103</v>
      </c>
      <c r="B78" s="481" t="s">
        <v>3327</v>
      </c>
      <c r="C78" s="479">
        <v>0.77430555555555547</v>
      </c>
      <c r="D78" s="478" t="s">
        <v>3334</v>
      </c>
      <c r="E78" s="479">
        <v>0.6645833333333333</v>
      </c>
      <c r="F78" s="481" t="s">
        <v>2834</v>
      </c>
      <c r="G78" s="481" t="s">
        <v>61</v>
      </c>
      <c r="H78" s="485" t="s">
        <v>2753</v>
      </c>
      <c r="I78" s="481" t="s">
        <v>22</v>
      </c>
      <c r="J78" s="481" t="s">
        <v>45</v>
      </c>
      <c r="K78" s="481" t="s">
        <v>3263</v>
      </c>
    </row>
    <row r="79" spans="1:11" ht="67.5">
      <c r="A79" s="481" t="s">
        <v>103</v>
      </c>
      <c r="B79" s="481" t="s">
        <v>3327</v>
      </c>
      <c r="C79" s="479">
        <v>0.625</v>
      </c>
      <c r="D79" s="478" t="s">
        <v>3334</v>
      </c>
      <c r="E79" s="479">
        <v>0.57500000000000007</v>
      </c>
      <c r="F79" s="481" t="s">
        <v>3335</v>
      </c>
      <c r="G79" s="481" t="s">
        <v>61</v>
      </c>
      <c r="H79" s="485" t="s">
        <v>2910</v>
      </c>
      <c r="I79" s="481" t="s">
        <v>100</v>
      </c>
      <c r="J79" s="481" t="s">
        <v>3055</v>
      </c>
      <c r="K79" s="481" t="s">
        <v>3055</v>
      </c>
    </row>
    <row r="80" spans="1:11" ht="33.75">
      <c r="A80" s="481" t="s">
        <v>103</v>
      </c>
      <c r="B80" s="481" t="s">
        <v>3327</v>
      </c>
      <c r="C80" s="479">
        <v>0.71875</v>
      </c>
      <c r="D80" s="478" t="s">
        <v>45</v>
      </c>
      <c r="E80" s="478" t="s">
        <v>45</v>
      </c>
      <c r="F80" s="481" t="s">
        <v>2868</v>
      </c>
      <c r="G80" s="481" t="s">
        <v>61</v>
      </c>
      <c r="H80" s="485" t="s">
        <v>2753</v>
      </c>
      <c r="I80" s="481" t="s">
        <v>22</v>
      </c>
      <c r="J80" s="481" t="s">
        <v>45</v>
      </c>
      <c r="K80" s="481" t="s">
        <v>3336</v>
      </c>
    </row>
    <row r="81" spans="1:11" ht="33.75">
      <c r="A81" s="481" t="s">
        <v>103</v>
      </c>
      <c r="B81" s="481" t="s">
        <v>3337</v>
      </c>
      <c r="C81" s="479">
        <v>4.9305555555555554E-2</v>
      </c>
      <c r="D81" s="478" t="s">
        <v>45</v>
      </c>
      <c r="E81" s="478" t="s">
        <v>45</v>
      </c>
      <c r="F81" s="481" t="s">
        <v>3338</v>
      </c>
      <c r="G81" s="481" t="s">
        <v>124</v>
      </c>
      <c r="H81" s="485" t="s">
        <v>2753</v>
      </c>
      <c r="I81" s="481" t="s">
        <v>22</v>
      </c>
      <c r="J81" s="481" t="s">
        <v>3339</v>
      </c>
      <c r="K81" s="481" t="s">
        <v>3340</v>
      </c>
    </row>
    <row r="82" spans="1:11" ht="33.75">
      <c r="A82" s="481" t="s">
        <v>103</v>
      </c>
      <c r="B82" s="481" t="s">
        <v>3337</v>
      </c>
      <c r="C82" s="479">
        <v>4.9305555555555554E-2</v>
      </c>
      <c r="D82" s="478" t="s">
        <v>3334</v>
      </c>
      <c r="E82" s="479">
        <v>2.6388888888888889E-2</v>
      </c>
      <c r="F82" s="481" t="s">
        <v>2945</v>
      </c>
      <c r="G82" s="481" t="s">
        <v>124</v>
      </c>
      <c r="H82" s="485" t="s">
        <v>2753</v>
      </c>
      <c r="I82" s="481" t="s">
        <v>2968</v>
      </c>
      <c r="J82" s="481" t="s">
        <v>3341</v>
      </c>
      <c r="K82" s="481" t="s">
        <v>3340</v>
      </c>
    </row>
    <row r="83" spans="1:11" ht="33.75">
      <c r="A83" s="481" t="s">
        <v>103</v>
      </c>
      <c r="B83" s="481" t="s">
        <v>3342</v>
      </c>
      <c r="C83" s="479">
        <v>0.77777777777777779</v>
      </c>
      <c r="D83" s="478" t="s">
        <v>3343</v>
      </c>
      <c r="E83" s="479">
        <v>0.99305555555555547</v>
      </c>
      <c r="F83" s="481" t="s">
        <v>2809</v>
      </c>
      <c r="G83" s="481" t="s">
        <v>1352</v>
      </c>
      <c r="H83" s="485" t="s">
        <v>2753</v>
      </c>
      <c r="I83" s="481" t="s">
        <v>22</v>
      </c>
      <c r="J83" s="481" t="s">
        <v>45</v>
      </c>
      <c r="K83" s="481" t="s">
        <v>3344</v>
      </c>
    </row>
    <row r="84" spans="1:11" ht="45">
      <c r="A84" s="481" t="s">
        <v>123</v>
      </c>
      <c r="B84" s="481" t="s">
        <v>3345</v>
      </c>
      <c r="C84" s="479">
        <v>0.20833333333333334</v>
      </c>
      <c r="D84" s="478" t="s">
        <v>3345</v>
      </c>
      <c r="E84" s="479">
        <v>0.45833333333333331</v>
      </c>
      <c r="F84" s="481" t="s">
        <v>3346</v>
      </c>
      <c r="G84" s="481" t="s">
        <v>3347</v>
      </c>
      <c r="H84" s="485" t="s">
        <v>2753</v>
      </c>
      <c r="I84" s="481" t="s">
        <v>22</v>
      </c>
      <c r="J84" s="481" t="s">
        <v>45</v>
      </c>
      <c r="K84" s="481" t="s">
        <v>3348</v>
      </c>
    </row>
    <row r="85" spans="1:11" ht="67.5">
      <c r="A85" s="481" t="s">
        <v>123</v>
      </c>
      <c r="B85" s="481" t="s">
        <v>3349</v>
      </c>
      <c r="C85" s="479">
        <v>0.36805555555555558</v>
      </c>
      <c r="D85" s="478" t="s">
        <v>3349</v>
      </c>
      <c r="E85" s="479">
        <v>0.58333333333333337</v>
      </c>
      <c r="F85" s="481" t="s">
        <v>3182</v>
      </c>
      <c r="G85" s="481" t="s">
        <v>301</v>
      </c>
      <c r="H85" s="485" t="s">
        <v>2910</v>
      </c>
      <c r="I85" s="481" t="s">
        <v>100</v>
      </c>
      <c r="J85" s="481" t="s">
        <v>3055</v>
      </c>
      <c r="K85" s="481" t="s">
        <v>3055</v>
      </c>
    </row>
    <row r="86" spans="1:11" ht="45">
      <c r="A86" s="481" t="s">
        <v>123</v>
      </c>
      <c r="B86" s="481" t="s">
        <v>3350</v>
      </c>
      <c r="C86" s="479">
        <v>0.41250000000000003</v>
      </c>
      <c r="D86" s="478" t="s">
        <v>3350</v>
      </c>
      <c r="E86" s="479">
        <v>0.5083333333333333</v>
      </c>
      <c r="F86" s="481" t="s">
        <v>2904</v>
      </c>
      <c r="G86" s="481" t="s">
        <v>63</v>
      </c>
      <c r="H86" s="485" t="s">
        <v>3351</v>
      </c>
      <c r="I86" s="481" t="s">
        <v>2764</v>
      </c>
      <c r="J86" s="481" t="s">
        <v>3055</v>
      </c>
      <c r="K86" s="481" t="s">
        <v>3055</v>
      </c>
    </row>
    <row r="87" spans="1:11" ht="45">
      <c r="A87" s="481" t="s">
        <v>123</v>
      </c>
      <c r="B87" s="481" t="s">
        <v>3352</v>
      </c>
      <c r="C87" s="479">
        <v>0.60069444444444442</v>
      </c>
      <c r="D87" s="478" t="s">
        <v>3353</v>
      </c>
      <c r="E87" s="479">
        <v>0.24861111111111112</v>
      </c>
      <c r="F87" s="481" t="s">
        <v>3354</v>
      </c>
      <c r="G87" s="481" t="s">
        <v>63</v>
      </c>
      <c r="H87" s="485" t="s">
        <v>3351</v>
      </c>
      <c r="I87" s="481" t="s">
        <v>2764</v>
      </c>
      <c r="J87" s="481" t="s">
        <v>45</v>
      </c>
      <c r="K87" s="481" t="s">
        <v>45</v>
      </c>
    </row>
    <row r="88" spans="1:11" ht="33.75">
      <c r="A88" s="481" t="s">
        <v>123</v>
      </c>
      <c r="B88" s="481" t="s">
        <v>3355</v>
      </c>
      <c r="C88" s="479">
        <v>0.67708333333333337</v>
      </c>
      <c r="D88" s="478" t="s">
        <v>45</v>
      </c>
      <c r="E88" s="479" t="s">
        <v>45</v>
      </c>
      <c r="F88" s="481" t="s">
        <v>2817</v>
      </c>
      <c r="G88" s="481" t="s">
        <v>124</v>
      </c>
      <c r="H88" s="485" t="s">
        <v>3356</v>
      </c>
      <c r="I88" s="481" t="s">
        <v>100</v>
      </c>
      <c r="J88" s="481" t="s">
        <v>3055</v>
      </c>
      <c r="K88" s="481" t="s">
        <v>3055</v>
      </c>
    </row>
    <row r="89" spans="1:11" ht="33.75">
      <c r="A89" s="481" t="s">
        <v>123</v>
      </c>
      <c r="B89" s="481" t="s">
        <v>3355</v>
      </c>
      <c r="C89" s="479">
        <v>0.625</v>
      </c>
      <c r="D89" s="478" t="s">
        <v>3355</v>
      </c>
      <c r="E89" s="479">
        <v>0.63541666666666663</v>
      </c>
      <c r="F89" s="481" t="s">
        <v>3357</v>
      </c>
      <c r="G89" s="481" t="s">
        <v>124</v>
      </c>
      <c r="H89" s="485" t="s">
        <v>3356</v>
      </c>
      <c r="I89" s="481" t="s">
        <v>100</v>
      </c>
      <c r="J89" s="481" t="s">
        <v>3055</v>
      </c>
      <c r="K89" s="481" t="s">
        <v>3055</v>
      </c>
    </row>
    <row r="90" spans="1:11" ht="45">
      <c r="A90" s="481" t="s">
        <v>123</v>
      </c>
      <c r="B90" s="481" t="s">
        <v>3358</v>
      </c>
      <c r="C90" s="479">
        <v>0.76388888888888884</v>
      </c>
      <c r="D90" s="478" t="s">
        <v>3359</v>
      </c>
      <c r="E90" s="479">
        <v>1.0416666666666666E-2</v>
      </c>
      <c r="F90" s="481" t="s">
        <v>2984</v>
      </c>
      <c r="G90" s="481" t="s">
        <v>61</v>
      </c>
      <c r="H90" s="485" t="s">
        <v>2753</v>
      </c>
      <c r="I90" s="481" t="s">
        <v>22</v>
      </c>
      <c r="J90" s="481" t="s">
        <v>45</v>
      </c>
      <c r="K90" s="481" t="s">
        <v>3360</v>
      </c>
    </row>
    <row r="91" spans="1:11" ht="33.75">
      <c r="A91" s="481" t="s">
        <v>123</v>
      </c>
      <c r="B91" s="481" t="s">
        <v>3361</v>
      </c>
      <c r="C91" s="479">
        <v>0.95694444444444438</v>
      </c>
      <c r="D91" s="478" t="s">
        <v>3362</v>
      </c>
      <c r="E91" s="479">
        <v>0.25347222222222221</v>
      </c>
      <c r="F91" s="481" t="s">
        <v>3299</v>
      </c>
      <c r="G91" s="481" t="s">
        <v>301</v>
      </c>
      <c r="H91" s="485" t="s">
        <v>3363</v>
      </c>
      <c r="I91" s="481" t="s">
        <v>2483</v>
      </c>
      <c r="J91" s="481" t="s">
        <v>3364</v>
      </c>
      <c r="K91" s="481" t="s">
        <v>3301</v>
      </c>
    </row>
    <row r="92" spans="1:11" ht="67.5">
      <c r="A92" s="481" t="s">
        <v>123</v>
      </c>
      <c r="B92" s="481" t="s">
        <v>3365</v>
      </c>
      <c r="C92" s="479">
        <v>0.60972222222222217</v>
      </c>
      <c r="D92" s="478" t="s">
        <v>45</v>
      </c>
      <c r="E92" s="479" t="s">
        <v>45</v>
      </c>
      <c r="F92" s="481" t="s">
        <v>2853</v>
      </c>
      <c r="G92" s="481" t="s">
        <v>124</v>
      </c>
      <c r="H92" s="485" t="s">
        <v>3366</v>
      </c>
      <c r="I92" s="481" t="s">
        <v>22</v>
      </c>
      <c r="J92" s="481" t="s">
        <v>3367</v>
      </c>
      <c r="K92" s="481" t="s">
        <v>3368</v>
      </c>
    </row>
    <row r="93" spans="1:11" ht="90">
      <c r="A93" s="481" t="s">
        <v>123</v>
      </c>
      <c r="B93" s="481" t="s">
        <v>3369</v>
      </c>
      <c r="C93" s="479">
        <v>0.60416666666666663</v>
      </c>
      <c r="D93" s="478" t="s">
        <v>3369</v>
      </c>
      <c r="E93" s="479">
        <v>0.60625000000000007</v>
      </c>
      <c r="F93" s="481" t="s">
        <v>3370</v>
      </c>
      <c r="G93" s="481" t="s">
        <v>61</v>
      </c>
      <c r="H93" s="485" t="s">
        <v>3371</v>
      </c>
      <c r="I93" s="481" t="s">
        <v>2118</v>
      </c>
      <c r="J93" s="481" t="s">
        <v>3055</v>
      </c>
      <c r="K93" s="481" t="s">
        <v>3055</v>
      </c>
    </row>
    <row r="94" spans="1:11" ht="33.75">
      <c r="A94" s="481" t="s">
        <v>123</v>
      </c>
      <c r="B94" s="481" t="s">
        <v>3372</v>
      </c>
      <c r="C94" s="479">
        <v>0.77500000000000002</v>
      </c>
      <c r="D94" s="478" t="s">
        <v>3373</v>
      </c>
      <c r="E94" s="479">
        <v>0.29166666666666669</v>
      </c>
      <c r="F94" s="481" t="s">
        <v>3374</v>
      </c>
      <c r="G94" s="481" t="s">
        <v>63</v>
      </c>
      <c r="H94" s="485" t="s">
        <v>2753</v>
      </c>
      <c r="I94" s="481" t="s">
        <v>22</v>
      </c>
      <c r="J94" s="481" t="s">
        <v>45</v>
      </c>
      <c r="K94" s="481" t="s">
        <v>3326</v>
      </c>
    </row>
    <row r="95" spans="1:11" ht="33.75">
      <c r="A95" s="481" t="s">
        <v>123</v>
      </c>
      <c r="B95" s="481" t="s">
        <v>3372</v>
      </c>
      <c r="C95" s="479">
        <v>0.61805555555555558</v>
      </c>
      <c r="D95" s="478" t="s">
        <v>3375</v>
      </c>
      <c r="E95" s="479">
        <v>0.375</v>
      </c>
      <c r="F95" s="481" t="s">
        <v>3273</v>
      </c>
      <c r="G95" s="481" t="s">
        <v>63</v>
      </c>
      <c r="H95" s="485" t="s">
        <v>2753</v>
      </c>
      <c r="I95" s="481" t="s">
        <v>22</v>
      </c>
      <c r="J95" s="481" t="s">
        <v>3376</v>
      </c>
      <c r="K95" s="481" t="s">
        <v>3377</v>
      </c>
    </row>
    <row r="96" spans="1:11" ht="45">
      <c r="A96" s="481" t="s">
        <v>123</v>
      </c>
      <c r="B96" s="481" t="s">
        <v>3375</v>
      </c>
      <c r="C96" s="479">
        <v>0.31597222222222221</v>
      </c>
      <c r="D96" s="478" t="s">
        <v>3375</v>
      </c>
      <c r="E96" s="479">
        <v>0.39583333333333331</v>
      </c>
      <c r="F96" s="481" t="s">
        <v>3378</v>
      </c>
      <c r="G96" s="481" t="s">
        <v>674</v>
      </c>
      <c r="H96" s="485" t="s">
        <v>3379</v>
      </c>
      <c r="I96" s="481" t="s">
        <v>22</v>
      </c>
      <c r="J96" s="481" t="s">
        <v>3380</v>
      </c>
      <c r="K96" s="481" t="s">
        <v>45</v>
      </c>
    </row>
    <row r="97" spans="1:11" ht="45">
      <c r="A97" s="481" t="s">
        <v>123</v>
      </c>
      <c r="B97" s="481" t="s">
        <v>3375</v>
      </c>
      <c r="C97" s="479">
        <v>0.15138888888888888</v>
      </c>
      <c r="D97" s="478" t="s">
        <v>45</v>
      </c>
      <c r="E97" s="479" t="s">
        <v>45</v>
      </c>
      <c r="F97" s="481" t="s">
        <v>3354</v>
      </c>
      <c r="G97" s="481" t="s">
        <v>63</v>
      </c>
      <c r="H97" s="485" t="s">
        <v>3381</v>
      </c>
      <c r="I97" s="481" t="s">
        <v>2764</v>
      </c>
      <c r="J97" s="481" t="s">
        <v>45</v>
      </c>
      <c r="K97" s="481" t="s">
        <v>45</v>
      </c>
    </row>
    <row r="98" spans="1:11" ht="33.75">
      <c r="A98" s="481" t="s">
        <v>123</v>
      </c>
      <c r="B98" s="481" t="s">
        <v>3382</v>
      </c>
      <c r="C98" s="479">
        <v>0.52083333333333337</v>
      </c>
      <c r="D98" s="478" t="s">
        <v>3382</v>
      </c>
      <c r="E98" s="479">
        <v>0.52152777777777781</v>
      </c>
      <c r="F98" s="481" t="s">
        <v>2967</v>
      </c>
      <c r="G98" s="481" t="s">
        <v>124</v>
      </c>
      <c r="H98" s="485" t="s">
        <v>3356</v>
      </c>
      <c r="I98" s="481" t="s">
        <v>100</v>
      </c>
      <c r="J98" s="481" t="s">
        <v>3055</v>
      </c>
      <c r="K98" s="481" t="s">
        <v>3055</v>
      </c>
    </row>
    <row r="99" spans="1:11" ht="45">
      <c r="A99" s="481" t="s">
        <v>123</v>
      </c>
      <c r="B99" s="481" t="s">
        <v>3382</v>
      </c>
      <c r="C99" s="479">
        <v>0.44791666666666669</v>
      </c>
      <c r="D99" s="478" t="s">
        <v>3382</v>
      </c>
      <c r="E99" s="479">
        <v>0.4777777777777778</v>
      </c>
      <c r="F99" s="481" t="s">
        <v>3383</v>
      </c>
      <c r="G99" s="481" t="s">
        <v>1352</v>
      </c>
      <c r="H99" s="485" t="s">
        <v>3381</v>
      </c>
      <c r="I99" s="481" t="s">
        <v>2764</v>
      </c>
      <c r="J99" s="481" t="s">
        <v>3055</v>
      </c>
      <c r="K99" s="481" t="s">
        <v>3055</v>
      </c>
    </row>
    <row r="100" spans="1:11" ht="33.75">
      <c r="A100" s="481" t="s">
        <v>26</v>
      </c>
      <c r="B100" s="481" t="s">
        <v>3384</v>
      </c>
      <c r="C100" s="479">
        <v>0.91666666666666663</v>
      </c>
      <c r="D100" s="478" t="s">
        <v>3384</v>
      </c>
      <c r="E100" s="479">
        <v>0.9375</v>
      </c>
      <c r="F100" s="481" t="s">
        <v>3385</v>
      </c>
      <c r="G100" s="481" t="s">
        <v>124</v>
      </c>
      <c r="H100" s="485" t="s">
        <v>3356</v>
      </c>
      <c r="I100" s="481" t="s">
        <v>100</v>
      </c>
      <c r="J100" s="481" t="s">
        <v>45</v>
      </c>
      <c r="K100" s="481" t="s">
        <v>3386</v>
      </c>
    </row>
    <row r="101" spans="1:11" ht="45">
      <c r="A101" s="481" t="s">
        <v>26</v>
      </c>
      <c r="B101" s="481" t="s">
        <v>3384</v>
      </c>
      <c r="C101" s="479">
        <v>0.74583333333333324</v>
      </c>
      <c r="D101" s="478" t="s">
        <v>3384</v>
      </c>
      <c r="E101" s="479">
        <v>0.80555555555555547</v>
      </c>
      <c r="F101" s="481" t="s">
        <v>3189</v>
      </c>
      <c r="G101" s="481" t="s">
        <v>63</v>
      </c>
      <c r="H101" s="485" t="s">
        <v>3387</v>
      </c>
      <c r="I101" s="481" t="s">
        <v>2764</v>
      </c>
      <c r="J101" s="481" t="s">
        <v>3055</v>
      </c>
      <c r="K101" s="481" t="s">
        <v>3055</v>
      </c>
    </row>
    <row r="102" spans="1:11" ht="45">
      <c r="A102" s="481" t="s">
        <v>26</v>
      </c>
      <c r="B102" s="481" t="s">
        <v>3388</v>
      </c>
      <c r="C102" s="479">
        <v>0.54861111111111105</v>
      </c>
      <c r="D102" s="478" t="s">
        <v>3388</v>
      </c>
      <c r="E102" s="479">
        <v>0.61458333333333337</v>
      </c>
      <c r="F102" s="481" t="s">
        <v>3389</v>
      </c>
      <c r="G102" s="481" t="s">
        <v>124</v>
      </c>
      <c r="H102" s="485" t="s">
        <v>3387</v>
      </c>
      <c r="I102" s="481" t="s">
        <v>2764</v>
      </c>
      <c r="J102" s="481" t="s">
        <v>3055</v>
      </c>
      <c r="K102" s="481" t="s">
        <v>3055</v>
      </c>
    </row>
    <row r="103" spans="1:11" ht="45">
      <c r="A103" s="481" t="s">
        <v>26</v>
      </c>
      <c r="B103" s="481" t="s">
        <v>3390</v>
      </c>
      <c r="C103" s="479">
        <v>0.65277777777777779</v>
      </c>
      <c r="D103" s="478" t="s">
        <v>3390</v>
      </c>
      <c r="E103" s="479">
        <v>0.66666666666666663</v>
      </c>
      <c r="F103" s="481" t="s">
        <v>3189</v>
      </c>
      <c r="G103" s="481" t="s">
        <v>63</v>
      </c>
      <c r="H103" s="485" t="s">
        <v>3379</v>
      </c>
      <c r="I103" s="481" t="s">
        <v>2483</v>
      </c>
      <c r="J103" s="481" t="s">
        <v>3391</v>
      </c>
      <c r="K103" s="481" t="s">
        <v>3392</v>
      </c>
    </row>
    <row r="104" spans="1:11" ht="33.75">
      <c r="A104" s="481" t="s">
        <v>26</v>
      </c>
      <c r="B104" s="481" t="s">
        <v>3390</v>
      </c>
      <c r="C104" s="479">
        <v>4.027777777777778E-2</v>
      </c>
      <c r="D104" s="478" t="s">
        <v>45</v>
      </c>
      <c r="E104" s="479" t="s">
        <v>45</v>
      </c>
      <c r="F104" s="481" t="s">
        <v>2945</v>
      </c>
      <c r="G104" s="481" t="s">
        <v>124</v>
      </c>
      <c r="H104" s="485" t="s">
        <v>2780</v>
      </c>
      <c r="I104" s="481" t="s">
        <v>1138</v>
      </c>
      <c r="J104" s="481" t="s">
        <v>3055</v>
      </c>
      <c r="K104" s="481" t="s">
        <v>3055</v>
      </c>
    </row>
    <row r="105" spans="1:11" ht="45">
      <c r="A105" s="481" t="s">
        <v>26</v>
      </c>
      <c r="B105" s="481" t="s">
        <v>3393</v>
      </c>
      <c r="C105" s="479">
        <v>0.43055555555555558</v>
      </c>
      <c r="D105" s="478" t="s">
        <v>45</v>
      </c>
      <c r="E105" s="479" t="s">
        <v>45</v>
      </c>
      <c r="F105" s="481" t="s">
        <v>2895</v>
      </c>
      <c r="G105" s="481" t="s">
        <v>3143</v>
      </c>
      <c r="H105" s="485" t="s">
        <v>3387</v>
      </c>
      <c r="I105" s="481" t="s">
        <v>2764</v>
      </c>
      <c r="J105" s="481" t="s">
        <v>45</v>
      </c>
      <c r="K105" s="481" t="s">
        <v>45</v>
      </c>
    </row>
    <row r="106" spans="1:11" ht="33.75">
      <c r="A106" s="481" t="s">
        <v>26</v>
      </c>
      <c r="B106" s="481" t="s">
        <v>3394</v>
      </c>
      <c r="C106" s="479">
        <v>0.21875</v>
      </c>
      <c r="D106" s="478" t="s">
        <v>45</v>
      </c>
      <c r="E106" s="479" t="s">
        <v>45</v>
      </c>
      <c r="F106" s="481" t="s">
        <v>2953</v>
      </c>
      <c r="G106" s="481" t="s">
        <v>124</v>
      </c>
      <c r="H106" s="485" t="s">
        <v>2780</v>
      </c>
      <c r="I106" s="481" t="s">
        <v>1138</v>
      </c>
      <c r="J106" s="481" t="s">
        <v>3055</v>
      </c>
      <c r="K106" s="481" t="s">
        <v>3055</v>
      </c>
    </row>
    <row r="107" spans="1:11" ht="67.5">
      <c r="A107" s="481" t="s">
        <v>26</v>
      </c>
      <c r="B107" s="481" t="s">
        <v>3395</v>
      </c>
      <c r="C107" s="479">
        <v>0.72777777777777775</v>
      </c>
      <c r="D107" s="478" t="s">
        <v>3395</v>
      </c>
      <c r="E107" s="479">
        <v>0.72986111111111107</v>
      </c>
      <c r="F107" s="481" t="s">
        <v>2933</v>
      </c>
      <c r="G107" s="481" t="s">
        <v>124</v>
      </c>
      <c r="H107" s="485" t="s">
        <v>3396</v>
      </c>
      <c r="I107" s="481" t="s">
        <v>2990</v>
      </c>
      <c r="J107" s="481" t="s">
        <v>45</v>
      </c>
      <c r="K107" s="481" t="s">
        <v>45</v>
      </c>
    </row>
    <row r="108" spans="1:11" ht="33.75">
      <c r="A108" s="481" t="s">
        <v>26</v>
      </c>
      <c r="B108" s="481" t="s">
        <v>3395</v>
      </c>
      <c r="C108" s="479">
        <v>0.16666666666666666</v>
      </c>
      <c r="D108" s="478" t="s">
        <v>45</v>
      </c>
      <c r="E108" s="479" t="s">
        <v>45</v>
      </c>
      <c r="F108" s="481" t="s">
        <v>3397</v>
      </c>
      <c r="G108" s="481" t="s">
        <v>124</v>
      </c>
      <c r="H108" s="485" t="s">
        <v>2780</v>
      </c>
      <c r="I108" s="481" t="s">
        <v>1138</v>
      </c>
      <c r="J108" s="481" t="s">
        <v>3055</v>
      </c>
      <c r="K108" s="481" t="s">
        <v>3055</v>
      </c>
    </row>
    <row r="109" spans="1:11" ht="45">
      <c r="A109" s="481" t="s">
        <v>26</v>
      </c>
      <c r="B109" s="481" t="s">
        <v>3398</v>
      </c>
      <c r="C109" s="479">
        <v>0.85069444444444453</v>
      </c>
      <c r="D109" s="478" t="s">
        <v>45</v>
      </c>
      <c r="E109" s="479" t="s">
        <v>45</v>
      </c>
      <c r="F109" s="481" t="s">
        <v>3354</v>
      </c>
      <c r="G109" s="481" t="s">
        <v>63</v>
      </c>
      <c r="H109" s="485" t="s">
        <v>3387</v>
      </c>
      <c r="I109" s="481" t="s">
        <v>2764</v>
      </c>
      <c r="J109" s="481" t="s">
        <v>45</v>
      </c>
      <c r="K109" s="481" t="s">
        <v>45</v>
      </c>
    </row>
    <row r="110" spans="1:11" ht="45">
      <c r="A110" s="481" t="s">
        <v>26</v>
      </c>
      <c r="B110" s="481" t="s">
        <v>3398</v>
      </c>
      <c r="C110" s="479">
        <v>0.52638888888888891</v>
      </c>
      <c r="D110" s="478" t="s">
        <v>3398</v>
      </c>
      <c r="E110" s="479">
        <v>0.55694444444444446</v>
      </c>
      <c r="F110" s="481" t="s">
        <v>3399</v>
      </c>
      <c r="G110" s="481" t="s">
        <v>63</v>
      </c>
      <c r="H110" s="485" t="s">
        <v>3387</v>
      </c>
      <c r="I110" s="481" t="s">
        <v>2764</v>
      </c>
      <c r="J110" s="481" t="s">
        <v>3055</v>
      </c>
      <c r="K110" s="481" t="s">
        <v>3055</v>
      </c>
    </row>
    <row r="111" spans="1:11" ht="78.75">
      <c r="A111" s="481" t="s">
        <v>26</v>
      </c>
      <c r="B111" s="481" t="s">
        <v>3400</v>
      </c>
      <c r="C111" s="479">
        <v>0.53194444444444444</v>
      </c>
      <c r="D111" s="478" t="s">
        <v>3400</v>
      </c>
      <c r="E111" s="479">
        <v>0.5625</v>
      </c>
      <c r="F111" s="481" t="s">
        <v>3401</v>
      </c>
      <c r="G111" s="481" t="s">
        <v>61</v>
      </c>
      <c r="H111" s="485" t="s">
        <v>3402</v>
      </c>
      <c r="I111" s="481" t="s">
        <v>2764</v>
      </c>
      <c r="J111" s="481" t="s">
        <v>3055</v>
      </c>
      <c r="K111" s="481" t="s">
        <v>3055</v>
      </c>
    </row>
    <row r="112" spans="1:11" ht="33.75">
      <c r="A112" s="481" t="s">
        <v>26</v>
      </c>
      <c r="B112" s="481" t="s">
        <v>3400</v>
      </c>
      <c r="C112" s="479">
        <v>0.67986111111111114</v>
      </c>
      <c r="D112" s="478" t="s">
        <v>3400</v>
      </c>
      <c r="E112" s="479">
        <v>0.70000000000000007</v>
      </c>
      <c r="F112" s="481" t="s">
        <v>3354</v>
      </c>
      <c r="G112" s="481" t="s">
        <v>63</v>
      </c>
      <c r="H112" s="485" t="s">
        <v>2753</v>
      </c>
      <c r="I112" s="481" t="s">
        <v>22</v>
      </c>
      <c r="J112" s="481" t="s">
        <v>45</v>
      </c>
      <c r="K112" s="481" t="s">
        <v>3403</v>
      </c>
    </row>
    <row r="113" spans="1:11" ht="33.75">
      <c r="A113" s="481" t="s">
        <v>26</v>
      </c>
      <c r="B113" s="481" t="s">
        <v>3404</v>
      </c>
      <c r="C113" s="479">
        <v>0.19791666666666666</v>
      </c>
      <c r="D113" s="478" t="s">
        <v>3404</v>
      </c>
      <c r="E113" s="479">
        <v>0.46875</v>
      </c>
      <c r="F113" s="481" t="s">
        <v>3405</v>
      </c>
      <c r="G113" s="481" t="s">
        <v>63</v>
      </c>
      <c r="H113" s="485" t="s">
        <v>2753</v>
      </c>
      <c r="I113" s="481" t="s">
        <v>22</v>
      </c>
      <c r="J113" s="481" t="s">
        <v>45</v>
      </c>
      <c r="K113" s="481" t="s">
        <v>3406</v>
      </c>
    </row>
    <row r="114" spans="1:11" ht="33.75">
      <c r="A114" s="481" t="s">
        <v>26</v>
      </c>
      <c r="B114" s="481" t="s">
        <v>3404</v>
      </c>
      <c r="C114" s="479">
        <v>0.30555555555555552</v>
      </c>
      <c r="D114" s="478" t="s">
        <v>3404</v>
      </c>
      <c r="E114" s="479">
        <v>0.47916666666666669</v>
      </c>
      <c r="F114" s="481" t="s">
        <v>2904</v>
      </c>
      <c r="G114" s="481" t="s">
        <v>63</v>
      </c>
      <c r="H114" s="485" t="s">
        <v>2753</v>
      </c>
      <c r="I114" s="481" t="s">
        <v>22</v>
      </c>
      <c r="J114" s="481" t="s">
        <v>3407</v>
      </c>
      <c r="K114" s="481" t="s">
        <v>3408</v>
      </c>
    </row>
    <row r="115" spans="1:11" ht="67.5">
      <c r="A115" s="481" t="s">
        <v>26</v>
      </c>
      <c r="B115" s="481" t="s">
        <v>3409</v>
      </c>
      <c r="C115" s="479">
        <v>0.17777777777777778</v>
      </c>
      <c r="D115" s="478" t="s">
        <v>3409</v>
      </c>
      <c r="E115" s="479">
        <v>0.18680555555555556</v>
      </c>
      <c r="F115" s="481" t="s">
        <v>3410</v>
      </c>
      <c r="G115" s="481" t="s">
        <v>301</v>
      </c>
      <c r="H115" s="485" t="s">
        <v>3411</v>
      </c>
      <c r="I115" s="481" t="s">
        <v>2990</v>
      </c>
      <c r="J115" s="481" t="s">
        <v>3412</v>
      </c>
      <c r="K115" s="481" t="s">
        <v>45</v>
      </c>
    </row>
    <row r="116" spans="1:11" ht="45">
      <c r="A116" s="481" t="s">
        <v>26</v>
      </c>
      <c r="B116" s="481" t="s">
        <v>3413</v>
      </c>
      <c r="C116" s="479">
        <v>0.85</v>
      </c>
      <c r="D116" s="478" t="s">
        <v>45</v>
      </c>
      <c r="E116" s="479" t="s">
        <v>45</v>
      </c>
      <c r="F116" s="481" t="s">
        <v>3414</v>
      </c>
      <c r="G116" s="481" t="s">
        <v>124</v>
      </c>
      <c r="H116" s="485" t="s">
        <v>3415</v>
      </c>
      <c r="I116" s="481" t="s">
        <v>3416</v>
      </c>
      <c r="J116" s="481" t="s">
        <v>45</v>
      </c>
      <c r="K116" s="481" t="s">
        <v>45</v>
      </c>
    </row>
    <row r="117" spans="1:11" ht="67.5">
      <c r="A117" s="481" t="s">
        <v>26</v>
      </c>
      <c r="B117" s="481" t="s">
        <v>3417</v>
      </c>
      <c r="C117" s="479">
        <v>0.68611111111111101</v>
      </c>
      <c r="D117" s="478" t="s">
        <v>3417</v>
      </c>
      <c r="E117" s="479">
        <v>0.68958333333333333</v>
      </c>
      <c r="F117" s="481" t="s">
        <v>3370</v>
      </c>
      <c r="G117" s="481" t="s">
        <v>61</v>
      </c>
      <c r="H117" s="485" t="s">
        <v>3411</v>
      </c>
      <c r="I117" s="481" t="s">
        <v>2990</v>
      </c>
      <c r="J117" s="481" t="s">
        <v>3055</v>
      </c>
      <c r="K117" s="481" t="s">
        <v>3055</v>
      </c>
    </row>
    <row r="118" spans="1:11" ht="67.5">
      <c r="A118" s="481" t="s">
        <v>26</v>
      </c>
      <c r="B118" s="481" t="s">
        <v>3417</v>
      </c>
      <c r="C118" s="479">
        <v>0.39861111111111108</v>
      </c>
      <c r="D118" s="478" t="s">
        <v>3417</v>
      </c>
      <c r="E118" s="479">
        <v>0.41041666666666665</v>
      </c>
      <c r="F118" s="481" t="s">
        <v>2862</v>
      </c>
      <c r="G118" s="481" t="s">
        <v>124</v>
      </c>
      <c r="H118" s="485" t="s">
        <v>3366</v>
      </c>
      <c r="I118" s="481" t="s">
        <v>2764</v>
      </c>
      <c r="J118" s="481" t="s">
        <v>45</v>
      </c>
      <c r="K118" s="481" t="s">
        <v>45</v>
      </c>
    </row>
    <row r="119" spans="1:11" ht="45">
      <c r="A119" s="481" t="s">
        <v>26</v>
      </c>
      <c r="B119" s="481" t="s">
        <v>3418</v>
      </c>
      <c r="C119" s="479">
        <v>0.96597222222222223</v>
      </c>
      <c r="D119" s="478" t="s">
        <v>3419</v>
      </c>
      <c r="E119" s="479">
        <v>7.7083333333333337E-2</v>
      </c>
      <c r="F119" s="481" t="s">
        <v>3420</v>
      </c>
      <c r="G119" s="481" t="s">
        <v>124</v>
      </c>
      <c r="H119" s="485" t="s">
        <v>3387</v>
      </c>
      <c r="I119" s="481" t="s">
        <v>2764</v>
      </c>
      <c r="J119" s="481" t="s">
        <v>3055</v>
      </c>
      <c r="K119" s="481" t="s">
        <v>3055</v>
      </c>
    </row>
    <row r="120" spans="1:11" ht="33.75">
      <c r="A120" s="481" t="s">
        <v>26</v>
      </c>
      <c r="B120" s="481" t="s">
        <v>3419</v>
      </c>
      <c r="C120" s="479">
        <v>0.60625000000000007</v>
      </c>
      <c r="D120" s="478" t="s">
        <v>3419</v>
      </c>
      <c r="E120" s="479">
        <v>0.76597222222222217</v>
      </c>
      <c r="F120" s="481" t="s">
        <v>2945</v>
      </c>
      <c r="G120" s="481" t="s">
        <v>124</v>
      </c>
      <c r="H120" s="485" t="s">
        <v>2753</v>
      </c>
      <c r="I120" s="481" t="s">
        <v>3416</v>
      </c>
      <c r="J120" s="481" t="s">
        <v>3421</v>
      </c>
      <c r="K120" s="481" t="s">
        <v>3422</v>
      </c>
    </row>
    <row r="121" spans="1:11" ht="33.75">
      <c r="A121" s="481" t="s">
        <v>26</v>
      </c>
      <c r="B121" s="481" t="s">
        <v>3423</v>
      </c>
      <c r="C121" s="479">
        <v>0.27083333333333331</v>
      </c>
      <c r="D121" s="478" t="s">
        <v>3423</v>
      </c>
      <c r="E121" s="479">
        <v>0.95833333333333337</v>
      </c>
      <c r="F121" s="481" t="s">
        <v>3424</v>
      </c>
      <c r="G121" s="481" t="s">
        <v>124</v>
      </c>
      <c r="H121" s="485" t="s">
        <v>2753</v>
      </c>
      <c r="I121" s="481" t="s">
        <v>22</v>
      </c>
      <c r="J121" s="481" t="s">
        <v>45</v>
      </c>
      <c r="K121" s="481" t="s">
        <v>3075</v>
      </c>
    </row>
    <row r="122" spans="1:11" ht="33.75">
      <c r="A122" s="481" t="s">
        <v>26</v>
      </c>
      <c r="B122" s="481" t="s">
        <v>3425</v>
      </c>
      <c r="C122" s="479">
        <v>0.48888888888888887</v>
      </c>
      <c r="D122" s="478" t="s">
        <v>3425</v>
      </c>
      <c r="E122" s="479">
        <v>0.59513888888888888</v>
      </c>
      <c r="F122" s="481" t="s">
        <v>3357</v>
      </c>
      <c r="G122" s="481" t="s">
        <v>124</v>
      </c>
      <c r="H122" s="485" t="s">
        <v>3356</v>
      </c>
      <c r="I122" s="481" t="s">
        <v>2118</v>
      </c>
      <c r="J122" s="481" t="s">
        <v>45</v>
      </c>
      <c r="K122" s="481" t="s">
        <v>45</v>
      </c>
    </row>
    <row r="123" spans="1:11" ht="33.75">
      <c r="A123" s="481" t="s">
        <v>32</v>
      </c>
      <c r="B123" s="481" t="s">
        <v>3426</v>
      </c>
      <c r="C123" s="479">
        <v>0.38263888888888892</v>
      </c>
      <c r="D123" s="478" t="s">
        <v>3426</v>
      </c>
      <c r="E123" s="479">
        <v>0.45555555555555555</v>
      </c>
      <c r="F123" s="481" t="s">
        <v>3427</v>
      </c>
      <c r="G123" s="481" t="s">
        <v>124</v>
      </c>
      <c r="H123" s="485" t="s">
        <v>3428</v>
      </c>
      <c r="I123" s="481" t="s">
        <v>100</v>
      </c>
      <c r="J123" s="481" t="s">
        <v>3055</v>
      </c>
      <c r="K123" s="481" t="s">
        <v>3055</v>
      </c>
    </row>
    <row r="124" spans="1:11" ht="33.75">
      <c r="A124" s="481" t="s">
        <v>32</v>
      </c>
      <c r="B124" s="481" t="s">
        <v>3429</v>
      </c>
      <c r="C124" s="479">
        <v>0.34722222222222227</v>
      </c>
      <c r="D124" s="478" t="s">
        <v>3429</v>
      </c>
      <c r="E124" s="479">
        <v>0.34791666666666665</v>
      </c>
      <c r="F124" s="481" t="s">
        <v>3357</v>
      </c>
      <c r="G124" s="481" t="s">
        <v>124</v>
      </c>
      <c r="H124" s="485" t="s">
        <v>3356</v>
      </c>
      <c r="I124" s="481" t="s">
        <v>100</v>
      </c>
      <c r="J124" s="481" t="s">
        <v>45</v>
      </c>
      <c r="K124" s="481" t="s">
        <v>45</v>
      </c>
    </row>
    <row r="125" spans="1:11" ht="67.5">
      <c r="A125" s="481" t="s">
        <v>32</v>
      </c>
      <c r="B125" s="481" t="s">
        <v>3430</v>
      </c>
      <c r="C125" s="479">
        <v>5.6944444444444443E-2</v>
      </c>
      <c r="D125" s="478" t="s">
        <v>3430</v>
      </c>
      <c r="E125" s="479">
        <v>8.2638888888888887E-2</v>
      </c>
      <c r="F125" s="481" t="s">
        <v>2894</v>
      </c>
      <c r="G125" s="481" t="s">
        <v>124</v>
      </c>
      <c r="H125" s="485" t="s">
        <v>3431</v>
      </c>
      <c r="I125" s="481" t="s">
        <v>3416</v>
      </c>
      <c r="J125" s="481" t="s">
        <v>3432</v>
      </c>
      <c r="K125" s="481" t="s">
        <v>3433</v>
      </c>
    </row>
    <row r="126" spans="1:11" ht="67.5">
      <c r="A126" s="481" t="s">
        <v>32</v>
      </c>
      <c r="B126" s="481" t="s">
        <v>3430</v>
      </c>
      <c r="C126" s="479">
        <v>5.6944444444444443E-2</v>
      </c>
      <c r="D126" s="478" t="s">
        <v>3430</v>
      </c>
      <c r="E126" s="479">
        <v>0.7944444444444444</v>
      </c>
      <c r="F126" s="481" t="s">
        <v>2894</v>
      </c>
      <c r="G126" s="481" t="s">
        <v>124</v>
      </c>
      <c r="H126" s="485" t="s">
        <v>3431</v>
      </c>
      <c r="I126" s="481" t="s">
        <v>3416</v>
      </c>
      <c r="J126" s="481" t="s">
        <v>3434</v>
      </c>
      <c r="K126" s="481" t="s">
        <v>3435</v>
      </c>
    </row>
    <row r="127" spans="1:11" ht="78.75">
      <c r="A127" s="481" t="s">
        <v>32</v>
      </c>
      <c r="B127" s="481" t="s">
        <v>3436</v>
      </c>
      <c r="C127" s="479">
        <v>0.875</v>
      </c>
      <c r="D127" s="478" t="s">
        <v>3436</v>
      </c>
      <c r="E127" s="479">
        <v>0.87569444444444444</v>
      </c>
      <c r="F127" s="481" t="s">
        <v>3437</v>
      </c>
      <c r="G127" s="481" t="s">
        <v>63</v>
      </c>
      <c r="H127" s="485" t="s">
        <v>3402</v>
      </c>
      <c r="I127" s="481" t="s">
        <v>2118</v>
      </c>
      <c r="J127" s="481" t="s">
        <v>3055</v>
      </c>
      <c r="K127" s="481" t="s">
        <v>3055</v>
      </c>
    </row>
    <row r="128" spans="1:11" ht="33.75">
      <c r="A128" s="481" t="s">
        <v>32</v>
      </c>
      <c r="B128" s="481" t="s">
        <v>3438</v>
      </c>
      <c r="C128" s="479">
        <v>0</v>
      </c>
      <c r="D128" s="478" t="s">
        <v>3438</v>
      </c>
      <c r="E128" s="479">
        <v>4.1666666666666664E-2</v>
      </c>
      <c r="F128" s="481" t="s">
        <v>3439</v>
      </c>
      <c r="G128" s="481" t="s">
        <v>63</v>
      </c>
      <c r="H128" s="485" t="s">
        <v>3356</v>
      </c>
      <c r="I128" s="481" t="s">
        <v>100</v>
      </c>
      <c r="J128" s="481" t="s">
        <v>3055</v>
      </c>
      <c r="K128" s="481" t="s">
        <v>3055</v>
      </c>
    </row>
    <row r="129" spans="1:11" ht="45">
      <c r="A129" s="481" t="s">
        <v>32</v>
      </c>
      <c r="B129" s="481" t="s">
        <v>3440</v>
      </c>
      <c r="C129" s="479">
        <v>0.54652777777777783</v>
      </c>
      <c r="D129" s="478" t="s">
        <v>3440</v>
      </c>
      <c r="E129" s="479">
        <v>0.56944444444444442</v>
      </c>
      <c r="F129" s="481" t="s">
        <v>2945</v>
      </c>
      <c r="G129" s="481" t="s">
        <v>124</v>
      </c>
      <c r="H129" s="485" t="s">
        <v>3387</v>
      </c>
      <c r="I129" s="481" t="s">
        <v>2764</v>
      </c>
      <c r="J129" s="481" t="s">
        <v>3055</v>
      </c>
      <c r="K129" s="481" t="s">
        <v>3055</v>
      </c>
    </row>
    <row r="130" spans="1:11" ht="33.75">
      <c r="A130" s="481" t="s">
        <v>32</v>
      </c>
      <c r="B130" s="481" t="s">
        <v>3441</v>
      </c>
      <c r="C130" s="479">
        <v>0.63888888888888895</v>
      </c>
      <c r="D130" s="478" t="s">
        <v>3441</v>
      </c>
      <c r="E130" s="479">
        <v>0.63958333333333328</v>
      </c>
      <c r="F130" s="481" t="s">
        <v>3442</v>
      </c>
      <c r="G130" s="481" t="s">
        <v>124</v>
      </c>
      <c r="H130" s="485" t="s">
        <v>3356</v>
      </c>
      <c r="I130" s="481" t="s">
        <v>100</v>
      </c>
      <c r="J130" s="481" t="s">
        <v>3055</v>
      </c>
      <c r="K130" s="481" t="s">
        <v>3055</v>
      </c>
    </row>
    <row r="131" spans="1:11" ht="45">
      <c r="A131" s="481" t="s">
        <v>32</v>
      </c>
      <c r="B131" s="481" t="s">
        <v>3443</v>
      </c>
      <c r="C131" s="479">
        <v>0.94861111111111107</v>
      </c>
      <c r="D131" s="478" t="s">
        <v>3444</v>
      </c>
      <c r="E131" s="479">
        <v>9.7222222222222224E-3</v>
      </c>
      <c r="F131" s="481" t="s">
        <v>2866</v>
      </c>
      <c r="G131" s="481" t="s">
        <v>63</v>
      </c>
      <c r="H131" s="485" t="s">
        <v>3387</v>
      </c>
      <c r="I131" s="481" t="s">
        <v>2764</v>
      </c>
      <c r="J131" s="481" t="s">
        <v>3055</v>
      </c>
      <c r="K131" s="481" t="s">
        <v>3055</v>
      </c>
    </row>
    <row r="132" spans="1:11" ht="45">
      <c r="A132" s="481" t="s">
        <v>32</v>
      </c>
      <c r="B132" s="481" t="s">
        <v>3445</v>
      </c>
      <c r="C132" s="479">
        <v>0.51666666666666672</v>
      </c>
      <c r="D132" s="478" t="s">
        <v>3445</v>
      </c>
      <c r="E132" s="479">
        <v>0.54097222222222219</v>
      </c>
      <c r="F132" s="481" t="s">
        <v>3446</v>
      </c>
      <c r="G132" s="481" t="s">
        <v>63</v>
      </c>
      <c r="H132" s="485" t="s">
        <v>3447</v>
      </c>
      <c r="I132" s="481" t="s">
        <v>2764</v>
      </c>
      <c r="J132" s="481" t="s">
        <v>3055</v>
      </c>
      <c r="K132" s="481" t="s">
        <v>3055</v>
      </c>
    </row>
    <row r="133" spans="1:11" ht="90">
      <c r="A133" s="481" t="s">
        <v>32</v>
      </c>
      <c r="B133" s="481" t="s">
        <v>3448</v>
      </c>
      <c r="C133" s="479">
        <v>0.91666666666666663</v>
      </c>
      <c r="D133" s="478" t="s">
        <v>3449</v>
      </c>
      <c r="E133" s="479">
        <v>0.20555555555555557</v>
      </c>
      <c r="F133" s="481" t="s">
        <v>3450</v>
      </c>
      <c r="G133" s="481" t="s">
        <v>3143</v>
      </c>
      <c r="H133" s="485" t="s">
        <v>3451</v>
      </c>
      <c r="I133" s="481" t="s">
        <v>22</v>
      </c>
      <c r="J133" s="481" t="s">
        <v>45</v>
      </c>
      <c r="K133" s="481" t="s">
        <v>3452</v>
      </c>
    </row>
    <row r="134" spans="1:11" ht="45">
      <c r="A134" s="481" t="s">
        <v>32</v>
      </c>
      <c r="B134" s="481" t="s">
        <v>3453</v>
      </c>
      <c r="C134" s="479">
        <v>0.9868055555555556</v>
      </c>
      <c r="D134" s="478" t="s">
        <v>3454</v>
      </c>
      <c r="E134" s="479">
        <v>9.0277777777777787E-3</v>
      </c>
      <c r="F134" s="481" t="s">
        <v>3455</v>
      </c>
      <c r="G134" s="481" t="s">
        <v>3143</v>
      </c>
      <c r="H134" s="485" t="s">
        <v>3447</v>
      </c>
      <c r="I134" s="481" t="s">
        <v>2764</v>
      </c>
      <c r="J134" s="481" t="s">
        <v>3055</v>
      </c>
      <c r="K134" s="481" t="s">
        <v>3055</v>
      </c>
    </row>
    <row r="135" spans="1:11" ht="135">
      <c r="A135" s="481" t="s">
        <v>32</v>
      </c>
      <c r="B135" s="481" t="s">
        <v>3453</v>
      </c>
      <c r="C135" s="479">
        <v>0.83333333333333337</v>
      </c>
      <c r="D135" s="478" t="s">
        <v>3456</v>
      </c>
      <c r="E135" s="479">
        <v>0.62430555555555556</v>
      </c>
      <c r="F135" s="481" t="s">
        <v>3457</v>
      </c>
      <c r="G135" s="481" t="s">
        <v>3143</v>
      </c>
      <c r="H135" s="485" t="s">
        <v>3451</v>
      </c>
      <c r="I135" s="481" t="s">
        <v>22</v>
      </c>
      <c r="J135" s="481" t="s">
        <v>45</v>
      </c>
      <c r="K135" s="481" t="s">
        <v>3458</v>
      </c>
    </row>
    <row r="136" spans="1:11" ht="90">
      <c r="A136" s="481" t="s">
        <v>32</v>
      </c>
      <c r="B136" s="481" t="s">
        <v>3454</v>
      </c>
      <c r="C136" s="479">
        <v>0.14375000000000002</v>
      </c>
      <c r="D136" s="478" t="s">
        <v>3454</v>
      </c>
      <c r="E136" s="479">
        <v>0.16666666666666666</v>
      </c>
      <c r="F136" s="481" t="s">
        <v>3459</v>
      </c>
      <c r="G136" s="481" t="s">
        <v>3143</v>
      </c>
      <c r="H136" s="485" t="s">
        <v>3460</v>
      </c>
      <c r="I136" s="481" t="s">
        <v>2118</v>
      </c>
      <c r="J136" s="481" t="s">
        <v>3055</v>
      </c>
      <c r="K136" s="481" t="s">
        <v>3055</v>
      </c>
    </row>
    <row r="137" spans="1:11" ht="33.75">
      <c r="A137" s="481" t="s">
        <v>32</v>
      </c>
      <c r="B137" s="481" t="s">
        <v>3454</v>
      </c>
      <c r="C137" s="479">
        <v>0</v>
      </c>
      <c r="D137" s="478" t="s">
        <v>3456</v>
      </c>
      <c r="E137" s="479">
        <v>0</v>
      </c>
      <c r="F137" s="481" t="s">
        <v>3461</v>
      </c>
      <c r="G137" s="481" t="s">
        <v>63</v>
      </c>
      <c r="H137" s="485" t="s">
        <v>3451</v>
      </c>
      <c r="I137" s="481" t="s">
        <v>22</v>
      </c>
      <c r="J137" s="481" t="s">
        <v>45</v>
      </c>
      <c r="K137" s="481" t="s">
        <v>3462</v>
      </c>
    </row>
    <row r="138" spans="1:11" ht="78.75">
      <c r="A138" s="481" t="s">
        <v>32</v>
      </c>
      <c r="B138" s="481" t="s">
        <v>3454</v>
      </c>
      <c r="C138" s="479">
        <v>0.375</v>
      </c>
      <c r="D138" s="478" t="s">
        <v>3454</v>
      </c>
      <c r="E138" s="479">
        <v>0.37916666666666665</v>
      </c>
      <c r="F138" s="481" t="s">
        <v>3405</v>
      </c>
      <c r="G138" s="481" t="s">
        <v>63</v>
      </c>
      <c r="H138" s="485" t="s">
        <v>3402</v>
      </c>
      <c r="I138" s="481" t="s">
        <v>2118</v>
      </c>
      <c r="J138" s="481" t="s">
        <v>3055</v>
      </c>
      <c r="K138" s="481" t="s">
        <v>3055</v>
      </c>
    </row>
    <row r="139" spans="1:11" ht="67.5">
      <c r="A139" s="481" t="s">
        <v>32</v>
      </c>
      <c r="B139" s="481" t="s">
        <v>3456</v>
      </c>
      <c r="C139" s="479">
        <v>0.5</v>
      </c>
      <c r="D139" s="478" t="s">
        <v>3456</v>
      </c>
      <c r="E139" s="479">
        <v>0.51388888888888895</v>
      </c>
      <c r="F139" s="481" t="s">
        <v>2945</v>
      </c>
      <c r="G139" s="481" t="s">
        <v>124</v>
      </c>
      <c r="H139" s="485" t="s">
        <v>3463</v>
      </c>
      <c r="I139" s="481" t="s">
        <v>100</v>
      </c>
      <c r="J139" s="481" t="s">
        <v>3055</v>
      </c>
      <c r="K139" s="481" t="s">
        <v>3055</v>
      </c>
    </row>
    <row r="140" spans="1:11" ht="67.5">
      <c r="A140" s="481" t="s">
        <v>32</v>
      </c>
      <c r="B140" s="481" t="s">
        <v>3464</v>
      </c>
      <c r="C140" s="479">
        <v>0.62986111111111109</v>
      </c>
      <c r="D140" s="478" t="s">
        <v>3464</v>
      </c>
      <c r="E140" s="479">
        <v>0.64652777777777781</v>
      </c>
      <c r="F140" s="481" t="s">
        <v>2933</v>
      </c>
      <c r="G140" s="481" t="s">
        <v>124</v>
      </c>
      <c r="H140" s="485" t="s">
        <v>3411</v>
      </c>
      <c r="I140" s="481" t="s">
        <v>3465</v>
      </c>
      <c r="J140" s="481" t="s">
        <v>3466</v>
      </c>
      <c r="K140" s="481" t="s">
        <v>3240</v>
      </c>
    </row>
    <row r="141" spans="1:11" ht="90">
      <c r="A141" s="481" t="s">
        <v>32</v>
      </c>
      <c r="B141" s="481" t="s">
        <v>3464</v>
      </c>
      <c r="C141" s="479">
        <v>0.77361111111111114</v>
      </c>
      <c r="D141" s="478" t="s">
        <v>3464</v>
      </c>
      <c r="E141" s="479">
        <v>0.77777777777777779</v>
      </c>
      <c r="F141" s="481" t="s">
        <v>3241</v>
      </c>
      <c r="G141" s="481" t="s">
        <v>61</v>
      </c>
      <c r="H141" s="485" t="s">
        <v>3460</v>
      </c>
      <c r="I141" s="481" t="s">
        <v>2118</v>
      </c>
      <c r="J141" s="481" t="s">
        <v>3055</v>
      </c>
      <c r="K141" s="481" t="s">
        <v>3055</v>
      </c>
    </row>
    <row r="142" spans="1:11" ht="78.75">
      <c r="A142" s="481" t="s">
        <v>219</v>
      </c>
      <c r="B142" s="481" t="s">
        <v>3467</v>
      </c>
      <c r="C142" s="479">
        <v>0</v>
      </c>
      <c r="D142" s="478" t="s">
        <v>3467</v>
      </c>
      <c r="E142" s="479">
        <v>0.64027777777777783</v>
      </c>
      <c r="F142" s="481" t="s">
        <v>3405</v>
      </c>
      <c r="G142" s="481" t="s">
        <v>3347</v>
      </c>
      <c r="H142" s="485" t="s">
        <v>3402</v>
      </c>
      <c r="I142" s="481" t="s">
        <v>2118</v>
      </c>
      <c r="J142" s="481" t="s">
        <v>3055</v>
      </c>
      <c r="K142" s="481" t="s">
        <v>3055</v>
      </c>
    </row>
    <row r="143" spans="1:11" ht="33.75">
      <c r="A143" s="481" t="s">
        <v>219</v>
      </c>
      <c r="B143" s="481" t="s">
        <v>3468</v>
      </c>
      <c r="C143" s="479">
        <v>0.54166666666666663</v>
      </c>
      <c r="D143" s="478" t="s">
        <v>3468</v>
      </c>
      <c r="E143" s="479">
        <v>0.54236111111111118</v>
      </c>
      <c r="F143" s="481" t="s">
        <v>3357</v>
      </c>
      <c r="G143" s="481" t="s">
        <v>124</v>
      </c>
      <c r="H143" s="485" t="s">
        <v>3356</v>
      </c>
      <c r="I143" s="481" t="s">
        <v>100</v>
      </c>
      <c r="J143" s="481" t="s">
        <v>45</v>
      </c>
      <c r="K143" s="481" t="s">
        <v>45</v>
      </c>
    </row>
    <row r="144" spans="1:11" ht="67.5">
      <c r="A144" s="481" t="s">
        <v>219</v>
      </c>
      <c r="B144" s="481" t="s">
        <v>3469</v>
      </c>
      <c r="C144" s="479">
        <v>0.1013888888888889</v>
      </c>
      <c r="D144" s="478" t="s">
        <v>3469</v>
      </c>
      <c r="E144" s="479">
        <v>0.10208333333333335</v>
      </c>
      <c r="F144" s="481" t="s">
        <v>3470</v>
      </c>
      <c r="G144" s="481" t="s">
        <v>301</v>
      </c>
      <c r="H144" s="485" t="s">
        <v>3411</v>
      </c>
      <c r="I144" s="481" t="s">
        <v>2483</v>
      </c>
      <c r="J144" s="481" t="s">
        <v>3055</v>
      </c>
      <c r="K144" s="481" t="s">
        <v>3055</v>
      </c>
    </row>
    <row r="145" spans="1:11" ht="78.75">
      <c r="A145" s="481" t="s">
        <v>219</v>
      </c>
      <c r="B145" s="481" t="s">
        <v>3471</v>
      </c>
      <c r="C145" s="479">
        <v>0.91666666666666663</v>
      </c>
      <c r="D145" s="478" t="s">
        <v>3471</v>
      </c>
      <c r="E145" s="479">
        <v>0.92013888888888884</v>
      </c>
      <c r="F145" s="481" t="s">
        <v>2919</v>
      </c>
      <c r="G145" s="481" t="s">
        <v>1352</v>
      </c>
      <c r="H145" s="485" t="s">
        <v>3402</v>
      </c>
      <c r="I145" s="481" t="s">
        <v>2118</v>
      </c>
      <c r="J145" s="481" t="s">
        <v>3055</v>
      </c>
      <c r="K145" s="481" t="s">
        <v>3055</v>
      </c>
    </row>
    <row r="146" spans="1:11" ht="33.75">
      <c r="A146" s="481" t="s">
        <v>219</v>
      </c>
      <c r="B146" s="481" t="s">
        <v>3472</v>
      </c>
      <c r="C146" s="479">
        <v>0.87222222222222223</v>
      </c>
      <c r="D146" s="478" t="s">
        <v>3473</v>
      </c>
      <c r="E146" s="479">
        <v>0.79166666666666663</v>
      </c>
      <c r="F146" s="481" t="s">
        <v>2832</v>
      </c>
      <c r="G146" s="481" t="s">
        <v>63</v>
      </c>
      <c r="H146" s="485" t="s">
        <v>3451</v>
      </c>
      <c r="I146" s="481" t="s">
        <v>22</v>
      </c>
      <c r="J146" s="481" t="s">
        <v>45</v>
      </c>
      <c r="K146" s="481" t="s">
        <v>3474</v>
      </c>
    </row>
    <row r="147" spans="1:11" ht="33.75">
      <c r="A147" s="481" t="s">
        <v>219</v>
      </c>
      <c r="B147" s="481" t="s">
        <v>3472</v>
      </c>
      <c r="C147" s="479">
        <v>0.85416666666666663</v>
      </c>
      <c r="D147" s="478" t="s">
        <v>3475</v>
      </c>
      <c r="E147" s="479">
        <v>0.70833333333333337</v>
      </c>
      <c r="F147" s="481" t="s">
        <v>2928</v>
      </c>
      <c r="G147" s="481" t="s">
        <v>63</v>
      </c>
      <c r="H147" s="485" t="s">
        <v>3451</v>
      </c>
      <c r="I147" s="481" t="s">
        <v>22</v>
      </c>
      <c r="J147" s="481" t="s">
        <v>3296</v>
      </c>
      <c r="K147" s="481" t="s">
        <v>3244</v>
      </c>
    </row>
    <row r="148" spans="1:11" ht="45">
      <c r="A148" s="481" t="s">
        <v>219</v>
      </c>
      <c r="B148" s="481" t="s">
        <v>3476</v>
      </c>
      <c r="C148" s="479">
        <v>0.625</v>
      </c>
      <c r="D148" s="478" t="s">
        <v>3476</v>
      </c>
      <c r="E148" s="479">
        <v>0.75</v>
      </c>
      <c r="F148" s="481" t="s">
        <v>3477</v>
      </c>
      <c r="G148" s="481" t="s">
        <v>63</v>
      </c>
      <c r="H148" s="485" t="s">
        <v>3478</v>
      </c>
      <c r="I148" s="481" t="s">
        <v>2764</v>
      </c>
      <c r="J148" s="481" t="s">
        <v>3479</v>
      </c>
      <c r="K148" s="481" t="s">
        <v>3209</v>
      </c>
    </row>
    <row r="149" spans="1:11" ht="67.5">
      <c r="A149" s="481" t="s">
        <v>219</v>
      </c>
      <c r="B149" s="481" t="s">
        <v>3476</v>
      </c>
      <c r="C149" s="479">
        <v>4.5138888888888888E-2</v>
      </c>
      <c r="D149" s="478" t="s">
        <v>3480</v>
      </c>
      <c r="E149" s="479">
        <v>0.66666666666666663</v>
      </c>
      <c r="F149" s="481" t="s">
        <v>3481</v>
      </c>
      <c r="G149" s="481" t="s">
        <v>63</v>
      </c>
      <c r="H149" s="485" t="s">
        <v>3451</v>
      </c>
      <c r="I149" s="481" t="s">
        <v>22</v>
      </c>
      <c r="J149" s="481" t="s">
        <v>45</v>
      </c>
      <c r="K149" s="481" t="s">
        <v>3482</v>
      </c>
    </row>
    <row r="150" spans="1:11" ht="45">
      <c r="A150" s="481" t="s">
        <v>219</v>
      </c>
      <c r="B150" s="481" t="s">
        <v>3476</v>
      </c>
      <c r="C150" s="479">
        <v>0.625</v>
      </c>
      <c r="D150" s="478" t="s">
        <v>3476</v>
      </c>
      <c r="E150" s="479">
        <v>0.75</v>
      </c>
      <c r="F150" s="481" t="s">
        <v>2866</v>
      </c>
      <c r="G150" s="481" t="s">
        <v>63</v>
      </c>
      <c r="H150" s="485" t="s">
        <v>3478</v>
      </c>
      <c r="I150" s="481" t="s">
        <v>2764</v>
      </c>
      <c r="J150" s="481" t="s">
        <v>45</v>
      </c>
      <c r="K150" s="481" t="s">
        <v>45</v>
      </c>
    </row>
    <row r="151" spans="1:11" ht="33.75">
      <c r="A151" s="481" t="s">
        <v>219</v>
      </c>
      <c r="B151" s="481" t="s">
        <v>3483</v>
      </c>
      <c r="C151" s="479">
        <v>0.33333333333333331</v>
      </c>
      <c r="D151" s="478" t="s">
        <v>3484</v>
      </c>
      <c r="E151" s="479">
        <v>0.81944444444444453</v>
      </c>
      <c r="F151" s="481" t="s">
        <v>2832</v>
      </c>
      <c r="G151" s="481" t="s">
        <v>63</v>
      </c>
      <c r="H151" s="485" t="s">
        <v>3451</v>
      </c>
      <c r="I151" s="481" t="s">
        <v>22</v>
      </c>
      <c r="J151" s="481" t="s">
        <v>45</v>
      </c>
      <c r="K151" s="481" t="s">
        <v>3240</v>
      </c>
    </row>
    <row r="152" spans="1:11" ht="45">
      <c r="A152" s="481" t="s">
        <v>219</v>
      </c>
      <c r="B152" s="481" t="s">
        <v>3475</v>
      </c>
      <c r="C152" s="479">
        <v>0.45833333333333331</v>
      </c>
      <c r="D152" s="478" t="s">
        <v>3473</v>
      </c>
      <c r="E152" s="479">
        <v>0.5</v>
      </c>
      <c r="F152" s="481" t="s">
        <v>3485</v>
      </c>
      <c r="G152" s="481" t="s">
        <v>3143</v>
      </c>
      <c r="H152" s="485" t="s">
        <v>3387</v>
      </c>
      <c r="I152" s="481" t="s">
        <v>2764</v>
      </c>
      <c r="J152" s="481" t="s">
        <v>3055</v>
      </c>
      <c r="K152" s="481" t="s">
        <v>3055</v>
      </c>
    </row>
    <row r="153" spans="1:11" ht="33.75">
      <c r="A153" s="481" t="s">
        <v>219</v>
      </c>
      <c r="B153" s="481" t="s">
        <v>3473</v>
      </c>
      <c r="C153" s="479">
        <v>0.52708333333333335</v>
      </c>
      <c r="D153" s="478" t="s">
        <v>45</v>
      </c>
      <c r="E153" s="479" t="s">
        <v>45</v>
      </c>
      <c r="F153" s="481" t="s">
        <v>2817</v>
      </c>
      <c r="G153" s="481" t="s">
        <v>124</v>
      </c>
      <c r="H153" s="485" t="s">
        <v>3356</v>
      </c>
      <c r="I153" s="481" t="s">
        <v>100</v>
      </c>
      <c r="J153" s="481" t="s">
        <v>3055</v>
      </c>
      <c r="K153" s="481" t="s">
        <v>3055</v>
      </c>
    </row>
    <row r="154" spans="1:11" ht="67.5">
      <c r="A154" s="481" t="s">
        <v>219</v>
      </c>
      <c r="B154" s="481" t="s">
        <v>3486</v>
      </c>
      <c r="C154" s="479">
        <v>0.64097222222222217</v>
      </c>
      <c r="D154" s="478" t="s">
        <v>3486</v>
      </c>
      <c r="E154" s="479">
        <v>0.95833333333333337</v>
      </c>
      <c r="F154" s="481" t="s">
        <v>2967</v>
      </c>
      <c r="G154" s="481" t="s">
        <v>124</v>
      </c>
      <c r="H154" s="485" t="s">
        <v>3411</v>
      </c>
      <c r="I154" s="481" t="s">
        <v>3416</v>
      </c>
      <c r="J154" s="481" t="s">
        <v>3487</v>
      </c>
      <c r="K154" s="481" t="s">
        <v>3488</v>
      </c>
    </row>
    <row r="155" spans="1:11" ht="45">
      <c r="A155" s="481" t="s">
        <v>219</v>
      </c>
      <c r="B155" s="481" t="s">
        <v>3489</v>
      </c>
      <c r="C155" s="479">
        <v>2.2916666666666669E-2</v>
      </c>
      <c r="D155" s="478" t="s">
        <v>3489</v>
      </c>
      <c r="E155" s="479">
        <v>0.13194444444444445</v>
      </c>
      <c r="F155" s="481" t="s">
        <v>3461</v>
      </c>
      <c r="G155" s="481" t="s">
        <v>63</v>
      </c>
      <c r="H155" s="485" t="s">
        <v>3387</v>
      </c>
      <c r="I155" s="481" t="s">
        <v>2764</v>
      </c>
      <c r="J155" s="481" t="s">
        <v>3055</v>
      </c>
      <c r="K155" s="481" t="s">
        <v>3055</v>
      </c>
    </row>
    <row r="156" spans="1:11" ht="67.5">
      <c r="A156" s="481" t="s">
        <v>219</v>
      </c>
      <c r="B156" s="481" t="s">
        <v>3490</v>
      </c>
      <c r="C156" s="479">
        <v>0.57916666666666672</v>
      </c>
      <c r="D156" s="478" t="s">
        <v>3490</v>
      </c>
      <c r="E156" s="479">
        <v>0.74861111111111101</v>
      </c>
      <c r="F156" s="481" t="s">
        <v>2809</v>
      </c>
      <c r="G156" s="481" t="s">
        <v>1352</v>
      </c>
      <c r="H156" s="485" t="s">
        <v>3411</v>
      </c>
      <c r="I156" s="481" t="s">
        <v>2483</v>
      </c>
      <c r="J156" s="481" t="s">
        <v>3055</v>
      </c>
      <c r="K156" s="481" t="s">
        <v>3055</v>
      </c>
    </row>
    <row r="157" spans="1:11" ht="45">
      <c r="A157" s="481" t="s">
        <v>219</v>
      </c>
      <c r="B157" s="481" t="s">
        <v>3491</v>
      </c>
      <c r="C157" s="479">
        <v>0.79027777777777775</v>
      </c>
      <c r="D157" s="478" t="s">
        <v>3491</v>
      </c>
      <c r="E157" s="479">
        <v>0.81180555555555556</v>
      </c>
      <c r="F157" s="481" t="s">
        <v>2895</v>
      </c>
      <c r="G157" s="481" t="s">
        <v>3143</v>
      </c>
      <c r="H157" s="485" t="s">
        <v>3387</v>
      </c>
      <c r="I157" s="481" t="s">
        <v>2764</v>
      </c>
      <c r="J157" s="481" t="s">
        <v>3055</v>
      </c>
      <c r="K157" s="481" t="s">
        <v>3055</v>
      </c>
    </row>
    <row r="158" spans="1:11" ht="45">
      <c r="A158" s="481" t="s">
        <v>35</v>
      </c>
      <c r="B158" s="481" t="s">
        <v>3492</v>
      </c>
      <c r="C158" s="479">
        <v>0.53055555555555556</v>
      </c>
      <c r="D158" s="478" t="s">
        <v>3492</v>
      </c>
      <c r="E158" s="479">
        <v>0.73055555555555562</v>
      </c>
      <c r="F158" s="481" t="s">
        <v>3493</v>
      </c>
      <c r="G158" s="481" t="s">
        <v>3143</v>
      </c>
      <c r="H158" s="485" t="s">
        <v>3387</v>
      </c>
      <c r="I158" s="481" t="s">
        <v>2764</v>
      </c>
      <c r="J158" s="481" t="s">
        <v>45</v>
      </c>
      <c r="K158" s="481" t="s">
        <v>45</v>
      </c>
    </row>
    <row r="159" spans="1:11" ht="45">
      <c r="A159" s="481" t="s">
        <v>35</v>
      </c>
      <c r="B159" s="481" t="s">
        <v>3494</v>
      </c>
      <c r="C159" s="479">
        <v>0.31805555555555554</v>
      </c>
      <c r="D159" s="478" t="s">
        <v>3494</v>
      </c>
      <c r="E159" s="479">
        <v>0.32500000000000001</v>
      </c>
      <c r="F159" s="481" t="s">
        <v>3461</v>
      </c>
      <c r="G159" s="481" t="s">
        <v>63</v>
      </c>
      <c r="H159" s="485" t="s">
        <v>3387</v>
      </c>
      <c r="I159" s="481" t="s">
        <v>2764</v>
      </c>
      <c r="J159" s="481" t="s">
        <v>3055</v>
      </c>
      <c r="K159" s="481" t="s">
        <v>3055</v>
      </c>
    </row>
    <row r="160" spans="1:11" ht="78.75">
      <c r="A160" s="481" t="s">
        <v>35</v>
      </c>
      <c r="B160" s="481" t="s">
        <v>3495</v>
      </c>
      <c r="C160" s="479">
        <v>0.25</v>
      </c>
      <c r="D160" s="478" t="s">
        <v>3495</v>
      </c>
      <c r="E160" s="479">
        <v>0.33333333333333331</v>
      </c>
      <c r="F160" s="481" t="s">
        <v>3496</v>
      </c>
      <c r="G160" s="481" t="s">
        <v>3347</v>
      </c>
      <c r="H160" s="485" t="s">
        <v>3402</v>
      </c>
      <c r="I160" s="481" t="s">
        <v>100</v>
      </c>
      <c r="J160" s="481" t="s">
        <v>3497</v>
      </c>
      <c r="K160" s="481" t="s">
        <v>3498</v>
      </c>
    </row>
    <row r="161" spans="1:11" ht="67.5">
      <c r="A161" s="481" t="s">
        <v>35</v>
      </c>
      <c r="B161" s="481" t="s">
        <v>3495</v>
      </c>
      <c r="C161" s="479">
        <v>0.66736111111111107</v>
      </c>
      <c r="D161" s="478" t="s">
        <v>3495</v>
      </c>
      <c r="E161" s="479">
        <v>0.76736111111111116</v>
      </c>
      <c r="F161" s="481" t="s">
        <v>2945</v>
      </c>
      <c r="G161" s="481" t="s">
        <v>124</v>
      </c>
      <c r="H161" s="485" t="s">
        <v>2910</v>
      </c>
      <c r="I161" s="481" t="s">
        <v>2118</v>
      </c>
      <c r="J161" s="481" t="s">
        <v>3055</v>
      </c>
      <c r="K161" s="481" t="s">
        <v>3055</v>
      </c>
    </row>
    <row r="162" spans="1:11" ht="90">
      <c r="A162" s="481" t="s">
        <v>35</v>
      </c>
      <c r="B162" s="481" t="s">
        <v>3499</v>
      </c>
      <c r="C162" s="479">
        <v>0.84166666666666667</v>
      </c>
      <c r="D162" s="478" t="s">
        <v>3499</v>
      </c>
      <c r="E162" s="479">
        <v>0.8833333333333333</v>
      </c>
      <c r="F162" s="481" t="s">
        <v>3500</v>
      </c>
      <c r="G162" s="481" t="s">
        <v>124</v>
      </c>
      <c r="H162" s="485" t="s">
        <v>3501</v>
      </c>
      <c r="I162" s="481" t="s">
        <v>2764</v>
      </c>
      <c r="J162" s="481" t="s">
        <v>3055</v>
      </c>
      <c r="K162" s="481" t="s">
        <v>3055</v>
      </c>
    </row>
    <row r="163" spans="1:11" ht="33.75">
      <c r="A163" s="481" t="s">
        <v>35</v>
      </c>
      <c r="B163" s="481" t="s">
        <v>3502</v>
      </c>
      <c r="C163" s="479">
        <v>0.4993055555555555</v>
      </c>
      <c r="D163" s="478" t="s">
        <v>45</v>
      </c>
      <c r="E163" s="479" t="s">
        <v>45</v>
      </c>
      <c r="F163" s="481" t="s">
        <v>3503</v>
      </c>
      <c r="G163" s="481" t="s">
        <v>301</v>
      </c>
      <c r="H163" s="485" t="s">
        <v>2753</v>
      </c>
      <c r="I163" s="481" t="s">
        <v>22</v>
      </c>
      <c r="J163" s="481" t="s">
        <v>3504</v>
      </c>
      <c r="K163" s="481" t="s">
        <v>3505</v>
      </c>
    </row>
    <row r="164" spans="1:11" ht="33.75">
      <c r="A164" s="481" t="s">
        <v>35</v>
      </c>
      <c r="B164" s="481" t="s">
        <v>3502</v>
      </c>
      <c r="C164" s="479">
        <v>0.66666666666666663</v>
      </c>
      <c r="D164" s="478" t="s">
        <v>3506</v>
      </c>
      <c r="E164" s="479">
        <v>0.25</v>
      </c>
      <c r="F164" s="481" t="s">
        <v>2901</v>
      </c>
      <c r="G164" s="481" t="s">
        <v>301</v>
      </c>
      <c r="H164" s="485" t="s">
        <v>2753</v>
      </c>
      <c r="I164" s="481" t="s">
        <v>22</v>
      </c>
      <c r="J164" s="481" t="s">
        <v>3507</v>
      </c>
      <c r="K164" s="481" t="s">
        <v>3508</v>
      </c>
    </row>
    <row r="165" spans="1:11" ht="67.5">
      <c r="A165" s="481" t="s">
        <v>35</v>
      </c>
      <c r="B165" s="481" t="s">
        <v>3502</v>
      </c>
      <c r="C165" s="479">
        <v>0.70833333333333337</v>
      </c>
      <c r="D165" s="478" t="s">
        <v>3509</v>
      </c>
      <c r="E165" s="479">
        <v>0.20833333333333334</v>
      </c>
      <c r="F165" s="481" t="s">
        <v>2865</v>
      </c>
      <c r="G165" s="481" t="s">
        <v>124</v>
      </c>
      <c r="H165" s="485" t="s">
        <v>2910</v>
      </c>
      <c r="I165" s="481" t="s">
        <v>100</v>
      </c>
      <c r="J165" s="481" t="s">
        <v>3055</v>
      </c>
      <c r="K165" s="481" t="s">
        <v>3055</v>
      </c>
    </row>
    <row r="166" spans="1:11" ht="33.75">
      <c r="A166" s="481" t="s">
        <v>35</v>
      </c>
      <c r="B166" s="481" t="s">
        <v>3502</v>
      </c>
      <c r="C166" s="479">
        <v>0.58333333333333337</v>
      </c>
      <c r="D166" s="478" t="s">
        <v>3510</v>
      </c>
      <c r="E166" s="479">
        <v>0.25</v>
      </c>
      <c r="F166" s="481" t="s">
        <v>2901</v>
      </c>
      <c r="G166" s="481" t="s">
        <v>301</v>
      </c>
      <c r="H166" s="485" t="s">
        <v>2753</v>
      </c>
      <c r="I166" s="481" t="s">
        <v>22</v>
      </c>
      <c r="J166" s="481" t="s">
        <v>3511</v>
      </c>
      <c r="K166" s="481" t="s">
        <v>3512</v>
      </c>
    </row>
    <row r="167" spans="1:11" ht="45">
      <c r="A167" s="481" t="s">
        <v>35</v>
      </c>
      <c r="B167" s="481" t="s">
        <v>3502</v>
      </c>
      <c r="C167" s="479">
        <v>0.23680555555555557</v>
      </c>
      <c r="D167" s="478" t="s">
        <v>3502</v>
      </c>
      <c r="E167" s="479">
        <v>0.32916666666666666</v>
      </c>
      <c r="F167" s="481" t="s">
        <v>2959</v>
      </c>
      <c r="G167" s="481" t="s">
        <v>61</v>
      </c>
      <c r="H167" s="485" t="s">
        <v>3387</v>
      </c>
      <c r="I167" s="481" t="s">
        <v>2764</v>
      </c>
      <c r="J167" s="481" t="s">
        <v>3055</v>
      </c>
      <c r="K167" s="481" t="s">
        <v>3055</v>
      </c>
    </row>
    <row r="168" spans="1:11" ht="33.75">
      <c r="A168" s="481" t="s">
        <v>35</v>
      </c>
      <c r="B168" s="481" t="s">
        <v>3510</v>
      </c>
      <c r="C168" s="479">
        <v>0.6958333333333333</v>
      </c>
      <c r="D168" s="478" t="s">
        <v>3513</v>
      </c>
      <c r="E168" s="479">
        <v>0.875</v>
      </c>
      <c r="F168" s="481" t="s">
        <v>2832</v>
      </c>
      <c r="G168" s="481" t="s">
        <v>63</v>
      </c>
      <c r="H168" s="485" t="s">
        <v>2753</v>
      </c>
      <c r="I168" s="481" t="s">
        <v>22</v>
      </c>
      <c r="J168" s="481" t="s">
        <v>45</v>
      </c>
      <c r="K168" s="481" t="s">
        <v>3514</v>
      </c>
    </row>
    <row r="169" spans="1:11" ht="33.75">
      <c r="A169" s="481" t="s">
        <v>35</v>
      </c>
      <c r="B169" s="481" t="s">
        <v>3510</v>
      </c>
      <c r="C169" s="479">
        <v>0.78819444444444453</v>
      </c>
      <c r="D169" s="478" t="s">
        <v>3513</v>
      </c>
      <c r="E169" s="479">
        <v>0.5</v>
      </c>
      <c r="F169" s="481" t="s">
        <v>2928</v>
      </c>
      <c r="G169" s="481" t="s">
        <v>63</v>
      </c>
      <c r="H169" s="485" t="s">
        <v>2753</v>
      </c>
      <c r="I169" s="481" t="s">
        <v>22</v>
      </c>
      <c r="J169" s="481" t="s">
        <v>45</v>
      </c>
      <c r="K169" s="481" t="s">
        <v>3515</v>
      </c>
    </row>
    <row r="170" spans="1:11" ht="33.75">
      <c r="A170" s="481" t="s">
        <v>35</v>
      </c>
      <c r="B170" s="481" t="s">
        <v>3510</v>
      </c>
      <c r="C170" s="479">
        <v>0.55208333333333337</v>
      </c>
      <c r="D170" s="478" t="s">
        <v>45</v>
      </c>
      <c r="E170" s="479" t="s">
        <v>45</v>
      </c>
      <c r="F170" s="481" t="s">
        <v>2832</v>
      </c>
      <c r="G170" s="481" t="s">
        <v>63</v>
      </c>
      <c r="H170" s="485" t="s">
        <v>2753</v>
      </c>
      <c r="I170" s="481" t="s">
        <v>22</v>
      </c>
      <c r="J170" s="481" t="s">
        <v>45</v>
      </c>
      <c r="K170" s="481" t="s">
        <v>3516</v>
      </c>
    </row>
    <row r="171" spans="1:11" ht="33.75">
      <c r="A171" s="481" t="s">
        <v>35</v>
      </c>
      <c r="B171" s="481" t="s">
        <v>3510</v>
      </c>
      <c r="C171" s="479">
        <v>0.30624999999999997</v>
      </c>
      <c r="D171" s="478" t="s">
        <v>3510</v>
      </c>
      <c r="E171" s="479">
        <v>0.625</v>
      </c>
      <c r="F171" s="481" t="s">
        <v>2896</v>
      </c>
      <c r="G171" s="481" t="s">
        <v>63</v>
      </c>
      <c r="H171" s="485" t="s">
        <v>2753</v>
      </c>
      <c r="I171" s="481" t="s">
        <v>22</v>
      </c>
      <c r="J171" s="481" t="s">
        <v>45</v>
      </c>
      <c r="K171" s="481" t="s">
        <v>3517</v>
      </c>
    </row>
    <row r="172" spans="1:11" ht="67.5">
      <c r="A172" s="481" t="s">
        <v>35</v>
      </c>
      <c r="B172" s="481" t="s">
        <v>3513</v>
      </c>
      <c r="C172" s="479">
        <v>0.15</v>
      </c>
      <c r="D172" s="478" t="s">
        <v>3513</v>
      </c>
      <c r="E172" s="479">
        <v>0.5805555555555556</v>
      </c>
      <c r="F172" s="481" t="s">
        <v>3518</v>
      </c>
      <c r="G172" s="481" t="s">
        <v>3143</v>
      </c>
      <c r="H172" s="485" t="s">
        <v>3411</v>
      </c>
      <c r="I172" s="481" t="s">
        <v>2483</v>
      </c>
      <c r="J172" s="481" t="s">
        <v>3055</v>
      </c>
      <c r="K172" s="481" t="s">
        <v>3055</v>
      </c>
    </row>
    <row r="173" spans="1:11" ht="33.75">
      <c r="A173" s="481" t="s">
        <v>35</v>
      </c>
      <c r="B173" s="481" t="s">
        <v>3519</v>
      </c>
      <c r="C173" s="479">
        <v>0.9243055555555556</v>
      </c>
      <c r="D173" s="478" t="s">
        <v>45</v>
      </c>
      <c r="E173" s="479" t="s">
        <v>45</v>
      </c>
      <c r="F173" s="481" t="s">
        <v>2945</v>
      </c>
      <c r="G173" s="481" t="s">
        <v>124</v>
      </c>
      <c r="H173" s="485" t="s">
        <v>2753</v>
      </c>
      <c r="I173" s="481" t="s">
        <v>3416</v>
      </c>
      <c r="J173" s="481" t="s">
        <v>45</v>
      </c>
      <c r="K173" s="481" t="s">
        <v>3237</v>
      </c>
    </row>
    <row r="174" spans="1:11" ht="33.75">
      <c r="A174" s="481" t="s">
        <v>35</v>
      </c>
      <c r="B174" s="481" t="s">
        <v>3520</v>
      </c>
      <c r="C174" s="479">
        <v>0.17708333333333334</v>
      </c>
      <c r="D174" s="478" t="s">
        <v>3520</v>
      </c>
      <c r="E174" s="479">
        <v>0.71597222222222223</v>
      </c>
      <c r="F174" s="481" t="s">
        <v>3521</v>
      </c>
      <c r="G174" s="481" t="s">
        <v>61</v>
      </c>
      <c r="H174" s="485" t="s">
        <v>2753</v>
      </c>
      <c r="I174" s="481" t="s">
        <v>22</v>
      </c>
      <c r="J174" s="481" t="s">
        <v>45</v>
      </c>
      <c r="K174" s="481" t="s">
        <v>3522</v>
      </c>
    </row>
    <row r="175" spans="1:11" ht="33.75">
      <c r="A175" s="481" t="s">
        <v>35</v>
      </c>
      <c r="B175" s="481" t="s">
        <v>3523</v>
      </c>
      <c r="C175" s="479">
        <v>1.1111111111111112E-2</v>
      </c>
      <c r="D175" s="478" t="s">
        <v>3523</v>
      </c>
      <c r="E175" s="479">
        <v>0.67638888888888893</v>
      </c>
      <c r="F175" s="481" t="s">
        <v>3524</v>
      </c>
      <c r="G175" s="481" t="s">
        <v>3143</v>
      </c>
      <c r="H175" s="485" t="s">
        <v>2753</v>
      </c>
      <c r="I175" s="481" t="s">
        <v>22</v>
      </c>
      <c r="J175" s="481" t="s">
        <v>45</v>
      </c>
      <c r="K175" s="481" t="s">
        <v>3525</v>
      </c>
    </row>
    <row r="176" spans="1:11" ht="33.75">
      <c r="A176" s="481" t="s">
        <v>35</v>
      </c>
      <c r="B176" s="481" t="s">
        <v>3526</v>
      </c>
      <c r="C176" s="479">
        <v>0.43402777777777773</v>
      </c>
      <c r="D176" s="478" t="s">
        <v>3526</v>
      </c>
      <c r="E176" s="479">
        <v>0.4381944444444445</v>
      </c>
      <c r="F176" s="481" t="s">
        <v>2831</v>
      </c>
      <c r="G176" s="481" t="s">
        <v>124</v>
      </c>
      <c r="H176" s="485" t="s">
        <v>3356</v>
      </c>
      <c r="I176" s="481" t="s">
        <v>100</v>
      </c>
      <c r="J176" s="481" t="s">
        <v>3055</v>
      </c>
      <c r="K176" s="481" t="s">
        <v>3055</v>
      </c>
    </row>
    <row r="177" spans="1:11" ht="45">
      <c r="A177" s="481" t="s">
        <v>35</v>
      </c>
      <c r="B177" s="481" t="s">
        <v>3527</v>
      </c>
      <c r="C177" s="479">
        <v>0.52222222222222225</v>
      </c>
      <c r="D177" s="478" t="s">
        <v>3527</v>
      </c>
      <c r="E177" s="479">
        <v>0.56458333333333333</v>
      </c>
      <c r="F177" s="481" t="s">
        <v>3528</v>
      </c>
      <c r="G177" s="481" t="s">
        <v>3143</v>
      </c>
      <c r="H177" s="485" t="s">
        <v>3387</v>
      </c>
      <c r="I177" s="481" t="s">
        <v>2764</v>
      </c>
      <c r="J177" s="481" t="s">
        <v>3055</v>
      </c>
      <c r="K177" s="481" t="s">
        <v>3055</v>
      </c>
    </row>
    <row r="178" spans="1:11" ht="67.5">
      <c r="A178" s="481" t="s">
        <v>35</v>
      </c>
      <c r="B178" s="481" t="s">
        <v>3529</v>
      </c>
      <c r="C178" s="479">
        <v>0.20833333333333334</v>
      </c>
      <c r="D178" s="478" t="s">
        <v>3530</v>
      </c>
      <c r="E178" s="479">
        <v>0.29166666666666669</v>
      </c>
      <c r="F178" s="481" t="s">
        <v>3414</v>
      </c>
      <c r="G178" s="481" t="s">
        <v>124</v>
      </c>
      <c r="H178" s="485" t="s">
        <v>2910</v>
      </c>
      <c r="I178" s="481" t="s">
        <v>100</v>
      </c>
      <c r="J178" s="481" t="s">
        <v>3055</v>
      </c>
      <c r="K178" s="481" t="s">
        <v>3055</v>
      </c>
    </row>
    <row r="179" spans="1:11" ht="67.5">
      <c r="A179" s="481" t="s">
        <v>35</v>
      </c>
      <c r="B179" s="481" t="s">
        <v>3529</v>
      </c>
      <c r="C179" s="479">
        <v>0.36041666666666666</v>
      </c>
      <c r="D179" s="478" t="s">
        <v>45</v>
      </c>
      <c r="E179" s="479" t="s">
        <v>45</v>
      </c>
      <c r="F179" s="481" t="s">
        <v>3531</v>
      </c>
      <c r="G179" s="481" t="s">
        <v>674</v>
      </c>
      <c r="H179" s="485" t="s">
        <v>2910</v>
      </c>
      <c r="I179" s="481" t="s">
        <v>100</v>
      </c>
      <c r="J179" s="481" t="s">
        <v>3055</v>
      </c>
      <c r="K179" s="481" t="s">
        <v>3055</v>
      </c>
    </row>
    <row r="180" spans="1:11" ht="45">
      <c r="A180" s="481" t="s">
        <v>35</v>
      </c>
      <c r="B180" s="481" t="s">
        <v>3532</v>
      </c>
      <c r="C180" s="479">
        <v>0.58472222222222225</v>
      </c>
      <c r="D180" s="478" t="s">
        <v>3532</v>
      </c>
      <c r="E180" s="479">
        <v>0.61249999999999993</v>
      </c>
      <c r="F180" s="481" t="s">
        <v>3533</v>
      </c>
      <c r="G180" s="481" t="s">
        <v>3143</v>
      </c>
      <c r="H180" s="485" t="s">
        <v>3387</v>
      </c>
      <c r="I180" s="481" t="s">
        <v>2764</v>
      </c>
      <c r="J180" s="481" t="s">
        <v>3055</v>
      </c>
      <c r="K180" s="481" t="s">
        <v>3055</v>
      </c>
    </row>
    <row r="181" spans="1:11" ht="33.75">
      <c r="A181" s="481" t="s">
        <v>35</v>
      </c>
      <c r="B181" s="481" t="s">
        <v>3534</v>
      </c>
      <c r="C181" s="479">
        <v>0.8125</v>
      </c>
      <c r="D181" s="478" t="s">
        <v>3535</v>
      </c>
      <c r="E181" s="479">
        <v>0.78819444444444453</v>
      </c>
      <c r="F181" s="481" t="s">
        <v>2809</v>
      </c>
      <c r="G181" s="481" t="s">
        <v>1352</v>
      </c>
      <c r="H181" s="485" t="s">
        <v>2753</v>
      </c>
      <c r="I181" s="481" t="s">
        <v>22</v>
      </c>
      <c r="J181" s="481" t="s">
        <v>3536</v>
      </c>
      <c r="K181" s="481" t="s">
        <v>3537</v>
      </c>
    </row>
    <row r="182" spans="1:11" ht="67.5">
      <c r="A182" s="481" t="s">
        <v>38</v>
      </c>
      <c r="B182" s="481" t="s">
        <v>3538</v>
      </c>
      <c r="C182" s="479">
        <v>0.40972222222222227</v>
      </c>
      <c r="D182" s="478" t="s">
        <v>45</v>
      </c>
      <c r="E182" s="479" t="s">
        <v>45</v>
      </c>
      <c r="F182" s="481" t="s">
        <v>3531</v>
      </c>
      <c r="G182" s="481" t="s">
        <v>674</v>
      </c>
      <c r="H182" s="485" t="s">
        <v>3463</v>
      </c>
      <c r="I182" s="481" t="s">
        <v>100</v>
      </c>
      <c r="J182" s="481" t="s">
        <v>3055</v>
      </c>
      <c r="K182" s="481" t="s">
        <v>3055</v>
      </c>
    </row>
    <row r="183" spans="1:11" ht="45">
      <c r="A183" s="481" t="s">
        <v>38</v>
      </c>
      <c r="B183" s="481" t="s">
        <v>3539</v>
      </c>
      <c r="C183" s="479">
        <v>0.24513888888888888</v>
      </c>
      <c r="D183" s="478" t="s">
        <v>3539</v>
      </c>
      <c r="E183" s="479">
        <v>0.24791666666666667</v>
      </c>
      <c r="F183" s="481" t="s">
        <v>3461</v>
      </c>
      <c r="G183" s="481" t="s">
        <v>63</v>
      </c>
      <c r="H183" s="485" t="s">
        <v>3387</v>
      </c>
      <c r="I183" s="481" t="s">
        <v>2764</v>
      </c>
      <c r="J183" s="481" t="s">
        <v>3055</v>
      </c>
      <c r="K183" s="481" t="s">
        <v>3055</v>
      </c>
    </row>
    <row r="184" spans="1:11" ht="45">
      <c r="A184" s="481" t="s">
        <v>38</v>
      </c>
      <c r="B184" s="481" t="s">
        <v>3539</v>
      </c>
      <c r="C184" s="479">
        <v>0.72222222222222221</v>
      </c>
      <c r="D184" s="478" t="s">
        <v>3540</v>
      </c>
      <c r="E184" s="479">
        <v>0.60416666666666663</v>
      </c>
      <c r="F184" s="481" t="s">
        <v>3541</v>
      </c>
      <c r="G184" s="481" t="s">
        <v>61</v>
      </c>
      <c r="H184" s="485" t="s">
        <v>3451</v>
      </c>
      <c r="I184" s="481" t="s">
        <v>22</v>
      </c>
      <c r="J184" s="481" t="s">
        <v>45</v>
      </c>
      <c r="K184" s="481" t="s">
        <v>3542</v>
      </c>
    </row>
    <row r="185" spans="1:11" ht="33.75">
      <c r="A185" s="481" t="s">
        <v>38</v>
      </c>
      <c r="B185" s="481" t="s">
        <v>3543</v>
      </c>
      <c r="C185" s="479">
        <v>0.40902777777777777</v>
      </c>
      <c r="D185" s="478" t="s">
        <v>3544</v>
      </c>
      <c r="E185" s="479">
        <v>0.58680555555555558</v>
      </c>
      <c r="F185" s="481" t="s">
        <v>3189</v>
      </c>
      <c r="G185" s="481" t="s">
        <v>63</v>
      </c>
      <c r="H185" s="485" t="s">
        <v>3451</v>
      </c>
      <c r="I185" s="481" t="s">
        <v>22</v>
      </c>
      <c r="J185" s="481" t="s">
        <v>45</v>
      </c>
      <c r="K185" s="481" t="s">
        <v>3545</v>
      </c>
    </row>
    <row r="186" spans="1:11" ht="67.5">
      <c r="A186" s="481" t="s">
        <v>38</v>
      </c>
      <c r="B186" s="481" t="s">
        <v>3546</v>
      </c>
      <c r="C186" s="479">
        <v>0.30277777777777776</v>
      </c>
      <c r="D186" s="478" t="s">
        <v>3547</v>
      </c>
      <c r="E186" s="479">
        <v>0.68888888888888899</v>
      </c>
      <c r="F186" s="481" t="s">
        <v>2894</v>
      </c>
      <c r="G186" s="481" t="s">
        <v>124</v>
      </c>
      <c r="H186" s="485" t="s">
        <v>3366</v>
      </c>
      <c r="I186" s="481" t="s">
        <v>3465</v>
      </c>
      <c r="J186" s="481" t="s">
        <v>3548</v>
      </c>
      <c r="K186" s="481" t="s">
        <v>3549</v>
      </c>
    </row>
    <row r="187" spans="1:11" ht="33.75">
      <c r="A187" s="481" t="s">
        <v>38</v>
      </c>
      <c r="B187" s="481" t="s">
        <v>3546</v>
      </c>
      <c r="C187" s="479">
        <v>0.66666666666666663</v>
      </c>
      <c r="D187" s="478" t="s">
        <v>45</v>
      </c>
      <c r="E187" s="479" t="s">
        <v>45</v>
      </c>
      <c r="F187" s="481" t="s">
        <v>3550</v>
      </c>
      <c r="G187" s="481" t="s">
        <v>124</v>
      </c>
      <c r="H187" s="485" t="s">
        <v>3356</v>
      </c>
      <c r="I187" s="481" t="s">
        <v>100</v>
      </c>
      <c r="J187" s="481" t="s">
        <v>3055</v>
      </c>
      <c r="K187" s="481" t="s">
        <v>3055</v>
      </c>
    </row>
    <row r="188" spans="1:11" ht="45">
      <c r="A188" s="481" t="s">
        <v>38</v>
      </c>
      <c r="B188" s="481" t="s">
        <v>3544</v>
      </c>
      <c r="C188" s="479">
        <v>0.37638888888888888</v>
      </c>
      <c r="D188" s="478" t="s">
        <v>3544</v>
      </c>
      <c r="E188" s="479">
        <v>0.43263888888888885</v>
      </c>
      <c r="F188" s="481" t="s">
        <v>3551</v>
      </c>
      <c r="G188" s="481" t="s">
        <v>674</v>
      </c>
      <c r="H188" s="485" t="s">
        <v>3387</v>
      </c>
      <c r="I188" s="481" t="s">
        <v>2764</v>
      </c>
      <c r="J188" s="481" t="s">
        <v>3055</v>
      </c>
      <c r="K188" s="481" t="s">
        <v>3055</v>
      </c>
    </row>
    <row r="189" spans="1:11" ht="33.75">
      <c r="A189" s="481" t="s">
        <v>38</v>
      </c>
      <c r="B189" s="481" t="s">
        <v>3552</v>
      </c>
      <c r="C189" s="479">
        <v>0.70972222222222225</v>
      </c>
      <c r="D189" s="478" t="s">
        <v>3553</v>
      </c>
      <c r="E189" s="479">
        <v>0.625</v>
      </c>
      <c r="F189" s="481" t="s">
        <v>3554</v>
      </c>
      <c r="G189" s="481" t="s">
        <v>674</v>
      </c>
      <c r="H189" s="485" t="s">
        <v>2780</v>
      </c>
      <c r="I189" s="481" t="s">
        <v>1138</v>
      </c>
      <c r="J189" s="481" t="s">
        <v>3055</v>
      </c>
      <c r="K189" s="481" t="s">
        <v>3055</v>
      </c>
    </row>
    <row r="190" spans="1:11" ht="45">
      <c r="A190" s="481" t="s">
        <v>38</v>
      </c>
      <c r="B190" s="481" t="s">
        <v>3555</v>
      </c>
      <c r="C190" s="479">
        <v>0.7631944444444444</v>
      </c>
      <c r="D190" s="478" t="s">
        <v>3555</v>
      </c>
      <c r="E190" s="479">
        <v>0.81944444444444453</v>
      </c>
      <c r="F190" s="481" t="s">
        <v>3556</v>
      </c>
      <c r="G190" s="481" t="s">
        <v>3347</v>
      </c>
      <c r="H190" s="485" t="s">
        <v>3387</v>
      </c>
      <c r="I190" s="481" t="s">
        <v>2764</v>
      </c>
      <c r="J190" s="481" t="s">
        <v>3055</v>
      </c>
      <c r="K190" s="481" t="s">
        <v>3055</v>
      </c>
    </row>
    <row r="191" spans="1:11" ht="33.75">
      <c r="A191" s="481" t="s">
        <v>38</v>
      </c>
      <c r="B191" s="481" t="s">
        <v>3557</v>
      </c>
      <c r="C191" s="479">
        <v>0.4513888888888889</v>
      </c>
      <c r="D191" s="478" t="s">
        <v>3558</v>
      </c>
      <c r="E191" s="479">
        <v>0.54999999999999993</v>
      </c>
      <c r="F191" s="481" t="s">
        <v>3256</v>
      </c>
      <c r="G191" s="481" t="s">
        <v>3143</v>
      </c>
      <c r="H191" s="485" t="s">
        <v>3451</v>
      </c>
      <c r="I191" s="481" t="s">
        <v>22</v>
      </c>
      <c r="J191" s="481" t="s">
        <v>45</v>
      </c>
      <c r="K191" s="481" t="s">
        <v>3559</v>
      </c>
    </row>
    <row r="192" spans="1:11" ht="33.75">
      <c r="A192" s="481" t="s">
        <v>38</v>
      </c>
      <c r="B192" s="481" t="s">
        <v>3557</v>
      </c>
      <c r="C192" s="479">
        <v>0.14097222222222222</v>
      </c>
      <c r="D192" s="478" t="s">
        <v>3557</v>
      </c>
      <c r="E192" s="479">
        <v>0.73263888888888884</v>
      </c>
      <c r="F192" s="481" t="s">
        <v>3354</v>
      </c>
      <c r="G192" s="481" t="s">
        <v>63</v>
      </c>
      <c r="H192" s="485" t="s">
        <v>3451</v>
      </c>
      <c r="I192" s="481" t="s">
        <v>22</v>
      </c>
      <c r="J192" s="481" t="s">
        <v>45</v>
      </c>
      <c r="K192" s="481" t="s">
        <v>3560</v>
      </c>
    </row>
    <row r="193" spans="1:11" ht="33.75">
      <c r="A193" s="481" t="s">
        <v>38</v>
      </c>
      <c r="B193" s="481" t="s">
        <v>3557</v>
      </c>
      <c r="C193" s="479">
        <v>0.22777777777777777</v>
      </c>
      <c r="D193" s="478" t="s">
        <v>3557</v>
      </c>
      <c r="E193" s="479">
        <v>0.3576388888888889</v>
      </c>
      <c r="F193" s="481" t="s">
        <v>3561</v>
      </c>
      <c r="G193" s="481" t="s">
        <v>3143</v>
      </c>
      <c r="H193" s="485" t="s">
        <v>3451</v>
      </c>
      <c r="I193" s="481" t="s">
        <v>22</v>
      </c>
      <c r="J193" s="481" t="s">
        <v>45</v>
      </c>
      <c r="K193" s="481" t="s">
        <v>3508</v>
      </c>
    </row>
    <row r="194" spans="1:11" ht="33.75">
      <c r="A194" s="481" t="s">
        <v>38</v>
      </c>
      <c r="B194" s="481" t="s">
        <v>3557</v>
      </c>
      <c r="C194" s="479">
        <v>0.23472222222222219</v>
      </c>
      <c r="D194" s="478" t="s">
        <v>3562</v>
      </c>
      <c r="E194" s="479">
        <v>0.25</v>
      </c>
      <c r="F194" s="481" t="s">
        <v>3563</v>
      </c>
      <c r="G194" s="481" t="s">
        <v>63</v>
      </c>
      <c r="H194" s="485" t="s">
        <v>3451</v>
      </c>
      <c r="I194" s="481" t="s">
        <v>22</v>
      </c>
      <c r="J194" s="481" t="s">
        <v>45</v>
      </c>
      <c r="K194" s="481" t="s">
        <v>3564</v>
      </c>
    </row>
    <row r="195" spans="1:11" ht="33.75">
      <c r="A195" s="481" t="s">
        <v>38</v>
      </c>
      <c r="B195" s="481" t="s">
        <v>3565</v>
      </c>
      <c r="C195" s="479">
        <v>0.54861111111111105</v>
      </c>
      <c r="D195" s="478" t="s">
        <v>45</v>
      </c>
      <c r="E195" s="479" t="s">
        <v>45</v>
      </c>
      <c r="F195" s="481" t="s">
        <v>3566</v>
      </c>
      <c r="G195" s="481" t="s">
        <v>674</v>
      </c>
      <c r="H195" s="485" t="s">
        <v>3356</v>
      </c>
      <c r="I195" s="481" t="s">
        <v>100</v>
      </c>
      <c r="J195" s="481" t="s">
        <v>3082</v>
      </c>
      <c r="K195" s="481" t="s">
        <v>3055</v>
      </c>
    </row>
    <row r="196" spans="1:11" ht="135">
      <c r="A196" s="481" t="s">
        <v>38</v>
      </c>
      <c r="B196" s="481" t="s">
        <v>3567</v>
      </c>
      <c r="C196" s="479">
        <v>0.9375</v>
      </c>
      <c r="D196" s="478" t="s">
        <v>3547</v>
      </c>
      <c r="E196" s="479">
        <v>0.84513888888888899</v>
      </c>
      <c r="F196" s="481" t="s">
        <v>3568</v>
      </c>
      <c r="G196" s="481" t="s">
        <v>63</v>
      </c>
      <c r="H196" s="485" t="s">
        <v>3451</v>
      </c>
      <c r="I196" s="481" t="s">
        <v>22</v>
      </c>
      <c r="J196" s="481" t="s">
        <v>45</v>
      </c>
      <c r="K196" s="481" t="s">
        <v>3569</v>
      </c>
    </row>
    <row r="197" spans="1:11" ht="33.75">
      <c r="A197" s="481" t="s">
        <v>38</v>
      </c>
      <c r="B197" s="481" t="s">
        <v>3570</v>
      </c>
      <c r="C197" s="479">
        <v>0.33333333333333331</v>
      </c>
      <c r="D197" s="478" t="s">
        <v>3547</v>
      </c>
      <c r="E197" s="479">
        <v>0.70138888888888884</v>
      </c>
      <c r="F197" s="481" t="s">
        <v>3571</v>
      </c>
      <c r="G197" s="481" t="s">
        <v>61</v>
      </c>
      <c r="H197" s="485" t="s">
        <v>3451</v>
      </c>
      <c r="I197" s="481" t="s">
        <v>22</v>
      </c>
      <c r="J197" s="481" t="s">
        <v>45</v>
      </c>
      <c r="K197" s="481" t="s">
        <v>3572</v>
      </c>
    </row>
    <row r="198" spans="1:11" ht="33.75">
      <c r="A198" s="481" t="s">
        <v>47</v>
      </c>
      <c r="B198" s="481" t="s">
        <v>3573</v>
      </c>
      <c r="C198" s="479">
        <v>0.40277777777777773</v>
      </c>
      <c r="D198" s="478" t="s">
        <v>3574</v>
      </c>
      <c r="E198" s="479">
        <v>0.72013888888888899</v>
      </c>
      <c r="F198" s="481" t="s">
        <v>3245</v>
      </c>
      <c r="G198" s="481" t="s">
        <v>3143</v>
      </c>
      <c r="H198" s="485" t="s">
        <v>3356</v>
      </c>
      <c r="I198" s="485" t="s">
        <v>100</v>
      </c>
      <c r="J198" s="481" t="s">
        <v>3055</v>
      </c>
      <c r="K198" s="481" t="s">
        <v>3055</v>
      </c>
    </row>
    <row r="199" spans="1:11" ht="45">
      <c r="A199" s="481" t="s">
        <v>47</v>
      </c>
      <c r="B199" s="481" t="s">
        <v>3573</v>
      </c>
      <c r="C199" s="479">
        <v>0.68263888888888891</v>
      </c>
      <c r="D199" s="478" t="s">
        <v>3573</v>
      </c>
      <c r="E199" s="479">
        <v>0.71458333333333324</v>
      </c>
      <c r="F199" s="481" t="s">
        <v>3575</v>
      </c>
      <c r="G199" s="481" t="s">
        <v>301</v>
      </c>
      <c r="H199" s="485" t="s">
        <v>3387</v>
      </c>
      <c r="I199" s="485" t="s">
        <v>2764</v>
      </c>
      <c r="J199" s="481" t="s">
        <v>3055</v>
      </c>
      <c r="K199" s="481" t="s">
        <v>3055</v>
      </c>
    </row>
    <row r="200" spans="1:11" ht="45">
      <c r="A200" s="481" t="s">
        <v>47</v>
      </c>
      <c r="B200" s="481" t="s">
        <v>3576</v>
      </c>
      <c r="C200" s="479">
        <v>0.67847222222222225</v>
      </c>
      <c r="D200" s="478" t="s">
        <v>3576</v>
      </c>
      <c r="E200" s="479">
        <v>0.85416666666666663</v>
      </c>
      <c r="F200" s="481" t="s">
        <v>3252</v>
      </c>
      <c r="G200" s="481" t="s">
        <v>3143</v>
      </c>
      <c r="H200" s="485" t="s">
        <v>3387</v>
      </c>
      <c r="I200" s="485" t="s">
        <v>2764</v>
      </c>
      <c r="J200" s="481" t="s">
        <v>3055</v>
      </c>
      <c r="K200" s="481" t="s">
        <v>3055</v>
      </c>
    </row>
    <row r="201" spans="1:11" ht="67.5">
      <c r="A201" s="481" t="s">
        <v>47</v>
      </c>
      <c r="B201" s="481" t="s">
        <v>3577</v>
      </c>
      <c r="C201" s="479">
        <v>0.13541666666666666</v>
      </c>
      <c r="D201" s="478" t="s">
        <v>3577</v>
      </c>
      <c r="E201" s="479">
        <v>0.15555555555555556</v>
      </c>
      <c r="F201" s="481" t="s">
        <v>2919</v>
      </c>
      <c r="G201" s="481" t="s">
        <v>1352</v>
      </c>
      <c r="H201" s="485" t="s">
        <v>3411</v>
      </c>
      <c r="I201" s="485" t="s">
        <v>2483</v>
      </c>
      <c r="J201" s="481" t="s">
        <v>3578</v>
      </c>
      <c r="K201" s="481" t="s">
        <v>45</v>
      </c>
    </row>
    <row r="202" spans="1:11" ht="33.75">
      <c r="A202" s="481" t="s">
        <v>47</v>
      </c>
      <c r="B202" s="481" t="s">
        <v>3579</v>
      </c>
      <c r="C202" s="479">
        <v>0.33333333333333331</v>
      </c>
      <c r="D202" s="478" t="s">
        <v>3580</v>
      </c>
      <c r="E202" s="479">
        <v>0.33333333333333331</v>
      </c>
      <c r="F202" s="481" t="s">
        <v>3581</v>
      </c>
      <c r="G202" s="481" t="s">
        <v>63</v>
      </c>
      <c r="H202" s="485" t="s">
        <v>3356</v>
      </c>
      <c r="I202" s="485" t="s">
        <v>100</v>
      </c>
      <c r="J202" s="481" t="s">
        <v>3055</v>
      </c>
      <c r="K202" s="481" t="s">
        <v>3055</v>
      </c>
    </row>
    <row r="203" spans="1:11" ht="33.75">
      <c r="A203" s="481" t="s">
        <v>47</v>
      </c>
      <c r="B203" s="481" t="s">
        <v>3579</v>
      </c>
      <c r="C203" s="479">
        <v>0.53333333333333333</v>
      </c>
      <c r="D203" s="478" t="s">
        <v>3579</v>
      </c>
      <c r="E203" s="479">
        <v>0.53402777777777777</v>
      </c>
      <c r="F203" s="481" t="s">
        <v>2967</v>
      </c>
      <c r="G203" s="481" t="s">
        <v>124</v>
      </c>
      <c r="H203" s="485" t="s">
        <v>3356</v>
      </c>
      <c r="I203" s="485" t="s">
        <v>100</v>
      </c>
      <c r="J203" s="481" t="s">
        <v>3055</v>
      </c>
      <c r="K203" s="481" t="s">
        <v>3055</v>
      </c>
    </row>
    <row r="204" spans="1:11" ht="67.5">
      <c r="A204" s="481" t="s">
        <v>47</v>
      </c>
      <c r="B204" s="481" t="s">
        <v>3582</v>
      </c>
      <c r="C204" s="479">
        <v>0.13194444444444445</v>
      </c>
      <c r="D204" s="478" t="s">
        <v>3582</v>
      </c>
      <c r="E204" s="479">
        <v>0.19097222222222221</v>
      </c>
      <c r="F204" s="481" t="s">
        <v>3583</v>
      </c>
      <c r="G204" s="481" t="s">
        <v>124</v>
      </c>
      <c r="H204" s="485" t="s">
        <v>3463</v>
      </c>
      <c r="I204" s="485" t="s">
        <v>2293</v>
      </c>
      <c r="J204" s="481" t="s">
        <v>3055</v>
      </c>
      <c r="K204" s="481" t="s">
        <v>3055</v>
      </c>
    </row>
    <row r="205" spans="1:11" ht="33.75">
      <c r="A205" s="481" t="s">
        <v>47</v>
      </c>
      <c r="B205" s="481" t="s">
        <v>3584</v>
      </c>
      <c r="C205" s="479">
        <v>0.14930555555555555</v>
      </c>
      <c r="D205" s="478" t="s">
        <v>3585</v>
      </c>
      <c r="E205" s="479">
        <v>0.98958333333333337</v>
      </c>
      <c r="F205" s="481" t="s">
        <v>2928</v>
      </c>
      <c r="G205" s="481" t="s">
        <v>63</v>
      </c>
      <c r="H205" s="485" t="s">
        <v>3451</v>
      </c>
      <c r="I205" s="485" t="s">
        <v>2990</v>
      </c>
      <c r="J205" s="481" t="s">
        <v>45</v>
      </c>
      <c r="K205" s="481" t="s">
        <v>3240</v>
      </c>
    </row>
    <row r="206" spans="1:11" ht="33.75">
      <c r="A206" s="481" t="s">
        <v>47</v>
      </c>
      <c r="B206" s="481" t="s">
        <v>3584</v>
      </c>
      <c r="C206" s="479">
        <v>0.97777777777777775</v>
      </c>
      <c r="D206" s="478" t="s">
        <v>3585</v>
      </c>
      <c r="E206" s="479">
        <v>6.25E-2</v>
      </c>
      <c r="F206" s="481" t="s">
        <v>3586</v>
      </c>
      <c r="G206" s="481" t="s">
        <v>63</v>
      </c>
      <c r="H206" s="485" t="s">
        <v>3356</v>
      </c>
      <c r="I206" s="485" t="s">
        <v>100</v>
      </c>
      <c r="J206" s="481" t="s">
        <v>3055</v>
      </c>
      <c r="K206" s="481" t="s">
        <v>3055</v>
      </c>
    </row>
    <row r="207" spans="1:11" ht="33.75">
      <c r="A207" s="481" t="s">
        <v>47</v>
      </c>
      <c r="B207" s="481" t="s">
        <v>3584</v>
      </c>
      <c r="C207" s="479">
        <v>0.36180555555555555</v>
      </c>
      <c r="D207" s="478" t="s">
        <v>3584</v>
      </c>
      <c r="E207" s="479">
        <v>0.75</v>
      </c>
      <c r="F207" s="481" t="s">
        <v>2928</v>
      </c>
      <c r="G207" s="481" t="s">
        <v>63</v>
      </c>
      <c r="H207" s="485" t="s">
        <v>3451</v>
      </c>
      <c r="I207" s="485" t="s">
        <v>22</v>
      </c>
      <c r="J207" s="481" t="s">
        <v>45</v>
      </c>
      <c r="K207" s="481" t="s">
        <v>3340</v>
      </c>
    </row>
    <row r="208" spans="1:11" ht="33.75">
      <c r="A208" s="481" t="s">
        <v>47</v>
      </c>
      <c r="B208" s="481" t="s">
        <v>3584</v>
      </c>
      <c r="C208" s="479">
        <v>1.5972222222222224E-2</v>
      </c>
      <c r="D208" s="478" t="s">
        <v>3584</v>
      </c>
      <c r="E208" s="479">
        <v>0.49583333333333335</v>
      </c>
      <c r="F208" s="481" t="s">
        <v>3273</v>
      </c>
      <c r="G208" s="481" t="s">
        <v>63</v>
      </c>
      <c r="H208" s="485" t="s">
        <v>3451</v>
      </c>
      <c r="I208" s="485" t="s">
        <v>22</v>
      </c>
      <c r="J208" s="481" t="s">
        <v>3587</v>
      </c>
      <c r="K208" s="481" t="s">
        <v>3588</v>
      </c>
    </row>
    <row r="209" spans="1:11" ht="67.5">
      <c r="A209" s="481" t="s">
        <v>47</v>
      </c>
      <c r="B209" s="481" t="s">
        <v>3589</v>
      </c>
      <c r="C209" s="479">
        <v>0.29166666666666669</v>
      </c>
      <c r="D209" s="478" t="s">
        <v>3590</v>
      </c>
      <c r="E209" s="479">
        <v>0.58333333333333337</v>
      </c>
      <c r="F209" s="481" t="s">
        <v>2808</v>
      </c>
      <c r="G209" s="481" t="s">
        <v>124</v>
      </c>
      <c r="H209" s="485" t="s">
        <v>3463</v>
      </c>
      <c r="I209" s="485" t="s">
        <v>100</v>
      </c>
      <c r="J209" s="481" t="s">
        <v>3055</v>
      </c>
      <c r="K209" s="481" t="s">
        <v>3055</v>
      </c>
    </row>
    <row r="210" spans="1:11" ht="45">
      <c r="A210" s="481" t="s">
        <v>47</v>
      </c>
      <c r="B210" s="481" t="s">
        <v>3589</v>
      </c>
      <c r="C210" s="479">
        <v>0.38194444444444442</v>
      </c>
      <c r="D210" s="478" t="s">
        <v>3589</v>
      </c>
      <c r="E210" s="479">
        <v>0.43472222222222223</v>
      </c>
      <c r="F210" s="481" t="s">
        <v>3591</v>
      </c>
      <c r="G210" s="481" t="s">
        <v>1352</v>
      </c>
      <c r="H210" s="485" t="s">
        <v>3387</v>
      </c>
      <c r="I210" s="485" t="s">
        <v>2764</v>
      </c>
      <c r="J210" s="481" t="s">
        <v>3055</v>
      </c>
      <c r="K210" s="481" t="s">
        <v>3055</v>
      </c>
    </row>
    <row r="211" spans="1:11" ht="67.5">
      <c r="A211" s="481" t="s">
        <v>47</v>
      </c>
      <c r="B211" s="481" t="s">
        <v>3592</v>
      </c>
      <c r="C211" s="479">
        <v>0.41666666666666669</v>
      </c>
      <c r="D211" s="478" t="s">
        <v>3592</v>
      </c>
      <c r="E211" s="479">
        <v>0.4381944444444445</v>
      </c>
      <c r="F211" s="481" t="s">
        <v>3593</v>
      </c>
      <c r="G211" s="481" t="s">
        <v>124</v>
      </c>
      <c r="H211" s="485" t="s">
        <v>3463</v>
      </c>
      <c r="I211" s="485" t="s">
        <v>100</v>
      </c>
      <c r="J211" s="481" t="s">
        <v>3055</v>
      </c>
      <c r="K211" s="481" t="s">
        <v>3055</v>
      </c>
    </row>
    <row r="212" spans="1:11" ht="78.75">
      <c r="A212" s="481" t="s">
        <v>47</v>
      </c>
      <c r="B212" s="481" t="s">
        <v>3590</v>
      </c>
      <c r="C212" s="479">
        <v>0.41666666666666669</v>
      </c>
      <c r="D212" s="478" t="s">
        <v>45</v>
      </c>
      <c r="E212" s="479" t="s">
        <v>45</v>
      </c>
      <c r="F212" s="481" t="s">
        <v>3594</v>
      </c>
      <c r="G212" s="481" t="s">
        <v>124</v>
      </c>
      <c r="H212" s="485" t="s">
        <v>3402</v>
      </c>
      <c r="I212" s="485" t="s">
        <v>2118</v>
      </c>
      <c r="J212" s="481" t="s">
        <v>3055</v>
      </c>
      <c r="K212" s="481" t="s">
        <v>3055</v>
      </c>
    </row>
    <row r="213" spans="1:11" ht="67.5">
      <c r="A213" s="481" t="s">
        <v>47</v>
      </c>
      <c r="B213" s="481" t="s">
        <v>3595</v>
      </c>
      <c r="C213" s="479">
        <v>0.66666666666666663</v>
      </c>
      <c r="D213" s="478" t="s">
        <v>3596</v>
      </c>
      <c r="E213" s="479">
        <v>8.3333333333333329E-2</v>
      </c>
      <c r="F213" s="481" t="s">
        <v>3597</v>
      </c>
      <c r="G213" s="481" t="s">
        <v>124</v>
      </c>
      <c r="H213" s="485" t="s">
        <v>3451</v>
      </c>
      <c r="I213" s="485" t="s">
        <v>22</v>
      </c>
      <c r="J213" s="481" t="s">
        <v>45</v>
      </c>
      <c r="K213" s="481" t="s">
        <v>3560</v>
      </c>
    </row>
    <row r="214" spans="1:11" ht="33.75">
      <c r="A214" s="481" t="s">
        <v>47</v>
      </c>
      <c r="B214" s="481" t="s">
        <v>3595</v>
      </c>
      <c r="C214" s="479">
        <v>0.75</v>
      </c>
      <c r="D214" s="478" t="s">
        <v>45</v>
      </c>
      <c r="E214" s="479" t="s">
        <v>45</v>
      </c>
      <c r="F214" s="481" t="s">
        <v>2813</v>
      </c>
      <c r="G214" s="481" t="s">
        <v>124</v>
      </c>
      <c r="H214" s="485" t="s">
        <v>3451</v>
      </c>
      <c r="I214" s="485" t="s">
        <v>22</v>
      </c>
      <c r="J214" s="481" t="s">
        <v>3110</v>
      </c>
      <c r="K214" s="481" t="s">
        <v>3237</v>
      </c>
    </row>
    <row r="215" spans="1:11" ht="78.75">
      <c r="A215" s="481" t="s">
        <v>47</v>
      </c>
      <c r="B215" s="481" t="s">
        <v>3595</v>
      </c>
      <c r="C215" s="479">
        <v>0.3611111111111111</v>
      </c>
      <c r="D215" s="478" t="s">
        <v>3595</v>
      </c>
      <c r="E215" s="479">
        <v>0.41666666666666669</v>
      </c>
      <c r="F215" s="481" t="s">
        <v>3598</v>
      </c>
      <c r="G215" s="481" t="s">
        <v>1352</v>
      </c>
      <c r="H215" s="485" t="s">
        <v>3402</v>
      </c>
      <c r="I215" s="485" t="s">
        <v>2118</v>
      </c>
      <c r="J215" s="481" t="s">
        <v>3055</v>
      </c>
      <c r="K215" s="481" t="s">
        <v>3055</v>
      </c>
    </row>
    <row r="216" spans="1:11" ht="67.5">
      <c r="A216" s="481" t="s">
        <v>47</v>
      </c>
      <c r="B216" s="481" t="s">
        <v>3599</v>
      </c>
      <c r="C216" s="479">
        <v>0.3659722222222222</v>
      </c>
      <c r="D216" s="478" t="s">
        <v>3599</v>
      </c>
      <c r="E216" s="479">
        <v>0.3666666666666667</v>
      </c>
      <c r="F216" s="481" t="s">
        <v>3600</v>
      </c>
      <c r="G216" s="481" t="s">
        <v>124</v>
      </c>
      <c r="H216" s="485" t="s">
        <v>3463</v>
      </c>
      <c r="I216" s="485" t="s">
        <v>100</v>
      </c>
      <c r="J216" s="481" t="s">
        <v>3055</v>
      </c>
      <c r="K216" s="481" t="s">
        <v>3055</v>
      </c>
    </row>
    <row r="217" spans="1:11" ht="45">
      <c r="A217" s="481" t="s">
        <v>47</v>
      </c>
      <c r="B217" s="481" t="s">
        <v>3601</v>
      </c>
      <c r="C217" s="479">
        <v>0.39583333333333331</v>
      </c>
      <c r="D217" s="478" t="s">
        <v>3601</v>
      </c>
      <c r="E217" s="479">
        <v>0.70833333333333337</v>
      </c>
      <c r="F217" s="481" t="s">
        <v>3602</v>
      </c>
      <c r="G217" s="481" t="s">
        <v>124</v>
      </c>
      <c r="H217" s="485" t="s">
        <v>3451</v>
      </c>
      <c r="I217" s="485" t="s">
        <v>22</v>
      </c>
      <c r="J217" s="481" t="s">
        <v>45</v>
      </c>
      <c r="K217" s="481" t="s">
        <v>3603</v>
      </c>
    </row>
    <row r="218" spans="1:11" ht="67.5">
      <c r="A218" s="481" t="s">
        <v>47</v>
      </c>
      <c r="B218" s="481" t="s">
        <v>3604</v>
      </c>
      <c r="C218" s="479">
        <v>4.1666666666666664E-2</v>
      </c>
      <c r="D218" s="478" t="s">
        <v>3605</v>
      </c>
      <c r="E218" s="479">
        <v>0.43541666666666662</v>
      </c>
      <c r="F218" s="481" t="s">
        <v>3357</v>
      </c>
      <c r="G218" s="481" t="s">
        <v>124</v>
      </c>
      <c r="H218" s="485" t="s">
        <v>3463</v>
      </c>
      <c r="I218" s="485" t="s">
        <v>100</v>
      </c>
      <c r="J218" s="481" t="s">
        <v>3055</v>
      </c>
      <c r="K218" s="481" t="s">
        <v>3055</v>
      </c>
    </row>
    <row r="219" spans="1:11" ht="67.5">
      <c r="A219" s="481" t="s">
        <v>47</v>
      </c>
      <c r="B219" s="481" t="s">
        <v>3606</v>
      </c>
      <c r="C219" s="479">
        <v>0.8833333333333333</v>
      </c>
      <c r="D219" s="478" t="s">
        <v>3606</v>
      </c>
      <c r="E219" s="479">
        <v>0.88611111111111107</v>
      </c>
      <c r="F219" s="481" t="s">
        <v>3370</v>
      </c>
      <c r="G219" s="481" t="s">
        <v>61</v>
      </c>
      <c r="H219" s="485" t="s">
        <v>3411</v>
      </c>
      <c r="I219" s="485" t="s">
        <v>2483</v>
      </c>
      <c r="J219" s="481" t="s">
        <v>45</v>
      </c>
      <c r="K219" s="481" t="s">
        <v>45</v>
      </c>
    </row>
    <row r="220" spans="1:11" ht="45">
      <c r="A220" s="481" t="s">
        <v>47</v>
      </c>
      <c r="B220" s="481" t="s">
        <v>3606</v>
      </c>
      <c r="C220" s="479">
        <v>3.472222222222222E-3</v>
      </c>
      <c r="D220" s="478" t="s">
        <v>3606</v>
      </c>
      <c r="E220" s="479">
        <v>4.5138888888888888E-2</v>
      </c>
      <c r="F220" s="481" t="s">
        <v>3607</v>
      </c>
      <c r="G220" s="481" t="s">
        <v>3143</v>
      </c>
      <c r="H220" s="485" t="s">
        <v>3387</v>
      </c>
      <c r="I220" s="485" t="s">
        <v>2764</v>
      </c>
      <c r="J220" s="481" t="s">
        <v>3055</v>
      </c>
      <c r="K220" s="481" t="s">
        <v>3055</v>
      </c>
    </row>
    <row r="221" spans="1:11" ht="33.75">
      <c r="A221" s="481" t="s">
        <v>47</v>
      </c>
      <c r="B221" s="481" t="s">
        <v>3606</v>
      </c>
      <c r="C221" s="479">
        <v>0.53472222222222221</v>
      </c>
      <c r="D221" s="478" t="s">
        <v>3606</v>
      </c>
      <c r="E221" s="479">
        <v>0.54166666666666663</v>
      </c>
      <c r="F221" s="481" t="s">
        <v>3357</v>
      </c>
      <c r="G221" s="481" t="s">
        <v>124</v>
      </c>
      <c r="H221" s="485" t="s">
        <v>3356</v>
      </c>
      <c r="I221" s="485" t="s">
        <v>100</v>
      </c>
      <c r="J221" s="481" t="s">
        <v>3055</v>
      </c>
      <c r="K221" s="481" t="s">
        <v>3055</v>
      </c>
    </row>
    <row r="222" spans="1:11" ht="45">
      <c r="A222" s="481" t="s">
        <v>47</v>
      </c>
      <c r="B222" s="481" t="s">
        <v>3608</v>
      </c>
      <c r="C222" s="479">
        <v>0.48680555555555555</v>
      </c>
      <c r="D222" s="478" t="s">
        <v>3608</v>
      </c>
      <c r="E222" s="479">
        <v>0.55555555555555558</v>
      </c>
      <c r="F222" s="481" t="s">
        <v>2801</v>
      </c>
      <c r="G222" s="481" t="s">
        <v>124</v>
      </c>
      <c r="H222" s="485" t="s">
        <v>3387</v>
      </c>
      <c r="I222" s="485" t="s">
        <v>2764</v>
      </c>
      <c r="J222" s="481" t="s">
        <v>3055</v>
      </c>
      <c r="K222" s="481" t="s">
        <v>3055</v>
      </c>
    </row>
  </sheetData>
  <autoFilter ref="A2:K2" xr:uid="{00000000-0009-0000-0000-000010000000}"/>
  <mergeCells count="1">
    <mergeCell ref="A1:K1"/>
  </mergeCells>
  <printOptions gridLines="1"/>
  <pageMargins left="0.25" right="0.25" top="0.75" bottom="0.75" header="0.3" footer="0.3"/>
  <pageSetup scale="97" fitToHeight="0" orientation="landscape" r:id="rId1"/>
  <headerFooter>
    <oddFooter>&amp;C&amp;"Arial,Bold"Page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K280"/>
  <sheetViews>
    <sheetView zoomScaleNormal="100" workbookViewId="0">
      <pane ySplit="2" topLeftCell="A273" activePane="bottomLeft" state="frozen"/>
      <selection pane="bottomLeft" activeCell="B2" sqref="B2:K280"/>
    </sheetView>
  </sheetViews>
  <sheetFormatPr defaultRowHeight="14.25"/>
  <cols>
    <col min="1" max="1" width="9.140625" style="463"/>
    <col min="2" max="2" width="10.5703125" style="456" customWidth="1"/>
    <col min="3" max="3" width="10.5703125" style="457" customWidth="1"/>
    <col min="4" max="4" width="10.5703125" style="456" customWidth="1"/>
    <col min="5" max="5" width="10.5703125" style="457" customWidth="1"/>
    <col min="6" max="6" width="20.42578125" style="458" customWidth="1"/>
    <col min="7" max="7" width="6.5703125" style="459" customWidth="1"/>
    <col min="8" max="8" width="26.140625" style="460" customWidth="1"/>
    <col min="9" max="9" width="15.85546875" style="459" customWidth="1"/>
    <col min="10" max="10" width="7.5703125" style="461" customWidth="1"/>
    <col min="11" max="11" width="9.5703125" style="524" customWidth="1"/>
    <col min="12" max="16384" width="9.140625" style="419"/>
  </cols>
  <sheetData>
    <row r="1" spans="1:11" s="412" customFormat="1" ht="15">
      <c r="A1" s="857" t="s">
        <v>3609</v>
      </c>
      <c r="B1" s="857"/>
      <c r="C1" s="857"/>
      <c r="D1" s="857"/>
      <c r="E1" s="857"/>
      <c r="F1" s="857"/>
      <c r="G1" s="857"/>
      <c r="H1" s="857"/>
      <c r="I1" s="857"/>
      <c r="J1" s="857"/>
      <c r="K1" s="857"/>
    </row>
    <row r="2" spans="1:11" ht="33.75">
      <c r="A2" s="518" t="s">
        <v>2742</v>
      </c>
      <c r="B2" s="414" t="s">
        <v>2105</v>
      </c>
      <c r="C2" s="415" t="s">
        <v>2106</v>
      </c>
      <c r="D2" s="414" t="s">
        <v>2107</v>
      </c>
      <c r="E2" s="415" t="s">
        <v>2108</v>
      </c>
      <c r="F2" s="416" t="s">
        <v>67</v>
      </c>
      <c r="G2" s="416" t="s">
        <v>57</v>
      </c>
      <c r="H2" s="416" t="s">
        <v>2743</v>
      </c>
      <c r="I2" s="416" t="s">
        <v>2109</v>
      </c>
      <c r="J2" s="417" t="s">
        <v>2110</v>
      </c>
      <c r="K2" s="523" t="s">
        <v>7</v>
      </c>
    </row>
    <row r="3" spans="1:11" s="438" customFormat="1" ht="67.5">
      <c r="A3" s="495" t="s">
        <v>2962</v>
      </c>
      <c r="B3" s="481" t="s">
        <v>3610</v>
      </c>
      <c r="C3" s="479">
        <v>0.55486111111111114</v>
      </c>
      <c r="D3" s="481" t="s">
        <v>3610</v>
      </c>
      <c r="E3" s="479">
        <v>0.62986111111111109</v>
      </c>
      <c r="F3" s="481" t="s">
        <v>2853</v>
      </c>
      <c r="G3" s="481" t="s">
        <v>124</v>
      </c>
      <c r="H3" s="485" t="s">
        <v>3611</v>
      </c>
      <c r="I3" s="481" t="s">
        <v>2764</v>
      </c>
      <c r="J3" s="481" t="s">
        <v>3055</v>
      </c>
      <c r="K3" s="481" t="s">
        <v>45</v>
      </c>
    </row>
    <row r="4" spans="1:11" s="438" customFormat="1" ht="33.75">
      <c r="A4" s="481" t="s">
        <v>9</v>
      </c>
      <c r="B4" s="481" t="s">
        <v>3612</v>
      </c>
      <c r="C4" s="479">
        <v>0.125</v>
      </c>
      <c r="D4" s="481" t="s">
        <v>3613</v>
      </c>
      <c r="E4" s="479">
        <v>0.29166666666666669</v>
      </c>
      <c r="F4" s="481" t="s">
        <v>2853</v>
      </c>
      <c r="G4" s="481" t="s">
        <v>124</v>
      </c>
      <c r="H4" s="485" t="s">
        <v>3451</v>
      </c>
      <c r="I4" s="481" t="s">
        <v>22</v>
      </c>
      <c r="J4" s="481" t="s">
        <v>3614</v>
      </c>
      <c r="K4" s="481" t="s">
        <v>3615</v>
      </c>
    </row>
    <row r="5" spans="1:11" s="438" customFormat="1" ht="33.75">
      <c r="A5" s="495" t="s">
        <v>9</v>
      </c>
      <c r="B5" s="481" t="s">
        <v>3612</v>
      </c>
      <c r="C5" s="479">
        <v>0.74722222222222223</v>
      </c>
      <c r="D5" s="481" t="s">
        <v>3612</v>
      </c>
      <c r="E5" s="479">
        <v>0.91111111111111109</v>
      </c>
      <c r="F5" s="481" t="s">
        <v>3616</v>
      </c>
      <c r="G5" s="481" t="s">
        <v>124</v>
      </c>
      <c r="H5" s="485" t="s">
        <v>3451</v>
      </c>
      <c r="I5" s="481" t="s">
        <v>22</v>
      </c>
      <c r="J5" s="481" t="s">
        <v>3296</v>
      </c>
      <c r="K5" s="481" t="s">
        <v>3617</v>
      </c>
    </row>
    <row r="6" spans="1:11" s="438" customFormat="1" ht="33.75">
      <c r="A6" s="481" t="s">
        <v>9</v>
      </c>
      <c r="B6" s="481" t="s">
        <v>3612</v>
      </c>
      <c r="C6" s="479">
        <v>4.1666666666666664E-2</v>
      </c>
      <c r="D6" s="481" t="s">
        <v>3612</v>
      </c>
      <c r="E6" s="479">
        <v>0.5</v>
      </c>
      <c r="F6" s="481" t="s">
        <v>3618</v>
      </c>
      <c r="G6" s="481" t="s">
        <v>124</v>
      </c>
      <c r="H6" s="485" t="s">
        <v>3451</v>
      </c>
      <c r="I6" s="481" t="s">
        <v>22</v>
      </c>
      <c r="J6" s="481" t="s">
        <v>45</v>
      </c>
      <c r="K6" s="481" t="s">
        <v>3615</v>
      </c>
    </row>
    <row r="7" spans="1:11" s="438" customFormat="1" ht="45">
      <c r="A7" s="495" t="s">
        <v>9</v>
      </c>
      <c r="B7" s="481" t="s">
        <v>3619</v>
      </c>
      <c r="C7" s="479">
        <v>0.87291666666666667</v>
      </c>
      <c r="D7" s="481" t="s">
        <v>3619</v>
      </c>
      <c r="E7" s="479">
        <v>0.89722222222222225</v>
      </c>
      <c r="F7" s="481" t="s">
        <v>3307</v>
      </c>
      <c r="G7" s="481" t="s">
        <v>3143</v>
      </c>
      <c r="H7" s="485" t="s">
        <v>3387</v>
      </c>
      <c r="I7" s="481" t="s">
        <v>2764</v>
      </c>
      <c r="J7" s="481" t="s">
        <v>3055</v>
      </c>
      <c r="K7" s="481" t="s">
        <v>3055</v>
      </c>
    </row>
    <row r="8" spans="1:11" s="438" customFormat="1" ht="78.75">
      <c r="A8" s="481" t="s">
        <v>9</v>
      </c>
      <c r="B8" s="481" t="s">
        <v>3613</v>
      </c>
      <c r="C8" s="479">
        <v>0.49652777777777773</v>
      </c>
      <c r="D8" s="481" t="s">
        <v>3613</v>
      </c>
      <c r="E8" s="479">
        <v>0.49722222222222223</v>
      </c>
      <c r="F8" s="481" t="s">
        <v>3620</v>
      </c>
      <c r="G8" s="481" t="s">
        <v>124</v>
      </c>
      <c r="H8" s="485" t="s">
        <v>3402</v>
      </c>
      <c r="I8" s="481" t="s">
        <v>2118</v>
      </c>
      <c r="J8" s="481" t="s">
        <v>3055</v>
      </c>
      <c r="K8" s="481" t="s">
        <v>3055</v>
      </c>
    </row>
    <row r="9" spans="1:11" s="438" customFormat="1" ht="67.5">
      <c r="A9" s="495" t="s">
        <v>9</v>
      </c>
      <c r="B9" s="481" t="s">
        <v>3621</v>
      </c>
      <c r="C9" s="479">
        <v>0.5131944444444444</v>
      </c>
      <c r="D9" s="481" t="s">
        <v>3621</v>
      </c>
      <c r="E9" s="479">
        <v>0.53333333333333333</v>
      </c>
      <c r="F9" s="481" t="s">
        <v>3622</v>
      </c>
      <c r="G9" s="481" t="s">
        <v>124</v>
      </c>
      <c r="H9" s="485" t="s">
        <v>3411</v>
      </c>
      <c r="I9" s="481" t="s">
        <v>2764</v>
      </c>
      <c r="J9" s="481" t="s">
        <v>3623</v>
      </c>
      <c r="K9" s="481" t="s">
        <v>3082</v>
      </c>
    </row>
    <row r="10" spans="1:11" s="438" customFormat="1" ht="45">
      <c r="A10" s="481" t="s">
        <v>9</v>
      </c>
      <c r="B10" s="481" t="s">
        <v>3624</v>
      </c>
      <c r="C10" s="479">
        <v>0.48333333333333334</v>
      </c>
      <c r="D10" s="481" t="s">
        <v>3624</v>
      </c>
      <c r="E10" s="479">
        <v>0.52986111111111112</v>
      </c>
      <c r="F10" s="481" t="s">
        <v>2959</v>
      </c>
      <c r="G10" s="481" t="s">
        <v>3143</v>
      </c>
      <c r="H10" s="485" t="s">
        <v>3387</v>
      </c>
      <c r="I10" s="481" t="s">
        <v>2764</v>
      </c>
      <c r="J10" s="481" t="s">
        <v>3055</v>
      </c>
      <c r="K10" s="481" t="s">
        <v>3055</v>
      </c>
    </row>
    <row r="11" spans="1:11" s="438" customFormat="1" ht="33.75">
      <c r="A11" s="495" t="s">
        <v>9</v>
      </c>
      <c r="B11" s="481" t="s">
        <v>3625</v>
      </c>
      <c r="C11" s="479">
        <v>0.47916666666666669</v>
      </c>
      <c r="D11" s="481" t="s">
        <v>3626</v>
      </c>
      <c r="E11" s="479">
        <v>0.91666666666666663</v>
      </c>
      <c r="F11" s="481" t="s">
        <v>3627</v>
      </c>
      <c r="G11" s="481" t="s">
        <v>3347</v>
      </c>
      <c r="H11" s="485" t="s">
        <v>3451</v>
      </c>
      <c r="I11" s="481" t="s">
        <v>22</v>
      </c>
      <c r="J11" s="481" t="s">
        <v>45</v>
      </c>
      <c r="K11" s="481" t="s">
        <v>3628</v>
      </c>
    </row>
    <row r="12" spans="1:11" s="438" customFormat="1" ht="33.75">
      <c r="A12" s="481" t="s">
        <v>9</v>
      </c>
      <c r="B12" s="481" t="s">
        <v>3625</v>
      </c>
      <c r="C12" s="479">
        <v>0.47916666666666669</v>
      </c>
      <c r="D12" s="481" t="s">
        <v>45</v>
      </c>
      <c r="E12" s="479" t="s">
        <v>45</v>
      </c>
      <c r="F12" s="481" t="s">
        <v>3629</v>
      </c>
      <c r="G12" s="481" t="s">
        <v>63</v>
      </c>
      <c r="H12" s="485" t="s">
        <v>3451</v>
      </c>
      <c r="I12" s="481" t="s">
        <v>22</v>
      </c>
      <c r="J12" s="481" t="s">
        <v>45</v>
      </c>
      <c r="K12" s="481" t="s">
        <v>3630</v>
      </c>
    </row>
    <row r="13" spans="1:11" s="438" customFormat="1" ht="45">
      <c r="A13" s="495" t="s">
        <v>9</v>
      </c>
      <c r="B13" s="481" t="s">
        <v>3625</v>
      </c>
      <c r="C13" s="479">
        <v>0.80555555555555547</v>
      </c>
      <c r="D13" s="481" t="s">
        <v>3625</v>
      </c>
      <c r="E13" s="479">
        <v>0.90138888888888891</v>
      </c>
      <c r="F13" s="481" t="s">
        <v>3631</v>
      </c>
      <c r="G13" s="481" t="s">
        <v>61</v>
      </c>
      <c r="H13" s="485" t="s">
        <v>3387</v>
      </c>
      <c r="I13" s="481" t="s">
        <v>2764</v>
      </c>
      <c r="J13" s="481" t="s">
        <v>3055</v>
      </c>
      <c r="K13" s="481" t="s">
        <v>3055</v>
      </c>
    </row>
    <row r="14" spans="1:11" s="438" customFormat="1" ht="33.75">
      <c r="A14" s="481" t="s">
        <v>9</v>
      </c>
      <c r="B14" s="481" t="s">
        <v>3626</v>
      </c>
      <c r="C14" s="479">
        <v>0.22916666666666666</v>
      </c>
      <c r="D14" s="481" t="s">
        <v>3632</v>
      </c>
      <c r="E14" s="479">
        <v>0.70833333333333337</v>
      </c>
      <c r="F14" s="481" t="s">
        <v>2832</v>
      </c>
      <c r="G14" s="481" t="s">
        <v>63</v>
      </c>
      <c r="H14" s="485" t="s">
        <v>3451</v>
      </c>
      <c r="I14" s="481" t="s">
        <v>22</v>
      </c>
      <c r="J14" s="481" t="s">
        <v>3633</v>
      </c>
      <c r="K14" s="481" t="s">
        <v>45</v>
      </c>
    </row>
    <row r="15" spans="1:11" s="438" customFormat="1" ht="67.5">
      <c r="A15" s="495" t="s">
        <v>9</v>
      </c>
      <c r="B15" s="481" t="s">
        <v>3634</v>
      </c>
      <c r="C15" s="479">
        <v>0.46527777777777773</v>
      </c>
      <c r="D15" s="481" t="s">
        <v>45</v>
      </c>
      <c r="E15" s="479" t="s">
        <v>45</v>
      </c>
      <c r="F15" s="481" t="s">
        <v>3307</v>
      </c>
      <c r="G15" s="481" t="s">
        <v>3143</v>
      </c>
      <c r="H15" s="485" t="s">
        <v>3463</v>
      </c>
      <c r="I15" s="481" t="s">
        <v>2293</v>
      </c>
      <c r="J15" s="481" t="s">
        <v>45</v>
      </c>
      <c r="K15" s="481" t="s">
        <v>45</v>
      </c>
    </row>
    <row r="16" spans="1:11" s="438" customFormat="1" ht="67.5">
      <c r="A16" s="481" t="s">
        <v>9</v>
      </c>
      <c r="B16" s="481" t="s">
        <v>3632</v>
      </c>
      <c r="C16" s="479">
        <v>0.33333333333333331</v>
      </c>
      <c r="D16" s="481" t="s">
        <v>3632</v>
      </c>
      <c r="E16" s="479">
        <v>0.3347222222222222</v>
      </c>
      <c r="F16" s="481" t="s">
        <v>3245</v>
      </c>
      <c r="G16" s="481" t="s">
        <v>3143</v>
      </c>
      <c r="H16" s="485" t="s">
        <v>3463</v>
      </c>
      <c r="I16" s="481" t="s">
        <v>100</v>
      </c>
      <c r="J16" s="481" t="s">
        <v>3055</v>
      </c>
      <c r="K16" s="481" t="s">
        <v>3055</v>
      </c>
    </row>
    <row r="17" spans="1:11" s="438" customFormat="1" ht="33.75">
      <c r="A17" s="495" t="s">
        <v>9</v>
      </c>
      <c r="B17" s="481" t="s">
        <v>3635</v>
      </c>
      <c r="C17" s="479">
        <v>0.72638888888888886</v>
      </c>
      <c r="D17" s="481" t="s">
        <v>3636</v>
      </c>
      <c r="E17" s="479">
        <v>0.5131944444444444</v>
      </c>
      <c r="F17" s="481" t="s">
        <v>2945</v>
      </c>
      <c r="G17" s="481" t="s">
        <v>124</v>
      </c>
      <c r="H17" s="485" t="s">
        <v>3451</v>
      </c>
      <c r="I17" s="481" t="s">
        <v>22</v>
      </c>
      <c r="J17" s="481" t="s">
        <v>3637</v>
      </c>
      <c r="K17" s="481" t="s">
        <v>3638</v>
      </c>
    </row>
    <row r="18" spans="1:11" s="438" customFormat="1" ht="45">
      <c r="A18" s="481" t="s">
        <v>9</v>
      </c>
      <c r="B18" s="481" t="s">
        <v>3635</v>
      </c>
      <c r="C18" s="479">
        <v>0.22152777777777777</v>
      </c>
      <c r="D18" s="481" t="s">
        <v>3635</v>
      </c>
      <c r="E18" s="479">
        <v>0.30138888888888887</v>
      </c>
      <c r="F18" s="481" t="s">
        <v>3639</v>
      </c>
      <c r="G18" s="481" t="s">
        <v>1352</v>
      </c>
      <c r="H18" s="485" t="s">
        <v>3387</v>
      </c>
      <c r="I18" s="481" t="s">
        <v>2764</v>
      </c>
      <c r="J18" s="481" t="s">
        <v>3055</v>
      </c>
      <c r="K18" s="481" t="s">
        <v>3055</v>
      </c>
    </row>
    <row r="19" spans="1:11" s="438" customFormat="1" ht="67.5">
      <c r="A19" s="495" t="s">
        <v>9</v>
      </c>
      <c r="B19" s="481" t="s">
        <v>3640</v>
      </c>
      <c r="C19" s="479">
        <v>0.91249999999999998</v>
      </c>
      <c r="D19" s="481" t="s">
        <v>3641</v>
      </c>
      <c r="E19" s="479">
        <v>1.3194444444444444E-2</v>
      </c>
      <c r="F19" s="481" t="s">
        <v>3642</v>
      </c>
      <c r="G19" s="481" t="s">
        <v>674</v>
      </c>
      <c r="H19" s="485" t="s">
        <v>3411</v>
      </c>
      <c r="I19" s="481" t="s">
        <v>2483</v>
      </c>
      <c r="J19" s="481" t="s">
        <v>3643</v>
      </c>
      <c r="K19" s="481" t="s">
        <v>45</v>
      </c>
    </row>
    <row r="20" spans="1:11" s="438" customFormat="1" ht="67.5">
      <c r="A20" s="481" t="s">
        <v>9</v>
      </c>
      <c r="B20" s="481" t="s">
        <v>3644</v>
      </c>
      <c r="C20" s="479">
        <v>0.30972222222222223</v>
      </c>
      <c r="D20" s="481" t="s">
        <v>3644</v>
      </c>
      <c r="E20" s="479">
        <v>0.71180555555555547</v>
      </c>
      <c r="F20" s="481" t="s">
        <v>3645</v>
      </c>
      <c r="G20" s="481" t="s">
        <v>124</v>
      </c>
      <c r="H20" s="485" t="s">
        <v>3411</v>
      </c>
      <c r="I20" s="481" t="s">
        <v>2764</v>
      </c>
      <c r="J20" s="481" t="s">
        <v>3055</v>
      </c>
      <c r="K20" s="481" t="s">
        <v>3055</v>
      </c>
    </row>
    <row r="21" spans="1:11" s="438" customFormat="1" ht="45">
      <c r="A21" s="495" t="s">
        <v>9</v>
      </c>
      <c r="B21" s="481" t="s">
        <v>3646</v>
      </c>
      <c r="C21" s="479">
        <v>0.19375000000000001</v>
      </c>
      <c r="D21" s="481" t="s">
        <v>3646</v>
      </c>
      <c r="E21" s="479">
        <v>0.21944444444444444</v>
      </c>
      <c r="F21" s="481" t="s">
        <v>2895</v>
      </c>
      <c r="G21" s="481" t="s">
        <v>3143</v>
      </c>
      <c r="H21" s="485" t="s">
        <v>3387</v>
      </c>
      <c r="I21" s="481" t="s">
        <v>2764</v>
      </c>
      <c r="J21" s="481" t="s">
        <v>3055</v>
      </c>
      <c r="K21" s="481" t="s">
        <v>3055</v>
      </c>
    </row>
    <row r="22" spans="1:11" s="438" customFormat="1" ht="33.75">
      <c r="A22" s="481" t="s">
        <v>9</v>
      </c>
      <c r="B22" s="481" t="s">
        <v>3647</v>
      </c>
      <c r="C22" s="479">
        <v>0.56597222222222221</v>
      </c>
      <c r="D22" s="481" t="s">
        <v>3647</v>
      </c>
      <c r="E22" s="479">
        <v>0.56944444444444442</v>
      </c>
      <c r="F22" s="481" t="s">
        <v>3648</v>
      </c>
      <c r="G22" s="481" t="s">
        <v>124</v>
      </c>
      <c r="H22" s="485" t="s">
        <v>3356</v>
      </c>
      <c r="I22" s="481" t="s">
        <v>2293</v>
      </c>
      <c r="J22" s="481" t="s">
        <v>3055</v>
      </c>
      <c r="K22" s="481" t="s">
        <v>3055</v>
      </c>
    </row>
    <row r="23" spans="1:11" s="438" customFormat="1" ht="67.5">
      <c r="A23" s="495" t="s">
        <v>9</v>
      </c>
      <c r="B23" s="481" t="s">
        <v>3649</v>
      </c>
      <c r="C23" s="479">
        <v>0.77361111111111114</v>
      </c>
      <c r="D23" s="481" t="s">
        <v>3649</v>
      </c>
      <c r="E23" s="479">
        <v>0.77500000000000002</v>
      </c>
      <c r="F23" s="481" t="s">
        <v>3650</v>
      </c>
      <c r="G23" s="481" t="s">
        <v>63</v>
      </c>
      <c r="H23" s="485" t="s">
        <v>3411</v>
      </c>
      <c r="I23" s="481" t="s">
        <v>2483</v>
      </c>
      <c r="J23" s="481" t="s">
        <v>45</v>
      </c>
      <c r="K23" s="481" t="s">
        <v>45</v>
      </c>
    </row>
    <row r="24" spans="1:11" s="438" customFormat="1" ht="67.5">
      <c r="A24" s="481" t="s">
        <v>9</v>
      </c>
      <c r="B24" s="481" t="s">
        <v>3651</v>
      </c>
      <c r="C24" s="479">
        <v>0.6875</v>
      </c>
      <c r="D24" s="481" t="s">
        <v>45</v>
      </c>
      <c r="E24" s="479" t="s">
        <v>45</v>
      </c>
      <c r="F24" s="481" t="s">
        <v>2853</v>
      </c>
      <c r="G24" s="481" t="s">
        <v>124</v>
      </c>
      <c r="H24" s="485" t="s">
        <v>3463</v>
      </c>
      <c r="I24" s="481" t="s">
        <v>100</v>
      </c>
      <c r="J24" s="481" t="s">
        <v>3055</v>
      </c>
      <c r="K24" s="481" t="s">
        <v>3055</v>
      </c>
    </row>
    <row r="25" spans="1:11" s="438" customFormat="1" ht="33.75">
      <c r="A25" s="495" t="s">
        <v>9</v>
      </c>
      <c r="B25" s="481" t="s">
        <v>3651</v>
      </c>
      <c r="C25" s="479">
        <v>0.18263888888888891</v>
      </c>
      <c r="D25" s="481" t="s">
        <v>3652</v>
      </c>
      <c r="E25" s="479">
        <v>0.375</v>
      </c>
      <c r="F25" s="481" t="s">
        <v>3653</v>
      </c>
      <c r="G25" s="481" t="s">
        <v>63</v>
      </c>
      <c r="H25" s="485" t="s">
        <v>3654</v>
      </c>
      <c r="I25" s="481" t="s">
        <v>1138</v>
      </c>
      <c r="J25" s="481" t="s">
        <v>45</v>
      </c>
      <c r="K25" s="481" t="s">
        <v>45</v>
      </c>
    </row>
    <row r="26" spans="1:11" s="438" customFormat="1" ht="45">
      <c r="A26" s="481" t="s">
        <v>9</v>
      </c>
      <c r="B26" s="481" t="s">
        <v>3651</v>
      </c>
      <c r="C26" s="479">
        <v>0.39583333333333331</v>
      </c>
      <c r="D26" s="481" t="s">
        <v>3655</v>
      </c>
      <c r="E26" s="479">
        <v>0.75</v>
      </c>
      <c r="F26" s="481" t="s">
        <v>3307</v>
      </c>
      <c r="G26" s="481" t="s">
        <v>3143</v>
      </c>
      <c r="H26" s="485" t="s">
        <v>3478</v>
      </c>
      <c r="I26" s="481" t="s">
        <v>22</v>
      </c>
      <c r="J26" s="481" t="s">
        <v>45</v>
      </c>
      <c r="K26" s="481" t="s">
        <v>45</v>
      </c>
    </row>
    <row r="27" spans="1:11" s="438" customFormat="1" ht="33.75">
      <c r="A27" s="495" t="s">
        <v>9</v>
      </c>
      <c r="B27" s="481" t="s">
        <v>3651</v>
      </c>
      <c r="C27" s="479">
        <v>0.29166666666666669</v>
      </c>
      <c r="D27" s="481" t="s">
        <v>3651</v>
      </c>
      <c r="E27" s="479">
        <v>0.33888888888888885</v>
      </c>
      <c r="F27" s="481" t="s">
        <v>3656</v>
      </c>
      <c r="G27" s="481" t="s">
        <v>63</v>
      </c>
      <c r="H27" s="485" t="s">
        <v>3654</v>
      </c>
      <c r="I27" s="481" t="s">
        <v>22</v>
      </c>
      <c r="J27" s="481" t="s">
        <v>45</v>
      </c>
      <c r="K27" s="481" t="s">
        <v>45</v>
      </c>
    </row>
    <row r="28" spans="1:11" s="438" customFormat="1" ht="33.75">
      <c r="A28" s="481" t="s">
        <v>9</v>
      </c>
      <c r="B28" s="481" t="s">
        <v>3655</v>
      </c>
      <c r="C28" s="479">
        <v>0.8979166666666667</v>
      </c>
      <c r="D28" s="481" t="s">
        <v>3655</v>
      </c>
      <c r="E28" s="479">
        <v>0.89861111111111114</v>
      </c>
      <c r="F28" s="481" t="s">
        <v>2945</v>
      </c>
      <c r="G28" s="481" t="s">
        <v>124</v>
      </c>
      <c r="H28" s="485" t="s">
        <v>3356</v>
      </c>
      <c r="I28" s="481" t="s">
        <v>100</v>
      </c>
      <c r="J28" s="481" t="s">
        <v>3055</v>
      </c>
      <c r="K28" s="481" t="s">
        <v>3055</v>
      </c>
    </row>
    <row r="29" spans="1:11" s="66" customFormat="1" ht="33.75">
      <c r="A29" s="481" t="s">
        <v>17</v>
      </c>
      <c r="B29" s="481" t="s">
        <v>3657</v>
      </c>
      <c r="C29" s="479">
        <v>0.99791666666666667</v>
      </c>
      <c r="D29" s="481" t="s">
        <v>3652</v>
      </c>
      <c r="E29" s="479">
        <v>0.36736111111111108</v>
      </c>
      <c r="F29" s="481" t="s">
        <v>2346</v>
      </c>
      <c r="G29" s="481" t="s">
        <v>124</v>
      </c>
      <c r="H29" s="485" t="s">
        <v>3356</v>
      </c>
      <c r="I29" s="481" t="s">
        <v>100</v>
      </c>
      <c r="J29" s="481" t="s">
        <v>45</v>
      </c>
      <c r="K29" s="481" t="s">
        <v>3081</v>
      </c>
    </row>
    <row r="30" spans="1:11" s="66" customFormat="1" ht="45">
      <c r="A30" s="481" t="s">
        <v>17</v>
      </c>
      <c r="B30" s="481" t="s">
        <v>3657</v>
      </c>
      <c r="C30" s="479">
        <v>0.23263888888888887</v>
      </c>
      <c r="D30" s="481" t="s">
        <v>3657</v>
      </c>
      <c r="E30" s="479">
        <v>0.25694444444444448</v>
      </c>
      <c r="F30" s="481" t="s">
        <v>2113</v>
      </c>
      <c r="G30" s="481" t="s">
        <v>61</v>
      </c>
      <c r="H30" s="485" t="s">
        <v>3387</v>
      </c>
      <c r="I30" s="481" t="s">
        <v>2764</v>
      </c>
      <c r="J30" s="481" t="s">
        <v>3055</v>
      </c>
      <c r="K30" s="481" t="s">
        <v>3055</v>
      </c>
    </row>
    <row r="31" spans="1:11" s="66" customFormat="1" ht="67.5">
      <c r="A31" s="481" t="s">
        <v>17</v>
      </c>
      <c r="B31" s="481" t="s">
        <v>3652</v>
      </c>
      <c r="C31" s="479">
        <v>0.43611111111111112</v>
      </c>
      <c r="D31" s="481" t="s">
        <v>3652</v>
      </c>
      <c r="E31" s="479">
        <v>0.4368055555555555</v>
      </c>
      <c r="F31" s="481" t="s">
        <v>18</v>
      </c>
      <c r="G31" s="481" t="s">
        <v>124</v>
      </c>
      <c r="H31" s="485" t="s">
        <v>3463</v>
      </c>
      <c r="I31" s="481" t="s">
        <v>100</v>
      </c>
      <c r="J31" s="481" t="s">
        <v>3055</v>
      </c>
      <c r="K31" s="481" t="s">
        <v>3055</v>
      </c>
    </row>
    <row r="32" spans="1:11" s="66" customFormat="1" ht="67.5">
      <c r="A32" s="481" t="s">
        <v>17</v>
      </c>
      <c r="B32" s="481" t="s">
        <v>3658</v>
      </c>
      <c r="C32" s="479">
        <v>0.76180555555555562</v>
      </c>
      <c r="D32" s="481" t="s">
        <v>3658</v>
      </c>
      <c r="E32" s="479">
        <v>0.85138888888888886</v>
      </c>
      <c r="F32" s="481" t="s">
        <v>18</v>
      </c>
      <c r="G32" s="481" t="s">
        <v>124</v>
      </c>
      <c r="H32" s="485" t="s">
        <v>3431</v>
      </c>
      <c r="I32" s="481" t="s">
        <v>22</v>
      </c>
      <c r="J32" s="481" t="s">
        <v>3659</v>
      </c>
      <c r="K32" s="481" t="s">
        <v>3660</v>
      </c>
    </row>
    <row r="33" spans="1:11" s="66" customFormat="1" ht="67.5">
      <c r="A33" s="481" t="s">
        <v>17</v>
      </c>
      <c r="B33" s="481" t="s">
        <v>3661</v>
      </c>
      <c r="C33" s="479">
        <v>0.31875000000000003</v>
      </c>
      <c r="D33" s="481" t="s">
        <v>3661</v>
      </c>
      <c r="E33" s="479">
        <v>0.31944444444444448</v>
      </c>
      <c r="F33" s="481" t="s">
        <v>48</v>
      </c>
      <c r="G33" s="481" t="s">
        <v>63</v>
      </c>
      <c r="H33" s="485" t="s">
        <v>3411</v>
      </c>
      <c r="I33" s="481" t="s">
        <v>2990</v>
      </c>
      <c r="J33" s="481" t="s">
        <v>3175</v>
      </c>
      <c r="K33" s="481" t="s">
        <v>3662</v>
      </c>
    </row>
    <row r="34" spans="1:11" s="66" customFormat="1" ht="33.75">
      <c r="A34" s="481" t="s">
        <v>17</v>
      </c>
      <c r="B34" s="481" t="s">
        <v>3661</v>
      </c>
      <c r="C34" s="479">
        <v>0.37152777777777773</v>
      </c>
      <c r="D34" s="481" t="s">
        <v>3663</v>
      </c>
      <c r="E34" s="479">
        <v>0.6875</v>
      </c>
      <c r="F34" s="481" t="s">
        <v>1833</v>
      </c>
      <c r="G34" s="481" t="s">
        <v>3143</v>
      </c>
      <c r="H34" s="485" t="s">
        <v>3451</v>
      </c>
      <c r="I34" s="481" t="s">
        <v>22</v>
      </c>
      <c r="J34" s="481" t="s">
        <v>45</v>
      </c>
      <c r="K34" s="481" t="s">
        <v>3664</v>
      </c>
    </row>
    <row r="35" spans="1:11" s="66" customFormat="1" ht="78.75">
      <c r="A35" s="481" t="s">
        <v>17</v>
      </c>
      <c r="B35" s="481" t="s">
        <v>3665</v>
      </c>
      <c r="C35" s="479">
        <v>0.41666666666666669</v>
      </c>
      <c r="D35" s="481" t="s">
        <v>3665</v>
      </c>
      <c r="E35" s="479">
        <v>0.4375</v>
      </c>
      <c r="F35" s="481" t="s">
        <v>171</v>
      </c>
      <c r="G35" s="481" t="s">
        <v>3143</v>
      </c>
      <c r="H35" s="485" t="s">
        <v>3402</v>
      </c>
      <c r="I35" s="481" t="s">
        <v>100</v>
      </c>
      <c r="J35" s="481" t="s">
        <v>3055</v>
      </c>
      <c r="K35" s="481" t="s">
        <v>3055</v>
      </c>
    </row>
    <row r="36" spans="1:11" s="66" customFormat="1" ht="33.75">
      <c r="A36" s="481" t="s">
        <v>17</v>
      </c>
      <c r="B36" s="481" t="s">
        <v>3665</v>
      </c>
      <c r="C36" s="479">
        <v>0.77083333333333337</v>
      </c>
      <c r="D36" s="481" t="s">
        <v>45</v>
      </c>
      <c r="E36" s="479" t="s">
        <v>45</v>
      </c>
      <c r="F36" s="481" t="s">
        <v>2575</v>
      </c>
      <c r="G36" s="481" t="s">
        <v>124</v>
      </c>
      <c r="H36" s="485" t="s">
        <v>3451</v>
      </c>
      <c r="I36" s="481" t="s">
        <v>22</v>
      </c>
      <c r="J36" s="481" t="s">
        <v>45</v>
      </c>
      <c r="K36" s="481" t="s">
        <v>3666</v>
      </c>
    </row>
    <row r="37" spans="1:11" s="66" customFormat="1" ht="33.75">
      <c r="A37" s="481" t="s">
        <v>17</v>
      </c>
      <c r="B37" s="481" t="s">
        <v>3667</v>
      </c>
      <c r="C37" s="479">
        <v>0.11666666666666665</v>
      </c>
      <c r="D37" s="481" t="s">
        <v>3668</v>
      </c>
      <c r="E37" s="479">
        <v>1.9444444444444445E-2</v>
      </c>
      <c r="F37" s="481" t="s">
        <v>18</v>
      </c>
      <c r="G37" s="481" t="s">
        <v>124</v>
      </c>
      <c r="H37" s="485" t="s">
        <v>3451</v>
      </c>
      <c r="I37" s="481" t="s">
        <v>22</v>
      </c>
      <c r="J37" s="481" t="s">
        <v>3669</v>
      </c>
      <c r="K37" s="481" t="s">
        <v>3670</v>
      </c>
    </row>
    <row r="38" spans="1:11" s="66" customFormat="1" ht="78.75">
      <c r="A38" s="481" t="s">
        <v>17</v>
      </c>
      <c r="B38" s="481" t="s">
        <v>3671</v>
      </c>
      <c r="C38" s="479">
        <v>0.36805555555555558</v>
      </c>
      <c r="D38" s="481" t="s">
        <v>3671</v>
      </c>
      <c r="E38" s="479">
        <v>0.50694444444444442</v>
      </c>
      <c r="F38" s="481" t="s">
        <v>2288</v>
      </c>
      <c r="G38" s="481" t="s">
        <v>3143</v>
      </c>
      <c r="H38" s="485" t="s">
        <v>3402</v>
      </c>
      <c r="I38" s="481" t="s">
        <v>100</v>
      </c>
      <c r="J38" s="481" t="s">
        <v>3055</v>
      </c>
      <c r="K38" s="481" t="s">
        <v>3055</v>
      </c>
    </row>
    <row r="39" spans="1:11" s="66" customFormat="1" ht="67.5">
      <c r="A39" s="481" t="s">
        <v>17</v>
      </c>
      <c r="B39" s="481" t="s">
        <v>3671</v>
      </c>
      <c r="C39" s="479">
        <v>0.51041666666666663</v>
      </c>
      <c r="D39" s="481" t="s">
        <v>3671</v>
      </c>
      <c r="E39" s="479">
        <v>0.51111111111111118</v>
      </c>
      <c r="F39" s="481" t="s">
        <v>1320</v>
      </c>
      <c r="G39" s="481" t="s">
        <v>124</v>
      </c>
      <c r="H39" s="485" t="s">
        <v>3463</v>
      </c>
      <c r="I39" s="481" t="s">
        <v>100</v>
      </c>
      <c r="J39" s="481" t="s">
        <v>3055</v>
      </c>
      <c r="K39" s="481" t="s">
        <v>3055</v>
      </c>
    </row>
    <row r="40" spans="1:11" s="66" customFormat="1" ht="33.75">
      <c r="A40" s="481" t="s">
        <v>17</v>
      </c>
      <c r="B40" s="481" t="s">
        <v>3672</v>
      </c>
      <c r="C40" s="479">
        <v>0.40625</v>
      </c>
      <c r="D40" s="481" t="s">
        <v>45</v>
      </c>
      <c r="E40" s="479" t="s">
        <v>45</v>
      </c>
      <c r="F40" s="481" t="s">
        <v>166</v>
      </c>
      <c r="G40" s="481" t="s">
        <v>1352</v>
      </c>
      <c r="H40" s="485" t="s">
        <v>3356</v>
      </c>
      <c r="I40" s="481" t="s">
        <v>100</v>
      </c>
      <c r="J40" s="481" t="s">
        <v>3055</v>
      </c>
      <c r="K40" s="481" t="s">
        <v>3055</v>
      </c>
    </row>
    <row r="41" spans="1:11" s="66" customFormat="1" ht="45">
      <c r="A41" s="481" t="s">
        <v>17</v>
      </c>
      <c r="B41" s="481" t="s">
        <v>3673</v>
      </c>
      <c r="C41" s="479">
        <v>0.53472222222222221</v>
      </c>
      <c r="D41" s="481" t="s">
        <v>3673</v>
      </c>
      <c r="E41" s="479">
        <v>0.56388888888888888</v>
      </c>
      <c r="F41" s="481" t="s">
        <v>3674</v>
      </c>
      <c r="G41" s="481" t="s">
        <v>674</v>
      </c>
      <c r="H41" s="485" t="s">
        <v>3387</v>
      </c>
      <c r="I41" s="481" t="s">
        <v>2764</v>
      </c>
      <c r="J41" s="481" t="s">
        <v>3675</v>
      </c>
      <c r="K41" s="481" t="s">
        <v>3055</v>
      </c>
    </row>
    <row r="42" spans="1:11" s="66" customFormat="1" ht="67.5">
      <c r="A42" s="481" t="s">
        <v>17</v>
      </c>
      <c r="B42" s="481" t="s">
        <v>3676</v>
      </c>
      <c r="C42" s="479">
        <v>0.58680555555555558</v>
      </c>
      <c r="D42" s="481" t="s">
        <v>45</v>
      </c>
      <c r="E42" s="479" t="s">
        <v>45</v>
      </c>
      <c r="F42" s="481" t="s">
        <v>2004</v>
      </c>
      <c r="G42" s="481" t="s">
        <v>63</v>
      </c>
      <c r="H42" s="485" t="s">
        <v>3411</v>
      </c>
      <c r="I42" s="481" t="s">
        <v>2990</v>
      </c>
      <c r="J42" s="481" t="s">
        <v>45</v>
      </c>
      <c r="K42" s="481" t="s">
        <v>45</v>
      </c>
    </row>
    <row r="43" spans="1:11" s="66" customFormat="1" ht="33.75">
      <c r="A43" s="481" t="s">
        <v>17</v>
      </c>
      <c r="B43" s="481" t="s">
        <v>3677</v>
      </c>
      <c r="C43" s="479">
        <v>0.75</v>
      </c>
      <c r="D43" s="481" t="s">
        <v>3678</v>
      </c>
      <c r="E43" s="479">
        <v>0.91666666666666663</v>
      </c>
      <c r="F43" s="481" t="s">
        <v>171</v>
      </c>
      <c r="G43" s="481" t="s">
        <v>3143</v>
      </c>
      <c r="H43" s="485" t="s">
        <v>3451</v>
      </c>
      <c r="I43" s="481" t="s">
        <v>22</v>
      </c>
      <c r="J43" s="481" t="s">
        <v>45</v>
      </c>
      <c r="K43" s="481" t="s">
        <v>3679</v>
      </c>
    </row>
    <row r="44" spans="1:11" s="66" customFormat="1" ht="33.75">
      <c r="A44" s="481" t="s">
        <v>17</v>
      </c>
      <c r="B44" s="481" t="s">
        <v>3677</v>
      </c>
      <c r="C44" s="479">
        <v>0.47291666666666665</v>
      </c>
      <c r="D44" s="481" t="s">
        <v>3680</v>
      </c>
      <c r="E44" s="479">
        <v>0.7284722222222223</v>
      </c>
      <c r="F44" s="481" t="s">
        <v>3681</v>
      </c>
      <c r="G44" s="481" t="s">
        <v>3143</v>
      </c>
      <c r="H44" s="485" t="s">
        <v>3451</v>
      </c>
      <c r="I44" s="481" t="s">
        <v>22</v>
      </c>
      <c r="J44" s="481" t="s">
        <v>45</v>
      </c>
      <c r="K44" s="481" t="s">
        <v>3682</v>
      </c>
    </row>
    <row r="45" spans="1:11" s="66" customFormat="1" ht="33.75">
      <c r="A45" s="481" t="s">
        <v>17</v>
      </c>
      <c r="B45" s="481" t="s">
        <v>3677</v>
      </c>
      <c r="C45" s="479">
        <v>0.78263888888888899</v>
      </c>
      <c r="D45" s="481" t="s">
        <v>3678</v>
      </c>
      <c r="E45" s="479">
        <v>0.57986111111111105</v>
      </c>
      <c r="F45" s="481" t="s">
        <v>171</v>
      </c>
      <c r="G45" s="481" t="s">
        <v>3143</v>
      </c>
      <c r="H45" s="485" t="s">
        <v>3451</v>
      </c>
      <c r="I45" s="481" t="s">
        <v>22</v>
      </c>
      <c r="J45" s="481" t="s">
        <v>45</v>
      </c>
      <c r="K45" s="481" t="s">
        <v>3683</v>
      </c>
    </row>
    <row r="46" spans="1:11" s="66" customFormat="1" ht="33.75">
      <c r="A46" s="481" t="s">
        <v>17</v>
      </c>
      <c r="B46" s="481" t="s">
        <v>3677</v>
      </c>
      <c r="C46" s="479">
        <v>0.52152777777777781</v>
      </c>
      <c r="D46" s="481" t="s">
        <v>3677</v>
      </c>
      <c r="E46" s="479">
        <v>0.62291666666666667</v>
      </c>
      <c r="F46" s="481" t="s">
        <v>160</v>
      </c>
      <c r="G46" s="481" t="s">
        <v>3143</v>
      </c>
      <c r="H46" s="485" t="s">
        <v>3451</v>
      </c>
      <c r="I46" s="481" t="s">
        <v>22</v>
      </c>
      <c r="J46" s="481" t="s">
        <v>45</v>
      </c>
      <c r="K46" s="481" t="s">
        <v>3684</v>
      </c>
    </row>
    <row r="47" spans="1:11" s="66" customFormat="1" ht="33.75">
      <c r="A47" s="481" t="s">
        <v>17</v>
      </c>
      <c r="B47" s="481" t="s">
        <v>3677</v>
      </c>
      <c r="C47" s="479">
        <v>0.60625000000000007</v>
      </c>
      <c r="D47" s="481" t="s">
        <v>3677</v>
      </c>
      <c r="E47" s="479">
        <v>0.75208333333333333</v>
      </c>
      <c r="F47" s="481" t="s">
        <v>171</v>
      </c>
      <c r="G47" s="481" t="s">
        <v>3143</v>
      </c>
      <c r="H47" s="485" t="s">
        <v>3451</v>
      </c>
      <c r="I47" s="481" t="s">
        <v>22</v>
      </c>
      <c r="J47" s="481" t="s">
        <v>45</v>
      </c>
      <c r="K47" s="481" t="s">
        <v>3685</v>
      </c>
    </row>
    <row r="48" spans="1:11" s="66" customFormat="1" ht="33.75">
      <c r="A48" s="481" t="s">
        <v>17</v>
      </c>
      <c r="B48" s="481" t="s">
        <v>3677</v>
      </c>
      <c r="C48" s="479">
        <v>0.83472222222222225</v>
      </c>
      <c r="D48" s="481" t="s">
        <v>3678</v>
      </c>
      <c r="E48" s="479">
        <v>0.60416666666666663</v>
      </c>
      <c r="F48" s="481" t="s">
        <v>1833</v>
      </c>
      <c r="G48" s="481" t="s">
        <v>3143</v>
      </c>
      <c r="H48" s="485" t="s">
        <v>3451</v>
      </c>
      <c r="I48" s="481" t="s">
        <v>22</v>
      </c>
      <c r="J48" s="481" t="s">
        <v>45</v>
      </c>
      <c r="K48" s="481" t="s">
        <v>3073</v>
      </c>
    </row>
    <row r="49" spans="1:11" s="66" customFormat="1" ht="67.5">
      <c r="A49" s="481" t="s">
        <v>17</v>
      </c>
      <c r="B49" s="481" t="s">
        <v>3678</v>
      </c>
      <c r="C49" s="479">
        <v>0.32291666666666669</v>
      </c>
      <c r="D49" s="481" t="s">
        <v>3678</v>
      </c>
      <c r="E49" s="479">
        <v>0.77777777777777779</v>
      </c>
      <c r="F49" s="481" t="s">
        <v>2113</v>
      </c>
      <c r="G49" s="481" t="s">
        <v>61</v>
      </c>
      <c r="H49" s="485" t="s">
        <v>3411</v>
      </c>
      <c r="I49" s="481" t="s">
        <v>2483</v>
      </c>
      <c r="J49" s="481" t="s">
        <v>3055</v>
      </c>
      <c r="K49" s="481" t="s">
        <v>3055</v>
      </c>
    </row>
    <row r="50" spans="1:11" s="66" customFormat="1" ht="45">
      <c r="A50" s="481" t="s">
        <v>17</v>
      </c>
      <c r="B50" s="481" t="s">
        <v>3678</v>
      </c>
      <c r="C50" s="479">
        <v>0.56597222222222221</v>
      </c>
      <c r="D50" s="481" t="s">
        <v>3680</v>
      </c>
      <c r="E50" s="479">
        <v>0.11805555555555557</v>
      </c>
      <c r="F50" s="481" t="s">
        <v>3686</v>
      </c>
      <c r="G50" s="481" t="s">
        <v>61</v>
      </c>
      <c r="H50" s="485" t="s">
        <v>3451</v>
      </c>
      <c r="I50" s="481" t="s">
        <v>22</v>
      </c>
      <c r="J50" s="481" t="s">
        <v>45</v>
      </c>
      <c r="K50" s="481" t="s">
        <v>3687</v>
      </c>
    </row>
    <row r="51" spans="1:11" s="66" customFormat="1" ht="67.5">
      <c r="A51" s="481" t="s">
        <v>17</v>
      </c>
      <c r="B51" s="481" t="s">
        <v>3688</v>
      </c>
      <c r="C51" s="479">
        <v>0.47569444444444442</v>
      </c>
      <c r="D51" s="481" t="s">
        <v>3688</v>
      </c>
      <c r="E51" s="479">
        <v>0.73541666666666661</v>
      </c>
      <c r="F51" s="481" t="s">
        <v>2678</v>
      </c>
      <c r="G51" s="481" t="s">
        <v>674</v>
      </c>
      <c r="H51" s="485" t="s">
        <v>3411</v>
      </c>
      <c r="I51" s="481" t="s">
        <v>2483</v>
      </c>
      <c r="J51" s="481" t="s">
        <v>3055</v>
      </c>
      <c r="K51" s="481" t="s">
        <v>3055</v>
      </c>
    </row>
    <row r="52" spans="1:11" s="66" customFormat="1" ht="78.75">
      <c r="A52" s="481" t="s">
        <v>17</v>
      </c>
      <c r="B52" s="481" t="s">
        <v>3688</v>
      </c>
      <c r="C52" s="479">
        <v>0.89930555555555547</v>
      </c>
      <c r="D52" s="481" t="s">
        <v>3688</v>
      </c>
      <c r="E52" s="479">
        <v>0.90625</v>
      </c>
      <c r="F52" s="481" t="s">
        <v>108</v>
      </c>
      <c r="G52" s="481" t="s">
        <v>63</v>
      </c>
      <c r="H52" s="485" t="s">
        <v>3402</v>
      </c>
      <c r="I52" s="481" t="s">
        <v>2118</v>
      </c>
      <c r="J52" s="481" t="s">
        <v>3055</v>
      </c>
      <c r="K52" s="481" t="s">
        <v>3055</v>
      </c>
    </row>
    <row r="53" spans="1:11" s="66" customFormat="1" ht="45">
      <c r="A53" s="481" t="s">
        <v>17</v>
      </c>
      <c r="B53" s="481" t="s">
        <v>3689</v>
      </c>
      <c r="C53" s="479">
        <v>0.29305555555555557</v>
      </c>
      <c r="D53" s="481" t="s">
        <v>3689</v>
      </c>
      <c r="E53" s="479">
        <v>0.31458333333333333</v>
      </c>
      <c r="F53" s="481" t="s">
        <v>3690</v>
      </c>
      <c r="G53" s="481" t="s">
        <v>3347</v>
      </c>
      <c r="H53" s="485" t="s">
        <v>3387</v>
      </c>
      <c r="I53" s="481" t="s">
        <v>2764</v>
      </c>
      <c r="J53" s="481" t="s">
        <v>3055</v>
      </c>
      <c r="K53" s="481" t="s">
        <v>3055</v>
      </c>
    </row>
    <row r="54" spans="1:11" s="66" customFormat="1" ht="33.75">
      <c r="A54" s="481" t="s">
        <v>20</v>
      </c>
      <c r="B54" s="481" t="s">
        <v>3691</v>
      </c>
      <c r="C54" s="479">
        <v>0.48541666666666666</v>
      </c>
      <c r="D54" s="481" t="s">
        <v>3692</v>
      </c>
      <c r="E54" s="479">
        <v>0.70277777777777783</v>
      </c>
      <c r="F54" s="481" t="s">
        <v>3693</v>
      </c>
      <c r="G54" s="481" t="s">
        <v>3347</v>
      </c>
      <c r="H54" s="485" t="s">
        <v>3356</v>
      </c>
      <c r="I54" s="481" t="s">
        <v>100</v>
      </c>
      <c r="J54" s="481" t="s">
        <v>3055</v>
      </c>
      <c r="K54" s="481" t="s">
        <v>3055</v>
      </c>
    </row>
    <row r="55" spans="1:11" s="66" customFormat="1" ht="45">
      <c r="A55" s="481" t="s">
        <v>20</v>
      </c>
      <c r="B55" s="481" t="s">
        <v>3694</v>
      </c>
      <c r="C55" s="479">
        <v>0.3833333333333333</v>
      </c>
      <c r="D55" s="481" t="s">
        <v>3694</v>
      </c>
      <c r="E55" s="479">
        <v>0.7895833333333333</v>
      </c>
      <c r="F55" s="481" t="s">
        <v>3695</v>
      </c>
      <c r="G55" s="481" t="s">
        <v>124</v>
      </c>
      <c r="H55" s="485" t="s">
        <v>3696</v>
      </c>
      <c r="I55" s="481" t="s">
        <v>2764</v>
      </c>
      <c r="J55" s="481" t="s">
        <v>3055</v>
      </c>
      <c r="K55" s="481" t="s">
        <v>3055</v>
      </c>
    </row>
    <row r="56" spans="1:11" s="66" customFormat="1" ht="33.75">
      <c r="A56" s="481" t="s">
        <v>20</v>
      </c>
      <c r="B56" s="481" t="s">
        <v>3697</v>
      </c>
      <c r="C56" s="479">
        <v>0.66041666666666665</v>
      </c>
      <c r="D56" s="481" t="s">
        <v>3698</v>
      </c>
      <c r="E56" s="479">
        <v>0.75</v>
      </c>
      <c r="F56" s="481" t="s">
        <v>2919</v>
      </c>
      <c r="G56" s="481" t="s">
        <v>1352</v>
      </c>
      <c r="H56" s="485" t="s">
        <v>3451</v>
      </c>
      <c r="I56" s="481" t="s">
        <v>2990</v>
      </c>
      <c r="J56" s="481" t="s">
        <v>3261</v>
      </c>
      <c r="K56" s="481" t="s">
        <v>3699</v>
      </c>
    </row>
    <row r="57" spans="1:11" s="66" customFormat="1" ht="33.75">
      <c r="A57" s="481" t="s">
        <v>20</v>
      </c>
      <c r="B57" s="481" t="s">
        <v>3697</v>
      </c>
      <c r="C57" s="479">
        <v>0.47847222222222219</v>
      </c>
      <c r="D57" s="481" t="s">
        <v>3700</v>
      </c>
      <c r="E57" s="479">
        <v>0.88263888888888886</v>
      </c>
      <c r="F57" s="481" t="s">
        <v>3701</v>
      </c>
      <c r="G57" s="481" t="s">
        <v>124</v>
      </c>
      <c r="H57" s="485" t="s">
        <v>3451</v>
      </c>
      <c r="I57" s="481" t="s">
        <v>22</v>
      </c>
      <c r="J57" s="481" t="s">
        <v>3702</v>
      </c>
      <c r="K57" s="481" t="s">
        <v>3703</v>
      </c>
    </row>
    <row r="58" spans="1:11" s="66" customFormat="1" ht="56.25">
      <c r="A58" s="481" t="s">
        <v>20</v>
      </c>
      <c r="B58" s="481" t="s">
        <v>3697</v>
      </c>
      <c r="C58" s="479">
        <v>0.24305555555555555</v>
      </c>
      <c r="D58" s="481" t="s">
        <v>3697</v>
      </c>
      <c r="E58" s="479">
        <v>0.4375</v>
      </c>
      <c r="F58" s="481" t="s">
        <v>3704</v>
      </c>
      <c r="G58" s="481" t="s">
        <v>1352</v>
      </c>
      <c r="H58" s="485" t="s">
        <v>3451</v>
      </c>
      <c r="I58" s="481" t="s">
        <v>22</v>
      </c>
      <c r="J58" s="481" t="s">
        <v>45</v>
      </c>
      <c r="K58" s="481" t="s">
        <v>3705</v>
      </c>
    </row>
    <row r="59" spans="1:11" s="66" customFormat="1" ht="33.75">
      <c r="A59" s="481" t="s">
        <v>20</v>
      </c>
      <c r="B59" s="481" t="s">
        <v>3697</v>
      </c>
      <c r="C59" s="479">
        <v>0.625</v>
      </c>
      <c r="D59" s="481" t="s">
        <v>3700</v>
      </c>
      <c r="E59" s="479">
        <v>0</v>
      </c>
      <c r="F59" s="481" t="s">
        <v>3706</v>
      </c>
      <c r="G59" s="481" t="s">
        <v>1352</v>
      </c>
      <c r="H59" s="485" t="s">
        <v>3451</v>
      </c>
      <c r="I59" s="481" t="s">
        <v>2990</v>
      </c>
      <c r="J59" s="481" t="s">
        <v>45</v>
      </c>
      <c r="K59" s="481" t="s">
        <v>3707</v>
      </c>
    </row>
    <row r="60" spans="1:11" s="66" customFormat="1" ht="33.75">
      <c r="A60" s="481" t="s">
        <v>20</v>
      </c>
      <c r="B60" s="481" t="s">
        <v>3697</v>
      </c>
      <c r="C60" s="479">
        <v>0.25833333333333336</v>
      </c>
      <c r="D60" s="481" t="s">
        <v>3697</v>
      </c>
      <c r="E60" s="479">
        <v>0.2590277777777778</v>
      </c>
      <c r="F60" s="481" t="s">
        <v>2967</v>
      </c>
      <c r="G60" s="481" t="s">
        <v>124</v>
      </c>
      <c r="H60" s="485" t="s">
        <v>3356</v>
      </c>
      <c r="I60" s="481" t="s">
        <v>100</v>
      </c>
      <c r="J60" s="481" t="s">
        <v>3055</v>
      </c>
      <c r="K60" s="481" t="s">
        <v>3055</v>
      </c>
    </row>
    <row r="61" spans="1:11" s="66" customFormat="1" ht="33.75">
      <c r="A61" s="481" t="s">
        <v>20</v>
      </c>
      <c r="B61" s="481" t="s">
        <v>3708</v>
      </c>
      <c r="C61" s="479">
        <v>0.95347222222222217</v>
      </c>
      <c r="D61" s="481" t="s">
        <v>3708</v>
      </c>
      <c r="E61" s="479">
        <v>0.95416666666666661</v>
      </c>
      <c r="F61" s="481" t="s">
        <v>3693</v>
      </c>
      <c r="G61" s="481" t="s">
        <v>3347</v>
      </c>
      <c r="H61" s="485" t="s">
        <v>3356</v>
      </c>
      <c r="I61" s="481" t="s">
        <v>100</v>
      </c>
      <c r="J61" s="481" t="s">
        <v>3055</v>
      </c>
      <c r="K61" s="481" t="s">
        <v>3055</v>
      </c>
    </row>
    <row r="62" spans="1:11" s="66" customFormat="1" ht="67.5">
      <c r="A62" s="481" t="s">
        <v>20</v>
      </c>
      <c r="B62" s="481" t="s">
        <v>3709</v>
      </c>
      <c r="C62" s="479">
        <v>0.41666666666666669</v>
      </c>
      <c r="D62" s="481" t="s">
        <v>3709</v>
      </c>
      <c r="E62" s="479">
        <v>0.4201388888888889</v>
      </c>
      <c r="F62" s="481" t="s">
        <v>2831</v>
      </c>
      <c r="G62" s="481" t="s">
        <v>124</v>
      </c>
      <c r="H62" s="485" t="s">
        <v>3710</v>
      </c>
      <c r="I62" s="481" t="s">
        <v>100</v>
      </c>
      <c r="J62" s="481" t="s">
        <v>3055</v>
      </c>
      <c r="K62" s="481" t="s">
        <v>3055</v>
      </c>
    </row>
    <row r="63" spans="1:11" s="66" customFormat="1" ht="67.5">
      <c r="A63" s="481" t="s">
        <v>20</v>
      </c>
      <c r="B63" s="481" t="s">
        <v>3711</v>
      </c>
      <c r="C63" s="479">
        <v>0.32430555555555557</v>
      </c>
      <c r="D63" s="481" t="s">
        <v>3711</v>
      </c>
      <c r="E63" s="479">
        <v>0.32500000000000001</v>
      </c>
      <c r="F63" s="481" t="s">
        <v>3712</v>
      </c>
      <c r="G63" s="481" t="s">
        <v>124</v>
      </c>
      <c r="H63" s="485" t="s">
        <v>3710</v>
      </c>
      <c r="I63" s="481" t="s">
        <v>2293</v>
      </c>
      <c r="J63" s="481" t="s">
        <v>3432</v>
      </c>
      <c r="K63" s="481" t="s">
        <v>45</v>
      </c>
    </row>
    <row r="64" spans="1:11" s="66" customFormat="1" ht="67.5">
      <c r="A64" s="481" t="s">
        <v>20</v>
      </c>
      <c r="B64" s="481" t="s">
        <v>3713</v>
      </c>
      <c r="C64" s="479">
        <v>0.98333333333333339</v>
      </c>
      <c r="D64" s="481" t="s">
        <v>3714</v>
      </c>
      <c r="E64" s="479">
        <v>8.3333333333333329E-2</v>
      </c>
      <c r="F64" s="481" t="s">
        <v>3715</v>
      </c>
      <c r="G64" s="481" t="s">
        <v>124</v>
      </c>
      <c r="H64" s="485" t="s">
        <v>3710</v>
      </c>
      <c r="I64" s="481" t="s">
        <v>2118</v>
      </c>
      <c r="J64" s="481" t="s">
        <v>3055</v>
      </c>
      <c r="K64" s="481" t="s">
        <v>3055</v>
      </c>
    </row>
    <row r="65" spans="1:11" s="66" customFormat="1" ht="45">
      <c r="A65" s="481" t="s">
        <v>23</v>
      </c>
      <c r="B65" s="481" t="s">
        <v>3716</v>
      </c>
      <c r="C65" s="479">
        <v>0.59375</v>
      </c>
      <c r="D65" s="481" t="s">
        <v>3717</v>
      </c>
      <c r="E65" s="479">
        <v>0.72222222222222221</v>
      </c>
      <c r="F65" s="481" t="s">
        <v>3718</v>
      </c>
      <c r="G65" s="481" t="s">
        <v>124</v>
      </c>
      <c r="H65" s="485" t="s">
        <v>3356</v>
      </c>
      <c r="I65" s="481" t="s">
        <v>2293</v>
      </c>
      <c r="J65" s="481" t="s">
        <v>3055</v>
      </c>
      <c r="K65" s="481" t="s">
        <v>3055</v>
      </c>
    </row>
    <row r="66" spans="1:11" s="66" customFormat="1" ht="45">
      <c r="A66" s="481" t="s">
        <v>23</v>
      </c>
      <c r="B66" s="481" t="s">
        <v>3716</v>
      </c>
      <c r="C66" s="479">
        <v>0.28541666666666665</v>
      </c>
      <c r="D66" s="481" t="s">
        <v>3716</v>
      </c>
      <c r="E66" s="479">
        <v>0.32847222222222222</v>
      </c>
      <c r="F66" s="481" t="s">
        <v>3719</v>
      </c>
      <c r="G66" s="481" t="s">
        <v>61</v>
      </c>
      <c r="H66" s="485" t="s">
        <v>3387</v>
      </c>
      <c r="I66" s="481" t="s">
        <v>2764</v>
      </c>
      <c r="J66" s="481" t="s">
        <v>3055</v>
      </c>
      <c r="K66" s="481" t="s">
        <v>3055</v>
      </c>
    </row>
    <row r="67" spans="1:11" s="66" customFormat="1" ht="45">
      <c r="A67" s="481" t="s">
        <v>23</v>
      </c>
      <c r="B67" s="481" t="s">
        <v>3716</v>
      </c>
      <c r="C67" s="479">
        <v>0.28541666666666665</v>
      </c>
      <c r="D67" s="481" t="s">
        <v>3716</v>
      </c>
      <c r="E67" s="479">
        <v>0.32847222222222222</v>
      </c>
      <c r="F67" s="481" t="s">
        <v>3720</v>
      </c>
      <c r="G67" s="481" t="s">
        <v>61</v>
      </c>
      <c r="H67" s="485" t="s">
        <v>3387</v>
      </c>
      <c r="I67" s="481" t="s">
        <v>2764</v>
      </c>
      <c r="J67" s="481" t="s">
        <v>3055</v>
      </c>
      <c r="K67" s="481" t="s">
        <v>3055</v>
      </c>
    </row>
    <row r="68" spans="1:11" s="66" customFormat="1" ht="33.75">
      <c r="A68" s="481" t="s">
        <v>23</v>
      </c>
      <c r="B68" s="481" t="s">
        <v>3721</v>
      </c>
      <c r="C68" s="479">
        <v>0.35625000000000001</v>
      </c>
      <c r="D68" s="481" t="s">
        <v>3721</v>
      </c>
      <c r="E68" s="479">
        <v>0.375</v>
      </c>
      <c r="F68" s="481" t="s">
        <v>3357</v>
      </c>
      <c r="G68" s="481" t="s">
        <v>124</v>
      </c>
      <c r="H68" s="485" t="s">
        <v>3356</v>
      </c>
      <c r="I68" s="481" t="s">
        <v>100</v>
      </c>
      <c r="J68" s="481" t="s">
        <v>3055</v>
      </c>
      <c r="K68" s="481" t="s">
        <v>3055</v>
      </c>
    </row>
    <row r="69" spans="1:11" s="66" customFormat="1" ht="67.5">
      <c r="A69" s="481" t="s">
        <v>23</v>
      </c>
      <c r="B69" s="481" t="s">
        <v>3721</v>
      </c>
      <c r="C69" s="479">
        <v>0.42708333333333331</v>
      </c>
      <c r="D69" s="481" t="s">
        <v>3721</v>
      </c>
      <c r="E69" s="479">
        <v>0.42777777777777781</v>
      </c>
      <c r="F69" s="481" t="s">
        <v>2831</v>
      </c>
      <c r="G69" s="481" t="s">
        <v>124</v>
      </c>
      <c r="H69" s="485" t="s">
        <v>3463</v>
      </c>
      <c r="I69" s="481" t="s">
        <v>100</v>
      </c>
      <c r="J69" s="481" t="s">
        <v>3055</v>
      </c>
      <c r="K69" s="481" t="s">
        <v>3055</v>
      </c>
    </row>
    <row r="70" spans="1:11" s="66" customFormat="1" ht="33.75">
      <c r="A70" s="481" t="s">
        <v>23</v>
      </c>
      <c r="B70" s="481" t="s">
        <v>3722</v>
      </c>
      <c r="C70" s="479">
        <v>0.21875</v>
      </c>
      <c r="D70" s="481" t="s">
        <v>3722</v>
      </c>
      <c r="E70" s="479">
        <v>0.52708333333333335</v>
      </c>
      <c r="F70" s="481" t="s">
        <v>3397</v>
      </c>
      <c r="G70" s="481" t="s">
        <v>124</v>
      </c>
      <c r="H70" s="485" t="s">
        <v>3654</v>
      </c>
      <c r="I70" s="481" t="s">
        <v>1138</v>
      </c>
      <c r="J70" s="481" t="s">
        <v>3055</v>
      </c>
      <c r="K70" s="481" t="s">
        <v>3055</v>
      </c>
    </row>
    <row r="71" spans="1:11" s="66" customFormat="1" ht="67.5">
      <c r="A71" s="481" t="s">
        <v>23</v>
      </c>
      <c r="B71" s="481" t="s">
        <v>3723</v>
      </c>
      <c r="C71" s="479">
        <v>0.42569444444444443</v>
      </c>
      <c r="D71" s="481" t="s">
        <v>3723</v>
      </c>
      <c r="E71" s="479">
        <v>0.50555555555555554</v>
      </c>
      <c r="F71" s="481" t="s">
        <v>3427</v>
      </c>
      <c r="G71" s="481" t="s">
        <v>124</v>
      </c>
      <c r="H71" s="485" t="s">
        <v>3411</v>
      </c>
      <c r="I71" s="481" t="s">
        <v>2483</v>
      </c>
      <c r="J71" s="481" t="s">
        <v>3055</v>
      </c>
      <c r="K71" s="481" t="s">
        <v>3055</v>
      </c>
    </row>
    <row r="72" spans="1:11" s="66" customFormat="1" ht="33.75">
      <c r="A72" s="481" t="s">
        <v>23</v>
      </c>
      <c r="B72" s="481" t="s">
        <v>3724</v>
      </c>
      <c r="C72" s="479">
        <v>0.57361111111111118</v>
      </c>
      <c r="D72" s="481" t="s">
        <v>3725</v>
      </c>
      <c r="E72" s="479">
        <v>0.74305555555555547</v>
      </c>
      <c r="F72" s="481" t="s">
        <v>2919</v>
      </c>
      <c r="G72" s="481" t="s">
        <v>1352</v>
      </c>
      <c r="H72" s="485" t="s">
        <v>3451</v>
      </c>
      <c r="I72" s="481" t="s">
        <v>22</v>
      </c>
      <c r="J72" s="481" t="s">
        <v>3726</v>
      </c>
      <c r="K72" s="481" t="s">
        <v>3727</v>
      </c>
    </row>
    <row r="73" spans="1:11" s="66" customFormat="1" ht="78.75">
      <c r="A73" s="481" t="s">
        <v>23</v>
      </c>
      <c r="B73" s="481" t="s">
        <v>3728</v>
      </c>
      <c r="C73" s="479">
        <v>0.4993055555555555</v>
      </c>
      <c r="D73" s="481" t="s">
        <v>3728</v>
      </c>
      <c r="E73" s="479">
        <v>0.5</v>
      </c>
      <c r="F73" s="481" t="s">
        <v>3325</v>
      </c>
      <c r="G73" s="481" t="s">
        <v>63</v>
      </c>
      <c r="H73" s="485" t="s">
        <v>3402</v>
      </c>
      <c r="I73" s="481" t="s">
        <v>2118</v>
      </c>
      <c r="J73" s="481" t="s">
        <v>3055</v>
      </c>
      <c r="K73" s="481" t="s">
        <v>3055</v>
      </c>
    </row>
    <row r="74" spans="1:11" s="66" customFormat="1" ht="67.5">
      <c r="A74" s="481" t="s">
        <v>23</v>
      </c>
      <c r="B74" s="481" t="s">
        <v>3729</v>
      </c>
      <c r="C74" s="479">
        <v>0.82500000000000007</v>
      </c>
      <c r="D74" s="481" t="s">
        <v>3729</v>
      </c>
      <c r="E74" s="479">
        <v>0.83333333333333337</v>
      </c>
      <c r="F74" s="481" t="s">
        <v>3730</v>
      </c>
      <c r="G74" s="481" t="s">
        <v>124</v>
      </c>
      <c r="H74" s="485" t="s">
        <v>3411</v>
      </c>
      <c r="I74" s="481" t="s">
        <v>2483</v>
      </c>
      <c r="J74" s="481" t="s">
        <v>3055</v>
      </c>
      <c r="K74" s="481" t="s">
        <v>3055</v>
      </c>
    </row>
    <row r="75" spans="1:11" s="66" customFormat="1" ht="67.5">
      <c r="A75" s="481" t="s">
        <v>23</v>
      </c>
      <c r="B75" s="481" t="s">
        <v>3731</v>
      </c>
      <c r="C75" s="479">
        <v>0.47222222222222227</v>
      </c>
      <c r="D75" s="481" t="s">
        <v>3731</v>
      </c>
      <c r="E75" s="479">
        <v>0.53194444444444444</v>
      </c>
      <c r="F75" s="481" t="s">
        <v>3732</v>
      </c>
      <c r="G75" s="481" t="s">
        <v>674</v>
      </c>
      <c r="H75" s="485" t="s">
        <v>3411</v>
      </c>
      <c r="I75" s="481" t="s">
        <v>2483</v>
      </c>
      <c r="J75" s="481" t="s">
        <v>3055</v>
      </c>
      <c r="K75" s="481" t="s">
        <v>3055</v>
      </c>
    </row>
    <row r="76" spans="1:11" s="66" customFormat="1" ht="33.75">
      <c r="A76" s="481" t="s">
        <v>23</v>
      </c>
      <c r="B76" s="481" t="s">
        <v>3733</v>
      </c>
      <c r="C76" s="479">
        <v>0.76041666666666663</v>
      </c>
      <c r="D76" s="481" t="s">
        <v>3733</v>
      </c>
      <c r="E76" s="479">
        <v>0.96875</v>
      </c>
      <c r="F76" s="481" t="s">
        <v>3734</v>
      </c>
      <c r="G76" s="481" t="s">
        <v>63</v>
      </c>
      <c r="H76" s="485" t="s">
        <v>3451</v>
      </c>
      <c r="I76" s="481" t="s">
        <v>22</v>
      </c>
      <c r="J76" s="481" t="s">
        <v>45</v>
      </c>
      <c r="K76" s="481" t="s">
        <v>3735</v>
      </c>
    </row>
    <row r="77" spans="1:11" s="66" customFormat="1" ht="33.75">
      <c r="A77" s="481" t="s">
        <v>23</v>
      </c>
      <c r="B77" s="481" t="s">
        <v>3736</v>
      </c>
      <c r="C77" s="479">
        <v>0.19097222222222221</v>
      </c>
      <c r="D77" s="481" t="s">
        <v>3736</v>
      </c>
      <c r="E77" s="479">
        <v>0.61111111111111105</v>
      </c>
      <c r="F77" s="481" t="s">
        <v>3325</v>
      </c>
      <c r="G77" s="481" t="s">
        <v>63</v>
      </c>
      <c r="H77" s="485" t="s">
        <v>3451</v>
      </c>
      <c r="I77" s="481" t="s">
        <v>22</v>
      </c>
      <c r="J77" s="481" t="s">
        <v>45</v>
      </c>
      <c r="K77" s="481" t="s">
        <v>3737</v>
      </c>
    </row>
    <row r="78" spans="1:11" s="66" customFormat="1" ht="33.75">
      <c r="A78" s="481" t="s">
        <v>23</v>
      </c>
      <c r="B78" s="481" t="s">
        <v>3736</v>
      </c>
      <c r="C78" s="479">
        <v>0.41666666666666669</v>
      </c>
      <c r="D78" s="481" t="s">
        <v>3736</v>
      </c>
      <c r="E78" s="479">
        <v>0.58333333333333337</v>
      </c>
      <c r="F78" s="481" t="s">
        <v>3738</v>
      </c>
      <c r="G78" s="481" t="s">
        <v>674</v>
      </c>
      <c r="H78" s="485" t="s">
        <v>3356</v>
      </c>
      <c r="I78" s="481" t="s">
        <v>100</v>
      </c>
      <c r="J78" s="481" t="s">
        <v>3055</v>
      </c>
      <c r="K78" s="481" t="s">
        <v>3055</v>
      </c>
    </row>
    <row r="79" spans="1:11" s="66" customFormat="1" ht="33.75">
      <c r="A79" s="481" t="s">
        <v>23</v>
      </c>
      <c r="B79" s="481" t="s">
        <v>3739</v>
      </c>
      <c r="C79" s="479">
        <v>0.4375</v>
      </c>
      <c r="D79" s="481" t="s">
        <v>3739</v>
      </c>
      <c r="E79" s="479">
        <v>0.45833333333333331</v>
      </c>
      <c r="F79" s="481" t="s">
        <v>3357</v>
      </c>
      <c r="G79" s="481" t="s">
        <v>124</v>
      </c>
      <c r="H79" s="485" t="s">
        <v>3356</v>
      </c>
      <c r="I79" s="481" t="s">
        <v>100</v>
      </c>
      <c r="J79" s="481" t="s">
        <v>3055</v>
      </c>
      <c r="K79" s="481" t="s">
        <v>3055</v>
      </c>
    </row>
    <row r="80" spans="1:11" s="66" customFormat="1" ht="45">
      <c r="A80" s="481" t="s">
        <v>23</v>
      </c>
      <c r="B80" s="481" t="s">
        <v>3740</v>
      </c>
      <c r="C80" s="479">
        <v>0.81805555555555554</v>
      </c>
      <c r="D80" s="481" t="s">
        <v>3740</v>
      </c>
      <c r="E80" s="479">
        <v>0.99444444444444446</v>
      </c>
      <c r="F80" s="481" t="s">
        <v>3741</v>
      </c>
      <c r="G80" s="481" t="s">
        <v>124</v>
      </c>
      <c r="H80" s="485" t="s">
        <v>3387</v>
      </c>
      <c r="I80" s="481" t="s">
        <v>2764</v>
      </c>
      <c r="J80" s="481" t="s">
        <v>3055</v>
      </c>
      <c r="K80" s="481" t="s">
        <v>3055</v>
      </c>
    </row>
    <row r="81" spans="1:11" s="66" customFormat="1" ht="67.5">
      <c r="A81" s="481" t="s">
        <v>23</v>
      </c>
      <c r="B81" s="481" t="s">
        <v>3742</v>
      </c>
      <c r="C81" s="479">
        <v>0.83888888888888891</v>
      </c>
      <c r="D81" s="481" t="s">
        <v>3743</v>
      </c>
      <c r="E81" s="479">
        <v>0.45833333333333331</v>
      </c>
      <c r="F81" s="481" t="s">
        <v>3744</v>
      </c>
      <c r="G81" s="481" t="s">
        <v>124</v>
      </c>
      <c r="H81" s="485" t="s">
        <v>3411</v>
      </c>
      <c r="I81" s="481" t="s">
        <v>2483</v>
      </c>
      <c r="J81" s="481" t="s">
        <v>3055</v>
      </c>
      <c r="K81" s="481" t="s">
        <v>3055</v>
      </c>
    </row>
    <row r="82" spans="1:11" s="66" customFormat="1" ht="33.75">
      <c r="A82" s="481" t="s">
        <v>23</v>
      </c>
      <c r="B82" s="481" t="s">
        <v>3742</v>
      </c>
      <c r="C82" s="479">
        <v>0.82986111111111116</v>
      </c>
      <c r="D82" s="481" t="s">
        <v>3743</v>
      </c>
      <c r="E82" s="479">
        <v>0.7284722222222223</v>
      </c>
      <c r="F82" s="481" t="s">
        <v>3745</v>
      </c>
      <c r="G82" s="481" t="s">
        <v>63</v>
      </c>
      <c r="H82" s="485" t="s">
        <v>3451</v>
      </c>
      <c r="I82" s="481" t="s">
        <v>22</v>
      </c>
      <c r="J82" s="481" t="s">
        <v>3746</v>
      </c>
      <c r="K82" s="481" t="s">
        <v>3747</v>
      </c>
    </row>
    <row r="83" spans="1:11" s="66" customFormat="1" ht="33.75">
      <c r="A83" s="481" t="s">
        <v>23</v>
      </c>
      <c r="B83" s="481" t="s">
        <v>3748</v>
      </c>
      <c r="C83" s="479">
        <v>0.44444444444444442</v>
      </c>
      <c r="D83" s="481" t="s">
        <v>3748</v>
      </c>
      <c r="E83" s="479">
        <v>0.44791666666666669</v>
      </c>
      <c r="F83" s="481" t="s">
        <v>2831</v>
      </c>
      <c r="G83" s="481" t="s">
        <v>124</v>
      </c>
      <c r="H83" s="485" t="s">
        <v>3356</v>
      </c>
      <c r="I83" s="481" t="s">
        <v>100</v>
      </c>
      <c r="J83" s="481" t="s">
        <v>3055</v>
      </c>
      <c r="K83" s="481" t="s">
        <v>3055</v>
      </c>
    </row>
    <row r="84" spans="1:11" s="66" customFormat="1" ht="45">
      <c r="A84" s="481" t="s">
        <v>23</v>
      </c>
      <c r="B84" s="481" t="s">
        <v>3749</v>
      </c>
      <c r="C84" s="479">
        <v>0.75208333333333333</v>
      </c>
      <c r="D84" s="481" t="s">
        <v>3749</v>
      </c>
      <c r="E84" s="479">
        <v>0.77222222222222225</v>
      </c>
      <c r="F84" s="481" t="s">
        <v>3424</v>
      </c>
      <c r="G84" s="481" t="s">
        <v>124</v>
      </c>
      <c r="H84" s="485" t="s">
        <v>3750</v>
      </c>
      <c r="I84" s="481" t="s">
        <v>2905</v>
      </c>
      <c r="J84" s="481" t="s">
        <v>3751</v>
      </c>
      <c r="K84" s="481" t="s">
        <v>3752</v>
      </c>
    </row>
    <row r="85" spans="1:11" s="66" customFormat="1" ht="67.5">
      <c r="A85" s="481" t="s">
        <v>23</v>
      </c>
      <c r="B85" s="481" t="s">
        <v>3753</v>
      </c>
      <c r="C85" s="479">
        <v>4.1666666666666664E-2</v>
      </c>
      <c r="D85" s="481" t="s">
        <v>3753</v>
      </c>
      <c r="E85" s="479">
        <v>0.56041666666666667</v>
      </c>
      <c r="F85" s="481" t="s">
        <v>3245</v>
      </c>
      <c r="G85" s="481" t="s">
        <v>3143</v>
      </c>
      <c r="H85" s="485" t="s">
        <v>3411</v>
      </c>
      <c r="I85" s="481" t="s">
        <v>2483</v>
      </c>
      <c r="J85" s="481" t="s">
        <v>3754</v>
      </c>
      <c r="K85" s="481" t="s">
        <v>3755</v>
      </c>
    </row>
    <row r="86" spans="1:11" s="66" customFormat="1" ht="33.75">
      <c r="A86" s="481" t="s">
        <v>23</v>
      </c>
      <c r="B86" s="481" t="s">
        <v>3753</v>
      </c>
      <c r="C86" s="479">
        <v>0.7402777777777777</v>
      </c>
      <c r="D86" s="481" t="s">
        <v>3756</v>
      </c>
      <c r="E86" s="479">
        <v>0.49236111111111108</v>
      </c>
      <c r="F86" s="481" t="s">
        <v>2832</v>
      </c>
      <c r="G86" s="481" t="s">
        <v>63</v>
      </c>
      <c r="H86" s="485" t="s">
        <v>3451</v>
      </c>
      <c r="I86" s="481" t="s">
        <v>22</v>
      </c>
      <c r="J86" s="481" t="s">
        <v>45</v>
      </c>
      <c r="K86" s="481" t="s">
        <v>3757</v>
      </c>
    </row>
    <row r="87" spans="1:11" s="66" customFormat="1" ht="67.5">
      <c r="A87" s="481" t="s">
        <v>23</v>
      </c>
      <c r="B87" s="481" t="s">
        <v>3753</v>
      </c>
      <c r="C87" s="479">
        <v>0.63611111111111118</v>
      </c>
      <c r="D87" s="481" t="s">
        <v>3753</v>
      </c>
      <c r="E87" s="479">
        <v>0.63680555555555551</v>
      </c>
      <c r="F87" s="481" t="s">
        <v>3758</v>
      </c>
      <c r="G87" s="481" t="s">
        <v>61</v>
      </c>
      <c r="H87" s="485" t="s">
        <v>3411</v>
      </c>
      <c r="I87" s="481" t="s">
        <v>2990</v>
      </c>
      <c r="J87" s="481" t="s">
        <v>3055</v>
      </c>
      <c r="K87" s="481" t="s">
        <v>3055</v>
      </c>
    </row>
    <row r="88" spans="1:11" s="66" customFormat="1" ht="45">
      <c r="A88" s="481" t="s">
        <v>23</v>
      </c>
      <c r="B88" s="481" t="s">
        <v>3759</v>
      </c>
      <c r="C88" s="479">
        <v>0.56944444444444442</v>
      </c>
      <c r="D88" s="481" t="s">
        <v>3759</v>
      </c>
      <c r="E88" s="479">
        <v>0.61736111111111114</v>
      </c>
      <c r="F88" s="481" t="s">
        <v>2896</v>
      </c>
      <c r="G88" s="481" t="s">
        <v>63</v>
      </c>
      <c r="H88" s="485" t="s">
        <v>3387</v>
      </c>
      <c r="I88" s="481" t="s">
        <v>2764</v>
      </c>
      <c r="J88" s="481" t="s">
        <v>3055</v>
      </c>
      <c r="K88" s="481" t="s">
        <v>3055</v>
      </c>
    </row>
    <row r="89" spans="1:11" s="66" customFormat="1" ht="67.5">
      <c r="A89" s="481" t="s">
        <v>23</v>
      </c>
      <c r="B89" s="481" t="s">
        <v>3759</v>
      </c>
      <c r="C89" s="479">
        <v>0.4465277777777778</v>
      </c>
      <c r="D89" s="481" t="s">
        <v>3760</v>
      </c>
      <c r="E89" s="479">
        <v>8.7500000000000008E-2</v>
      </c>
      <c r="F89" s="481" t="s">
        <v>2895</v>
      </c>
      <c r="G89" s="481" t="s">
        <v>3143</v>
      </c>
      <c r="H89" s="485" t="s">
        <v>3411</v>
      </c>
      <c r="I89" s="481" t="s">
        <v>2483</v>
      </c>
      <c r="J89" s="481" t="s">
        <v>3055</v>
      </c>
      <c r="K89" s="481" t="s">
        <v>3055</v>
      </c>
    </row>
    <row r="90" spans="1:11" s="66" customFormat="1" ht="33.75">
      <c r="A90" s="481" t="s">
        <v>23</v>
      </c>
      <c r="B90" s="481" t="s">
        <v>3760</v>
      </c>
      <c r="C90" s="479">
        <v>0.72013888888888899</v>
      </c>
      <c r="D90" s="481" t="s">
        <v>3761</v>
      </c>
      <c r="E90" s="479">
        <v>0.39027777777777778</v>
      </c>
      <c r="F90" s="481" t="s">
        <v>3762</v>
      </c>
      <c r="G90" s="481" t="s">
        <v>63</v>
      </c>
      <c r="H90" s="485" t="s">
        <v>3356</v>
      </c>
      <c r="I90" s="481" t="s">
        <v>100</v>
      </c>
      <c r="J90" s="481" t="s">
        <v>3055</v>
      </c>
      <c r="K90" s="481" t="s">
        <v>3055</v>
      </c>
    </row>
    <row r="91" spans="1:11" s="66" customFormat="1" ht="45">
      <c r="A91" s="481" t="s">
        <v>23</v>
      </c>
      <c r="B91" s="481" t="s">
        <v>3761</v>
      </c>
      <c r="C91" s="479">
        <v>0.51736111111111105</v>
      </c>
      <c r="D91" s="481" t="s">
        <v>3761</v>
      </c>
      <c r="E91" s="479">
        <v>0.5493055555555556</v>
      </c>
      <c r="F91" s="481" t="s">
        <v>3561</v>
      </c>
      <c r="G91" s="481" t="s">
        <v>3143</v>
      </c>
      <c r="H91" s="485" t="s">
        <v>3387</v>
      </c>
      <c r="I91" s="481" t="s">
        <v>2764</v>
      </c>
      <c r="J91" s="481" t="s">
        <v>3055</v>
      </c>
      <c r="K91" s="481" t="s">
        <v>3055</v>
      </c>
    </row>
    <row r="92" spans="1:11" s="66" customFormat="1" ht="67.5">
      <c r="A92" s="481" t="s">
        <v>103</v>
      </c>
      <c r="B92" s="481" t="s">
        <v>3763</v>
      </c>
      <c r="C92" s="479">
        <v>0.39027777777777778</v>
      </c>
      <c r="D92" s="481" t="s">
        <v>3763</v>
      </c>
      <c r="E92" s="479">
        <v>0.41388888888888892</v>
      </c>
      <c r="F92" s="481" t="s">
        <v>3764</v>
      </c>
      <c r="G92" s="481" t="s">
        <v>3143</v>
      </c>
      <c r="H92" s="485" t="s">
        <v>3411</v>
      </c>
      <c r="I92" s="481" t="s">
        <v>2483</v>
      </c>
      <c r="J92" s="481" t="s">
        <v>3765</v>
      </c>
      <c r="K92" s="481" t="s">
        <v>3081</v>
      </c>
    </row>
    <row r="93" spans="1:11" s="66" customFormat="1" ht="33.75">
      <c r="A93" s="481" t="s">
        <v>103</v>
      </c>
      <c r="B93" s="481" t="s">
        <v>3763</v>
      </c>
      <c r="C93" s="479">
        <v>0.65972222222222221</v>
      </c>
      <c r="D93" s="481" t="s">
        <v>3766</v>
      </c>
      <c r="E93" s="479">
        <v>0</v>
      </c>
      <c r="F93" s="481" t="s">
        <v>3767</v>
      </c>
      <c r="G93" s="481" t="s">
        <v>3347</v>
      </c>
      <c r="H93" s="485" t="s">
        <v>3451</v>
      </c>
      <c r="I93" s="481" t="s">
        <v>3768</v>
      </c>
      <c r="J93" s="481" t="s">
        <v>45</v>
      </c>
      <c r="K93" s="481" t="s">
        <v>3769</v>
      </c>
    </row>
    <row r="94" spans="1:11" s="66" customFormat="1" ht="33.75">
      <c r="A94" s="481" t="s">
        <v>103</v>
      </c>
      <c r="B94" s="481" t="s">
        <v>3770</v>
      </c>
      <c r="C94" s="479">
        <v>0.74652777777777779</v>
      </c>
      <c r="D94" s="481" t="s">
        <v>3771</v>
      </c>
      <c r="E94" s="479">
        <v>0.86805555555555547</v>
      </c>
      <c r="F94" s="481" t="s">
        <v>2809</v>
      </c>
      <c r="G94" s="481" t="s">
        <v>1352</v>
      </c>
      <c r="H94" s="485" t="s">
        <v>3451</v>
      </c>
      <c r="I94" s="481" t="s">
        <v>22</v>
      </c>
      <c r="J94" s="481" t="s">
        <v>3772</v>
      </c>
      <c r="K94" s="481" t="s">
        <v>3773</v>
      </c>
    </row>
    <row r="95" spans="1:11" s="66" customFormat="1" ht="67.5">
      <c r="A95" s="481" t="s">
        <v>103</v>
      </c>
      <c r="B95" s="481" t="s">
        <v>3770</v>
      </c>
      <c r="C95" s="479">
        <v>0.79583333333333339</v>
      </c>
      <c r="D95" s="481" t="s">
        <v>3774</v>
      </c>
      <c r="E95" s="479">
        <v>0.12291666666666667</v>
      </c>
      <c r="F95" s="481" t="s">
        <v>2809</v>
      </c>
      <c r="G95" s="481" t="s">
        <v>1352</v>
      </c>
      <c r="H95" s="485" t="s">
        <v>3411</v>
      </c>
      <c r="I95" s="481" t="s">
        <v>2990</v>
      </c>
      <c r="J95" s="481" t="s">
        <v>3055</v>
      </c>
      <c r="K95" s="481" t="s">
        <v>3055</v>
      </c>
    </row>
    <row r="96" spans="1:11" s="66" customFormat="1" ht="33.75">
      <c r="A96" s="481" t="s">
        <v>103</v>
      </c>
      <c r="B96" s="481" t="s">
        <v>3774</v>
      </c>
      <c r="C96" s="479">
        <v>8.3333333333333329E-2</v>
      </c>
      <c r="D96" s="481" t="s">
        <v>3774</v>
      </c>
      <c r="E96" s="479">
        <v>0.51041666666666663</v>
      </c>
      <c r="F96" s="481" t="s">
        <v>2919</v>
      </c>
      <c r="G96" s="481" t="s">
        <v>1352</v>
      </c>
      <c r="H96" s="485" t="s">
        <v>3451</v>
      </c>
      <c r="I96" s="481" t="s">
        <v>22</v>
      </c>
      <c r="J96" s="481" t="s">
        <v>45</v>
      </c>
      <c r="K96" s="481" t="s">
        <v>3775</v>
      </c>
    </row>
    <row r="97" spans="1:11" s="66" customFormat="1" ht="33.75">
      <c r="A97" s="481" t="s">
        <v>103</v>
      </c>
      <c r="B97" s="481" t="s">
        <v>3771</v>
      </c>
      <c r="C97" s="479">
        <v>0.58888888888888891</v>
      </c>
      <c r="D97" s="481" t="s">
        <v>3771</v>
      </c>
      <c r="E97" s="479">
        <v>0.625</v>
      </c>
      <c r="F97" s="481" t="s">
        <v>3357</v>
      </c>
      <c r="G97" s="481" t="s">
        <v>124</v>
      </c>
      <c r="H97" s="485" t="s">
        <v>3356</v>
      </c>
      <c r="I97" s="481" t="s">
        <v>100</v>
      </c>
      <c r="J97" s="481" t="s">
        <v>3055</v>
      </c>
      <c r="K97" s="481" t="s">
        <v>3055</v>
      </c>
    </row>
    <row r="98" spans="1:11" s="66" customFormat="1" ht="78.75">
      <c r="A98" s="481" t="s">
        <v>103</v>
      </c>
      <c r="B98" s="481" t="s">
        <v>3776</v>
      </c>
      <c r="C98" s="479">
        <v>0.50694444444444442</v>
      </c>
      <c r="D98" s="481" t="s">
        <v>3776</v>
      </c>
      <c r="E98" s="479">
        <v>0.50763888888888886</v>
      </c>
      <c r="F98" s="481" t="s">
        <v>3524</v>
      </c>
      <c r="G98" s="481" t="s">
        <v>3143</v>
      </c>
      <c r="H98" s="485" t="s">
        <v>3402</v>
      </c>
      <c r="I98" s="481" t="s">
        <v>2118</v>
      </c>
      <c r="J98" s="481" t="s">
        <v>45</v>
      </c>
      <c r="K98" s="481" t="s">
        <v>45</v>
      </c>
    </row>
    <row r="99" spans="1:11" s="66" customFormat="1" ht="168.75">
      <c r="A99" s="481" t="s">
        <v>103</v>
      </c>
      <c r="B99" s="481" t="s">
        <v>3777</v>
      </c>
      <c r="C99" s="479">
        <v>0.65625</v>
      </c>
      <c r="D99" s="481" t="s">
        <v>3778</v>
      </c>
      <c r="E99" s="479">
        <v>0.16666666666666666</v>
      </c>
      <c r="F99" s="481" t="s">
        <v>3779</v>
      </c>
      <c r="G99" s="481" t="s">
        <v>1352</v>
      </c>
      <c r="H99" s="485" t="s">
        <v>3451</v>
      </c>
      <c r="I99" s="481" t="s">
        <v>22</v>
      </c>
      <c r="J99" s="481" t="s">
        <v>45</v>
      </c>
      <c r="K99" s="481" t="s">
        <v>3780</v>
      </c>
    </row>
    <row r="100" spans="1:11" s="66" customFormat="1" ht="67.5">
      <c r="A100" s="481" t="s">
        <v>103</v>
      </c>
      <c r="B100" s="481" t="s">
        <v>3777</v>
      </c>
      <c r="C100" s="479">
        <v>7.9861111111111105E-2</v>
      </c>
      <c r="D100" s="481" t="s">
        <v>3777</v>
      </c>
      <c r="E100" s="479">
        <v>0.62916666666666665</v>
      </c>
      <c r="F100" s="481" t="s">
        <v>3781</v>
      </c>
      <c r="G100" s="481" t="s">
        <v>124</v>
      </c>
      <c r="H100" s="485" t="s">
        <v>3463</v>
      </c>
      <c r="I100" s="481" t="s">
        <v>100</v>
      </c>
      <c r="J100" s="481" t="s">
        <v>3219</v>
      </c>
      <c r="K100" s="481" t="s">
        <v>3055</v>
      </c>
    </row>
    <row r="101" spans="1:11" s="66" customFormat="1" ht="33.75">
      <c r="A101" s="481" t="s">
        <v>103</v>
      </c>
      <c r="B101" s="481" t="s">
        <v>3782</v>
      </c>
      <c r="C101" s="479">
        <v>0.70486111111111116</v>
      </c>
      <c r="D101" s="481" t="s">
        <v>3782</v>
      </c>
      <c r="E101" s="479">
        <v>0.98611111111111116</v>
      </c>
      <c r="F101" s="481" t="s">
        <v>3325</v>
      </c>
      <c r="G101" s="481" t="s">
        <v>63</v>
      </c>
      <c r="H101" s="485" t="s">
        <v>3451</v>
      </c>
      <c r="I101" s="481" t="s">
        <v>22</v>
      </c>
      <c r="J101" s="481" t="s">
        <v>45</v>
      </c>
      <c r="K101" s="481" t="s">
        <v>3462</v>
      </c>
    </row>
    <row r="102" spans="1:11" s="66" customFormat="1" ht="67.5">
      <c r="A102" s="481" t="s">
        <v>103</v>
      </c>
      <c r="B102" s="481" t="s">
        <v>3782</v>
      </c>
      <c r="C102" s="479">
        <v>4.9305555555555554E-2</v>
      </c>
      <c r="D102" s="481" t="s">
        <v>3782</v>
      </c>
      <c r="E102" s="479">
        <v>0.5</v>
      </c>
      <c r="F102" s="481" t="s">
        <v>3561</v>
      </c>
      <c r="G102" s="481" t="s">
        <v>3143</v>
      </c>
      <c r="H102" s="485" t="s">
        <v>3411</v>
      </c>
      <c r="I102" s="481" t="s">
        <v>2990</v>
      </c>
      <c r="J102" s="481" t="s">
        <v>3055</v>
      </c>
      <c r="K102" s="481" t="s">
        <v>3055</v>
      </c>
    </row>
    <row r="103" spans="1:11" s="66" customFormat="1" ht="45">
      <c r="A103" s="481" t="s">
        <v>103</v>
      </c>
      <c r="B103" s="481" t="s">
        <v>3783</v>
      </c>
      <c r="C103" s="479">
        <v>0.31111111111111112</v>
      </c>
      <c r="D103" s="481" t="s">
        <v>3783</v>
      </c>
      <c r="E103" s="479">
        <v>0.35416666666666669</v>
      </c>
      <c r="F103" s="481" t="s">
        <v>3784</v>
      </c>
      <c r="G103" s="481" t="s">
        <v>63</v>
      </c>
      <c r="H103" s="485" t="s">
        <v>3387</v>
      </c>
      <c r="I103" s="481" t="s">
        <v>2764</v>
      </c>
      <c r="J103" s="481" t="s">
        <v>3055</v>
      </c>
      <c r="K103" s="481" t="s">
        <v>3055</v>
      </c>
    </row>
    <row r="104" spans="1:11" s="66" customFormat="1" ht="45">
      <c r="A104" s="481" t="s">
        <v>103</v>
      </c>
      <c r="B104" s="481" t="s">
        <v>3783</v>
      </c>
      <c r="C104" s="479">
        <v>0.83958333333333324</v>
      </c>
      <c r="D104" s="481" t="s">
        <v>3785</v>
      </c>
      <c r="E104" s="479">
        <v>0.59930555555555554</v>
      </c>
      <c r="F104" s="481" t="s">
        <v>3786</v>
      </c>
      <c r="G104" s="481" t="s">
        <v>674</v>
      </c>
      <c r="H104" s="485" t="s">
        <v>3387</v>
      </c>
      <c r="I104" s="481" t="s">
        <v>2764</v>
      </c>
      <c r="J104" s="481" t="s">
        <v>3055</v>
      </c>
      <c r="K104" s="481" t="s">
        <v>3055</v>
      </c>
    </row>
    <row r="105" spans="1:11" s="66" customFormat="1" ht="67.5">
      <c r="A105" s="481" t="s">
        <v>103</v>
      </c>
      <c r="B105" s="481" t="s">
        <v>3783</v>
      </c>
      <c r="C105" s="479">
        <v>0.90763888888888899</v>
      </c>
      <c r="D105" s="481" t="s">
        <v>3783</v>
      </c>
      <c r="E105" s="479">
        <v>0.99861111111111101</v>
      </c>
      <c r="F105" s="481" t="s">
        <v>2945</v>
      </c>
      <c r="G105" s="481" t="s">
        <v>124</v>
      </c>
      <c r="H105" s="485" t="s">
        <v>3366</v>
      </c>
      <c r="I105" s="481" t="s">
        <v>22</v>
      </c>
      <c r="J105" s="481" t="s">
        <v>3787</v>
      </c>
      <c r="K105" s="481" t="s">
        <v>3788</v>
      </c>
    </row>
    <row r="106" spans="1:11" s="66" customFormat="1" ht="45">
      <c r="A106" s="481" t="s">
        <v>103</v>
      </c>
      <c r="B106" s="481" t="s">
        <v>3789</v>
      </c>
      <c r="C106" s="479">
        <v>0.92152777777777783</v>
      </c>
      <c r="D106" s="481" t="s">
        <v>3790</v>
      </c>
      <c r="E106" s="479">
        <v>0.125</v>
      </c>
      <c r="F106" s="481" t="s">
        <v>3791</v>
      </c>
      <c r="G106" s="481" t="s">
        <v>3143</v>
      </c>
      <c r="H106" s="485" t="s">
        <v>3451</v>
      </c>
      <c r="I106" s="481" t="s">
        <v>2990</v>
      </c>
      <c r="J106" s="481" t="s">
        <v>3792</v>
      </c>
      <c r="K106" s="481" t="s">
        <v>3340</v>
      </c>
    </row>
    <row r="107" spans="1:11" s="66" customFormat="1" ht="67.5">
      <c r="A107" s="481" t="s">
        <v>123</v>
      </c>
      <c r="B107" s="481" t="s">
        <v>3793</v>
      </c>
      <c r="C107" s="479">
        <v>0.7631944444444444</v>
      </c>
      <c r="D107" s="481" t="s">
        <v>3793</v>
      </c>
      <c r="E107" s="479">
        <v>0.86319444444444438</v>
      </c>
      <c r="F107" s="481" t="s">
        <v>2945</v>
      </c>
      <c r="G107" s="481" t="s">
        <v>124</v>
      </c>
      <c r="H107" s="485" t="s">
        <v>3431</v>
      </c>
      <c r="I107" s="481" t="s">
        <v>2990</v>
      </c>
      <c r="J107" s="481" t="s">
        <v>45</v>
      </c>
      <c r="K107" s="481" t="s">
        <v>45</v>
      </c>
    </row>
    <row r="108" spans="1:11" s="66" customFormat="1" ht="78.75">
      <c r="A108" s="481" t="s">
        <v>123</v>
      </c>
      <c r="B108" s="481" t="s">
        <v>3794</v>
      </c>
      <c r="C108" s="479">
        <v>0.42708333333333331</v>
      </c>
      <c r="D108" s="481" t="s">
        <v>3794</v>
      </c>
      <c r="E108" s="479">
        <v>0.55208333333333337</v>
      </c>
      <c r="F108" s="481" t="s">
        <v>3795</v>
      </c>
      <c r="G108" s="481" t="s">
        <v>124</v>
      </c>
      <c r="H108" s="485" t="s">
        <v>3402</v>
      </c>
      <c r="I108" s="481" t="s">
        <v>2118</v>
      </c>
      <c r="J108" s="481" t="s">
        <v>3055</v>
      </c>
      <c r="K108" s="481" t="s">
        <v>3055</v>
      </c>
    </row>
    <row r="109" spans="1:11" s="66" customFormat="1" ht="78.75">
      <c r="A109" s="481" t="s">
        <v>123</v>
      </c>
      <c r="B109" s="481" t="s">
        <v>3796</v>
      </c>
      <c r="C109" s="479">
        <v>0.35902777777777778</v>
      </c>
      <c r="D109" s="481" t="s">
        <v>3796</v>
      </c>
      <c r="E109" s="479">
        <v>0.3611111111111111</v>
      </c>
      <c r="F109" s="481" t="s">
        <v>2850</v>
      </c>
      <c r="G109" s="481" t="s">
        <v>124</v>
      </c>
      <c r="H109" s="485" t="s">
        <v>3402</v>
      </c>
      <c r="I109" s="481" t="s">
        <v>100</v>
      </c>
      <c r="J109" s="481" t="s">
        <v>3055</v>
      </c>
      <c r="K109" s="481" t="s">
        <v>3055</v>
      </c>
    </row>
    <row r="110" spans="1:11" s="66" customFormat="1" ht="33.75">
      <c r="A110" s="481" t="s">
        <v>123</v>
      </c>
      <c r="B110" s="481" t="s">
        <v>3796</v>
      </c>
      <c r="C110" s="479">
        <v>0.42777777777777781</v>
      </c>
      <c r="D110" s="481" t="s">
        <v>3796</v>
      </c>
      <c r="E110" s="479">
        <v>0.4284722222222222</v>
      </c>
      <c r="F110" s="481" t="s">
        <v>3797</v>
      </c>
      <c r="G110" s="481" t="s">
        <v>674</v>
      </c>
      <c r="H110" s="485" t="s">
        <v>3356</v>
      </c>
      <c r="I110" s="481" t="s">
        <v>100</v>
      </c>
      <c r="J110" s="481" t="s">
        <v>3055</v>
      </c>
      <c r="K110" s="481" t="s">
        <v>3055</v>
      </c>
    </row>
    <row r="111" spans="1:11" s="66" customFormat="1" ht="33.75">
      <c r="A111" s="481" t="s">
        <v>123</v>
      </c>
      <c r="B111" s="481" t="s">
        <v>3796</v>
      </c>
      <c r="C111" s="479">
        <v>0.4069444444444445</v>
      </c>
      <c r="D111" s="481" t="s">
        <v>3796</v>
      </c>
      <c r="E111" s="479">
        <v>0.5</v>
      </c>
      <c r="F111" s="481" t="s">
        <v>3357</v>
      </c>
      <c r="G111" s="481" t="s">
        <v>124</v>
      </c>
      <c r="H111" s="485" t="s">
        <v>3356</v>
      </c>
      <c r="I111" s="481" t="s">
        <v>100</v>
      </c>
      <c r="J111" s="481" t="s">
        <v>3055</v>
      </c>
      <c r="K111" s="481" t="s">
        <v>3055</v>
      </c>
    </row>
    <row r="112" spans="1:11" s="66" customFormat="1" ht="33.75">
      <c r="A112" s="481" t="s">
        <v>123</v>
      </c>
      <c r="B112" s="481" t="s">
        <v>3798</v>
      </c>
      <c r="C112" s="479">
        <v>0.75624999999999998</v>
      </c>
      <c r="D112" s="481" t="s">
        <v>3798</v>
      </c>
      <c r="E112" s="479">
        <v>0.77430555555555547</v>
      </c>
      <c r="F112" s="481" t="s">
        <v>3162</v>
      </c>
      <c r="G112" s="481" t="s">
        <v>1352</v>
      </c>
      <c r="H112" s="485" t="s">
        <v>3451</v>
      </c>
      <c r="I112" s="481" t="s">
        <v>22</v>
      </c>
      <c r="J112" s="481" t="s">
        <v>45</v>
      </c>
      <c r="K112" s="481" t="s">
        <v>3799</v>
      </c>
    </row>
    <row r="113" spans="1:11" s="66" customFormat="1" ht="67.5">
      <c r="A113" s="481" t="s">
        <v>123</v>
      </c>
      <c r="B113" s="481" t="s">
        <v>3800</v>
      </c>
      <c r="C113" s="479">
        <v>0.61319444444444449</v>
      </c>
      <c r="D113" s="481" t="s">
        <v>3800</v>
      </c>
      <c r="E113" s="479">
        <v>0.68055555555555547</v>
      </c>
      <c r="F113" s="481" t="s">
        <v>3801</v>
      </c>
      <c r="G113" s="481" t="s">
        <v>1352</v>
      </c>
      <c r="H113" s="485" t="s">
        <v>3411</v>
      </c>
      <c r="I113" s="481" t="s">
        <v>2483</v>
      </c>
      <c r="J113" s="481" t="s">
        <v>3643</v>
      </c>
      <c r="K113" s="481" t="s">
        <v>3081</v>
      </c>
    </row>
    <row r="114" spans="1:11" s="66" customFormat="1" ht="67.5">
      <c r="A114" s="481" t="s">
        <v>123</v>
      </c>
      <c r="B114" s="481" t="s">
        <v>3802</v>
      </c>
      <c r="C114" s="479">
        <v>0.65972222222222221</v>
      </c>
      <c r="D114" s="481" t="s">
        <v>3802</v>
      </c>
      <c r="E114" s="479">
        <v>0.81944444444444453</v>
      </c>
      <c r="F114" s="481" t="s">
        <v>3803</v>
      </c>
      <c r="G114" s="481" t="s">
        <v>1352</v>
      </c>
      <c r="H114" s="485" t="s">
        <v>3411</v>
      </c>
      <c r="I114" s="481" t="s">
        <v>2483</v>
      </c>
      <c r="J114" s="481" t="s">
        <v>3055</v>
      </c>
      <c r="K114" s="481" t="s">
        <v>3055</v>
      </c>
    </row>
    <row r="115" spans="1:11" s="66" customFormat="1" ht="56.25">
      <c r="A115" s="481" t="s">
        <v>123</v>
      </c>
      <c r="B115" s="481" t="s">
        <v>3804</v>
      </c>
      <c r="C115" s="479">
        <v>0.61458333333333337</v>
      </c>
      <c r="D115" s="481" t="s">
        <v>3805</v>
      </c>
      <c r="E115" s="479">
        <v>0.9375</v>
      </c>
      <c r="F115" s="481" t="s">
        <v>3806</v>
      </c>
      <c r="G115" s="481" t="s">
        <v>1352</v>
      </c>
      <c r="H115" s="485" t="s">
        <v>3451</v>
      </c>
      <c r="I115" s="481" t="s">
        <v>22</v>
      </c>
      <c r="J115" s="481" t="s">
        <v>45</v>
      </c>
      <c r="K115" s="481" t="s">
        <v>3807</v>
      </c>
    </row>
    <row r="116" spans="1:11" s="66" customFormat="1" ht="33.75">
      <c r="A116" s="481" t="s">
        <v>123</v>
      </c>
      <c r="B116" s="481" t="s">
        <v>3808</v>
      </c>
      <c r="C116" s="479">
        <v>0.63263888888888886</v>
      </c>
      <c r="D116" s="481" t="s">
        <v>3808</v>
      </c>
      <c r="E116" s="479">
        <v>0.70833333333333337</v>
      </c>
      <c r="F116" s="481" t="s">
        <v>3809</v>
      </c>
      <c r="G116" s="481" t="s">
        <v>674</v>
      </c>
      <c r="H116" s="485" t="s">
        <v>3356</v>
      </c>
      <c r="I116" s="481" t="s">
        <v>100</v>
      </c>
      <c r="J116" s="481" t="s">
        <v>3055</v>
      </c>
      <c r="K116" s="481" t="s">
        <v>3055</v>
      </c>
    </row>
    <row r="117" spans="1:11" ht="67.5">
      <c r="A117" s="481" t="s">
        <v>123</v>
      </c>
      <c r="B117" s="481" t="s">
        <v>3808</v>
      </c>
      <c r="C117" s="479">
        <v>0.32777777777777778</v>
      </c>
      <c r="D117" s="481" t="s">
        <v>3808</v>
      </c>
      <c r="E117" s="479">
        <v>0.32847222222222222</v>
      </c>
      <c r="F117" s="481" t="s">
        <v>2865</v>
      </c>
      <c r="G117" s="481" t="s">
        <v>124</v>
      </c>
      <c r="H117" s="485" t="s">
        <v>3463</v>
      </c>
      <c r="I117" s="481" t="s">
        <v>100</v>
      </c>
      <c r="J117" s="481" t="s">
        <v>3055</v>
      </c>
      <c r="K117" s="481" t="s">
        <v>3055</v>
      </c>
    </row>
    <row r="118" spans="1:11" ht="45">
      <c r="A118" s="481" t="s">
        <v>123</v>
      </c>
      <c r="B118" s="481" t="s">
        <v>3810</v>
      </c>
      <c r="C118" s="479">
        <v>0.62222222222222223</v>
      </c>
      <c r="D118" s="481" t="s">
        <v>3810</v>
      </c>
      <c r="E118" s="479">
        <v>0.65972222222222221</v>
      </c>
      <c r="F118" s="481" t="s">
        <v>3811</v>
      </c>
      <c r="G118" s="481" t="s">
        <v>124</v>
      </c>
      <c r="H118" s="485" t="s">
        <v>3750</v>
      </c>
      <c r="I118" s="481" t="s">
        <v>2905</v>
      </c>
      <c r="J118" s="481" t="s">
        <v>3812</v>
      </c>
      <c r="K118" s="481" t="s">
        <v>3813</v>
      </c>
    </row>
    <row r="119" spans="1:11" ht="33.75">
      <c r="A119" s="481" t="s">
        <v>123</v>
      </c>
      <c r="B119" s="481" t="s">
        <v>3814</v>
      </c>
      <c r="C119" s="479">
        <v>8.3333333333333329E-2</v>
      </c>
      <c r="D119" s="481" t="s">
        <v>3815</v>
      </c>
      <c r="E119" s="479">
        <v>0.99930555555555556</v>
      </c>
      <c r="F119" s="481" t="s">
        <v>3816</v>
      </c>
      <c r="G119" s="481" t="s">
        <v>1352</v>
      </c>
      <c r="H119" s="485" t="s">
        <v>3451</v>
      </c>
      <c r="I119" s="481" t="s">
        <v>22</v>
      </c>
      <c r="J119" s="481" t="s">
        <v>45</v>
      </c>
      <c r="K119" s="481" t="s">
        <v>3817</v>
      </c>
    </row>
    <row r="120" spans="1:11" ht="67.5">
      <c r="A120" s="481" t="s">
        <v>123</v>
      </c>
      <c r="B120" s="481" t="s">
        <v>3814</v>
      </c>
      <c r="C120" s="479">
        <v>0.1423611111111111</v>
      </c>
      <c r="D120" s="481" t="s">
        <v>45</v>
      </c>
      <c r="E120" s="479" t="s">
        <v>45</v>
      </c>
      <c r="F120" s="481" t="s">
        <v>3693</v>
      </c>
      <c r="G120" s="481" t="s">
        <v>3347</v>
      </c>
      <c r="H120" s="485" t="s">
        <v>3411</v>
      </c>
      <c r="I120" s="481" t="s">
        <v>2990</v>
      </c>
      <c r="J120" s="481" t="s">
        <v>45</v>
      </c>
      <c r="K120" s="481" t="s">
        <v>45</v>
      </c>
    </row>
    <row r="121" spans="1:11" ht="78.75">
      <c r="A121" s="481" t="s">
        <v>123</v>
      </c>
      <c r="B121" s="481" t="s">
        <v>3818</v>
      </c>
      <c r="C121" s="479">
        <v>0.26458333333333334</v>
      </c>
      <c r="D121" s="481" t="s">
        <v>3818</v>
      </c>
      <c r="E121" s="479">
        <v>0.27777777777777779</v>
      </c>
      <c r="F121" s="481" t="s">
        <v>3819</v>
      </c>
      <c r="G121" s="481" t="s">
        <v>124</v>
      </c>
      <c r="H121" s="485" t="s">
        <v>3402</v>
      </c>
      <c r="I121" s="481" t="s">
        <v>2118</v>
      </c>
      <c r="J121" s="481" t="s">
        <v>3055</v>
      </c>
      <c r="K121" s="481" t="s">
        <v>3055</v>
      </c>
    </row>
    <row r="122" spans="1:11" ht="33.75">
      <c r="A122" s="481" t="s">
        <v>123</v>
      </c>
      <c r="B122" s="481" t="s">
        <v>3820</v>
      </c>
      <c r="C122" s="479">
        <v>0.45833333333333331</v>
      </c>
      <c r="D122" s="481" t="s">
        <v>3820</v>
      </c>
      <c r="E122" s="479">
        <v>0.45902777777777781</v>
      </c>
      <c r="F122" s="481" t="s">
        <v>3693</v>
      </c>
      <c r="G122" s="481" t="s">
        <v>3347</v>
      </c>
      <c r="H122" s="485" t="s">
        <v>3356</v>
      </c>
      <c r="I122" s="481" t="s">
        <v>100</v>
      </c>
      <c r="J122" s="481" t="s">
        <v>3055</v>
      </c>
      <c r="K122" s="481" t="s">
        <v>3055</v>
      </c>
    </row>
    <row r="123" spans="1:11" ht="33.75">
      <c r="A123" s="481" t="s">
        <v>123</v>
      </c>
      <c r="B123" s="481" t="s">
        <v>3820</v>
      </c>
      <c r="C123" s="479">
        <v>0.9375</v>
      </c>
      <c r="D123" s="481" t="s">
        <v>3821</v>
      </c>
      <c r="E123" s="479">
        <v>0.79166666666666663</v>
      </c>
      <c r="F123" s="481" t="s">
        <v>3405</v>
      </c>
      <c r="G123" s="481" t="s">
        <v>3347</v>
      </c>
      <c r="H123" s="485" t="s">
        <v>3451</v>
      </c>
      <c r="I123" s="481" t="s">
        <v>22</v>
      </c>
      <c r="J123" s="481" t="s">
        <v>45</v>
      </c>
      <c r="K123" s="481" t="s">
        <v>3822</v>
      </c>
    </row>
    <row r="124" spans="1:11" ht="33.75">
      <c r="A124" s="481" t="s">
        <v>123</v>
      </c>
      <c r="B124" s="481" t="s">
        <v>3820</v>
      </c>
      <c r="C124" s="479">
        <v>0.625</v>
      </c>
      <c r="D124" s="481" t="s">
        <v>45</v>
      </c>
      <c r="E124" s="479" t="s">
        <v>45</v>
      </c>
      <c r="F124" s="481" t="s">
        <v>2817</v>
      </c>
      <c r="G124" s="481" t="s">
        <v>124</v>
      </c>
      <c r="H124" s="485" t="s">
        <v>3356</v>
      </c>
      <c r="I124" s="481" t="s">
        <v>100</v>
      </c>
      <c r="J124" s="481" t="s">
        <v>3055</v>
      </c>
      <c r="K124" s="481" t="s">
        <v>3055</v>
      </c>
    </row>
    <row r="125" spans="1:11" ht="33.75">
      <c r="A125" s="481" t="s">
        <v>123</v>
      </c>
      <c r="B125" s="481" t="s">
        <v>3821</v>
      </c>
      <c r="C125" s="479">
        <v>0.6743055555555556</v>
      </c>
      <c r="D125" s="481" t="s">
        <v>3823</v>
      </c>
      <c r="E125" s="479">
        <v>0.53125</v>
      </c>
      <c r="F125" s="481" t="s">
        <v>3325</v>
      </c>
      <c r="G125" s="481" t="s">
        <v>63</v>
      </c>
      <c r="H125" s="485" t="s">
        <v>3451</v>
      </c>
      <c r="I125" s="481" t="s">
        <v>22</v>
      </c>
      <c r="J125" s="481" t="s">
        <v>45</v>
      </c>
      <c r="K125" s="481" t="s">
        <v>3237</v>
      </c>
    </row>
    <row r="126" spans="1:11" ht="45">
      <c r="A126" s="481" t="s">
        <v>123</v>
      </c>
      <c r="B126" s="481" t="s">
        <v>3823</v>
      </c>
      <c r="C126" s="479">
        <v>0.77500000000000002</v>
      </c>
      <c r="D126" s="481" t="s">
        <v>3823</v>
      </c>
      <c r="E126" s="479">
        <v>0.81041666666666667</v>
      </c>
      <c r="F126" s="481" t="s">
        <v>2959</v>
      </c>
      <c r="G126" s="481" t="s">
        <v>61</v>
      </c>
      <c r="H126" s="485" t="s">
        <v>3387</v>
      </c>
      <c r="I126" s="481" t="s">
        <v>2764</v>
      </c>
      <c r="J126" s="481" t="s">
        <v>3055</v>
      </c>
      <c r="K126" s="481" t="s">
        <v>3055</v>
      </c>
    </row>
    <row r="127" spans="1:11" ht="67.5">
      <c r="A127" s="481" t="s">
        <v>123</v>
      </c>
      <c r="B127" s="481" t="s">
        <v>3823</v>
      </c>
      <c r="C127" s="479">
        <v>0.80208333333333337</v>
      </c>
      <c r="D127" s="481" t="s">
        <v>45</v>
      </c>
      <c r="E127" s="479" t="s">
        <v>45</v>
      </c>
      <c r="F127" s="481" t="s">
        <v>3824</v>
      </c>
      <c r="G127" s="481" t="s">
        <v>63</v>
      </c>
      <c r="H127" s="485" t="s">
        <v>3431</v>
      </c>
      <c r="I127" s="481" t="s">
        <v>22</v>
      </c>
      <c r="J127" s="481" t="s">
        <v>45</v>
      </c>
      <c r="K127" s="481" t="s">
        <v>3240</v>
      </c>
    </row>
    <row r="128" spans="1:11" ht="33.75">
      <c r="A128" s="481" t="s">
        <v>123</v>
      </c>
      <c r="B128" s="481" t="s">
        <v>3823</v>
      </c>
      <c r="C128" s="479">
        <v>0.41666666666666669</v>
      </c>
      <c r="D128" s="481" t="s">
        <v>3823</v>
      </c>
      <c r="E128" s="479">
        <v>0.45833333333333331</v>
      </c>
      <c r="F128" s="481" t="s">
        <v>3357</v>
      </c>
      <c r="G128" s="481" t="s">
        <v>124</v>
      </c>
      <c r="H128" s="485" t="s">
        <v>3356</v>
      </c>
      <c r="I128" s="481" t="s">
        <v>100</v>
      </c>
      <c r="J128" s="481" t="s">
        <v>3055</v>
      </c>
      <c r="K128" s="481" t="s">
        <v>3055</v>
      </c>
    </row>
    <row r="129" spans="1:11" ht="33.75">
      <c r="A129" s="481" t="s">
        <v>123</v>
      </c>
      <c r="B129" s="481" t="s">
        <v>3825</v>
      </c>
      <c r="C129" s="479">
        <v>0.8652777777777777</v>
      </c>
      <c r="D129" s="481" t="s">
        <v>3826</v>
      </c>
      <c r="E129" s="479">
        <v>2.0833333333333332E-2</v>
      </c>
      <c r="F129" s="481" t="s">
        <v>3273</v>
      </c>
      <c r="G129" s="481" t="s">
        <v>63</v>
      </c>
      <c r="H129" s="485" t="s">
        <v>3451</v>
      </c>
      <c r="I129" s="481" t="s">
        <v>22</v>
      </c>
      <c r="J129" s="481" t="s">
        <v>3827</v>
      </c>
      <c r="K129" s="481" t="s">
        <v>3828</v>
      </c>
    </row>
    <row r="130" spans="1:11" ht="67.5">
      <c r="A130" s="481" t="s">
        <v>123</v>
      </c>
      <c r="B130" s="481" t="s">
        <v>3826</v>
      </c>
      <c r="C130" s="479">
        <v>0.91666666666666663</v>
      </c>
      <c r="D130" s="481" t="s">
        <v>3829</v>
      </c>
      <c r="E130" s="479">
        <v>0.95833333333333337</v>
      </c>
      <c r="F130" s="481" t="s">
        <v>3830</v>
      </c>
      <c r="G130" s="481" t="s">
        <v>1352</v>
      </c>
      <c r="H130" s="485" t="s">
        <v>3451</v>
      </c>
      <c r="I130" s="481" t="s">
        <v>22</v>
      </c>
      <c r="J130" s="481" t="s">
        <v>45</v>
      </c>
      <c r="K130" s="481" t="s">
        <v>3831</v>
      </c>
    </row>
    <row r="131" spans="1:11" ht="67.5">
      <c r="A131" s="481" t="s">
        <v>123</v>
      </c>
      <c r="B131" s="481" t="s">
        <v>3826</v>
      </c>
      <c r="C131" s="479">
        <v>0.21736111111111112</v>
      </c>
      <c r="D131" s="481" t="s">
        <v>3826</v>
      </c>
      <c r="E131" s="479">
        <v>0.45694444444444443</v>
      </c>
      <c r="F131" s="481" t="s">
        <v>3405</v>
      </c>
      <c r="G131" s="481" t="s">
        <v>3347</v>
      </c>
      <c r="H131" s="485" t="s">
        <v>3411</v>
      </c>
      <c r="I131" s="481" t="s">
        <v>2483</v>
      </c>
      <c r="J131" s="481" t="s">
        <v>3832</v>
      </c>
      <c r="K131" s="481" t="s">
        <v>3833</v>
      </c>
    </row>
    <row r="132" spans="1:11" ht="45">
      <c r="A132" s="481" t="s">
        <v>123</v>
      </c>
      <c r="B132" s="481" t="s">
        <v>3834</v>
      </c>
      <c r="C132" s="479">
        <v>0.40277777777777773</v>
      </c>
      <c r="D132" s="481" t="s">
        <v>3834</v>
      </c>
      <c r="E132" s="479">
        <v>0.63680555555555551</v>
      </c>
      <c r="F132" s="481" t="s">
        <v>3835</v>
      </c>
      <c r="G132" s="481" t="s">
        <v>3347</v>
      </c>
      <c r="H132" s="485" t="s">
        <v>3447</v>
      </c>
      <c r="I132" s="481" t="s">
        <v>2764</v>
      </c>
      <c r="J132" s="481" t="s">
        <v>3055</v>
      </c>
      <c r="K132" s="481" t="s">
        <v>3055</v>
      </c>
    </row>
    <row r="133" spans="1:11" ht="33.75">
      <c r="A133" s="481" t="s">
        <v>123</v>
      </c>
      <c r="B133" s="481" t="s">
        <v>3834</v>
      </c>
      <c r="C133" s="479">
        <v>0.22916666666666666</v>
      </c>
      <c r="D133" s="481" t="s">
        <v>3834</v>
      </c>
      <c r="E133" s="479">
        <v>0.36458333333333331</v>
      </c>
      <c r="F133" s="481" t="s">
        <v>3405</v>
      </c>
      <c r="G133" s="481" t="s">
        <v>3347</v>
      </c>
      <c r="H133" s="485" t="s">
        <v>3451</v>
      </c>
      <c r="I133" s="481" t="s">
        <v>22</v>
      </c>
      <c r="J133" s="481" t="s">
        <v>45</v>
      </c>
      <c r="K133" s="481" t="s">
        <v>3836</v>
      </c>
    </row>
    <row r="134" spans="1:11" ht="67.5">
      <c r="A134" s="481" t="s">
        <v>123</v>
      </c>
      <c r="B134" s="481" t="s">
        <v>3837</v>
      </c>
      <c r="C134" s="479">
        <v>0.58194444444444449</v>
      </c>
      <c r="D134" s="481" t="s">
        <v>3837</v>
      </c>
      <c r="E134" s="479">
        <v>0.5854166666666667</v>
      </c>
      <c r="F134" s="481" t="s">
        <v>3838</v>
      </c>
      <c r="G134" s="481" t="s">
        <v>674</v>
      </c>
      <c r="H134" s="485" t="s">
        <v>3411</v>
      </c>
      <c r="I134" s="481" t="s">
        <v>2483</v>
      </c>
      <c r="J134" s="481" t="s">
        <v>3839</v>
      </c>
      <c r="K134" s="481" t="s">
        <v>3055</v>
      </c>
    </row>
    <row r="135" spans="1:11" ht="67.5">
      <c r="A135" s="481" t="s">
        <v>123</v>
      </c>
      <c r="B135" s="481" t="s">
        <v>3840</v>
      </c>
      <c r="C135" s="479">
        <v>0.60069444444444442</v>
      </c>
      <c r="D135" s="481" t="s">
        <v>45</v>
      </c>
      <c r="E135" s="479" t="s">
        <v>45</v>
      </c>
      <c r="F135" s="481" t="s">
        <v>3841</v>
      </c>
      <c r="G135" s="481" t="s">
        <v>124</v>
      </c>
      <c r="H135" s="485" t="s">
        <v>3411</v>
      </c>
      <c r="I135" s="481" t="s">
        <v>2483</v>
      </c>
      <c r="J135" s="481" t="s">
        <v>3055</v>
      </c>
      <c r="K135" s="481" t="s">
        <v>3055</v>
      </c>
    </row>
    <row r="136" spans="1:11" ht="33.75">
      <c r="A136" s="481" t="s">
        <v>123</v>
      </c>
      <c r="B136" s="481" t="s">
        <v>3842</v>
      </c>
      <c r="C136" s="479">
        <v>0.63541666666666663</v>
      </c>
      <c r="D136" s="481" t="s">
        <v>3842</v>
      </c>
      <c r="E136" s="479">
        <v>0.67708333333333337</v>
      </c>
      <c r="F136" s="481" t="s">
        <v>3843</v>
      </c>
      <c r="G136" s="481" t="s">
        <v>61</v>
      </c>
      <c r="H136" s="485" t="s">
        <v>3451</v>
      </c>
      <c r="I136" s="481" t="s">
        <v>22</v>
      </c>
      <c r="J136" s="481" t="s">
        <v>3844</v>
      </c>
      <c r="K136" s="481" t="s">
        <v>3845</v>
      </c>
    </row>
    <row r="137" spans="1:11" ht="90">
      <c r="A137" s="481" t="s">
        <v>123</v>
      </c>
      <c r="B137" s="481" t="s">
        <v>3842</v>
      </c>
      <c r="C137" s="479">
        <v>0.64583333333333337</v>
      </c>
      <c r="D137" s="481" t="s">
        <v>3842</v>
      </c>
      <c r="E137" s="479">
        <v>0.85416666666666663</v>
      </c>
      <c r="F137" s="481" t="s">
        <v>3846</v>
      </c>
      <c r="G137" s="481" t="s">
        <v>63</v>
      </c>
      <c r="H137" s="485" t="s">
        <v>3451</v>
      </c>
      <c r="I137" s="481" t="s">
        <v>22</v>
      </c>
      <c r="J137" s="481" t="s">
        <v>45</v>
      </c>
      <c r="K137" s="481" t="s">
        <v>3462</v>
      </c>
    </row>
    <row r="138" spans="1:11" ht="33.75">
      <c r="A138" s="481" t="s">
        <v>26</v>
      </c>
      <c r="B138" s="481" t="s">
        <v>3847</v>
      </c>
      <c r="C138" s="479">
        <v>0.54166666666666663</v>
      </c>
      <c r="D138" s="481" t="s">
        <v>3847</v>
      </c>
      <c r="E138" s="479">
        <v>0.55694444444444446</v>
      </c>
      <c r="F138" s="481" t="s">
        <v>2847</v>
      </c>
      <c r="G138" s="481" t="s">
        <v>124</v>
      </c>
      <c r="H138" s="485" t="s">
        <v>3356</v>
      </c>
      <c r="I138" s="481" t="s">
        <v>100</v>
      </c>
      <c r="J138" s="481" t="s">
        <v>3055</v>
      </c>
      <c r="K138" s="481" t="s">
        <v>3055</v>
      </c>
    </row>
    <row r="139" spans="1:11" ht="67.5">
      <c r="A139" s="481" t="s">
        <v>26</v>
      </c>
      <c r="B139" s="481" t="s">
        <v>3848</v>
      </c>
      <c r="C139" s="479">
        <v>0.91666666666666663</v>
      </c>
      <c r="D139" s="481" t="s">
        <v>3849</v>
      </c>
      <c r="E139" s="479">
        <v>0.58124999999999993</v>
      </c>
      <c r="F139" s="481" t="s">
        <v>3850</v>
      </c>
      <c r="G139" s="481" t="s">
        <v>63</v>
      </c>
      <c r="H139" s="485" t="s">
        <v>3463</v>
      </c>
      <c r="I139" s="481" t="s">
        <v>100</v>
      </c>
      <c r="J139" s="481" t="s">
        <v>45</v>
      </c>
      <c r="K139" s="481" t="s">
        <v>3851</v>
      </c>
    </row>
    <row r="140" spans="1:11" ht="33.75">
      <c r="A140" s="481" t="s">
        <v>26</v>
      </c>
      <c r="B140" s="481" t="s">
        <v>3852</v>
      </c>
      <c r="C140" s="479">
        <v>8.2638888888888887E-2</v>
      </c>
      <c r="D140" s="481" t="s">
        <v>3852</v>
      </c>
      <c r="E140" s="479">
        <v>0.65972222222222221</v>
      </c>
      <c r="F140" s="481" t="s">
        <v>3853</v>
      </c>
      <c r="G140" s="481" t="s">
        <v>3347</v>
      </c>
      <c r="H140" s="485" t="s">
        <v>3356</v>
      </c>
      <c r="I140" s="481" t="s">
        <v>100</v>
      </c>
      <c r="J140" s="481" t="s">
        <v>3055</v>
      </c>
      <c r="K140" s="481" t="s">
        <v>3055</v>
      </c>
    </row>
    <row r="141" spans="1:11" ht="45">
      <c r="A141" s="481" t="s">
        <v>26</v>
      </c>
      <c r="B141" s="481" t="s">
        <v>3854</v>
      </c>
      <c r="C141" s="479">
        <v>0.50694444444444442</v>
      </c>
      <c r="D141" s="481" t="s">
        <v>3855</v>
      </c>
      <c r="E141" s="479">
        <v>0.52083333333333337</v>
      </c>
      <c r="F141" s="481" t="s">
        <v>3856</v>
      </c>
      <c r="G141" s="481" t="s">
        <v>1352</v>
      </c>
      <c r="H141" s="485" t="s">
        <v>3451</v>
      </c>
      <c r="I141" s="481" t="s">
        <v>22</v>
      </c>
      <c r="J141" s="481" t="s">
        <v>45</v>
      </c>
      <c r="K141" s="481" t="s">
        <v>3295</v>
      </c>
    </row>
    <row r="142" spans="1:11" ht="33.75">
      <c r="A142" s="481" t="s">
        <v>26</v>
      </c>
      <c r="B142" s="481" t="s">
        <v>3854</v>
      </c>
      <c r="C142" s="479">
        <v>0.5</v>
      </c>
      <c r="D142" s="481" t="s">
        <v>3854</v>
      </c>
      <c r="E142" s="479">
        <v>0.51041666666666663</v>
      </c>
      <c r="F142" s="481" t="s">
        <v>2831</v>
      </c>
      <c r="G142" s="481" t="s">
        <v>124</v>
      </c>
      <c r="H142" s="485" t="s">
        <v>3356</v>
      </c>
      <c r="I142" s="481" t="s">
        <v>100</v>
      </c>
      <c r="J142" s="481" t="s">
        <v>3055</v>
      </c>
      <c r="K142" s="481" t="s">
        <v>3055</v>
      </c>
    </row>
    <row r="143" spans="1:11" ht="67.5">
      <c r="A143" s="481" t="s">
        <v>26</v>
      </c>
      <c r="B143" s="481" t="s">
        <v>3857</v>
      </c>
      <c r="C143" s="479">
        <v>0.46388888888888885</v>
      </c>
      <c r="D143" s="481" t="s">
        <v>3857</v>
      </c>
      <c r="E143" s="479">
        <v>0.46736111111111112</v>
      </c>
      <c r="F143" s="481" t="s">
        <v>3858</v>
      </c>
      <c r="G143" s="481" t="s">
        <v>1352</v>
      </c>
      <c r="H143" s="485" t="s">
        <v>3411</v>
      </c>
      <c r="I143" s="481" t="s">
        <v>2483</v>
      </c>
      <c r="J143" s="481" t="s">
        <v>3859</v>
      </c>
      <c r="K143" s="481" t="s">
        <v>3860</v>
      </c>
    </row>
    <row r="144" spans="1:11" ht="202.5">
      <c r="A144" s="481" t="s">
        <v>26</v>
      </c>
      <c r="B144" s="481" t="s">
        <v>3861</v>
      </c>
      <c r="C144" s="479">
        <v>0.99652777777777779</v>
      </c>
      <c r="D144" s="481" t="s">
        <v>3862</v>
      </c>
      <c r="E144" s="479">
        <v>0.54166666666666663</v>
      </c>
      <c r="F144" s="481" t="s">
        <v>3863</v>
      </c>
      <c r="G144" s="481" t="s">
        <v>63</v>
      </c>
      <c r="H144" s="485" t="s">
        <v>3451</v>
      </c>
      <c r="I144" s="481" t="s">
        <v>22</v>
      </c>
      <c r="J144" s="481" t="s">
        <v>45</v>
      </c>
      <c r="K144" s="481" t="s">
        <v>3864</v>
      </c>
    </row>
    <row r="145" spans="1:11" ht="33.75">
      <c r="A145" s="481" t="s">
        <v>26</v>
      </c>
      <c r="B145" s="481" t="s">
        <v>3861</v>
      </c>
      <c r="C145" s="479">
        <v>0.30208333333333331</v>
      </c>
      <c r="D145" s="481" t="s">
        <v>3862</v>
      </c>
      <c r="E145" s="479">
        <v>0.70833333333333337</v>
      </c>
      <c r="F145" s="481" t="s">
        <v>2866</v>
      </c>
      <c r="G145" s="481" t="s">
        <v>63</v>
      </c>
      <c r="H145" s="485" t="s">
        <v>3451</v>
      </c>
      <c r="I145" s="481" t="s">
        <v>22</v>
      </c>
      <c r="J145" s="481" t="s">
        <v>45</v>
      </c>
      <c r="K145" s="481" t="s">
        <v>3865</v>
      </c>
    </row>
    <row r="146" spans="1:11" ht="45">
      <c r="A146" s="481" t="s">
        <v>26</v>
      </c>
      <c r="B146" s="481" t="s">
        <v>3861</v>
      </c>
      <c r="C146" s="479">
        <v>0.78263888888888899</v>
      </c>
      <c r="D146" s="481" t="s">
        <v>3861</v>
      </c>
      <c r="E146" s="479">
        <v>0.98402777777777783</v>
      </c>
      <c r="F146" s="481" t="s">
        <v>3370</v>
      </c>
      <c r="G146" s="481" t="s">
        <v>61</v>
      </c>
      <c r="H146" s="485" t="s">
        <v>3379</v>
      </c>
      <c r="I146" s="481" t="s">
        <v>2483</v>
      </c>
      <c r="J146" s="481" t="s">
        <v>3866</v>
      </c>
      <c r="K146" s="481" t="s">
        <v>3867</v>
      </c>
    </row>
    <row r="147" spans="1:11" ht="78.75">
      <c r="A147" s="481" t="s">
        <v>26</v>
      </c>
      <c r="B147" s="481" t="s">
        <v>3868</v>
      </c>
      <c r="C147" s="479">
        <v>0.59166666666666667</v>
      </c>
      <c r="D147" s="481" t="s">
        <v>3868</v>
      </c>
      <c r="E147" s="479">
        <v>0.60416666666666663</v>
      </c>
      <c r="F147" s="481" t="s">
        <v>3835</v>
      </c>
      <c r="G147" s="481" t="s">
        <v>3347</v>
      </c>
      <c r="H147" s="485" t="s">
        <v>3402</v>
      </c>
      <c r="I147" s="481" t="s">
        <v>2118</v>
      </c>
      <c r="J147" s="481" t="s">
        <v>3055</v>
      </c>
      <c r="K147" s="481" t="s">
        <v>3055</v>
      </c>
    </row>
    <row r="148" spans="1:11" ht="33.75">
      <c r="A148" s="481" t="s">
        <v>26</v>
      </c>
      <c r="B148" s="481" t="s">
        <v>3869</v>
      </c>
      <c r="C148" s="479">
        <v>0.79166666666666663</v>
      </c>
      <c r="D148" s="481" t="s">
        <v>3870</v>
      </c>
      <c r="E148" s="479">
        <v>0.83333333333333337</v>
      </c>
      <c r="F148" s="481" t="s">
        <v>3307</v>
      </c>
      <c r="G148" s="481" t="s">
        <v>3143</v>
      </c>
      <c r="H148" s="485" t="s">
        <v>3451</v>
      </c>
      <c r="I148" s="481" t="s">
        <v>22</v>
      </c>
      <c r="J148" s="481" t="s">
        <v>45</v>
      </c>
      <c r="K148" s="481" t="s">
        <v>3871</v>
      </c>
    </row>
    <row r="149" spans="1:11" ht="45">
      <c r="A149" s="481" t="s">
        <v>26</v>
      </c>
      <c r="B149" s="481" t="s">
        <v>3869</v>
      </c>
      <c r="C149" s="479">
        <v>0.41319444444444442</v>
      </c>
      <c r="D149" s="481" t="s">
        <v>3869</v>
      </c>
      <c r="E149" s="479">
        <v>0.54166666666666663</v>
      </c>
      <c r="F149" s="481" t="s">
        <v>3872</v>
      </c>
      <c r="G149" s="481" t="s">
        <v>674</v>
      </c>
      <c r="H149" s="485" t="s">
        <v>3447</v>
      </c>
      <c r="I149" s="481" t="s">
        <v>2764</v>
      </c>
      <c r="J149" s="481" t="s">
        <v>45</v>
      </c>
      <c r="K149" s="481" t="s">
        <v>45</v>
      </c>
    </row>
    <row r="150" spans="1:11" ht="90">
      <c r="A150" s="481" t="s">
        <v>26</v>
      </c>
      <c r="B150" s="481" t="s">
        <v>3873</v>
      </c>
      <c r="C150" s="479">
        <v>0.31736111111111115</v>
      </c>
      <c r="D150" s="481" t="s">
        <v>3873</v>
      </c>
      <c r="E150" s="479">
        <v>0.3888888888888889</v>
      </c>
      <c r="F150" s="481" t="s">
        <v>3439</v>
      </c>
      <c r="G150" s="481" t="s">
        <v>63</v>
      </c>
      <c r="H150" s="485" t="s">
        <v>3874</v>
      </c>
      <c r="I150" s="481" t="s">
        <v>2118</v>
      </c>
      <c r="J150" s="481" t="s">
        <v>3055</v>
      </c>
      <c r="K150" s="481" t="s">
        <v>3055</v>
      </c>
    </row>
    <row r="151" spans="1:11" ht="33.75">
      <c r="A151" s="481" t="s">
        <v>26</v>
      </c>
      <c r="B151" s="481" t="s">
        <v>3873</v>
      </c>
      <c r="C151" s="479">
        <v>0.49652777777777773</v>
      </c>
      <c r="D151" s="481" t="s">
        <v>3875</v>
      </c>
      <c r="E151" s="479">
        <v>0</v>
      </c>
      <c r="F151" s="481" t="s">
        <v>3876</v>
      </c>
      <c r="G151" s="481" t="s">
        <v>3143</v>
      </c>
      <c r="H151" s="485" t="s">
        <v>3451</v>
      </c>
      <c r="I151" s="481" t="s">
        <v>22</v>
      </c>
      <c r="J151" s="481" t="s">
        <v>3110</v>
      </c>
      <c r="K151" s="481" t="s">
        <v>3240</v>
      </c>
    </row>
    <row r="152" spans="1:11" ht="67.5">
      <c r="A152" s="481" t="s">
        <v>26</v>
      </c>
      <c r="B152" s="481" t="s">
        <v>3873</v>
      </c>
      <c r="C152" s="479">
        <v>0.125</v>
      </c>
      <c r="D152" s="481" t="s">
        <v>3877</v>
      </c>
      <c r="E152" s="479">
        <v>0.29166666666666669</v>
      </c>
      <c r="F152" s="481" t="s">
        <v>3878</v>
      </c>
      <c r="G152" s="481" t="s">
        <v>3143</v>
      </c>
      <c r="H152" s="485" t="s">
        <v>3451</v>
      </c>
      <c r="I152" s="481" t="s">
        <v>22</v>
      </c>
      <c r="J152" s="481" t="s">
        <v>45</v>
      </c>
      <c r="K152" s="481" t="s">
        <v>3058</v>
      </c>
    </row>
    <row r="153" spans="1:11" ht="56.25">
      <c r="A153" s="481" t="s">
        <v>26</v>
      </c>
      <c r="B153" s="481" t="s">
        <v>3870</v>
      </c>
      <c r="C153" s="479">
        <v>0.95833333333333337</v>
      </c>
      <c r="D153" s="481" t="s">
        <v>3877</v>
      </c>
      <c r="E153" s="479">
        <v>0.87083333333333324</v>
      </c>
      <c r="F153" s="481" t="s">
        <v>3879</v>
      </c>
      <c r="G153" s="481" t="s">
        <v>61</v>
      </c>
      <c r="H153" s="485" t="s">
        <v>3451</v>
      </c>
      <c r="I153" s="481" t="s">
        <v>22</v>
      </c>
      <c r="J153" s="481" t="s">
        <v>3880</v>
      </c>
      <c r="K153" s="481" t="s">
        <v>3881</v>
      </c>
    </row>
    <row r="154" spans="1:11" ht="33.75">
      <c r="A154" s="481" t="s">
        <v>26</v>
      </c>
      <c r="B154" s="481" t="s">
        <v>3877</v>
      </c>
      <c r="C154" s="479">
        <v>0.66666666666666663</v>
      </c>
      <c r="D154" s="481" t="s">
        <v>3882</v>
      </c>
      <c r="E154" s="479">
        <v>0.95833333333333337</v>
      </c>
      <c r="F154" s="481" t="s">
        <v>3883</v>
      </c>
      <c r="G154" s="481" t="s">
        <v>3143</v>
      </c>
      <c r="H154" s="485" t="s">
        <v>3451</v>
      </c>
      <c r="I154" s="481" t="s">
        <v>22</v>
      </c>
      <c r="J154" s="481" t="s">
        <v>45</v>
      </c>
      <c r="K154" s="481" t="s">
        <v>3603</v>
      </c>
    </row>
    <row r="155" spans="1:11" ht="33.75">
      <c r="A155" s="481" t="s">
        <v>26</v>
      </c>
      <c r="B155" s="481" t="s">
        <v>3877</v>
      </c>
      <c r="C155" s="479">
        <v>0.74305555555555547</v>
      </c>
      <c r="D155" s="481" t="s">
        <v>3884</v>
      </c>
      <c r="E155" s="479">
        <v>0.55208333333333337</v>
      </c>
      <c r="F155" s="481" t="s">
        <v>3885</v>
      </c>
      <c r="G155" s="481" t="s">
        <v>3143</v>
      </c>
      <c r="H155" s="485" t="s">
        <v>3451</v>
      </c>
      <c r="I155" s="481" t="s">
        <v>22</v>
      </c>
      <c r="J155" s="481" t="s">
        <v>3886</v>
      </c>
      <c r="K155" s="481" t="s">
        <v>3887</v>
      </c>
    </row>
    <row r="156" spans="1:11" ht="67.5">
      <c r="A156" s="481" t="s">
        <v>26</v>
      </c>
      <c r="B156" s="481" t="s">
        <v>3875</v>
      </c>
      <c r="C156" s="479">
        <v>0.99652777777777779</v>
      </c>
      <c r="D156" s="481" t="s">
        <v>3875</v>
      </c>
      <c r="E156" s="479">
        <v>0.99722222222222223</v>
      </c>
      <c r="F156" s="481" t="s">
        <v>3642</v>
      </c>
      <c r="G156" s="481" t="s">
        <v>674</v>
      </c>
      <c r="H156" s="485" t="s">
        <v>3411</v>
      </c>
      <c r="I156" s="481" t="s">
        <v>2483</v>
      </c>
      <c r="J156" s="481" t="s">
        <v>3055</v>
      </c>
      <c r="K156" s="481" t="s">
        <v>3055</v>
      </c>
    </row>
    <row r="157" spans="1:11" ht="33.75">
      <c r="A157" s="481" t="s">
        <v>26</v>
      </c>
      <c r="B157" s="481" t="s">
        <v>3875</v>
      </c>
      <c r="C157" s="479">
        <v>0.14027777777777778</v>
      </c>
      <c r="D157" s="481" t="s">
        <v>3875</v>
      </c>
      <c r="E157" s="479">
        <v>0.23611111111111113</v>
      </c>
      <c r="F157" s="481" t="s">
        <v>3888</v>
      </c>
      <c r="G157" s="481" t="s">
        <v>124</v>
      </c>
      <c r="H157" s="485" t="s">
        <v>3356</v>
      </c>
      <c r="I157" s="481" t="s">
        <v>100</v>
      </c>
      <c r="J157" s="481" t="s">
        <v>45</v>
      </c>
      <c r="K157" s="481" t="s">
        <v>3889</v>
      </c>
    </row>
    <row r="158" spans="1:11" ht="67.5">
      <c r="A158" s="481" t="s">
        <v>26</v>
      </c>
      <c r="B158" s="481" t="s">
        <v>3875</v>
      </c>
      <c r="C158" s="479">
        <v>0.99652777777777779</v>
      </c>
      <c r="D158" s="481" t="s">
        <v>3882</v>
      </c>
      <c r="E158" s="479">
        <v>0.22361111111111109</v>
      </c>
      <c r="F158" s="481" t="s">
        <v>3890</v>
      </c>
      <c r="G158" s="481" t="s">
        <v>674</v>
      </c>
      <c r="H158" s="485" t="s">
        <v>3411</v>
      </c>
      <c r="I158" s="481" t="s">
        <v>2483</v>
      </c>
      <c r="J158" s="481" t="s">
        <v>3055</v>
      </c>
      <c r="K158" s="481" t="s">
        <v>3055</v>
      </c>
    </row>
    <row r="159" spans="1:11" ht="33.75">
      <c r="A159" s="481" t="s">
        <v>26</v>
      </c>
      <c r="B159" s="481" t="s">
        <v>3875</v>
      </c>
      <c r="C159" s="479">
        <v>0.65208333333333335</v>
      </c>
      <c r="D159" s="481" t="s">
        <v>3875</v>
      </c>
      <c r="E159" s="479">
        <v>0.79166666666666663</v>
      </c>
      <c r="F159" s="481" t="s">
        <v>3335</v>
      </c>
      <c r="G159" s="481" t="s">
        <v>61</v>
      </c>
      <c r="H159" s="485" t="s">
        <v>3451</v>
      </c>
      <c r="I159" s="481" t="s">
        <v>22</v>
      </c>
      <c r="J159" s="481" t="s">
        <v>3891</v>
      </c>
      <c r="K159" s="481" t="s">
        <v>3892</v>
      </c>
    </row>
    <row r="160" spans="1:11" ht="33.75">
      <c r="A160" s="481" t="s">
        <v>26</v>
      </c>
      <c r="B160" s="481" t="s">
        <v>3882</v>
      </c>
      <c r="C160" s="479">
        <v>0.5625</v>
      </c>
      <c r="D160" s="481" t="s">
        <v>3882</v>
      </c>
      <c r="E160" s="479">
        <v>0.56319444444444444</v>
      </c>
      <c r="F160" s="481" t="s">
        <v>3648</v>
      </c>
      <c r="G160" s="481" t="s">
        <v>124</v>
      </c>
      <c r="H160" s="485" t="s">
        <v>3356</v>
      </c>
      <c r="I160" s="481" t="s">
        <v>100</v>
      </c>
      <c r="J160" s="481" t="s">
        <v>45</v>
      </c>
      <c r="K160" s="481" t="s">
        <v>3081</v>
      </c>
    </row>
    <row r="161" spans="1:11" ht="45">
      <c r="A161" s="481" t="s">
        <v>26</v>
      </c>
      <c r="B161" s="481" t="s">
        <v>3882</v>
      </c>
      <c r="C161" s="479">
        <v>0.33402777777777781</v>
      </c>
      <c r="D161" s="481" t="s">
        <v>3882</v>
      </c>
      <c r="E161" s="479">
        <v>0.53402777777777777</v>
      </c>
      <c r="F161" s="481" t="s">
        <v>2959</v>
      </c>
      <c r="G161" s="481" t="s">
        <v>61</v>
      </c>
      <c r="H161" s="485" t="s">
        <v>3387</v>
      </c>
      <c r="I161" s="481" t="s">
        <v>2764</v>
      </c>
      <c r="J161" s="481" t="s">
        <v>3055</v>
      </c>
      <c r="K161" s="481" t="s">
        <v>3055</v>
      </c>
    </row>
    <row r="162" spans="1:11" ht="45">
      <c r="A162" s="481" t="s">
        <v>26</v>
      </c>
      <c r="B162" s="481" t="s">
        <v>3893</v>
      </c>
      <c r="C162" s="479">
        <v>0.78333333333333333</v>
      </c>
      <c r="D162" s="481" t="s">
        <v>3893</v>
      </c>
      <c r="E162" s="479">
        <v>0.8041666666666667</v>
      </c>
      <c r="F162" s="481" t="s">
        <v>3307</v>
      </c>
      <c r="G162" s="481" t="s">
        <v>3143</v>
      </c>
      <c r="H162" s="485" t="s">
        <v>3387</v>
      </c>
      <c r="I162" s="481" t="s">
        <v>2764</v>
      </c>
      <c r="J162" s="481" t="s">
        <v>3055</v>
      </c>
      <c r="K162" s="481" t="s">
        <v>3055</v>
      </c>
    </row>
    <row r="163" spans="1:11" ht="67.5">
      <c r="A163" s="481" t="s">
        <v>26</v>
      </c>
      <c r="B163" s="481" t="s">
        <v>3894</v>
      </c>
      <c r="C163" s="479">
        <v>0.36458333333333331</v>
      </c>
      <c r="D163" s="481" t="s">
        <v>3894</v>
      </c>
      <c r="E163" s="479">
        <v>0.40625</v>
      </c>
      <c r="F163" s="481" t="s">
        <v>2866</v>
      </c>
      <c r="G163" s="481" t="s">
        <v>63</v>
      </c>
      <c r="H163" s="485" t="s">
        <v>3411</v>
      </c>
      <c r="I163" s="481" t="s">
        <v>2990</v>
      </c>
      <c r="J163" s="481" t="s">
        <v>45</v>
      </c>
      <c r="K163" s="481" t="s">
        <v>3895</v>
      </c>
    </row>
    <row r="164" spans="1:11" ht="45">
      <c r="A164" s="481" t="s">
        <v>32</v>
      </c>
      <c r="B164" s="481" t="s">
        <v>3896</v>
      </c>
      <c r="C164" s="479">
        <v>0.76666666666666661</v>
      </c>
      <c r="D164" s="481" t="s">
        <v>3896</v>
      </c>
      <c r="E164" s="479">
        <v>0.81111111111111101</v>
      </c>
      <c r="F164" s="481" t="s">
        <v>2862</v>
      </c>
      <c r="G164" s="481" t="s">
        <v>124</v>
      </c>
      <c r="H164" s="485" t="s">
        <v>3447</v>
      </c>
      <c r="I164" s="481" t="s">
        <v>2764</v>
      </c>
      <c r="J164" s="481" t="s">
        <v>3055</v>
      </c>
      <c r="K164" s="481" t="s">
        <v>3055</v>
      </c>
    </row>
    <row r="165" spans="1:11" ht="67.5">
      <c r="A165" s="481" t="s">
        <v>32</v>
      </c>
      <c r="B165" s="481" t="s">
        <v>3896</v>
      </c>
      <c r="C165" s="479">
        <v>7.5694444444444439E-2</v>
      </c>
      <c r="D165" s="481" t="s">
        <v>3896</v>
      </c>
      <c r="E165" s="479">
        <v>7.9861111111111105E-2</v>
      </c>
      <c r="F165" s="481" t="s">
        <v>3897</v>
      </c>
      <c r="G165" s="481" t="s">
        <v>674</v>
      </c>
      <c r="H165" s="485" t="s">
        <v>3411</v>
      </c>
      <c r="I165" s="481" t="s">
        <v>2483</v>
      </c>
      <c r="J165" s="481" t="s">
        <v>3055</v>
      </c>
      <c r="K165" s="481" t="s">
        <v>3055</v>
      </c>
    </row>
    <row r="166" spans="1:11" ht="67.5">
      <c r="A166" s="481" t="s">
        <v>32</v>
      </c>
      <c r="B166" s="481" t="s">
        <v>3898</v>
      </c>
      <c r="C166" s="479">
        <v>0.72430555555555554</v>
      </c>
      <c r="D166" s="481" t="s">
        <v>3899</v>
      </c>
      <c r="E166" s="479">
        <v>1.3888888888888889E-3</v>
      </c>
      <c r="F166" s="481" t="s">
        <v>3900</v>
      </c>
      <c r="G166" s="481" t="s">
        <v>124</v>
      </c>
      <c r="H166" s="485" t="s">
        <v>3411</v>
      </c>
      <c r="I166" s="481" t="s">
        <v>2483</v>
      </c>
      <c r="J166" s="481" t="s">
        <v>3901</v>
      </c>
      <c r="K166" s="481" t="s">
        <v>45</v>
      </c>
    </row>
    <row r="167" spans="1:11" ht="33.75">
      <c r="A167" s="481" t="s">
        <v>32</v>
      </c>
      <c r="B167" s="481" t="s">
        <v>3902</v>
      </c>
      <c r="C167" s="479">
        <v>0.625</v>
      </c>
      <c r="D167" s="481" t="s">
        <v>3902</v>
      </c>
      <c r="E167" s="479">
        <v>0.64583333333333337</v>
      </c>
      <c r="F167" s="481" t="s">
        <v>3357</v>
      </c>
      <c r="G167" s="481" t="s">
        <v>124</v>
      </c>
      <c r="H167" s="485" t="s">
        <v>3356</v>
      </c>
      <c r="I167" s="481" t="s">
        <v>100</v>
      </c>
      <c r="J167" s="481" t="s">
        <v>3055</v>
      </c>
      <c r="K167" s="481" t="s">
        <v>3055</v>
      </c>
    </row>
    <row r="168" spans="1:11" ht="78.75">
      <c r="A168" s="481" t="s">
        <v>32</v>
      </c>
      <c r="B168" s="481" t="s">
        <v>3902</v>
      </c>
      <c r="C168" s="479">
        <v>0.3611111111111111</v>
      </c>
      <c r="D168" s="481" t="s">
        <v>45</v>
      </c>
      <c r="E168" s="479" t="s">
        <v>45</v>
      </c>
      <c r="F168" s="481" t="s">
        <v>3903</v>
      </c>
      <c r="G168" s="481" t="s">
        <v>124</v>
      </c>
      <c r="H168" s="485" t="s">
        <v>3402</v>
      </c>
      <c r="I168" s="481" t="s">
        <v>100</v>
      </c>
      <c r="J168" s="481" t="s">
        <v>3055</v>
      </c>
      <c r="K168" s="481" t="s">
        <v>3055</v>
      </c>
    </row>
    <row r="169" spans="1:11" ht="45">
      <c r="A169" s="481" t="s">
        <v>32</v>
      </c>
      <c r="B169" s="481" t="s">
        <v>3902</v>
      </c>
      <c r="C169" s="479">
        <v>0.39583333333333331</v>
      </c>
      <c r="D169" s="481" t="s">
        <v>3902</v>
      </c>
      <c r="E169" s="479">
        <v>0.46875</v>
      </c>
      <c r="F169" s="481" t="s">
        <v>2959</v>
      </c>
      <c r="G169" s="481" t="s">
        <v>61</v>
      </c>
      <c r="H169" s="485" t="s">
        <v>3387</v>
      </c>
      <c r="I169" s="481" t="s">
        <v>2764</v>
      </c>
      <c r="J169" s="481" t="s">
        <v>3055</v>
      </c>
      <c r="K169" s="481" t="s">
        <v>3055</v>
      </c>
    </row>
    <row r="170" spans="1:11" ht="67.5">
      <c r="A170" s="481" t="s">
        <v>32</v>
      </c>
      <c r="B170" s="481" t="s">
        <v>3904</v>
      </c>
      <c r="C170" s="479">
        <v>0.6777777777777777</v>
      </c>
      <c r="D170" s="481" t="s">
        <v>3904</v>
      </c>
      <c r="E170" s="479">
        <v>0.94513888888888886</v>
      </c>
      <c r="F170" s="481" t="s">
        <v>2895</v>
      </c>
      <c r="G170" s="481" t="s">
        <v>3143</v>
      </c>
      <c r="H170" s="485" t="s">
        <v>3411</v>
      </c>
      <c r="I170" s="481" t="s">
        <v>2990</v>
      </c>
      <c r="J170" s="481" t="s">
        <v>45</v>
      </c>
      <c r="K170" s="481" t="s">
        <v>3905</v>
      </c>
    </row>
    <row r="171" spans="1:11" ht="78.75">
      <c r="A171" s="481" t="s">
        <v>32</v>
      </c>
      <c r="B171" s="481" t="s">
        <v>3906</v>
      </c>
      <c r="C171" s="479">
        <v>0.41180555555555554</v>
      </c>
      <c r="D171" s="481" t="s">
        <v>3906</v>
      </c>
      <c r="E171" s="479">
        <v>0.44861111111111113</v>
      </c>
      <c r="F171" s="481" t="s">
        <v>3591</v>
      </c>
      <c r="G171" s="481" t="s">
        <v>1352</v>
      </c>
      <c r="H171" s="485" t="s">
        <v>3402</v>
      </c>
      <c r="I171" s="481" t="s">
        <v>2118</v>
      </c>
      <c r="J171" s="481" t="s">
        <v>3055</v>
      </c>
      <c r="K171" s="481" t="s">
        <v>3055</v>
      </c>
    </row>
    <row r="172" spans="1:11" ht="45">
      <c r="A172" s="481" t="s">
        <v>32</v>
      </c>
      <c r="B172" s="481" t="s">
        <v>3907</v>
      </c>
      <c r="C172" s="479">
        <v>0.6743055555555556</v>
      </c>
      <c r="D172" s="481" t="s">
        <v>3907</v>
      </c>
      <c r="E172" s="479">
        <v>0.69861111111111107</v>
      </c>
      <c r="F172" s="481" t="s">
        <v>3307</v>
      </c>
      <c r="G172" s="481" t="s">
        <v>3143</v>
      </c>
      <c r="H172" s="485" t="s">
        <v>3387</v>
      </c>
      <c r="I172" s="481" t="s">
        <v>2764</v>
      </c>
      <c r="J172" s="481" t="s">
        <v>3055</v>
      </c>
      <c r="K172" s="481" t="s">
        <v>3055</v>
      </c>
    </row>
    <row r="173" spans="1:11" ht="45">
      <c r="A173" s="481" t="s">
        <v>32</v>
      </c>
      <c r="B173" s="481" t="s">
        <v>3907</v>
      </c>
      <c r="C173" s="479">
        <v>0.83263888888888893</v>
      </c>
      <c r="D173" s="481" t="s">
        <v>3907</v>
      </c>
      <c r="E173" s="479">
        <v>0.87777777777777777</v>
      </c>
      <c r="F173" s="481" t="s">
        <v>3307</v>
      </c>
      <c r="G173" s="481" t="s">
        <v>3143</v>
      </c>
      <c r="H173" s="485" t="s">
        <v>3387</v>
      </c>
      <c r="I173" s="481" t="s">
        <v>2764</v>
      </c>
      <c r="J173" s="481" t="s">
        <v>3055</v>
      </c>
      <c r="K173" s="481" t="s">
        <v>3055</v>
      </c>
    </row>
    <row r="174" spans="1:11" ht="45">
      <c r="A174" s="481" t="s">
        <v>32</v>
      </c>
      <c r="B174" s="481" t="s">
        <v>3908</v>
      </c>
      <c r="C174" s="479">
        <v>0.41666666666666669</v>
      </c>
      <c r="D174" s="481" t="s">
        <v>3908</v>
      </c>
      <c r="E174" s="479">
        <v>0.45833333333333331</v>
      </c>
      <c r="F174" s="481" t="s">
        <v>3909</v>
      </c>
      <c r="G174" s="481" t="s">
        <v>124</v>
      </c>
      <c r="H174" s="485" t="s">
        <v>3910</v>
      </c>
      <c r="I174" s="481" t="s">
        <v>100</v>
      </c>
      <c r="J174" s="481" t="s">
        <v>3055</v>
      </c>
      <c r="K174" s="481" t="s">
        <v>3055</v>
      </c>
    </row>
    <row r="175" spans="1:11" ht="33.75">
      <c r="A175" s="481" t="s">
        <v>32</v>
      </c>
      <c r="B175" s="481" t="s">
        <v>3908</v>
      </c>
      <c r="C175" s="479">
        <v>0</v>
      </c>
      <c r="D175" s="481" t="s">
        <v>45</v>
      </c>
      <c r="E175" s="479" t="s">
        <v>45</v>
      </c>
      <c r="F175" s="481" t="s">
        <v>3911</v>
      </c>
      <c r="G175" s="481" t="s">
        <v>674</v>
      </c>
      <c r="H175" s="485" t="s">
        <v>3356</v>
      </c>
      <c r="I175" s="481" t="s">
        <v>100</v>
      </c>
      <c r="J175" s="481" t="s">
        <v>45</v>
      </c>
      <c r="K175" s="481" t="s">
        <v>45</v>
      </c>
    </row>
    <row r="176" spans="1:11" ht="45">
      <c r="A176" s="481" t="s">
        <v>32</v>
      </c>
      <c r="B176" s="481" t="s">
        <v>3908</v>
      </c>
      <c r="C176" s="479">
        <v>0.63194444444444442</v>
      </c>
      <c r="D176" s="481" t="s">
        <v>3908</v>
      </c>
      <c r="E176" s="479">
        <v>0.72916666666666663</v>
      </c>
      <c r="F176" s="481" t="s">
        <v>2797</v>
      </c>
      <c r="G176" s="481" t="s">
        <v>1352</v>
      </c>
      <c r="H176" s="485" t="s">
        <v>3478</v>
      </c>
      <c r="I176" s="481" t="s">
        <v>22</v>
      </c>
      <c r="J176" s="481" t="s">
        <v>45</v>
      </c>
      <c r="K176" s="481" t="s">
        <v>45</v>
      </c>
    </row>
    <row r="177" spans="1:11" ht="33.75">
      <c r="A177" s="481" t="s">
        <v>32</v>
      </c>
      <c r="B177" s="481" t="s">
        <v>3912</v>
      </c>
      <c r="C177" s="479">
        <v>0.35416666666666669</v>
      </c>
      <c r="D177" s="481" t="s">
        <v>45</v>
      </c>
      <c r="E177" s="479" t="s">
        <v>45</v>
      </c>
      <c r="F177" s="481" t="s">
        <v>2869</v>
      </c>
      <c r="G177" s="481" t="s">
        <v>61</v>
      </c>
      <c r="H177" s="485" t="s">
        <v>3654</v>
      </c>
      <c r="I177" s="481" t="s">
        <v>1138</v>
      </c>
      <c r="J177" s="481" t="s">
        <v>3751</v>
      </c>
      <c r="K177" s="481" t="s">
        <v>45</v>
      </c>
    </row>
    <row r="178" spans="1:11" ht="33.75">
      <c r="A178" s="481" t="s">
        <v>32</v>
      </c>
      <c r="B178" s="481" t="s">
        <v>3912</v>
      </c>
      <c r="C178" s="479">
        <v>0.9604166666666667</v>
      </c>
      <c r="D178" s="481" t="s">
        <v>3913</v>
      </c>
      <c r="E178" s="479">
        <v>2.5694444444444447E-2</v>
      </c>
      <c r="F178" s="481" t="s">
        <v>3914</v>
      </c>
      <c r="G178" s="481" t="s">
        <v>124</v>
      </c>
      <c r="H178" s="485" t="s">
        <v>3451</v>
      </c>
      <c r="I178" s="481" t="s">
        <v>2490</v>
      </c>
      <c r="J178" s="481" t="s">
        <v>3278</v>
      </c>
      <c r="K178" s="481" t="s">
        <v>3915</v>
      </c>
    </row>
    <row r="179" spans="1:11" ht="33.75">
      <c r="A179" s="481" t="s">
        <v>32</v>
      </c>
      <c r="B179" s="481" t="s">
        <v>3912</v>
      </c>
      <c r="C179" s="479">
        <v>0.45833333333333331</v>
      </c>
      <c r="D179" s="481" t="s">
        <v>3912</v>
      </c>
      <c r="E179" s="479">
        <v>0.64583333333333337</v>
      </c>
      <c r="F179" s="481" t="s">
        <v>3916</v>
      </c>
      <c r="G179" s="481" t="s">
        <v>63</v>
      </c>
      <c r="H179" s="485" t="s">
        <v>3356</v>
      </c>
      <c r="I179" s="481" t="s">
        <v>100</v>
      </c>
      <c r="J179" s="481" t="s">
        <v>3055</v>
      </c>
      <c r="K179" s="481" t="s">
        <v>3055</v>
      </c>
    </row>
    <row r="180" spans="1:11" ht="45">
      <c r="A180" s="481" t="s">
        <v>32</v>
      </c>
      <c r="B180" s="481" t="s">
        <v>3912</v>
      </c>
      <c r="C180" s="479">
        <v>0.63263888888888886</v>
      </c>
      <c r="D180" s="481" t="s">
        <v>3912</v>
      </c>
      <c r="E180" s="479">
        <v>0.75</v>
      </c>
      <c r="F180" s="481" t="s">
        <v>2919</v>
      </c>
      <c r="G180" s="481" t="s">
        <v>1352</v>
      </c>
      <c r="H180" s="485" t="s">
        <v>3478</v>
      </c>
      <c r="I180" s="481" t="s">
        <v>22</v>
      </c>
      <c r="J180" s="481" t="s">
        <v>45</v>
      </c>
      <c r="K180" s="481" t="s">
        <v>45</v>
      </c>
    </row>
    <row r="181" spans="1:11" ht="45">
      <c r="A181" s="481" t="s">
        <v>32</v>
      </c>
      <c r="B181" s="481" t="s">
        <v>3912</v>
      </c>
      <c r="C181" s="479">
        <v>0.12986111111111112</v>
      </c>
      <c r="D181" s="481" t="s">
        <v>3912</v>
      </c>
      <c r="E181" s="479">
        <v>0.16388888888888889</v>
      </c>
      <c r="F181" s="481" t="s">
        <v>3917</v>
      </c>
      <c r="G181" s="481" t="s">
        <v>3143</v>
      </c>
      <c r="H181" s="485" t="s">
        <v>3387</v>
      </c>
      <c r="I181" s="481" t="s">
        <v>2764</v>
      </c>
      <c r="J181" s="481" t="s">
        <v>3055</v>
      </c>
      <c r="K181" s="481" t="s">
        <v>3055</v>
      </c>
    </row>
    <row r="182" spans="1:11" ht="45">
      <c r="A182" s="481" t="s">
        <v>32</v>
      </c>
      <c r="B182" s="481" t="s">
        <v>3918</v>
      </c>
      <c r="C182" s="479">
        <v>0.69930555555555562</v>
      </c>
      <c r="D182" s="481" t="s">
        <v>3919</v>
      </c>
      <c r="E182" s="479">
        <v>0.95833333333333337</v>
      </c>
      <c r="F182" s="481" t="s">
        <v>2919</v>
      </c>
      <c r="G182" s="481" t="s">
        <v>1352</v>
      </c>
      <c r="H182" s="485" t="s">
        <v>3379</v>
      </c>
      <c r="I182" s="481" t="s">
        <v>2490</v>
      </c>
      <c r="J182" s="481" t="s">
        <v>3920</v>
      </c>
      <c r="K182" s="481" t="s">
        <v>3921</v>
      </c>
    </row>
    <row r="183" spans="1:11" ht="33.75">
      <c r="A183" s="481" t="s">
        <v>32</v>
      </c>
      <c r="B183" s="481" t="s">
        <v>3918</v>
      </c>
      <c r="C183" s="479">
        <v>0.6875</v>
      </c>
      <c r="D183" s="481" t="s">
        <v>3918</v>
      </c>
      <c r="E183" s="479">
        <v>0.91666666666666663</v>
      </c>
      <c r="F183" s="481" t="s">
        <v>2919</v>
      </c>
      <c r="G183" s="481" t="s">
        <v>1352</v>
      </c>
      <c r="H183" s="485" t="s">
        <v>3451</v>
      </c>
      <c r="I183" s="481" t="s">
        <v>3922</v>
      </c>
      <c r="J183" s="481" t="s">
        <v>3923</v>
      </c>
      <c r="K183" s="481" t="s">
        <v>3545</v>
      </c>
    </row>
    <row r="184" spans="1:11" ht="45">
      <c r="A184" s="481" t="s">
        <v>32</v>
      </c>
      <c r="B184" s="481" t="s">
        <v>3918</v>
      </c>
      <c r="C184" s="479">
        <v>0.66597222222222219</v>
      </c>
      <c r="D184" s="481" t="s">
        <v>3918</v>
      </c>
      <c r="E184" s="479">
        <v>0.95833333333333337</v>
      </c>
      <c r="F184" s="481" t="s">
        <v>3767</v>
      </c>
      <c r="G184" s="481" t="s">
        <v>3347</v>
      </c>
      <c r="H184" s="485" t="s">
        <v>3750</v>
      </c>
      <c r="I184" s="481" t="s">
        <v>2483</v>
      </c>
      <c r="J184" s="481" t="s">
        <v>3924</v>
      </c>
      <c r="K184" s="481" t="s">
        <v>3921</v>
      </c>
    </row>
    <row r="185" spans="1:11" ht="33.75">
      <c r="A185" s="481" t="s">
        <v>32</v>
      </c>
      <c r="B185" s="481" t="s">
        <v>3925</v>
      </c>
      <c r="C185" s="479">
        <v>0.33055555555555555</v>
      </c>
      <c r="D185" s="481" t="s">
        <v>45</v>
      </c>
      <c r="E185" s="479" t="s">
        <v>45</v>
      </c>
      <c r="F185" s="481" t="s">
        <v>2895</v>
      </c>
      <c r="G185" s="481" t="s">
        <v>3143</v>
      </c>
      <c r="H185" s="485" t="s">
        <v>3356</v>
      </c>
      <c r="I185" s="481" t="s">
        <v>100</v>
      </c>
      <c r="J185" s="481" t="s">
        <v>45</v>
      </c>
      <c r="K185" s="481" t="s">
        <v>3926</v>
      </c>
    </row>
    <row r="186" spans="1:11" ht="67.5">
      <c r="A186" s="481" t="s">
        <v>32</v>
      </c>
      <c r="B186" s="481" t="s">
        <v>3925</v>
      </c>
      <c r="C186" s="479">
        <v>0.64583333333333337</v>
      </c>
      <c r="D186" s="481" t="s">
        <v>45</v>
      </c>
      <c r="E186" s="479" t="s">
        <v>45</v>
      </c>
      <c r="F186" s="481" t="s">
        <v>2855</v>
      </c>
      <c r="G186" s="481" t="s">
        <v>61</v>
      </c>
      <c r="H186" s="485" t="s">
        <v>3463</v>
      </c>
      <c r="I186" s="481" t="s">
        <v>100</v>
      </c>
      <c r="J186" s="481" t="s">
        <v>3055</v>
      </c>
      <c r="K186" s="481" t="s">
        <v>3055</v>
      </c>
    </row>
    <row r="187" spans="1:11" ht="33.75">
      <c r="A187" s="481" t="s">
        <v>32</v>
      </c>
      <c r="B187" s="481" t="s">
        <v>3927</v>
      </c>
      <c r="C187" s="479">
        <v>0.67361111111111116</v>
      </c>
      <c r="D187" s="481" t="s">
        <v>3927</v>
      </c>
      <c r="E187" s="479">
        <v>0.81111111111111101</v>
      </c>
      <c r="F187" s="481" t="s">
        <v>2853</v>
      </c>
      <c r="G187" s="481" t="s">
        <v>124</v>
      </c>
      <c r="H187" s="485" t="s">
        <v>3928</v>
      </c>
      <c r="I187" s="481" t="s">
        <v>2118</v>
      </c>
      <c r="J187" s="481" t="s">
        <v>3055</v>
      </c>
      <c r="K187" s="481" t="s">
        <v>3055</v>
      </c>
    </row>
    <row r="188" spans="1:11" ht="78.75">
      <c r="A188" s="481" t="s">
        <v>32</v>
      </c>
      <c r="B188" s="481" t="s">
        <v>3929</v>
      </c>
      <c r="C188" s="479">
        <v>7.2222222222222229E-2</v>
      </c>
      <c r="D188" s="481" t="s">
        <v>3929</v>
      </c>
      <c r="E188" s="479">
        <v>9.7222222222222224E-2</v>
      </c>
      <c r="F188" s="481" t="s">
        <v>2801</v>
      </c>
      <c r="G188" s="481" t="s">
        <v>124</v>
      </c>
      <c r="H188" s="485" t="s">
        <v>3402</v>
      </c>
      <c r="I188" s="481" t="s">
        <v>2118</v>
      </c>
      <c r="J188" s="481" t="s">
        <v>3055</v>
      </c>
      <c r="K188" s="481" t="s">
        <v>3055</v>
      </c>
    </row>
    <row r="189" spans="1:11" ht="67.5">
      <c r="A189" s="481" t="s">
        <v>32</v>
      </c>
      <c r="B189" s="481" t="s">
        <v>3930</v>
      </c>
      <c r="C189" s="479">
        <v>0.38125000000000003</v>
      </c>
      <c r="D189" s="481" t="s">
        <v>3930</v>
      </c>
      <c r="E189" s="479">
        <v>0.56527777777777777</v>
      </c>
      <c r="F189" s="481" t="s">
        <v>3931</v>
      </c>
      <c r="G189" s="481" t="s">
        <v>674</v>
      </c>
      <c r="H189" s="485" t="s">
        <v>3411</v>
      </c>
      <c r="I189" s="481" t="s">
        <v>2483</v>
      </c>
      <c r="J189" s="481" t="s">
        <v>3055</v>
      </c>
      <c r="K189" s="481" t="s">
        <v>3055</v>
      </c>
    </row>
    <row r="190" spans="1:11" ht="33.75">
      <c r="A190" s="481" t="s">
        <v>32</v>
      </c>
      <c r="B190" s="481" t="s">
        <v>3930</v>
      </c>
      <c r="C190" s="479">
        <v>0.79166666666666663</v>
      </c>
      <c r="D190" s="481" t="s">
        <v>3932</v>
      </c>
      <c r="E190" s="479">
        <v>0.125</v>
      </c>
      <c r="F190" s="481" t="s">
        <v>3693</v>
      </c>
      <c r="G190" s="481" t="s">
        <v>3347</v>
      </c>
      <c r="H190" s="485" t="s">
        <v>3451</v>
      </c>
      <c r="I190" s="481" t="s">
        <v>2990</v>
      </c>
      <c r="J190" s="481" t="s">
        <v>45</v>
      </c>
      <c r="K190" s="481" t="s">
        <v>3234</v>
      </c>
    </row>
    <row r="191" spans="1:11" ht="33.75">
      <c r="A191" s="481" t="s">
        <v>32</v>
      </c>
      <c r="B191" s="481" t="s">
        <v>3930</v>
      </c>
      <c r="C191" s="479">
        <v>0.79166666666666663</v>
      </c>
      <c r="D191" s="481" t="s">
        <v>3933</v>
      </c>
      <c r="E191" s="479">
        <v>0.54166666666666663</v>
      </c>
      <c r="F191" s="481" t="s">
        <v>3693</v>
      </c>
      <c r="G191" s="481" t="s">
        <v>3347</v>
      </c>
      <c r="H191" s="485" t="s">
        <v>3451</v>
      </c>
      <c r="I191" s="481" t="s">
        <v>22</v>
      </c>
      <c r="J191" s="481" t="s">
        <v>45</v>
      </c>
      <c r="K191" s="481" t="s">
        <v>3934</v>
      </c>
    </row>
    <row r="192" spans="1:11" ht="45">
      <c r="A192" s="481" t="s">
        <v>32</v>
      </c>
      <c r="B192" s="481" t="s">
        <v>3933</v>
      </c>
      <c r="C192" s="479">
        <v>0.97916666666666663</v>
      </c>
      <c r="D192" s="481" t="s">
        <v>3935</v>
      </c>
      <c r="E192" s="479">
        <v>0.72916666666666663</v>
      </c>
      <c r="F192" s="481" t="s">
        <v>3307</v>
      </c>
      <c r="G192" s="481" t="s">
        <v>3143</v>
      </c>
      <c r="H192" s="485" t="s">
        <v>3387</v>
      </c>
      <c r="I192" s="481" t="s">
        <v>2764</v>
      </c>
      <c r="J192" s="481" t="s">
        <v>3055</v>
      </c>
      <c r="K192" s="481" t="s">
        <v>3055</v>
      </c>
    </row>
    <row r="193" spans="1:11" ht="45">
      <c r="A193" s="481" t="s">
        <v>32</v>
      </c>
      <c r="B193" s="481" t="s">
        <v>3936</v>
      </c>
      <c r="C193" s="479">
        <v>0.62847222222222221</v>
      </c>
      <c r="D193" s="481" t="s">
        <v>3936</v>
      </c>
      <c r="E193" s="479">
        <v>0.65694444444444444</v>
      </c>
      <c r="F193" s="481" t="s">
        <v>3937</v>
      </c>
      <c r="G193" s="481" t="s">
        <v>3143</v>
      </c>
      <c r="H193" s="485" t="s">
        <v>3387</v>
      </c>
      <c r="I193" s="481" t="s">
        <v>2764</v>
      </c>
      <c r="J193" s="481" t="s">
        <v>3055</v>
      </c>
      <c r="K193" s="481" t="s">
        <v>3055</v>
      </c>
    </row>
    <row r="194" spans="1:11" ht="33.75">
      <c r="A194" s="481" t="s">
        <v>32</v>
      </c>
      <c r="B194" s="481" t="s">
        <v>3936</v>
      </c>
      <c r="C194" s="479">
        <v>0.66666666666666663</v>
      </c>
      <c r="D194" s="481" t="s">
        <v>3938</v>
      </c>
      <c r="E194" s="479">
        <v>0.25</v>
      </c>
      <c r="F194" s="481" t="s">
        <v>3939</v>
      </c>
      <c r="G194" s="481" t="s">
        <v>124</v>
      </c>
      <c r="H194" s="485" t="s">
        <v>3356</v>
      </c>
      <c r="I194" s="481" t="s">
        <v>100</v>
      </c>
      <c r="J194" s="481" t="s">
        <v>3055</v>
      </c>
      <c r="K194" s="481" t="s">
        <v>3055</v>
      </c>
    </row>
    <row r="195" spans="1:11" ht="45">
      <c r="A195" s="481" t="s">
        <v>219</v>
      </c>
      <c r="B195" s="481" t="s">
        <v>3940</v>
      </c>
      <c r="C195" s="479">
        <v>0.60416666666666663</v>
      </c>
      <c r="D195" s="481" t="s">
        <v>3941</v>
      </c>
      <c r="E195" s="479">
        <v>0.75</v>
      </c>
      <c r="F195" s="481" t="s">
        <v>2919</v>
      </c>
      <c r="G195" s="481" t="s">
        <v>1352</v>
      </c>
      <c r="H195" s="485" t="s">
        <v>3478</v>
      </c>
      <c r="I195" s="481" t="s">
        <v>22</v>
      </c>
      <c r="J195" s="481" t="s">
        <v>45</v>
      </c>
      <c r="K195" s="481" t="s">
        <v>45</v>
      </c>
    </row>
    <row r="196" spans="1:11" ht="45">
      <c r="A196" s="481" t="s">
        <v>219</v>
      </c>
      <c r="B196" s="481" t="s">
        <v>3940</v>
      </c>
      <c r="C196" s="479">
        <v>0.46736111111111112</v>
      </c>
      <c r="D196" s="481" t="s">
        <v>3940</v>
      </c>
      <c r="E196" s="479">
        <v>0.49791666666666662</v>
      </c>
      <c r="F196" s="481" t="s">
        <v>3942</v>
      </c>
      <c r="G196" s="481" t="s">
        <v>3143</v>
      </c>
      <c r="H196" s="485" t="s">
        <v>3387</v>
      </c>
      <c r="I196" s="481" t="s">
        <v>2764</v>
      </c>
      <c r="J196" s="481" t="s">
        <v>3055</v>
      </c>
      <c r="K196" s="481" t="s">
        <v>3055</v>
      </c>
    </row>
    <row r="197" spans="1:11" ht="33.75">
      <c r="A197" s="481" t="s">
        <v>219</v>
      </c>
      <c r="B197" s="481" t="s">
        <v>3943</v>
      </c>
      <c r="C197" s="479">
        <v>0.91666666666666663</v>
      </c>
      <c r="D197" s="481" t="s">
        <v>3941</v>
      </c>
      <c r="E197" s="479">
        <v>0.5</v>
      </c>
      <c r="F197" s="481" t="s">
        <v>2928</v>
      </c>
      <c r="G197" s="481" t="s">
        <v>63</v>
      </c>
      <c r="H197" s="485" t="s">
        <v>3451</v>
      </c>
      <c r="I197" s="481" t="s">
        <v>22</v>
      </c>
      <c r="J197" s="481" t="s">
        <v>3175</v>
      </c>
      <c r="K197" s="481" t="s">
        <v>3944</v>
      </c>
    </row>
    <row r="198" spans="1:11" ht="33.75">
      <c r="A198" s="481" t="s">
        <v>219</v>
      </c>
      <c r="B198" s="481" t="s">
        <v>3943</v>
      </c>
      <c r="C198" s="479">
        <v>0.94166666666666676</v>
      </c>
      <c r="D198" s="481" t="s">
        <v>3941</v>
      </c>
      <c r="E198" s="479">
        <v>0.66666666666666663</v>
      </c>
      <c r="F198" s="481" t="s">
        <v>2832</v>
      </c>
      <c r="G198" s="481" t="s">
        <v>63</v>
      </c>
      <c r="H198" s="485" t="s">
        <v>3451</v>
      </c>
      <c r="I198" s="481" t="s">
        <v>22</v>
      </c>
      <c r="J198" s="481" t="s">
        <v>45</v>
      </c>
      <c r="K198" s="481" t="s">
        <v>3945</v>
      </c>
    </row>
    <row r="199" spans="1:11" ht="33.75">
      <c r="A199" s="481" t="s">
        <v>219</v>
      </c>
      <c r="B199" s="481" t="s">
        <v>3943</v>
      </c>
      <c r="C199" s="479">
        <v>0.17708333333333334</v>
      </c>
      <c r="D199" s="481" t="s">
        <v>3943</v>
      </c>
      <c r="E199" s="479">
        <v>0.63680555555555551</v>
      </c>
      <c r="F199" s="481" t="s">
        <v>2896</v>
      </c>
      <c r="G199" s="481" t="s">
        <v>63</v>
      </c>
      <c r="H199" s="485" t="s">
        <v>3451</v>
      </c>
      <c r="I199" s="481" t="s">
        <v>22</v>
      </c>
      <c r="J199" s="481" t="s">
        <v>45</v>
      </c>
      <c r="K199" s="481" t="s">
        <v>3946</v>
      </c>
    </row>
    <row r="200" spans="1:11" ht="45">
      <c r="A200" s="481" t="s">
        <v>219</v>
      </c>
      <c r="B200" s="481" t="s">
        <v>3943</v>
      </c>
      <c r="C200" s="479">
        <v>0.42222222222222222</v>
      </c>
      <c r="D200" s="481" t="s">
        <v>3943</v>
      </c>
      <c r="E200" s="479">
        <v>0.50555555555555554</v>
      </c>
      <c r="F200" s="481" t="s">
        <v>2959</v>
      </c>
      <c r="G200" s="481" t="s">
        <v>61</v>
      </c>
      <c r="H200" s="485" t="s">
        <v>3387</v>
      </c>
      <c r="I200" s="481" t="s">
        <v>2764</v>
      </c>
      <c r="J200" s="481" t="s">
        <v>3055</v>
      </c>
      <c r="K200" s="481" t="s">
        <v>3055</v>
      </c>
    </row>
    <row r="201" spans="1:11" ht="33.75">
      <c r="A201" s="481" t="s">
        <v>219</v>
      </c>
      <c r="B201" s="481" t="s">
        <v>3941</v>
      </c>
      <c r="C201" s="479">
        <v>0.34722222222222227</v>
      </c>
      <c r="D201" s="481" t="s">
        <v>45</v>
      </c>
      <c r="E201" s="479" t="s">
        <v>45</v>
      </c>
      <c r="F201" s="481" t="s">
        <v>2928</v>
      </c>
      <c r="G201" s="481" t="s">
        <v>63</v>
      </c>
      <c r="H201" s="485" t="s">
        <v>3451</v>
      </c>
      <c r="I201" s="481" t="s">
        <v>22</v>
      </c>
      <c r="J201" s="481" t="s">
        <v>45</v>
      </c>
      <c r="K201" s="481" t="s">
        <v>3947</v>
      </c>
    </row>
    <row r="202" spans="1:11" ht="67.5">
      <c r="A202" s="481" t="s">
        <v>219</v>
      </c>
      <c r="B202" s="481" t="s">
        <v>3948</v>
      </c>
      <c r="C202" s="479">
        <v>0.89027777777777783</v>
      </c>
      <c r="D202" s="481" t="s">
        <v>3948</v>
      </c>
      <c r="E202" s="479">
        <v>0.89097222222222217</v>
      </c>
      <c r="F202" s="481" t="s">
        <v>2937</v>
      </c>
      <c r="G202" s="481" t="s">
        <v>124</v>
      </c>
      <c r="H202" s="485" t="s">
        <v>3411</v>
      </c>
      <c r="I202" s="481" t="s">
        <v>2483</v>
      </c>
      <c r="J202" s="481" t="s">
        <v>3949</v>
      </c>
      <c r="K202" s="481" t="s">
        <v>3055</v>
      </c>
    </row>
    <row r="203" spans="1:11" ht="56.25">
      <c r="A203" s="481" t="s">
        <v>219</v>
      </c>
      <c r="B203" s="481" t="s">
        <v>3950</v>
      </c>
      <c r="C203" s="479">
        <v>0.94097222222222221</v>
      </c>
      <c r="D203" s="481" t="s">
        <v>3950</v>
      </c>
      <c r="E203" s="479">
        <v>0.99930555555555556</v>
      </c>
      <c r="F203" s="481" t="s">
        <v>3951</v>
      </c>
      <c r="G203" s="481" t="s">
        <v>3143</v>
      </c>
      <c r="H203" s="485" t="s">
        <v>3451</v>
      </c>
      <c r="I203" s="481" t="s">
        <v>22</v>
      </c>
      <c r="J203" s="481" t="s">
        <v>45</v>
      </c>
      <c r="K203" s="481" t="s">
        <v>3952</v>
      </c>
    </row>
    <row r="204" spans="1:11" ht="45">
      <c r="A204" s="481" t="s">
        <v>219</v>
      </c>
      <c r="B204" s="481" t="s">
        <v>3953</v>
      </c>
      <c r="C204" s="479">
        <v>0.10486111111111111</v>
      </c>
      <c r="D204" s="481" t="s">
        <v>3954</v>
      </c>
      <c r="E204" s="479">
        <v>0.70833333333333337</v>
      </c>
      <c r="F204" s="481" t="s">
        <v>3189</v>
      </c>
      <c r="G204" s="481" t="s">
        <v>63</v>
      </c>
      <c r="H204" s="485" t="s">
        <v>3447</v>
      </c>
      <c r="I204" s="481" t="s">
        <v>2764</v>
      </c>
      <c r="J204" s="481" t="s">
        <v>3055</v>
      </c>
      <c r="K204" s="481" t="s">
        <v>3055</v>
      </c>
    </row>
    <row r="205" spans="1:11" ht="78.75">
      <c r="A205" s="481" t="s">
        <v>219</v>
      </c>
      <c r="B205" s="481" t="s">
        <v>3955</v>
      </c>
      <c r="C205" s="479">
        <v>0.77777777777777779</v>
      </c>
      <c r="D205" s="481" t="s">
        <v>3955</v>
      </c>
      <c r="E205" s="479">
        <v>0.78194444444444444</v>
      </c>
      <c r="F205" s="481" t="s">
        <v>3956</v>
      </c>
      <c r="G205" s="481" t="s">
        <v>674</v>
      </c>
      <c r="H205" s="485" t="s">
        <v>3402</v>
      </c>
      <c r="I205" s="481" t="s">
        <v>100</v>
      </c>
      <c r="J205" s="481" t="s">
        <v>3055</v>
      </c>
      <c r="K205" s="481" t="s">
        <v>3055</v>
      </c>
    </row>
    <row r="206" spans="1:11" ht="33.75">
      <c r="A206" s="481" t="s">
        <v>219</v>
      </c>
      <c r="B206" s="481" t="s">
        <v>3955</v>
      </c>
      <c r="C206" s="479">
        <v>0.24652777777777779</v>
      </c>
      <c r="D206" s="481" t="s">
        <v>3955</v>
      </c>
      <c r="E206" s="479">
        <v>0.60416666666666663</v>
      </c>
      <c r="F206" s="481" t="s">
        <v>3957</v>
      </c>
      <c r="G206" s="481" t="s">
        <v>124</v>
      </c>
      <c r="H206" s="485" t="s">
        <v>3654</v>
      </c>
      <c r="I206" s="481" t="s">
        <v>1138</v>
      </c>
      <c r="J206" s="481" t="s">
        <v>3055</v>
      </c>
      <c r="K206" s="481" t="s">
        <v>3055</v>
      </c>
    </row>
    <row r="207" spans="1:11" ht="45">
      <c r="A207" s="481" t="s">
        <v>219</v>
      </c>
      <c r="B207" s="481" t="s">
        <v>3958</v>
      </c>
      <c r="C207" s="479">
        <v>1.4583333333333332E-2</v>
      </c>
      <c r="D207" s="481" t="s">
        <v>3958</v>
      </c>
      <c r="E207" s="479">
        <v>0.50277777777777777</v>
      </c>
      <c r="F207" s="481" t="s">
        <v>3835</v>
      </c>
      <c r="G207" s="481" t="s">
        <v>3347</v>
      </c>
      <c r="H207" s="485" t="s">
        <v>3447</v>
      </c>
      <c r="I207" s="481" t="s">
        <v>2764</v>
      </c>
      <c r="J207" s="481" t="s">
        <v>3055</v>
      </c>
      <c r="K207" s="481" t="s">
        <v>3055</v>
      </c>
    </row>
    <row r="208" spans="1:11" ht="33.75">
      <c r="A208" s="481" t="s">
        <v>219</v>
      </c>
      <c r="B208" s="481" t="s">
        <v>3959</v>
      </c>
      <c r="C208" s="479">
        <v>0.66388888888888886</v>
      </c>
      <c r="D208" s="481" t="s">
        <v>3960</v>
      </c>
      <c r="E208" s="479">
        <v>0.80902777777777779</v>
      </c>
      <c r="F208" s="481" t="s">
        <v>2801</v>
      </c>
      <c r="G208" s="481" t="s">
        <v>124</v>
      </c>
      <c r="H208" s="485" t="s">
        <v>3356</v>
      </c>
      <c r="I208" s="481" t="s">
        <v>100</v>
      </c>
      <c r="J208" s="481" t="s">
        <v>3055</v>
      </c>
      <c r="K208" s="481" t="s">
        <v>3055</v>
      </c>
    </row>
    <row r="209" spans="1:11" ht="78.75">
      <c r="A209" s="481" t="s">
        <v>219</v>
      </c>
      <c r="B209" s="481" t="s">
        <v>3961</v>
      </c>
      <c r="C209" s="479">
        <v>0.72569444444444453</v>
      </c>
      <c r="D209" s="481" t="s">
        <v>3961</v>
      </c>
      <c r="E209" s="479">
        <v>0.76111111111111107</v>
      </c>
      <c r="F209" s="481" t="s">
        <v>3962</v>
      </c>
      <c r="G209" s="481" t="s">
        <v>674</v>
      </c>
      <c r="H209" s="485" t="s">
        <v>3402</v>
      </c>
      <c r="I209" s="481" t="s">
        <v>2118</v>
      </c>
      <c r="J209" s="481" t="s">
        <v>3055</v>
      </c>
      <c r="K209" s="481" t="s">
        <v>3055</v>
      </c>
    </row>
    <row r="210" spans="1:11" ht="56.25">
      <c r="A210" s="481" t="s">
        <v>219</v>
      </c>
      <c r="B210" s="481" t="s">
        <v>3961</v>
      </c>
      <c r="C210" s="479">
        <v>0.15763888888888888</v>
      </c>
      <c r="D210" s="481" t="s">
        <v>3961</v>
      </c>
      <c r="E210" s="479">
        <v>0.65277777777777779</v>
      </c>
      <c r="F210" s="481" t="s">
        <v>3963</v>
      </c>
      <c r="G210" s="481" t="s">
        <v>124</v>
      </c>
      <c r="H210" s="485" t="s">
        <v>3451</v>
      </c>
      <c r="I210" s="481" t="s">
        <v>22</v>
      </c>
      <c r="J210" s="481" t="s">
        <v>3889</v>
      </c>
      <c r="K210" s="481" t="s">
        <v>3964</v>
      </c>
    </row>
    <row r="211" spans="1:11" ht="33.75">
      <c r="A211" s="481" t="s">
        <v>219</v>
      </c>
      <c r="B211" s="481" t="s">
        <v>3961</v>
      </c>
      <c r="C211" s="479">
        <v>0.41597222222222219</v>
      </c>
      <c r="D211" s="481" t="s">
        <v>3961</v>
      </c>
      <c r="E211" s="479">
        <v>0.41666666666666669</v>
      </c>
      <c r="F211" s="481" t="s">
        <v>2919</v>
      </c>
      <c r="G211" s="481" t="s">
        <v>1352</v>
      </c>
      <c r="H211" s="485" t="s">
        <v>3356</v>
      </c>
      <c r="I211" s="481" t="s">
        <v>100</v>
      </c>
      <c r="J211" s="481" t="s">
        <v>45</v>
      </c>
      <c r="K211" s="481" t="s">
        <v>45</v>
      </c>
    </row>
    <row r="212" spans="1:11" ht="45">
      <c r="A212" s="481" t="s">
        <v>219</v>
      </c>
      <c r="B212" s="481" t="s">
        <v>3960</v>
      </c>
      <c r="C212" s="479">
        <v>0.60486111111111118</v>
      </c>
      <c r="D212" s="481" t="s">
        <v>3960</v>
      </c>
      <c r="E212" s="479">
        <v>0.63472222222222219</v>
      </c>
      <c r="F212" s="481" t="s">
        <v>3965</v>
      </c>
      <c r="G212" s="481" t="s">
        <v>3143</v>
      </c>
      <c r="H212" s="485" t="s">
        <v>3387</v>
      </c>
      <c r="I212" s="481" t="s">
        <v>2764</v>
      </c>
      <c r="J212" s="481" t="s">
        <v>3055</v>
      </c>
      <c r="K212" s="481" t="s">
        <v>3055</v>
      </c>
    </row>
    <row r="213" spans="1:11" ht="33.75">
      <c r="A213" s="481" t="s">
        <v>219</v>
      </c>
      <c r="B213" s="481" t="s">
        <v>3966</v>
      </c>
      <c r="C213" s="479">
        <v>0.31805555555555554</v>
      </c>
      <c r="D213" s="481" t="s">
        <v>45</v>
      </c>
      <c r="E213" s="479" t="s">
        <v>45</v>
      </c>
      <c r="F213" s="481" t="s">
        <v>3967</v>
      </c>
      <c r="G213" s="481" t="s">
        <v>124</v>
      </c>
      <c r="H213" s="485" t="s">
        <v>3451</v>
      </c>
      <c r="I213" s="481" t="s">
        <v>2490</v>
      </c>
      <c r="J213" s="481" t="s">
        <v>45</v>
      </c>
      <c r="K213" s="481" t="s">
        <v>3968</v>
      </c>
    </row>
    <row r="214" spans="1:11" ht="45">
      <c r="A214" s="481" t="s">
        <v>219</v>
      </c>
      <c r="B214" s="481" t="s">
        <v>3969</v>
      </c>
      <c r="C214" s="479">
        <v>0.23263888888888887</v>
      </c>
      <c r="D214" s="481" t="s">
        <v>3969</v>
      </c>
      <c r="E214" s="479">
        <v>0.34027777777777773</v>
      </c>
      <c r="F214" s="481" t="s">
        <v>2801</v>
      </c>
      <c r="G214" s="481" t="s">
        <v>124</v>
      </c>
      <c r="H214" s="485" t="s">
        <v>3447</v>
      </c>
      <c r="I214" s="481" t="s">
        <v>2764</v>
      </c>
      <c r="J214" s="481" t="s">
        <v>3055</v>
      </c>
      <c r="K214" s="481" t="s">
        <v>3055</v>
      </c>
    </row>
    <row r="215" spans="1:11" ht="67.5">
      <c r="A215" s="481" t="s">
        <v>219</v>
      </c>
      <c r="B215" s="481" t="s">
        <v>3969</v>
      </c>
      <c r="C215" s="479">
        <v>0.51180555555555551</v>
      </c>
      <c r="D215" s="481" t="s">
        <v>3969</v>
      </c>
      <c r="E215" s="479">
        <v>0.54027777777777775</v>
      </c>
      <c r="F215" s="481" t="s">
        <v>2817</v>
      </c>
      <c r="G215" s="481" t="s">
        <v>124</v>
      </c>
      <c r="H215" s="485" t="s">
        <v>3463</v>
      </c>
      <c r="I215" s="481" t="s">
        <v>2293</v>
      </c>
      <c r="J215" s="481" t="s">
        <v>3970</v>
      </c>
      <c r="K215" s="481" t="s">
        <v>3055</v>
      </c>
    </row>
    <row r="216" spans="1:11" ht="33.75">
      <c r="A216" s="481" t="s">
        <v>219</v>
      </c>
      <c r="B216" s="481" t="s">
        <v>3969</v>
      </c>
      <c r="C216" s="479">
        <v>0.45347222222222222</v>
      </c>
      <c r="D216" s="481" t="s">
        <v>3969</v>
      </c>
      <c r="E216" s="479">
        <v>0.45416666666666666</v>
      </c>
      <c r="F216" s="481" t="s">
        <v>3971</v>
      </c>
      <c r="G216" s="481" t="s">
        <v>124</v>
      </c>
      <c r="H216" s="485" t="s">
        <v>3356</v>
      </c>
      <c r="I216" s="481" t="s">
        <v>100</v>
      </c>
      <c r="J216" s="481" t="s">
        <v>3055</v>
      </c>
      <c r="K216" s="481" t="s">
        <v>3055</v>
      </c>
    </row>
    <row r="217" spans="1:11" ht="33.75">
      <c r="A217" s="481" t="s">
        <v>35</v>
      </c>
      <c r="B217" s="481" t="s">
        <v>3972</v>
      </c>
      <c r="C217" s="479">
        <v>9.0277777777777787E-3</v>
      </c>
      <c r="D217" s="481" t="s">
        <v>3972</v>
      </c>
      <c r="E217" s="479">
        <v>0.16666666666666666</v>
      </c>
      <c r="F217" s="481" t="s">
        <v>3973</v>
      </c>
      <c r="G217" s="481" t="s">
        <v>63</v>
      </c>
      <c r="H217" s="485" t="s">
        <v>3356</v>
      </c>
      <c r="I217" s="481" t="s">
        <v>100</v>
      </c>
      <c r="J217" s="481" t="s">
        <v>3055</v>
      </c>
      <c r="K217" s="481" t="s">
        <v>3055</v>
      </c>
    </row>
    <row r="218" spans="1:11" ht="33.75">
      <c r="A218" s="481" t="s">
        <v>35</v>
      </c>
      <c r="B218" s="481" t="s">
        <v>3974</v>
      </c>
      <c r="C218" s="479">
        <v>0.21875</v>
      </c>
      <c r="D218" s="481" t="s">
        <v>45</v>
      </c>
      <c r="E218" s="479" t="s">
        <v>45</v>
      </c>
      <c r="F218" s="481" t="s">
        <v>2945</v>
      </c>
      <c r="G218" s="481" t="s">
        <v>124</v>
      </c>
      <c r="H218" s="485" t="s">
        <v>3654</v>
      </c>
      <c r="I218" s="481" t="s">
        <v>1138</v>
      </c>
      <c r="J218" s="481" t="s">
        <v>3055</v>
      </c>
      <c r="K218" s="481" t="s">
        <v>3055</v>
      </c>
    </row>
    <row r="219" spans="1:11" ht="33.75">
      <c r="A219" s="481" t="s">
        <v>35</v>
      </c>
      <c r="B219" s="481" t="s">
        <v>3975</v>
      </c>
      <c r="C219" s="479">
        <v>0.21875</v>
      </c>
      <c r="D219" s="481" t="s">
        <v>45</v>
      </c>
      <c r="E219" s="479" t="s">
        <v>45</v>
      </c>
      <c r="F219" s="481" t="s">
        <v>2945</v>
      </c>
      <c r="G219" s="481" t="s">
        <v>124</v>
      </c>
      <c r="H219" s="485" t="s">
        <v>3654</v>
      </c>
      <c r="I219" s="481" t="s">
        <v>1138</v>
      </c>
      <c r="J219" s="481" t="s">
        <v>3055</v>
      </c>
      <c r="K219" s="481" t="s">
        <v>3055</v>
      </c>
    </row>
    <row r="220" spans="1:11" ht="67.5">
      <c r="A220" s="481" t="s">
        <v>35</v>
      </c>
      <c r="B220" s="481" t="s">
        <v>3975</v>
      </c>
      <c r="C220" s="479">
        <v>0.61805555555555558</v>
      </c>
      <c r="D220" s="481" t="s">
        <v>3975</v>
      </c>
      <c r="E220" s="479">
        <v>0.625</v>
      </c>
      <c r="F220" s="481" t="s">
        <v>3976</v>
      </c>
      <c r="G220" s="481" t="s">
        <v>1352</v>
      </c>
      <c r="H220" s="485" t="s">
        <v>3411</v>
      </c>
      <c r="I220" s="481" t="s">
        <v>2483</v>
      </c>
      <c r="J220" s="481" t="s">
        <v>45</v>
      </c>
      <c r="K220" s="481" t="s">
        <v>45</v>
      </c>
    </row>
    <row r="221" spans="1:11" ht="33.75">
      <c r="A221" s="481" t="s">
        <v>35</v>
      </c>
      <c r="B221" s="481" t="s">
        <v>3977</v>
      </c>
      <c r="C221" s="479">
        <v>1.8749999999999999E-2</v>
      </c>
      <c r="D221" s="481" t="s">
        <v>45</v>
      </c>
      <c r="E221" s="479" t="s">
        <v>45</v>
      </c>
      <c r="F221" s="481" t="s">
        <v>2945</v>
      </c>
      <c r="G221" s="481" t="s">
        <v>124</v>
      </c>
      <c r="H221" s="485" t="s">
        <v>3451</v>
      </c>
      <c r="I221" s="481" t="s">
        <v>2990</v>
      </c>
      <c r="J221" s="481" t="s">
        <v>3978</v>
      </c>
      <c r="K221" s="481" t="s">
        <v>3979</v>
      </c>
    </row>
    <row r="222" spans="1:11" ht="45">
      <c r="A222" s="481" t="s">
        <v>35</v>
      </c>
      <c r="B222" s="481" t="s">
        <v>3980</v>
      </c>
      <c r="C222" s="479">
        <v>8.7500000000000008E-2</v>
      </c>
      <c r="D222" s="481" t="s">
        <v>3980</v>
      </c>
      <c r="E222" s="479">
        <v>0.21180555555555555</v>
      </c>
      <c r="F222" s="481" t="s">
        <v>2959</v>
      </c>
      <c r="G222" s="481" t="s">
        <v>61</v>
      </c>
      <c r="H222" s="485" t="s">
        <v>3387</v>
      </c>
      <c r="I222" s="481" t="s">
        <v>2764</v>
      </c>
      <c r="J222" s="481" t="s">
        <v>3055</v>
      </c>
      <c r="K222" s="481" t="s">
        <v>3055</v>
      </c>
    </row>
    <row r="223" spans="1:11" ht="45">
      <c r="A223" s="481" t="s">
        <v>35</v>
      </c>
      <c r="B223" s="481" t="s">
        <v>3980</v>
      </c>
      <c r="C223" s="479">
        <v>1.5277777777777777E-2</v>
      </c>
      <c r="D223" s="481" t="s">
        <v>3980</v>
      </c>
      <c r="E223" s="479">
        <v>9.1666666666666674E-2</v>
      </c>
      <c r="F223" s="481" t="s">
        <v>3701</v>
      </c>
      <c r="G223" s="481" t="s">
        <v>124</v>
      </c>
      <c r="H223" s="485" t="s">
        <v>3447</v>
      </c>
      <c r="I223" s="481" t="s">
        <v>2764</v>
      </c>
      <c r="J223" s="481" t="s">
        <v>3055</v>
      </c>
      <c r="K223" s="481" t="s">
        <v>3055</v>
      </c>
    </row>
    <row r="224" spans="1:11" ht="45">
      <c r="A224" s="481" t="s">
        <v>35</v>
      </c>
      <c r="B224" s="481" t="s">
        <v>3981</v>
      </c>
      <c r="C224" s="479">
        <v>0.45555555555555555</v>
      </c>
      <c r="D224" s="481" t="s">
        <v>3981</v>
      </c>
      <c r="E224" s="479">
        <v>0.49027777777777781</v>
      </c>
      <c r="F224" s="481" t="s">
        <v>3528</v>
      </c>
      <c r="G224" s="481" t="s">
        <v>3143</v>
      </c>
      <c r="H224" s="485" t="s">
        <v>3387</v>
      </c>
      <c r="I224" s="481" t="s">
        <v>2764</v>
      </c>
      <c r="J224" s="481" t="s">
        <v>3055</v>
      </c>
      <c r="K224" s="481" t="s">
        <v>3055</v>
      </c>
    </row>
    <row r="225" spans="1:11" ht="67.5">
      <c r="A225" s="481" t="s">
        <v>35</v>
      </c>
      <c r="B225" s="481" t="s">
        <v>3982</v>
      </c>
      <c r="C225" s="479">
        <v>0.625</v>
      </c>
      <c r="D225" s="481" t="s">
        <v>3982</v>
      </c>
      <c r="E225" s="479">
        <v>0.68125000000000002</v>
      </c>
      <c r="F225" s="481" t="s">
        <v>2919</v>
      </c>
      <c r="G225" s="481" t="s">
        <v>1352</v>
      </c>
      <c r="H225" s="485" t="s">
        <v>3411</v>
      </c>
      <c r="I225" s="481" t="s">
        <v>2483</v>
      </c>
      <c r="J225" s="481" t="s">
        <v>3055</v>
      </c>
      <c r="K225" s="481" t="s">
        <v>3055</v>
      </c>
    </row>
    <row r="226" spans="1:11" ht="67.5">
      <c r="A226" s="481" t="s">
        <v>35</v>
      </c>
      <c r="B226" s="481" t="s">
        <v>3983</v>
      </c>
      <c r="C226" s="479">
        <v>0.13819444444444443</v>
      </c>
      <c r="D226" s="481" t="s">
        <v>3983</v>
      </c>
      <c r="E226" s="479">
        <v>0.27638888888888885</v>
      </c>
      <c r="F226" s="481" t="s">
        <v>2895</v>
      </c>
      <c r="G226" s="481" t="s">
        <v>3143</v>
      </c>
      <c r="H226" s="485" t="s">
        <v>3411</v>
      </c>
      <c r="I226" s="481" t="s">
        <v>2483</v>
      </c>
      <c r="J226" s="481" t="s">
        <v>3055</v>
      </c>
      <c r="K226" s="481" t="s">
        <v>3055</v>
      </c>
    </row>
    <row r="227" spans="1:11" ht="45">
      <c r="A227" s="481" t="s">
        <v>35</v>
      </c>
      <c r="B227" s="481" t="s">
        <v>3983</v>
      </c>
      <c r="C227" s="479">
        <v>0.83124999999999993</v>
      </c>
      <c r="D227" s="481" t="s">
        <v>3983</v>
      </c>
      <c r="E227" s="479">
        <v>0.86388888888888893</v>
      </c>
      <c r="F227" s="481" t="s">
        <v>3984</v>
      </c>
      <c r="G227" s="481" t="s">
        <v>3347</v>
      </c>
      <c r="H227" s="485" t="s">
        <v>3447</v>
      </c>
      <c r="I227" s="481" t="s">
        <v>2764</v>
      </c>
      <c r="J227" s="481" t="s">
        <v>3055</v>
      </c>
      <c r="K227" s="481" t="s">
        <v>3055</v>
      </c>
    </row>
    <row r="228" spans="1:11" ht="33.75">
      <c r="A228" s="481" t="s">
        <v>35</v>
      </c>
      <c r="B228" s="481" t="s">
        <v>3985</v>
      </c>
      <c r="C228" s="479">
        <v>0.29166666666666669</v>
      </c>
      <c r="D228" s="481" t="s">
        <v>45</v>
      </c>
      <c r="E228" s="479" t="s">
        <v>45</v>
      </c>
      <c r="F228" s="481" t="s">
        <v>3853</v>
      </c>
      <c r="G228" s="481" t="s">
        <v>3347</v>
      </c>
      <c r="H228" s="485" t="s">
        <v>3356</v>
      </c>
      <c r="I228" s="481" t="s">
        <v>100</v>
      </c>
      <c r="J228" s="481" t="s">
        <v>3055</v>
      </c>
      <c r="K228" s="481" t="s">
        <v>3055</v>
      </c>
    </row>
    <row r="229" spans="1:11" ht="33.75">
      <c r="A229" s="481" t="s">
        <v>35</v>
      </c>
      <c r="B229" s="481" t="s">
        <v>3986</v>
      </c>
      <c r="C229" s="479">
        <v>3.125E-2</v>
      </c>
      <c r="D229" s="481" t="s">
        <v>3987</v>
      </c>
      <c r="E229" s="479">
        <v>0.39583333333333331</v>
      </c>
      <c r="F229" s="481" t="s">
        <v>3521</v>
      </c>
      <c r="G229" s="481" t="s">
        <v>61</v>
      </c>
      <c r="H229" s="485" t="s">
        <v>3451</v>
      </c>
      <c r="I229" s="481" t="s">
        <v>22</v>
      </c>
      <c r="J229" s="481" t="s">
        <v>45</v>
      </c>
      <c r="K229" s="481" t="s">
        <v>3988</v>
      </c>
    </row>
    <row r="230" spans="1:11" ht="67.5">
      <c r="A230" s="481" t="s">
        <v>35</v>
      </c>
      <c r="B230" s="481" t="s">
        <v>3987</v>
      </c>
      <c r="C230" s="479">
        <v>0.24791666666666667</v>
      </c>
      <c r="D230" s="481" t="s">
        <v>3987</v>
      </c>
      <c r="E230" s="479">
        <v>0.58194444444444449</v>
      </c>
      <c r="F230" s="481" t="s">
        <v>3989</v>
      </c>
      <c r="G230" s="481" t="s">
        <v>674</v>
      </c>
      <c r="H230" s="485" t="s">
        <v>3411</v>
      </c>
      <c r="I230" s="481" t="s">
        <v>2483</v>
      </c>
      <c r="J230" s="481" t="s">
        <v>3055</v>
      </c>
      <c r="K230" s="481" t="s">
        <v>3055</v>
      </c>
    </row>
    <row r="231" spans="1:11" ht="45">
      <c r="A231" s="481" t="s">
        <v>35</v>
      </c>
      <c r="B231" s="481" t="s">
        <v>3987</v>
      </c>
      <c r="C231" s="479">
        <v>0.58333333333333337</v>
      </c>
      <c r="D231" s="481" t="s">
        <v>3987</v>
      </c>
      <c r="E231" s="479">
        <v>0.87986111111111109</v>
      </c>
      <c r="F231" s="481" t="s">
        <v>2920</v>
      </c>
      <c r="G231" s="481" t="s">
        <v>124</v>
      </c>
      <c r="H231" s="485" t="s">
        <v>3447</v>
      </c>
      <c r="I231" s="481" t="s">
        <v>2764</v>
      </c>
      <c r="J231" s="481" t="s">
        <v>3055</v>
      </c>
      <c r="K231" s="481" t="s">
        <v>3055</v>
      </c>
    </row>
    <row r="232" spans="1:11" ht="123.75">
      <c r="A232" s="481" t="s">
        <v>35</v>
      </c>
      <c r="B232" s="481" t="s">
        <v>3990</v>
      </c>
      <c r="C232" s="479">
        <v>0.92708333333333337</v>
      </c>
      <c r="D232" s="481" t="s">
        <v>3991</v>
      </c>
      <c r="E232" s="479">
        <v>8.3333333333333329E-2</v>
      </c>
      <c r="F232" s="481" t="s">
        <v>3992</v>
      </c>
      <c r="G232" s="481" t="s">
        <v>1352</v>
      </c>
      <c r="H232" s="485" t="s">
        <v>3451</v>
      </c>
      <c r="I232" s="481" t="s">
        <v>22</v>
      </c>
      <c r="J232" s="481" t="s">
        <v>45</v>
      </c>
      <c r="K232" s="481" t="s">
        <v>3871</v>
      </c>
    </row>
    <row r="233" spans="1:11" ht="45">
      <c r="A233" s="481" t="s">
        <v>35</v>
      </c>
      <c r="B233" s="481" t="s">
        <v>3993</v>
      </c>
      <c r="C233" s="479">
        <v>3.4027777777777775E-2</v>
      </c>
      <c r="D233" s="481" t="s">
        <v>3993</v>
      </c>
      <c r="E233" s="479">
        <v>0.17013888888888887</v>
      </c>
      <c r="F233" s="481" t="s">
        <v>3720</v>
      </c>
      <c r="G233" s="481" t="s">
        <v>61</v>
      </c>
      <c r="H233" s="485" t="s">
        <v>3387</v>
      </c>
      <c r="I233" s="481" t="s">
        <v>2764</v>
      </c>
      <c r="J233" s="481" t="s">
        <v>3055</v>
      </c>
      <c r="K233" s="481" t="s">
        <v>3055</v>
      </c>
    </row>
    <row r="234" spans="1:11" ht="45">
      <c r="A234" s="481" t="s">
        <v>35</v>
      </c>
      <c r="B234" s="481" t="s">
        <v>3993</v>
      </c>
      <c r="C234" s="479">
        <v>3.4027777777777775E-2</v>
      </c>
      <c r="D234" s="481" t="s">
        <v>3993</v>
      </c>
      <c r="E234" s="479">
        <v>0.17013888888888887</v>
      </c>
      <c r="F234" s="481" t="s">
        <v>3719</v>
      </c>
      <c r="G234" s="481" t="s">
        <v>61</v>
      </c>
      <c r="H234" s="485" t="s">
        <v>3387</v>
      </c>
      <c r="I234" s="481" t="s">
        <v>2764</v>
      </c>
      <c r="J234" s="481" t="s">
        <v>3055</v>
      </c>
      <c r="K234" s="481" t="s">
        <v>3055</v>
      </c>
    </row>
    <row r="235" spans="1:11" ht="33.75">
      <c r="A235" s="481" t="s">
        <v>35</v>
      </c>
      <c r="B235" s="481" t="s">
        <v>3993</v>
      </c>
      <c r="C235" s="479">
        <v>0.60833333333333328</v>
      </c>
      <c r="D235" s="481" t="s">
        <v>45</v>
      </c>
      <c r="E235" s="479" t="s">
        <v>45</v>
      </c>
      <c r="F235" s="481" t="s">
        <v>2945</v>
      </c>
      <c r="G235" s="481" t="s">
        <v>124</v>
      </c>
      <c r="H235" s="485" t="s">
        <v>3451</v>
      </c>
      <c r="I235" s="481" t="s">
        <v>2990</v>
      </c>
      <c r="J235" s="481" t="s">
        <v>45</v>
      </c>
      <c r="K235" s="481" t="s">
        <v>3240</v>
      </c>
    </row>
    <row r="236" spans="1:11" ht="67.5">
      <c r="A236" s="481" t="s">
        <v>35</v>
      </c>
      <c r="B236" s="481" t="s">
        <v>3994</v>
      </c>
      <c r="C236" s="479">
        <v>0.70972222222222225</v>
      </c>
      <c r="D236" s="481" t="s">
        <v>3994</v>
      </c>
      <c r="E236" s="479">
        <v>0.71458333333333324</v>
      </c>
      <c r="F236" s="481" t="s">
        <v>3995</v>
      </c>
      <c r="G236" s="481" t="s">
        <v>3143</v>
      </c>
      <c r="H236" s="485" t="s">
        <v>3411</v>
      </c>
      <c r="I236" s="481" t="s">
        <v>2483</v>
      </c>
      <c r="J236" s="481" t="s">
        <v>3055</v>
      </c>
      <c r="K236" s="481" t="s">
        <v>3055</v>
      </c>
    </row>
    <row r="237" spans="1:11" ht="33.75">
      <c r="A237" s="481" t="s">
        <v>35</v>
      </c>
      <c r="B237" s="481" t="s">
        <v>3994</v>
      </c>
      <c r="C237" s="479">
        <v>0.21875</v>
      </c>
      <c r="D237" s="481" t="s">
        <v>45</v>
      </c>
      <c r="E237" s="479" t="s">
        <v>45</v>
      </c>
      <c r="F237" s="481" t="s">
        <v>2945</v>
      </c>
      <c r="G237" s="481" t="s">
        <v>124</v>
      </c>
      <c r="H237" s="485" t="s">
        <v>3654</v>
      </c>
      <c r="I237" s="481" t="s">
        <v>1138</v>
      </c>
      <c r="J237" s="481" t="s">
        <v>3055</v>
      </c>
      <c r="K237" s="481" t="s">
        <v>3055</v>
      </c>
    </row>
    <row r="238" spans="1:11" ht="78.75">
      <c r="A238" s="481" t="s">
        <v>35</v>
      </c>
      <c r="B238" s="481" t="s">
        <v>3991</v>
      </c>
      <c r="C238" s="479">
        <v>0.12013888888888889</v>
      </c>
      <c r="D238" s="481" t="s">
        <v>3991</v>
      </c>
      <c r="E238" s="479">
        <v>0.19236111111111112</v>
      </c>
      <c r="F238" s="481" t="s">
        <v>3996</v>
      </c>
      <c r="G238" s="481" t="s">
        <v>63</v>
      </c>
      <c r="H238" s="485" t="s">
        <v>3402</v>
      </c>
      <c r="I238" s="481" t="s">
        <v>2118</v>
      </c>
      <c r="J238" s="481" t="s">
        <v>3055</v>
      </c>
      <c r="K238" s="481" t="s">
        <v>3055</v>
      </c>
    </row>
    <row r="239" spans="1:11" ht="33.75">
      <c r="A239" s="481" t="s">
        <v>35</v>
      </c>
      <c r="B239" s="481" t="s">
        <v>3997</v>
      </c>
      <c r="C239" s="479">
        <v>0.76388888888888884</v>
      </c>
      <c r="D239" s="481" t="s">
        <v>3998</v>
      </c>
      <c r="E239" s="479">
        <v>6.0416666666666667E-2</v>
      </c>
      <c r="F239" s="481" t="s">
        <v>2945</v>
      </c>
      <c r="G239" s="481" t="s">
        <v>124</v>
      </c>
      <c r="H239" s="485" t="s">
        <v>3451</v>
      </c>
      <c r="I239" s="481" t="s">
        <v>2990</v>
      </c>
      <c r="J239" s="481" t="s">
        <v>3999</v>
      </c>
      <c r="K239" s="481" t="s">
        <v>4000</v>
      </c>
    </row>
    <row r="240" spans="1:11" ht="45">
      <c r="A240" s="481" t="s">
        <v>35</v>
      </c>
      <c r="B240" s="481" t="s">
        <v>3997</v>
      </c>
      <c r="C240" s="479">
        <v>0.33819444444444446</v>
      </c>
      <c r="D240" s="481" t="s">
        <v>3997</v>
      </c>
      <c r="E240" s="479">
        <v>0.36458333333333331</v>
      </c>
      <c r="F240" s="481" t="s">
        <v>2959</v>
      </c>
      <c r="G240" s="481" t="s">
        <v>61</v>
      </c>
      <c r="H240" s="485" t="s">
        <v>3387</v>
      </c>
      <c r="I240" s="481" t="s">
        <v>2764</v>
      </c>
      <c r="J240" s="481" t="s">
        <v>3055</v>
      </c>
      <c r="K240" s="481" t="s">
        <v>3055</v>
      </c>
    </row>
    <row r="241" spans="1:11" ht="33.75">
      <c r="A241" s="481" t="s">
        <v>35</v>
      </c>
      <c r="B241" s="481" t="s">
        <v>3997</v>
      </c>
      <c r="C241" s="479">
        <v>0.21875</v>
      </c>
      <c r="D241" s="481" t="s">
        <v>3997</v>
      </c>
      <c r="E241" s="479">
        <v>0.72986111111111107</v>
      </c>
      <c r="F241" s="481" t="s">
        <v>2866</v>
      </c>
      <c r="G241" s="481" t="s">
        <v>63</v>
      </c>
      <c r="H241" s="485" t="s">
        <v>3451</v>
      </c>
      <c r="I241" s="481" t="s">
        <v>22</v>
      </c>
      <c r="J241" s="481" t="s">
        <v>45</v>
      </c>
      <c r="K241" s="481" t="s">
        <v>4001</v>
      </c>
    </row>
    <row r="242" spans="1:11" ht="33.75">
      <c r="A242" s="481" t="s">
        <v>35</v>
      </c>
      <c r="B242" s="481" t="s">
        <v>3997</v>
      </c>
      <c r="C242" s="479">
        <v>0.75</v>
      </c>
      <c r="D242" s="481" t="s">
        <v>45</v>
      </c>
      <c r="E242" s="479" t="s">
        <v>45</v>
      </c>
      <c r="F242" s="481" t="s">
        <v>3189</v>
      </c>
      <c r="G242" s="481" t="s">
        <v>63</v>
      </c>
      <c r="H242" s="485" t="s">
        <v>3451</v>
      </c>
      <c r="I242" s="481" t="s">
        <v>22</v>
      </c>
      <c r="J242" s="481" t="s">
        <v>45</v>
      </c>
      <c r="K242" s="481" t="s">
        <v>3340</v>
      </c>
    </row>
    <row r="243" spans="1:11" ht="123.75">
      <c r="A243" s="481" t="s">
        <v>35</v>
      </c>
      <c r="B243" s="481" t="s">
        <v>4002</v>
      </c>
      <c r="C243" s="479">
        <v>0.57361111111111118</v>
      </c>
      <c r="D243" s="481" t="s">
        <v>4002</v>
      </c>
      <c r="E243" s="479">
        <v>0.61736111111111114</v>
      </c>
      <c r="F243" s="481" t="s">
        <v>4003</v>
      </c>
      <c r="G243" s="481" t="s">
        <v>674</v>
      </c>
      <c r="H243" s="485" t="s">
        <v>3387</v>
      </c>
      <c r="I243" s="481" t="s">
        <v>2764</v>
      </c>
      <c r="J243" s="481" t="s">
        <v>3055</v>
      </c>
      <c r="K243" s="481" t="s">
        <v>3055</v>
      </c>
    </row>
    <row r="244" spans="1:11" ht="67.5">
      <c r="A244" s="481" t="s">
        <v>35</v>
      </c>
      <c r="B244" s="481" t="s">
        <v>4004</v>
      </c>
      <c r="C244" s="479">
        <v>0.2722222222222222</v>
      </c>
      <c r="D244" s="481" t="s">
        <v>4005</v>
      </c>
      <c r="E244" s="479">
        <v>0.56180555555555556</v>
      </c>
      <c r="F244" s="481" t="s">
        <v>4006</v>
      </c>
      <c r="G244" s="481" t="s">
        <v>124</v>
      </c>
      <c r="H244" s="485" t="s">
        <v>3451</v>
      </c>
      <c r="I244" s="481" t="s">
        <v>3768</v>
      </c>
      <c r="J244" s="481" t="s">
        <v>4007</v>
      </c>
      <c r="K244" s="481" t="s">
        <v>4008</v>
      </c>
    </row>
    <row r="245" spans="1:11" ht="33.75">
      <c r="A245" s="481" t="s">
        <v>35</v>
      </c>
      <c r="B245" s="481" t="s">
        <v>3998</v>
      </c>
      <c r="C245" s="479">
        <v>0.91666666666666663</v>
      </c>
      <c r="D245" s="481" t="s">
        <v>45</v>
      </c>
      <c r="E245" s="479" t="s">
        <v>45</v>
      </c>
      <c r="F245" s="481" t="s">
        <v>3245</v>
      </c>
      <c r="G245" s="481" t="s">
        <v>3143</v>
      </c>
      <c r="H245" s="485" t="s">
        <v>3451</v>
      </c>
      <c r="I245" s="481" t="s">
        <v>3768</v>
      </c>
      <c r="J245" s="481" t="s">
        <v>45</v>
      </c>
      <c r="K245" s="481" t="s">
        <v>4009</v>
      </c>
    </row>
    <row r="246" spans="1:11" ht="45">
      <c r="A246" s="481" t="s">
        <v>38</v>
      </c>
      <c r="B246" s="481" t="s">
        <v>4005</v>
      </c>
      <c r="C246" s="479">
        <v>0.98958333333333337</v>
      </c>
      <c r="D246" s="481" t="s">
        <v>4010</v>
      </c>
      <c r="E246" s="479">
        <v>3.3333333333333333E-2</v>
      </c>
      <c r="F246" s="481" t="s">
        <v>3719</v>
      </c>
      <c r="G246" s="481" t="s">
        <v>61</v>
      </c>
      <c r="H246" s="485" t="s">
        <v>3387</v>
      </c>
      <c r="I246" s="481" t="s">
        <v>2764</v>
      </c>
      <c r="J246" s="481" t="s">
        <v>3055</v>
      </c>
      <c r="K246" s="481" t="s">
        <v>3055</v>
      </c>
    </row>
    <row r="247" spans="1:11" ht="45">
      <c r="A247" s="481" t="s">
        <v>38</v>
      </c>
      <c r="B247" s="481" t="s">
        <v>4005</v>
      </c>
      <c r="C247" s="479">
        <v>0.98958333333333337</v>
      </c>
      <c r="D247" s="481" t="s">
        <v>4010</v>
      </c>
      <c r="E247" s="479">
        <v>3.3333333333333333E-2</v>
      </c>
      <c r="F247" s="481" t="s">
        <v>3720</v>
      </c>
      <c r="G247" s="481" t="s">
        <v>61</v>
      </c>
      <c r="H247" s="485" t="s">
        <v>3387</v>
      </c>
      <c r="I247" s="481" t="s">
        <v>2764</v>
      </c>
      <c r="J247" s="481" t="s">
        <v>3055</v>
      </c>
      <c r="K247" s="481" t="s">
        <v>3055</v>
      </c>
    </row>
    <row r="248" spans="1:11" ht="33.75">
      <c r="A248" s="481" t="s">
        <v>38</v>
      </c>
      <c r="B248" s="481" t="s">
        <v>4005</v>
      </c>
      <c r="C248" s="479">
        <v>4.1666666666666664E-2</v>
      </c>
      <c r="D248" s="481" t="s">
        <v>4011</v>
      </c>
      <c r="E248" s="479">
        <v>0.54166666666666663</v>
      </c>
      <c r="F248" s="481" t="s">
        <v>2868</v>
      </c>
      <c r="G248" s="481" t="s">
        <v>61</v>
      </c>
      <c r="H248" s="485" t="s">
        <v>3451</v>
      </c>
      <c r="I248" s="481" t="s">
        <v>22</v>
      </c>
      <c r="J248" s="481" t="s">
        <v>45</v>
      </c>
      <c r="K248" s="481" t="s">
        <v>4012</v>
      </c>
    </row>
    <row r="249" spans="1:11" ht="45">
      <c r="A249" s="481" t="s">
        <v>38</v>
      </c>
      <c r="B249" s="481" t="s">
        <v>4005</v>
      </c>
      <c r="C249" s="479">
        <v>5.2083333333333336E-2</v>
      </c>
      <c r="D249" s="481" t="s">
        <v>4010</v>
      </c>
      <c r="E249" s="479">
        <v>0.89583333333333337</v>
      </c>
      <c r="F249" s="481" t="s">
        <v>4013</v>
      </c>
      <c r="G249" s="481" t="s">
        <v>61</v>
      </c>
      <c r="H249" s="485" t="s">
        <v>3451</v>
      </c>
      <c r="I249" s="481" t="s">
        <v>22</v>
      </c>
      <c r="J249" s="481" t="s">
        <v>45</v>
      </c>
      <c r="K249" s="481" t="s">
        <v>4014</v>
      </c>
    </row>
    <row r="250" spans="1:11" ht="33.75">
      <c r="A250" s="481" t="s">
        <v>38</v>
      </c>
      <c r="B250" s="481" t="s">
        <v>4005</v>
      </c>
      <c r="C250" s="479">
        <v>0.11180555555555556</v>
      </c>
      <c r="D250" s="481" t="s">
        <v>45</v>
      </c>
      <c r="E250" s="479" t="s">
        <v>45</v>
      </c>
      <c r="F250" s="481" t="s">
        <v>3719</v>
      </c>
      <c r="G250" s="481" t="s">
        <v>61</v>
      </c>
      <c r="H250" s="485" t="s">
        <v>3451</v>
      </c>
      <c r="I250" s="481" t="s">
        <v>22</v>
      </c>
      <c r="J250" s="481" t="s">
        <v>45</v>
      </c>
      <c r="K250" s="481" t="s">
        <v>4015</v>
      </c>
    </row>
    <row r="251" spans="1:11" ht="67.5">
      <c r="A251" s="481" t="s">
        <v>38</v>
      </c>
      <c r="B251" s="481" t="s">
        <v>4011</v>
      </c>
      <c r="C251" s="479">
        <v>0.92847222222222225</v>
      </c>
      <c r="D251" s="481" t="s">
        <v>4016</v>
      </c>
      <c r="E251" s="479">
        <v>0.46527777777777773</v>
      </c>
      <c r="F251" s="481" t="s">
        <v>4017</v>
      </c>
      <c r="G251" s="481" t="s">
        <v>674</v>
      </c>
      <c r="H251" s="485" t="s">
        <v>3411</v>
      </c>
      <c r="I251" s="481" t="s">
        <v>2483</v>
      </c>
      <c r="J251" s="481" t="s">
        <v>3055</v>
      </c>
      <c r="K251" s="481" t="s">
        <v>3055</v>
      </c>
    </row>
    <row r="252" spans="1:11" ht="67.5">
      <c r="A252" s="481" t="s">
        <v>38</v>
      </c>
      <c r="B252" s="481" t="s">
        <v>4018</v>
      </c>
      <c r="C252" s="479">
        <v>0.37222222222222223</v>
      </c>
      <c r="D252" s="481" t="s">
        <v>4018</v>
      </c>
      <c r="E252" s="479">
        <v>0.49374999999999997</v>
      </c>
      <c r="F252" s="481" t="s">
        <v>4019</v>
      </c>
      <c r="G252" s="481" t="s">
        <v>301</v>
      </c>
      <c r="H252" s="485" t="s">
        <v>3411</v>
      </c>
      <c r="I252" s="481" t="s">
        <v>2483</v>
      </c>
      <c r="J252" s="481" t="s">
        <v>4020</v>
      </c>
      <c r="K252" s="481" t="s">
        <v>45</v>
      </c>
    </row>
    <row r="253" spans="1:11" ht="33.75">
      <c r="A253" s="481" t="s">
        <v>38</v>
      </c>
      <c r="B253" s="481" t="s">
        <v>4018</v>
      </c>
      <c r="C253" s="479">
        <v>0.35416666666666669</v>
      </c>
      <c r="D253" s="481" t="s">
        <v>4018</v>
      </c>
      <c r="E253" s="479">
        <v>0.6777777777777777</v>
      </c>
      <c r="F253" s="481" t="s">
        <v>3561</v>
      </c>
      <c r="G253" s="481" t="s">
        <v>3143</v>
      </c>
      <c r="H253" s="485" t="s">
        <v>3356</v>
      </c>
      <c r="I253" s="481" t="s">
        <v>100</v>
      </c>
      <c r="J253" s="481" t="s">
        <v>3055</v>
      </c>
      <c r="K253" s="481" t="s">
        <v>3055</v>
      </c>
    </row>
    <row r="254" spans="1:11" ht="33.75">
      <c r="A254" s="481" t="s">
        <v>38</v>
      </c>
      <c r="B254" s="481" t="s">
        <v>4018</v>
      </c>
      <c r="C254" s="479">
        <v>0.65277777777777779</v>
      </c>
      <c r="D254" s="481" t="s">
        <v>4018</v>
      </c>
      <c r="E254" s="479">
        <v>0.71597222222222223</v>
      </c>
      <c r="F254" s="481" t="s">
        <v>4021</v>
      </c>
      <c r="G254" s="481" t="s">
        <v>124</v>
      </c>
      <c r="H254" s="485" t="s">
        <v>3356</v>
      </c>
      <c r="I254" s="481" t="s">
        <v>100</v>
      </c>
      <c r="J254" s="481" t="s">
        <v>45</v>
      </c>
      <c r="K254" s="481" t="s">
        <v>4022</v>
      </c>
    </row>
    <row r="255" spans="1:11" ht="67.5">
      <c r="A255" s="481" t="s">
        <v>38</v>
      </c>
      <c r="B255" s="481" t="s">
        <v>4023</v>
      </c>
      <c r="C255" s="479">
        <v>0.24305555555555555</v>
      </c>
      <c r="D255" s="481" t="s">
        <v>4023</v>
      </c>
      <c r="E255" s="479">
        <v>0.25694444444444448</v>
      </c>
      <c r="F255" s="481" t="s">
        <v>4024</v>
      </c>
      <c r="G255" s="481" t="s">
        <v>124</v>
      </c>
      <c r="H255" s="485" t="s">
        <v>3431</v>
      </c>
      <c r="I255" s="481" t="s">
        <v>2764</v>
      </c>
      <c r="J255" s="481" t="s">
        <v>4025</v>
      </c>
      <c r="K255" s="481" t="s">
        <v>45</v>
      </c>
    </row>
    <row r="256" spans="1:11" ht="33.75">
      <c r="A256" s="481" t="s">
        <v>38</v>
      </c>
      <c r="B256" s="481" t="s">
        <v>4026</v>
      </c>
      <c r="C256" s="479">
        <v>0.6743055555555556</v>
      </c>
      <c r="D256" s="481" t="s">
        <v>4026</v>
      </c>
      <c r="E256" s="479">
        <v>0.7090277777777777</v>
      </c>
      <c r="F256" s="481" t="s">
        <v>3712</v>
      </c>
      <c r="G256" s="481" t="s">
        <v>124</v>
      </c>
      <c r="H256" s="485" t="s">
        <v>3356</v>
      </c>
      <c r="I256" s="481" t="s">
        <v>100</v>
      </c>
      <c r="J256" s="481" t="s">
        <v>3055</v>
      </c>
      <c r="K256" s="481" t="s">
        <v>3055</v>
      </c>
    </row>
    <row r="257" spans="1:11" ht="78.75">
      <c r="A257" s="481" t="s">
        <v>38</v>
      </c>
      <c r="B257" s="481" t="s">
        <v>4026</v>
      </c>
      <c r="C257" s="479">
        <v>0.25</v>
      </c>
      <c r="D257" s="481" t="s">
        <v>4026</v>
      </c>
      <c r="E257" s="479">
        <v>0.73958333333333337</v>
      </c>
      <c r="F257" s="481" t="s">
        <v>4027</v>
      </c>
      <c r="G257" s="481" t="s">
        <v>1352</v>
      </c>
      <c r="H257" s="485" t="s">
        <v>3402</v>
      </c>
      <c r="I257" s="481" t="s">
        <v>2118</v>
      </c>
      <c r="J257" s="481" t="s">
        <v>3055</v>
      </c>
      <c r="K257" s="481" t="s">
        <v>3055</v>
      </c>
    </row>
    <row r="258" spans="1:11" ht="78.75">
      <c r="A258" s="481" t="s">
        <v>38</v>
      </c>
      <c r="B258" s="481" t="s">
        <v>4028</v>
      </c>
      <c r="C258" s="479">
        <v>0.40902777777777777</v>
      </c>
      <c r="D258" s="481" t="s">
        <v>4028</v>
      </c>
      <c r="E258" s="479">
        <v>0.63888888888888895</v>
      </c>
      <c r="F258" s="481" t="s">
        <v>4029</v>
      </c>
      <c r="G258" s="481" t="s">
        <v>124</v>
      </c>
      <c r="H258" s="485" t="s">
        <v>3451</v>
      </c>
      <c r="I258" s="481" t="s">
        <v>2990</v>
      </c>
      <c r="J258" s="481" t="s">
        <v>4030</v>
      </c>
      <c r="K258" s="481" t="s">
        <v>3952</v>
      </c>
    </row>
    <row r="259" spans="1:11" ht="45">
      <c r="A259" s="481" t="s">
        <v>38</v>
      </c>
      <c r="B259" s="481" t="s">
        <v>4028</v>
      </c>
      <c r="C259" s="479">
        <v>0.70486111111111116</v>
      </c>
      <c r="D259" s="481" t="s">
        <v>4028</v>
      </c>
      <c r="E259" s="479">
        <v>0.73402777777777783</v>
      </c>
      <c r="F259" s="481" t="s">
        <v>2920</v>
      </c>
      <c r="G259" s="481" t="s">
        <v>124</v>
      </c>
      <c r="H259" s="485" t="s">
        <v>3447</v>
      </c>
      <c r="I259" s="481" t="s">
        <v>2764</v>
      </c>
      <c r="J259" s="481" t="s">
        <v>3055</v>
      </c>
      <c r="K259" s="481" t="s">
        <v>3055</v>
      </c>
    </row>
    <row r="260" spans="1:11" ht="45">
      <c r="A260" s="481" t="s">
        <v>38</v>
      </c>
      <c r="B260" s="481" t="s">
        <v>4031</v>
      </c>
      <c r="C260" s="479">
        <v>0</v>
      </c>
      <c r="D260" s="481" t="s">
        <v>4031</v>
      </c>
      <c r="E260" s="479">
        <v>4.8611111111111112E-2</v>
      </c>
      <c r="F260" s="481" t="s">
        <v>3719</v>
      </c>
      <c r="G260" s="481" t="s">
        <v>61</v>
      </c>
      <c r="H260" s="485" t="s">
        <v>3387</v>
      </c>
      <c r="I260" s="481" t="s">
        <v>2764</v>
      </c>
      <c r="J260" s="481" t="s">
        <v>3055</v>
      </c>
      <c r="K260" s="481" t="s">
        <v>3055</v>
      </c>
    </row>
    <row r="261" spans="1:11" ht="45">
      <c r="A261" s="481" t="s">
        <v>38</v>
      </c>
      <c r="B261" s="481" t="s">
        <v>4031</v>
      </c>
      <c r="C261" s="479">
        <v>0</v>
      </c>
      <c r="D261" s="481" t="s">
        <v>4031</v>
      </c>
      <c r="E261" s="479">
        <v>4.8611111111111112E-2</v>
      </c>
      <c r="F261" s="481" t="s">
        <v>3720</v>
      </c>
      <c r="G261" s="481" t="s">
        <v>61</v>
      </c>
      <c r="H261" s="485" t="s">
        <v>3387</v>
      </c>
      <c r="I261" s="481" t="s">
        <v>2764</v>
      </c>
      <c r="J261" s="481" t="s">
        <v>3055</v>
      </c>
      <c r="K261" s="481" t="s">
        <v>3055</v>
      </c>
    </row>
    <row r="262" spans="1:11" ht="33.75">
      <c r="A262" s="481" t="s">
        <v>38</v>
      </c>
      <c r="B262" s="481" t="s">
        <v>4032</v>
      </c>
      <c r="C262" s="479">
        <v>0.75486111111111109</v>
      </c>
      <c r="D262" s="481" t="s">
        <v>4033</v>
      </c>
      <c r="E262" s="479">
        <v>0.51874999999999993</v>
      </c>
      <c r="F262" s="481" t="s">
        <v>2945</v>
      </c>
      <c r="G262" s="481" t="s">
        <v>124</v>
      </c>
      <c r="H262" s="485" t="s">
        <v>3451</v>
      </c>
      <c r="I262" s="481" t="s">
        <v>22</v>
      </c>
      <c r="J262" s="481" t="s">
        <v>3296</v>
      </c>
      <c r="K262" s="481" t="s">
        <v>4034</v>
      </c>
    </row>
    <row r="263" spans="1:11" ht="33.75">
      <c r="A263" s="481" t="s">
        <v>38</v>
      </c>
      <c r="B263" s="481" t="s">
        <v>4033</v>
      </c>
      <c r="C263" s="479">
        <v>0.11388888888888889</v>
      </c>
      <c r="D263" s="481" t="s">
        <v>4033</v>
      </c>
      <c r="E263" s="479">
        <v>0.66666666666666663</v>
      </c>
      <c r="F263" s="481" t="s">
        <v>4035</v>
      </c>
      <c r="G263" s="481" t="s">
        <v>124</v>
      </c>
      <c r="H263" s="485" t="s">
        <v>3356</v>
      </c>
      <c r="I263" s="481" t="s">
        <v>100</v>
      </c>
      <c r="J263" s="481" t="s">
        <v>4036</v>
      </c>
      <c r="K263" s="481" t="s">
        <v>3082</v>
      </c>
    </row>
    <row r="264" spans="1:11" ht="90">
      <c r="A264" s="481" t="s">
        <v>38</v>
      </c>
      <c r="B264" s="481" t="s">
        <v>4033</v>
      </c>
      <c r="C264" s="479">
        <v>0.5</v>
      </c>
      <c r="D264" s="481" t="s">
        <v>4037</v>
      </c>
      <c r="E264" s="479">
        <v>8.3333333333333329E-2</v>
      </c>
      <c r="F264" s="481" t="s">
        <v>4038</v>
      </c>
      <c r="G264" s="481" t="s">
        <v>3143</v>
      </c>
      <c r="H264" s="485" t="s">
        <v>3451</v>
      </c>
      <c r="I264" s="481" t="s">
        <v>22</v>
      </c>
      <c r="J264" s="481" t="s">
        <v>3219</v>
      </c>
      <c r="K264" s="481" t="s">
        <v>4039</v>
      </c>
    </row>
    <row r="265" spans="1:11" ht="67.5">
      <c r="A265" s="481" t="s">
        <v>38</v>
      </c>
      <c r="B265" s="481" t="s">
        <v>4040</v>
      </c>
      <c r="C265" s="479">
        <v>0</v>
      </c>
      <c r="D265" s="481" t="s">
        <v>4041</v>
      </c>
      <c r="E265" s="479">
        <v>0</v>
      </c>
      <c r="F265" s="481" t="s">
        <v>4042</v>
      </c>
      <c r="G265" s="481" t="s">
        <v>1352</v>
      </c>
      <c r="H265" s="485" t="s">
        <v>4043</v>
      </c>
      <c r="I265" s="481" t="s">
        <v>2293</v>
      </c>
      <c r="J265" s="481" t="s">
        <v>3055</v>
      </c>
      <c r="K265" s="481" t="s">
        <v>3055</v>
      </c>
    </row>
    <row r="266" spans="1:11" ht="45">
      <c r="A266" s="481" t="s">
        <v>47</v>
      </c>
      <c r="B266" s="481" t="s">
        <v>4044</v>
      </c>
      <c r="C266" s="479">
        <v>0.8027777777777777</v>
      </c>
      <c r="D266" s="481" t="s">
        <v>4044</v>
      </c>
      <c r="E266" s="479">
        <v>0.8256944444444444</v>
      </c>
      <c r="F266" s="481" t="s">
        <v>4045</v>
      </c>
      <c r="G266" s="481" t="s">
        <v>63</v>
      </c>
      <c r="H266" s="485" t="s">
        <v>3387</v>
      </c>
      <c r="I266" s="481" t="s">
        <v>2764</v>
      </c>
      <c r="J266" s="481" t="s">
        <v>3055</v>
      </c>
      <c r="K266" s="481" t="s">
        <v>3055</v>
      </c>
    </row>
    <row r="267" spans="1:11" ht="33.75">
      <c r="A267" s="481" t="s">
        <v>47</v>
      </c>
      <c r="B267" s="481" t="s">
        <v>4044</v>
      </c>
      <c r="C267" s="479">
        <v>0.28819444444444448</v>
      </c>
      <c r="D267" s="481" t="s">
        <v>45</v>
      </c>
      <c r="E267" s="479" t="s">
        <v>45</v>
      </c>
      <c r="F267" s="481" t="s">
        <v>3397</v>
      </c>
      <c r="G267" s="481" t="s">
        <v>124</v>
      </c>
      <c r="H267" s="485" t="s">
        <v>3356</v>
      </c>
      <c r="I267" s="481" t="s">
        <v>100</v>
      </c>
      <c r="J267" s="481" t="s">
        <v>45</v>
      </c>
      <c r="K267" s="481" t="s">
        <v>45</v>
      </c>
    </row>
    <row r="268" spans="1:11" ht="45">
      <c r="A268" s="481" t="s">
        <v>47</v>
      </c>
      <c r="B268" s="481" t="s">
        <v>4046</v>
      </c>
      <c r="C268" s="479">
        <v>0.70000000000000007</v>
      </c>
      <c r="D268" s="481" t="s">
        <v>4047</v>
      </c>
      <c r="E268" s="479">
        <v>0.21944444444444444</v>
      </c>
      <c r="F268" s="481" t="s">
        <v>4048</v>
      </c>
      <c r="G268" s="481" t="s">
        <v>3143</v>
      </c>
      <c r="H268" s="485" t="s">
        <v>3447</v>
      </c>
      <c r="I268" s="481" t="s">
        <v>2764</v>
      </c>
      <c r="J268" s="481" t="s">
        <v>3055</v>
      </c>
      <c r="K268" s="481" t="s">
        <v>3055</v>
      </c>
    </row>
    <row r="269" spans="1:11" ht="78.75">
      <c r="A269" s="481" t="s">
        <v>47</v>
      </c>
      <c r="B269" s="481" t="s">
        <v>4046</v>
      </c>
      <c r="C269" s="479">
        <v>0</v>
      </c>
      <c r="D269" s="481" t="s">
        <v>45</v>
      </c>
      <c r="E269" s="479" t="s">
        <v>45</v>
      </c>
      <c r="F269" s="481" t="s">
        <v>4049</v>
      </c>
      <c r="G269" s="481" t="s">
        <v>124</v>
      </c>
      <c r="H269" s="485" t="s">
        <v>3402</v>
      </c>
      <c r="I269" s="481" t="s">
        <v>2118</v>
      </c>
      <c r="J269" s="481" t="s">
        <v>45</v>
      </c>
      <c r="K269" s="481" t="s">
        <v>45</v>
      </c>
    </row>
    <row r="270" spans="1:11" ht="33.75">
      <c r="A270" s="481" t="s">
        <v>47</v>
      </c>
      <c r="B270" s="481" t="s">
        <v>4050</v>
      </c>
      <c r="C270" s="479">
        <v>0.25694444444444448</v>
      </c>
      <c r="D270" s="481" t="s">
        <v>4051</v>
      </c>
      <c r="E270" s="479">
        <v>9.7222222222222224E-2</v>
      </c>
      <c r="F270" s="481" t="s">
        <v>4052</v>
      </c>
      <c r="G270" s="481" t="s">
        <v>3347</v>
      </c>
      <c r="H270" s="485" t="s">
        <v>3428</v>
      </c>
      <c r="I270" s="481" t="s">
        <v>2293</v>
      </c>
      <c r="J270" s="481" t="s">
        <v>3082</v>
      </c>
      <c r="K270" s="481" t="s">
        <v>4053</v>
      </c>
    </row>
    <row r="271" spans="1:11" ht="33.75">
      <c r="A271" s="481" t="s">
        <v>47</v>
      </c>
      <c r="B271" s="481" t="s">
        <v>4051</v>
      </c>
      <c r="C271" s="479">
        <v>0.56944444444444442</v>
      </c>
      <c r="D271" s="481" t="s">
        <v>4051</v>
      </c>
      <c r="E271" s="479">
        <v>0.57013888888888886</v>
      </c>
      <c r="F271" s="481" t="s">
        <v>4054</v>
      </c>
      <c r="G271" s="481" t="s">
        <v>1352</v>
      </c>
      <c r="H271" s="485" t="s">
        <v>3356</v>
      </c>
      <c r="I271" s="481" t="s">
        <v>100</v>
      </c>
      <c r="J271" s="481" t="s">
        <v>3055</v>
      </c>
      <c r="K271" s="481" t="s">
        <v>3055</v>
      </c>
    </row>
    <row r="272" spans="1:11" ht="33.75">
      <c r="A272" s="481" t="s">
        <v>47</v>
      </c>
      <c r="B272" s="481" t="s">
        <v>4055</v>
      </c>
      <c r="C272" s="479">
        <v>0.87013888888888891</v>
      </c>
      <c r="D272" s="481" t="s">
        <v>4055</v>
      </c>
      <c r="E272" s="479">
        <v>0.8979166666666667</v>
      </c>
      <c r="F272" s="481" t="s">
        <v>4052</v>
      </c>
      <c r="G272" s="481" t="s">
        <v>3347</v>
      </c>
      <c r="H272" s="485" t="s">
        <v>3428</v>
      </c>
      <c r="I272" s="481" t="s">
        <v>2293</v>
      </c>
      <c r="J272" s="481" t="s">
        <v>3081</v>
      </c>
      <c r="K272" s="481" t="s">
        <v>4056</v>
      </c>
    </row>
    <row r="273" spans="1:11" ht="67.5">
      <c r="A273" s="481" t="s">
        <v>47</v>
      </c>
      <c r="B273" s="481" t="s">
        <v>4055</v>
      </c>
      <c r="C273" s="479">
        <v>0.56041666666666667</v>
      </c>
      <c r="D273" s="481" t="s">
        <v>4055</v>
      </c>
      <c r="E273" s="479">
        <v>0.57708333333333328</v>
      </c>
      <c r="F273" s="481" t="s">
        <v>4057</v>
      </c>
      <c r="G273" s="481" t="s">
        <v>674</v>
      </c>
      <c r="H273" s="485" t="s">
        <v>3411</v>
      </c>
      <c r="I273" s="481" t="s">
        <v>2483</v>
      </c>
      <c r="J273" s="481" t="s">
        <v>4058</v>
      </c>
      <c r="K273" s="481" t="s">
        <v>3081</v>
      </c>
    </row>
    <row r="274" spans="1:11" ht="45">
      <c r="A274" s="481" t="s">
        <v>47</v>
      </c>
      <c r="B274" s="481" t="s">
        <v>4055</v>
      </c>
      <c r="C274" s="479">
        <v>0.55694444444444446</v>
      </c>
      <c r="D274" s="481" t="s">
        <v>4055</v>
      </c>
      <c r="E274" s="479">
        <v>0.68611111111111101</v>
      </c>
      <c r="F274" s="481" t="s">
        <v>2959</v>
      </c>
      <c r="G274" s="481" t="s">
        <v>61</v>
      </c>
      <c r="H274" s="485" t="s">
        <v>3387</v>
      </c>
      <c r="I274" s="481" t="s">
        <v>2764</v>
      </c>
      <c r="J274" s="481" t="s">
        <v>3055</v>
      </c>
      <c r="K274" s="481" t="s">
        <v>3055</v>
      </c>
    </row>
    <row r="275" spans="1:11" ht="67.5">
      <c r="A275" s="481" t="s">
        <v>47</v>
      </c>
      <c r="B275" s="481" t="s">
        <v>4059</v>
      </c>
      <c r="C275" s="479">
        <v>0.99652777777777779</v>
      </c>
      <c r="D275" s="481" t="s">
        <v>4060</v>
      </c>
      <c r="E275" s="479">
        <v>7.4305555555555555E-2</v>
      </c>
      <c r="F275" s="481" t="s">
        <v>2919</v>
      </c>
      <c r="G275" s="481" t="s">
        <v>1352</v>
      </c>
      <c r="H275" s="485" t="s">
        <v>3411</v>
      </c>
      <c r="I275" s="481" t="s">
        <v>2483</v>
      </c>
      <c r="J275" s="481" t="s">
        <v>3055</v>
      </c>
      <c r="K275" s="481" t="s">
        <v>3055</v>
      </c>
    </row>
    <row r="276" spans="1:11" ht="45">
      <c r="A276" s="481" t="s">
        <v>47</v>
      </c>
      <c r="B276" s="481" t="s">
        <v>4061</v>
      </c>
      <c r="C276" s="479">
        <v>0.60416666666666663</v>
      </c>
      <c r="D276" s="481" t="s">
        <v>4061</v>
      </c>
      <c r="E276" s="479">
        <v>0.64236111111111105</v>
      </c>
      <c r="F276" s="481" t="s">
        <v>3639</v>
      </c>
      <c r="G276" s="481" t="s">
        <v>1352</v>
      </c>
      <c r="H276" s="485" t="s">
        <v>3447</v>
      </c>
      <c r="I276" s="481" t="s">
        <v>2764</v>
      </c>
      <c r="J276" s="481" t="s">
        <v>3055</v>
      </c>
      <c r="K276" s="481" t="s">
        <v>3055</v>
      </c>
    </row>
    <row r="277" spans="1:11" ht="45">
      <c r="A277" s="481" t="s">
        <v>47</v>
      </c>
      <c r="B277" s="481" t="s">
        <v>4062</v>
      </c>
      <c r="C277" s="479">
        <v>0.12361111111111112</v>
      </c>
      <c r="D277" s="481" t="s">
        <v>4062</v>
      </c>
      <c r="E277" s="479">
        <v>0.15694444444444444</v>
      </c>
      <c r="F277" s="481" t="s">
        <v>3642</v>
      </c>
      <c r="G277" s="481" t="s">
        <v>674</v>
      </c>
      <c r="H277" s="485" t="s">
        <v>3387</v>
      </c>
      <c r="I277" s="481" t="s">
        <v>2764</v>
      </c>
      <c r="J277" s="481" t="s">
        <v>3055</v>
      </c>
      <c r="K277" s="481" t="s">
        <v>3055</v>
      </c>
    </row>
    <row r="278" spans="1:11" ht="78.75">
      <c r="A278" s="481" t="s">
        <v>47</v>
      </c>
      <c r="B278" s="481" t="s">
        <v>4063</v>
      </c>
      <c r="C278" s="479">
        <v>0.64583333333333337</v>
      </c>
      <c r="D278" s="481" t="s">
        <v>4063</v>
      </c>
      <c r="E278" s="479">
        <v>0.81527777777777777</v>
      </c>
      <c r="F278" s="481" t="s">
        <v>3461</v>
      </c>
      <c r="G278" s="481" t="s">
        <v>63</v>
      </c>
      <c r="H278" s="485" t="s">
        <v>3402</v>
      </c>
      <c r="I278" s="481" t="s">
        <v>2118</v>
      </c>
      <c r="J278" s="481" t="s">
        <v>3055</v>
      </c>
      <c r="K278" s="481" t="s">
        <v>3055</v>
      </c>
    </row>
    <row r="279" spans="1:11" ht="67.5">
      <c r="A279" s="481" t="s">
        <v>47</v>
      </c>
      <c r="B279" s="481" t="s">
        <v>4064</v>
      </c>
      <c r="C279" s="479">
        <v>0.5</v>
      </c>
      <c r="D279" s="481" t="s">
        <v>4064</v>
      </c>
      <c r="E279" s="479">
        <v>0.54166666666666663</v>
      </c>
      <c r="F279" s="481" t="s">
        <v>2853</v>
      </c>
      <c r="G279" s="481" t="s">
        <v>124</v>
      </c>
      <c r="H279" s="485" t="s">
        <v>3463</v>
      </c>
      <c r="I279" s="481" t="s">
        <v>100</v>
      </c>
      <c r="J279" s="481" t="s">
        <v>3055</v>
      </c>
      <c r="K279" s="481" t="s">
        <v>3055</v>
      </c>
    </row>
    <row r="280" spans="1:11" ht="67.5">
      <c r="A280" s="481" t="s">
        <v>47</v>
      </c>
      <c r="B280" s="481" t="s">
        <v>4064</v>
      </c>
      <c r="C280" s="479">
        <v>0.4604166666666667</v>
      </c>
      <c r="D280" s="481" t="s">
        <v>4065</v>
      </c>
      <c r="E280" s="479">
        <v>0.45763888888888887</v>
      </c>
      <c r="F280" s="481" t="s">
        <v>3639</v>
      </c>
      <c r="G280" s="481" t="s">
        <v>1352</v>
      </c>
      <c r="H280" s="485" t="s">
        <v>3431</v>
      </c>
      <c r="I280" s="481" t="s">
        <v>2483</v>
      </c>
      <c r="J280" s="481" t="s">
        <v>3889</v>
      </c>
      <c r="K280" s="481" t="s">
        <v>3055</v>
      </c>
    </row>
  </sheetData>
  <autoFilter ref="A2:K2" xr:uid="{00000000-0009-0000-0000-000011000000}"/>
  <mergeCells count="1">
    <mergeCell ref="A1:K1"/>
  </mergeCells>
  <printOptions gridLines="1"/>
  <pageMargins left="0.25" right="0.25" top="0.75" bottom="0.75" header="0.3" footer="0.3"/>
  <pageSetup scale="97" fitToHeight="0" orientation="landscape" r:id="rId1"/>
  <headerFooter>
    <oddFooter>&amp;C&amp;"Arial,Bold"Page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385"/>
  <sheetViews>
    <sheetView zoomScaleNormal="100" workbookViewId="0">
      <pane ySplit="2" topLeftCell="A377" activePane="bottomLeft" state="frozen"/>
      <selection pane="bottomLeft" activeCell="B2" sqref="B2:K385"/>
    </sheetView>
  </sheetViews>
  <sheetFormatPr defaultRowHeight="14.25"/>
  <cols>
    <col min="1" max="1" width="9.140625" style="463"/>
    <col min="2" max="2" width="10.5703125" style="456" customWidth="1"/>
    <col min="3" max="3" width="10.5703125" style="457" customWidth="1"/>
    <col min="4" max="4" width="10.5703125" style="456" customWidth="1"/>
    <col min="5" max="5" width="10.5703125" style="457" customWidth="1"/>
    <col min="6" max="6" width="20.42578125" style="458" customWidth="1"/>
    <col min="7" max="7" width="6.5703125" style="459" customWidth="1"/>
    <col min="8" max="8" width="26.140625" style="460" customWidth="1"/>
    <col min="9" max="9" width="15.85546875" style="459" customWidth="1"/>
    <col min="10" max="10" width="7.5703125" style="461" customWidth="1"/>
    <col min="11" max="11" width="9.5703125" style="524" customWidth="1"/>
    <col min="12" max="16384" width="9.140625" style="419"/>
  </cols>
  <sheetData>
    <row r="1" spans="1:11" s="412" customFormat="1" ht="15">
      <c r="A1" s="857" t="s">
        <v>4066</v>
      </c>
      <c r="B1" s="857"/>
      <c r="C1" s="857"/>
      <c r="D1" s="857"/>
      <c r="E1" s="857"/>
      <c r="F1" s="857"/>
      <c r="G1" s="857"/>
      <c r="H1" s="857"/>
      <c r="I1" s="857"/>
      <c r="J1" s="857"/>
      <c r="K1" s="857"/>
    </row>
    <row r="2" spans="1:11" ht="33.75">
      <c r="A2" s="518" t="s">
        <v>2742</v>
      </c>
      <c r="B2" s="414" t="s">
        <v>2105</v>
      </c>
      <c r="C2" s="415" t="s">
        <v>2106</v>
      </c>
      <c r="D2" s="414" t="s">
        <v>2107</v>
      </c>
      <c r="E2" s="415" t="s">
        <v>2108</v>
      </c>
      <c r="F2" s="416" t="s">
        <v>67</v>
      </c>
      <c r="G2" s="416" t="s">
        <v>57</v>
      </c>
      <c r="H2" s="416" t="s">
        <v>2743</v>
      </c>
      <c r="I2" s="416" t="s">
        <v>2109</v>
      </c>
      <c r="J2" s="417" t="s">
        <v>2110</v>
      </c>
      <c r="K2" s="523" t="s">
        <v>7</v>
      </c>
    </row>
    <row r="3" spans="1:11" ht="67.5">
      <c r="A3" s="481" t="s">
        <v>9</v>
      </c>
      <c r="B3" s="481" t="s">
        <v>4067</v>
      </c>
      <c r="C3" s="479">
        <v>0.96319444444444446</v>
      </c>
      <c r="D3" s="481" t="s">
        <v>4067</v>
      </c>
      <c r="E3" s="479">
        <v>0.97152777777777777</v>
      </c>
      <c r="F3" s="481" t="s">
        <v>4068</v>
      </c>
      <c r="G3" s="481" t="s">
        <v>3347</v>
      </c>
      <c r="H3" s="485" t="s">
        <v>3411</v>
      </c>
      <c r="I3" s="481" t="s">
        <v>2990</v>
      </c>
      <c r="J3" s="481" t="s">
        <v>3055</v>
      </c>
      <c r="K3" s="481" t="s">
        <v>3055</v>
      </c>
    </row>
    <row r="4" spans="1:11" ht="33.75">
      <c r="A4" s="481" t="s">
        <v>9</v>
      </c>
      <c r="B4" s="481" t="s">
        <v>4067</v>
      </c>
      <c r="C4" s="479">
        <v>0.86458333333333337</v>
      </c>
      <c r="D4" s="481" t="s">
        <v>4069</v>
      </c>
      <c r="E4" s="479">
        <v>0.89097222222222217</v>
      </c>
      <c r="F4" s="481" t="s">
        <v>2801</v>
      </c>
      <c r="G4" s="481" t="s">
        <v>124</v>
      </c>
      <c r="H4" s="485" t="s">
        <v>3928</v>
      </c>
      <c r="I4" s="481" t="s">
        <v>2118</v>
      </c>
      <c r="J4" s="481" t="s">
        <v>3055</v>
      </c>
      <c r="K4" s="481" t="s">
        <v>3055</v>
      </c>
    </row>
    <row r="5" spans="1:11" ht="45">
      <c r="A5" s="481" t="s">
        <v>9</v>
      </c>
      <c r="B5" s="481" t="s">
        <v>4067</v>
      </c>
      <c r="C5" s="479">
        <v>0.31944444444444448</v>
      </c>
      <c r="D5" s="481" t="s">
        <v>4067</v>
      </c>
      <c r="E5" s="479">
        <v>0.3666666666666667</v>
      </c>
      <c r="F5" s="481" t="s">
        <v>4070</v>
      </c>
      <c r="G5" s="481" t="s">
        <v>674</v>
      </c>
      <c r="H5" s="485" t="s">
        <v>3387</v>
      </c>
      <c r="I5" s="481" t="s">
        <v>2764</v>
      </c>
      <c r="J5" s="481" t="s">
        <v>3055</v>
      </c>
      <c r="K5" s="481" t="s">
        <v>3055</v>
      </c>
    </row>
    <row r="6" spans="1:11" ht="67.5">
      <c r="A6" s="481" t="s">
        <v>9</v>
      </c>
      <c r="B6" s="481" t="s">
        <v>4067</v>
      </c>
      <c r="C6" s="479">
        <v>0.96319444444444446</v>
      </c>
      <c r="D6" s="481" t="s">
        <v>4067</v>
      </c>
      <c r="E6" s="479">
        <v>0.97083333333333333</v>
      </c>
      <c r="F6" s="481" t="s">
        <v>3405</v>
      </c>
      <c r="G6" s="481" t="s">
        <v>3347</v>
      </c>
      <c r="H6" s="485" t="s">
        <v>4071</v>
      </c>
      <c r="I6" s="481" t="s">
        <v>2764</v>
      </c>
      <c r="J6" s="481" t="s">
        <v>45</v>
      </c>
      <c r="K6" s="481" t="s">
        <v>45</v>
      </c>
    </row>
    <row r="7" spans="1:11" ht="78.75">
      <c r="A7" s="481" t="s">
        <v>9</v>
      </c>
      <c r="B7" s="481" t="s">
        <v>4069</v>
      </c>
      <c r="C7" s="479">
        <v>0.62013888888888891</v>
      </c>
      <c r="D7" s="481" t="s">
        <v>45</v>
      </c>
      <c r="E7" s="479" t="s">
        <v>45</v>
      </c>
      <c r="F7" s="481" t="s">
        <v>4072</v>
      </c>
      <c r="G7" s="481" t="s">
        <v>63</v>
      </c>
      <c r="H7" s="485" t="s">
        <v>3402</v>
      </c>
      <c r="I7" s="481" t="s">
        <v>2118</v>
      </c>
      <c r="J7" s="481" t="s">
        <v>45</v>
      </c>
      <c r="K7" s="481" t="s">
        <v>45</v>
      </c>
    </row>
    <row r="8" spans="1:11" ht="67.5">
      <c r="A8" s="481" t="s">
        <v>9</v>
      </c>
      <c r="B8" s="481" t="s">
        <v>4073</v>
      </c>
      <c r="C8" s="479">
        <v>0.10069444444444443</v>
      </c>
      <c r="D8" s="481" t="s">
        <v>4073</v>
      </c>
      <c r="E8" s="479">
        <v>0.33055555555555555</v>
      </c>
      <c r="F8" s="481" t="s">
        <v>4074</v>
      </c>
      <c r="G8" s="481" t="s">
        <v>3347</v>
      </c>
      <c r="H8" s="485" t="s">
        <v>3411</v>
      </c>
      <c r="I8" s="481" t="s">
        <v>2990</v>
      </c>
      <c r="J8" s="481" t="s">
        <v>4075</v>
      </c>
      <c r="K8" s="481" t="s">
        <v>4076</v>
      </c>
    </row>
    <row r="9" spans="1:11" ht="33.75">
      <c r="A9" s="481" t="s">
        <v>9</v>
      </c>
      <c r="B9" s="481" t="s">
        <v>4073</v>
      </c>
      <c r="C9" s="479">
        <v>0.95972222222222225</v>
      </c>
      <c r="D9" s="481" t="s">
        <v>4077</v>
      </c>
      <c r="E9" s="479">
        <v>8.4027777777777771E-2</v>
      </c>
      <c r="F9" s="481" t="s">
        <v>2832</v>
      </c>
      <c r="G9" s="481" t="s">
        <v>63</v>
      </c>
      <c r="H9" s="485" t="s">
        <v>3451</v>
      </c>
      <c r="I9" s="481" t="s">
        <v>22</v>
      </c>
      <c r="J9" s="481" t="s">
        <v>45</v>
      </c>
      <c r="K9" s="481" t="s">
        <v>4078</v>
      </c>
    </row>
    <row r="10" spans="1:11" ht="33.75">
      <c r="A10" s="481" t="s">
        <v>9</v>
      </c>
      <c r="B10" s="481" t="s">
        <v>4073</v>
      </c>
      <c r="C10" s="479">
        <v>0.14583333333333334</v>
      </c>
      <c r="D10" s="481" t="s">
        <v>4073</v>
      </c>
      <c r="E10" s="479">
        <v>0.72916666666666663</v>
      </c>
      <c r="F10" s="481" t="s">
        <v>4079</v>
      </c>
      <c r="G10" s="481" t="s">
        <v>3347</v>
      </c>
      <c r="H10" s="485" t="s">
        <v>3451</v>
      </c>
      <c r="I10" s="481" t="s">
        <v>22</v>
      </c>
      <c r="J10" s="481" t="s">
        <v>45</v>
      </c>
      <c r="K10" s="481" t="s">
        <v>4080</v>
      </c>
    </row>
    <row r="11" spans="1:11" ht="67.5">
      <c r="A11" s="481" t="s">
        <v>9</v>
      </c>
      <c r="B11" s="481" t="s">
        <v>4073</v>
      </c>
      <c r="C11" s="479">
        <v>0.55555555555555558</v>
      </c>
      <c r="D11" s="481" t="s">
        <v>45</v>
      </c>
      <c r="E11" s="479" t="s">
        <v>45</v>
      </c>
      <c r="F11" s="481" t="s">
        <v>3189</v>
      </c>
      <c r="G11" s="481" t="s">
        <v>63</v>
      </c>
      <c r="H11" s="485" t="s">
        <v>4071</v>
      </c>
      <c r="I11" s="481" t="s">
        <v>22</v>
      </c>
      <c r="J11" s="481" t="s">
        <v>3497</v>
      </c>
      <c r="K11" s="481" t="s">
        <v>45</v>
      </c>
    </row>
    <row r="12" spans="1:11" ht="33.75">
      <c r="A12" s="481" t="s">
        <v>9</v>
      </c>
      <c r="B12" s="481" t="s">
        <v>4073</v>
      </c>
      <c r="C12" s="479">
        <v>0.53472222222222221</v>
      </c>
      <c r="D12" s="481" t="s">
        <v>4077</v>
      </c>
      <c r="E12" s="479">
        <v>0.56458333333333333</v>
      </c>
      <c r="F12" s="481" t="s">
        <v>3167</v>
      </c>
      <c r="G12" s="481" t="s">
        <v>63</v>
      </c>
      <c r="H12" s="485" t="s">
        <v>3451</v>
      </c>
      <c r="I12" s="481" t="s">
        <v>22</v>
      </c>
      <c r="J12" s="481" t="s">
        <v>4081</v>
      </c>
      <c r="K12" s="481" t="s">
        <v>4082</v>
      </c>
    </row>
    <row r="13" spans="1:11" ht="78.75">
      <c r="A13" s="481" t="s">
        <v>9</v>
      </c>
      <c r="B13" s="481" t="s">
        <v>4077</v>
      </c>
      <c r="C13" s="479">
        <v>0.46875</v>
      </c>
      <c r="D13" s="481" t="s">
        <v>4077</v>
      </c>
      <c r="E13" s="479">
        <v>0.47083333333333338</v>
      </c>
      <c r="F13" s="481" t="s">
        <v>4083</v>
      </c>
      <c r="G13" s="481" t="s">
        <v>1352</v>
      </c>
      <c r="H13" s="485" t="s">
        <v>3402</v>
      </c>
      <c r="I13" s="481" t="s">
        <v>2118</v>
      </c>
      <c r="J13" s="481" t="s">
        <v>3055</v>
      </c>
      <c r="K13" s="481" t="s">
        <v>3055</v>
      </c>
    </row>
    <row r="14" spans="1:11" ht="78.75">
      <c r="A14" s="481" t="s">
        <v>9</v>
      </c>
      <c r="B14" s="481" t="s">
        <v>4084</v>
      </c>
      <c r="C14" s="479">
        <v>0</v>
      </c>
      <c r="D14" s="481" t="s">
        <v>4084</v>
      </c>
      <c r="E14" s="479">
        <v>4.1666666666666664E-2</v>
      </c>
      <c r="F14" s="481" t="s">
        <v>3182</v>
      </c>
      <c r="G14" s="481" t="s">
        <v>301</v>
      </c>
      <c r="H14" s="485" t="s">
        <v>3402</v>
      </c>
      <c r="I14" s="481" t="s">
        <v>2118</v>
      </c>
      <c r="J14" s="481" t="s">
        <v>3055</v>
      </c>
      <c r="K14" s="481" t="s">
        <v>3055</v>
      </c>
    </row>
    <row r="15" spans="1:11" ht="45">
      <c r="A15" s="481" t="s">
        <v>9</v>
      </c>
      <c r="B15" s="481" t="s">
        <v>4085</v>
      </c>
      <c r="C15" s="479">
        <v>0.46249999999999997</v>
      </c>
      <c r="D15" s="481" t="s">
        <v>4085</v>
      </c>
      <c r="E15" s="479">
        <v>0.48333333333333334</v>
      </c>
      <c r="F15" s="481" t="s">
        <v>2809</v>
      </c>
      <c r="G15" s="481" t="s">
        <v>1352</v>
      </c>
      <c r="H15" s="485" t="s">
        <v>3447</v>
      </c>
      <c r="I15" s="481" t="s">
        <v>2764</v>
      </c>
      <c r="J15" s="481" t="s">
        <v>3055</v>
      </c>
      <c r="K15" s="481" t="s">
        <v>3055</v>
      </c>
    </row>
    <row r="16" spans="1:11" ht="67.5">
      <c r="A16" s="481" t="s">
        <v>9</v>
      </c>
      <c r="B16" s="481" t="s">
        <v>4086</v>
      </c>
      <c r="C16" s="479">
        <v>0.22777777777777777</v>
      </c>
      <c r="D16" s="481" t="s">
        <v>4086</v>
      </c>
      <c r="E16" s="479">
        <v>0.42569444444444443</v>
      </c>
      <c r="F16" s="481" t="s">
        <v>3079</v>
      </c>
      <c r="G16" s="481" t="s">
        <v>124</v>
      </c>
      <c r="H16" s="485" t="s">
        <v>4071</v>
      </c>
      <c r="I16" s="481" t="s">
        <v>2990</v>
      </c>
      <c r="J16" s="481" t="s">
        <v>4087</v>
      </c>
      <c r="K16" s="481" t="s">
        <v>4088</v>
      </c>
    </row>
    <row r="17" spans="1:11" ht="67.5">
      <c r="A17" s="481" t="s">
        <v>9</v>
      </c>
      <c r="B17" s="481" t="s">
        <v>4089</v>
      </c>
      <c r="C17" s="479">
        <v>0.27083333333333331</v>
      </c>
      <c r="D17" s="481" t="s">
        <v>4089</v>
      </c>
      <c r="E17" s="479">
        <v>0.27152777777777776</v>
      </c>
      <c r="F17" s="481" t="s">
        <v>2967</v>
      </c>
      <c r="G17" s="481" t="s">
        <v>124</v>
      </c>
      <c r="H17" s="485" t="s">
        <v>3463</v>
      </c>
      <c r="I17" s="481" t="s">
        <v>100</v>
      </c>
      <c r="J17" s="481" t="s">
        <v>3055</v>
      </c>
      <c r="K17" s="481" t="s">
        <v>3055</v>
      </c>
    </row>
    <row r="18" spans="1:11" ht="33.75">
      <c r="A18" s="481" t="s">
        <v>9</v>
      </c>
      <c r="B18" s="481" t="s">
        <v>4090</v>
      </c>
      <c r="C18" s="479">
        <v>0.12291666666666667</v>
      </c>
      <c r="D18" s="481" t="s">
        <v>4090</v>
      </c>
      <c r="E18" s="479">
        <v>0.13680555555555554</v>
      </c>
      <c r="F18" s="481" t="s">
        <v>4091</v>
      </c>
      <c r="G18" s="481" t="s">
        <v>124</v>
      </c>
      <c r="H18" s="485" t="s">
        <v>3356</v>
      </c>
      <c r="I18" s="481" t="s">
        <v>2293</v>
      </c>
      <c r="J18" s="481" t="s">
        <v>3754</v>
      </c>
      <c r="K18" s="481" t="s">
        <v>4092</v>
      </c>
    </row>
    <row r="19" spans="1:11" ht="78.75">
      <c r="A19" s="481" t="s">
        <v>9</v>
      </c>
      <c r="B19" s="481" t="s">
        <v>4093</v>
      </c>
      <c r="C19" s="479">
        <v>0.97916666666666663</v>
      </c>
      <c r="D19" s="481" t="s">
        <v>4094</v>
      </c>
      <c r="E19" s="479">
        <v>2.7083333333333334E-2</v>
      </c>
      <c r="F19" s="481" t="s">
        <v>4095</v>
      </c>
      <c r="G19" s="481" t="s">
        <v>301</v>
      </c>
      <c r="H19" s="485" t="s">
        <v>3402</v>
      </c>
      <c r="I19" s="481" t="s">
        <v>100</v>
      </c>
      <c r="J19" s="481" t="s">
        <v>3055</v>
      </c>
      <c r="K19" s="481" t="s">
        <v>3055</v>
      </c>
    </row>
    <row r="20" spans="1:11" ht="33.75">
      <c r="A20" s="481" t="s">
        <v>9</v>
      </c>
      <c r="B20" s="481" t="s">
        <v>4094</v>
      </c>
      <c r="C20" s="479">
        <v>0.19027777777777777</v>
      </c>
      <c r="D20" s="481" t="s">
        <v>45</v>
      </c>
      <c r="E20" s="479" t="s">
        <v>45</v>
      </c>
      <c r="F20" s="481" t="s">
        <v>2945</v>
      </c>
      <c r="G20" s="481" t="s">
        <v>124</v>
      </c>
      <c r="H20" s="485" t="s">
        <v>3654</v>
      </c>
      <c r="I20" s="481" t="s">
        <v>1138</v>
      </c>
      <c r="J20" s="481" t="s">
        <v>3055</v>
      </c>
      <c r="K20" s="481" t="s">
        <v>3055</v>
      </c>
    </row>
    <row r="21" spans="1:11" ht="45">
      <c r="A21" s="481" t="s">
        <v>9</v>
      </c>
      <c r="B21" s="481" t="s">
        <v>4096</v>
      </c>
      <c r="C21" s="479">
        <v>0.59027777777777779</v>
      </c>
      <c r="D21" s="481" t="s">
        <v>4096</v>
      </c>
      <c r="E21" s="479">
        <v>0.79027777777777775</v>
      </c>
      <c r="F21" s="481" t="s">
        <v>4097</v>
      </c>
      <c r="G21" s="481" t="s">
        <v>674</v>
      </c>
      <c r="H21" s="485" t="s">
        <v>3387</v>
      </c>
      <c r="I21" s="481" t="s">
        <v>2764</v>
      </c>
      <c r="J21" s="481" t="s">
        <v>3155</v>
      </c>
      <c r="K21" s="481" t="s">
        <v>4098</v>
      </c>
    </row>
    <row r="22" spans="1:11" ht="67.5">
      <c r="A22" s="481" t="s">
        <v>9</v>
      </c>
      <c r="B22" s="481" t="s">
        <v>4099</v>
      </c>
      <c r="C22" s="479">
        <v>0.12569444444444444</v>
      </c>
      <c r="D22" s="481" t="s">
        <v>4099</v>
      </c>
      <c r="E22" s="479">
        <v>0.19166666666666665</v>
      </c>
      <c r="F22" s="481" t="s">
        <v>4057</v>
      </c>
      <c r="G22" s="481" t="s">
        <v>674</v>
      </c>
      <c r="H22" s="485" t="s">
        <v>3411</v>
      </c>
      <c r="I22" s="481" t="s">
        <v>2483</v>
      </c>
      <c r="J22" s="481" t="s">
        <v>4100</v>
      </c>
      <c r="K22" s="481" t="s">
        <v>3055</v>
      </c>
    </row>
    <row r="23" spans="1:11" ht="33.75">
      <c r="A23" s="481" t="s">
        <v>9</v>
      </c>
      <c r="B23" s="481" t="s">
        <v>4101</v>
      </c>
      <c r="C23" s="479">
        <v>0.40972222222222227</v>
      </c>
      <c r="D23" s="481" t="s">
        <v>4102</v>
      </c>
      <c r="E23" s="479">
        <v>0.41666666666666669</v>
      </c>
      <c r="F23" s="481" t="s">
        <v>2945</v>
      </c>
      <c r="G23" s="481" t="s">
        <v>124</v>
      </c>
      <c r="H23" s="485" t="s">
        <v>3928</v>
      </c>
      <c r="I23" s="481" t="s">
        <v>2118</v>
      </c>
      <c r="J23" s="481" t="s">
        <v>3055</v>
      </c>
      <c r="K23" s="481" t="s">
        <v>3055</v>
      </c>
    </row>
    <row r="24" spans="1:11" ht="33.75">
      <c r="A24" s="481" t="s">
        <v>17</v>
      </c>
      <c r="B24" s="481" t="s">
        <v>4103</v>
      </c>
      <c r="C24" s="479">
        <v>0.60347222222222219</v>
      </c>
      <c r="D24" s="481" t="s">
        <v>4104</v>
      </c>
      <c r="E24" s="479">
        <v>0.53055555555555556</v>
      </c>
      <c r="F24" s="481" t="s">
        <v>2928</v>
      </c>
      <c r="G24" s="481" t="s">
        <v>63</v>
      </c>
      <c r="H24" s="485" t="s">
        <v>3451</v>
      </c>
      <c r="I24" s="481" t="s">
        <v>3768</v>
      </c>
      <c r="J24" s="481" t="s">
        <v>45</v>
      </c>
      <c r="K24" s="481" t="s">
        <v>4105</v>
      </c>
    </row>
    <row r="25" spans="1:11" ht="33.75">
      <c r="A25" s="481" t="s">
        <v>17</v>
      </c>
      <c r="B25" s="481" t="s">
        <v>4103</v>
      </c>
      <c r="C25" s="479">
        <v>0.5625</v>
      </c>
      <c r="D25" s="481" t="s">
        <v>4104</v>
      </c>
      <c r="E25" s="479">
        <v>0.83888888888888891</v>
      </c>
      <c r="F25" s="481" t="s">
        <v>2832</v>
      </c>
      <c r="G25" s="481" t="s">
        <v>63</v>
      </c>
      <c r="H25" s="485" t="s">
        <v>3451</v>
      </c>
      <c r="I25" s="481" t="s">
        <v>2990</v>
      </c>
      <c r="J25" s="481" t="s">
        <v>45</v>
      </c>
      <c r="K25" s="481" t="s">
        <v>4106</v>
      </c>
    </row>
    <row r="26" spans="1:11" ht="45">
      <c r="A26" s="481" t="s">
        <v>17</v>
      </c>
      <c r="B26" s="481" t="s">
        <v>4104</v>
      </c>
      <c r="C26" s="479">
        <v>0.68402777777777779</v>
      </c>
      <c r="D26" s="481" t="s">
        <v>4107</v>
      </c>
      <c r="E26" s="479">
        <v>0.5</v>
      </c>
      <c r="F26" s="481" t="s">
        <v>2984</v>
      </c>
      <c r="G26" s="481" t="s">
        <v>61</v>
      </c>
      <c r="H26" s="485" t="s">
        <v>3451</v>
      </c>
      <c r="I26" s="481" t="s">
        <v>22</v>
      </c>
      <c r="J26" s="481" t="s">
        <v>45</v>
      </c>
      <c r="K26" s="481" t="s">
        <v>4108</v>
      </c>
    </row>
    <row r="27" spans="1:11" ht="33.75">
      <c r="A27" s="481" t="s">
        <v>17</v>
      </c>
      <c r="B27" s="481" t="s">
        <v>4104</v>
      </c>
      <c r="C27" s="479">
        <v>0.61249999999999993</v>
      </c>
      <c r="D27" s="481" t="s">
        <v>4109</v>
      </c>
      <c r="E27" s="479">
        <v>0.3923611111111111</v>
      </c>
      <c r="F27" s="481" t="s">
        <v>2868</v>
      </c>
      <c r="G27" s="481" t="s">
        <v>61</v>
      </c>
      <c r="H27" s="485" t="s">
        <v>3451</v>
      </c>
      <c r="I27" s="481" t="s">
        <v>22</v>
      </c>
      <c r="J27" s="481" t="s">
        <v>45</v>
      </c>
      <c r="K27" s="481" t="s">
        <v>4110</v>
      </c>
    </row>
    <row r="28" spans="1:11" ht="33.75">
      <c r="A28" s="481" t="s">
        <v>17</v>
      </c>
      <c r="B28" s="481" t="s">
        <v>4104</v>
      </c>
      <c r="C28" s="479">
        <v>0.45833333333333331</v>
      </c>
      <c r="D28" s="481" t="s">
        <v>45</v>
      </c>
      <c r="E28" s="479" t="s">
        <v>45</v>
      </c>
      <c r="F28" s="481" t="s">
        <v>3245</v>
      </c>
      <c r="G28" s="481" t="s">
        <v>3143</v>
      </c>
      <c r="H28" s="485" t="s">
        <v>3451</v>
      </c>
      <c r="I28" s="481" t="s">
        <v>3768</v>
      </c>
      <c r="J28" s="481" t="s">
        <v>45</v>
      </c>
      <c r="K28" s="481" t="s">
        <v>4111</v>
      </c>
    </row>
    <row r="29" spans="1:11" ht="33.75">
      <c r="A29" s="481" t="s">
        <v>17</v>
      </c>
      <c r="B29" s="481" t="s">
        <v>4104</v>
      </c>
      <c r="C29" s="479">
        <v>0.3666666666666667</v>
      </c>
      <c r="D29" s="481" t="s">
        <v>45</v>
      </c>
      <c r="E29" s="479" t="s">
        <v>45</v>
      </c>
      <c r="F29" s="481" t="s">
        <v>4112</v>
      </c>
      <c r="G29" s="481" t="s">
        <v>63</v>
      </c>
      <c r="H29" s="485" t="s">
        <v>3451</v>
      </c>
      <c r="I29" s="481" t="s">
        <v>22</v>
      </c>
      <c r="J29" s="481" t="s">
        <v>45</v>
      </c>
      <c r="K29" s="481" t="s">
        <v>4113</v>
      </c>
    </row>
    <row r="30" spans="1:11" ht="33.75">
      <c r="A30" s="481" t="s">
        <v>17</v>
      </c>
      <c r="B30" s="481" t="s">
        <v>4107</v>
      </c>
      <c r="C30" s="479">
        <v>0.5805555555555556</v>
      </c>
      <c r="D30" s="481" t="s">
        <v>4107</v>
      </c>
      <c r="E30" s="479">
        <v>0.62777777777777777</v>
      </c>
      <c r="F30" s="481" t="s">
        <v>2945</v>
      </c>
      <c r="G30" s="481" t="s">
        <v>124</v>
      </c>
      <c r="H30" s="485" t="s">
        <v>3356</v>
      </c>
      <c r="I30" s="481" t="s">
        <v>100</v>
      </c>
      <c r="J30" s="481" t="s">
        <v>3055</v>
      </c>
      <c r="K30" s="481" t="s">
        <v>3055</v>
      </c>
    </row>
    <row r="31" spans="1:11" ht="78.75">
      <c r="A31" s="481" t="s">
        <v>17</v>
      </c>
      <c r="B31" s="481" t="s">
        <v>4114</v>
      </c>
      <c r="C31" s="479">
        <v>0.39583333333333331</v>
      </c>
      <c r="D31" s="481" t="s">
        <v>4114</v>
      </c>
      <c r="E31" s="479">
        <v>0.90277777777777779</v>
      </c>
      <c r="F31" s="481" t="s">
        <v>4115</v>
      </c>
      <c r="G31" s="481" t="s">
        <v>124</v>
      </c>
      <c r="H31" s="485" t="s">
        <v>3451</v>
      </c>
      <c r="I31" s="481" t="s">
        <v>22</v>
      </c>
      <c r="J31" s="481" t="s">
        <v>3198</v>
      </c>
      <c r="K31" s="481" t="s">
        <v>4116</v>
      </c>
    </row>
    <row r="32" spans="1:11" ht="33.75">
      <c r="A32" s="481" t="s">
        <v>17</v>
      </c>
      <c r="B32" s="481" t="s">
        <v>4117</v>
      </c>
      <c r="C32" s="479">
        <v>0.12013888888888889</v>
      </c>
      <c r="D32" s="481" t="s">
        <v>4117</v>
      </c>
      <c r="E32" s="479">
        <v>0.5625</v>
      </c>
      <c r="F32" s="481" t="s">
        <v>4118</v>
      </c>
      <c r="G32" s="481" t="s">
        <v>1352</v>
      </c>
      <c r="H32" s="485" t="s">
        <v>3928</v>
      </c>
      <c r="I32" s="481" t="s">
        <v>2764</v>
      </c>
      <c r="J32" s="481" t="s">
        <v>3055</v>
      </c>
      <c r="K32" s="481" t="s">
        <v>3055</v>
      </c>
    </row>
    <row r="33" spans="1:11" ht="67.5">
      <c r="A33" s="481" t="s">
        <v>17</v>
      </c>
      <c r="B33" s="481" t="s">
        <v>4117</v>
      </c>
      <c r="C33" s="479">
        <v>0.30069444444444443</v>
      </c>
      <c r="D33" s="481" t="s">
        <v>4117</v>
      </c>
      <c r="E33" s="479">
        <v>0.66666666666666663</v>
      </c>
      <c r="F33" s="481" t="s">
        <v>4119</v>
      </c>
      <c r="G33" s="481" t="s">
        <v>124</v>
      </c>
      <c r="H33" s="485" t="s">
        <v>3411</v>
      </c>
      <c r="I33" s="481" t="s">
        <v>2483</v>
      </c>
      <c r="J33" s="481" t="s">
        <v>45</v>
      </c>
      <c r="K33" s="481" t="s">
        <v>3055</v>
      </c>
    </row>
    <row r="34" spans="1:11" ht="45">
      <c r="A34" s="481" t="s">
        <v>17</v>
      </c>
      <c r="B34" s="481" t="s">
        <v>4120</v>
      </c>
      <c r="C34" s="479">
        <v>0.31666666666666665</v>
      </c>
      <c r="D34" s="481" t="s">
        <v>4120</v>
      </c>
      <c r="E34" s="479">
        <v>0.37013888888888885</v>
      </c>
      <c r="F34" s="481" t="s">
        <v>2959</v>
      </c>
      <c r="G34" s="481" t="s">
        <v>61</v>
      </c>
      <c r="H34" s="485" t="s">
        <v>3387</v>
      </c>
      <c r="I34" s="481" t="s">
        <v>2764</v>
      </c>
      <c r="J34" s="481" t="s">
        <v>3055</v>
      </c>
      <c r="K34" s="481" t="s">
        <v>3055</v>
      </c>
    </row>
    <row r="35" spans="1:11" ht="33.75">
      <c r="A35" s="481" t="s">
        <v>17</v>
      </c>
      <c r="B35" s="481" t="s">
        <v>4121</v>
      </c>
      <c r="C35" s="479">
        <v>0.33402777777777781</v>
      </c>
      <c r="D35" s="481" t="s">
        <v>4121</v>
      </c>
      <c r="E35" s="479">
        <v>0.60972222222222217</v>
      </c>
      <c r="F35" s="481" t="s">
        <v>2933</v>
      </c>
      <c r="G35" s="481" t="s">
        <v>124</v>
      </c>
      <c r="H35" s="485" t="s">
        <v>3356</v>
      </c>
      <c r="I35" s="481" t="s">
        <v>100</v>
      </c>
      <c r="J35" s="481" t="s">
        <v>3055</v>
      </c>
      <c r="K35" s="481" t="s">
        <v>3055</v>
      </c>
    </row>
    <row r="36" spans="1:11" ht="33.75">
      <c r="A36" s="481" t="s">
        <v>17</v>
      </c>
      <c r="B36" s="481" t="s">
        <v>4122</v>
      </c>
      <c r="C36" s="479">
        <v>0.40763888888888888</v>
      </c>
      <c r="D36" s="481" t="s">
        <v>4122</v>
      </c>
      <c r="E36" s="479">
        <v>0.64652777777777781</v>
      </c>
      <c r="F36" s="481" t="s">
        <v>3581</v>
      </c>
      <c r="G36" s="481" t="s">
        <v>63</v>
      </c>
      <c r="H36" s="485" t="s">
        <v>3356</v>
      </c>
      <c r="I36" s="481" t="s">
        <v>100</v>
      </c>
      <c r="J36" s="481" t="s">
        <v>4123</v>
      </c>
      <c r="K36" s="481" t="s">
        <v>45</v>
      </c>
    </row>
    <row r="37" spans="1:11" ht="67.5">
      <c r="A37" s="481" t="s">
        <v>17</v>
      </c>
      <c r="B37" s="481" t="s">
        <v>4122</v>
      </c>
      <c r="C37" s="479">
        <v>0.5541666666666667</v>
      </c>
      <c r="D37" s="481" t="s">
        <v>4124</v>
      </c>
      <c r="E37" s="479">
        <v>0.41041666666666665</v>
      </c>
      <c r="F37" s="481" t="s">
        <v>4125</v>
      </c>
      <c r="G37" s="481" t="s">
        <v>3143</v>
      </c>
      <c r="H37" s="485" t="s">
        <v>3463</v>
      </c>
      <c r="I37" s="481" t="s">
        <v>100</v>
      </c>
      <c r="J37" s="481" t="s">
        <v>3055</v>
      </c>
      <c r="K37" s="481" t="s">
        <v>3055</v>
      </c>
    </row>
    <row r="38" spans="1:11" ht="33.75">
      <c r="A38" s="481" t="s">
        <v>17</v>
      </c>
      <c r="B38" s="481" t="s">
        <v>4122</v>
      </c>
      <c r="C38" s="479">
        <v>0.16666666666666666</v>
      </c>
      <c r="D38" s="481" t="s">
        <v>45</v>
      </c>
      <c r="E38" s="479" t="s">
        <v>45</v>
      </c>
      <c r="F38" s="481" t="s">
        <v>4126</v>
      </c>
      <c r="G38" s="481" t="s">
        <v>124</v>
      </c>
      <c r="H38" s="485" t="s">
        <v>3451</v>
      </c>
      <c r="I38" s="481" t="s">
        <v>22</v>
      </c>
      <c r="J38" s="481" t="s">
        <v>4127</v>
      </c>
      <c r="K38" s="481" t="s">
        <v>3340</v>
      </c>
    </row>
    <row r="39" spans="1:11" ht="67.5">
      <c r="A39" s="481" t="s">
        <v>17</v>
      </c>
      <c r="B39" s="481" t="s">
        <v>4128</v>
      </c>
      <c r="C39" s="479">
        <v>0.54166666666666663</v>
      </c>
      <c r="D39" s="481" t="s">
        <v>4128</v>
      </c>
      <c r="E39" s="479">
        <v>0.58333333333333337</v>
      </c>
      <c r="F39" s="481" t="s">
        <v>3357</v>
      </c>
      <c r="G39" s="481" t="s">
        <v>124</v>
      </c>
      <c r="H39" s="485" t="s">
        <v>3463</v>
      </c>
      <c r="I39" s="481" t="s">
        <v>100</v>
      </c>
      <c r="J39" s="481" t="s">
        <v>3055</v>
      </c>
      <c r="K39" s="481" t="s">
        <v>3055</v>
      </c>
    </row>
    <row r="40" spans="1:11" ht="33.75">
      <c r="A40" s="481" t="s">
        <v>17</v>
      </c>
      <c r="B40" s="481" t="s">
        <v>4129</v>
      </c>
      <c r="C40" s="479">
        <v>0.48958333333333331</v>
      </c>
      <c r="D40" s="481" t="s">
        <v>4129</v>
      </c>
      <c r="E40" s="479">
        <v>0.54166666666666663</v>
      </c>
      <c r="F40" s="481" t="s">
        <v>2967</v>
      </c>
      <c r="G40" s="481" t="s">
        <v>124</v>
      </c>
      <c r="H40" s="485" t="s">
        <v>3356</v>
      </c>
      <c r="I40" s="481" t="s">
        <v>100</v>
      </c>
      <c r="J40" s="481" t="s">
        <v>3055</v>
      </c>
      <c r="K40" s="481" t="s">
        <v>3055</v>
      </c>
    </row>
    <row r="41" spans="1:11" ht="45">
      <c r="A41" s="481" t="s">
        <v>17</v>
      </c>
      <c r="B41" s="481" t="s">
        <v>4130</v>
      </c>
      <c r="C41" s="479">
        <v>0.6875</v>
      </c>
      <c r="D41" s="481" t="s">
        <v>4130</v>
      </c>
      <c r="E41" s="479">
        <v>0.70972222222222225</v>
      </c>
      <c r="F41" s="481" t="s">
        <v>3693</v>
      </c>
      <c r="G41" s="481" t="s">
        <v>3347</v>
      </c>
      <c r="H41" s="485" t="s">
        <v>3387</v>
      </c>
      <c r="I41" s="481" t="s">
        <v>2764</v>
      </c>
      <c r="J41" s="481" t="s">
        <v>3055</v>
      </c>
      <c r="K41" s="481" t="s">
        <v>3055</v>
      </c>
    </row>
    <row r="42" spans="1:11" ht="45">
      <c r="A42" s="481" t="s">
        <v>17</v>
      </c>
      <c r="B42" s="481" t="s">
        <v>4130</v>
      </c>
      <c r="C42" s="479">
        <v>0.70833333333333337</v>
      </c>
      <c r="D42" s="481" t="s">
        <v>4130</v>
      </c>
      <c r="E42" s="479">
        <v>0.75347222222222221</v>
      </c>
      <c r="F42" s="481" t="s">
        <v>2959</v>
      </c>
      <c r="G42" s="481" t="s">
        <v>61</v>
      </c>
      <c r="H42" s="485" t="s">
        <v>3387</v>
      </c>
      <c r="I42" s="481" t="s">
        <v>2764</v>
      </c>
      <c r="J42" s="481" t="s">
        <v>3055</v>
      </c>
      <c r="K42" s="481" t="s">
        <v>3055</v>
      </c>
    </row>
    <row r="43" spans="1:11" ht="45">
      <c r="A43" s="481" t="s">
        <v>17</v>
      </c>
      <c r="B43" s="481" t="s">
        <v>4130</v>
      </c>
      <c r="C43" s="479">
        <v>0.47847222222222219</v>
      </c>
      <c r="D43" s="481" t="s">
        <v>4130</v>
      </c>
      <c r="E43" s="479">
        <v>0.50972222222222219</v>
      </c>
      <c r="F43" s="481" t="s">
        <v>4131</v>
      </c>
      <c r="G43" s="481" t="s">
        <v>674</v>
      </c>
      <c r="H43" s="485" t="s">
        <v>3387</v>
      </c>
      <c r="I43" s="481" t="s">
        <v>2764</v>
      </c>
      <c r="J43" s="481" t="s">
        <v>3055</v>
      </c>
      <c r="K43" s="481" t="s">
        <v>3055</v>
      </c>
    </row>
    <row r="44" spans="1:11" ht="45">
      <c r="A44" s="481" t="s">
        <v>17</v>
      </c>
      <c r="B44" s="481" t="s">
        <v>4132</v>
      </c>
      <c r="C44" s="479">
        <v>7.2916666666666671E-2</v>
      </c>
      <c r="D44" s="481" t="s">
        <v>4132</v>
      </c>
      <c r="E44" s="479">
        <v>0.10416666666666667</v>
      </c>
      <c r="F44" s="481" t="s">
        <v>4133</v>
      </c>
      <c r="G44" s="481" t="s">
        <v>124</v>
      </c>
      <c r="H44" s="485" t="s">
        <v>3387</v>
      </c>
      <c r="I44" s="481" t="s">
        <v>2764</v>
      </c>
      <c r="J44" s="481" t="s">
        <v>3055</v>
      </c>
      <c r="K44" s="481" t="s">
        <v>3055</v>
      </c>
    </row>
    <row r="45" spans="1:11" ht="67.5">
      <c r="A45" s="481" t="s">
        <v>20</v>
      </c>
      <c r="B45" s="481" t="s">
        <v>4134</v>
      </c>
      <c r="C45" s="479">
        <v>0.4770833333333333</v>
      </c>
      <c r="D45" s="481" t="s">
        <v>4134</v>
      </c>
      <c r="E45" s="479">
        <v>0.90763888888888899</v>
      </c>
      <c r="F45" s="481" t="s">
        <v>4135</v>
      </c>
      <c r="G45" s="481" t="s">
        <v>63</v>
      </c>
      <c r="H45" s="485" t="s">
        <v>3411</v>
      </c>
      <c r="I45" s="481" t="s">
        <v>2483</v>
      </c>
      <c r="J45" s="481" t="s">
        <v>4136</v>
      </c>
      <c r="K45" s="481" t="s">
        <v>4137</v>
      </c>
    </row>
    <row r="46" spans="1:11" ht="33.75">
      <c r="A46" s="481" t="s">
        <v>20</v>
      </c>
      <c r="B46" s="481" t="s">
        <v>4134</v>
      </c>
      <c r="C46" s="479">
        <v>0.92708333333333337</v>
      </c>
      <c r="D46" s="481" t="s">
        <v>45</v>
      </c>
      <c r="E46" s="479" t="s">
        <v>45</v>
      </c>
      <c r="F46" s="481" t="s">
        <v>2868</v>
      </c>
      <c r="G46" s="481" t="s">
        <v>61</v>
      </c>
      <c r="H46" s="485" t="s">
        <v>3356</v>
      </c>
      <c r="I46" s="481" t="s">
        <v>100</v>
      </c>
      <c r="J46" s="481" t="s">
        <v>3055</v>
      </c>
      <c r="K46" s="481" t="s">
        <v>3055</v>
      </c>
    </row>
    <row r="47" spans="1:11" ht="33.75">
      <c r="A47" s="481" t="s">
        <v>20</v>
      </c>
      <c r="B47" s="481" t="s">
        <v>4134</v>
      </c>
      <c r="C47" s="479">
        <v>0.33333333333333331</v>
      </c>
      <c r="D47" s="481" t="s">
        <v>45</v>
      </c>
      <c r="E47" s="479" t="s">
        <v>45</v>
      </c>
      <c r="F47" s="481" t="s">
        <v>4138</v>
      </c>
      <c r="G47" s="481" t="s">
        <v>61</v>
      </c>
      <c r="H47" s="485" t="s">
        <v>3654</v>
      </c>
      <c r="I47" s="481" t="s">
        <v>1138</v>
      </c>
      <c r="J47" s="481" t="s">
        <v>3193</v>
      </c>
      <c r="K47" s="481" t="s">
        <v>45</v>
      </c>
    </row>
    <row r="48" spans="1:11" ht="45">
      <c r="A48" s="481" t="s">
        <v>20</v>
      </c>
      <c r="B48" s="481" t="s">
        <v>4139</v>
      </c>
      <c r="C48" s="479">
        <v>7.1527777777777787E-2</v>
      </c>
      <c r="D48" s="481" t="s">
        <v>4139</v>
      </c>
      <c r="E48" s="479">
        <v>0.11319444444444444</v>
      </c>
      <c r="F48" s="481" t="s">
        <v>4133</v>
      </c>
      <c r="G48" s="481" t="s">
        <v>124</v>
      </c>
      <c r="H48" s="485" t="s">
        <v>3387</v>
      </c>
      <c r="I48" s="481" t="s">
        <v>2764</v>
      </c>
      <c r="J48" s="481" t="s">
        <v>3055</v>
      </c>
      <c r="K48" s="481" t="s">
        <v>3055</v>
      </c>
    </row>
    <row r="49" spans="1:11" ht="33.75">
      <c r="A49" s="481" t="s">
        <v>20</v>
      </c>
      <c r="B49" s="481" t="s">
        <v>4140</v>
      </c>
      <c r="C49" s="479">
        <v>0.60416666666666663</v>
      </c>
      <c r="D49" s="481" t="s">
        <v>4140</v>
      </c>
      <c r="E49" s="479">
        <v>0.60486111111111118</v>
      </c>
      <c r="F49" s="481" t="s">
        <v>4141</v>
      </c>
      <c r="G49" s="481" t="s">
        <v>63</v>
      </c>
      <c r="H49" s="485" t="s">
        <v>3356</v>
      </c>
      <c r="I49" s="481" t="s">
        <v>100</v>
      </c>
      <c r="J49" s="481" t="s">
        <v>3055</v>
      </c>
      <c r="K49" s="481" t="s">
        <v>3055</v>
      </c>
    </row>
    <row r="50" spans="1:11" ht="78.75">
      <c r="A50" s="481" t="s">
        <v>20</v>
      </c>
      <c r="B50" s="481" t="s">
        <v>4142</v>
      </c>
      <c r="C50" s="479">
        <v>0.92361111111111116</v>
      </c>
      <c r="D50" s="481" t="s">
        <v>4143</v>
      </c>
      <c r="E50" s="479">
        <v>4.3055555555555562E-2</v>
      </c>
      <c r="F50" s="481" t="s">
        <v>4144</v>
      </c>
      <c r="G50" s="481" t="s">
        <v>1352</v>
      </c>
      <c r="H50" s="485" t="s">
        <v>3402</v>
      </c>
      <c r="I50" s="481" t="s">
        <v>2118</v>
      </c>
      <c r="J50" s="481" t="s">
        <v>3055</v>
      </c>
      <c r="K50" s="481" t="s">
        <v>3055</v>
      </c>
    </row>
    <row r="51" spans="1:11" ht="67.5">
      <c r="A51" s="481" t="s">
        <v>20</v>
      </c>
      <c r="B51" s="481" t="s">
        <v>4145</v>
      </c>
      <c r="C51" s="479">
        <v>4.3750000000000004E-2</v>
      </c>
      <c r="D51" s="481" t="s">
        <v>4145</v>
      </c>
      <c r="E51" s="479">
        <v>0.125</v>
      </c>
      <c r="F51" s="481" t="s">
        <v>3245</v>
      </c>
      <c r="G51" s="481" t="s">
        <v>3143</v>
      </c>
      <c r="H51" s="485" t="s">
        <v>3411</v>
      </c>
      <c r="I51" s="481" t="s">
        <v>2483</v>
      </c>
      <c r="J51" s="481" t="s">
        <v>3412</v>
      </c>
      <c r="K51" s="481" t="s">
        <v>4146</v>
      </c>
    </row>
    <row r="52" spans="1:11" ht="33.75">
      <c r="A52" s="481" t="s">
        <v>20</v>
      </c>
      <c r="B52" s="481" t="s">
        <v>4147</v>
      </c>
      <c r="C52" s="479">
        <v>0.50069444444444444</v>
      </c>
      <c r="D52" s="481" t="s">
        <v>4147</v>
      </c>
      <c r="E52" s="479">
        <v>0.54861111111111105</v>
      </c>
      <c r="F52" s="481" t="s">
        <v>2945</v>
      </c>
      <c r="G52" s="481" t="s">
        <v>124</v>
      </c>
      <c r="H52" s="485" t="s">
        <v>3451</v>
      </c>
      <c r="I52" s="481" t="s">
        <v>22</v>
      </c>
      <c r="J52" s="481" t="s">
        <v>4148</v>
      </c>
      <c r="K52" s="481" t="s">
        <v>4149</v>
      </c>
    </row>
    <row r="53" spans="1:11" ht="67.5">
      <c r="A53" s="481" t="s">
        <v>20</v>
      </c>
      <c r="B53" s="481" t="s">
        <v>4147</v>
      </c>
      <c r="C53" s="479">
        <v>0.33333333333333331</v>
      </c>
      <c r="D53" s="481" t="s">
        <v>4147</v>
      </c>
      <c r="E53" s="479">
        <v>0.33402777777777781</v>
      </c>
      <c r="F53" s="481" t="s">
        <v>2967</v>
      </c>
      <c r="G53" s="481" t="s">
        <v>124</v>
      </c>
      <c r="H53" s="485" t="s">
        <v>3463</v>
      </c>
      <c r="I53" s="481" t="s">
        <v>100</v>
      </c>
      <c r="J53" s="481" t="s">
        <v>3055</v>
      </c>
      <c r="K53" s="481" t="s">
        <v>3055</v>
      </c>
    </row>
    <row r="54" spans="1:11" ht="67.5">
      <c r="A54" s="481" t="s">
        <v>20</v>
      </c>
      <c r="B54" s="481" t="s">
        <v>4147</v>
      </c>
      <c r="C54" s="479">
        <v>0.33333333333333331</v>
      </c>
      <c r="D54" s="481" t="s">
        <v>4147</v>
      </c>
      <c r="E54" s="479">
        <v>0.33402777777777781</v>
      </c>
      <c r="F54" s="481" t="s">
        <v>2967</v>
      </c>
      <c r="G54" s="481" t="s">
        <v>124</v>
      </c>
      <c r="H54" s="485" t="s">
        <v>3463</v>
      </c>
      <c r="I54" s="481" t="s">
        <v>100</v>
      </c>
      <c r="J54" s="481" t="s">
        <v>3055</v>
      </c>
      <c r="K54" s="481" t="s">
        <v>3055</v>
      </c>
    </row>
    <row r="55" spans="1:11" ht="45">
      <c r="A55" s="481" t="s">
        <v>20</v>
      </c>
      <c r="B55" s="481" t="s">
        <v>4150</v>
      </c>
      <c r="C55" s="479">
        <v>0.4375</v>
      </c>
      <c r="D55" s="481" t="s">
        <v>4150</v>
      </c>
      <c r="E55" s="479">
        <v>0.48680555555555555</v>
      </c>
      <c r="F55" s="481" t="s">
        <v>4151</v>
      </c>
      <c r="G55" s="481" t="s">
        <v>3143</v>
      </c>
      <c r="H55" s="485" t="s">
        <v>3387</v>
      </c>
      <c r="I55" s="481" t="s">
        <v>2764</v>
      </c>
      <c r="J55" s="481" t="s">
        <v>4152</v>
      </c>
      <c r="K55" s="481" t="s">
        <v>3055</v>
      </c>
    </row>
    <row r="56" spans="1:11" ht="33.75">
      <c r="A56" s="481" t="s">
        <v>20</v>
      </c>
      <c r="B56" s="481" t="s">
        <v>4153</v>
      </c>
      <c r="C56" s="479">
        <v>0.29791666666666666</v>
      </c>
      <c r="D56" s="481" t="s">
        <v>45</v>
      </c>
      <c r="E56" s="479" t="s">
        <v>45</v>
      </c>
      <c r="F56" s="481" t="s">
        <v>2865</v>
      </c>
      <c r="G56" s="481" t="s">
        <v>124</v>
      </c>
      <c r="H56" s="485" t="s">
        <v>3451</v>
      </c>
      <c r="I56" s="481" t="s">
        <v>3416</v>
      </c>
      <c r="J56" s="481" t="s">
        <v>4154</v>
      </c>
      <c r="K56" s="481" t="s">
        <v>4155</v>
      </c>
    </row>
    <row r="57" spans="1:11" ht="45">
      <c r="A57" s="481" t="s">
        <v>20</v>
      </c>
      <c r="B57" s="481" t="s">
        <v>4156</v>
      </c>
      <c r="C57" s="479">
        <v>0.71180555555555547</v>
      </c>
      <c r="D57" s="481" t="s">
        <v>4156</v>
      </c>
      <c r="E57" s="479">
        <v>0.73819444444444438</v>
      </c>
      <c r="F57" s="481" t="s">
        <v>3378</v>
      </c>
      <c r="G57" s="481" t="s">
        <v>674</v>
      </c>
      <c r="H57" s="485" t="s">
        <v>3387</v>
      </c>
      <c r="I57" s="481" t="s">
        <v>2764</v>
      </c>
      <c r="J57" s="481" t="s">
        <v>3055</v>
      </c>
      <c r="K57" s="481" t="s">
        <v>3055</v>
      </c>
    </row>
    <row r="58" spans="1:11" ht="45">
      <c r="A58" s="481" t="s">
        <v>20</v>
      </c>
      <c r="B58" s="481" t="s">
        <v>4157</v>
      </c>
      <c r="C58" s="479">
        <v>0.93055555555555547</v>
      </c>
      <c r="D58" s="481" t="s">
        <v>4157</v>
      </c>
      <c r="E58" s="479">
        <v>0.97916666666666663</v>
      </c>
      <c r="F58" s="481" t="s">
        <v>4158</v>
      </c>
      <c r="G58" s="481" t="s">
        <v>61</v>
      </c>
      <c r="H58" s="485" t="s">
        <v>3387</v>
      </c>
      <c r="I58" s="481" t="s">
        <v>2764</v>
      </c>
      <c r="J58" s="481" t="s">
        <v>3055</v>
      </c>
      <c r="K58" s="481" t="s">
        <v>3055</v>
      </c>
    </row>
    <row r="59" spans="1:11" ht="45">
      <c r="A59" s="481" t="s">
        <v>20</v>
      </c>
      <c r="B59" s="481" t="s">
        <v>4157</v>
      </c>
      <c r="C59" s="479">
        <v>0.98472222222222217</v>
      </c>
      <c r="D59" s="481" t="s">
        <v>4157</v>
      </c>
      <c r="E59" s="479">
        <v>0.99930555555555556</v>
      </c>
      <c r="F59" s="481" t="s">
        <v>2959</v>
      </c>
      <c r="G59" s="481" t="s">
        <v>61</v>
      </c>
      <c r="H59" s="485" t="s">
        <v>3387</v>
      </c>
      <c r="I59" s="481" t="s">
        <v>2764</v>
      </c>
      <c r="J59" s="481" t="s">
        <v>3055</v>
      </c>
      <c r="K59" s="481" t="s">
        <v>3055</v>
      </c>
    </row>
    <row r="60" spans="1:11" ht="45">
      <c r="A60" s="481" t="s">
        <v>20</v>
      </c>
      <c r="B60" s="481" t="s">
        <v>4157</v>
      </c>
      <c r="C60" s="479">
        <v>0.98958333333333337</v>
      </c>
      <c r="D60" s="481" t="s">
        <v>4159</v>
      </c>
      <c r="E60" s="479">
        <v>2.0833333333333332E-2</v>
      </c>
      <c r="F60" s="481" t="s">
        <v>4160</v>
      </c>
      <c r="G60" s="481" t="s">
        <v>61</v>
      </c>
      <c r="H60" s="485" t="s">
        <v>3447</v>
      </c>
      <c r="I60" s="481" t="s">
        <v>2764</v>
      </c>
      <c r="J60" s="481" t="s">
        <v>3055</v>
      </c>
      <c r="K60" s="481" t="s">
        <v>3055</v>
      </c>
    </row>
    <row r="61" spans="1:11" ht="33.75">
      <c r="A61" s="481" t="s">
        <v>20</v>
      </c>
      <c r="B61" s="481" t="s">
        <v>4161</v>
      </c>
      <c r="C61" s="479">
        <v>1.0416666666666666E-2</v>
      </c>
      <c r="D61" s="481" t="s">
        <v>4162</v>
      </c>
      <c r="E61" s="479">
        <v>0.71597222222222223</v>
      </c>
      <c r="F61" s="481" t="s">
        <v>4163</v>
      </c>
      <c r="G61" s="481" t="s">
        <v>674</v>
      </c>
      <c r="H61" s="485" t="s">
        <v>3356</v>
      </c>
      <c r="I61" s="481" t="s">
        <v>100</v>
      </c>
      <c r="J61" s="481" t="s">
        <v>3055</v>
      </c>
      <c r="K61" s="481" t="s">
        <v>3055</v>
      </c>
    </row>
    <row r="62" spans="1:11" ht="67.5">
      <c r="A62" s="481" t="s">
        <v>20</v>
      </c>
      <c r="B62" s="481" t="s">
        <v>4161</v>
      </c>
      <c r="C62" s="479">
        <v>0.59375</v>
      </c>
      <c r="D62" s="481" t="s">
        <v>4161</v>
      </c>
      <c r="E62" s="479">
        <v>0.69236111111111109</v>
      </c>
      <c r="F62" s="481" t="s">
        <v>3325</v>
      </c>
      <c r="G62" s="481" t="s">
        <v>63</v>
      </c>
      <c r="H62" s="485" t="s">
        <v>3463</v>
      </c>
      <c r="I62" s="481" t="s">
        <v>2343</v>
      </c>
      <c r="J62" s="481" t="s">
        <v>45</v>
      </c>
      <c r="K62" s="481" t="s">
        <v>4164</v>
      </c>
    </row>
    <row r="63" spans="1:11" ht="78.75">
      <c r="A63" s="481" t="s">
        <v>20</v>
      </c>
      <c r="B63" s="481" t="s">
        <v>4165</v>
      </c>
      <c r="C63" s="479">
        <v>0.53125</v>
      </c>
      <c r="D63" s="481" t="s">
        <v>4165</v>
      </c>
      <c r="E63" s="479">
        <v>0.58333333333333337</v>
      </c>
      <c r="F63" s="481" t="s">
        <v>4166</v>
      </c>
      <c r="G63" s="481" t="s">
        <v>124</v>
      </c>
      <c r="H63" s="485" t="s">
        <v>3402</v>
      </c>
      <c r="I63" s="481" t="s">
        <v>2118</v>
      </c>
      <c r="J63" s="481" t="s">
        <v>3055</v>
      </c>
      <c r="K63" s="481" t="s">
        <v>3055</v>
      </c>
    </row>
    <row r="64" spans="1:11" ht="45">
      <c r="A64" s="481" t="s">
        <v>20</v>
      </c>
      <c r="B64" s="481" t="s">
        <v>4165</v>
      </c>
      <c r="C64" s="479">
        <v>0.12152777777777778</v>
      </c>
      <c r="D64" s="481" t="s">
        <v>4165</v>
      </c>
      <c r="E64" s="479">
        <v>0.28472222222222221</v>
      </c>
      <c r="F64" s="481" t="s">
        <v>3264</v>
      </c>
      <c r="G64" s="481" t="s">
        <v>61</v>
      </c>
      <c r="H64" s="485" t="s">
        <v>3451</v>
      </c>
      <c r="I64" s="481" t="s">
        <v>22</v>
      </c>
      <c r="J64" s="481" t="s">
        <v>45</v>
      </c>
      <c r="K64" s="481" t="s">
        <v>4167</v>
      </c>
    </row>
    <row r="65" spans="1:11" ht="33.75">
      <c r="A65" s="481" t="s">
        <v>20</v>
      </c>
      <c r="B65" s="481" t="s">
        <v>4162</v>
      </c>
      <c r="C65" s="479">
        <v>0.4381944444444445</v>
      </c>
      <c r="D65" s="481" t="s">
        <v>45</v>
      </c>
      <c r="E65" s="479" t="s">
        <v>45</v>
      </c>
      <c r="F65" s="481" t="s">
        <v>2817</v>
      </c>
      <c r="G65" s="481" t="s">
        <v>124</v>
      </c>
      <c r="H65" s="485" t="s">
        <v>3356</v>
      </c>
      <c r="I65" s="481" t="s">
        <v>100</v>
      </c>
      <c r="J65" s="481" t="s">
        <v>3055</v>
      </c>
      <c r="K65" s="481" t="s">
        <v>3055</v>
      </c>
    </row>
    <row r="66" spans="1:11" ht="67.5">
      <c r="A66" s="481" t="s">
        <v>20</v>
      </c>
      <c r="B66" s="481" t="s">
        <v>4168</v>
      </c>
      <c r="C66" s="479">
        <v>0.89513888888888893</v>
      </c>
      <c r="D66" s="481" t="s">
        <v>4168</v>
      </c>
      <c r="E66" s="479">
        <v>0.90763888888888899</v>
      </c>
      <c r="F66" s="481" t="s">
        <v>2895</v>
      </c>
      <c r="G66" s="481" t="s">
        <v>3143</v>
      </c>
      <c r="H66" s="485" t="s">
        <v>3411</v>
      </c>
      <c r="I66" s="481" t="s">
        <v>2483</v>
      </c>
      <c r="J66" s="481" t="s">
        <v>4136</v>
      </c>
      <c r="K66" s="481" t="s">
        <v>4169</v>
      </c>
    </row>
    <row r="67" spans="1:11" ht="123.75">
      <c r="A67" s="481" t="s">
        <v>20</v>
      </c>
      <c r="B67" s="481" t="s">
        <v>4170</v>
      </c>
      <c r="C67" s="479">
        <v>0.54583333333333328</v>
      </c>
      <c r="D67" s="481" t="s">
        <v>4170</v>
      </c>
      <c r="E67" s="479">
        <v>0.58194444444444449</v>
      </c>
      <c r="F67" s="481" t="s">
        <v>4171</v>
      </c>
      <c r="G67" s="481" t="s">
        <v>3143</v>
      </c>
      <c r="H67" s="485" t="s">
        <v>3387</v>
      </c>
      <c r="I67" s="481" t="s">
        <v>2764</v>
      </c>
      <c r="J67" s="481" t="s">
        <v>3055</v>
      </c>
      <c r="K67" s="481" t="s">
        <v>3055</v>
      </c>
    </row>
    <row r="68" spans="1:11" ht="56.25">
      <c r="A68" s="481" t="s">
        <v>20</v>
      </c>
      <c r="B68" s="481" t="s">
        <v>4170</v>
      </c>
      <c r="C68" s="479">
        <v>0.54583333333333328</v>
      </c>
      <c r="D68" s="481" t="s">
        <v>4170</v>
      </c>
      <c r="E68" s="479">
        <v>0.58194444444444449</v>
      </c>
      <c r="F68" s="481" t="s">
        <v>4172</v>
      </c>
      <c r="G68" s="481" t="s">
        <v>3143</v>
      </c>
      <c r="H68" s="485" t="s">
        <v>3387</v>
      </c>
      <c r="I68" s="481" t="s">
        <v>2764</v>
      </c>
      <c r="J68" s="481" t="s">
        <v>3055</v>
      </c>
      <c r="K68" s="481" t="s">
        <v>3055</v>
      </c>
    </row>
    <row r="69" spans="1:11" ht="67.5">
      <c r="A69" s="481" t="s">
        <v>20</v>
      </c>
      <c r="B69" s="481" t="s">
        <v>4173</v>
      </c>
      <c r="C69" s="479">
        <v>0.8520833333333333</v>
      </c>
      <c r="D69" s="481" t="s">
        <v>4173</v>
      </c>
      <c r="E69" s="479">
        <v>0.96111111111111114</v>
      </c>
      <c r="F69" s="481" t="s">
        <v>3850</v>
      </c>
      <c r="G69" s="481" t="s">
        <v>63</v>
      </c>
      <c r="H69" s="485" t="s">
        <v>3411</v>
      </c>
      <c r="I69" s="481" t="s">
        <v>2483</v>
      </c>
      <c r="J69" s="481" t="s">
        <v>3497</v>
      </c>
      <c r="K69" s="481" t="s">
        <v>4174</v>
      </c>
    </row>
    <row r="70" spans="1:11" ht="33.75">
      <c r="A70" s="481" t="s">
        <v>20</v>
      </c>
      <c r="B70" s="481" t="s">
        <v>4175</v>
      </c>
      <c r="C70" s="479">
        <v>0.48958333333333331</v>
      </c>
      <c r="D70" s="481" t="s">
        <v>4175</v>
      </c>
      <c r="E70" s="479">
        <v>0.83333333333333337</v>
      </c>
      <c r="F70" s="481" t="s">
        <v>3273</v>
      </c>
      <c r="G70" s="481" t="s">
        <v>63</v>
      </c>
      <c r="H70" s="485" t="s">
        <v>3451</v>
      </c>
      <c r="I70" s="481" t="s">
        <v>22</v>
      </c>
      <c r="J70" s="481" t="s">
        <v>4176</v>
      </c>
      <c r="K70" s="481" t="s">
        <v>4177</v>
      </c>
    </row>
    <row r="71" spans="1:11" ht="45">
      <c r="A71" s="481" t="s">
        <v>23</v>
      </c>
      <c r="B71" s="481" t="s">
        <v>4178</v>
      </c>
      <c r="C71" s="479">
        <v>0.90486111111111101</v>
      </c>
      <c r="D71" s="481" t="s">
        <v>4178</v>
      </c>
      <c r="E71" s="479">
        <v>0.9291666666666667</v>
      </c>
      <c r="F71" s="481" t="s">
        <v>4179</v>
      </c>
      <c r="G71" s="481" t="s">
        <v>63</v>
      </c>
      <c r="H71" s="485" t="s">
        <v>3387</v>
      </c>
      <c r="I71" s="481" t="s">
        <v>2764</v>
      </c>
      <c r="J71" s="481" t="s">
        <v>3055</v>
      </c>
      <c r="K71" s="481" t="s">
        <v>3055</v>
      </c>
    </row>
    <row r="72" spans="1:11" ht="45">
      <c r="A72" s="481" t="s">
        <v>23</v>
      </c>
      <c r="B72" s="481" t="s">
        <v>4180</v>
      </c>
      <c r="C72" s="479">
        <v>0.77847222222222223</v>
      </c>
      <c r="D72" s="481" t="s">
        <v>4180</v>
      </c>
      <c r="E72" s="479">
        <v>0.80763888888888891</v>
      </c>
      <c r="F72" s="481" t="s">
        <v>3591</v>
      </c>
      <c r="G72" s="481" t="s">
        <v>1352</v>
      </c>
      <c r="H72" s="485" t="s">
        <v>3387</v>
      </c>
      <c r="I72" s="481" t="s">
        <v>2764</v>
      </c>
      <c r="J72" s="481" t="s">
        <v>3055</v>
      </c>
      <c r="K72" s="481" t="s">
        <v>3055</v>
      </c>
    </row>
    <row r="73" spans="1:11" ht="67.5">
      <c r="A73" s="481" t="s">
        <v>23</v>
      </c>
      <c r="B73" s="481" t="s">
        <v>4180</v>
      </c>
      <c r="C73" s="479">
        <v>0.56736111111111109</v>
      </c>
      <c r="D73" s="481" t="s">
        <v>4180</v>
      </c>
      <c r="E73" s="479">
        <v>0.61319444444444449</v>
      </c>
      <c r="F73" s="481" t="s">
        <v>4181</v>
      </c>
      <c r="G73" s="481" t="s">
        <v>674</v>
      </c>
      <c r="H73" s="485" t="s">
        <v>3411</v>
      </c>
      <c r="I73" s="481" t="s">
        <v>2483</v>
      </c>
      <c r="J73" s="481" t="s">
        <v>3432</v>
      </c>
      <c r="K73" s="481" t="s">
        <v>45</v>
      </c>
    </row>
    <row r="74" spans="1:11" ht="67.5">
      <c r="A74" s="481" t="s">
        <v>23</v>
      </c>
      <c r="B74" s="481" t="s">
        <v>4180</v>
      </c>
      <c r="C74" s="479">
        <v>0.86458333333333337</v>
      </c>
      <c r="D74" s="481" t="s">
        <v>45</v>
      </c>
      <c r="E74" s="479" t="s">
        <v>45</v>
      </c>
      <c r="F74" s="481" t="s">
        <v>4182</v>
      </c>
      <c r="G74" s="481" t="s">
        <v>124</v>
      </c>
      <c r="H74" s="485" t="s">
        <v>3463</v>
      </c>
      <c r="I74" s="481" t="s">
        <v>100</v>
      </c>
      <c r="J74" s="481" t="s">
        <v>45</v>
      </c>
      <c r="K74" s="481" t="s">
        <v>45</v>
      </c>
    </row>
    <row r="75" spans="1:11" ht="33.75">
      <c r="A75" s="481" t="s">
        <v>23</v>
      </c>
      <c r="B75" s="481" t="s">
        <v>4183</v>
      </c>
      <c r="C75" s="479">
        <v>0.3840277777777778</v>
      </c>
      <c r="D75" s="481" t="s">
        <v>45</v>
      </c>
      <c r="E75" s="479" t="s">
        <v>45</v>
      </c>
      <c r="F75" s="481" t="s">
        <v>2817</v>
      </c>
      <c r="G75" s="481" t="s">
        <v>124</v>
      </c>
      <c r="H75" s="485" t="s">
        <v>3356</v>
      </c>
      <c r="I75" s="481" t="s">
        <v>100</v>
      </c>
      <c r="J75" s="481" t="s">
        <v>3055</v>
      </c>
      <c r="K75" s="481" t="s">
        <v>3055</v>
      </c>
    </row>
    <row r="76" spans="1:11" ht="78.75">
      <c r="A76" s="481" t="s">
        <v>23</v>
      </c>
      <c r="B76" s="481" t="s">
        <v>4184</v>
      </c>
      <c r="C76" s="479">
        <v>0.10416666666666667</v>
      </c>
      <c r="D76" s="481" t="s">
        <v>4184</v>
      </c>
      <c r="E76" s="479">
        <v>0.12569444444444444</v>
      </c>
      <c r="F76" s="481" t="s">
        <v>4185</v>
      </c>
      <c r="G76" s="481" t="s">
        <v>1352</v>
      </c>
      <c r="H76" s="485" t="s">
        <v>3402</v>
      </c>
      <c r="I76" s="481" t="s">
        <v>2118</v>
      </c>
      <c r="J76" s="481" t="s">
        <v>3055</v>
      </c>
      <c r="K76" s="481" t="s">
        <v>3055</v>
      </c>
    </row>
    <row r="77" spans="1:11" ht="67.5">
      <c r="A77" s="481" t="s">
        <v>23</v>
      </c>
      <c r="B77" s="481" t="s">
        <v>4184</v>
      </c>
      <c r="C77" s="479">
        <v>0.65694444444444444</v>
      </c>
      <c r="D77" s="481" t="s">
        <v>4184</v>
      </c>
      <c r="E77" s="479">
        <v>0.73263888888888884</v>
      </c>
      <c r="F77" s="481" t="s">
        <v>2819</v>
      </c>
      <c r="G77" s="481" t="s">
        <v>124</v>
      </c>
      <c r="H77" s="485" t="s">
        <v>4071</v>
      </c>
      <c r="I77" s="481" t="s">
        <v>22</v>
      </c>
      <c r="J77" s="481" t="s">
        <v>3754</v>
      </c>
      <c r="K77" s="481" t="s">
        <v>4186</v>
      </c>
    </row>
    <row r="78" spans="1:11" ht="67.5">
      <c r="A78" s="481" t="s">
        <v>23</v>
      </c>
      <c r="B78" s="481" t="s">
        <v>4187</v>
      </c>
      <c r="C78" s="479">
        <v>0.98541666666666661</v>
      </c>
      <c r="D78" s="481" t="s">
        <v>4187</v>
      </c>
      <c r="E78" s="479">
        <v>0.9902777777777777</v>
      </c>
      <c r="F78" s="481" t="s">
        <v>2853</v>
      </c>
      <c r="G78" s="481" t="s">
        <v>124</v>
      </c>
      <c r="H78" s="485" t="s">
        <v>3411</v>
      </c>
      <c r="I78" s="481" t="s">
        <v>2483</v>
      </c>
      <c r="J78" s="481" t="s">
        <v>3055</v>
      </c>
      <c r="K78" s="481" t="s">
        <v>3055</v>
      </c>
    </row>
    <row r="79" spans="1:11" ht="33.75">
      <c r="A79" s="481" t="s">
        <v>23</v>
      </c>
      <c r="B79" s="481" t="s">
        <v>4188</v>
      </c>
      <c r="C79" s="479">
        <v>0.9145833333333333</v>
      </c>
      <c r="D79" s="481" t="s">
        <v>4189</v>
      </c>
      <c r="E79" s="479">
        <v>0.3743055555555555</v>
      </c>
      <c r="F79" s="481" t="s">
        <v>4048</v>
      </c>
      <c r="G79" s="481" t="s">
        <v>3143</v>
      </c>
      <c r="H79" s="485" t="s">
        <v>3451</v>
      </c>
      <c r="I79" s="481" t="s">
        <v>22</v>
      </c>
      <c r="J79" s="481" t="s">
        <v>45</v>
      </c>
      <c r="K79" s="481" t="s">
        <v>4190</v>
      </c>
    </row>
    <row r="80" spans="1:11" ht="33.75">
      <c r="A80" s="481" t="s">
        <v>23</v>
      </c>
      <c r="B80" s="481" t="s">
        <v>4188</v>
      </c>
      <c r="C80" s="479">
        <v>0.91875000000000007</v>
      </c>
      <c r="D80" s="481" t="s">
        <v>4189</v>
      </c>
      <c r="E80" s="479">
        <v>0.31666666666666665</v>
      </c>
      <c r="F80" s="481" t="s">
        <v>3561</v>
      </c>
      <c r="G80" s="481" t="s">
        <v>3143</v>
      </c>
      <c r="H80" s="485" t="s">
        <v>3451</v>
      </c>
      <c r="I80" s="481" t="s">
        <v>22</v>
      </c>
      <c r="J80" s="481" t="s">
        <v>45</v>
      </c>
      <c r="K80" s="481" t="s">
        <v>4034</v>
      </c>
    </row>
    <row r="81" spans="1:11" ht="33.75">
      <c r="A81" s="481" t="s">
        <v>23</v>
      </c>
      <c r="B81" s="481" t="s">
        <v>4188</v>
      </c>
      <c r="C81" s="479">
        <v>5.6250000000000001E-2</v>
      </c>
      <c r="D81" s="481" t="s">
        <v>4188</v>
      </c>
      <c r="E81" s="479">
        <v>0.16388888888888889</v>
      </c>
      <c r="F81" s="481" t="s">
        <v>2895</v>
      </c>
      <c r="G81" s="481" t="s">
        <v>124</v>
      </c>
      <c r="H81" s="485" t="s">
        <v>3451</v>
      </c>
      <c r="I81" s="481" t="s">
        <v>22</v>
      </c>
      <c r="J81" s="481" t="s">
        <v>45</v>
      </c>
      <c r="K81" s="481" t="s">
        <v>4191</v>
      </c>
    </row>
    <row r="82" spans="1:11" ht="33.75">
      <c r="A82" s="481" t="s">
        <v>23</v>
      </c>
      <c r="B82" s="481" t="s">
        <v>4189</v>
      </c>
      <c r="C82" s="479">
        <v>0.80902777777777779</v>
      </c>
      <c r="D82" s="481" t="s">
        <v>4192</v>
      </c>
      <c r="E82" s="479">
        <v>0.14583333333333334</v>
      </c>
      <c r="F82" s="481" t="s">
        <v>2809</v>
      </c>
      <c r="G82" s="481" t="s">
        <v>1352</v>
      </c>
      <c r="H82" s="485" t="s">
        <v>3451</v>
      </c>
      <c r="I82" s="481" t="s">
        <v>22</v>
      </c>
      <c r="J82" s="481" t="s">
        <v>45</v>
      </c>
      <c r="K82" s="481" t="s">
        <v>3234</v>
      </c>
    </row>
    <row r="83" spans="1:11" ht="33.75">
      <c r="A83" s="481" t="s">
        <v>23</v>
      </c>
      <c r="B83" s="481" t="s">
        <v>4189</v>
      </c>
      <c r="C83" s="479">
        <v>0.81944444444444453</v>
      </c>
      <c r="D83" s="481" t="s">
        <v>4193</v>
      </c>
      <c r="E83" s="479">
        <v>0.91666666666666663</v>
      </c>
      <c r="F83" s="481" t="s">
        <v>2959</v>
      </c>
      <c r="G83" s="481" t="s">
        <v>61</v>
      </c>
      <c r="H83" s="485" t="s">
        <v>3451</v>
      </c>
      <c r="I83" s="481" t="s">
        <v>22</v>
      </c>
      <c r="J83" s="481" t="s">
        <v>45</v>
      </c>
      <c r="K83" s="481" t="s">
        <v>3817</v>
      </c>
    </row>
    <row r="84" spans="1:11" ht="45">
      <c r="A84" s="481" t="s">
        <v>23</v>
      </c>
      <c r="B84" s="481" t="s">
        <v>4189</v>
      </c>
      <c r="C84" s="479">
        <v>0.31527777777777777</v>
      </c>
      <c r="D84" s="481" t="s">
        <v>4189</v>
      </c>
      <c r="E84" s="479">
        <v>0.73611111111111116</v>
      </c>
      <c r="F84" s="481" t="s">
        <v>3872</v>
      </c>
      <c r="G84" s="481" t="s">
        <v>3143</v>
      </c>
      <c r="H84" s="485" t="s">
        <v>3447</v>
      </c>
      <c r="I84" s="481" t="s">
        <v>2764</v>
      </c>
      <c r="J84" s="481" t="s">
        <v>3055</v>
      </c>
      <c r="K84" s="481" t="s">
        <v>3055</v>
      </c>
    </row>
    <row r="85" spans="1:11" ht="45">
      <c r="A85" s="481" t="s">
        <v>23</v>
      </c>
      <c r="B85" s="481" t="s">
        <v>4192</v>
      </c>
      <c r="C85" s="479">
        <v>0.41666666666666669</v>
      </c>
      <c r="D85" s="481" t="s">
        <v>4192</v>
      </c>
      <c r="E85" s="479">
        <v>0.67986111111111114</v>
      </c>
      <c r="F85" s="481" t="s">
        <v>2959</v>
      </c>
      <c r="G85" s="481" t="s">
        <v>61</v>
      </c>
      <c r="H85" s="485" t="s">
        <v>3387</v>
      </c>
      <c r="I85" s="481" t="s">
        <v>2764</v>
      </c>
      <c r="J85" s="481" t="s">
        <v>3055</v>
      </c>
      <c r="K85" s="481" t="s">
        <v>3055</v>
      </c>
    </row>
    <row r="86" spans="1:11" ht="33.75">
      <c r="A86" s="481" t="s">
        <v>23</v>
      </c>
      <c r="B86" s="481" t="s">
        <v>4192</v>
      </c>
      <c r="C86" s="479">
        <v>0.66666666666666663</v>
      </c>
      <c r="D86" s="481" t="s">
        <v>45</v>
      </c>
      <c r="E86" s="479" t="s">
        <v>45</v>
      </c>
      <c r="F86" s="481" t="s">
        <v>4194</v>
      </c>
      <c r="G86" s="481" t="s">
        <v>124</v>
      </c>
      <c r="H86" s="485" t="s">
        <v>3356</v>
      </c>
      <c r="I86" s="481" t="s">
        <v>100</v>
      </c>
      <c r="J86" s="481" t="s">
        <v>3055</v>
      </c>
      <c r="K86" s="481" t="s">
        <v>3055</v>
      </c>
    </row>
    <row r="87" spans="1:11" ht="67.5">
      <c r="A87" s="481" t="s">
        <v>23</v>
      </c>
      <c r="B87" s="481" t="s">
        <v>4193</v>
      </c>
      <c r="C87" s="479">
        <v>0.47500000000000003</v>
      </c>
      <c r="D87" s="481" t="s">
        <v>4193</v>
      </c>
      <c r="E87" s="479">
        <v>0.48749999999999999</v>
      </c>
      <c r="F87" s="481" t="s">
        <v>4195</v>
      </c>
      <c r="G87" s="481" t="s">
        <v>124</v>
      </c>
      <c r="H87" s="485" t="s">
        <v>3411</v>
      </c>
      <c r="I87" s="481" t="s">
        <v>2483</v>
      </c>
      <c r="J87" s="481" t="s">
        <v>3055</v>
      </c>
      <c r="K87" s="481" t="s">
        <v>3055</v>
      </c>
    </row>
    <row r="88" spans="1:11" ht="67.5">
      <c r="A88" s="481" t="s">
        <v>23</v>
      </c>
      <c r="B88" s="481" t="s">
        <v>4193</v>
      </c>
      <c r="C88" s="479">
        <v>0.73611111111111116</v>
      </c>
      <c r="D88" s="481" t="s">
        <v>4193</v>
      </c>
      <c r="E88" s="479">
        <v>0.74375000000000002</v>
      </c>
      <c r="F88" s="481" t="s">
        <v>4196</v>
      </c>
      <c r="G88" s="481" t="s">
        <v>124</v>
      </c>
      <c r="H88" s="485" t="s">
        <v>3463</v>
      </c>
      <c r="I88" s="481" t="s">
        <v>2118</v>
      </c>
      <c r="J88" s="481" t="s">
        <v>45</v>
      </c>
      <c r="K88" s="481" t="s">
        <v>45</v>
      </c>
    </row>
    <row r="89" spans="1:11" ht="33.75">
      <c r="A89" s="481" t="s">
        <v>23</v>
      </c>
      <c r="B89" s="481" t="s">
        <v>4197</v>
      </c>
      <c r="C89" s="479">
        <v>0.86458333333333337</v>
      </c>
      <c r="D89" s="481" t="s">
        <v>45</v>
      </c>
      <c r="E89" s="479" t="s">
        <v>45</v>
      </c>
      <c r="F89" s="481" t="s">
        <v>3405</v>
      </c>
      <c r="G89" s="481" t="s">
        <v>3347</v>
      </c>
      <c r="H89" s="485" t="s">
        <v>3451</v>
      </c>
      <c r="I89" s="481" t="s">
        <v>22</v>
      </c>
      <c r="J89" s="481" t="s">
        <v>45</v>
      </c>
      <c r="K89" s="481" t="s">
        <v>4198</v>
      </c>
    </row>
    <row r="90" spans="1:11" ht="78.75">
      <c r="A90" s="481" t="s">
        <v>23</v>
      </c>
      <c r="B90" s="481" t="s">
        <v>4197</v>
      </c>
      <c r="C90" s="479">
        <v>0.54166666666666663</v>
      </c>
      <c r="D90" s="481" t="s">
        <v>4197</v>
      </c>
      <c r="E90" s="479">
        <v>0.81041666666666667</v>
      </c>
      <c r="F90" s="481" t="s">
        <v>4199</v>
      </c>
      <c r="G90" s="481" t="s">
        <v>63</v>
      </c>
      <c r="H90" s="485" t="s">
        <v>3387</v>
      </c>
      <c r="I90" s="481" t="s">
        <v>22</v>
      </c>
      <c r="J90" s="481" t="s">
        <v>4200</v>
      </c>
      <c r="K90" s="481" t="s">
        <v>4201</v>
      </c>
    </row>
    <row r="91" spans="1:11" ht="33.75">
      <c r="A91" s="481" t="s">
        <v>23</v>
      </c>
      <c r="B91" s="481" t="s">
        <v>4197</v>
      </c>
      <c r="C91" s="479">
        <v>0.85416666666666663</v>
      </c>
      <c r="D91" s="481" t="s">
        <v>4202</v>
      </c>
      <c r="E91" s="479">
        <v>0.375</v>
      </c>
      <c r="F91" s="481" t="s">
        <v>3405</v>
      </c>
      <c r="G91" s="481" t="s">
        <v>3347</v>
      </c>
      <c r="H91" s="485" t="s">
        <v>3451</v>
      </c>
      <c r="I91" s="481" t="s">
        <v>22</v>
      </c>
      <c r="J91" s="481" t="s">
        <v>45</v>
      </c>
      <c r="K91" s="481" t="s">
        <v>4203</v>
      </c>
    </row>
    <row r="92" spans="1:11" ht="33.75">
      <c r="A92" s="481" t="s">
        <v>23</v>
      </c>
      <c r="B92" s="481" t="s">
        <v>4197</v>
      </c>
      <c r="C92" s="479">
        <v>0.89444444444444438</v>
      </c>
      <c r="D92" s="481" t="s">
        <v>4204</v>
      </c>
      <c r="E92" s="479">
        <v>0.5</v>
      </c>
      <c r="F92" s="481" t="s">
        <v>3256</v>
      </c>
      <c r="G92" s="481" t="s">
        <v>3143</v>
      </c>
      <c r="H92" s="485" t="s">
        <v>3451</v>
      </c>
      <c r="I92" s="481" t="s">
        <v>22</v>
      </c>
      <c r="J92" s="481" t="s">
        <v>45</v>
      </c>
      <c r="K92" s="481" t="s">
        <v>3564</v>
      </c>
    </row>
    <row r="93" spans="1:11" ht="33.75">
      <c r="A93" s="481" t="s">
        <v>23</v>
      </c>
      <c r="B93" s="481" t="s">
        <v>4197</v>
      </c>
      <c r="C93" s="479">
        <v>0.70833333333333337</v>
      </c>
      <c r="D93" s="481" t="s">
        <v>4202</v>
      </c>
      <c r="E93" s="479">
        <v>5.9027777777777783E-2</v>
      </c>
      <c r="F93" s="481" t="s">
        <v>4205</v>
      </c>
      <c r="G93" s="481" t="s">
        <v>63</v>
      </c>
      <c r="H93" s="485" t="s">
        <v>3451</v>
      </c>
      <c r="I93" s="481" t="s">
        <v>22</v>
      </c>
      <c r="J93" s="481" t="s">
        <v>4206</v>
      </c>
      <c r="K93" s="481" t="s">
        <v>4207</v>
      </c>
    </row>
    <row r="94" spans="1:11" ht="33.75">
      <c r="A94" s="481" t="s">
        <v>23</v>
      </c>
      <c r="B94" s="481" t="s">
        <v>4197</v>
      </c>
      <c r="C94" s="479">
        <v>0.75902777777777775</v>
      </c>
      <c r="D94" s="481" t="s">
        <v>4208</v>
      </c>
      <c r="E94" s="479">
        <v>0.64097222222222217</v>
      </c>
      <c r="F94" s="481" t="s">
        <v>2919</v>
      </c>
      <c r="G94" s="481" t="s">
        <v>1352</v>
      </c>
      <c r="H94" s="485" t="s">
        <v>3451</v>
      </c>
      <c r="I94" s="481" t="s">
        <v>22</v>
      </c>
      <c r="J94" s="481" t="s">
        <v>45</v>
      </c>
      <c r="K94" s="481" t="s">
        <v>4209</v>
      </c>
    </row>
    <row r="95" spans="1:11" ht="33.75">
      <c r="A95" s="481" t="s">
        <v>23</v>
      </c>
      <c r="B95" s="481" t="s">
        <v>4208</v>
      </c>
      <c r="C95" s="479">
        <v>0.14583333333333334</v>
      </c>
      <c r="D95" s="481" t="s">
        <v>4202</v>
      </c>
      <c r="E95" s="479">
        <v>0.76250000000000007</v>
      </c>
      <c r="F95" s="481" t="s">
        <v>2832</v>
      </c>
      <c r="G95" s="481" t="s">
        <v>63</v>
      </c>
      <c r="H95" s="485" t="s">
        <v>3451</v>
      </c>
      <c r="I95" s="481" t="s">
        <v>22</v>
      </c>
      <c r="J95" s="481" t="s">
        <v>45</v>
      </c>
      <c r="K95" s="481" t="s">
        <v>4210</v>
      </c>
    </row>
    <row r="96" spans="1:11" ht="33.75">
      <c r="A96" s="481" t="s">
        <v>23</v>
      </c>
      <c r="B96" s="481" t="s">
        <v>4208</v>
      </c>
      <c r="C96" s="479">
        <v>3.125E-2</v>
      </c>
      <c r="D96" s="481" t="s">
        <v>4208</v>
      </c>
      <c r="E96" s="479">
        <v>0.125</v>
      </c>
      <c r="F96" s="481" t="s">
        <v>4072</v>
      </c>
      <c r="G96" s="481" t="s">
        <v>63</v>
      </c>
      <c r="H96" s="485" t="s">
        <v>3451</v>
      </c>
      <c r="I96" s="481" t="s">
        <v>22</v>
      </c>
      <c r="J96" s="481" t="s">
        <v>45</v>
      </c>
      <c r="K96" s="481" t="s">
        <v>3263</v>
      </c>
    </row>
    <row r="97" spans="1:11" ht="33.75">
      <c r="A97" s="481" t="s">
        <v>23</v>
      </c>
      <c r="B97" s="481" t="s">
        <v>4208</v>
      </c>
      <c r="C97" s="479">
        <v>0.33888888888888885</v>
      </c>
      <c r="D97" s="481" t="s">
        <v>45</v>
      </c>
      <c r="E97" s="479" t="s">
        <v>45</v>
      </c>
      <c r="F97" s="481" t="s">
        <v>2896</v>
      </c>
      <c r="G97" s="481" t="s">
        <v>63</v>
      </c>
      <c r="H97" s="485" t="s">
        <v>3451</v>
      </c>
      <c r="I97" s="481" t="s">
        <v>22</v>
      </c>
      <c r="J97" s="481" t="s">
        <v>45</v>
      </c>
      <c r="K97" s="481" t="s">
        <v>4211</v>
      </c>
    </row>
    <row r="98" spans="1:11" ht="33.75">
      <c r="A98" s="481" t="s">
        <v>23</v>
      </c>
      <c r="B98" s="481" t="s">
        <v>4208</v>
      </c>
      <c r="C98" s="479">
        <v>0.43402777777777773</v>
      </c>
      <c r="D98" s="481" t="s">
        <v>4208</v>
      </c>
      <c r="E98" s="479">
        <v>0.78819444444444453</v>
      </c>
      <c r="F98" s="481" t="s">
        <v>2928</v>
      </c>
      <c r="G98" s="481" t="s">
        <v>63</v>
      </c>
      <c r="H98" s="485" t="s">
        <v>3451</v>
      </c>
      <c r="I98" s="481" t="s">
        <v>22</v>
      </c>
      <c r="J98" s="481" t="s">
        <v>45</v>
      </c>
      <c r="K98" s="481" t="s">
        <v>3234</v>
      </c>
    </row>
    <row r="99" spans="1:11" ht="45">
      <c r="A99" s="481" t="s">
        <v>23</v>
      </c>
      <c r="B99" s="481" t="s">
        <v>4208</v>
      </c>
      <c r="C99" s="479">
        <v>0.54513888888888895</v>
      </c>
      <c r="D99" s="481" t="s">
        <v>4202</v>
      </c>
      <c r="E99" s="479">
        <v>0.66666666666666663</v>
      </c>
      <c r="F99" s="481" t="s">
        <v>2984</v>
      </c>
      <c r="G99" s="481" t="s">
        <v>61</v>
      </c>
      <c r="H99" s="485" t="s">
        <v>3451</v>
      </c>
      <c r="I99" s="481" t="s">
        <v>22</v>
      </c>
      <c r="J99" s="481" t="s">
        <v>45</v>
      </c>
      <c r="K99" s="481" t="s">
        <v>4212</v>
      </c>
    </row>
    <row r="100" spans="1:11" ht="33.75">
      <c r="A100" s="481" t="s">
        <v>23</v>
      </c>
      <c r="B100" s="481" t="s">
        <v>4208</v>
      </c>
      <c r="C100" s="479">
        <v>0.31319444444444444</v>
      </c>
      <c r="D100" s="481" t="s">
        <v>4208</v>
      </c>
      <c r="E100" s="479">
        <v>0.58333333333333337</v>
      </c>
      <c r="F100" s="481" t="s">
        <v>2832</v>
      </c>
      <c r="G100" s="481" t="s">
        <v>63</v>
      </c>
      <c r="H100" s="485" t="s">
        <v>3451</v>
      </c>
      <c r="I100" s="481" t="s">
        <v>22</v>
      </c>
      <c r="J100" s="481" t="s">
        <v>45</v>
      </c>
      <c r="K100" s="481" t="s">
        <v>45</v>
      </c>
    </row>
    <row r="101" spans="1:11" ht="33.75">
      <c r="A101" s="481" t="s">
        <v>23</v>
      </c>
      <c r="B101" s="481" t="s">
        <v>4213</v>
      </c>
      <c r="C101" s="479">
        <v>0.47916666666666669</v>
      </c>
      <c r="D101" s="481" t="s">
        <v>4213</v>
      </c>
      <c r="E101" s="479">
        <v>0.65625</v>
      </c>
      <c r="F101" s="481" t="s">
        <v>2904</v>
      </c>
      <c r="G101" s="481" t="s">
        <v>63</v>
      </c>
      <c r="H101" s="485" t="s">
        <v>3356</v>
      </c>
      <c r="I101" s="481" t="s">
        <v>100</v>
      </c>
      <c r="J101" s="481" t="s">
        <v>3055</v>
      </c>
      <c r="K101" s="481" t="s">
        <v>3055</v>
      </c>
    </row>
    <row r="102" spans="1:11" ht="33.75">
      <c r="A102" s="481" t="s">
        <v>23</v>
      </c>
      <c r="B102" s="481" t="s">
        <v>4214</v>
      </c>
      <c r="C102" s="479">
        <v>0.81805555555555554</v>
      </c>
      <c r="D102" s="481" t="s">
        <v>45</v>
      </c>
      <c r="E102" s="479" t="s">
        <v>45</v>
      </c>
      <c r="F102" s="481" t="s">
        <v>3795</v>
      </c>
      <c r="G102" s="481" t="s">
        <v>124</v>
      </c>
      <c r="H102" s="485" t="s">
        <v>3356</v>
      </c>
      <c r="I102" s="481" t="s">
        <v>100</v>
      </c>
      <c r="J102" s="481" t="s">
        <v>3055</v>
      </c>
      <c r="K102" s="481" t="s">
        <v>3055</v>
      </c>
    </row>
    <row r="103" spans="1:11" ht="78.75">
      <c r="A103" s="481" t="s">
        <v>23</v>
      </c>
      <c r="B103" s="481" t="s">
        <v>4215</v>
      </c>
      <c r="C103" s="479">
        <v>5.1388888888888894E-2</v>
      </c>
      <c r="D103" s="481" t="s">
        <v>4216</v>
      </c>
      <c r="E103" s="479">
        <v>0.48749999999999999</v>
      </c>
      <c r="F103" s="481" t="s">
        <v>4057</v>
      </c>
      <c r="G103" s="481" t="s">
        <v>674</v>
      </c>
      <c r="H103" s="485" t="s">
        <v>3402</v>
      </c>
      <c r="I103" s="481" t="s">
        <v>2118</v>
      </c>
      <c r="J103" s="481" t="s">
        <v>3055</v>
      </c>
      <c r="K103" s="481" t="s">
        <v>3055</v>
      </c>
    </row>
    <row r="104" spans="1:11" ht="33.75">
      <c r="A104" s="481" t="s">
        <v>23</v>
      </c>
      <c r="B104" s="481" t="s">
        <v>4216</v>
      </c>
      <c r="C104" s="479">
        <v>0.52916666666666667</v>
      </c>
      <c r="D104" s="481" t="s">
        <v>4216</v>
      </c>
      <c r="E104" s="479">
        <v>0.56041666666666667</v>
      </c>
      <c r="F104" s="481" t="s">
        <v>4217</v>
      </c>
      <c r="G104" s="481" t="s">
        <v>674</v>
      </c>
      <c r="H104" s="485" t="s">
        <v>3356</v>
      </c>
      <c r="I104" s="481" t="s">
        <v>100</v>
      </c>
      <c r="J104" s="481" t="s">
        <v>3055</v>
      </c>
      <c r="K104" s="481" t="s">
        <v>3055</v>
      </c>
    </row>
    <row r="105" spans="1:11" ht="33.75">
      <c r="A105" s="481" t="s">
        <v>23</v>
      </c>
      <c r="B105" s="481" t="s">
        <v>4216</v>
      </c>
      <c r="C105" s="479">
        <v>4.0972222222222222E-2</v>
      </c>
      <c r="D105" s="481" t="s">
        <v>4216</v>
      </c>
      <c r="E105" s="479">
        <v>0.3611111111111111</v>
      </c>
      <c r="F105" s="481" t="s">
        <v>3745</v>
      </c>
      <c r="G105" s="481" t="s">
        <v>63</v>
      </c>
      <c r="H105" s="485" t="s">
        <v>3451</v>
      </c>
      <c r="I105" s="481" t="s">
        <v>22</v>
      </c>
      <c r="J105" s="481" t="s">
        <v>4218</v>
      </c>
      <c r="K105" s="481" t="s">
        <v>4219</v>
      </c>
    </row>
    <row r="106" spans="1:11" ht="33.75">
      <c r="A106" s="481" t="s">
        <v>23</v>
      </c>
      <c r="B106" s="481" t="s">
        <v>4220</v>
      </c>
      <c r="C106" s="479">
        <v>0.1875</v>
      </c>
      <c r="D106" s="481" t="s">
        <v>4220</v>
      </c>
      <c r="E106" s="479">
        <v>0.29166666666666669</v>
      </c>
      <c r="F106" s="481" t="s">
        <v>4221</v>
      </c>
      <c r="G106" s="481" t="s">
        <v>63</v>
      </c>
      <c r="H106" s="485" t="s">
        <v>3451</v>
      </c>
      <c r="I106" s="481" t="s">
        <v>22</v>
      </c>
      <c r="J106" s="481" t="s">
        <v>45</v>
      </c>
      <c r="K106" s="481" t="s">
        <v>4222</v>
      </c>
    </row>
    <row r="107" spans="1:11" ht="33.75">
      <c r="A107" s="481" t="s">
        <v>23</v>
      </c>
      <c r="B107" s="481" t="s">
        <v>4220</v>
      </c>
      <c r="C107" s="479">
        <v>0.33333333333333331</v>
      </c>
      <c r="D107" s="481" t="s">
        <v>4220</v>
      </c>
      <c r="E107" s="479">
        <v>0.98611111111111116</v>
      </c>
      <c r="F107" s="481" t="s">
        <v>2974</v>
      </c>
      <c r="G107" s="481" t="s">
        <v>63</v>
      </c>
      <c r="H107" s="485" t="s">
        <v>3451</v>
      </c>
      <c r="I107" s="481" t="s">
        <v>22</v>
      </c>
      <c r="J107" s="481" t="s">
        <v>4223</v>
      </c>
      <c r="K107" s="481" t="s">
        <v>4224</v>
      </c>
    </row>
    <row r="108" spans="1:11" ht="33.75">
      <c r="A108" s="481" t="s">
        <v>23</v>
      </c>
      <c r="B108" s="481" t="s">
        <v>4225</v>
      </c>
      <c r="C108" s="479">
        <v>0.91666666666666663</v>
      </c>
      <c r="D108" s="481" t="s">
        <v>45</v>
      </c>
      <c r="E108" s="479" t="s">
        <v>45</v>
      </c>
      <c r="F108" s="481" t="s">
        <v>4194</v>
      </c>
      <c r="G108" s="481" t="s">
        <v>124</v>
      </c>
      <c r="H108" s="485" t="s">
        <v>3356</v>
      </c>
      <c r="I108" s="481" t="s">
        <v>100</v>
      </c>
      <c r="J108" s="481" t="s">
        <v>3055</v>
      </c>
      <c r="K108" s="481" t="s">
        <v>3055</v>
      </c>
    </row>
    <row r="109" spans="1:11" ht="67.5">
      <c r="A109" s="481" t="s">
        <v>23</v>
      </c>
      <c r="B109" s="481" t="s">
        <v>4225</v>
      </c>
      <c r="C109" s="479">
        <v>0.875</v>
      </c>
      <c r="D109" s="481" t="s">
        <v>4225</v>
      </c>
      <c r="E109" s="479">
        <v>0.8979166666666667</v>
      </c>
      <c r="F109" s="481" t="s">
        <v>4226</v>
      </c>
      <c r="G109" s="481" t="s">
        <v>124</v>
      </c>
      <c r="H109" s="485" t="s">
        <v>4071</v>
      </c>
      <c r="I109" s="481" t="s">
        <v>2764</v>
      </c>
      <c r="J109" s="481" t="s">
        <v>3432</v>
      </c>
      <c r="K109" s="481" t="s">
        <v>4227</v>
      </c>
    </row>
    <row r="110" spans="1:11" ht="33.75">
      <c r="A110" s="481" t="s">
        <v>23</v>
      </c>
      <c r="B110" s="481" t="s">
        <v>4228</v>
      </c>
      <c r="C110" s="479">
        <v>0.89236111111111116</v>
      </c>
      <c r="D110" s="481" t="s">
        <v>4228</v>
      </c>
      <c r="E110" s="479">
        <v>0.91388888888888886</v>
      </c>
      <c r="F110" s="481" t="s">
        <v>2947</v>
      </c>
      <c r="G110" s="481" t="s">
        <v>124</v>
      </c>
      <c r="H110" s="485" t="s">
        <v>3356</v>
      </c>
      <c r="I110" s="481" t="s">
        <v>100</v>
      </c>
      <c r="J110" s="481" t="s">
        <v>3055</v>
      </c>
      <c r="K110" s="481" t="s">
        <v>3055</v>
      </c>
    </row>
    <row r="111" spans="1:11" ht="33.75">
      <c r="A111" s="481" t="s">
        <v>23</v>
      </c>
      <c r="B111" s="481" t="s">
        <v>4229</v>
      </c>
      <c r="C111" s="479">
        <v>6.805555555555555E-2</v>
      </c>
      <c r="D111" s="481" t="s">
        <v>45</v>
      </c>
      <c r="E111" s="479" t="s">
        <v>45</v>
      </c>
      <c r="F111" s="481" t="s">
        <v>2901</v>
      </c>
      <c r="G111" s="481" t="s">
        <v>301</v>
      </c>
      <c r="H111" s="485" t="s">
        <v>3451</v>
      </c>
      <c r="I111" s="481" t="s">
        <v>22</v>
      </c>
      <c r="J111" s="481" t="s">
        <v>45</v>
      </c>
      <c r="K111" s="481" t="s">
        <v>3336</v>
      </c>
    </row>
    <row r="112" spans="1:11" ht="67.5">
      <c r="A112" s="481" t="s">
        <v>23</v>
      </c>
      <c r="B112" s="481" t="s">
        <v>4230</v>
      </c>
      <c r="C112" s="479">
        <v>0.8340277777777777</v>
      </c>
      <c r="D112" s="481" t="s">
        <v>4230</v>
      </c>
      <c r="E112" s="479">
        <v>0.97291666666666676</v>
      </c>
      <c r="F112" s="481" t="s">
        <v>4231</v>
      </c>
      <c r="G112" s="481" t="s">
        <v>1352</v>
      </c>
      <c r="H112" s="485" t="s">
        <v>3411</v>
      </c>
      <c r="I112" s="481" t="s">
        <v>2483</v>
      </c>
      <c r="J112" s="481" t="s">
        <v>4232</v>
      </c>
      <c r="K112" s="481" t="s">
        <v>3081</v>
      </c>
    </row>
    <row r="113" spans="1:11" ht="33.75">
      <c r="A113" s="481" t="s">
        <v>23</v>
      </c>
      <c r="B113" s="481" t="s">
        <v>4233</v>
      </c>
      <c r="C113" s="479">
        <v>0.25</v>
      </c>
      <c r="D113" s="481" t="s">
        <v>4233</v>
      </c>
      <c r="E113" s="479">
        <v>0.52152777777777781</v>
      </c>
      <c r="F113" s="481" t="s">
        <v>2866</v>
      </c>
      <c r="G113" s="481" t="s">
        <v>63</v>
      </c>
      <c r="H113" s="485" t="s">
        <v>3451</v>
      </c>
      <c r="I113" s="481" t="s">
        <v>22</v>
      </c>
      <c r="J113" s="481" t="s">
        <v>45</v>
      </c>
      <c r="K113" s="481" t="s">
        <v>4234</v>
      </c>
    </row>
    <row r="114" spans="1:11" ht="33.75">
      <c r="A114" s="481" t="s">
        <v>23</v>
      </c>
      <c r="B114" s="481" t="s">
        <v>4233</v>
      </c>
      <c r="C114" s="479">
        <v>0.24652777777777779</v>
      </c>
      <c r="D114" s="481" t="s">
        <v>4233</v>
      </c>
      <c r="E114" s="479">
        <v>0.79166666666666663</v>
      </c>
      <c r="F114" s="481" t="s">
        <v>2809</v>
      </c>
      <c r="G114" s="481" t="s">
        <v>1352</v>
      </c>
      <c r="H114" s="485" t="s">
        <v>3451</v>
      </c>
      <c r="I114" s="481" t="s">
        <v>22</v>
      </c>
      <c r="J114" s="481" t="s">
        <v>45</v>
      </c>
      <c r="K114" s="481" t="s">
        <v>4235</v>
      </c>
    </row>
    <row r="115" spans="1:11" ht="67.5">
      <c r="A115" s="481" t="s">
        <v>23</v>
      </c>
      <c r="B115" s="481" t="s">
        <v>4236</v>
      </c>
      <c r="C115" s="479">
        <v>0.625</v>
      </c>
      <c r="D115" s="481" t="s">
        <v>45</v>
      </c>
      <c r="E115" s="479" t="s">
        <v>45</v>
      </c>
      <c r="F115" s="481" t="s">
        <v>4237</v>
      </c>
      <c r="G115" s="481" t="s">
        <v>3143</v>
      </c>
      <c r="H115" s="485" t="s">
        <v>3451</v>
      </c>
      <c r="I115" s="481" t="s">
        <v>22</v>
      </c>
      <c r="J115" s="481" t="s">
        <v>45</v>
      </c>
      <c r="K115" s="481" t="s">
        <v>4238</v>
      </c>
    </row>
    <row r="116" spans="1:11" ht="33.75">
      <c r="A116" s="481" t="s">
        <v>103</v>
      </c>
      <c r="B116" s="481" t="s">
        <v>4239</v>
      </c>
      <c r="C116" s="479">
        <v>0.4993055555555555</v>
      </c>
      <c r="D116" s="481" t="s">
        <v>4240</v>
      </c>
      <c r="E116" s="479">
        <v>0.83333333333333337</v>
      </c>
      <c r="F116" s="481" t="s">
        <v>4241</v>
      </c>
      <c r="G116" s="481" t="s">
        <v>63</v>
      </c>
      <c r="H116" s="485" t="s">
        <v>3451</v>
      </c>
      <c r="I116" s="481" t="s">
        <v>22</v>
      </c>
      <c r="J116" s="481" t="s">
        <v>3198</v>
      </c>
      <c r="K116" s="481" t="s">
        <v>4098</v>
      </c>
    </row>
    <row r="117" spans="1:11" ht="33.75">
      <c r="A117" s="481" t="s">
        <v>103</v>
      </c>
      <c r="B117" s="481" t="s">
        <v>4242</v>
      </c>
      <c r="C117" s="479">
        <v>0.57291666666666663</v>
      </c>
      <c r="D117" s="481" t="s">
        <v>4242</v>
      </c>
      <c r="E117" s="479">
        <v>0.57361111111111118</v>
      </c>
      <c r="F117" s="481" t="s">
        <v>3420</v>
      </c>
      <c r="G117" s="481" t="s">
        <v>124</v>
      </c>
      <c r="H117" s="485" t="s">
        <v>3356</v>
      </c>
      <c r="I117" s="481" t="s">
        <v>100</v>
      </c>
      <c r="J117" s="481" t="s">
        <v>3055</v>
      </c>
      <c r="K117" s="481" t="s">
        <v>3055</v>
      </c>
    </row>
    <row r="118" spans="1:11" ht="45">
      <c r="A118" s="481" t="s">
        <v>103</v>
      </c>
      <c r="B118" s="481" t="s">
        <v>4243</v>
      </c>
      <c r="C118" s="479">
        <v>0.96944444444444444</v>
      </c>
      <c r="D118" s="481" t="s">
        <v>4244</v>
      </c>
      <c r="E118" s="479">
        <v>0.57777777777777783</v>
      </c>
      <c r="F118" s="481" t="s">
        <v>4245</v>
      </c>
      <c r="G118" s="481" t="s">
        <v>3143</v>
      </c>
      <c r="H118" s="485" t="s">
        <v>3447</v>
      </c>
      <c r="I118" s="481" t="s">
        <v>2764</v>
      </c>
      <c r="J118" s="481" t="s">
        <v>3055</v>
      </c>
      <c r="K118" s="481" t="s">
        <v>3055</v>
      </c>
    </row>
    <row r="119" spans="1:11" ht="67.5">
      <c r="A119" s="481" t="s">
        <v>103</v>
      </c>
      <c r="B119" s="481" t="s">
        <v>4243</v>
      </c>
      <c r="C119" s="479">
        <v>0.21666666666666667</v>
      </c>
      <c r="D119" s="481" t="s">
        <v>4243</v>
      </c>
      <c r="E119" s="479">
        <v>0.58819444444444446</v>
      </c>
      <c r="F119" s="481" t="s">
        <v>2853</v>
      </c>
      <c r="G119" s="481" t="s">
        <v>124</v>
      </c>
      <c r="H119" s="485" t="s">
        <v>3411</v>
      </c>
      <c r="I119" s="481" t="s">
        <v>2483</v>
      </c>
      <c r="J119" s="481" t="s">
        <v>3055</v>
      </c>
      <c r="K119" s="481" t="s">
        <v>3055</v>
      </c>
    </row>
    <row r="120" spans="1:11" ht="67.5">
      <c r="A120" s="481" t="s">
        <v>103</v>
      </c>
      <c r="B120" s="481" t="s">
        <v>4244</v>
      </c>
      <c r="C120" s="479">
        <v>0.47430555555555554</v>
      </c>
      <c r="D120" s="481" t="s">
        <v>4244</v>
      </c>
      <c r="E120" s="479">
        <v>0.47569444444444442</v>
      </c>
      <c r="F120" s="481" t="s">
        <v>4246</v>
      </c>
      <c r="G120" s="481" t="s">
        <v>124</v>
      </c>
      <c r="H120" s="485" t="s">
        <v>3463</v>
      </c>
      <c r="I120" s="481" t="s">
        <v>100</v>
      </c>
      <c r="J120" s="481" t="s">
        <v>3055</v>
      </c>
      <c r="K120" s="481" t="s">
        <v>3055</v>
      </c>
    </row>
    <row r="121" spans="1:11" ht="33.75">
      <c r="A121" s="481" t="s">
        <v>103</v>
      </c>
      <c r="B121" s="481" t="s">
        <v>4247</v>
      </c>
      <c r="C121" s="479">
        <v>0.74652777777777779</v>
      </c>
      <c r="D121" s="481" t="s">
        <v>4248</v>
      </c>
      <c r="E121" s="479">
        <v>0.75</v>
      </c>
      <c r="F121" s="481" t="s">
        <v>3174</v>
      </c>
      <c r="G121" s="481" t="s">
        <v>61</v>
      </c>
      <c r="H121" s="485" t="s">
        <v>3451</v>
      </c>
      <c r="I121" s="481" t="s">
        <v>22</v>
      </c>
      <c r="J121" s="481" t="s">
        <v>45</v>
      </c>
      <c r="K121" s="481" t="s">
        <v>4249</v>
      </c>
    </row>
    <row r="122" spans="1:11" ht="78.75">
      <c r="A122" s="481" t="s">
        <v>103</v>
      </c>
      <c r="B122" s="481" t="s">
        <v>4250</v>
      </c>
      <c r="C122" s="479">
        <v>0</v>
      </c>
      <c r="D122" s="481" t="s">
        <v>4250</v>
      </c>
      <c r="E122" s="479">
        <v>2.0833333333333332E-2</v>
      </c>
      <c r="F122" s="481" t="s">
        <v>4185</v>
      </c>
      <c r="G122" s="481" t="s">
        <v>1352</v>
      </c>
      <c r="H122" s="485" t="s">
        <v>3402</v>
      </c>
      <c r="I122" s="481" t="s">
        <v>2118</v>
      </c>
      <c r="J122" s="481" t="s">
        <v>3055</v>
      </c>
      <c r="K122" s="481" t="s">
        <v>3055</v>
      </c>
    </row>
    <row r="123" spans="1:11" ht="45">
      <c r="A123" s="481" t="s">
        <v>103</v>
      </c>
      <c r="B123" s="481" t="s">
        <v>4251</v>
      </c>
      <c r="C123" s="479">
        <v>0.99375000000000002</v>
      </c>
      <c r="D123" s="481" t="s">
        <v>4252</v>
      </c>
      <c r="E123" s="479">
        <v>0.19236111111111112</v>
      </c>
      <c r="F123" s="481" t="s">
        <v>2896</v>
      </c>
      <c r="G123" s="481" t="s">
        <v>63</v>
      </c>
      <c r="H123" s="485" t="s">
        <v>3387</v>
      </c>
      <c r="I123" s="481" t="s">
        <v>2764</v>
      </c>
      <c r="J123" s="481" t="s">
        <v>3055</v>
      </c>
      <c r="K123" s="481" t="s">
        <v>3055</v>
      </c>
    </row>
    <row r="124" spans="1:11" ht="45">
      <c r="A124" s="481" t="s">
        <v>103</v>
      </c>
      <c r="B124" s="481" t="s">
        <v>4251</v>
      </c>
      <c r="C124" s="479">
        <v>0.39374999999999999</v>
      </c>
      <c r="D124" s="481" t="s">
        <v>4251</v>
      </c>
      <c r="E124" s="479">
        <v>0.42708333333333331</v>
      </c>
      <c r="F124" s="481" t="s">
        <v>4119</v>
      </c>
      <c r="G124" s="481" t="s">
        <v>124</v>
      </c>
      <c r="H124" s="485" t="s">
        <v>3447</v>
      </c>
      <c r="I124" s="481" t="s">
        <v>2764</v>
      </c>
      <c r="J124" s="481" t="s">
        <v>3055</v>
      </c>
      <c r="K124" s="481" t="s">
        <v>3055</v>
      </c>
    </row>
    <row r="125" spans="1:11" ht="33.75">
      <c r="A125" s="481" t="s">
        <v>103</v>
      </c>
      <c r="B125" s="481" t="s">
        <v>4252</v>
      </c>
      <c r="C125" s="479">
        <v>0.83611111111111114</v>
      </c>
      <c r="D125" s="481" t="s">
        <v>4252</v>
      </c>
      <c r="E125" s="479">
        <v>0.91666666666666663</v>
      </c>
      <c r="F125" s="481" t="s">
        <v>4253</v>
      </c>
      <c r="G125" s="481" t="s">
        <v>63</v>
      </c>
      <c r="H125" s="485" t="s">
        <v>3356</v>
      </c>
      <c r="I125" s="481" t="s">
        <v>100</v>
      </c>
      <c r="J125" s="481" t="s">
        <v>3643</v>
      </c>
      <c r="K125" s="481" t="s">
        <v>4254</v>
      </c>
    </row>
    <row r="126" spans="1:11" ht="33.75">
      <c r="A126" s="481" t="s">
        <v>103</v>
      </c>
      <c r="B126" s="481" t="s">
        <v>4252</v>
      </c>
      <c r="C126" s="479">
        <v>0.34513888888888888</v>
      </c>
      <c r="D126" s="481" t="s">
        <v>4252</v>
      </c>
      <c r="E126" s="479">
        <v>0.34583333333333338</v>
      </c>
      <c r="F126" s="481" t="s">
        <v>3971</v>
      </c>
      <c r="G126" s="481" t="s">
        <v>124</v>
      </c>
      <c r="H126" s="485" t="s">
        <v>3356</v>
      </c>
      <c r="I126" s="481" t="s">
        <v>100</v>
      </c>
      <c r="J126" s="481" t="s">
        <v>3055</v>
      </c>
      <c r="K126" s="481" t="s">
        <v>3055</v>
      </c>
    </row>
    <row r="127" spans="1:11" ht="78.75">
      <c r="A127" s="481" t="s">
        <v>103</v>
      </c>
      <c r="B127" s="481" t="s">
        <v>4252</v>
      </c>
      <c r="C127" s="479">
        <v>0.57291666666666663</v>
      </c>
      <c r="D127" s="481" t="s">
        <v>4252</v>
      </c>
      <c r="E127" s="479">
        <v>0.57361111111111118</v>
      </c>
      <c r="F127" s="481" t="s">
        <v>3405</v>
      </c>
      <c r="G127" s="481" t="s">
        <v>3347</v>
      </c>
      <c r="H127" s="485" t="s">
        <v>3402</v>
      </c>
      <c r="I127" s="481" t="s">
        <v>2118</v>
      </c>
      <c r="J127" s="481" t="s">
        <v>3055</v>
      </c>
      <c r="K127" s="481" t="s">
        <v>3055</v>
      </c>
    </row>
    <row r="128" spans="1:11" ht="33.75">
      <c r="A128" s="481" t="s">
        <v>103</v>
      </c>
      <c r="B128" s="481" t="s">
        <v>4255</v>
      </c>
      <c r="C128" s="479">
        <v>0.48680555555555555</v>
      </c>
      <c r="D128" s="481" t="s">
        <v>45</v>
      </c>
      <c r="E128" s="479" t="s">
        <v>45</v>
      </c>
      <c r="F128" s="481" t="s">
        <v>2817</v>
      </c>
      <c r="G128" s="481" t="s">
        <v>124</v>
      </c>
      <c r="H128" s="485" t="s">
        <v>3356</v>
      </c>
      <c r="I128" s="481" t="s">
        <v>100</v>
      </c>
      <c r="J128" s="481" t="s">
        <v>3055</v>
      </c>
      <c r="K128" s="481" t="s">
        <v>3055</v>
      </c>
    </row>
    <row r="129" spans="1:11" ht="33.75">
      <c r="A129" s="481" t="s">
        <v>103</v>
      </c>
      <c r="B129" s="481" t="s">
        <v>4256</v>
      </c>
      <c r="C129" s="479">
        <v>0.69097222222222221</v>
      </c>
      <c r="D129" s="481" t="s">
        <v>4257</v>
      </c>
      <c r="E129" s="479">
        <v>0.64513888888888882</v>
      </c>
      <c r="F129" s="481" t="s">
        <v>2832</v>
      </c>
      <c r="G129" s="481" t="s">
        <v>63</v>
      </c>
      <c r="H129" s="485" t="s">
        <v>3451</v>
      </c>
      <c r="I129" s="481" t="s">
        <v>22</v>
      </c>
      <c r="J129" s="481" t="s">
        <v>45</v>
      </c>
      <c r="K129" s="481" t="s">
        <v>4258</v>
      </c>
    </row>
    <row r="130" spans="1:11" ht="33.75">
      <c r="A130" s="481" t="s">
        <v>103</v>
      </c>
      <c r="B130" s="481" t="s">
        <v>4259</v>
      </c>
      <c r="C130" s="479">
        <v>0.69791666666666663</v>
      </c>
      <c r="D130" s="481" t="s">
        <v>45</v>
      </c>
      <c r="E130" s="479" t="s">
        <v>45</v>
      </c>
      <c r="F130" s="481" t="s">
        <v>2206</v>
      </c>
      <c r="G130" s="481" t="s">
        <v>3347</v>
      </c>
      <c r="H130" s="485" t="s">
        <v>3451</v>
      </c>
      <c r="I130" s="481" t="s">
        <v>22</v>
      </c>
      <c r="J130" s="481" t="s">
        <v>45</v>
      </c>
      <c r="K130" s="481" t="s">
        <v>3952</v>
      </c>
    </row>
    <row r="131" spans="1:11" ht="67.5">
      <c r="A131" s="481" t="s">
        <v>103</v>
      </c>
      <c r="B131" s="481" t="s">
        <v>4260</v>
      </c>
      <c r="C131" s="479">
        <v>0.45694444444444443</v>
      </c>
      <c r="D131" s="481" t="s">
        <v>4260</v>
      </c>
      <c r="E131" s="479">
        <v>0.54166666666666663</v>
      </c>
      <c r="F131" s="481" t="s">
        <v>4261</v>
      </c>
      <c r="G131" s="481" t="s">
        <v>1352</v>
      </c>
      <c r="H131" s="485" t="s">
        <v>3411</v>
      </c>
      <c r="I131" s="481" t="s">
        <v>2483</v>
      </c>
      <c r="J131" s="481" t="s">
        <v>3643</v>
      </c>
      <c r="K131" s="481" t="s">
        <v>4262</v>
      </c>
    </row>
    <row r="132" spans="1:11" ht="33.75">
      <c r="A132" s="481" t="s">
        <v>103</v>
      </c>
      <c r="B132" s="481" t="s">
        <v>4263</v>
      </c>
      <c r="C132" s="479">
        <v>0.71875</v>
      </c>
      <c r="D132" s="481" t="s">
        <v>4264</v>
      </c>
      <c r="E132" s="479">
        <v>0.27083333333333331</v>
      </c>
      <c r="F132" s="481" t="s">
        <v>2809</v>
      </c>
      <c r="G132" s="481" t="s">
        <v>1352</v>
      </c>
      <c r="H132" s="485" t="s">
        <v>3451</v>
      </c>
      <c r="I132" s="481" t="s">
        <v>22</v>
      </c>
      <c r="J132" s="481" t="s">
        <v>45</v>
      </c>
      <c r="K132" s="481" t="s">
        <v>4265</v>
      </c>
    </row>
    <row r="133" spans="1:11" ht="33.75">
      <c r="A133" s="481" t="s">
        <v>103</v>
      </c>
      <c r="B133" s="481" t="s">
        <v>4263</v>
      </c>
      <c r="C133" s="479">
        <v>0.72222222222222221</v>
      </c>
      <c r="D133" s="481" t="s">
        <v>45</v>
      </c>
      <c r="E133" s="479" t="s">
        <v>45</v>
      </c>
      <c r="F133" s="481" t="s">
        <v>2919</v>
      </c>
      <c r="G133" s="481" t="s">
        <v>1352</v>
      </c>
      <c r="H133" s="485" t="s">
        <v>3451</v>
      </c>
      <c r="I133" s="481" t="s">
        <v>22</v>
      </c>
      <c r="J133" s="481" t="s">
        <v>45</v>
      </c>
      <c r="K133" s="481" t="s">
        <v>4266</v>
      </c>
    </row>
    <row r="134" spans="1:11" ht="67.5">
      <c r="A134" s="481" t="s">
        <v>103</v>
      </c>
      <c r="B134" s="481" t="s">
        <v>4264</v>
      </c>
      <c r="C134" s="479">
        <v>0.7090277777777777</v>
      </c>
      <c r="D134" s="481" t="s">
        <v>4264</v>
      </c>
      <c r="E134" s="479">
        <v>0.7895833333333333</v>
      </c>
      <c r="F134" s="481" t="s">
        <v>4267</v>
      </c>
      <c r="G134" s="481" t="s">
        <v>3143</v>
      </c>
      <c r="H134" s="485" t="s">
        <v>3411</v>
      </c>
      <c r="I134" s="481" t="s">
        <v>2483</v>
      </c>
      <c r="J134" s="481" t="s">
        <v>3055</v>
      </c>
      <c r="K134" s="481" t="s">
        <v>3055</v>
      </c>
    </row>
    <row r="135" spans="1:11" ht="90">
      <c r="A135" s="481" t="s">
        <v>103</v>
      </c>
      <c r="B135" s="481" t="s">
        <v>4264</v>
      </c>
      <c r="C135" s="479">
        <v>0.72916666666666663</v>
      </c>
      <c r="D135" s="481" t="s">
        <v>4268</v>
      </c>
      <c r="E135" s="479">
        <v>0.75</v>
      </c>
      <c r="F135" s="481" t="s">
        <v>4269</v>
      </c>
      <c r="G135" s="481" t="s">
        <v>674</v>
      </c>
      <c r="H135" s="485" t="s">
        <v>3874</v>
      </c>
      <c r="I135" s="481" t="s">
        <v>2764</v>
      </c>
      <c r="J135" s="481" t="s">
        <v>3055</v>
      </c>
      <c r="K135" s="481" t="s">
        <v>3055</v>
      </c>
    </row>
    <row r="136" spans="1:11" ht="33.75">
      <c r="A136" s="481" t="s">
        <v>103</v>
      </c>
      <c r="B136" s="481" t="s">
        <v>4264</v>
      </c>
      <c r="C136" s="479">
        <v>0.90069444444444446</v>
      </c>
      <c r="D136" s="481" t="s">
        <v>4270</v>
      </c>
      <c r="E136" s="479">
        <v>0.18680555555555556</v>
      </c>
      <c r="F136" s="481" t="s">
        <v>4271</v>
      </c>
      <c r="G136" s="481" t="s">
        <v>3143</v>
      </c>
      <c r="H136" s="485" t="s">
        <v>3356</v>
      </c>
      <c r="I136" s="481" t="s">
        <v>100</v>
      </c>
      <c r="J136" s="481" t="s">
        <v>3055</v>
      </c>
      <c r="K136" s="481" t="s">
        <v>3055</v>
      </c>
    </row>
    <row r="137" spans="1:11" ht="45">
      <c r="A137" s="481" t="s">
        <v>103</v>
      </c>
      <c r="B137" s="481" t="s">
        <v>4270</v>
      </c>
      <c r="C137" s="479">
        <v>0.93055555555555547</v>
      </c>
      <c r="D137" s="481" t="s">
        <v>4270</v>
      </c>
      <c r="E137" s="479">
        <v>0.95833333333333337</v>
      </c>
      <c r="F137" s="481" t="s">
        <v>3162</v>
      </c>
      <c r="G137" s="481" t="s">
        <v>1352</v>
      </c>
      <c r="H137" s="485" t="s">
        <v>3447</v>
      </c>
      <c r="I137" s="481" t="s">
        <v>2764</v>
      </c>
      <c r="J137" s="481" t="s">
        <v>3055</v>
      </c>
      <c r="K137" s="481" t="s">
        <v>3055</v>
      </c>
    </row>
    <row r="138" spans="1:11" ht="33.75">
      <c r="A138" s="481" t="s">
        <v>103</v>
      </c>
      <c r="B138" s="481" t="s">
        <v>4268</v>
      </c>
      <c r="C138" s="479">
        <v>0.89583333333333337</v>
      </c>
      <c r="D138" s="481" t="s">
        <v>4272</v>
      </c>
      <c r="E138" s="479">
        <v>4.1666666666666664E-2</v>
      </c>
      <c r="F138" s="481" t="s">
        <v>4253</v>
      </c>
      <c r="G138" s="481" t="s">
        <v>63</v>
      </c>
      <c r="H138" s="485" t="s">
        <v>3356</v>
      </c>
      <c r="I138" s="481" t="s">
        <v>100</v>
      </c>
      <c r="J138" s="481" t="s">
        <v>3055</v>
      </c>
      <c r="K138" s="481" t="s">
        <v>3055</v>
      </c>
    </row>
    <row r="139" spans="1:11" ht="90">
      <c r="A139" s="481" t="s">
        <v>103</v>
      </c>
      <c r="B139" s="481" t="s">
        <v>4268</v>
      </c>
      <c r="C139" s="479">
        <v>1.0416666666666666E-2</v>
      </c>
      <c r="D139" s="481" t="s">
        <v>45</v>
      </c>
      <c r="E139" s="479" t="s">
        <v>45</v>
      </c>
      <c r="F139" s="481" t="s">
        <v>3245</v>
      </c>
      <c r="G139" s="481" t="s">
        <v>3143</v>
      </c>
      <c r="H139" s="485" t="s">
        <v>3874</v>
      </c>
      <c r="I139" s="481" t="s">
        <v>100</v>
      </c>
      <c r="J139" s="481" t="s">
        <v>3055</v>
      </c>
      <c r="K139" s="481" t="s">
        <v>3055</v>
      </c>
    </row>
    <row r="140" spans="1:11" ht="33.75">
      <c r="A140" s="481" t="s">
        <v>123</v>
      </c>
      <c r="B140" s="481" t="s">
        <v>4273</v>
      </c>
      <c r="C140" s="479">
        <v>0.60833333333333328</v>
      </c>
      <c r="D140" s="481" t="s">
        <v>4273</v>
      </c>
      <c r="E140" s="479">
        <v>0.60902777777777783</v>
      </c>
      <c r="F140" s="481" t="s">
        <v>4274</v>
      </c>
      <c r="G140" s="481" t="s">
        <v>124</v>
      </c>
      <c r="H140" s="485" t="s">
        <v>3356</v>
      </c>
      <c r="I140" s="481" t="s">
        <v>100</v>
      </c>
      <c r="J140" s="481" t="s">
        <v>45</v>
      </c>
      <c r="K140" s="481" t="s">
        <v>3055</v>
      </c>
    </row>
    <row r="141" spans="1:11" ht="33.75">
      <c r="A141" s="481" t="s">
        <v>123</v>
      </c>
      <c r="B141" s="481" t="s">
        <v>4275</v>
      </c>
      <c r="C141" s="479">
        <v>0.54166666666666663</v>
      </c>
      <c r="D141" s="481" t="s">
        <v>4276</v>
      </c>
      <c r="E141" s="479">
        <v>0.6875</v>
      </c>
      <c r="F141" s="481" t="s">
        <v>2833</v>
      </c>
      <c r="G141" s="481" t="s">
        <v>3143</v>
      </c>
      <c r="H141" s="485" t="s">
        <v>3451</v>
      </c>
      <c r="I141" s="481" t="s">
        <v>22</v>
      </c>
      <c r="J141" s="481" t="s">
        <v>3278</v>
      </c>
      <c r="K141" s="481" t="s">
        <v>4113</v>
      </c>
    </row>
    <row r="142" spans="1:11" ht="67.5">
      <c r="A142" s="481" t="s">
        <v>123</v>
      </c>
      <c r="B142" s="481" t="s">
        <v>4275</v>
      </c>
      <c r="C142" s="479">
        <v>0.52083333333333337</v>
      </c>
      <c r="D142" s="481" t="s">
        <v>4275</v>
      </c>
      <c r="E142" s="479">
        <v>0.75</v>
      </c>
      <c r="F142" s="481" t="s">
        <v>4237</v>
      </c>
      <c r="G142" s="481" t="s">
        <v>3143</v>
      </c>
      <c r="H142" s="485" t="s">
        <v>3451</v>
      </c>
      <c r="I142" s="481" t="s">
        <v>22</v>
      </c>
      <c r="J142" s="481" t="s">
        <v>45</v>
      </c>
      <c r="K142" s="481" t="s">
        <v>4277</v>
      </c>
    </row>
    <row r="143" spans="1:11" ht="45">
      <c r="A143" s="481" t="s">
        <v>123</v>
      </c>
      <c r="B143" s="481" t="s">
        <v>4275</v>
      </c>
      <c r="C143" s="479">
        <v>0.70624999999999993</v>
      </c>
      <c r="D143" s="481" t="s">
        <v>4275</v>
      </c>
      <c r="E143" s="479">
        <v>0.7284722222222223</v>
      </c>
      <c r="F143" s="481" t="s">
        <v>3786</v>
      </c>
      <c r="G143" s="481" t="s">
        <v>674</v>
      </c>
      <c r="H143" s="485" t="s">
        <v>3387</v>
      </c>
      <c r="I143" s="481" t="s">
        <v>2764</v>
      </c>
      <c r="J143" s="481" t="s">
        <v>3055</v>
      </c>
      <c r="K143" s="481" t="s">
        <v>3055</v>
      </c>
    </row>
    <row r="144" spans="1:11" ht="33.75">
      <c r="A144" s="481" t="s">
        <v>123</v>
      </c>
      <c r="B144" s="481" t="s">
        <v>4275</v>
      </c>
      <c r="C144" s="479">
        <v>0.56666666666666665</v>
      </c>
      <c r="D144" s="481" t="s">
        <v>4275</v>
      </c>
      <c r="E144" s="479">
        <v>0.6875</v>
      </c>
      <c r="F144" s="481" t="s">
        <v>2833</v>
      </c>
      <c r="G144" s="481" t="s">
        <v>3143</v>
      </c>
      <c r="H144" s="485" t="s">
        <v>3451</v>
      </c>
      <c r="I144" s="481" t="s">
        <v>22</v>
      </c>
      <c r="J144" s="481" t="s">
        <v>45</v>
      </c>
      <c r="K144" s="481" t="s">
        <v>4278</v>
      </c>
    </row>
    <row r="145" spans="1:11" ht="67.5">
      <c r="A145" s="481" t="s">
        <v>123</v>
      </c>
      <c r="B145" s="481" t="s">
        <v>4279</v>
      </c>
      <c r="C145" s="479">
        <v>0.47291666666666665</v>
      </c>
      <c r="D145" s="481" t="s">
        <v>4279</v>
      </c>
      <c r="E145" s="479">
        <v>0.50069444444444444</v>
      </c>
      <c r="F145" s="481" t="s">
        <v>2853</v>
      </c>
      <c r="G145" s="481" t="s">
        <v>124</v>
      </c>
      <c r="H145" s="485" t="s">
        <v>3411</v>
      </c>
      <c r="I145" s="481" t="s">
        <v>2483</v>
      </c>
      <c r="J145" s="481" t="s">
        <v>3055</v>
      </c>
      <c r="K145" s="481" t="s">
        <v>3055</v>
      </c>
    </row>
    <row r="146" spans="1:11" ht="78.75">
      <c r="A146" s="481" t="s">
        <v>123</v>
      </c>
      <c r="B146" s="481" t="s">
        <v>4280</v>
      </c>
      <c r="C146" s="479">
        <v>0.8125</v>
      </c>
      <c r="D146" s="481" t="s">
        <v>45</v>
      </c>
      <c r="E146" s="479" t="s">
        <v>45</v>
      </c>
      <c r="F146" s="481" t="s">
        <v>4281</v>
      </c>
      <c r="G146" s="481" t="s">
        <v>3143</v>
      </c>
      <c r="H146" s="485" t="s">
        <v>3451</v>
      </c>
      <c r="I146" s="481" t="s">
        <v>22</v>
      </c>
      <c r="J146" s="481" t="s">
        <v>45</v>
      </c>
      <c r="K146" s="481" t="s">
        <v>4282</v>
      </c>
    </row>
    <row r="147" spans="1:11" ht="135">
      <c r="A147" s="481" t="s">
        <v>123</v>
      </c>
      <c r="B147" s="481" t="s">
        <v>4280</v>
      </c>
      <c r="C147" s="479">
        <v>0.51527777777777783</v>
      </c>
      <c r="D147" s="481" t="s">
        <v>4280</v>
      </c>
      <c r="E147" s="479">
        <v>0.70833333333333337</v>
      </c>
      <c r="F147" s="481" t="s">
        <v>4283</v>
      </c>
      <c r="G147" s="481" t="s">
        <v>3143</v>
      </c>
      <c r="H147" s="485" t="s">
        <v>3451</v>
      </c>
      <c r="I147" s="481" t="s">
        <v>22</v>
      </c>
      <c r="J147" s="481" t="s">
        <v>45</v>
      </c>
      <c r="K147" s="481" t="s">
        <v>4284</v>
      </c>
    </row>
    <row r="148" spans="1:11" ht="33.75">
      <c r="A148" s="481" t="s">
        <v>123</v>
      </c>
      <c r="B148" s="481" t="s">
        <v>4280</v>
      </c>
      <c r="C148" s="479">
        <v>0.72499999999999998</v>
      </c>
      <c r="D148" s="481" t="s">
        <v>4285</v>
      </c>
      <c r="E148" s="479">
        <v>0.75</v>
      </c>
      <c r="F148" s="481" t="s">
        <v>4286</v>
      </c>
      <c r="G148" s="481" t="s">
        <v>3143</v>
      </c>
      <c r="H148" s="485" t="s">
        <v>3451</v>
      </c>
      <c r="I148" s="481" t="s">
        <v>22</v>
      </c>
      <c r="J148" s="481" t="s">
        <v>45</v>
      </c>
      <c r="K148" s="481" t="s">
        <v>4287</v>
      </c>
    </row>
    <row r="149" spans="1:11" ht="67.5">
      <c r="A149" s="481" t="s">
        <v>123</v>
      </c>
      <c r="B149" s="481" t="s">
        <v>4288</v>
      </c>
      <c r="C149" s="479">
        <v>0.34791666666666665</v>
      </c>
      <c r="D149" s="481" t="s">
        <v>4288</v>
      </c>
      <c r="E149" s="479">
        <v>0.34861111111111115</v>
      </c>
      <c r="F149" s="481" t="s">
        <v>4289</v>
      </c>
      <c r="G149" s="481" t="s">
        <v>3143</v>
      </c>
      <c r="H149" s="485" t="s">
        <v>3463</v>
      </c>
      <c r="I149" s="481" t="s">
        <v>100</v>
      </c>
      <c r="J149" s="481" t="s">
        <v>3055</v>
      </c>
      <c r="K149" s="481" t="s">
        <v>3055</v>
      </c>
    </row>
    <row r="150" spans="1:11" ht="78.75">
      <c r="A150" s="481" t="s">
        <v>123</v>
      </c>
      <c r="B150" s="481" t="s">
        <v>4290</v>
      </c>
      <c r="C150" s="479">
        <v>0.50763888888888886</v>
      </c>
      <c r="D150" s="481" t="s">
        <v>4291</v>
      </c>
      <c r="E150" s="479">
        <v>0.34097222222222223</v>
      </c>
      <c r="F150" s="481" t="s">
        <v>3500</v>
      </c>
      <c r="G150" s="481" t="s">
        <v>124</v>
      </c>
      <c r="H150" s="485" t="s">
        <v>3402</v>
      </c>
      <c r="I150" s="481" t="s">
        <v>2293</v>
      </c>
      <c r="J150" s="481" t="s">
        <v>3055</v>
      </c>
      <c r="K150" s="481" t="s">
        <v>3055</v>
      </c>
    </row>
    <row r="151" spans="1:11" ht="33.75">
      <c r="A151" s="481" t="s">
        <v>123</v>
      </c>
      <c r="B151" s="481" t="s">
        <v>4290</v>
      </c>
      <c r="C151" s="479">
        <v>0.85555555555555562</v>
      </c>
      <c r="D151" s="481" t="s">
        <v>4290</v>
      </c>
      <c r="E151" s="479">
        <v>0.85763888888888884</v>
      </c>
      <c r="F151" s="481" t="s">
        <v>4292</v>
      </c>
      <c r="G151" s="481" t="s">
        <v>63</v>
      </c>
      <c r="H151" s="485" t="s">
        <v>3356</v>
      </c>
      <c r="I151" s="481" t="s">
        <v>2293</v>
      </c>
      <c r="J151" s="481" t="s">
        <v>3055</v>
      </c>
      <c r="K151" s="481" t="s">
        <v>3055</v>
      </c>
    </row>
    <row r="152" spans="1:11" ht="33.75">
      <c r="A152" s="481" t="s">
        <v>123</v>
      </c>
      <c r="B152" s="481" t="s">
        <v>4293</v>
      </c>
      <c r="C152" s="479">
        <v>5.2777777777777778E-2</v>
      </c>
      <c r="D152" s="481" t="s">
        <v>4293</v>
      </c>
      <c r="E152" s="479">
        <v>0.78125</v>
      </c>
      <c r="F152" s="481" t="s">
        <v>2892</v>
      </c>
      <c r="G152" s="481" t="s">
        <v>3143</v>
      </c>
      <c r="H152" s="485" t="s">
        <v>3356</v>
      </c>
      <c r="I152" s="481" t="s">
        <v>100</v>
      </c>
      <c r="J152" s="481" t="s">
        <v>3055</v>
      </c>
      <c r="K152" s="481" t="s">
        <v>3055</v>
      </c>
    </row>
    <row r="153" spans="1:11" ht="45">
      <c r="A153" s="481" t="s">
        <v>123</v>
      </c>
      <c r="B153" s="481" t="s">
        <v>4291</v>
      </c>
      <c r="C153" s="479">
        <v>0.48888888888888887</v>
      </c>
      <c r="D153" s="481" t="s">
        <v>4291</v>
      </c>
      <c r="E153" s="479">
        <v>0.52916666666666667</v>
      </c>
      <c r="F153" s="481" t="s">
        <v>4294</v>
      </c>
      <c r="G153" s="481" t="s">
        <v>3143</v>
      </c>
      <c r="H153" s="485" t="s">
        <v>3387</v>
      </c>
      <c r="I153" s="481" t="s">
        <v>2764</v>
      </c>
      <c r="J153" s="481" t="s">
        <v>3055</v>
      </c>
      <c r="K153" s="481" t="s">
        <v>3055</v>
      </c>
    </row>
    <row r="154" spans="1:11" ht="78.75">
      <c r="A154" s="481" t="s">
        <v>123</v>
      </c>
      <c r="B154" s="481" t="s">
        <v>4295</v>
      </c>
      <c r="C154" s="479">
        <v>0.40277777777777773</v>
      </c>
      <c r="D154" s="481" t="s">
        <v>4295</v>
      </c>
      <c r="E154" s="479">
        <v>0.45833333333333331</v>
      </c>
      <c r="F154" s="481" t="s">
        <v>4296</v>
      </c>
      <c r="G154" s="481" t="s">
        <v>63</v>
      </c>
      <c r="H154" s="485" t="s">
        <v>3402</v>
      </c>
      <c r="I154" s="481" t="s">
        <v>2118</v>
      </c>
      <c r="J154" s="481" t="s">
        <v>45</v>
      </c>
      <c r="K154" s="481" t="s">
        <v>3055</v>
      </c>
    </row>
    <row r="155" spans="1:11" ht="33.75">
      <c r="A155" s="481" t="s">
        <v>123</v>
      </c>
      <c r="B155" s="481" t="s">
        <v>4297</v>
      </c>
      <c r="C155" s="479">
        <v>0.68055555555555547</v>
      </c>
      <c r="D155" s="481" t="s">
        <v>4298</v>
      </c>
      <c r="E155" s="479">
        <v>0.625</v>
      </c>
      <c r="F155" s="481" t="s">
        <v>4299</v>
      </c>
      <c r="G155" s="481" t="s">
        <v>674</v>
      </c>
      <c r="H155" s="485" t="s">
        <v>3356</v>
      </c>
      <c r="I155" s="481" t="s">
        <v>100</v>
      </c>
      <c r="J155" s="481" t="s">
        <v>3055</v>
      </c>
      <c r="K155" s="481" t="s">
        <v>3055</v>
      </c>
    </row>
    <row r="156" spans="1:11" ht="45">
      <c r="A156" s="481" t="s">
        <v>123</v>
      </c>
      <c r="B156" s="481" t="s">
        <v>4297</v>
      </c>
      <c r="C156" s="479">
        <v>0.53263888888888888</v>
      </c>
      <c r="D156" s="481" t="s">
        <v>4297</v>
      </c>
      <c r="E156" s="479">
        <v>0.57847222222222217</v>
      </c>
      <c r="F156" s="481" t="s">
        <v>3591</v>
      </c>
      <c r="G156" s="481" t="s">
        <v>1352</v>
      </c>
      <c r="H156" s="485" t="s">
        <v>3387</v>
      </c>
      <c r="I156" s="481" t="s">
        <v>2764</v>
      </c>
      <c r="J156" s="481" t="s">
        <v>3055</v>
      </c>
      <c r="K156" s="481" t="s">
        <v>3055</v>
      </c>
    </row>
    <row r="157" spans="1:11" ht="33.75">
      <c r="A157" s="481" t="s">
        <v>123</v>
      </c>
      <c r="B157" s="481" t="s">
        <v>4300</v>
      </c>
      <c r="C157" s="479">
        <v>0.66666666666666663</v>
      </c>
      <c r="D157" s="481" t="s">
        <v>4301</v>
      </c>
      <c r="E157" s="479">
        <v>0.10208333333333335</v>
      </c>
      <c r="F157" s="481" t="s">
        <v>3273</v>
      </c>
      <c r="G157" s="481" t="s">
        <v>63</v>
      </c>
      <c r="H157" s="485" t="s">
        <v>3451</v>
      </c>
      <c r="I157" s="481" t="s">
        <v>22</v>
      </c>
      <c r="J157" s="481" t="s">
        <v>4302</v>
      </c>
      <c r="K157" s="481" t="s">
        <v>4303</v>
      </c>
    </row>
    <row r="158" spans="1:11" ht="67.5">
      <c r="A158" s="481" t="s">
        <v>123</v>
      </c>
      <c r="B158" s="481" t="s">
        <v>4298</v>
      </c>
      <c r="C158" s="479">
        <v>0.60555555555555551</v>
      </c>
      <c r="D158" s="481" t="s">
        <v>4298</v>
      </c>
      <c r="E158" s="479">
        <v>0.69097222222222221</v>
      </c>
      <c r="F158" s="481" t="s">
        <v>4304</v>
      </c>
      <c r="G158" s="481" t="s">
        <v>3347</v>
      </c>
      <c r="H158" s="485" t="s">
        <v>3411</v>
      </c>
      <c r="I158" s="481" t="s">
        <v>2483</v>
      </c>
      <c r="J158" s="481" t="s">
        <v>3055</v>
      </c>
      <c r="K158" s="481" t="s">
        <v>3055</v>
      </c>
    </row>
    <row r="159" spans="1:11" ht="78.75">
      <c r="A159" s="481" t="s">
        <v>123</v>
      </c>
      <c r="B159" s="481" t="s">
        <v>4305</v>
      </c>
      <c r="C159" s="479">
        <v>0.43611111111111112</v>
      </c>
      <c r="D159" s="481" t="s">
        <v>4305</v>
      </c>
      <c r="E159" s="479">
        <v>0.4368055555555555</v>
      </c>
      <c r="F159" s="481" t="s">
        <v>2933</v>
      </c>
      <c r="G159" s="481" t="s">
        <v>124</v>
      </c>
      <c r="H159" s="485" t="s">
        <v>3402</v>
      </c>
      <c r="I159" s="481" t="s">
        <v>100</v>
      </c>
      <c r="J159" s="481" t="s">
        <v>3055</v>
      </c>
      <c r="K159" s="481" t="s">
        <v>3055</v>
      </c>
    </row>
    <row r="160" spans="1:11" ht="67.5">
      <c r="A160" s="481" t="s">
        <v>26</v>
      </c>
      <c r="B160" s="481" t="s">
        <v>4306</v>
      </c>
      <c r="C160" s="479">
        <v>0.80972222222222223</v>
      </c>
      <c r="D160" s="481" t="s">
        <v>4306</v>
      </c>
      <c r="E160" s="479">
        <v>0.8222222222222223</v>
      </c>
      <c r="F160" s="481" t="s">
        <v>3245</v>
      </c>
      <c r="G160" s="481" t="s">
        <v>3143</v>
      </c>
      <c r="H160" s="485" t="s">
        <v>3411</v>
      </c>
      <c r="I160" s="481" t="s">
        <v>2483</v>
      </c>
      <c r="J160" s="481" t="s">
        <v>3548</v>
      </c>
      <c r="K160" s="481" t="s">
        <v>4307</v>
      </c>
    </row>
    <row r="161" spans="1:11" ht="33.75">
      <c r="A161" s="481" t="s">
        <v>26</v>
      </c>
      <c r="B161" s="481" t="s">
        <v>4308</v>
      </c>
      <c r="C161" s="479">
        <v>0.85416666666666663</v>
      </c>
      <c r="D161" s="481" t="s">
        <v>45</v>
      </c>
      <c r="E161" s="479" t="s">
        <v>45</v>
      </c>
      <c r="F161" s="481" t="s">
        <v>2894</v>
      </c>
      <c r="G161" s="481" t="s">
        <v>124</v>
      </c>
      <c r="H161" s="485" t="s">
        <v>3654</v>
      </c>
      <c r="I161" s="481" t="s">
        <v>1138</v>
      </c>
      <c r="J161" s="481" t="s">
        <v>3055</v>
      </c>
      <c r="K161" s="481" t="s">
        <v>3055</v>
      </c>
    </row>
    <row r="162" spans="1:11" ht="78.75">
      <c r="A162" s="481" t="s">
        <v>26</v>
      </c>
      <c r="B162" s="481" t="s">
        <v>4309</v>
      </c>
      <c r="C162" s="479">
        <v>0.5180555555555556</v>
      </c>
      <c r="D162" s="481" t="s">
        <v>45</v>
      </c>
      <c r="E162" s="479" t="s">
        <v>45</v>
      </c>
      <c r="F162" s="481" t="s">
        <v>4310</v>
      </c>
      <c r="G162" s="481" t="s">
        <v>61</v>
      </c>
      <c r="H162" s="485" t="s">
        <v>3402</v>
      </c>
      <c r="I162" s="481" t="s">
        <v>2118</v>
      </c>
      <c r="J162" s="481" t="s">
        <v>3055</v>
      </c>
      <c r="K162" s="481" t="s">
        <v>3055</v>
      </c>
    </row>
    <row r="163" spans="1:11" ht="45">
      <c r="A163" s="481" t="s">
        <v>26</v>
      </c>
      <c r="B163" s="481" t="s">
        <v>4309</v>
      </c>
      <c r="C163" s="479">
        <v>0.78125</v>
      </c>
      <c r="D163" s="481" t="s">
        <v>4309</v>
      </c>
      <c r="E163" s="479">
        <v>0.8208333333333333</v>
      </c>
      <c r="F163" s="481" t="s">
        <v>3917</v>
      </c>
      <c r="G163" s="481" t="s">
        <v>3143</v>
      </c>
      <c r="H163" s="485" t="s">
        <v>3387</v>
      </c>
      <c r="I163" s="481" t="s">
        <v>2764</v>
      </c>
      <c r="J163" s="481" t="s">
        <v>3055</v>
      </c>
      <c r="K163" s="481" t="s">
        <v>3055</v>
      </c>
    </row>
    <row r="164" spans="1:11" ht="67.5">
      <c r="A164" s="481" t="s">
        <v>26</v>
      </c>
      <c r="B164" s="481" t="s">
        <v>4311</v>
      </c>
      <c r="C164" s="479">
        <v>0.48472222222222222</v>
      </c>
      <c r="D164" s="481" t="s">
        <v>4311</v>
      </c>
      <c r="E164" s="479">
        <v>0.76666666666666661</v>
      </c>
      <c r="F164" s="481" t="s">
        <v>2967</v>
      </c>
      <c r="G164" s="481" t="s">
        <v>124</v>
      </c>
      <c r="H164" s="485" t="s">
        <v>3411</v>
      </c>
      <c r="I164" s="481" t="s">
        <v>2483</v>
      </c>
      <c r="J164" s="481" t="s">
        <v>3055</v>
      </c>
      <c r="K164" s="481" t="s">
        <v>3055</v>
      </c>
    </row>
    <row r="165" spans="1:11" ht="67.5">
      <c r="A165" s="481" t="s">
        <v>26</v>
      </c>
      <c r="B165" s="481" t="s">
        <v>4311</v>
      </c>
      <c r="C165" s="479">
        <v>0.54791666666666672</v>
      </c>
      <c r="D165" s="481" t="s">
        <v>4312</v>
      </c>
      <c r="E165" s="479">
        <v>0.34513888888888888</v>
      </c>
      <c r="F165" s="481" t="s">
        <v>2900</v>
      </c>
      <c r="G165" s="481" t="s">
        <v>124</v>
      </c>
      <c r="H165" s="485" t="s">
        <v>3411</v>
      </c>
      <c r="I165" s="481" t="s">
        <v>2483</v>
      </c>
      <c r="J165" s="481" t="s">
        <v>3055</v>
      </c>
      <c r="K165" s="481" t="s">
        <v>3055</v>
      </c>
    </row>
    <row r="166" spans="1:11" ht="67.5">
      <c r="A166" s="481" t="s">
        <v>26</v>
      </c>
      <c r="B166" s="481" t="s">
        <v>4311</v>
      </c>
      <c r="C166" s="479">
        <v>0.80347222222222225</v>
      </c>
      <c r="D166" s="481" t="s">
        <v>4311</v>
      </c>
      <c r="E166" s="479">
        <v>0.99236111111111114</v>
      </c>
      <c r="F166" s="481" t="s">
        <v>4313</v>
      </c>
      <c r="G166" s="481" t="s">
        <v>3143</v>
      </c>
      <c r="H166" s="485" t="s">
        <v>3411</v>
      </c>
      <c r="I166" s="481" t="s">
        <v>2990</v>
      </c>
      <c r="J166" s="481" t="s">
        <v>45</v>
      </c>
      <c r="K166" s="481" t="s">
        <v>45</v>
      </c>
    </row>
    <row r="167" spans="1:11" ht="78.75">
      <c r="A167" s="481" t="s">
        <v>26</v>
      </c>
      <c r="B167" s="481" t="s">
        <v>4312</v>
      </c>
      <c r="C167" s="479">
        <v>0.9194444444444444</v>
      </c>
      <c r="D167" s="481" t="s">
        <v>45</v>
      </c>
      <c r="E167" s="479" t="s">
        <v>45</v>
      </c>
      <c r="F167" s="481" t="s">
        <v>2919</v>
      </c>
      <c r="G167" s="481" t="s">
        <v>1352</v>
      </c>
      <c r="H167" s="485" t="s">
        <v>3402</v>
      </c>
      <c r="I167" s="481" t="s">
        <v>2293</v>
      </c>
      <c r="J167" s="481" t="s">
        <v>3055</v>
      </c>
      <c r="K167" s="481" t="s">
        <v>3055</v>
      </c>
    </row>
    <row r="168" spans="1:11" ht="33.75">
      <c r="A168" s="481" t="s">
        <v>26</v>
      </c>
      <c r="B168" s="481" t="s">
        <v>4312</v>
      </c>
      <c r="C168" s="479">
        <v>0.78125</v>
      </c>
      <c r="D168" s="481" t="s">
        <v>45</v>
      </c>
      <c r="E168" s="479" t="s">
        <v>45</v>
      </c>
      <c r="F168" s="481" t="s">
        <v>2945</v>
      </c>
      <c r="G168" s="481" t="s">
        <v>124</v>
      </c>
      <c r="H168" s="485" t="s">
        <v>3654</v>
      </c>
      <c r="I168" s="481" t="s">
        <v>1138</v>
      </c>
      <c r="J168" s="481" t="s">
        <v>3055</v>
      </c>
      <c r="K168" s="481" t="s">
        <v>3055</v>
      </c>
    </row>
    <row r="169" spans="1:11" ht="78.75">
      <c r="A169" s="481" t="s">
        <v>26</v>
      </c>
      <c r="B169" s="481" t="s">
        <v>4314</v>
      </c>
      <c r="C169" s="479">
        <v>0.63124999999999998</v>
      </c>
      <c r="D169" s="481" t="s">
        <v>45</v>
      </c>
      <c r="E169" s="479" t="s">
        <v>45</v>
      </c>
      <c r="F169" s="481" t="s">
        <v>4315</v>
      </c>
      <c r="G169" s="481" t="s">
        <v>124</v>
      </c>
      <c r="H169" s="485" t="s">
        <v>3402</v>
      </c>
      <c r="I169" s="481" t="s">
        <v>2118</v>
      </c>
      <c r="J169" s="481" t="s">
        <v>3055</v>
      </c>
      <c r="K169" s="481" t="s">
        <v>3055</v>
      </c>
    </row>
    <row r="170" spans="1:11" ht="33.75">
      <c r="A170" s="481" t="s">
        <v>26</v>
      </c>
      <c r="B170" s="481" t="s">
        <v>4316</v>
      </c>
      <c r="C170" s="479">
        <v>0.97916666666666663</v>
      </c>
      <c r="D170" s="481" t="s">
        <v>4317</v>
      </c>
      <c r="E170" s="479">
        <v>0.27083333333333331</v>
      </c>
      <c r="F170" s="481" t="s">
        <v>4318</v>
      </c>
      <c r="G170" s="481" t="s">
        <v>3347</v>
      </c>
      <c r="H170" s="485" t="s">
        <v>3451</v>
      </c>
      <c r="I170" s="481" t="s">
        <v>22</v>
      </c>
      <c r="J170" s="481" t="s">
        <v>45</v>
      </c>
      <c r="K170" s="481" t="s">
        <v>3780</v>
      </c>
    </row>
    <row r="171" spans="1:11" ht="33.75">
      <c r="A171" s="481" t="s">
        <v>26</v>
      </c>
      <c r="B171" s="481" t="s">
        <v>4316</v>
      </c>
      <c r="C171" s="479">
        <v>0.89583333333333337</v>
      </c>
      <c r="D171" s="481" t="s">
        <v>45</v>
      </c>
      <c r="E171" s="479" t="s">
        <v>45</v>
      </c>
      <c r="F171" s="481" t="s">
        <v>3693</v>
      </c>
      <c r="G171" s="481" t="s">
        <v>3347</v>
      </c>
      <c r="H171" s="485" t="s">
        <v>3451</v>
      </c>
      <c r="I171" s="481" t="s">
        <v>22</v>
      </c>
      <c r="J171" s="481" t="s">
        <v>45</v>
      </c>
      <c r="K171" s="481" t="s">
        <v>4319</v>
      </c>
    </row>
    <row r="172" spans="1:11" ht="33.75">
      <c r="A172" s="481" t="s">
        <v>26</v>
      </c>
      <c r="B172" s="481" t="s">
        <v>4316</v>
      </c>
      <c r="C172" s="479">
        <v>0.20486111111111113</v>
      </c>
      <c r="D172" s="481" t="s">
        <v>45</v>
      </c>
      <c r="E172" s="479" t="s">
        <v>45</v>
      </c>
      <c r="F172" s="481" t="s">
        <v>2945</v>
      </c>
      <c r="G172" s="481" t="s">
        <v>124</v>
      </c>
      <c r="H172" s="485" t="s">
        <v>3654</v>
      </c>
      <c r="I172" s="481" t="s">
        <v>1138</v>
      </c>
      <c r="J172" s="481" t="s">
        <v>3055</v>
      </c>
      <c r="K172" s="481" t="s">
        <v>3055</v>
      </c>
    </row>
    <row r="173" spans="1:11" ht="45">
      <c r="A173" s="481" t="s">
        <v>26</v>
      </c>
      <c r="B173" s="481" t="s">
        <v>4317</v>
      </c>
      <c r="C173" s="479">
        <v>0.1875</v>
      </c>
      <c r="D173" s="481" t="s">
        <v>4320</v>
      </c>
      <c r="E173" s="479">
        <v>0.20833333333333334</v>
      </c>
      <c r="F173" s="481" t="s">
        <v>4321</v>
      </c>
      <c r="G173" s="481" t="s">
        <v>1352</v>
      </c>
      <c r="H173" s="485" t="s">
        <v>3451</v>
      </c>
      <c r="I173" s="481" t="s">
        <v>22</v>
      </c>
      <c r="J173" s="481" t="s">
        <v>45</v>
      </c>
      <c r="K173" s="481" t="s">
        <v>4322</v>
      </c>
    </row>
    <row r="174" spans="1:11" ht="33.75">
      <c r="A174" s="481" t="s">
        <v>26</v>
      </c>
      <c r="B174" s="481" t="s">
        <v>4317</v>
      </c>
      <c r="C174" s="479">
        <v>0.58888888888888891</v>
      </c>
      <c r="D174" s="481" t="s">
        <v>4317</v>
      </c>
      <c r="E174" s="479">
        <v>0.86388888888888893</v>
      </c>
      <c r="F174" s="481" t="s">
        <v>3795</v>
      </c>
      <c r="G174" s="481" t="s">
        <v>124</v>
      </c>
      <c r="H174" s="485" t="s">
        <v>3356</v>
      </c>
      <c r="I174" s="481" t="s">
        <v>2293</v>
      </c>
      <c r="J174" s="481" t="s">
        <v>4323</v>
      </c>
      <c r="K174" s="481" t="s">
        <v>3367</v>
      </c>
    </row>
    <row r="175" spans="1:11" ht="78.75">
      <c r="A175" s="481" t="s">
        <v>26</v>
      </c>
      <c r="B175" s="481" t="s">
        <v>4320</v>
      </c>
      <c r="C175" s="479">
        <v>0.6875</v>
      </c>
      <c r="D175" s="481" t="s">
        <v>4320</v>
      </c>
      <c r="E175" s="479">
        <v>0.68819444444444444</v>
      </c>
      <c r="F175" s="481" t="s">
        <v>4296</v>
      </c>
      <c r="G175" s="481" t="s">
        <v>63</v>
      </c>
      <c r="H175" s="485" t="s">
        <v>3402</v>
      </c>
      <c r="I175" s="481" t="s">
        <v>2118</v>
      </c>
      <c r="J175" s="481" t="s">
        <v>3055</v>
      </c>
      <c r="K175" s="481" t="s">
        <v>3055</v>
      </c>
    </row>
    <row r="176" spans="1:11" ht="45">
      <c r="A176" s="481" t="s">
        <v>26</v>
      </c>
      <c r="B176" s="481" t="s">
        <v>4324</v>
      </c>
      <c r="C176" s="479">
        <v>0.59444444444444444</v>
      </c>
      <c r="D176" s="481" t="s">
        <v>4324</v>
      </c>
      <c r="E176" s="479">
        <v>0.62013888888888891</v>
      </c>
      <c r="F176" s="481" t="s">
        <v>2945</v>
      </c>
      <c r="G176" s="481" t="s">
        <v>124</v>
      </c>
      <c r="H176" s="485" t="s">
        <v>3387</v>
      </c>
      <c r="I176" s="481" t="s">
        <v>2764</v>
      </c>
      <c r="J176" s="481" t="s">
        <v>3055</v>
      </c>
      <c r="K176" s="481" t="s">
        <v>3055</v>
      </c>
    </row>
    <row r="177" spans="1:11" ht="78.75">
      <c r="A177" s="481" t="s">
        <v>26</v>
      </c>
      <c r="B177" s="481" t="s">
        <v>4325</v>
      </c>
      <c r="C177" s="479">
        <v>0.45833333333333331</v>
      </c>
      <c r="D177" s="481" t="s">
        <v>4325</v>
      </c>
      <c r="E177" s="479">
        <v>0.47222222222222227</v>
      </c>
      <c r="F177" s="481" t="s">
        <v>4296</v>
      </c>
      <c r="G177" s="481" t="s">
        <v>63</v>
      </c>
      <c r="H177" s="485" t="s">
        <v>3402</v>
      </c>
      <c r="I177" s="481" t="s">
        <v>2118</v>
      </c>
      <c r="J177" s="481" t="s">
        <v>45</v>
      </c>
      <c r="K177" s="481" t="s">
        <v>3055</v>
      </c>
    </row>
    <row r="178" spans="1:11" ht="45">
      <c r="A178" s="481" t="s">
        <v>26</v>
      </c>
      <c r="B178" s="481" t="s">
        <v>4326</v>
      </c>
      <c r="C178" s="479">
        <v>0.36736111111111108</v>
      </c>
      <c r="D178" s="481" t="s">
        <v>4326</v>
      </c>
      <c r="E178" s="479">
        <v>0.46249999999999997</v>
      </c>
      <c r="F178" s="481" t="s">
        <v>3786</v>
      </c>
      <c r="G178" s="481" t="s">
        <v>674</v>
      </c>
      <c r="H178" s="485" t="s">
        <v>3387</v>
      </c>
      <c r="I178" s="481" t="s">
        <v>2764</v>
      </c>
      <c r="J178" s="481" t="s">
        <v>4327</v>
      </c>
      <c r="K178" s="481" t="s">
        <v>3055</v>
      </c>
    </row>
    <row r="179" spans="1:11" ht="33.75">
      <c r="A179" s="481" t="s">
        <v>26</v>
      </c>
      <c r="B179" s="481" t="s">
        <v>4328</v>
      </c>
      <c r="C179" s="479">
        <v>0.95833333333333337</v>
      </c>
      <c r="D179" s="481" t="s">
        <v>4328</v>
      </c>
      <c r="E179" s="479">
        <v>0.97916666666666663</v>
      </c>
      <c r="F179" s="481" t="s">
        <v>3693</v>
      </c>
      <c r="G179" s="481" t="s">
        <v>3347</v>
      </c>
      <c r="H179" s="485" t="s">
        <v>3356</v>
      </c>
      <c r="I179" s="481" t="s">
        <v>100</v>
      </c>
      <c r="J179" s="481" t="s">
        <v>3055</v>
      </c>
      <c r="K179" s="481" t="s">
        <v>3055</v>
      </c>
    </row>
    <row r="180" spans="1:11" ht="78.75">
      <c r="A180" s="481" t="s">
        <v>26</v>
      </c>
      <c r="B180" s="481" t="s">
        <v>4328</v>
      </c>
      <c r="C180" s="479">
        <v>0.80833333333333324</v>
      </c>
      <c r="D180" s="481" t="s">
        <v>45</v>
      </c>
      <c r="E180" s="479" t="s">
        <v>45</v>
      </c>
      <c r="F180" s="481" t="s">
        <v>2868</v>
      </c>
      <c r="G180" s="481" t="s">
        <v>61</v>
      </c>
      <c r="H180" s="485" t="s">
        <v>3402</v>
      </c>
      <c r="I180" s="481" t="s">
        <v>2118</v>
      </c>
      <c r="J180" s="481" t="s">
        <v>3055</v>
      </c>
      <c r="K180" s="481" t="s">
        <v>3055</v>
      </c>
    </row>
    <row r="181" spans="1:11" ht="33.75">
      <c r="A181" s="481" t="s">
        <v>26</v>
      </c>
      <c r="B181" s="481" t="s">
        <v>4329</v>
      </c>
      <c r="C181" s="479">
        <v>0.60416666666666663</v>
      </c>
      <c r="D181" s="481" t="s">
        <v>4330</v>
      </c>
      <c r="E181" s="479">
        <v>0.78333333333333333</v>
      </c>
      <c r="F181" s="481" t="s">
        <v>3307</v>
      </c>
      <c r="G181" s="481" t="s">
        <v>3143</v>
      </c>
      <c r="H181" s="485" t="s">
        <v>3451</v>
      </c>
      <c r="I181" s="481" t="s">
        <v>22</v>
      </c>
      <c r="J181" s="481" t="s">
        <v>45</v>
      </c>
      <c r="K181" s="481" t="s">
        <v>4331</v>
      </c>
    </row>
    <row r="182" spans="1:11" ht="33.75">
      <c r="A182" s="481" t="s">
        <v>26</v>
      </c>
      <c r="B182" s="481" t="s">
        <v>4329</v>
      </c>
      <c r="C182" s="479">
        <v>0.4375</v>
      </c>
      <c r="D182" s="481" t="s">
        <v>45</v>
      </c>
      <c r="E182" s="479" t="s">
        <v>45</v>
      </c>
      <c r="F182" s="481" t="s">
        <v>4332</v>
      </c>
      <c r="G182" s="481" t="s">
        <v>61</v>
      </c>
      <c r="H182" s="485" t="s">
        <v>3654</v>
      </c>
      <c r="I182" s="481" t="s">
        <v>1138</v>
      </c>
      <c r="J182" s="481" t="s">
        <v>3193</v>
      </c>
      <c r="K182" s="481"/>
    </row>
    <row r="183" spans="1:11" ht="33.75">
      <c r="A183" s="481" t="s">
        <v>26</v>
      </c>
      <c r="B183" s="481" t="s">
        <v>4333</v>
      </c>
      <c r="C183" s="479">
        <v>3.9583333333333331E-2</v>
      </c>
      <c r="D183" s="481" t="s">
        <v>4333</v>
      </c>
      <c r="E183" s="479">
        <v>0.10694444444444444</v>
      </c>
      <c r="F183" s="481" t="s">
        <v>3591</v>
      </c>
      <c r="G183" s="481" t="s">
        <v>1352</v>
      </c>
      <c r="H183" s="485" t="s">
        <v>3356</v>
      </c>
      <c r="I183" s="481" t="s">
        <v>2118</v>
      </c>
      <c r="J183" s="481" t="s">
        <v>4334</v>
      </c>
      <c r="K183" s="481" t="s">
        <v>4335</v>
      </c>
    </row>
    <row r="184" spans="1:11" ht="33.75">
      <c r="A184" s="481" t="s">
        <v>26</v>
      </c>
      <c r="B184" s="481" t="s">
        <v>4330</v>
      </c>
      <c r="C184" s="479">
        <v>0.49513888888888885</v>
      </c>
      <c r="D184" s="481" t="s">
        <v>4330</v>
      </c>
      <c r="E184" s="479">
        <v>0.54166666666666663</v>
      </c>
      <c r="F184" s="481" t="s">
        <v>3903</v>
      </c>
      <c r="G184" s="481" t="s">
        <v>124</v>
      </c>
      <c r="H184" s="485" t="s">
        <v>3356</v>
      </c>
      <c r="I184" s="481" t="s">
        <v>100</v>
      </c>
      <c r="J184" s="481" t="s">
        <v>4136</v>
      </c>
      <c r="K184" s="481" t="s">
        <v>4336</v>
      </c>
    </row>
    <row r="185" spans="1:11" ht="67.5">
      <c r="A185" s="481" t="s">
        <v>26</v>
      </c>
      <c r="B185" s="481" t="s">
        <v>4337</v>
      </c>
      <c r="C185" s="479">
        <v>0.47916666666666669</v>
      </c>
      <c r="D185" s="481" t="s">
        <v>4337</v>
      </c>
      <c r="E185" s="479">
        <v>0.59652777777777777</v>
      </c>
      <c r="F185" s="481" t="s">
        <v>4338</v>
      </c>
      <c r="G185" s="481" t="s">
        <v>3143</v>
      </c>
      <c r="H185" s="485" t="s">
        <v>3411</v>
      </c>
      <c r="I185" s="481" t="s">
        <v>2483</v>
      </c>
      <c r="J185" s="481" t="s">
        <v>3055</v>
      </c>
      <c r="K185" s="481" t="s">
        <v>3055</v>
      </c>
    </row>
    <row r="186" spans="1:11" ht="78.75">
      <c r="A186" s="481" t="s">
        <v>26</v>
      </c>
      <c r="B186" s="481" t="s">
        <v>4339</v>
      </c>
      <c r="C186" s="479">
        <v>0.35069444444444442</v>
      </c>
      <c r="D186" s="481" t="s">
        <v>45</v>
      </c>
      <c r="E186" s="479" t="s">
        <v>45</v>
      </c>
      <c r="F186" s="481" t="s">
        <v>4340</v>
      </c>
      <c r="G186" s="481" t="s">
        <v>61</v>
      </c>
      <c r="H186" s="485" t="s">
        <v>3402</v>
      </c>
      <c r="I186" s="481" t="s">
        <v>2118</v>
      </c>
      <c r="J186" s="481" t="s">
        <v>3055</v>
      </c>
      <c r="K186" s="481" t="s">
        <v>3055</v>
      </c>
    </row>
    <row r="187" spans="1:11" ht="56.25">
      <c r="A187" s="481" t="s">
        <v>26</v>
      </c>
      <c r="B187" s="481" t="s">
        <v>4341</v>
      </c>
      <c r="C187" s="479">
        <v>0.875</v>
      </c>
      <c r="D187" s="481" t="s">
        <v>4342</v>
      </c>
      <c r="E187" s="479">
        <v>0.66666666666666663</v>
      </c>
      <c r="F187" s="481" t="s">
        <v>4343</v>
      </c>
      <c r="G187" s="481" t="s">
        <v>1352</v>
      </c>
      <c r="H187" s="485" t="s">
        <v>3451</v>
      </c>
      <c r="I187" s="481" t="s">
        <v>22</v>
      </c>
      <c r="J187" s="481" t="s">
        <v>4344</v>
      </c>
      <c r="K187" s="481" t="s">
        <v>4345</v>
      </c>
    </row>
    <row r="188" spans="1:11" ht="56.25">
      <c r="A188" s="481" t="s">
        <v>26</v>
      </c>
      <c r="B188" s="481" t="s">
        <v>4341</v>
      </c>
      <c r="C188" s="479">
        <v>0.83194444444444438</v>
      </c>
      <c r="D188" s="481" t="s">
        <v>4346</v>
      </c>
      <c r="E188" s="479">
        <v>0.79166666666666663</v>
      </c>
      <c r="F188" s="481" t="s">
        <v>4347</v>
      </c>
      <c r="G188" s="481" t="s">
        <v>1352</v>
      </c>
      <c r="H188" s="485" t="s">
        <v>3451</v>
      </c>
      <c r="I188" s="481" t="s">
        <v>22</v>
      </c>
      <c r="J188" s="481" t="s">
        <v>45</v>
      </c>
      <c r="K188" s="481" t="s">
        <v>4348</v>
      </c>
    </row>
    <row r="189" spans="1:11" ht="45">
      <c r="A189" s="481" t="s">
        <v>26</v>
      </c>
      <c r="B189" s="481" t="s">
        <v>4349</v>
      </c>
      <c r="C189" s="479">
        <v>0.625</v>
      </c>
      <c r="D189" s="481" t="s">
        <v>4349</v>
      </c>
      <c r="E189" s="479">
        <v>0.95833333333333337</v>
      </c>
      <c r="F189" s="481" t="s">
        <v>4350</v>
      </c>
      <c r="G189" s="481" t="s">
        <v>3143</v>
      </c>
      <c r="H189" s="485" t="s">
        <v>3447</v>
      </c>
      <c r="I189" s="481" t="s">
        <v>2764</v>
      </c>
      <c r="J189" s="481" t="s">
        <v>3055</v>
      </c>
      <c r="K189" s="481" t="s">
        <v>3055</v>
      </c>
    </row>
    <row r="190" spans="1:11" ht="67.5">
      <c r="A190" s="481" t="s">
        <v>26</v>
      </c>
      <c r="B190" s="481" t="s">
        <v>4351</v>
      </c>
      <c r="C190" s="479">
        <v>0.74583333333333324</v>
      </c>
      <c r="D190" s="481" t="s">
        <v>4351</v>
      </c>
      <c r="E190" s="479">
        <v>0.84583333333333333</v>
      </c>
      <c r="F190" s="481" t="s">
        <v>3890</v>
      </c>
      <c r="G190" s="481" t="s">
        <v>674</v>
      </c>
      <c r="H190" s="485" t="s">
        <v>3411</v>
      </c>
      <c r="I190" s="481" t="s">
        <v>2483</v>
      </c>
      <c r="J190" s="481" t="s">
        <v>3055</v>
      </c>
      <c r="K190" s="481" t="s">
        <v>3055</v>
      </c>
    </row>
    <row r="191" spans="1:11" ht="45">
      <c r="A191" s="481" t="s">
        <v>32</v>
      </c>
      <c r="B191" s="481" t="s">
        <v>4352</v>
      </c>
      <c r="C191" s="479">
        <v>0.4680555555555555</v>
      </c>
      <c r="D191" s="481" t="s">
        <v>4353</v>
      </c>
      <c r="E191" s="479">
        <v>0.8930555555555556</v>
      </c>
      <c r="F191" s="481" t="s">
        <v>4354</v>
      </c>
      <c r="G191" s="481" t="s">
        <v>1352</v>
      </c>
      <c r="H191" s="485" t="s">
        <v>3478</v>
      </c>
      <c r="I191" s="481" t="s">
        <v>22</v>
      </c>
      <c r="J191" s="481" t="s">
        <v>45</v>
      </c>
      <c r="K191" s="481" t="s">
        <v>45</v>
      </c>
    </row>
    <row r="192" spans="1:11" ht="45">
      <c r="A192" s="481" t="s">
        <v>32</v>
      </c>
      <c r="B192" s="481" t="s">
        <v>4352</v>
      </c>
      <c r="C192" s="479">
        <v>0.3444444444444445</v>
      </c>
      <c r="D192" s="481" t="s">
        <v>4352</v>
      </c>
      <c r="E192" s="479">
        <v>0.38541666666666669</v>
      </c>
      <c r="F192" s="481" t="s">
        <v>4355</v>
      </c>
      <c r="G192" s="481" t="s">
        <v>124</v>
      </c>
      <c r="H192" s="485" t="s">
        <v>3387</v>
      </c>
      <c r="I192" s="481" t="s">
        <v>2764</v>
      </c>
      <c r="J192" s="481" t="s">
        <v>3055</v>
      </c>
      <c r="K192" s="481" t="s">
        <v>3055</v>
      </c>
    </row>
    <row r="193" spans="1:11" ht="67.5">
      <c r="A193" s="481" t="s">
        <v>32</v>
      </c>
      <c r="B193" s="481" t="s">
        <v>4352</v>
      </c>
      <c r="C193" s="479">
        <v>0</v>
      </c>
      <c r="D193" s="481" t="s">
        <v>4352</v>
      </c>
      <c r="E193" s="479">
        <v>6.9444444444444447E-4</v>
      </c>
      <c r="F193" s="481" t="s">
        <v>4356</v>
      </c>
      <c r="G193" s="481" t="s">
        <v>1352</v>
      </c>
      <c r="H193" s="485" t="s">
        <v>4043</v>
      </c>
      <c r="I193" s="481" t="s">
        <v>22</v>
      </c>
      <c r="J193" s="481" t="s">
        <v>45</v>
      </c>
      <c r="K193" s="481" t="s">
        <v>45</v>
      </c>
    </row>
    <row r="194" spans="1:11" ht="67.5">
      <c r="A194" s="481" t="s">
        <v>32</v>
      </c>
      <c r="B194" s="481" t="s">
        <v>4357</v>
      </c>
      <c r="C194" s="479">
        <v>0.82152777777777775</v>
      </c>
      <c r="D194" s="481" t="s">
        <v>4357</v>
      </c>
      <c r="E194" s="479">
        <v>0.93541666666666667</v>
      </c>
      <c r="F194" s="481" t="s">
        <v>4358</v>
      </c>
      <c r="G194" s="481" t="s">
        <v>63</v>
      </c>
      <c r="H194" s="485" t="s">
        <v>3411</v>
      </c>
      <c r="I194" s="481" t="s">
        <v>2483</v>
      </c>
      <c r="J194" s="481" t="s">
        <v>3055</v>
      </c>
      <c r="K194" s="481" t="s">
        <v>3055</v>
      </c>
    </row>
    <row r="195" spans="1:11" ht="33.75">
      <c r="A195" s="481" t="s">
        <v>32</v>
      </c>
      <c r="B195" s="481" t="s">
        <v>4359</v>
      </c>
      <c r="C195" s="479">
        <v>0.33333333333333331</v>
      </c>
      <c r="D195" s="481" t="s">
        <v>4359</v>
      </c>
      <c r="E195" s="479">
        <v>0.54166666666666663</v>
      </c>
      <c r="F195" s="481" t="s">
        <v>4360</v>
      </c>
      <c r="G195" s="481" t="s">
        <v>1352</v>
      </c>
      <c r="H195" s="485" t="s">
        <v>3356</v>
      </c>
      <c r="I195" s="481" t="s">
        <v>100</v>
      </c>
      <c r="J195" s="481" t="s">
        <v>3055</v>
      </c>
      <c r="K195" s="481" t="s">
        <v>3055</v>
      </c>
    </row>
    <row r="196" spans="1:11" ht="33.75">
      <c r="A196" s="481" t="s">
        <v>32</v>
      </c>
      <c r="B196" s="481" t="s">
        <v>4359</v>
      </c>
      <c r="C196" s="479">
        <v>0.96875</v>
      </c>
      <c r="D196" s="481" t="s">
        <v>4361</v>
      </c>
      <c r="E196" s="479">
        <v>0.29166666666666669</v>
      </c>
      <c r="F196" s="481" t="s">
        <v>2832</v>
      </c>
      <c r="G196" s="481" t="s">
        <v>63</v>
      </c>
      <c r="H196" s="485" t="s">
        <v>3451</v>
      </c>
      <c r="I196" s="481" t="s">
        <v>22</v>
      </c>
      <c r="J196" s="481" t="s">
        <v>45</v>
      </c>
      <c r="K196" s="481" t="s">
        <v>3817</v>
      </c>
    </row>
    <row r="197" spans="1:11" ht="45">
      <c r="A197" s="481" t="s">
        <v>32</v>
      </c>
      <c r="B197" s="481" t="s">
        <v>4359</v>
      </c>
      <c r="C197" s="479">
        <v>0.95972222222222225</v>
      </c>
      <c r="D197" s="481" t="s">
        <v>45</v>
      </c>
      <c r="E197" s="479" t="s">
        <v>45</v>
      </c>
      <c r="F197" s="481" t="s">
        <v>2928</v>
      </c>
      <c r="G197" s="481" t="s">
        <v>63</v>
      </c>
      <c r="H197" s="485" t="s">
        <v>4362</v>
      </c>
      <c r="I197" s="481" t="s">
        <v>22</v>
      </c>
      <c r="J197" s="481" t="s">
        <v>45</v>
      </c>
      <c r="K197" s="481" t="s">
        <v>45</v>
      </c>
    </row>
    <row r="198" spans="1:11" ht="67.5">
      <c r="A198" s="481" t="s">
        <v>32</v>
      </c>
      <c r="B198" s="481" t="s">
        <v>4363</v>
      </c>
      <c r="C198" s="479">
        <v>0.5</v>
      </c>
      <c r="D198" s="481" t="s">
        <v>4364</v>
      </c>
      <c r="E198" s="479">
        <v>0.25</v>
      </c>
      <c r="F198" s="481" t="s">
        <v>4365</v>
      </c>
      <c r="G198" s="481" t="s">
        <v>61</v>
      </c>
      <c r="H198" s="485" t="s">
        <v>3451</v>
      </c>
      <c r="I198" s="481" t="s">
        <v>22</v>
      </c>
      <c r="J198" s="481" t="s">
        <v>45</v>
      </c>
      <c r="K198" s="481" t="s">
        <v>3058</v>
      </c>
    </row>
    <row r="199" spans="1:11" ht="33.75">
      <c r="A199" s="481" t="s">
        <v>32</v>
      </c>
      <c r="B199" s="481" t="s">
        <v>4363</v>
      </c>
      <c r="C199" s="479">
        <v>0.54166666666666663</v>
      </c>
      <c r="D199" s="481" t="s">
        <v>4363</v>
      </c>
      <c r="E199" s="479">
        <v>0.99930555555555556</v>
      </c>
      <c r="F199" s="481" t="s">
        <v>4366</v>
      </c>
      <c r="G199" s="481" t="s">
        <v>61</v>
      </c>
      <c r="H199" s="485" t="s">
        <v>3451</v>
      </c>
      <c r="I199" s="481" t="s">
        <v>22</v>
      </c>
      <c r="J199" s="481" t="s">
        <v>4367</v>
      </c>
      <c r="K199" s="481" t="s">
        <v>3209</v>
      </c>
    </row>
    <row r="200" spans="1:11" ht="33.75">
      <c r="A200" s="481" t="s">
        <v>32</v>
      </c>
      <c r="B200" s="481" t="s">
        <v>4363</v>
      </c>
      <c r="C200" s="479">
        <v>0.47222222222222227</v>
      </c>
      <c r="D200" s="481" t="s">
        <v>4364</v>
      </c>
      <c r="E200" s="479">
        <v>0.4548611111111111</v>
      </c>
      <c r="F200" s="481" t="s">
        <v>2833</v>
      </c>
      <c r="G200" s="481" t="s">
        <v>3143</v>
      </c>
      <c r="H200" s="485" t="s">
        <v>3451</v>
      </c>
      <c r="I200" s="481" t="s">
        <v>22</v>
      </c>
      <c r="J200" s="481" t="s">
        <v>3880</v>
      </c>
      <c r="K200" s="481" t="s">
        <v>4368</v>
      </c>
    </row>
    <row r="201" spans="1:11" ht="33.75">
      <c r="A201" s="481" t="s">
        <v>32</v>
      </c>
      <c r="B201" s="481" t="s">
        <v>4363</v>
      </c>
      <c r="C201" s="479">
        <v>0.375</v>
      </c>
      <c r="D201" s="481" t="s">
        <v>4369</v>
      </c>
      <c r="E201" s="479">
        <v>0.75</v>
      </c>
      <c r="F201" s="481" t="s">
        <v>2830</v>
      </c>
      <c r="G201" s="481" t="s">
        <v>3143</v>
      </c>
      <c r="H201" s="485" t="s">
        <v>3451</v>
      </c>
      <c r="I201" s="481" t="s">
        <v>22</v>
      </c>
      <c r="J201" s="481" t="s">
        <v>45</v>
      </c>
      <c r="K201" s="481" t="s">
        <v>3462</v>
      </c>
    </row>
    <row r="202" spans="1:11" ht="33.75">
      <c r="A202" s="481" t="s">
        <v>32</v>
      </c>
      <c r="B202" s="481" t="s">
        <v>4363</v>
      </c>
      <c r="C202" s="479">
        <v>0.58333333333333337</v>
      </c>
      <c r="D202" s="481" t="s">
        <v>4370</v>
      </c>
      <c r="E202" s="479">
        <v>0.5</v>
      </c>
      <c r="F202" s="481" t="s">
        <v>4371</v>
      </c>
      <c r="G202" s="481" t="s">
        <v>61</v>
      </c>
      <c r="H202" s="485" t="s">
        <v>3451</v>
      </c>
      <c r="I202" s="481" t="s">
        <v>22</v>
      </c>
      <c r="J202" s="481" t="s">
        <v>45</v>
      </c>
      <c r="K202" s="481" t="s">
        <v>4372</v>
      </c>
    </row>
    <row r="203" spans="1:11" ht="33.75">
      <c r="A203" s="481" t="s">
        <v>32</v>
      </c>
      <c r="B203" s="481" t="s">
        <v>4363</v>
      </c>
      <c r="C203" s="479">
        <v>0.19513888888888889</v>
      </c>
      <c r="D203" s="481" t="s">
        <v>4369</v>
      </c>
      <c r="E203" s="479">
        <v>0.68472222222222223</v>
      </c>
      <c r="F203" s="481" t="s">
        <v>3325</v>
      </c>
      <c r="G203" s="481" t="s">
        <v>63</v>
      </c>
      <c r="H203" s="485" t="s">
        <v>3451</v>
      </c>
      <c r="I203" s="481" t="s">
        <v>22</v>
      </c>
      <c r="J203" s="481" t="s">
        <v>45</v>
      </c>
      <c r="K203" s="481" t="s">
        <v>4373</v>
      </c>
    </row>
    <row r="204" spans="1:11" ht="33.75">
      <c r="A204" s="481" t="s">
        <v>32</v>
      </c>
      <c r="B204" s="481" t="s">
        <v>4363</v>
      </c>
      <c r="C204" s="479">
        <v>0.51250000000000007</v>
      </c>
      <c r="D204" s="481" t="s">
        <v>4370</v>
      </c>
      <c r="E204" s="479">
        <v>0.72986111111111107</v>
      </c>
      <c r="F204" s="481" t="s">
        <v>2833</v>
      </c>
      <c r="G204" s="481" t="s">
        <v>3143</v>
      </c>
      <c r="H204" s="485" t="s">
        <v>3451</v>
      </c>
      <c r="I204" s="481" t="s">
        <v>22</v>
      </c>
      <c r="J204" s="481" t="s">
        <v>45</v>
      </c>
      <c r="K204" s="481" t="s">
        <v>4374</v>
      </c>
    </row>
    <row r="205" spans="1:11" ht="33.75">
      <c r="A205" s="481" t="s">
        <v>32</v>
      </c>
      <c r="B205" s="481" t="s">
        <v>4363</v>
      </c>
      <c r="C205" s="479">
        <v>0.60763888888888895</v>
      </c>
      <c r="D205" s="481" t="s">
        <v>4353</v>
      </c>
      <c r="E205" s="479">
        <v>0.45833333333333331</v>
      </c>
      <c r="F205" s="481" t="s">
        <v>3719</v>
      </c>
      <c r="G205" s="481" t="s">
        <v>61</v>
      </c>
      <c r="H205" s="485" t="s">
        <v>3451</v>
      </c>
      <c r="I205" s="481" t="s">
        <v>22</v>
      </c>
      <c r="J205" s="481" t="s">
        <v>45</v>
      </c>
      <c r="K205" s="481" t="s">
        <v>4375</v>
      </c>
    </row>
    <row r="206" spans="1:11" ht="45">
      <c r="A206" s="481" t="s">
        <v>32</v>
      </c>
      <c r="B206" s="481" t="s">
        <v>4363</v>
      </c>
      <c r="C206" s="479">
        <v>0.63541666666666663</v>
      </c>
      <c r="D206" s="481" t="s">
        <v>4364</v>
      </c>
      <c r="E206" s="479">
        <v>0.43541666666666662</v>
      </c>
      <c r="F206" s="481" t="s">
        <v>3139</v>
      </c>
      <c r="G206" s="481" t="s">
        <v>61</v>
      </c>
      <c r="H206" s="485" t="s">
        <v>3451</v>
      </c>
      <c r="I206" s="481" t="s">
        <v>22</v>
      </c>
      <c r="J206" s="481" t="s">
        <v>3944</v>
      </c>
      <c r="K206" s="481" t="s">
        <v>4376</v>
      </c>
    </row>
    <row r="207" spans="1:11" ht="56.25">
      <c r="A207" s="481" t="s">
        <v>32</v>
      </c>
      <c r="B207" s="481" t="s">
        <v>4363</v>
      </c>
      <c r="C207" s="479">
        <v>0.56319444444444444</v>
      </c>
      <c r="D207" s="481" t="s">
        <v>45</v>
      </c>
      <c r="E207" s="479" t="s">
        <v>45</v>
      </c>
      <c r="F207" s="481" t="s">
        <v>4377</v>
      </c>
      <c r="G207" s="481" t="s">
        <v>61</v>
      </c>
      <c r="H207" s="485" t="s">
        <v>3451</v>
      </c>
      <c r="I207" s="481" t="s">
        <v>22</v>
      </c>
      <c r="J207" s="481" t="s">
        <v>45</v>
      </c>
      <c r="K207" s="481" t="s">
        <v>4378</v>
      </c>
    </row>
    <row r="208" spans="1:11" ht="112.5">
      <c r="A208" s="481" t="s">
        <v>32</v>
      </c>
      <c r="B208" s="481" t="s">
        <v>4363</v>
      </c>
      <c r="C208" s="479">
        <v>0.25069444444444444</v>
      </c>
      <c r="D208" s="481" t="s">
        <v>4361</v>
      </c>
      <c r="E208" s="479">
        <v>0.64583333333333337</v>
      </c>
      <c r="F208" s="481" t="s">
        <v>4379</v>
      </c>
      <c r="G208" s="481" t="s">
        <v>63</v>
      </c>
      <c r="H208" s="485" t="s">
        <v>3451</v>
      </c>
      <c r="I208" s="481" t="s">
        <v>22</v>
      </c>
      <c r="J208" s="481" t="s">
        <v>4380</v>
      </c>
      <c r="K208" s="481" t="s">
        <v>4381</v>
      </c>
    </row>
    <row r="209" spans="1:11" ht="67.5">
      <c r="A209" s="481" t="s">
        <v>32</v>
      </c>
      <c r="B209" s="481" t="s">
        <v>4363</v>
      </c>
      <c r="C209" s="479">
        <v>0.5</v>
      </c>
      <c r="D209" s="481" t="s">
        <v>45</v>
      </c>
      <c r="E209" s="479" t="s">
        <v>45</v>
      </c>
      <c r="F209" s="481" t="s">
        <v>4237</v>
      </c>
      <c r="G209" s="481" t="s">
        <v>3143</v>
      </c>
      <c r="H209" s="485" t="s">
        <v>3451</v>
      </c>
      <c r="I209" s="481" t="s">
        <v>22</v>
      </c>
      <c r="J209" s="481" t="s">
        <v>45</v>
      </c>
      <c r="K209" s="481" t="s">
        <v>4382</v>
      </c>
    </row>
    <row r="210" spans="1:11" ht="33.75">
      <c r="A210" s="481" t="s">
        <v>32</v>
      </c>
      <c r="B210" s="481" t="s">
        <v>4363</v>
      </c>
      <c r="C210" s="479">
        <v>0.4375</v>
      </c>
      <c r="D210" s="481" t="s">
        <v>45</v>
      </c>
      <c r="E210" s="479" t="s">
        <v>45</v>
      </c>
      <c r="F210" s="481" t="s">
        <v>2833</v>
      </c>
      <c r="G210" s="481" t="s">
        <v>3143</v>
      </c>
      <c r="H210" s="485" t="s">
        <v>3451</v>
      </c>
      <c r="I210" s="481" t="s">
        <v>22</v>
      </c>
      <c r="J210" s="481" t="s">
        <v>45</v>
      </c>
      <c r="K210" s="481" t="s">
        <v>3340</v>
      </c>
    </row>
    <row r="211" spans="1:11" ht="33.75">
      <c r="A211" s="481" t="s">
        <v>32</v>
      </c>
      <c r="B211" s="481" t="s">
        <v>4363</v>
      </c>
      <c r="C211" s="479">
        <v>0.60763888888888895</v>
      </c>
      <c r="D211" s="481" t="s">
        <v>45</v>
      </c>
      <c r="E211" s="479" t="s">
        <v>45</v>
      </c>
      <c r="F211" s="481" t="s">
        <v>2868</v>
      </c>
      <c r="G211" s="481" t="s">
        <v>61</v>
      </c>
      <c r="H211" s="485" t="s">
        <v>3451</v>
      </c>
      <c r="I211" s="481" t="s">
        <v>22</v>
      </c>
      <c r="J211" s="481" t="s">
        <v>45</v>
      </c>
      <c r="K211" s="481" t="s">
        <v>4375</v>
      </c>
    </row>
    <row r="212" spans="1:11" ht="67.5">
      <c r="A212" s="481" t="s">
        <v>32</v>
      </c>
      <c r="B212" s="481" t="s">
        <v>4369</v>
      </c>
      <c r="C212" s="479">
        <v>0.74861111111111101</v>
      </c>
      <c r="D212" s="481" t="s">
        <v>4369</v>
      </c>
      <c r="E212" s="479">
        <v>0.87013888888888891</v>
      </c>
      <c r="F212" s="481" t="s">
        <v>4383</v>
      </c>
      <c r="G212" s="481" t="s">
        <v>1352</v>
      </c>
      <c r="H212" s="485" t="s">
        <v>3411</v>
      </c>
      <c r="I212" s="481" t="s">
        <v>2483</v>
      </c>
      <c r="J212" s="481" t="s">
        <v>4384</v>
      </c>
      <c r="K212" s="481" t="s">
        <v>4385</v>
      </c>
    </row>
    <row r="213" spans="1:11" ht="45">
      <c r="A213" s="481" t="s">
        <v>32</v>
      </c>
      <c r="B213" s="481" t="s">
        <v>4364</v>
      </c>
      <c r="C213" s="479">
        <v>0.21736111111111112</v>
      </c>
      <c r="D213" s="481" t="s">
        <v>45</v>
      </c>
      <c r="E213" s="479" t="s">
        <v>45</v>
      </c>
      <c r="F213" s="481" t="s">
        <v>4386</v>
      </c>
      <c r="G213" s="481" t="s">
        <v>61</v>
      </c>
      <c r="H213" s="485" t="s">
        <v>3910</v>
      </c>
      <c r="I213" s="481" t="s">
        <v>22</v>
      </c>
      <c r="J213" s="481" t="s">
        <v>3198</v>
      </c>
      <c r="K213" s="481" t="s">
        <v>4387</v>
      </c>
    </row>
    <row r="214" spans="1:11" ht="168.75">
      <c r="A214" s="481" t="s">
        <v>32</v>
      </c>
      <c r="B214" s="481" t="s">
        <v>4353</v>
      </c>
      <c r="C214" s="479">
        <v>0.45833333333333331</v>
      </c>
      <c r="D214" s="481" t="s">
        <v>4353</v>
      </c>
      <c r="E214" s="479">
        <v>0.66666666666666663</v>
      </c>
      <c r="F214" s="481" t="s">
        <v>4388</v>
      </c>
      <c r="G214" s="481" t="s">
        <v>674</v>
      </c>
      <c r="H214" s="485" t="s">
        <v>4389</v>
      </c>
      <c r="I214" s="481" t="s">
        <v>22</v>
      </c>
      <c r="J214" s="481" t="s">
        <v>4390</v>
      </c>
      <c r="K214" s="481" t="s">
        <v>45</v>
      </c>
    </row>
    <row r="215" spans="1:11" ht="33.75">
      <c r="A215" s="481" t="s">
        <v>32</v>
      </c>
      <c r="B215" s="481" t="s">
        <v>4353</v>
      </c>
      <c r="C215" s="479">
        <v>0.66666666666666663</v>
      </c>
      <c r="D215" s="481" t="s">
        <v>4391</v>
      </c>
      <c r="E215" s="479">
        <v>0.625</v>
      </c>
      <c r="F215" s="481" t="s">
        <v>4392</v>
      </c>
      <c r="G215" s="481" t="s">
        <v>63</v>
      </c>
      <c r="H215" s="485" t="s">
        <v>3451</v>
      </c>
      <c r="I215" s="481" t="s">
        <v>22</v>
      </c>
      <c r="J215" s="481" t="s">
        <v>45</v>
      </c>
      <c r="K215" s="481" t="s">
        <v>4393</v>
      </c>
    </row>
    <row r="216" spans="1:11" ht="45">
      <c r="A216" s="481" t="s">
        <v>32</v>
      </c>
      <c r="B216" s="481" t="s">
        <v>4353</v>
      </c>
      <c r="C216" s="479">
        <v>0.53402777777777777</v>
      </c>
      <c r="D216" s="481" t="s">
        <v>45</v>
      </c>
      <c r="E216" s="479" t="s">
        <v>45</v>
      </c>
      <c r="F216" s="481" t="s">
        <v>4394</v>
      </c>
      <c r="G216" s="481" t="s">
        <v>674</v>
      </c>
      <c r="H216" s="485" t="s">
        <v>4362</v>
      </c>
      <c r="I216" s="481" t="s">
        <v>22</v>
      </c>
      <c r="J216" s="481" t="s">
        <v>45</v>
      </c>
      <c r="K216" s="481" t="s">
        <v>45</v>
      </c>
    </row>
    <row r="217" spans="1:11" ht="33.75">
      <c r="A217" s="481" t="s">
        <v>32</v>
      </c>
      <c r="B217" s="481" t="s">
        <v>4353</v>
      </c>
      <c r="C217" s="479">
        <v>0.94374999999999998</v>
      </c>
      <c r="D217" s="481" t="s">
        <v>4391</v>
      </c>
      <c r="E217" s="479">
        <v>0.65833333333333333</v>
      </c>
      <c r="F217" s="481" t="s">
        <v>3561</v>
      </c>
      <c r="G217" s="481" t="s">
        <v>3143</v>
      </c>
      <c r="H217" s="485" t="s">
        <v>3451</v>
      </c>
      <c r="I217" s="481" t="s">
        <v>22</v>
      </c>
      <c r="J217" s="481" t="s">
        <v>45</v>
      </c>
      <c r="K217" s="481" t="s">
        <v>4395</v>
      </c>
    </row>
    <row r="218" spans="1:11" ht="78.75">
      <c r="A218" s="481" t="s">
        <v>32</v>
      </c>
      <c r="B218" s="481" t="s">
        <v>4353</v>
      </c>
      <c r="C218" s="479">
        <v>0.60416666666666663</v>
      </c>
      <c r="D218" s="481" t="s">
        <v>45</v>
      </c>
      <c r="E218" s="479" t="s">
        <v>45</v>
      </c>
      <c r="F218" s="481" t="s">
        <v>4396</v>
      </c>
      <c r="G218" s="481" t="s">
        <v>63</v>
      </c>
      <c r="H218" s="485" t="s">
        <v>3451</v>
      </c>
      <c r="I218" s="481" t="s">
        <v>22</v>
      </c>
      <c r="J218" s="481" t="s">
        <v>45</v>
      </c>
      <c r="K218" s="481" t="s">
        <v>4397</v>
      </c>
    </row>
    <row r="219" spans="1:11" ht="45">
      <c r="A219" s="481" t="s">
        <v>32</v>
      </c>
      <c r="B219" s="481" t="s">
        <v>4353</v>
      </c>
      <c r="C219" s="479">
        <v>0.93402777777777779</v>
      </c>
      <c r="D219" s="481" t="s">
        <v>4353</v>
      </c>
      <c r="E219" s="479">
        <v>0.95972222222222225</v>
      </c>
      <c r="F219" s="481" t="s">
        <v>4398</v>
      </c>
      <c r="G219" s="481" t="s">
        <v>61</v>
      </c>
      <c r="H219" s="485" t="s">
        <v>3387</v>
      </c>
      <c r="I219" s="481" t="s">
        <v>2764</v>
      </c>
      <c r="J219" s="481" t="s">
        <v>3055</v>
      </c>
      <c r="K219" s="481" t="s">
        <v>3055</v>
      </c>
    </row>
    <row r="220" spans="1:11" ht="45">
      <c r="A220" s="481" t="s">
        <v>32</v>
      </c>
      <c r="B220" s="481" t="s">
        <v>4353</v>
      </c>
      <c r="C220" s="479">
        <v>0.52638888888888891</v>
      </c>
      <c r="D220" s="481" t="s">
        <v>45</v>
      </c>
      <c r="E220" s="479" t="s">
        <v>45</v>
      </c>
      <c r="F220" s="481" t="s">
        <v>4394</v>
      </c>
      <c r="G220" s="481" t="s">
        <v>674</v>
      </c>
      <c r="H220" s="485" t="s">
        <v>3910</v>
      </c>
      <c r="I220" s="481" t="s">
        <v>22</v>
      </c>
      <c r="J220" s="481" t="s">
        <v>4399</v>
      </c>
      <c r="K220" s="481" t="s">
        <v>3297</v>
      </c>
    </row>
    <row r="221" spans="1:11" ht="78.75">
      <c r="A221" s="481" t="s">
        <v>32</v>
      </c>
      <c r="B221" s="481" t="s">
        <v>4353</v>
      </c>
      <c r="C221" s="479">
        <v>0.41666666666666669</v>
      </c>
      <c r="D221" s="481" t="s">
        <v>45</v>
      </c>
      <c r="E221" s="479" t="s">
        <v>45</v>
      </c>
      <c r="F221" s="481" t="s">
        <v>4400</v>
      </c>
      <c r="G221" s="481" t="s">
        <v>674</v>
      </c>
      <c r="H221" s="485" t="s">
        <v>3451</v>
      </c>
      <c r="I221" s="481" t="s">
        <v>22</v>
      </c>
      <c r="J221" s="481" t="s">
        <v>4401</v>
      </c>
      <c r="K221" s="481" t="s">
        <v>3315</v>
      </c>
    </row>
    <row r="222" spans="1:11" ht="45">
      <c r="A222" s="481" t="s">
        <v>32</v>
      </c>
      <c r="B222" s="481" t="s">
        <v>4391</v>
      </c>
      <c r="C222" s="479">
        <v>0.57708333333333328</v>
      </c>
      <c r="D222" s="481" t="s">
        <v>4391</v>
      </c>
      <c r="E222" s="479">
        <v>0.68541666666666667</v>
      </c>
      <c r="F222" s="481" t="s">
        <v>4402</v>
      </c>
      <c r="G222" s="481" t="s">
        <v>1352</v>
      </c>
      <c r="H222" s="485" t="s">
        <v>3750</v>
      </c>
      <c r="I222" s="481" t="s">
        <v>2764</v>
      </c>
      <c r="J222" s="481" t="s">
        <v>4403</v>
      </c>
      <c r="K222" s="481" t="s">
        <v>4404</v>
      </c>
    </row>
    <row r="223" spans="1:11" ht="45">
      <c r="A223" s="481" t="s">
        <v>32</v>
      </c>
      <c r="B223" s="481" t="s">
        <v>4405</v>
      </c>
      <c r="C223" s="479">
        <v>0.77500000000000002</v>
      </c>
      <c r="D223" s="481" t="s">
        <v>4405</v>
      </c>
      <c r="E223" s="479">
        <v>0.86249999999999993</v>
      </c>
      <c r="F223" s="481" t="s">
        <v>2945</v>
      </c>
      <c r="G223" s="481" t="s">
        <v>124</v>
      </c>
      <c r="H223" s="485" t="s">
        <v>3750</v>
      </c>
      <c r="I223" s="481" t="s">
        <v>2764</v>
      </c>
      <c r="J223" s="481" t="s">
        <v>4406</v>
      </c>
      <c r="K223" s="481" t="s">
        <v>4407</v>
      </c>
    </row>
    <row r="224" spans="1:11" ht="67.5">
      <c r="A224" s="481" t="s">
        <v>32</v>
      </c>
      <c r="B224" s="481" t="s">
        <v>4405</v>
      </c>
      <c r="C224" s="479">
        <v>0.69374999999999998</v>
      </c>
      <c r="D224" s="481" t="s">
        <v>4405</v>
      </c>
      <c r="E224" s="479">
        <v>0.73749999999999993</v>
      </c>
      <c r="F224" s="481" t="s">
        <v>4408</v>
      </c>
      <c r="G224" s="481" t="s">
        <v>63</v>
      </c>
      <c r="H224" s="485" t="s">
        <v>3411</v>
      </c>
      <c r="I224" s="481" t="s">
        <v>2483</v>
      </c>
      <c r="J224" s="481" t="s">
        <v>4409</v>
      </c>
      <c r="K224" s="481" t="s">
        <v>4410</v>
      </c>
    </row>
    <row r="225" spans="1:11" ht="45">
      <c r="A225" s="481" t="s">
        <v>32</v>
      </c>
      <c r="B225" s="481" t="s">
        <v>4405</v>
      </c>
      <c r="C225" s="479">
        <v>0.71875</v>
      </c>
      <c r="D225" s="481" t="s">
        <v>4411</v>
      </c>
      <c r="E225" s="479">
        <v>0.875</v>
      </c>
      <c r="F225" s="481" t="s">
        <v>2945</v>
      </c>
      <c r="G225" s="481" t="s">
        <v>124</v>
      </c>
      <c r="H225" s="485" t="s">
        <v>3750</v>
      </c>
      <c r="I225" s="481" t="s">
        <v>22</v>
      </c>
      <c r="J225" s="481" t="s">
        <v>4412</v>
      </c>
      <c r="K225" s="481" t="s">
        <v>45</v>
      </c>
    </row>
    <row r="226" spans="1:11" ht="78.75">
      <c r="A226" s="481" t="s">
        <v>32</v>
      </c>
      <c r="B226" s="481" t="s">
        <v>4405</v>
      </c>
      <c r="C226" s="479">
        <v>0.78125</v>
      </c>
      <c r="D226" s="481" t="s">
        <v>4405</v>
      </c>
      <c r="E226" s="479">
        <v>0.8833333333333333</v>
      </c>
      <c r="F226" s="481" t="s">
        <v>4413</v>
      </c>
      <c r="G226" s="481" t="s">
        <v>124</v>
      </c>
      <c r="H226" s="485" t="s">
        <v>3750</v>
      </c>
      <c r="I226" s="481" t="s">
        <v>2764</v>
      </c>
      <c r="J226" s="481" t="s">
        <v>4414</v>
      </c>
      <c r="K226" s="481" t="s">
        <v>3679</v>
      </c>
    </row>
    <row r="227" spans="1:11" ht="45">
      <c r="A227" s="481" t="s">
        <v>32</v>
      </c>
      <c r="B227" s="481" t="s">
        <v>4405</v>
      </c>
      <c r="C227" s="479">
        <v>0.83333333333333337</v>
      </c>
      <c r="D227" s="481" t="s">
        <v>4415</v>
      </c>
      <c r="E227" s="479">
        <v>0.70833333333333337</v>
      </c>
      <c r="F227" s="481" t="s">
        <v>4416</v>
      </c>
      <c r="G227" s="481" t="s">
        <v>674</v>
      </c>
      <c r="H227" s="485" t="s">
        <v>3451</v>
      </c>
      <c r="I227" s="481" t="s">
        <v>22</v>
      </c>
      <c r="J227" s="481" t="s">
        <v>45</v>
      </c>
      <c r="K227" s="481" t="s">
        <v>3237</v>
      </c>
    </row>
    <row r="228" spans="1:11" ht="45">
      <c r="A228" s="481" t="s">
        <v>32</v>
      </c>
      <c r="B228" s="481" t="s">
        <v>4411</v>
      </c>
      <c r="C228" s="479">
        <v>0.76736111111111116</v>
      </c>
      <c r="D228" s="481" t="s">
        <v>4411</v>
      </c>
      <c r="E228" s="479">
        <v>0.8222222222222223</v>
      </c>
      <c r="F228" s="481" t="s">
        <v>2945</v>
      </c>
      <c r="G228" s="481" t="s">
        <v>124</v>
      </c>
      <c r="H228" s="485" t="s">
        <v>3750</v>
      </c>
      <c r="I228" s="481" t="s">
        <v>2764</v>
      </c>
      <c r="J228" s="481" t="s">
        <v>4417</v>
      </c>
      <c r="K228" s="481" t="s">
        <v>4407</v>
      </c>
    </row>
    <row r="229" spans="1:11" ht="45">
      <c r="A229" s="481" t="s">
        <v>32</v>
      </c>
      <c r="B229" s="481" t="s">
        <v>4411</v>
      </c>
      <c r="C229" s="479">
        <v>0.62013888888888891</v>
      </c>
      <c r="D229" s="481" t="s">
        <v>4411</v>
      </c>
      <c r="E229" s="479">
        <v>0.83333333333333337</v>
      </c>
      <c r="F229" s="481" t="s">
        <v>2945</v>
      </c>
      <c r="G229" s="481" t="s">
        <v>124</v>
      </c>
      <c r="H229" s="485" t="s">
        <v>3750</v>
      </c>
      <c r="I229" s="481" t="s">
        <v>22</v>
      </c>
      <c r="J229" s="481" t="s">
        <v>4418</v>
      </c>
      <c r="K229" s="481" t="s">
        <v>45</v>
      </c>
    </row>
    <row r="230" spans="1:11" ht="67.5">
      <c r="A230" s="481" t="s">
        <v>32</v>
      </c>
      <c r="B230" s="481" t="s">
        <v>4411</v>
      </c>
      <c r="C230" s="479">
        <v>0.625</v>
      </c>
      <c r="D230" s="481" t="s">
        <v>4411</v>
      </c>
      <c r="E230" s="479">
        <v>0.82291666666666663</v>
      </c>
      <c r="F230" s="481" t="s">
        <v>4419</v>
      </c>
      <c r="G230" s="481" t="s">
        <v>124</v>
      </c>
      <c r="H230" s="485" t="s">
        <v>3750</v>
      </c>
      <c r="I230" s="481" t="s">
        <v>2764</v>
      </c>
      <c r="J230" s="481" t="s">
        <v>3110</v>
      </c>
      <c r="K230" s="481" t="s">
        <v>3340</v>
      </c>
    </row>
    <row r="231" spans="1:11" ht="67.5">
      <c r="A231" s="481" t="s">
        <v>32</v>
      </c>
      <c r="B231" s="481" t="s">
        <v>4411</v>
      </c>
      <c r="C231" s="479">
        <v>0.70833333333333337</v>
      </c>
      <c r="D231" s="481" t="s">
        <v>45</v>
      </c>
      <c r="E231" s="479" t="s">
        <v>45</v>
      </c>
      <c r="F231" s="481" t="s">
        <v>2813</v>
      </c>
      <c r="G231" s="481" t="s">
        <v>124</v>
      </c>
      <c r="H231" s="485" t="s">
        <v>3463</v>
      </c>
      <c r="I231" s="481" t="s">
        <v>100</v>
      </c>
      <c r="J231" s="481" t="s">
        <v>3055</v>
      </c>
      <c r="K231" s="481" t="s">
        <v>3643</v>
      </c>
    </row>
    <row r="232" spans="1:11" ht="78.75">
      <c r="A232" s="481" t="s">
        <v>32</v>
      </c>
      <c r="B232" s="481" t="s">
        <v>4411</v>
      </c>
      <c r="C232" s="479">
        <v>0.7368055555555556</v>
      </c>
      <c r="D232" s="481" t="s">
        <v>4411</v>
      </c>
      <c r="E232" s="479">
        <v>0.78333333333333333</v>
      </c>
      <c r="F232" s="481" t="s">
        <v>3179</v>
      </c>
      <c r="G232" s="481" t="s">
        <v>61</v>
      </c>
      <c r="H232" s="485" t="s">
        <v>3402</v>
      </c>
      <c r="I232" s="481" t="s">
        <v>2118</v>
      </c>
      <c r="J232" s="481" t="s">
        <v>3055</v>
      </c>
      <c r="K232" s="481" t="s">
        <v>3055</v>
      </c>
    </row>
    <row r="233" spans="1:11" ht="90">
      <c r="A233" s="481" t="s">
        <v>32</v>
      </c>
      <c r="B233" s="481" t="s">
        <v>4415</v>
      </c>
      <c r="C233" s="479">
        <v>0.83333333333333337</v>
      </c>
      <c r="D233" s="481" t="s">
        <v>4420</v>
      </c>
      <c r="E233" s="479">
        <v>0.875</v>
      </c>
      <c r="F233" s="481" t="s">
        <v>4421</v>
      </c>
      <c r="G233" s="481" t="s">
        <v>1352</v>
      </c>
      <c r="H233" s="485" t="s">
        <v>3451</v>
      </c>
      <c r="I233" s="481" t="s">
        <v>22</v>
      </c>
      <c r="J233" s="481" t="s">
        <v>45</v>
      </c>
      <c r="K233" s="481" t="s">
        <v>3315</v>
      </c>
    </row>
    <row r="234" spans="1:11" ht="33.75">
      <c r="A234" s="481" t="s">
        <v>32</v>
      </c>
      <c r="B234" s="481" t="s">
        <v>4415</v>
      </c>
      <c r="C234" s="479">
        <v>0.15555555555555556</v>
      </c>
      <c r="D234" s="481" t="s">
        <v>4422</v>
      </c>
      <c r="E234" s="479">
        <v>0.59583333333333333</v>
      </c>
      <c r="F234" s="481" t="s">
        <v>2945</v>
      </c>
      <c r="G234" s="481" t="s">
        <v>124</v>
      </c>
      <c r="H234" s="485" t="s">
        <v>3451</v>
      </c>
      <c r="I234" s="481" t="s">
        <v>22</v>
      </c>
      <c r="J234" s="481" t="s">
        <v>4423</v>
      </c>
      <c r="K234" s="481" t="s">
        <v>4424</v>
      </c>
    </row>
    <row r="235" spans="1:11" ht="45">
      <c r="A235" s="481" t="s">
        <v>32</v>
      </c>
      <c r="B235" s="481" t="s">
        <v>4415</v>
      </c>
      <c r="C235" s="479">
        <v>0.72916666666666663</v>
      </c>
      <c r="D235" s="481" t="s">
        <v>4415</v>
      </c>
      <c r="E235" s="479">
        <v>0.79861111111111116</v>
      </c>
      <c r="F235" s="481" t="s">
        <v>2945</v>
      </c>
      <c r="G235" s="481" t="s">
        <v>124</v>
      </c>
      <c r="H235" s="485" t="s">
        <v>3478</v>
      </c>
      <c r="I235" s="481" t="s">
        <v>22</v>
      </c>
      <c r="J235" s="481" t="s">
        <v>4425</v>
      </c>
      <c r="K235" s="481" t="s">
        <v>45</v>
      </c>
    </row>
    <row r="236" spans="1:11" ht="67.5">
      <c r="A236" s="481" t="s">
        <v>32</v>
      </c>
      <c r="B236" s="481" t="s">
        <v>4422</v>
      </c>
      <c r="C236" s="479">
        <v>0.34791666666666665</v>
      </c>
      <c r="D236" s="481" t="s">
        <v>4422</v>
      </c>
      <c r="E236" s="479">
        <v>0.3756944444444445</v>
      </c>
      <c r="F236" s="481" t="s">
        <v>4426</v>
      </c>
      <c r="G236" s="481" t="s">
        <v>124</v>
      </c>
      <c r="H236" s="485" t="s">
        <v>4071</v>
      </c>
      <c r="I236" s="481" t="s">
        <v>22</v>
      </c>
      <c r="J236" s="481" t="s">
        <v>3082</v>
      </c>
      <c r="K236" s="481" t="s">
        <v>3082</v>
      </c>
    </row>
    <row r="237" spans="1:11" ht="45">
      <c r="A237" s="481" t="s">
        <v>32</v>
      </c>
      <c r="B237" s="481" t="s">
        <v>4422</v>
      </c>
      <c r="C237" s="479">
        <v>0.62847222222222221</v>
      </c>
      <c r="D237" s="481" t="s">
        <v>4422</v>
      </c>
      <c r="E237" s="479">
        <v>0.89166666666666661</v>
      </c>
      <c r="F237" s="481" t="s">
        <v>2945</v>
      </c>
      <c r="G237" s="481" t="s">
        <v>124</v>
      </c>
      <c r="H237" s="485" t="s">
        <v>3478</v>
      </c>
      <c r="I237" s="481" t="s">
        <v>22</v>
      </c>
      <c r="J237" s="481" t="s">
        <v>4427</v>
      </c>
      <c r="K237" s="481" t="s">
        <v>45</v>
      </c>
    </row>
    <row r="238" spans="1:11" ht="90">
      <c r="A238" s="481" t="s">
        <v>32</v>
      </c>
      <c r="B238" s="481" t="s">
        <v>4420</v>
      </c>
      <c r="C238" s="479">
        <v>0.79166666666666663</v>
      </c>
      <c r="D238" s="481" t="s">
        <v>4420</v>
      </c>
      <c r="E238" s="479">
        <v>0.8125</v>
      </c>
      <c r="F238" s="481" t="s">
        <v>4428</v>
      </c>
      <c r="G238" s="481" t="s">
        <v>124</v>
      </c>
      <c r="H238" s="485" t="s">
        <v>3874</v>
      </c>
      <c r="I238" s="481" t="s">
        <v>4429</v>
      </c>
      <c r="J238" s="481" t="s">
        <v>3055</v>
      </c>
      <c r="K238" s="481" t="s">
        <v>3055</v>
      </c>
    </row>
    <row r="239" spans="1:11" ht="45">
      <c r="A239" s="481" t="s">
        <v>32</v>
      </c>
      <c r="B239" s="481" t="s">
        <v>4420</v>
      </c>
      <c r="C239" s="479">
        <v>0.58333333333333337</v>
      </c>
      <c r="D239" s="481" t="s">
        <v>4420</v>
      </c>
      <c r="E239" s="479">
        <v>0.875</v>
      </c>
      <c r="F239" s="481" t="s">
        <v>4430</v>
      </c>
      <c r="G239" s="481" t="s">
        <v>124</v>
      </c>
      <c r="H239" s="485" t="s">
        <v>3478</v>
      </c>
      <c r="I239" s="481" t="s">
        <v>22</v>
      </c>
      <c r="J239" s="481" t="s">
        <v>4431</v>
      </c>
      <c r="K239" s="481" t="s">
        <v>4432</v>
      </c>
    </row>
    <row r="240" spans="1:11" ht="45">
      <c r="A240" s="481" t="s">
        <v>32</v>
      </c>
      <c r="B240" s="481" t="s">
        <v>4420</v>
      </c>
      <c r="C240" s="479">
        <v>0.91319444444444453</v>
      </c>
      <c r="D240" s="481" t="s">
        <v>4420</v>
      </c>
      <c r="E240" s="479">
        <v>0.92361111111111116</v>
      </c>
      <c r="F240" s="481" t="s">
        <v>2920</v>
      </c>
      <c r="G240" s="481" t="s">
        <v>124</v>
      </c>
      <c r="H240" s="485" t="s">
        <v>3447</v>
      </c>
      <c r="I240" s="481" t="s">
        <v>2764</v>
      </c>
      <c r="J240" s="481" t="s">
        <v>3055</v>
      </c>
      <c r="K240" s="481" t="s">
        <v>3055</v>
      </c>
    </row>
    <row r="241" spans="1:11" ht="45">
      <c r="A241" s="481" t="s">
        <v>32</v>
      </c>
      <c r="B241" s="481" t="s">
        <v>4420</v>
      </c>
      <c r="C241" s="479">
        <v>0.5625</v>
      </c>
      <c r="D241" s="481" t="s">
        <v>4420</v>
      </c>
      <c r="E241" s="479">
        <v>0.85416666666666663</v>
      </c>
      <c r="F241" s="481" t="s">
        <v>2945</v>
      </c>
      <c r="G241" s="481" t="s">
        <v>124</v>
      </c>
      <c r="H241" s="485" t="s">
        <v>3478</v>
      </c>
      <c r="I241" s="481" t="s">
        <v>22</v>
      </c>
      <c r="J241" s="481" t="s">
        <v>4433</v>
      </c>
      <c r="K241" s="481" t="s">
        <v>45</v>
      </c>
    </row>
    <row r="242" spans="1:11" ht="67.5">
      <c r="A242" s="481" t="s">
        <v>32</v>
      </c>
      <c r="B242" s="481" t="s">
        <v>4420</v>
      </c>
      <c r="C242" s="479">
        <v>0.61388888888888882</v>
      </c>
      <c r="D242" s="481" t="s">
        <v>4420</v>
      </c>
      <c r="E242" s="479">
        <v>0.63472222222222219</v>
      </c>
      <c r="F242" s="481" t="s">
        <v>4434</v>
      </c>
      <c r="G242" s="481" t="s">
        <v>1352</v>
      </c>
      <c r="H242" s="485" t="s">
        <v>3411</v>
      </c>
      <c r="I242" s="481" t="s">
        <v>2483</v>
      </c>
      <c r="J242" s="481" t="s">
        <v>4435</v>
      </c>
      <c r="K242" s="481" t="s">
        <v>4436</v>
      </c>
    </row>
    <row r="243" spans="1:11" ht="45">
      <c r="A243" s="481" t="s">
        <v>32</v>
      </c>
      <c r="B243" s="481" t="s">
        <v>4420</v>
      </c>
      <c r="C243" s="479">
        <v>0.60416666666666663</v>
      </c>
      <c r="D243" s="481" t="s">
        <v>45</v>
      </c>
      <c r="E243" s="479" t="s">
        <v>45</v>
      </c>
      <c r="F243" s="481" t="s">
        <v>3741</v>
      </c>
      <c r="G243" s="481" t="s">
        <v>124</v>
      </c>
      <c r="H243" s="485" t="s">
        <v>3478</v>
      </c>
      <c r="I243" s="481" t="s">
        <v>22</v>
      </c>
      <c r="J243" s="481" t="s">
        <v>3055</v>
      </c>
      <c r="K243" s="481" t="s">
        <v>45</v>
      </c>
    </row>
    <row r="244" spans="1:11" ht="67.5">
      <c r="A244" s="481" t="s">
        <v>32</v>
      </c>
      <c r="B244" s="481" t="s">
        <v>4437</v>
      </c>
      <c r="C244" s="479">
        <v>6.0416666666666667E-2</v>
      </c>
      <c r="D244" s="481" t="s">
        <v>4437</v>
      </c>
      <c r="E244" s="479">
        <v>0.12708333333333333</v>
      </c>
      <c r="F244" s="481" t="s">
        <v>4438</v>
      </c>
      <c r="G244" s="481" t="s">
        <v>3143</v>
      </c>
      <c r="H244" s="485" t="s">
        <v>3411</v>
      </c>
      <c r="I244" s="481" t="s">
        <v>2483</v>
      </c>
      <c r="J244" s="481" t="s">
        <v>4075</v>
      </c>
      <c r="K244" s="481" t="s">
        <v>4439</v>
      </c>
    </row>
    <row r="245" spans="1:11" ht="45">
      <c r="A245" s="481" t="s">
        <v>32</v>
      </c>
      <c r="B245" s="481" t="s">
        <v>4437</v>
      </c>
      <c r="C245" s="479">
        <v>0.58333333333333337</v>
      </c>
      <c r="D245" s="481" t="s">
        <v>4437</v>
      </c>
      <c r="E245" s="479">
        <v>0.875</v>
      </c>
      <c r="F245" s="481" t="s">
        <v>3424</v>
      </c>
      <c r="G245" s="481" t="s">
        <v>124</v>
      </c>
      <c r="H245" s="485" t="s">
        <v>3478</v>
      </c>
      <c r="I245" s="481" t="s">
        <v>22</v>
      </c>
      <c r="J245" s="481" t="s">
        <v>4440</v>
      </c>
      <c r="K245" s="481" t="s">
        <v>3055</v>
      </c>
    </row>
    <row r="246" spans="1:11" ht="45">
      <c r="A246" s="481" t="s">
        <v>32</v>
      </c>
      <c r="B246" s="481" t="s">
        <v>4437</v>
      </c>
      <c r="C246" s="479">
        <v>0.58333333333333337</v>
      </c>
      <c r="D246" s="481" t="s">
        <v>4437</v>
      </c>
      <c r="E246" s="479">
        <v>0.875</v>
      </c>
      <c r="F246" s="481" t="s">
        <v>4430</v>
      </c>
      <c r="G246" s="481" t="s">
        <v>124</v>
      </c>
      <c r="H246" s="485" t="s">
        <v>3478</v>
      </c>
      <c r="I246" s="481" t="s">
        <v>22</v>
      </c>
      <c r="J246" s="481" t="s">
        <v>4110</v>
      </c>
      <c r="K246" s="481" t="s">
        <v>4432</v>
      </c>
    </row>
    <row r="247" spans="1:11" ht="45">
      <c r="A247" s="481" t="s">
        <v>32</v>
      </c>
      <c r="B247" s="481" t="s">
        <v>4437</v>
      </c>
      <c r="C247" s="479">
        <v>0.5</v>
      </c>
      <c r="D247" s="481" t="s">
        <v>4437</v>
      </c>
      <c r="E247" s="479">
        <v>0.875</v>
      </c>
      <c r="F247" s="481" t="s">
        <v>2945</v>
      </c>
      <c r="G247" s="481" t="s">
        <v>124</v>
      </c>
      <c r="H247" s="485" t="s">
        <v>3478</v>
      </c>
      <c r="I247" s="481" t="s">
        <v>22</v>
      </c>
      <c r="J247" s="481" t="s">
        <v>45</v>
      </c>
      <c r="K247" s="481" t="s">
        <v>45</v>
      </c>
    </row>
    <row r="248" spans="1:11" ht="45">
      <c r="A248" s="481" t="s">
        <v>32</v>
      </c>
      <c r="B248" s="481" t="s">
        <v>4441</v>
      </c>
      <c r="C248" s="479">
        <v>2.0833333333333333E-3</v>
      </c>
      <c r="D248" s="481" t="s">
        <v>4441</v>
      </c>
      <c r="E248" s="479">
        <v>0.58680555555555558</v>
      </c>
      <c r="F248" s="481" t="s">
        <v>2959</v>
      </c>
      <c r="G248" s="481" t="s">
        <v>61</v>
      </c>
      <c r="H248" s="485" t="s">
        <v>3387</v>
      </c>
      <c r="I248" s="481" t="s">
        <v>2764</v>
      </c>
      <c r="J248" s="481" t="s">
        <v>3055</v>
      </c>
      <c r="K248" s="481" t="s">
        <v>3055</v>
      </c>
    </row>
    <row r="249" spans="1:11" ht="33.75">
      <c r="A249" s="481" t="s">
        <v>32</v>
      </c>
      <c r="B249" s="481" t="s">
        <v>4441</v>
      </c>
      <c r="C249" s="479">
        <v>0.38680555555555557</v>
      </c>
      <c r="D249" s="481" t="s">
        <v>4441</v>
      </c>
      <c r="E249" s="479">
        <v>0.5708333333333333</v>
      </c>
      <c r="F249" s="481" t="s">
        <v>4442</v>
      </c>
      <c r="G249" s="481" t="s">
        <v>63</v>
      </c>
      <c r="H249" s="485" t="s">
        <v>3356</v>
      </c>
      <c r="I249" s="481" t="s">
        <v>100</v>
      </c>
      <c r="J249" s="481" t="s">
        <v>3055</v>
      </c>
      <c r="K249" s="481" t="s">
        <v>3055</v>
      </c>
    </row>
    <row r="250" spans="1:11" ht="67.5">
      <c r="A250" s="481" t="s">
        <v>32</v>
      </c>
      <c r="B250" s="481" t="s">
        <v>4441</v>
      </c>
      <c r="C250" s="479">
        <v>0.64513888888888882</v>
      </c>
      <c r="D250" s="481" t="s">
        <v>4441</v>
      </c>
      <c r="E250" s="479">
        <v>0.65208333333333335</v>
      </c>
      <c r="F250" s="481" t="s">
        <v>4443</v>
      </c>
      <c r="G250" s="481" t="s">
        <v>674</v>
      </c>
      <c r="H250" s="485" t="s">
        <v>3411</v>
      </c>
      <c r="I250" s="481" t="s">
        <v>2483</v>
      </c>
      <c r="J250" s="481" t="s">
        <v>3880</v>
      </c>
      <c r="K250" s="481" t="s">
        <v>45</v>
      </c>
    </row>
    <row r="251" spans="1:11" ht="33.75">
      <c r="A251" s="481" t="s">
        <v>32</v>
      </c>
      <c r="B251" s="481" t="s">
        <v>4444</v>
      </c>
      <c r="C251" s="479">
        <v>0.92499999999999993</v>
      </c>
      <c r="D251" s="481" t="s">
        <v>4444</v>
      </c>
      <c r="E251" s="479">
        <v>0.92708333333333337</v>
      </c>
      <c r="F251" s="481" t="s">
        <v>4445</v>
      </c>
      <c r="G251" s="481" t="s">
        <v>3143</v>
      </c>
      <c r="H251" s="485" t="s">
        <v>3356</v>
      </c>
      <c r="I251" s="481" t="s">
        <v>2118</v>
      </c>
      <c r="J251" s="481" t="s">
        <v>3055</v>
      </c>
      <c r="K251" s="481" t="s">
        <v>3055</v>
      </c>
    </row>
    <row r="252" spans="1:11" ht="45">
      <c r="A252" s="481" t="s">
        <v>32</v>
      </c>
      <c r="B252" s="481" t="s">
        <v>4444</v>
      </c>
      <c r="C252" s="479">
        <v>0.4375</v>
      </c>
      <c r="D252" s="481" t="s">
        <v>45</v>
      </c>
      <c r="E252" s="479" t="s">
        <v>45</v>
      </c>
      <c r="F252" s="481" t="s">
        <v>4446</v>
      </c>
      <c r="G252" s="481" t="s">
        <v>1352</v>
      </c>
      <c r="H252" s="485" t="s">
        <v>3478</v>
      </c>
      <c r="I252" s="481" t="s">
        <v>22</v>
      </c>
      <c r="J252" s="481" t="s">
        <v>45</v>
      </c>
      <c r="K252" s="481" t="s">
        <v>45</v>
      </c>
    </row>
    <row r="253" spans="1:11" ht="78.75">
      <c r="A253" s="481" t="s">
        <v>32</v>
      </c>
      <c r="B253" s="481" t="s">
        <v>4447</v>
      </c>
      <c r="C253" s="479">
        <v>0.95833333333333337</v>
      </c>
      <c r="D253" s="481" t="s">
        <v>4447</v>
      </c>
      <c r="E253" s="479">
        <v>0.99930555555555556</v>
      </c>
      <c r="F253" s="481" t="s">
        <v>4448</v>
      </c>
      <c r="G253" s="481" t="s">
        <v>1352</v>
      </c>
      <c r="H253" s="485" t="s">
        <v>3402</v>
      </c>
      <c r="I253" s="481" t="s">
        <v>4429</v>
      </c>
      <c r="J253" s="481" t="s">
        <v>3055</v>
      </c>
      <c r="K253" s="481" t="s">
        <v>3055</v>
      </c>
    </row>
    <row r="254" spans="1:11" ht="90">
      <c r="A254" s="481" t="s">
        <v>32</v>
      </c>
      <c r="B254" s="481" t="s">
        <v>4449</v>
      </c>
      <c r="C254" s="479">
        <v>0.11319444444444444</v>
      </c>
      <c r="D254" s="481" t="s">
        <v>4449</v>
      </c>
      <c r="E254" s="479">
        <v>0.3215277777777778</v>
      </c>
      <c r="F254" s="481" t="s">
        <v>3701</v>
      </c>
      <c r="G254" s="481" t="s">
        <v>124</v>
      </c>
      <c r="H254" s="485" t="s">
        <v>3874</v>
      </c>
      <c r="I254" s="481" t="s">
        <v>100</v>
      </c>
      <c r="J254" s="481" t="s">
        <v>3055</v>
      </c>
      <c r="K254" s="481" t="s">
        <v>3055</v>
      </c>
    </row>
    <row r="255" spans="1:11" ht="33.75">
      <c r="A255" s="481" t="s">
        <v>32</v>
      </c>
      <c r="B255" s="481" t="s">
        <v>4450</v>
      </c>
      <c r="C255" s="479">
        <v>0.20833333333333334</v>
      </c>
      <c r="D255" s="481" t="s">
        <v>4451</v>
      </c>
      <c r="E255" s="479">
        <v>0.5</v>
      </c>
      <c r="F255" s="481" t="s">
        <v>2866</v>
      </c>
      <c r="G255" s="481" t="s">
        <v>63</v>
      </c>
      <c r="H255" s="485" t="s">
        <v>3451</v>
      </c>
      <c r="I255" s="481" t="s">
        <v>22</v>
      </c>
      <c r="J255" s="481" t="s">
        <v>3110</v>
      </c>
      <c r="K255" s="481" t="s">
        <v>3240</v>
      </c>
    </row>
    <row r="256" spans="1:11" ht="33.75">
      <c r="A256" s="481" t="s">
        <v>32</v>
      </c>
      <c r="B256" s="481" t="s">
        <v>4450</v>
      </c>
      <c r="C256" s="479">
        <v>0.29166666666666669</v>
      </c>
      <c r="D256" s="481" t="s">
        <v>4452</v>
      </c>
      <c r="E256" s="479">
        <v>0.79166666666666663</v>
      </c>
      <c r="F256" s="481" t="s">
        <v>3399</v>
      </c>
      <c r="G256" s="481" t="s">
        <v>63</v>
      </c>
      <c r="H256" s="485" t="s">
        <v>4453</v>
      </c>
      <c r="I256" s="481" t="s">
        <v>22</v>
      </c>
      <c r="J256" s="481" t="s">
        <v>4454</v>
      </c>
      <c r="K256" s="481" t="s">
        <v>45</v>
      </c>
    </row>
    <row r="257" spans="1:11" ht="45">
      <c r="A257" s="481" t="s">
        <v>32</v>
      </c>
      <c r="B257" s="481" t="s">
        <v>4450</v>
      </c>
      <c r="C257" s="479">
        <v>0.53055555555555556</v>
      </c>
      <c r="D257" s="481" t="s">
        <v>4450</v>
      </c>
      <c r="E257" s="479">
        <v>0.95833333333333337</v>
      </c>
      <c r="F257" s="481" t="s">
        <v>2919</v>
      </c>
      <c r="G257" s="481" t="s">
        <v>1352</v>
      </c>
      <c r="H257" s="485" t="s">
        <v>3478</v>
      </c>
      <c r="I257" s="481" t="s">
        <v>22</v>
      </c>
      <c r="J257" s="481" t="s">
        <v>45</v>
      </c>
      <c r="K257" s="481" t="s">
        <v>45</v>
      </c>
    </row>
    <row r="258" spans="1:11" ht="45">
      <c r="A258" s="481" t="s">
        <v>32</v>
      </c>
      <c r="B258" s="481" t="s">
        <v>4450</v>
      </c>
      <c r="C258" s="479">
        <v>0.50416666666666665</v>
      </c>
      <c r="D258" s="481" t="s">
        <v>4450</v>
      </c>
      <c r="E258" s="479">
        <v>0.9506944444444444</v>
      </c>
      <c r="F258" s="481" t="s">
        <v>2919</v>
      </c>
      <c r="G258" s="481" t="s">
        <v>1352</v>
      </c>
      <c r="H258" s="485" t="s">
        <v>3750</v>
      </c>
      <c r="I258" s="481" t="s">
        <v>22</v>
      </c>
      <c r="J258" s="481" t="s">
        <v>4455</v>
      </c>
      <c r="K258" s="481" t="s">
        <v>45</v>
      </c>
    </row>
    <row r="259" spans="1:11" ht="33.75">
      <c r="A259" s="481" t="s">
        <v>32</v>
      </c>
      <c r="B259" s="481" t="s">
        <v>4450</v>
      </c>
      <c r="C259" s="479">
        <v>0.31944444444444448</v>
      </c>
      <c r="D259" s="481" t="s">
        <v>4456</v>
      </c>
      <c r="E259" s="479">
        <v>0.31944444444444448</v>
      </c>
      <c r="F259" s="481" t="s">
        <v>3767</v>
      </c>
      <c r="G259" s="481" t="s">
        <v>63</v>
      </c>
      <c r="H259" s="485" t="s">
        <v>3451</v>
      </c>
      <c r="I259" s="481" t="s">
        <v>22</v>
      </c>
      <c r="J259" s="481" t="s">
        <v>45</v>
      </c>
      <c r="K259" s="481" t="s">
        <v>4098</v>
      </c>
    </row>
    <row r="260" spans="1:11" ht="33.75">
      <c r="A260" s="481" t="s">
        <v>32</v>
      </c>
      <c r="B260" s="481" t="s">
        <v>4450</v>
      </c>
      <c r="C260" s="479">
        <v>5.2083333333333336E-2</v>
      </c>
      <c r="D260" s="481" t="s">
        <v>45</v>
      </c>
      <c r="E260" s="479" t="s">
        <v>45</v>
      </c>
      <c r="F260" s="481" t="s">
        <v>4457</v>
      </c>
      <c r="G260" s="481" t="s">
        <v>1352</v>
      </c>
      <c r="H260" s="485" t="s">
        <v>3451</v>
      </c>
      <c r="I260" s="481" t="s">
        <v>22</v>
      </c>
      <c r="J260" s="481" t="s">
        <v>45</v>
      </c>
      <c r="K260" s="481" t="s">
        <v>4458</v>
      </c>
    </row>
    <row r="261" spans="1:11" ht="33.75">
      <c r="A261" s="481" t="s">
        <v>32</v>
      </c>
      <c r="B261" s="481" t="s">
        <v>4450</v>
      </c>
      <c r="C261" s="479">
        <v>0.31944444444444448</v>
      </c>
      <c r="D261" s="481" t="s">
        <v>4456</v>
      </c>
      <c r="E261" s="479">
        <v>0.14791666666666667</v>
      </c>
      <c r="F261" s="481" t="s">
        <v>3767</v>
      </c>
      <c r="G261" s="481" t="s">
        <v>63</v>
      </c>
      <c r="H261" s="485" t="s">
        <v>3451</v>
      </c>
      <c r="I261" s="481" t="s">
        <v>22</v>
      </c>
      <c r="J261" s="481" t="s">
        <v>45</v>
      </c>
      <c r="K261" s="481" t="s">
        <v>4459</v>
      </c>
    </row>
    <row r="262" spans="1:11" ht="45">
      <c r="A262" s="481" t="s">
        <v>32</v>
      </c>
      <c r="B262" s="481" t="s">
        <v>4450</v>
      </c>
      <c r="C262" s="479">
        <v>0.50138888888888888</v>
      </c>
      <c r="D262" s="481" t="s">
        <v>4450</v>
      </c>
      <c r="E262" s="479">
        <v>0.95416666666666661</v>
      </c>
      <c r="F262" s="481" t="s">
        <v>2919</v>
      </c>
      <c r="G262" s="481" t="s">
        <v>1352</v>
      </c>
      <c r="H262" s="485" t="s">
        <v>3750</v>
      </c>
      <c r="I262" s="481" t="s">
        <v>22</v>
      </c>
      <c r="J262" s="481" t="s">
        <v>4460</v>
      </c>
      <c r="K262" s="481" t="s">
        <v>45</v>
      </c>
    </row>
    <row r="263" spans="1:11" ht="101.25">
      <c r="A263" s="481" t="s">
        <v>32</v>
      </c>
      <c r="B263" s="481" t="s">
        <v>4450</v>
      </c>
      <c r="C263" s="479">
        <v>0.52013888888888882</v>
      </c>
      <c r="D263" s="481" t="s">
        <v>4450</v>
      </c>
      <c r="E263" s="479">
        <v>0.54097222222222219</v>
      </c>
      <c r="F263" s="481" t="s">
        <v>4461</v>
      </c>
      <c r="G263" s="481" t="s">
        <v>674</v>
      </c>
      <c r="H263" s="485" t="s">
        <v>3387</v>
      </c>
      <c r="I263" s="481" t="s">
        <v>2764</v>
      </c>
      <c r="J263" s="481" t="s">
        <v>3055</v>
      </c>
      <c r="K263" s="481" t="s">
        <v>3055</v>
      </c>
    </row>
    <row r="264" spans="1:11" ht="45">
      <c r="A264" s="481" t="s">
        <v>32</v>
      </c>
      <c r="B264" s="481" t="s">
        <v>4450</v>
      </c>
      <c r="C264" s="479">
        <v>0.71597222222222223</v>
      </c>
      <c r="D264" s="481" t="s">
        <v>4462</v>
      </c>
      <c r="E264" s="479">
        <v>0.41666666666666669</v>
      </c>
      <c r="F264" s="481" t="s">
        <v>3139</v>
      </c>
      <c r="G264" s="481" t="s">
        <v>61</v>
      </c>
      <c r="H264" s="485" t="s">
        <v>3451</v>
      </c>
      <c r="I264" s="481" t="s">
        <v>22</v>
      </c>
      <c r="J264" s="481" t="s">
        <v>3093</v>
      </c>
      <c r="K264" s="481" t="s">
        <v>4463</v>
      </c>
    </row>
    <row r="265" spans="1:11" ht="45">
      <c r="A265" s="481" t="s">
        <v>32</v>
      </c>
      <c r="B265" s="481" t="s">
        <v>4450</v>
      </c>
      <c r="C265" s="479">
        <v>0.55833333333333335</v>
      </c>
      <c r="D265" s="481" t="s">
        <v>45</v>
      </c>
      <c r="E265" s="479" t="s">
        <v>45</v>
      </c>
      <c r="F265" s="481" t="s">
        <v>4464</v>
      </c>
      <c r="G265" s="481" t="s">
        <v>1352</v>
      </c>
      <c r="H265" s="485" t="s">
        <v>3750</v>
      </c>
      <c r="I265" s="481" t="s">
        <v>22</v>
      </c>
      <c r="J265" s="481" t="s">
        <v>4465</v>
      </c>
      <c r="K265" s="481" t="s">
        <v>45</v>
      </c>
    </row>
    <row r="266" spans="1:11" ht="45">
      <c r="A266" s="481" t="s">
        <v>32</v>
      </c>
      <c r="B266" s="481" t="s">
        <v>4450</v>
      </c>
      <c r="C266" s="479">
        <v>0.50416666666666665</v>
      </c>
      <c r="D266" s="481" t="s">
        <v>45</v>
      </c>
      <c r="E266" s="479" t="s">
        <v>45</v>
      </c>
      <c r="F266" s="481" t="s">
        <v>2919</v>
      </c>
      <c r="G266" s="481" t="s">
        <v>1352</v>
      </c>
      <c r="H266" s="485" t="s">
        <v>3750</v>
      </c>
      <c r="I266" s="481" t="s">
        <v>22</v>
      </c>
      <c r="J266" s="481" t="s">
        <v>3380</v>
      </c>
      <c r="K266" s="481" t="s">
        <v>45</v>
      </c>
    </row>
    <row r="267" spans="1:11" ht="78.75">
      <c r="A267" s="481" t="s">
        <v>32</v>
      </c>
      <c r="B267" s="481" t="s">
        <v>4450</v>
      </c>
      <c r="C267" s="479">
        <v>0.25</v>
      </c>
      <c r="D267" s="481" t="s">
        <v>4450</v>
      </c>
      <c r="E267" s="479">
        <v>0.25347222222222221</v>
      </c>
      <c r="F267" s="481" t="s">
        <v>4445</v>
      </c>
      <c r="G267" s="481" t="s">
        <v>3143</v>
      </c>
      <c r="H267" s="485" t="s">
        <v>3402</v>
      </c>
      <c r="I267" s="481" t="s">
        <v>2118</v>
      </c>
      <c r="J267" s="481" t="s">
        <v>4466</v>
      </c>
      <c r="K267" s="481" t="s">
        <v>45</v>
      </c>
    </row>
    <row r="268" spans="1:11" ht="67.5">
      <c r="A268" s="481" t="s">
        <v>32</v>
      </c>
      <c r="B268" s="481" t="s">
        <v>4450</v>
      </c>
      <c r="C268" s="479">
        <v>0.13472222222222222</v>
      </c>
      <c r="D268" s="481" t="s">
        <v>45</v>
      </c>
      <c r="E268" s="479" t="s">
        <v>45</v>
      </c>
      <c r="F268" s="481" t="s">
        <v>4467</v>
      </c>
      <c r="G268" s="481" t="s">
        <v>63</v>
      </c>
      <c r="H268" s="485" t="s">
        <v>3451</v>
      </c>
      <c r="I268" s="481" t="s">
        <v>22</v>
      </c>
      <c r="J268" s="481" t="s">
        <v>45</v>
      </c>
      <c r="K268" s="481" t="s">
        <v>45</v>
      </c>
    </row>
    <row r="269" spans="1:11" ht="67.5">
      <c r="A269" s="481" t="s">
        <v>32</v>
      </c>
      <c r="B269" s="481" t="s">
        <v>4462</v>
      </c>
      <c r="C269" s="479">
        <v>0.68541666666666667</v>
      </c>
      <c r="D269" s="481" t="s">
        <v>4462</v>
      </c>
      <c r="E269" s="479">
        <v>0.80972222222222223</v>
      </c>
      <c r="F269" s="481" t="s">
        <v>4468</v>
      </c>
      <c r="G269" s="481" t="s">
        <v>124</v>
      </c>
      <c r="H269" s="485" t="s">
        <v>3396</v>
      </c>
      <c r="I269" s="481" t="s">
        <v>22</v>
      </c>
      <c r="J269" s="481" t="s">
        <v>3055</v>
      </c>
      <c r="K269" s="481" t="s">
        <v>3055</v>
      </c>
    </row>
    <row r="270" spans="1:11" ht="45">
      <c r="A270" s="481" t="s">
        <v>32</v>
      </c>
      <c r="B270" s="481" t="s">
        <v>4462</v>
      </c>
      <c r="C270" s="479">
        <v>1.7361111111111112E-2</v>
      </c>
      <c r="D270" s="481" t="s">
        <v>4462</v>
      </c>
      <c r="E270" s="479">
        <v>4.1666666666666664E-2</v>
      </c>
      <c r="F270" s="481" t="s">
        <v>2959</v>
      </c>
      <c r="G270" s="481" t="s">
        <v>61</v>
      </c>
      <c r="H270" s="485" t="s">
        <v>3387</v>
      </c>
      <c r="I270" s="481" t="s">
        <v>2764</v>
      </c>
      <c r="J270" s="481" t="s">
        <v>3055</v>
      </c>
      <c r="K270" s="481" t="s">
        <v>3055</v>
      </c>
    </row>
    <row r="271" spans="1:11" ht="45">
      <c r="A271" s="481" t="s">
        <v>32</v>
      </c>
      <c r="B271" s="481" t="s">
        <v>4469</v>
      </c>
      <c r="C271" s="479">
        <v>0.14930555555555555</v>
      </c>
      <c r="D271" s="481" t="s">
        <v>4469</v>
      </c>
      <c r="E271" s="479">
        <v>0.23958333333333334</v>
      </c>
      <c r="F271" s="481" t="s">
        <v>2919</v>
      </c>
      <c r="G271" s="481" t="s">
        <v>1352</v>
      </c>
      <c r="H271" s="485" t="s">
        <v>3387</v>
      </c>
      <c r="I271" s="481" t="s">
        <v>22</v>
      </c>
      <c r="J271" s="481" t="s">
        <v>45</v>
      </c>
      <c r="K271" s="481" t="s">
        <v>45</v>
      </c>
    </row>
    <row r="272" spans="1:11" ht="33.75">
      <c r="A272" s="481" t="s">
        <v>32</v>
      </c>
      <c r="B272" s="481" t="s">
        <v>4456</v>
      </c>
      <c r="C272" s="479">
        <v>0.375</v>
      </c>
      <c r="D272" s="481" t="s">
        <v>4456</v>
      </c>
      <c r="E272" s="479">
        <v>0.66180555555555554</v>
      </c>
      <c r="F272" s="481" t="s">
        <v>2853</v>
      </c>
      <c r="G272" s="481" t="s">
        <v>124</v>
      </c>
      <c r="H272" s="485" t="s">
        <v>3356</v>
      </c>
      <c r="I272" s="481" t="s">
        <v>100</v>
      </c>
      <c r="J272" s="481" t="s">
        <v>3055</v>
      </c>
      <c r="K272" s="481" t="s">
        <v>3055</v>
      </c>
    </row>
    <row r="273" spans="1:11" ht="78.75">
      <c r="A273" s="481" t="s">
        <v>219</v>
      </c>
      <c r="B273" s="481" t="s">
        <v>4470</v>
      </c>
      <c r="C273" s="479">
        <v>0.5444444444444444</v>
      </c>
      <c r="D273" s="481" t="s">
        <v>4470</v>
      </c>
      <c r="E273" s="479">
        <v>0.54513888888888895</v>
      </c>
      <c r="F273" s="481" t="s">
        <v>2967</v>
      </c>
      <c r="G273" s="481" t="s">
        <v>124</v>
      </c>
      <c r="H273" s="485" t="s">
        <v>3402</v>
      </c>
      <c r="I273" s="481" t="s">
        <v>2118</v>
      </c>
      <c r="J273" s="481" t="s">
        <v>3055</v>
      </c>
      <c r="K273" s="481" t="s">
        <v>3055</v>
      </c>
    </row>
    <row r="274" spans="1:11" ht="67.5">
      <c r="A274" s="481" t="s">
        <v>219</v>
      </c>
      <c r="B274" s="481" t="s">
        <v>4451</v>
      </c>
      <c r="C274" s="479">
        <v>0.57361111111111118</v>
      </c>
      <c r="D274" s="481" t="s">
        <v>4451</v>
      </c>
      <c r="E274" s="479">
        <v>0.94930555555555562</v>
      </c>
      <c r="F274" s="481" t="s">
        <v>2853</v>
      </c>
      <c r="G274" s="481" t="s">
        <v>124</v>
      </c>
      <c r="H274" s="485" t="s">
        <v>3411</v>
      </c>
      <c r="I274" s="481" t="s">
        <v>2483</v>
      </c>
      <c r="J274" s="481" t="s">
        <v>45</v>
      </c>
      <c r="K274" s="481" t="s">
        <v>45</v>
      </c>
    </row>
    <row r="275" spans="1:11" ht="45">
      <c r="A275" s="481" t="s">
        <v>219</v>
      </c>
      <c r="B275" s="481" t="s">
        <v>4471</v>
      </c>
      <c r="C275" s="479">
        <v>4.6527777777777779E-2</v>
      </c>
      <c r="D275" s="481" t="s">
        <v>4471</v>
      </c>
      <c r="E275" s="479">
        <v>6.7361111111111108E-2</v>
      </c>
      <c r="F275" s="481" t="s">
        <v>3410</v>
      </c>
      <c r="G275" s="481" t="s">
        <v>301</v>
      </c>
      <c r="H275" s="485" t="s">
        <v>3447</v>
      </c>
      <c r="I275" s="481" t="s">
        <v>2764</v>
      </c>
      <c r="J275" s="481" t="s">
        <v>3055</v>
      </c>
      <c r="K275" s="481" t="s">
        <v>3055</v>
      </c>
    </row>
    <row r="276" spans="1:11" ht="45">
      <c r="A276" s="481" t="s">
        <v>219</v>
      </c>
      <c r="B276" s="481" t="s">
        <v>4472</v>
      </c>
      <c r="C276" s="479">
        <v>0.72222222222222221</v>
      </c>
      <c r="D276" s="481" t="s">
        <v>4472</v>
      </c>
      <c r="E276" s="479">
        <v>0.85902777777777783</v>
      </c>
      <c r="F276" s="481" t="s">
        <v>2945</v>
      </c>
      <c r="G276" s="481" t="s">
        <v>124</v>
      </c>
      <c r="H276" s="485" t="s">
        <v>3478</v>
      </c>
      <c r="I276" s="481" t="s">
        <v>22</v>
      </c>
      <c r="J276" s="481" t="s">
        <v>4473</v>
      </c>
      <c r="K276" s="481" t="s">
        <v>45</v>
      </c>
    </row>
    <row r="277" spans="1:11" ht="45">
      <c r="A277" s="481" t="s">
        <v>219</v>
      </c>
      <c r="B277" s="481" t="s">
        <v>4472</v>
      </c>
      <c r="C277" s="479">
        <v>0.72569444444444453</v>
      </c>
      <c r="D277" s="481" t="s">
        <v>4472</v>
      </c>
      <c r="E277" s="479">
        <v>0.87152777777777779</v>
      </c>
      <c r="F277" s="481" t="s">
        <v>2920</v>
      </c>
      <c r="G277" s="481" t="s">
        <v>124</v>
      </c>
      <c r="H277" s="485" t="s">
        <v>3750</v>
      </c>
      <c r="I277" s="481" t="s">
        <v>22</v>
      </c>
      <c r="J277" s="481" t="s">
        <v>3093</v>
      </c>
      <c r="K277" s="481" t="s">
        <v>3111</v>
      </c>
    </row>
    <row r="278" spans="1:11" ht="45">
      <c r="A278" s="481" t="s">
        <v>219</v>
      </c>
      <c r="B278" s="481" t="s">
        <v>4474</v>
      </c>
      <c r="C278" s="479">
        <v>0.66666666666666663</v>
      </c>
      <c r="D278" s="481" t="s">
        <v>4474</v>
      </c>
      <c r="E278" s="479">
        <v>0.875</v>
      </c>
      <c r="F278" s="481" t="s">
        <v>4430</v>
      </c>
      <c r="G278" s="481" t="s">
        <v>124</v>
      </c>
      <c r="H278" s="485" t="s">
        <v>3478</v>
      </c>
      <c r="I278" s="481" t="s">
        <v>22</v>
      </c>
      <c r="J278" s="481" t="s">
        <v>4475</v>
      </c>
      <c r="K278" s="481" t="s">
        <v>4432</v>
      </c>
    </row>
    <row r="279" spans="1:11" ht="45">
      <c r="A279" s="481" t="s">
        <v>219</v>
      </c>
      <c r="B279" s="481" t="s">
        <v>4474</v>
      </c>
      <c r="C279" s="479">
        <v>0.6875</v>
      </c>
      <c r="D279" s="481" t="s">
        <v>4474</v>
      </c>
      <c r="E279" s="479">
        <v>0.87847222222222221</v>
      </c>
      <c r="F279" s="481" t="s">
        <v>2945</v>
      </c>
      <c r="G279" s="481" t="s">
        <v>124</v>
      </c>
      <c r="H279" s="485" t="s">
        <v>3478</v>
      </c>
      <c r="I279" s="481" t="s">
        <v>2764</v>
      </c>
      <c r="J279" s="481" t="s">
        <v>4476</v>
      </c>
      <c r="K279" s="481" t="s">
        <v>45</v>
      </c>
    </row>
    <row r="280" spans="1:11" ht="67.5">
      <c r="A280" s="481" t="s">
        <v>219</v>
      </c>
      <c r="B280" s="481" t="s">
        <v>4474</v>
      </c>
      <c r="C280" s="479">
        <v>0.73333333333333339</v>
      </c>
      <c r="D280" s="481" t="s">
        <v>4474</v>
      </c>
      <c r="E280" s="479">
        <v>0.81041666666666667</v>
      </c>
      <c r="F280" s="481" t="s">
        <v>4477</v>
      </c>
      <c r="G280" s="481" t="s">
        <v>124</v>
      </c>
      <c r="H280" s="485" t="s">
        <v>3396</v>
      </c>
      <c r="I280" s="481" t="s">
        <v>2764</v>
      </c>
      <c r="J280" s="481" t="s">
        <v>3055</v>
      </c>
      <c r="K280" s="481" t="s">
        <v>3055</v>
      </c>
    </row>
    <row r="281" spans="1:11" ht="33.75">
      <c r="A281" s="481" t="s">
        <v>219</v>
      </c>
      <c r="B281" s="481" t="s">
        <v>4474</v>
      </c>
      <c r="C281" s="479">
        <v>0.70833333333333337</v>
      </c>
      <c r="D281" s="481" t="s">
        <v>4478</v>
      </c>
      <c r="E281" s="479">
        <v>0.125</v>
      </c>
      <c r="F281" s="481" t="s">
        <v>2967</v>
      </c>
      <c r="G281" s="481" t="s">
        <v>124</v>
      </c>
      <c r="H281" s="485" t="s">
        <v>3451</v>
      </c>
      <c r="I281" s="481" t="s">
        <v>22</v>
      </c>
      <c r="J281" s="481" t="s">
        <v>45</v>
      </c>
      <c r="K281" s="481" t="s">
        <v>3331</v>
      </c>
    </row>
    <row r="282" spans="1:11" ht="33.75">
      <c r="A282" s="481" t="s">
        <v>219</v>
      </c>
      <c r="B282" s="481" t="s">
        <v>4478</v>
      </c>
      <c r="C282" s="479">
        <v>0.94444444444444453</v>
      </c>
      <c r="D282" s="481" t="s">
        <v>4479</v>
      </c>
      <c r="E282" s="479">
        <v>0.72499999999999998</v>
      </c>
      <c r="F282" s="481" t="s">
        <v>2945</v>
      </c>
      <c r="G282" s="481" t="s">
        <v>124</v>
      </c>
      <c r="H282" s="485" t="s">
        <v>3451</v>
      </c>
      <c r="I282" s="481" t="s">
        <v>2483</v>
      </c>
      <c r="J282" s="481" t="s">
        <v>4480</v>
      </c>
      <c r="K282" s="481" t="s">
        <v>4481</v>
      </c>
    </row>
    <row r="283" spans="1:11" ht="33.75">
      <c r="A283" s="481" t="s">
        <v>219</v>
      </c>
      <c r="B283" s="481" t="s">
        <v>4478</v>
      </c>
      <c r="C283" s="479">
        <v>0.75</v>
      </c>
      <c r="D283" s="481" t="s">
        <v>4482</v>
      </c>
      <c r="E283" s="479">
        <v>0.75</v>
      </c>
      <c r="F283" s="481" t="s">
        <v>4483</v>
      </c>
      <c r="G283" s="481" t="s">
        <v>124</v>
      </c>
      <c r="H283" s="485" t="s">
        <v>3451</v>
      </c>
      <c r="I283" s="481" t="s">
        <v>22</v>
      </c>
      <c r="J283" s="481" t="s">
        <v>45</v>
      </c>
      <c r="K283" s="481" t="s">
        <v>4484</v>
      </c>
    </row>
    <row r="284" spans="1:11" ht="33.75">
      <c r="A284" s="481" t="s">
        <v>219</v>
      </c>
      <c r="B284" s="481" t="s">
        <v>4478</v>
      </c>
      <c r="C284" s="479">
        <v>0.3840277777777778</v>
      </c>
      <c r="D284" s="481" t="s">
        <v>4482</v>
      </c>
      <c r="E284" s="479">
        <v>0.25</v>
      </c>
      <c r="F284" s="481" t="s">
        <v>2853</v>
      </c>
      <c r="G284" s="481" t="s">
        <v>124</v>
      </c>
      <c r="H284" s="485" t="s">
        <v>4453</v>
      </c>
      <c r="I284" s="481" t="s">
        <v>3416</v>
      </c>
      <c r="J284" s="481" t="s">
        <v>3278</v>
      </c>
      <c r="K284" s="481" t="s">
        <v>4485</v>
      </c>
    </row>
    <row r="285" spans="1:11" ht="56.25">
      <c r="A285" s="481" t="s">
        <v>219</v>
      </c>
      <c r="B285" s="481" t="s">
        <v>4478</v>
      </c>
      <c r="C285" s="479">
        <v>0.79513888888888884</v>
      </c>
      <c r="D285" s="481" t="s">
        <v>4482</v>
      </c>
      <c r="E285" s="479">
        <v>0.91666666666666663</v>
      </c>
      <c r="F285" s="481" t="s">
        <v>4486</v>
      </c>
      <c r="G285" s="481" t="s">
        <v>124</v>
      </c>
      <c r="H285" s="485" t="s">
        <v>3451</v>
      </c>
      <c r="I285" s="481" t="s">
        <v>22</v>
      </c>
      <c r="J285" s="481" t="s">
        <v>4487</v>
      </c>
      <c r="K285" s="481" t="s">
        <v>4488</v>
      </c>
    </row>
    <row r="286" spans="1:11" ht="45">
      <c r="A286" s="481" t="s">
        <v>219</v>
      </c>
      <c r="B286" s="481" t="s">
        <v>4482</v>
      </c>
      <c r="C286" s="479">
        <v>0.40972222222222227</v>
      </c>
      <c r="D286" s="481" t="s">
        <v>4482</v>
      </c>
      <c r="E286" s="479">
        <v>0.45555555555555555</v>
      </c>
      <c r="F286" s="481" t="s">
        <v>4489</v>
      </c>
      <c r="G286" s="481" t="s">
        <v>3143</v>
      </c>
      <c r="H286" s="485" t="s">
        <v>3387</v>
      </c>
      <c r="I286" s="481" t="s">
        <v>2764</v>
      </c>
      <c r="J286" s="481" t="s">
        <v>4490</v>
      </c>
      <c r="K286" s="481" t="s">
        <v>3055</v>
      </c>
    </row>
    <row r="287" spans="1:11" ht="78.75">
      <c r="A287" s="481" t="s">
        <v>219</v>
      </c>
      <c r="B287" s="481" t="s">
        <v>4479</v>
      </c>
      <c r="C287" s="479">
        <v>0.9277777777777777</v>
      </c>
      <c r="D287" s="481" t="s">
        <v>4491</v>
      </c>
      <c r="E287" s="479">
        <v>0.34513888888888888</v>
      </c>
      <c r="F287" s="481" t="s">
        <v>4017</v>
      </c>
      <c r="G287" s="481" t="s">
        <v>674</v>
      </c>
      <c r="H287" s="485" t="s">
        <v>3402</v>
      </c>
      <c r="I287" s="481" t="s">
        <v>2118</v>
      </c>
      <c r="J287" s="481" t="s">
        <v>3055</v>
      </c>
      <c r="K287" s="481" t="s">
        <v>3055</v>
      </c>
    </row>
    <row r="288" spans="1:11" ht="67.5">
      <c r="A288" s="481" t="s">
        <v>219</v>
      </c>
      <c r="B288" s="481" t="s">
        <v>4479</v>
      </c>
      <c r="C288" s="479">
        <v>0.47361111111111115</v>
      </c>
      <c r="D288" s="481" t="s">
        <v>4479</v>
      </c>
      <c r="E288" s="479">
        <v>0.5444444444444444</v>
      </c>
      <c r="F288" s="481" t="s">
        <v>4492</v>
      </c>
      <c r="G288" s="481" t="s">
        <v>124</v>
      </c>
      <c r="H288" s="485" t="s">
        <v>3411</v>
      </c>
      <c r="I288" s="481" t="s">
        <v>3416</v>
      </c>
      <c r="J288" s="481" t="s">
        <v>3055</v>
      </c>
      <c r="K288" s="481" t="s">
        <v>3055</v>
      </c>
    </row>
    <row r="289" spans="1:11" ht="33.75">
      <c r="A289" s="481" t="s">
        <v>219</v>
      </c>
      <c r="B289" s="481" t="s">
        <v>4493</v>
      </c>
      <c r="C289" s="479">
        <v>0.91666666666666663</v>
      </c>
      <c r="D289" s="481" t="s">
        <v>4494</v>
      </c>
      <c r="E289" s="479">
        <v>0.625</v>
      </c>
      <c r="F289" s="481" t="s">
        <v>4495</v>
      </c>
      <c r="G289" s="481" t="s">
        <v>63</v>
      </c>
      <c r="H289" s="485" t="s">
        <v>3451</v>
      </c>
      <c r="I289" s="481" t="s">
        <v>2990</v>
      </c>
      <c r="J289" s="481" t="s">
        <v>4496</v>
      </c>
      <c r="K289" s="481" t="s">
        <v>4497</v>
      </c>
    </row>
    <row r="290" spans="1:11" ht="45">
      <c r="A290" s="481" t="s">
        <v>219</v>
      </c>
      <c r="B290" s="481" t="s">
        <v>4493</v>
      </c>
      <c r="C290" s="479">
        <v>0.62777777777777777</v>
      </c>
      <c r="D290" s="481" t="s">
        <v>4493</v>
      </c>
      <c r="E290" s="479">
        <v>0.65069444444444446</v>
      </c>
      <c r="F290" s="481" t="s">
        <v>4097</v>
      </c>
      <c r="G290" s="481" t="s">
        <v>674</v>
      </c>
      <c r="H290" s="485" t="s">
        <v>3387</v>
      </c>
      <c r="I290" s="481" t="s">
        <v>2764</v>
      </c>
      <c r="J290" s="481" t="s">
        <v>3055</v>
      </c>
      <c r="K290" s="481" t="s">
        <v>3055</v>
      </c>
    </row>
    <row r="291" spans="1:11" ht="45">
      <c r="A291" s="481" t="s">
        <v>219</v>
      </c>
      <c r="B291" s="481" t="s">
        <v>4498</v>
      </c>
      <c r="C291" s="479">
        <v>0.29166666666666669</v>
      </c>
      <c r="D291" s="481" t="s">
        <v>4499</v>
      </c>
      <c r="E291" s="479">
        <v>0.25</v>
      </c>
      <c r="F291" s="481" t="s">
        <v>4500</v>
      </c>
      <c r="G291" s="481" t="s">
        <v>301</v>
      </c>
      <c r="H291" s="485" t="s">
        <v>3447</v>
      </c>
      <c r="I291" s="481" t="s">
        <v>2764</v>
      </c>
      <c r="J291" s="481" t="s">
        <v>3055</v>
      </c>
      <c r="K291" s="481" t="s">
        <v>3055</v>
      </c>
    </row>
    <row r="292" spans="1:11" ht="33.75">
      <c r="A292" s="481" t="s">
        <v>219</v>
      </c>
      <c r="B292" s="481" t="s">
        <v>4498</v>
      </c>
      <c r="C292" s="479">
        <v>0.125</v>
      </c>
      <c r="D292" s="481" t="s">
        <v>4501</v>
      </c>
      <c r="E292" s="479">
        <v>0.33333333333333331</v>
      </c>
      <c r="F292" s="481" t="s">
        <v>4502</v>
      </c>
      <c r="G292" s="481" t="s">
        <v>63</v>
      </c>
      <c r="H292" s="485" t="s">
        <v>3451</v>
      </c>
      <c r="I292" s="481" t="s">
        <v>22</v>
      </c>
      <c r="J292" s="481" t="s">
        <v>3055</v>
      </c>
      <c r="K292" s="481" t="s">
        <v>4503</v>
      </c>
    </row>
    <row r="293" spans="1:11" ht="33.75">
      <c r="A293" s="481" t="s">
        <v>219</v>
      </c>
      <c r="B293" s="481" t="s">
        <v>4498</v>
      </c>
      <c r="C293" s="479">
        <v>8.9583333333333334E-2</v>
      </c>
      <c r="D293" s="481" t="s">
        <v>4498</v>
      </c>
      <c r="E293" s="479">
        <v>9.7222222222222224E-2</v>
      </c>
      <c r="F293" s="481" t="s">
        <v>4504</v>
      </c>
      <c r="G293" s="481" t="s">
        <v>61</v>
      </c>
      <c r="H293" s="485" t="s">
        <v>3356</v>
      </c>
      <c r="I293" s="481" t="s">
        <v>100</v>
      </c>
      <c r="J293" s="481" t="s">
        <v>3055</v>
      </c>
      <c r="K293" s="481" t="s">
        <v>3055</v>
      </c>
    </row>
    <row r="294" spans="1:11" ht="33.75">
      <c r="A294" s="481" t="s">
        <v>219</v>
      </c>
      <c r="B294" s="481" t="s">
        <v>4494</v>
      </c>
      <c r="C294" s="479">
        <v>0.8340277777777777</v>
      </c>
      <c r="D294" s="481" t="s">
        <v>4501</v>
      </c>
      <c r="E294" s="479">
        <v>0.65555555555555556</v>
      </c>
      <c r="F294" s="481" t="s">
        <v>4505</v>
      </c>
      <c r="G294" s="481" t="s">
        <v>3347</v>
      </c>
      <c r="H294" s="485" t="s">
        <v>3356</v>
      </c>
      <c r="I294" s="481" t="s">
        <v>2293</v>
      </c>
      <c r="J294" s="481" t="s">
        <v>3055</v>
      </c>
      <c r="K294" s="481" t="s">
        <v>45</v>
      </c>
    </row>
    <row r="295" spans="1:11" ht="67.5">
      <c r="A295" s="481" t="s">
        <v>219</v>
      </c>
      <c r="B295" s="481" t="s">
        <v>4506</v>
      </c>
      <c r="C295" s="479">
        <v>0.41805555555555557</v>
      </c>
      <c r="D295" s="481" t="s">
        <v>4506</v>
      </c>
      <c r="E295" s="479">
        <v>0.54027777777777775</v>
      </c>
      <c r="F295" s="481" t="s">
        <v>2945</v>
      </c>
      <c r="G295" s="481" t="s">
        <v>124</v>
      </c>
      <c r="H295" s="485" t="s">
        <v>4071</v>
      </c>
      <c r="I295" s="481" t="s">
        <v>2764</v>
      </c>
      <c r="J295" s="481" t="s">
        <v>3643</v>
      </c>
      <c r="K295" s="481" t="s">
        <v>4507</v>
      </c>
    </row>
    <row r="296" spans="1:11" ht="33.75">
      <c r="A296" s="481" t="s">
        <v>219</v>
      </c>
      <c r="B296" s="481" t="s">
        <v>4508</v>
      </c>
      <c r="C296" s="479">
        <v>0.5</v>
      </c>
      <c r="D296" s="481" t="s">
        <v>4508</v>
      </c>
      <c r="E296" s="479">
        <v>0.54166666666666663</v>
      </c>
      <c r="F296" s="481" t="s">
        <v>2833</v>
      </c>
      <c r="G296" s="481" t="s">
        <v>3143</v>
      </c>
      <c r="H296" s="485" t="s">
        <v>3356</v>
      </c>
      <c r="I296" s="481" t="s">
        <v>100</v>
      </c>
      <c r="J296" s="481" t="s">
        <v>3055</v>
      </c>
      <c r="K296" s="481" t="s">
        <v>3055</v>
      </c>
    </row>
    <row r="297" spans="1:11" ht="78.75">
      <c r="A297" s="481" t="s">
        <v>219</v>
      </c>
      <c r="B297" s="481" t="s">
        <v>4509</v>
      </c>
      <c r="C297" s="479">
        <v>0.22013888888888888</v>
      </c>
      <c r="D297" s="481" t="s">
        <v>4509</v>
      </c>
      <c r="E297" s="479">
        <v>0.23680555555555557</v>
      </c>
      <c r="F297" s="481" t="s">
        <v>2817</v>
      </c>
      <c r="G297" s="481" t="s">
        <v>124</v>
      </c>
      <c r="H297" s="485" t="s">
        <v>3402</v>
      </c>
      <c r="I297" s="481" t="s">
        <v>2293</v>
      </c>
      <c r="J297" s="481" t="s">
        <v>3859</v>
      </c>
      <c r="K297" s="481" t="s">
        <v>4510</v>
      </c>
    </row>
    <row r="298" spans="1:11" ht="33.75">
      <c r="A298" s="481" t="s">
        <v>219</v>
      </c>
      <c r="B298" s="481" t="s">
        <v>4511</v>
      </c>
      <c r="C298" s="479">
        <v>0.76874999999999993</v>
      </c>
      <c r="D298" s="481" t="s">
        <v>4512</v>
      </c>
      <c r="E298" s="479">
        <v>0.63680555555555551</v>
      </c>
      <c r="F298" s="481" t="s">
        <v>2945</v>
      </c>
      <c r="G298" s="481" t="s">
        <v>124</v>
      </c>
      <c r="H298" s="485" t="s">
        <v>3451</v>
      </c>
      <c r="I298" s="481" t="s">
        <v>3416</v>
      </c>
      <c r="J298" s="481" t="s">
        <v>3095</v>
      </c>
      <c r="K298" s="481" t="s">
        <v>4513</v>
      </c>
    </row>
    <row r="299" spans="1:11" ht="33.75">
      <c r="A299" s="481" t="s">
        <v>219</v>
      </c>
      <c r="B299" s="481" t="s">
        <v>4514</v>
      </c>
      <c r="C299" s="479">
        <v>0.24652777777777779</v>
      </c>
      <c r="D299" s="481" t="s">
        <v>4514</v>
      </c>
      <c r="E299" s="479">
        <v>0.97916666666666663</v>
      </c>
      <c r="F299" s="481" t="s">
        <v>4515</v>
      </c>
      <c r="G299" s="481" t="s">
        <v>61</v>
      </c>
      <c r="H299" s="485" t="s">
        <v>3451</v>
      </c>
      <c r="I299" s="481" t="s">
        <v>22</v>
      </c>
      <c r="J299" s="481" t="s">
        <v>45</v>
      </c>
      <c r="K299" s="481" t="s">
        <v>4516</v>
      </c>
    </row>
    <row r="300" spans="1:11" ht="78.75">
      <c r="A300" s="481" t="s">
        <v>35</v>
      </c>
      <c r="B300" s="481" t="s">
        <v>4517</v>
      </c>
      <c r="C300" s="479">
        <v>0.8125</v>
      </c>
      <c r="D300" s="481" t="s">
        <v>4518</v>
      </c>
      <c r="E300" s="479">
        <v>0.27083333333333331</v>
      </c>
      <c r="F300" s="481" t="s">
        <v>3437</v>
      </c>
      <c r="G300" s="481" t="s">
        <v>63</v>
      </c>
      <c r="H300" s="485" t="s">
        <v>3402</v>
      </c>
      <c r="I300" s="481" t="s">
        <v>2118</v>
      </c>
      <c r="J300" s="481" t="s">
        <v>3055</v>
      </c>
      <c r="K300" s="481" t="s">
        <v>3055</v>
      </c>
    </row>
    <row r="301" spans="1:11" ht="67.5">
      <c r="A301" s="481" t="s">
        <v>35</v>
      </c>
      <c r="B301" s="481" t="s">
        <v>4519</v>
      </c>
      <c r="C301" s="479">
        <v>0.57291666666666663</v>
      </c>
      <c r="D301" s="481" t="s">
        <v>4519</v>
      </c>
      <c r="E301" s="479">
        <v>0.58263888888888882</v>
      </c>
      <c r="F301" s="481" t="s">
        <v>4520</v>
      </c>
      <c r="G301" s="481" t="s">
        <v>63</v>
      </c>
      <c r="H301" s="485" t="s">
        <v>3411</v>
      </c>
      <c r="I301" s="481" t="s">
        <v>2483</v>
      </c>
      <c r="J301" s="481" t="s">
        <v>4521</v>
      </c>
      <c r="K301" s="481" t="s">
        <v>4522</v>
      </c>
    </row>
    <row r="302" spans="1:11" ht="33.75">
      <c r="A302" s="481" t="s">
        <v>35</v>
      </c>
      <c r="B302" s="481" t="s">
        <v>4519</v>
      </c>
      <c r="C302" s="479">
        <v>0.66666666666666663</v>
      </c>
      <c r="D302" s="481" t="s">
        <v>45</v>
      </c>
      <c r="E302" s="479" t="s">
        <v>45</v>
      </c>
      <c r="F302" s="481" t="s">
        <v>4398</v>
      </c>
      <c r="G302" s="481" t="s">
        <v>61</v>
      </c>
      <c r="H302" s="485" t="s">
        <v>3451</v>
      </c>
      <c r="I302" s="481" t="s">
        <v>22</v>
      </c>
      <c r="J302" s="481" t="s">
        <v>45</v>
      </c>
      <c r="K302" s="481" t="s">
        <v>4110</v>
      </c>
    </row>
    <row r="303" spans="1:11" ht="45">
      <c r="A303" s="481" t="s">
        <v>35</v>
      </c>
      <c r="B303" s="481" t="s">
        <v>4519</v>
      </c>
      <c r="C303" s="479">
        <v>0.78472222222222221</v>
      </c>
      <c r="D303" s="481" t="s">
        <v>4523</v>
      </c>
      <c r="E303" s="479">
        <v>0.625</v>
      </c>
      <c r="F303" s="481" t="s">
        <v>3264</v>
      </c>
      <c r="G303" s="481" t="s">
        <v>61</v>
      </c>
      <c r="H303" s="485" t="s">
        <v>3451</v>
      </c>
      <c r="I303" s="481" t="s">
        <v>22</v>
      </c>
      <c r="J303" s="481" t="s">
        <v>45</v>
      </c>
      <c r="K303" s="481" t="s">
        <v>4524</v>
      </c>
    </row>
    <row r="304" spans="1:11" ht="67.5">
      <c r="A304" s="481" t="s">
        <v>35</v>
      </c>
      <c r="B304" s="481" t="s">
        <v>4523</v>
      </c>
      <c r="C304" s="479">
        <v>0.44722222222222219</v>
      </c>
      <c r="D304" s="481" t="s">
        <v>4523</v>
      </c>
      <c r="E304" s="479">
        <v>0.93402777777777779</v>
      </c>
      <c r="F304" s="481" t="s">
        <v>2900</v>
      </c>
      <c r="G304" s="481" t="s">
        <v>124</v>
      </c>
      <c r="H304" s="485" t="s">
        <v>3411</v>
      </c>
      <c r="I304" s="481" t="s">
        <v>2483</v>
      </c>
      <c r="J304" s="481" t="s">
        <v>3055</v>
      </c>
      <c r="K304" s="481" t="s">
        <v>3055</v>
      </c>
    </row>
    <row r="305" spans="1:11" ht="33.75">
      <c r="A305" s="481" t="s">
        <v>35</v>
      </c>
      <c r="B305" s="481" t="s">
        <v>4523</v>
      </c>
      <c r="C305" s="479">
        <v>0.83333333333333337</v>
      </c>
      <c r="D305" s="481" t="s">
        <v>4525</v>
      </c>
      <c r="E305" s="479">
        <v>0.29166666666666669</v>
      </c>
      <c r="F305" s="481" t="s">
        <v>2866</v>
      </c>
      <c r="G305" s="481" t="s">
        <v>63</v>
      </c>
      <c r="H305" s="485" t="s">
        <v>3451</v>
      </c>
      <c r="I305" s="481" t="s">
        <v>22</v>
      </c>
      <c r="J305" s="481" t="s">
        <v>3110</v>
      </c>
      <c r="K305" s="481" t="s">
        <v>3240</v>
      </c>
    </row>
    <row r="306" spans="1:11" ht="112.5">
      <c r="A306" s="481" t="s">
        <v>35</v>
      </c>
      <c r="B306" s="481" t="s">
        <v>4523</v>
      </c>
      <c r="C306" s="479">
        <v>0.82638888888888884</v>
      </c>
      <c r="D306" s="481" t="s">
        <v>4526</v>
      </c>
      <c r="E306" s="479">
        <v>0.63124999999999998</v>
      </c>
      <c r="F306" s="481" t="s">
        <v>4527</v>
      </c>
      <c r="G306" s="481" t="s">
        <v>63</v>
      </c>
      <c r="H306" s="485" t="s">
        <v>3451</v>
      </c>
      <c r="I306" s="481" t="s">
        <v>22</v>
      </c>
      <c r="J306" s="481" t="s">
        <v>45</v>
      </c>
      <c r="K306" s="481" t="s">
        <v>4528</v>
      </c>
    </row>
    <row r="307" spans="1:11" ht="33.75">
      <c r="A307" s="481" t="s">
        <v>35</v>
      </c>
      <c r="B307" s="481" t="s">
        <v>4523</v>
      </c>
      <c r="C307" s="479">
        <v>0.72916666666666663</v>
      </c>
      <c r="D307" s="481" t="s">
        <v>4529</v>
      </c>
      <c r="E307" s="479">
        <v>0.75</v>
      </c>
      <c r="F307" s="481" t="s">
        <v>4530</v>
      </c>
      <c r="G307" s="481" t="s">
        <v>63</v>
      </c>
      <c r="H307" s="485" t="s">
        <v>3451</v>
      </c>
      <c r="I307" s="481" t="s">
        <v>22</v>
      </c>
      <c r="J307" s="481" t="s">
        <v>45</v>
      </c>
      <c r="K307" s="481" t="s">
        <v>4531</v>
      </c>
    </row>
    <row r="308" spans="1:11" ht="33.75">
      <c r="A308" s="481" t="s">
        <v>35</v>
      </c>
      <c r="B308" s="481" t="s">
        <v>4523</v>
      </c>
      <c r="C308" s="479">
        <v>0.83333333333333337</v>
      </c>
      <c r="D308" s="481" t="s">
        <v>4529</v>
      </c>
      <c r="E308" s="479">
        <v>0.25</v>
      </c>
      <c r="F308" s="481" t="s">
        <v>4532</v>
      </c>
      <c r="G308" s="481" t="s">
        <v>63</v>
      </c>
      <c r="H308" s="485" t="s">
        <v>3451</v>
      </c>
      <c r="I308" s="481" t="s">
        <v>22</v>
      </c>
      <c r="J308" s="481" t="s">
        <v>45</v>
      </c>
      <c r="K308" s="481" t="s">
        <v>3240</v>
      </c>
    </row>
    <row r="309" spans="1:11" ht="67.5">
      <c r="A309" s="481" t="s">
        <v>35</v>
      </c>
      <c r="B309" s="481" t="s">
        <v>4529</v>
      </c>
      <c r="C309" s="479">
        <v>0.96527777777777779</v>
      </c>
      <c r="D309" s="481" t="s">
        <v>4529</v>
      </c>
      <c r="E309" s="479">
        <v>0.96875</v>
      </c>
      <c r="F309" s="481" t="s">
        <v>4468</v>
      </c>
      <c r="G309" s="481" t="s">
        <v>124</v>
      </c>
      <c r="H309" s="485" t="s">
        <v>3411</v>
      </c>
      <c r="I309" s="481" t="s">
        <v>2483</v>
      </c>
      <c r="J309" s="481" t="s">
        <v>3055</v>
      </c>
      <c r="K309" s="481" t="s">
        <v>3055</v>
      </c>
    </row>
    <row r="310" spans="1:11" ht="45">
      <c r="A310" s="481" t="s">
        <v>35</v>
      </c>
      <c r="B310" s="481" t="s">
        <v>4529</v>
      </c>
      <c r="C310" s="479">
        <v>0.33680555555555558</v>
      </c>
      <c r="D310" s="481" t="s">
        <v>4529</v>
      </c>
      <c r="E310" s="479">
        <v>0.5</v>
      </c>
      <c r="F310" s="481" t="s">
        <v>4119</v>
      </c>
      <c r="G310" s="481" t="s">
        <v>124</v>
      </c>
      <c r="H310" s="485" t="s">
        <v>3447</v>
      </c>
      <c r="I310" s="481" t="s">
        <v>2764</v>
      </c>
      <c r="J310" s="481" t="s">
        <v>3055</v>
      </c>
      <c r="K310" s="481" t="s">
        <v>3055</v>
      </c>
    </row>
    <row r="311" spans="1:11" ht="45">
      <c r="A311" s="481" t="s">
        <v>35</v>
      </c>
      <c r="B311" s="481" t="s">
        <v>4529</v>
      </c>
      <c r="C311" s="479">
        <v>9.8611111111111108E-2</v>
      </c>
      <c r="D311" s="481" t="s">
        <v>4529</v>
      </c>
      <c r="E311" s="479">
        <v>0.20833333333333334</v>
      </c>
      <c r="F311" s="481" t="s">
        <v>4532</v>
      </c>
      <c r="G311" s="481" t="s">
        <v>63</v>
      </c>
      <c r="H311" s="485" t="s">
        <v>3387</v>
      </c>
      <c r="I311" s="481" t="s">
        <v>22</v>
      </c>
      <c r="J311" s="481" t="s">
        <v>45</v>
      </c>
      <c r="K311" s="481" t="s">
        <v>45</v>
      </c>
    </row>
    <row r="312" spans="1:11" ht="67.5">
      <c r="A312" s="481" t="s">
        <v>35</v>
      </c>
      <c r="B312" s="481" t="s">
        <v>4533</v>
      </c>
      <c r="C312" s="479">
        <v>0.17083333333333331</v>
      </c>
      <c r="D312" s="481" t="s">
        <v>4533</v>
      </c>
      <c r="E312" s="479">
        <v>0.17152777777777775</v>
      </c>
      <c r="F312" s="481" t="s">
        <v>4534</v>
      </c>
      <c r="G312" s="481" t="s">
        <v>301</v>
      </c>
      <c r="H312" s="485" t="s">
        <v>3411</v>
      </c>
      <c r="I312" s="481" t="s">
        <v>2483</v>
      </c>
      <c r="J312" s="481" t="s">
        <v>3055</v>
      </c>
      <c r="K312" s="481" t="s">
        <v>3055</v>
      </c>
    </row>
    <row r="313" spans="1:11" ht="56.25">
      <c r="A313" s="481" t="s">
        <v>35</v>
      </c>
      <c r="B313" s="481" t="s">
        <v>4535</v>
      </c>
      <c r="C313" s="479">
        <v>0.55138888888888882</v>
      </c>
      <c r="D313" s="481" t="s">
        <v>4536</v>
      </c>
      <c r="E313" s="479">
        <v>0.58333333333333337</v>
      </c>
      <c r="F313" s="481" t="s">
        <v>4537</v>
      </c>
      <c r="G313" s="481" t="s">
        <v>124</v>
      </c>
      <c r="H313" s="485" t="s">
        <v>3451</v>
      </c>
      <c r="I313" s="481" t="s">
        <v>22</v>
      </c>
      <c r="J313" s="481" t="s">
        <v>45</v>
      </c>
      <c r="K313" s="481" t="s">
        <v>4538</v>
      </c>
    </row>
    <row r="314" spans="1:11" ht="67.5">
      <c r="A314" s="481" t="s">
        <v>35</v>
      </c>
      <c r="B314" s="481" t="s">
        <v>4536</v>
      </c>
      <c r="C314" s="479">
        <v>0.7680555555555556</v>
      </c>
      <c r="D314" s="481" t="s">
        <v>4525</v>
      </c>
      <c r="E314" s="479">
        <v>0.5493055555555556</v>
      </c>
      <c r="F314" s="481" t="s">
        <v>3801</v>
      </c>
      <c r="G314" s="481" t="s">
        <v>1352</v>
      </c>
      <c r="H314" s="485" t="s">
        <v>3411</v>
      </c>
      <c r="I314" s="481" t="s">
        <v>2483</v>
      </c>
      <c r="J314" s="481" t="s">
        <v>4058</v>
      </c>
      <c r="K314" s="481" t="s">
        <v>45</v>
      </c>
    </row>
    <row r="315" spans="1:11" ht="33.75">
      <c r="A315" s="481" t="s">
        <v>35</v>
      </c>
      <c r="B315" s="481" t="s">
        <v>4525</v>
      </c>
      <c r="C315" s="479">
        <v>0.98819444444444438</v>
      </c>
      <c r="D315" s="481" t="s">
        <v>45</v>
      </c>
      <c r="E315" s="479" t="s">
        <v>45</v>
      </c>
      <c r="F315" s="481" t="s">
        <v>3284</v>
      </c>
      <c r="G315" s="481" t="s">
        <v>124</v>
      </c>
      <c r="H315" s="485" t="s">
        <v>3356</v>
      </c>
      <c r="I315" s="481" t="s">
        <v>100</v>
      </c>
      <c r="J315" s="481" t="s">
        <v>3055</v>
      </c>
      <c r="K315" s="481" t="s">
        <v>3055</v>
      </c>
    </row>
    <row r="316" spans="1:11" ht="45">
      <c r="A316" s="481" t="s">
        <v>35</v>
      </c>
      <c r="B316" s="481" t="s">
        <v>4525</v>
      </c>
      <c r="C316" s="479">
        <v>0.70138888888888884</v>
      </c>
      <c r="D316" s="481" t="s">
        <v>45</v>
      </c>
      <c r="E316" s="479" t="s">
        <v>45</v>
      </c>
      <c r="F316" s="481" t="s">
        <v>3307</v>
      </c>
      <c r="G316" s="481" t="s">
        <v>3143</v>
      </c>
      <c r="H316" s="485" t="s">
        <v>3447</v>
      </c>
      <c r="I316" s="481" t="s">
        <v>2764</v>
      </c>
      <c r="J316" s="481" t="s">
        <v>3055</v>
      </c>
      <c r="K316" s="481" t="s">
        <v>3055</v>
      </c>
    </row>
    <row r="317" spans="1:11" ht="33.75">
      <c r="A317" s="481" t="s">
        <v>35</v>
      </c>
      <c r="B317" s="481" t="s">
        <v>4539</v>
      </c>
      <c r="C317" s="479">
        <v>0.58333333333333337</v>
      </c>
      <c r="D317" s="481" t="s">
        <v>4539</v>
      </c>
      <c r="E317" s="479">
        <v>0.66666666666666663</v>
      </c>
      <c r="F317" s="481" t="s">
        <v>3354</v>
      </c>
      <c r="G317" s="481" t="s">
        <v>63</v>
      </c>
      <c r="H317" s="485" t="s">
        <v>3356</v>
      </c>
      <c r="I317" s="481" t="s">
        <v>100</v>
      </c>
      <c r="J317" s="481" t="s">
        <v>4540</v>
      </c>
      <c r="K317" s="481" t="s">
        <v>3055</v>
      </c>
    </row>
    <row r="318" spans="1:11" ht="67.5">
      <c r="A318" s="481" t="s">
        <v>35</v>
      </c>
      <c r="B318" s="481" t="s">
        <v>4541</v>
      </c>
      <c r="C318" s="479">
        <v>0.78333333333333333</v>
      </c>
      <c r="D318" s="481" t="s">
        <v>4541</v>
      </c>
      <c r="E318" s="479">
        <v>0.78402777777777777</v>
      </c>
      <c r="F318" s="481" t="s">
        <v>4542</v>
      </c>
      <c r="G318" s="481" t="s">
        <v>63</v>
      </c>
      <c r="H318" s="485" t="s">
        <v>3411</v>
      </c>
      <c r="I318" s="481" t="s">
        <v>2483</v>
      </c>
      <c r="J318" s="481" t="s">
        <v>3055</v>
      </c>
      <c r="K318" s="481" t="s">
        <v>3055</v>
      </c>
    </row>
    <row r="319" spans="1:11" ht="78.75">
      <c r="A319" s="481" t="s">
        <v>35</v>
      </c>
      <c r="B319" s="481" t="s">
        <v>4543</v>
      </c>
      <c r="C319" s="479">
        <v>0.33333333333333331</v>
      </c>
      <c r="D319" s="481" t="s">
        <v>4543</v>
      </c>
      <c r="E319" s="479">
        <v>0.33402777777777781</v>
      </c>
      <c r="F319" s="481" t="s">
        <v>4492</v>
      </c>
      <c r="G319" s="481" t="s">
        <v>124</v>
      </c>
      <c r="H319" s="485" t="s">
        <v>3402</v>
      </c>
      <c r="I319" s="481" t="s">
        <v>2118</v>
      </c>
      <c r="J319" s="481" t="s">
        <v>3055</v>
      </c>
      <c r="K319" s="481" t="s">
        <v>3055</v>
      </c>
    </row>
    <row r="320" spans="1:11" ht="45">
      <c r="A320" s="481" t="s">
        <v>35</v>
      </c>
      <c r="B320" s="481" t="s">
        <v>4543</v>
      </c>
      <c r="C320" s="479">
        <v>0.95000000000000007</v>
      </c>
      <c r="D320" s="481" t="s">
        <v>4543</v>
      </c>
      <c r="E320" s="479">
        <v>0.9819444444444444</v>
      </c>
      <c r="F320" s="481" t="s">
        <v>3410</v>
      </c>
      <c r="G320" s="481" t="s">
        <v>301</v>
      </c>
      <c r="H320" s="485" t="s">
        <v>3447</v>
      </c>
      <c r="I320" s="481" t="s">
        <v>2764</v>
      </c>
      <c r="J320" s="481" t="s">
        <v>3055</v>
      </c>
      <c r="K320" s="481" t="s">
        <v>3055</v>
      </c>
    </row>
    <row r="321" spans="1:11" ht="67.5">
      <c r="A321" s="481" t="s">
        <v>35</v>
      </c>
      <c r="B321" s="481" t="s">
        <v>4544</v>
      </c>
      <c r="C321" s="479">
        <v>0.65416666666666667</v>
      </c>
      <c r="D321" s="481" t="s">
        <v>4544</v>
      </c>
      <c r="E321" s="479">
        <v>0.96597222222222223</v>
      </c>
      <c r="F321" s="481" t="s">
        <v>2895</v>
      </c>
      <c r="G321" s="481" t="s">
        <v>3143</v>
      </c>
      <c r="H321" s="485" t="s">
        <v>3411</v>
      </c>
      <c r="I321" s="481" t="s">
        <v>2483</v>
      </c>
      <c r="J321" s="481" t="s">
        <v>45</v>
      </c>
      <c r="K321" s="481" t="s">
        <v>45</v>
      </c>
    </row>
    <row r="322" spans="1:11" ht="33.75">
      <c r="A322" s="481" t="s">
        <v>35</v>
      </c>
      <c r="B322" s="481" t="s">
        <v>4544</v>
      </c>
      <c r="C322" s="479">
        <v>0.65694444444444444</v>
      </c>
      <c r="D322" s="481" t="s">
        <v>4544</v>
      </c>
      <c r="E322" s="479">
        <v>0.9604166666666667</v>
      </c>
      <c r="F322" s="481" t="s">
        <v>2809</v>
      </c>
      <c r="G322" s="481" t="s">
        <v>1352</v>
      </c>
      <c r="H322" s="485" t="s">
        <v>3451</v>
      </c>
      <c r="I322" s="481" t="s">
        <v>22</v>
      </c>
      <c r="J322" s="481" t="s">
        <v>45</v>
      </c>
      <c r="K322" s="481" t="s">
        <v>4545</v>
      </c>
    </row>
    <row r="323" spans="1:11" ht="67.5">
      <c r="A323" s="481" t="s">
        <v>35</v>
      </c>
      <c r="B323" s="481" t="s">
        <v>4546</v>
      </c>
      <c r="C323" s="479">
        <v>0.84236111111111101</v>
      </c>
      <c r="D323" s="481" t="s">
        <v>4546</v>
      </c>
      <c r="E323" s="479">
        <v>0.95277777777777783</v>
      </c>
      <c r="F323" s="481" t="s">
        <v>4269</v>
      </c>
      <c r="G323" s="481" t="s">
        <v>674</v>
      </c>
      <c r="H323" s="485" t="s">
        <v>3411</v>
      </c>
      <c r="I323" s="481" t="s">
        <v>2483</v>
      </c>
      <c r="J323" s="481" t="s">
        <v>3081</v>
      </c>
      <c r="K323" s="481" t="s">
        <v>3497</v>
      </c>
    </row>
    <row r="324" spans="1:11" ht="33.75">
      <c r="A324" s="481" t="s">
        <v>35</v>
      </c>
      <c r="B324" s="481" t="s">
        <v>4547</v>
      </c>
      <c r="C324" s="479">
        <v>0.60555555555555551</v>
      </c>
      <c r="D324" s="481" t="s">
        <v>4548</v>
      </c>
      <c r="E324" s="479">
        <v>0.75</v>
      </c>
      <c r="F324" s="481" t="s">
        <v>2945</v>
      </c>
      <c r="G324" s="481" t="s">
        <v>124</v>
      </c>
      <c r="H324" s="485" t="s">
        <v>3451</v>
      </c>
      <c r="I324" s="481" t="s">
        <v>22</v>
      </c>
      <c r="J324" s="481" t="s">
        <v>4549</v>
      </c>
      <c r="K324" s="481" t="s">
        <v>4550</v>
      </c>
    </row>
    <row r="325" spans="1:11" ht="33.75">
      <c r="A325" s="481" t="s">
        <v>35</v>
      </c>
      <c r="B325" s="481" t="s">
        <v>4547</v>
      </c>
      <c r="C325" s="479">
        <v>0.1423611111111111</v>
      </c>
      <c r="D325" s="481" t="s">
        <v>4547</v>
      </c>
      <c r="E325" s="479">
        <v>0.15625</v>
      </c>
      <c r="F325" s="481" t="s">
        <v>4551</v>
      </c>
      <c r="G325" s="481" t="s">
        <v>674</v>
      </c>
      <c r="H325" s="485" t="s">
        <v>3356</v>
      </c>
      <c r="I325" s="481" t="s">
        <v>2118</v>
      </c>
      <c r="J325" s="481" t="s">
        <v>3055</v>
      </c>
      <c r="K325" s="481" t="s">
        <v>3055</v>
      </c>
    </row>
    <row r="326" spans="1:11" ht="56.25">
      <c r="A326" s="481" t="s">
        <v>35</v>
      </c>
      <c r="B326" s="481" t="s">
        <v>4552</v>
      </c>
      <c r="C326" s="479">
        <v>0.54166666666666663</v>
      </c>
      <c r="D326" s="481" t="s">
        <v>4553</v>
      </c>
      <c r="E326" s="479">
        <v>0.79166666666666663</v>
      </c>
      <c r="F326" s="481" t="s">
        <v>4554</v>
      </c>
      <c r="G326" s="481" t="s">
        <v>3347</v>
      </c>
      <c r="H326" s="485" t="s">
        <v>3451</v>
      </c>
      <c r="I326" s="481" t="s">
        <v>22</v>
      </c>
      <c r="J326" s="481" t="s">
        <v>45</v>
      </c>
      <c r="K326" s="481" t="s">
        <v>4555</v>
      </c>
    </row>
    <row r="327" spans="1:11" ht="56.25">
      <c r="A327" s="481" t="s">
        <v>35</v>
      </c>
      <c r="B327" s="481" t="s">
        <v>4552</v>
      </c>
      <c r="C327" s="479">
        <v>0.47500000000000003</v>
      </c>
      <c r="D327" s="481" t="s">
        <v>4548</v>
      </c>
      <c r="E327" s="479">
        <v>0.69652777777777775</v>
      </c>
      <c r="F327" s="481" t="s">
        <v>4556</v>
      </c>
      <c r="G327" s="481" t="s">
        <v>124</v>
      </c>
      <c r="H327" s="485" t="s">
        <v>3451</v>
      </c>
      <c r="I327" s="481" t="s">
        <v>22</v>
      </c>
      <c r="J327" s="481" t="s">
        <v>45</v>
      </c>
      <c r="K327" s="481" t="s">
        <v>4557</v>
      </c>
    </row>
    <row r="328" spans="1:11" ht="67.5">
      <c r="A328" s="481" t="s">
        <v>35</v>
      </c>
      <c r="B328" s="481" t="s">
        <v>4552</v>
      </c>
      <c r="C328" s="479">
        <v>0.39444444444444443</v>
      </c>
      <c r="D328" s="481" t="s">
        <v>4552</v>
      </c>
      <c r="E328" s="479">
        <v>0.51388888888888895</v>
      </c>
      <c r="F328" s="481" t="s">
        <v>2900</v>
      </c>
      <c r="G328" s="481" t="s">
        <v>124</v>
      </c>
      <c r="H328" s="485" t="s">
        <v>3411</v>
      </c>
      <c r="I328" s="481" t="s">
        <v>2483</v>
      </c>
      <c r="J328" s="481" t="s">
        <v>4100</v>
      </c>
      <c r="K328" s="481" t="s">
        <v>4510</v>
      </c>
    </row>
    <row r="329" spans="1:11" ht="33.75">
      <c r="A329" s="481" t="s">
        <v>35</v>
      </c>
      <c r="B329" s="481" t="s">
        <v>4552</v>
      </c>
      <c r="C329" s="479">
        <v>0.41666666666666669</v>
      </c>
      <c r="D329" s="481" t="s">
        <v>4552</v>
      </c>
      <c r="E329" s="479">
        <v>0.42708333333333331</v>
      </c>
      <c r="F329" s="481" t="s">
        <v>3354</v>
      </c>
      <c r="G329" s="481" t="s">
        <v>63</v>
      </c>
      <c r="H329" s="485" t="s">
        <v>3356</v>
      </c>
      <c r="I329" s="481" t="s">
        <v>100</v>
      </c>
      <c r="J329" s="481" t="s">
        <v>4558</v>
      </c>
      <c r="K329" s="481" t="s">
        <v>3055</v>
      </c>
    </row>
    <row r="330" spans="1:11" ht="33.75">
      <c r="A330" s="481" t="s">
        <v>35</v>
      </c>
      <c r="B330" s="481" t="s">
        <v>4548</v>
      </c>
      <c r="C330" s="479">
        <v>0.74305555555555547</v>
      </c>
      <c r="D330" s="481" t="s">
        <v>45</v>
      </c>
      <c r="E330" s="479" t="s">
        <v>45</v>
      </c>
      <c r="F330" s="481" t="s">
        <v>3693</v>
      </c>
      <c r="G330" s="481" t="s">
        <v>3347</v>
      </c>
      <c r="H330" s="485" t="s">
        <v>3451</v>
      </c>
      <c r="I330" s="481" t="s">
        <v>22</v>
      </c>
      <c r="J330" s="481" t="s">
        <v>45</v>
      </c>
      <c r="K330" s="481" t="s">
        <v>4559</v>
      </c>
    </row>
    <row r="331" spans="1:11" ht="33.75">
      <c r="A331" s="481" t="s">
        <v>35</v>
      </c>
      <c r="B331" s="481" t="s">
        <v>4560</v>
      </c>
      <c r="C331" s="479">
        <v>0.90069444444444446</v>
      </c>
      <c r="D331" s="481" t="s">
        <v>4561</v>
      </c>
      <c r="E331" s="479">
        <v>0.8125</v>
      </c>
      <c r="F331" s="481" t="s">
        <v>4562</v>
      </c>
      <c r="G331" s="481" t="s">
        <v>63</v>
      </c>
      <c r="H331" s="485" t="s">
        <v>3451</v>
      </c>
      <c r="I331" s="481" t="s">
        <v>22</v>
      </c>
      <c r="J331" s="481" t="s">
        <v>4563</v>
      </c>
      <c r="K331" s="481" t="s">
        <v>4564</v>
      </c>
    </row>
    <row r="332" spans="1:11" ht="33.75">
      <c r="A332" s="481" t="s">
        <v>35</v>
      </c>
      <c r="B332" s="481" t="s">
        <v>4560</v>
      </c>
      <c r="C332" s="479">
        <v>0.75</v>
      </c>
      <c r="D332" s="481" t="s">
        <v>4565</v>
      </c>
      <c r="E332" s="479">
        <v>5.2083333333333336E-2</v>
      </c>
      <c r="F332" s="481" t="s">
        <v>2866</v>
      </c>
      <c r="G332" s="481" t="s">
        <v>63</v>
      </c>
      <c r="H332" s="485" t="s">
        <v>3451</v>
      </c>
      <c r="I332" s="481" t="s">
        <v>22</v>
      </c>
      <c r="J332" s="481" t="s">
        <v>45</v>
      </c>
      <c r="K332" s="481" t="s">
        <v>4566</v>
      </c>
    </row>
    <row r="333" spans="1:11" ht="67.5">
      <c r="A333" s="481" t="s">
        <v>35</v>
      </c>
      <c r="B333" s="481" t="s">
        <v>4560</v>
      </c>
      <c r="C333" s="479">
        <v>0.49513888888888885</v>
      </c>
      <c r="D333" s="481" t="s">
        <v>4560</v>
      </c>
      <c r="E333" s="479">
        <v>0.6430555555555556</v>
      </c>
      <c r="F333" s="481" t="s">
        <v>2919</v>
      </c>
      <c r="G333" s="481" t="s">
        <v>1352</v>
      </c>
      <c r="H333" s="485" t="s">
        <v>3411</v>
      </c>
      <c r="I333" s="481" t="s">
        <v>2483</v>
      </c>
      <c r="J333" s="481" t="s">
        <v>45</v>
      </c>
      <c r="K333" s="481" t="s">
        <v>45</v>
      </c>
    </row>
    <row r="334" spans="1:11" ht="67.5">
      <c r="A334" s="481" t="s">
        <v>35</v>
      </c>
      <c r="B334" s="481" t="s">
        <v>4560</v>
      </c>
      <c r="C334" s="479">
        <v>0.43611111111111112</v>
      </c>
      <c r="D334" s="481" t="s">
        <v>4560</v>
      </c>
      <c r="E334" s="479">
        <v>0.4368055555555555</v>
      </c>
      <c r="F334" s="481" t="s">
        <v>2919</v>
      </c>
      <c r="G334" s="481" t="s">
        <v>1352</v>
      </c>
      <c r="H334" s="485" t="s">
        <v>4071</v>
      </c>
      <c r="I334" s="481" t="s">
        <v>22</v>
      </c>
      <c r="J334" s="481" t="s">
        <v>45</v>
      </c>
      <c r="K334" s="481" t="s">
        <v>45</v>
      </c>
    </row>
    <row r="335" spans="1:11" ht="33.75">
      <c r="A335" s="481" t="s">
        <v>35</v>
      </c>
      <c r="B335" s="481" t="s">
        <v>4560</v>
      </c>
      <c r="C335" s="479">
        <v>0.71666666666666667</v>
      </c>
      <c r="D335" s="481" t="s">
        <v>4565</v>
      </c>
      <c r="E335" s="479">
        <v>0.6875</v>
      </c>
      <c r="F335" s="481" t="s">
        <v>4567</v>
      </c>
      <c r="G335" s="481" t="s">
        <v>63</v>
      </c>
      <c r="H335" s="485" t="s">
        <v>3451</v>
      </c>
      <c r="I335" s="481" t="s">
        <v>22</v>
      </c>
      <c r="J335" s="481" t="s">
        <v>45</v>
      </c>
      <c r="K335" s="481" t="s">
        <v>4568</v>
      </c>
    </row>
    <row r="336" spans="1:11" ht="33.75">
      <c r="A336" s="481" t="s">
        <v>35</v>
      </c>
      <c r="B336" s="481" t="s">
        <v>4565</v>
      </c>
      <c r="C336" s="479">
        <v>0.34375</v>
      </c>
      <c r="D336" s="481" t="s">
        <v>4569</v>
      </c>
      <c r="E336" s="479">
        <v>0.78125</v>
      </c>
      <c r="F336" s="481" t="s">
        <v>2832</v>
      </c>
      <c r="G336" s="481" t="s">
        <v>63</v>
      </c>
      <c r="H336" s="485" t="s">
        <v>3451</v>
      </c>
      <c r="I336" s="481" t="s">
        <v>22</v>
      </c>
      <c r="J336" s="481" t="s">
        <v>45</v>
      </c>
      <c r="K336" s="481" t="s">
        <v>4570</v>
      </c>
    </row>
    <row r="337" spans="1:11" ht="45">
      <c r="A337" s="481" t="s">
        <v>35</v>
      </c>
      <c r="B337" s="481" t="s">
        <v>4565</v>
      </c>
      <c r="C337" s="479">
        <v>0.49861111111111112</v>
      </c>
      <c r="D337" s="481" t="s">
        <v>4565</v>
      </c>
      <c r="E337" s="479">
        <v>0.54861111111111105</v>
      </c>
      <c r="F337" s="481" t="s">
        <v>2959</v>
      </c>
      <c r="G337" s="481" t="s">
        <v>61</v>
      </c>
      <c r="H337" s="485" t="s">
        <v>3387</v>
      </c>
      <c r="I337" s="481" t="s">
        <v>2764</v>
      </c>
      <c r="J337" s="481" t="s">
        <v>3055</v>
      </c>
      <c r="K337" s="481" t="s">
        <v>3055</v>
      </c>
    </row>
    <row r="338" spans="1:11" ht="157.5">
      <c r="A338" s="481" t="s">
        <v>35</v>
      </c>
      <c r="B338" s="481" t="s">
        <v>4565</v>
      </c>
      <c r="C338" s="479">
        <v>8.3333333333333329E-2</v>
      </c>
      <c r="D338" s="481" t="s">
        <v>4569</v>
      </c>
      <c r="E338" s="479">
        <v>0.375</v>
      </c>
      <c r="F338" s="481" t="s">
        <v>4571</v>
      </c>
      <c r="G338" s="481" t="s">
        <v>63</v>
      </c>
      <c r="H338" s="485" t="s">
        <v>3451</v>
      </c>
      <c r="I338" s="481" t="s">
        <v>22</v>
      </c>
      <c r="J338" s="481" t="s">
        <v>3055</v>
      </c>
      <c r="K338" s="481" t="s">
        <v>3251</v>
      </c>
    </row>
    <row r="339" spans="1:11" ht="33.75">
      <c r="A339" s="481" t="s">
        <v>38</v>
      </c>
      <c r="B339" s="481" t="s">
        <v>4572</v>
      </c>
      <c r="C339" s="479">
        <v>0.75</v>
      </c>
      <c r="D339" s="481" t="s">
        <v>4572</v>
      </c>
      <c r="E339" s="479">
        <v>0.75624999999999998</v>
      </c>
      <c r="F339" s="481" t="s">
        <v>2895</v>
      </c>
      <c r="G339" s="481" t="s">
        <v>3143</v>
      </c>
      <c r="H339" s="485" t="s">
        <v>3451</v>
      </c>
      <c r="I339" s="481" t="s">
        <v>22</v>
      </c>
      <c r="J339" s="481" t="s">
        <v>45</v>
      </c>
      <c r="K339" s="481" t="s">
        <v>4573</v>
      </c>
    </row>
    <row r="340" spans="1:11" ht="78.75">
      <c r="A340" s="481" t="s">
        <v>38</v>
      </c>
      <c r="B340" s="481" t="s">
        <v>4572</v>
      </c>
      <c r="C340" s="479">
        <v>0.52152777777777781</v>
      </c>
      <c r="D340" s="481" t="s">
        <v>4572</v>
      </c>
      <c r="E340" s="479">
        <v>0.52430555555555558</v>
      </c>
      <c r="F340" s="481" t="s">
        <v>3909</v>
      </c>
      <c r="G340" s="481" t="s">
        <v>124</v>
      </c>
      <c r="H340" s="485" t="s">
        <v>3402</v>
      </c>
      <c r="I340" s="481" t="s">
        <v>2118</v>
      </c>
      <c r="J340" s="481" t="s">
        <v>3055</v>
      </c>
      <c r="K340" s="481" t="s">
        <v>3055</v>
      </c>
    </row>
    <row r="341" spans="1:11" ht="78.75">
      <c r="A341" s="481" t="s">
        <v>38</v>
      </c>
      <c r="B341" s="481" t="s">
        <v>4561</v>
      </c>
      <c r="C341" s="479">
        <v>0.46666666666666662</v>
      </c>
      <c r="D341" s="481" t="s">
        <v>4561</v>
      </c>
      <c r="E341" s="479">
        <v>0.47291666666666665</v>
      </c>
      <c r="F341" s="481" t="s">
        <v>2901</v>
      </c>
      <c r="G341" s="481" t="s">
        <v>301</v>
      </c>
      <c r="H341" s="485" t="s">
        <v>3402</v>
      </c>
      <c r="I341" s="481" t="s">
        <v>2118</v>
      </c>
      <c r="J341" s="481" t="s">
        <v>3055</v>
      </c>
      <c r="K341" s="481" t="s">
        <v>3055</v>
      </c>
    </row>
    <row r="342" spans="1:11" ht="67.5">
      <c r="A342" s="481" t="s">
        <v>38</v>
      </c>
      <c r="B342" s="481" t="s">
        <v>4553</v>
      </c>
      <c r="C342" s="479">
        <v>0.73611111111111116</v>
      </c>
      <c r="D342" s="481" t="s">
        <v>4553</v>
      </c>
      <c r="E342" s="479">
        <v>0.92361111111111116</v>
      </c>
      <c r="F342" s="481" t="s">
        <v>2900</v>
      </c>
      <c r="G342" s="481" t="s">
        <v>124</v>
      </c>
      <c r="H342" s="485" t="s">
        <v>3411</v>
      </c>
      <c r="I342" s="481" t="s">
        <v>2483</v>
      </c>
      <c r="J342" s="481" t="s">
        <v>3055</v>
      </c>
      <c r="K342" s="481" t="s">
        <v>3055</v>
      </c>
    </row>
    <row r="343" spans="1:11" ht="33.75">
      <c r="A343" s="481" t="s">
        <v>38</v>
      </c>
      <c r="B343" s="481" t="s">
        <v>4574</v>
      </c>
      <c r="C343" s="479">
        <v>0.5</v>
      </c>
      <c r="D343" s="481" t="s">
        <v>4575</v>
      </c>
      <c r="E343" s="479">
        <v>0.40625</v>
      </c>
      <c r="F343" s="481" t="s">
        <v>4576</v>
      </c>
      <c r="G343" s="481" t="s">
        <v>61</v>
      </c>
      <c r="H343" s="485" t="s">
        <v>3356</v>
      </c>
      <c r="I343" s="481" t="s">
        <v>100</v>
      </c>
      <c r="J343" s="481" t="s">
        <v>3055</v>
      </c>
      <c r="K343" s="481" t="s">
        <v>3055</v>
      </c>
    </row>
    <row r="344" spans="1:11" ht="45">
      <c r="A344" s="481" t="s">
        <v>38</v>
      </c>
      <c r="B344" s="481" t="s">
        <v>4575</v>
      </c>
      <c r="C344" s="479">
        <v>0.4458333333333333</v>
      </c>
      <c r="D344" s="481" t="s">
        <v>4575</v>
      </c>
      <c r="E344" s="479">
        <v>0.53125</v>
      </c>
      <c r="F344" s="481" t="s">
        <v>3424</v>
      </c>
      <c r="G344" s="481" t="s">
        <v>124</v>
      </c>
      <c r="H344" s="485" t="s">
        <v>3387</v>
      </c>
      <c r="I344" s="481" t="s">
        <v>2764</v>
      </c>
      <c r="J344" s="481" t="s">
        <v>3055</v>
      </c>
      <c r="K344" s="481" t="s">
        <v>3055</v>
      </c>
    </row>
    <row r="345" spans="1:11" ht="33.75">
      <c r="A345" s="481" t="s">
        <v>38</v>
      </c>
      <c r="B345" s="481" t="s">
        <v>4577</v>
      </c>
      <c r="C345" s="479">
        <v>1.3888888888888888E-2</v>
      </c>
      <c r="D345" s="481" t="s">
        <v>4577</v>
      </c>
      <c r="E345" s="479">
        <v>0.33333333333333331</v>
      </c>
      <c r="F345" s="481" t="s">
        <v>2813</v>
      </c>
      <c r="G345" s="481" t="s">
        <v>124</v>
      </c>
      <c r="H345" s="485" t="s">
        <v>3928</v>
      </c>
      <c r="I345" s="481" t="s">
        <v>2764</v>
      </c>
      <c r="J345" s="481" t="s">
        <v>3055</v>
      </c>
      <c r="K345" s="481" t="s">
        <v>3055</v>
      </c>
    </row>
    <row r="346" spans="1:11" ht="33.75">
      <c r="A346" s="481" t="s">
        <v>38</v>
      </c>
      <c r="B346" s="481" t="s">
        <v>4578</v>
      </c>
      <c r="C346" s="479">
        <v>0.31944444444444448</v>
      </c>
      <c r="D346" s="481" t="s">
        <v>45</v>
      </c>
      <c r="E346" s="479" t="s">
        <v>45</v>
      </c>
      <c r="F346" s="481" t="s">
        <v>2849</v>
      </c>
      <c r="G346" s="481" t="s">
        <v>124</v>
      </c>
      <c r="H346" s="485" t="s">
        <v>3654</v>
      </c>
      <c r="I346" s="481" t="s">
        <v>1138</v>
      </c>
      <c r="J346" s="481" t="s">
        <v>3055</v>
      </c>
      <c r="K346" s="481" t="s">
        <v>3055</v>
      </c>
    </row>
    <row r="347" spans="1:11" ht="33.75">
      <c r="A347" s="481" t="s">
        <v>38</v>
      </c>
      <c r="B347" s="481" t="s">
        <v>4579</v>
      </c>
      <c r="C347" s="479">
        <v>0.63055555555555554</v>
      </c>
      <c r="D347" s="481" t="s">
        <v>4579</v>
      </c>
      <c r="E347" s="479">
        <v>0.9375</v>
      </c>
      <c r="F347" s="481" t="s">
        <v>2895</v>
      </c>
      <c r="G347" s="481" t="s">
        <v>3143</v>
      </c>
      <c r="H347" s="485" t="s">
        <v>3451</v>
      </c>
      <c r="I347" s="481" t="s">
        <v>22</v>
      </c>
      <c r="J347" s="481" t="s">
        <v>45</v>
      </c>
      <c r="K347" s="481" t="s">
        <v>4580</v>
      </c>
    </row>
    <row r="348" spans="1:11" ht="33.75">
      <c r="A348" s="481" t="s">
        <v>38</v>
      </c>
      <c r="B348" s="481" t="s">
        <v>4579</v>
      </c>
      <c r="C348" s="479">
        <v>0.61944444444444446</v>
      </c>
      <c r="D348" s="481" t="s">
        <v>4581</v>
      </c>
      <c r="E348" s="479">
        <v>0.24930555555555556</v>
      </c>
      <c r="F348" s="481" t="s">
        <v>2895</v>
      </c>
      <c r="G348" s="481" t="s">
        <v>3143</v>
      </c>
      <c r="H348" s="485" t="s">
        <v>3451</v>
      </c>
      <c r="I348" s="481" t="s">
        <v>22</v>
      </c>
      <c r="J348" s="481" t="s">
        <v>45</v>
      </c>
      <c r="K348" s="481" t="s">
        <v>4582</v>
      </c>
    </row>
    <row r="349" spans="1:11" ht="90">
      <c r="A349" s="481" t="s">
        <v>38</v>
      </c>
      <c r="B349" s="481" t="s">
        <v>4579</v>
      </c>
      <c r="C349" s="479">
        <v>0.52083333333333337</v>
      </c>
      <c r="D349" s="481" t="s">
        <v>4583</v>
      </c>
      <c r="E349" s="479">
        <v>0.4055555555555555</v>
      </c>
      <c r="F349" s="481" t="s">
        <v>4584</v>
      </c>
      <c r="G349" s="481" t="s">
        <v>3143</v>
      </c>
      <c r="H349" s="485" t="s">
        <v>3451</v>
      </c>
      <c r="I349" s="481" t="s">
        <v>22</v>
      </c>
      <c r="J349" s="481" t="s">
        <v>45</v>
      </c>
      <c r="K349" s="481" t="s">
        <v>3560</v>
      </c>
    </row>
    <row r="350" spans="1:11" ht="45">
      <c r="A350" s="481" t="s">
        <v>38</v>
      </c>
      <c r="B350" s="481" t="s">
        <v>4579</v>
      </c>
      <c r="C350" s="479">
        <v>0.65069444444444446</v>
      </c>
      <c r="D350" s="481" t="s">
        <v>4585</v>
      </c>
      <c r="E350" s="479">
        <v>0.51041666666666663</v>
      </c>
      <c r="F350" s="481" t="s">
        <v>4586</v>
      </c>
      <c r="G350" s="481" t="s">
        <v>3143</v>
      </c>
      <c r="H350" s="485" t="s">
        <v>3451</v>
      </c>
      <c r="I350" s="481" t="s">
        <v>22</v>
      </c>
      <c r="J350" s="481" t="s">
        <v>45</v>
      </c>
      <c r="K350" s="481" t="s">
        <v>4587</v>
      </c>
    </row>
    <row r="351" spans="1:11" ht="45">
      <c r="A351" s="481" t="s">
        <v>38</v>
      </c>
      <c r="B351" s="481" t="s">
        <v>4579</v>
      </c>
      <c r="C351" s="479">
        <v>0.96180555555555547</v>
      </c>
      <c r="D351" s="481" t="s">
        <v>4581</v>
      </c>
      <c r="E351" s="479">
        <v>0.20833333333333334</v>
      </c>
      <c r="F351" s="481" t="s">
        <v>3264</v>
      </c>
      <c r="G351" s="481" t="s">
        <v>61</v>
      </c>
      <c r="H351" s="485" t="s">
        <v>3451</v>
      </c>
      <c r="I351" s="481" t="s">
        <v>22</v>
      </c>
      <c r="J351" s="481" t="s">
        <v>45</v>
      </c>
      <c r="K351" s="481" t="s">
        <v>4588</v>
      </c>
    </row>
    <row r="352" spans="1:11" ht="33.75">
      <c r="A352" s="481" t="s">
        <v>38</v>
      </c>
      <c r="B352" s="481" t="s">
        <v>4579</v>
      </c>
      <c r="C352" s="479">
        <v>0.47916666666666669</v>
      </c>
      <c r="D352" s="481" t="s">
        <v>4581</v>
      </c>
      <c r="E352" s="479">
        <v>0.1423611111111111</v>
      </c>
      <c r="F352" s="481" t="s">
        <v>4589</v>
      </c>
      <c r="G352" s="481" t="s">
        <v>3143</v>
      </c>
      <c r="H352" s="485" t="s">
        <v>3451</v>
      </c>
      <c r="I352" s="481" t="s">
        <v>22</v>
      </c>
      <c r="J352" s="481" t="s">
        <v>45</v>
      </c>
      <c r="K352" s="481" t="s">
        <v>4368</v>
      </c>
    </row>
    <row r="353" spans="1:11" ht="45">
      <c r="A353" s="481" t="s">
        <v>38</v>
      </c>
      <c r="B353" s="481" t="s">
        <v>4583</v>
      </c>
      <c r="C353" s="479">
        <v>0.35416666666666669</v>
      </c>
      <c r="D353" s="481" t="s">
        <v>4583</v>
      </c>
      <c r="E353" s="479">
        <v>0.4513888888888889</v>
      </c>
      <c r="F353" s="481" t="s">
        <v>4590</v>
      </c>
      <c r="G353" s="481" t="s">
        <v>63</v>
      </c>
      <c r="H353" s="485" t="s">
        <v>3387</v>
      </c>
      <c r="I353" s="481" t="s">
        <v>2764</v>
      </c>
      <c r="J353" s="481" t="s">
        <v>3055</v>
      </c>
      <c r="K353" s="481" t="s">
        <v>3055</v>
      </c>
    </row>
    <row r="354" spans="1:11" ht="45">
      <c r="A354" s="481" t="s">
        <v>38</v>
      </c>
      <c r="B354" s="481" t="s">
        <v>4583</v>
      </c>
      <c r="C354" s="479">
        <v>0.43055555555555558</v>
      </c>
      <c r="D354" s="481" t="s">
        <v>4583</v>
      </c>
      <c r="E354" s="479">
        <v>0.47083333333333338</v>
      </c>
      <c r="F354" s="481" t="s">
        <v>2959</v>
      </c>
      <c r="G354" s="481" t="s">
        <v>61</v>
      </c>
      <c r="H354" s="485" t="s">
        <v>3387</v>
      </c>
      <c r="I354" s="481" t="s">
        <v>2764</v>
      </c>
      <c r="J354" s="481" t="s">
        <v>3055</v>
      </c>
      <c r="K354" s="481" t="s">
        <v>3055</v>
      </c>
    </row>
    <row r="355" spans="1:11" ht="33.75">
      <c r="A355" s="481" t="s">
        <v>38</v>
      </c>
      <c r="B355" s="481" t="s">
        <v>4591</v>
      </c>
      <c r="C355" s="479">
        <v>0.38194444444444442</v>
      </c>
      <c r="D355" s="481" t="s">
        <v>4591</v>
      </c>
      <c r="E355" s="479">
        <v>0.39027777777777778</v>
      </c>
      <c r="F355" s="481" t="s">
        <v>4592</v>
      </c>
      <c r="G355" s="481" t="s">
        <v>1352</v>
      </c>
      <c r="H355" s="485" t="s">
        <v>3696</v>
      </c>
      <c r="I355" s="481" t="s">
        <v>2764</v>
      </c>
      <c r="J355" s="481" t="s">
        <v>3055</v>
      </c>
      <c r="K355" s="481" t="s">
        <v>45</v>
      </c>
    </row>
    <row r="356" spans="1:11" ht="78.75">
      <c r="A356" s="481" t="s">
        <v>38</v>
      </c>
      <c r="B356" s="481" t="s">
        <v>4593</v>
      </c>
      <c r="C356" s="479">
        <v>0.4993055555555555</v>
      </c>
      <c r="D356" s="481" t="s">
        <v>4593</v>
      </c>
      <c r="E356" s="479">
        <v>0.54097222222222219</v>
      </c>
      <c r="F356" s="481" t="s">
        <v>2817</v>
      </c>
      <c r="G356" s="481" t="s">
        <v>124</v>
      </c>
      <c r="H356" s="485" t="s">
        <v>3402</v>
      </c>
      <c r="I356" s="481" t="s">
        <v>2293</v>
      </c>
      <c r="J356" s="481" t="s">
        <v>4334</v>
      </c>
      <c r="K356" s="481" t="s">
        <v>4594</v>
      </c>
    </row>
    <row r="357" spans="1:11" ht="45">
      <c r="A357" s="481" t="s">
        <v>38</v>
      </c>
      <c r="B357" s="481" t="s">
        <v>4595</v>
      </c>
      <c r="C357" s="479">
        <v>0.24305555555555555</v>
      </c>
      <c r="D357" s="481" t="s">
        <v>4595</v>
      </c>
      <c r="E357" s="479">
        <v>0.31041666666666667</v>
      </c>
      <c r="F357" s="481" t="s">
        <v>3872</v>
      </c>
      <c r="G357" s="481" t="s">
        <v>674</v>
      </c>
      <c r="H357" s="485" t="s">
        <v>3387</v>
      </c>
      <c r="I357" s="481" t="s">
        <v>2764</v>
      </c>
      <c r="J357" s="481" t="s">
        <v>3055</v>
      </c>
      <c r="K357" s="481" t="s">
        <v>3055</v>
      </c>
    </row>
    <row r="358" spans="1:11" ht="67.5">
      <c r="A358" s="481" t="s">
        <v>38</v>
      </c>
      <c r="B358" s="481" t="s">
        <v>4596</v>
      </c>
      <c r="C358" s="479">
        <v>0.60625000000000007</v>
      </c>
      <c r="D358" s="481" t="s">
        <v>4596</v>
      </c>
      <c r="E358" s="479">
        <v>0.72222222222222221</v>
      </c>
      <c r="F358" s="481" t="s">
        <v>4402</v>
      </c>
      <c r="G358" s="481" t="s">
        <v>1352</v>
      </c>
      <c r="H358" s="485" t="s">
        <v>3411</v>
      </c>
      <c r="I358" s="481" t="s">
        <v>2483</v>
      </c>
      <c r="J358" s="481" t="s">
        <v>3055</v>
      </c>
      <c r="K358" s="481" t="s">
        <v>3055</v>
      </c>
    </row>
    <row r="359" spans="1:11" ht="33.75">
      <c r="A359" s="481" t="s">
        <v>38</v>
      </c>
      <c r="B359" s="481" t="s">
        <v>4596</v>
      </c>
      <c r="C359" s="479">
        <v>0.68333333333333324</v>
      </c>
      <c r="D359" s="481" t="s">
        <v>4597</v>
      </c>
      <c r="E359" s="479">
        <v>0.60069444444444442</v>
      </c>
      <c r="F359" s="481" t="s">
        <v>4598</v>
      </c>
      <c r="G359" s="481" t="s">
        <v>61</v>
      </c>
      <c r="H359" s="485" t="s">
        <v>3451</v>
      </c>
      <c r="I359" s="481" t="s">
        <v>22</v>
      </c>
      <c r="J359" s="481" t="s">
        <v>45</v>
      </c>
      <c r="K359" s="481" t="s">
        <v>3945</v>
      </c>
    </row>
    <row r="360" spans="1:11" ht="33.75">
      <c r="A360" s="481" t="s">
        <v>47</v>
      </c>
      <c r="B360" s="481" t="s">
        <v>4597</v>
      </c>
      <c r="C360" s="479">
        <v>0.52222222222222225</v>
      </c>
      <c r="D360" s="481" t="s">
        <v>4597</v>
      </c>
      <c r="E360" s="479">
        <v>0.95138888888888884</v>
      </c>
      <c r="F360" s="481" t="s">
        <v>2895</v>
      </c>
      <c r="G360" s="481" t="s">
        <v>3143</v>
      </c>
      <c r="H360" s="485" t="s">
        <v>3451</v>
      </c>
      <c r="I360" s="481" t="s">
        <v>22</v>
      </c>
      <c r="J360" s="481" t="s">
        <v>45</v>
      </c>
      <c r="K360" s="481" t="s">
        <v>4599</v>
      </c>
    </row>
    <row r="361" spans="1:11" ht="67.5">
      <c r="A361" s="481" t="s">
        <v>47</v>
      </c>
      <c r="B361" s="481" t="s">
        <v>4600</v>
      </c>
      <c r="C361" s="479">
        <v>0.3756944444444445</v>
      </c>
      <c r="D361" s="481" t="s">
        <v>4600</v>
      </c>
      <c r="E361" s="479">
        <v>0.37708333333333338</v>
      </c>
      <c r="F361" s="481" t="s">
        <v>2900</v>
      </c>
      <c r="G361" s="481" t="s">
        <v>124</v>
      </c>
      <c r="H361" s="485" t="s">
        <v>3411</v>
      </c>
      <c r="I361" s="481" t="s">
        <v>2483</v>
      </c>
      <c r="J361" s="481" t="s">
        <v>4384</v>
      </c>
      <c r="K361" s="481" t="s">
        <v>3055</v>
      </c>
    </row>
    <row r="362" spans="1:11" ht="33.75">
      <c r="A362" s="481" t="s">
        <v>47</v>
      </c>
      <c r="B362" s="481" t="s">
        <v>4600</v>
      </c>
      <c r="C362" s="479">
        <v>3.0555555555555555E-2</v>
      </c>
      <c r="D362" s="481" t="s">
        <v>4601</v>
      </c>
      <c r="E362" s="479">
        <v>0.4604166666666667</v>
      </c>
      <c r="F362" s="481" t="s">
        <v>4355</v>
      </c>
      <c r="G362" s="481" t="s">
        <v>124</v>
      </c>
      <c r="H362" s="485" t="s">
        <v>3451</v>
      </c>
      <c r="I362" s="481" t="s">
        <v>22</v>
      </c>
      <c r="J362" s="481" t="s">
        <v>4602</v>
      </c>
      <c r="K362" s="481" t="s">
        <v>4155</v>
      </c>
    </row>
    <row r="363" spans="1:11" ht="78.75">
      <c r="A363" s="481" t="s">
        <v>47</v>
      </c>
      <c r="B363" s="481" t="s">
        <v>4600</v>
      </c>
      <c r="C363" s="479">
        <v>0.45624999999999999</v>
      </c>
      <c r="D363" s="481" t="s">
        <v>4603</v>
      </c>
      <c r="E363" s="479">
        <v>0.62638888888888888</v>
      </c>
      <c r="F363" s="481" t="s">
        <v>4604</v>
      </c>
      <c r="G363" s="481" t="s">
        <v>124</v>
      </c>
      <c r="H363" s="485" t="s">
        <v>3451</v>
      </c>
      <c r="I363" s="481" t="s">
        <v>22</v>
      </c>
      <c r="J363" s="481" t="s">
        <v>3106</v>
      </c>
      <c r="K363" s="481" t="s">
        <v>4605</v>
      </c>
    </row>
    <row r="364" spans="1:11" ht="45">
      <c r="A364" s="481" t="s">
        <v>47</v>
      </c>
      <c r="B364" s="481" t="s">
        <v>4601</v>
      </c>
      <c r="C364" s="479">
        <v>0.69444444444444453</v>
      </c>
      <c r="D364" s="481" t="s">
        <v>45</v>
      </c>
      <c r="E364" s="479" t="s">
        <v>45</v>
      </c>
      <c r="F364" s="481" t="s">
        <v>3264</v>
      </c>
      <c r="G364" s="481" t="s">
        <v>61</v>
      </c>
      <c r="H364" s="485" t="s">
        <v>3451</v>
      </c>
      <c r="I364" s="481" t="s">
        <v>22</v>
      </c>
      <c r="J364" s="481" t="s">
        <v>45</v>
      </c>
      <c r="K364" s="481" t="s">
        <v>4606</v>
      </c>
    </row>
    <row r="365" spans="1:11" ht="45">
      <c r="A365" s="481" t="s">
        <v>47</v>
      </c>
      <c r="B365" s="481" t="s">
        <v>4607</v>
      </c>
      <c r="C365" s="479">
        <v>0.40625</v>
      </c>
      <c r="D365" s="481" t="s">
        <v>4607</v>
      </c>
      <c r="E365" s="479">
        <v>0.70833333333333337</v>
      </c>
      <c r="F365" s="481" t="s">
        <v>3245</v>
      </c>
      <c r="G365" s="481" t="s">
        <v>3143</v>
      </c>
      <c r="H365" s="485" t="s">
        <v>3447</v>
      </c>
      <c r="I365" s="481" t="s">
        <v>2764</v>
      </c>
      <c r="J365" s="481" t="s">
        <v>3055</v>
      </c>
      <c r="K365" s="481" t="s">
        <v>3055</v>
      </c>
    </row>
    <row r="366" spans="1:11" ht="67.5">
      <c r="A366" s="481" t="s">
        <v>47</v>
      </c>
      <c r="B366" s="481" t="s">
        <v>4608</v>
      </c>
      <c r="C366" s="479">
        <v>0.75694444444444453</v>
      </c>
      <c r="D366" s="481" t="s">
        <v>4609</v>
      </c>
      <c r="E366" s="479">
        <v>0.88124999999999998</v>
      </c>
      <c r="F366" s="481" t="s">
        <v>4610</v>
      </c>
      <c r="G366" s="481" t="s">
        <v>124</v>
      </c>
      <c r="H366" s="485" t="s">
        <v>3451</v>
      </c>
      <c r="I366" s="481" t="s">
        <v>22</v>
      </c>
      <c r="J366" s="481" t="s">
        <v>4611</v>
      </c>
      <c r="K366" s="481" t="s">
        <v>4612</v>
      </c>
    </row>
    <row r="367" spans="1:11" ht="45">
      <c r="A367" s="481" t="s">
        <v>47</v>
      </c>
      <c r="B367" s="481" t="s">
        <v>4609</v>
      </c>
      <c r="C367" s="479">
        <v>0.40486111111111112</v>
      </c>
      <c r="D367" s="481" t="s">
        <v>4609</v>
      </c>
      <c r="E367" s="479">
        <v>0.43958333333333338</v>
      </c>
      <c r="F367" s="481" t="s">
        <v>3528</v>
      </c>
      <c r="G367" s="481" t="s">
        <v>3143</v>
      </c>
      <c r="H367" s="485" t="s">
        <v>3387</v>
      </c>
      <c r="I367" s="481" t="s">
        <v>2764</v>
      </c>
      <c r="J367" s="481" t="s">
        <v>3055</v>
      </c>
      <c r="K367" s="481" t="s">
        <v>3055</v>
      </c>
    </row>
    <row r="368" spans="1:11" ht="45">
      <c r="A368" s="481" t="s">
        <v>47</v>
      </c>
      <c r="B368" s="481" t="s">
        <v>4613</v>
      </c>
      <c r="C368" s="479">
        <v>0.55555555555555558</v>
      </c>
      <c r="D368" s="481" t="s">
        <v>4613</v>
      </c>
      <c r="E368" s="479">
        <v>0.60416666666666663</v>
      </c>
      <c r="F368" s="481" t="s">
        <v>4614</v>
      </c>
      <c r="G368" s="481" t="s">
        <v>674</v>
      </c>
      <c r="H368" s="485" t="s">
        <v>3387</v>
      </c>
      <c r="I368" s="481" t="s">
        <v>2764</v>
      </c>
      <c r="J368" s="481" t="s">
        <v>3055</v>
      </c>
      <c r="K368" s="481" t="s">
        <v>3055</v>
      </c>
    </row>
    <row r="369" spans="1:11" ht="45">
      <c r="A369" s="481" t="s">
        <v>47</v>
      </c>
      <c r="B369" s="481" t="s">
        <v>4615</v>
      </c>
      <c r="C369" s="479">
        <v>0.6875</v>
      </c>
      <c r="D369" s="481" t="s">
        <v>4616</v>
      </c>
      <c r="E369" s="479">
        <v>0.20833333333333334</v>
      </c>
      <c r="F369" s="481" t="s">
        <v>2801</v>
      </c>
      <c r="G369" s="481" t="s">
        <v>124</v>
      </c>
      <c r="H369" s="485" t="s">
        <v>3447</v>
      </c>
      <c r="I369" s="481" t="s">
        <v>2764</v>
      </c>
      <c r="J369" s="481" t="s">
        <v>3055</v>
      </c>
      <c r="K369" s="481" t="s">
        <v>3055</v>
      </c>
    </row>
    <row r="370" spans="1:11" ht="45">
      <c r="A370" s="481" t="s">
        <v>47</v>
      </c>
      <c r="B370" s="481" t="s">
        <v>4617</v>
      </c>
      <c r="C370" s="479">
        <v>0.95208333333333339</v>
      </c>
      <c r="D370" s="481" t="s">
        <v>4617</v>
      </c>
      <c r="E370" s="479">
        <v>0.99791666666666667</v>
      </c>
      <c r="F370" s="481" t="s">
        <v>2809</v>
      </c>
      <c r="G370" s="481" t="s">
        <v>1352</v>
      </c>
      <c r="H370" s="485" t="s">
        <v>3387</v>
      </c>
      <c r="I370" s="481" t="s">
        <v>2764</v>
      </c>
      <c r="J370" s="481" t="s">
        <v>3055</v>
      </c>
      <c r="K370" s="481" t="s">
        <v>3055</v>
      </c>
    </row>
    <row r="371" spans="1:11" ht="67.5">
      <c r="A371" s="481" t="s">
        <v>47</v>
      </c>
      <c r="B371" s="481" t="s">
        <v>4618</v>
      </c>
      <c r="C371" s="479">
        <v>0.28263888888888888</v>
      </c>
      <c r="D371" s="481" t="s">
        <v>4618</v>
      </c>
      <c r="E371" s="479">
        <v>0.31666666666666665</v>
      </c>
      <c r="F371" s="481" t="s">
        <v>2945</v>
      </c>
      <c r="G371" s="481" t="s">
        <v>124</v>
      </c>
      <c r="H371" s="485" t="s">
        <v>4389</v>
      </c>
      <c r="I371" s="481" t="s">
        <v>2764</v>
      </c>
      <c r="J371" s="481" t="s">
        <v>4619</v>
      </c>
      <c r="K371" s="481" t="s">
        <v>4620</v>
      </c>
    </row>
    <row r="372" spans="1:11" ht="33.75">
      <c r="A372" s="481" t="s">
        <v>47</v>
      </c>
      <c r="B372" s="481" t="s">
        <v>4621</v>
      </c>
      <c r="C372" s="479">
        <v>0.45833333333333331</v>
      </c>
      <c r="D372" s="481" t="s">
        <v>45</v>
      </c>
      <c r="E372" s="479" t="s">
        <v>45</v>
      </c>
      <c r="F372" s="481" t="s">
        <v>4622</v>
      </c>
      <c r="G372" s="481" t="s">
        <v>124</v>
      </c>
      <c r="H372" s="485" t="s">
        <v>3928</v>
      </c>
      <c r="I372" s="481" t="s">
        <v>2952</v>
      </c>
      <c r="J372" s="481" t="s">
        <v>3055</v>
      </c>
      <c r="K372" s="481" t="s">
        <v>3055</v>
      </c>
    </row>
    <row r="373" spans="1:11" ht="45">
      <c r="A373" s="481" t="s">
        <v>47</v>
      </c>
      <c r="B373" s="481" t="s">
        <v>4621</v>
      </c>
      <c r="C373" s="479">
        <v>0.7090277777777777</v>
      </c>
      <c r="D373" s="481" t="s">
        <v>4621</v>
      </c>
      <c r="E373" s="479">
        <v>0.7319444444444444</v>
      </c>
      <c r="F373" s="481" t="s">
        <v>2945</v>
      </c>
      <c r="G373" s="481" t="s">
        <v>124</v>
      </c>
      <c r="H373" s="485" t="s">
        <v>3387</v>
      </c>
      <c r="I373" s="481" t="s">
        <v>2764</v>
      </c>
      <c r="J373" s="481" t="s">
        <v>3055</v>
      </c>
      <c r="K373" s="481" t="s">
        <v>3055</v>
      </c>
    </row>
    <row r="374" spans="1:11" ht="33.75">
      <c r="A374" s="481" t="s">
        <v>47</v>
      </c>
      <c r="B374" s="481" t="s">
        <v>4621</v>
      </c>
      <c r="C374" s="479">
        <v>6.25E-2</v>
      </c>
      <c r="D374" s="481" t="s">
        <v>45</v>
      </c>
      <c r="E374" s="479" t="s">
        <v>45</v>
      </c>
      <c r="F374" s="481" t="s">
        <v>4623</v>
      </c>
      <c r="G374" s="481" t="s">
        <v>3143</v>
      </c>
      <c r="H374" s="485" t="s">
        <v>3928</v>
      </c>
      <c r="I374" s="481" t="s">
        <v>2952</v>
      </c>
      <c r="J374" s="481" t="s">
        <v>3055</v>
      </c>
      <c r="K374" s="481" t="s">
        <v>3055</v>
      </c>
    </row>
    <row r="375" spans="1:11" ht="67.5">
      <c r="A375" s="481" t="s">
        <v>47</v>
      </c>
      <c r="B375" s="481" t="s">
        <v>4624</v>
      </c>
      <c r="C375" s="479">
        <v>0.97222222222222221</v>
      </c>
      <c r="D375" s="481" t="s">
        <v>4625</v>
      </c>
      <c r="E375" s="479">
        <v>0.30555555555555552</v>
      </c>
      <c r="F375" s="481" t="s">
        <v>3693</v>
      </c>
      <c r="G375" s="481" t="s">
        <v>674</v>
      </c>
      <c r="H375" s="485" t="s">
        <v>3411</v>
      </c>
      <c r="I375" s="481" t="s">
        <v>2483</v>
      </c>
      <c r="J375" s="481" t="s">
        <v>45</v>
      </c>
      <c r="K375" s="481" t="s">
        <v>45</v>
      </c>
    </row>
    <row r="376" spans="1:11" ht="67.5">
      <c r="A376" s="481" t="s">
        <v>47</v>
      </c>
      <c r="B376" s="481" t="s">
        <v>4625</v>
      </c>
      <c r="C376" s="479">
        <v>0.33819444444444446</v>
      </c>
      <c r="D376" s="481" t="s">
        <v>4625</v>
      </c>
      <c r="E376" s="479">
        <v>0.35555555555555557</v>
      </c>
      <c r="F376" s="481" t="s">
        <v>2945</v>
      </c>
      <c r="G376" s="481" t="s">
        <v>124</v>
      </c>
      <c r="H376" s="485" t="s">
        <v>4071</v>
      </c>
      <c r="I376" s="481" t="s">
        <v>22</v>
      </c>
      <c r="J376" s="481" t="s">
        <v>4036</v>
      </c>
      <c r="K376" s="481" t="s">
        <v>4626</v>
      </c>
    </row>
    <row r="377" spans="1:11" ht="45">
      <c r="A377" s="481" t="s">
        <v>47</v>
      </c>
      <c r="B377" s="481" t="s">
        <v>4625</v>
      </c>
      <c r="C377" s="479">
        <v>0.67986111111111114</v>
      </c>
      <c r="D377" s="481" t="s">
        <v>4625</v>
      </c>
      <c r="E377" s="479">
        <v>0.70624999999999993</v>
      </c>
      <c r="F377" s="481" t="s">
        <v>3528</v>
      </c>
      <c r="G377" s="481" t="s">
        <v>3143</v>
      </c>
      <c r="H377" s="485" t="s">
        <v>3387</v>
      </c>
      <c r="I377" s="481" t="s">
        <v>2764</v>
      </c>
      <c r="J377" s="481" t="s">
        <v>3055</v>
      </c>
      <c r="K377" s="481" t="s">
        <v>3055</v>
      </c>
    </row>
    <row r="378" spans="1:11" ht="78.75">
      <c r="A378" s="481" t="s">
        <v>47</v>
      </c>
      <c r="B378" s="481" t="s">
        <v>4627</v>
      </c>
      <c r="C378" s="479">
        <v>0.27361111111111108</v>
      </c>
      <c r="D378" s="481" t="s">
        <v>4627</v>
      </c>
      <c r="E378" s="479">
        <v>0.41041666666666665</v>
      </c>
      <c r="F378" s="481" t="s">
        <v>4119</v>
      </c>
      <c r="G378" s="481" t="s">
        <v>124</v>
      </c>
      <c r="H378" s="485" t="s">
        <v>3402</v>
      </c>
      <c r="I378" s="481" t="s">
        <v>2118</v>
      </c>
      <c r="J378" s="481" t="s">
        <v>3055</v>
      </c>
      <c r="K378" s="481" t="s">
        <v>3055</v>
      </c>
    </row>
    <row r="379" spans="1:11" ht="33.75">
      <c r="A379" s="481" t="s">
        <v>47</v>
      </c>
      <c r="B379" s="481" t="s">
        <v>4628</v>
      </c>
      <c r="C379" s="479">
        <v>0.21249999999999999</v>
      </c>
      <c r="D379" s="481" t="s">
        <v>4628</v>
      </c>
      <c r="E379" s="479">
        <v>0.22361111111111109</v>
      </c>
      <c r="F379" s="481" t="s">
        <v>2967</v>
      </c>
      <c r="G379" s="481" t="s">
        <v>124</v>
      </c>
      <c r="H379" s="485" t="s">
        <v>3928</v>
      </c>
      <c r="I379" s="481" t="s">
        <v>2952</v>
      </c>
      <c r="J379" s="481" t="s">
        <v>3055</v>
      </c>
      <c r="K379" s="481" t="s">
        <v>3055</v>
      </c>
    </row>
    <row r="380" spans="1:11" ht="78.75">
      <c r="A380" s="481" t="s">
        <v>47</v>
      </c>
      <c r="B380" s="481" t="s">
        <v>4629</v>
      </c>
      <c r="C380" s="479">
        <v>9.7222222222222224E-2</v>
      </c>
      <c r="D380" s="481" t="s">
        <v>4629</v>
      </c>
      <c r="E380" s="479">
        <v>9.7916666666666666E-2</v>
      </c>
      <c r="F380" s="481" t="s">
        <v>3903</v>
      </c>
      <c r="G380" s="481" t="s">
        <v>124</v>
      </c>
      <c r="H380" s="485" t="s">
        <v>3402</v>
      </c>
      <c r="I380" s="481" t="s">
        <v>100</v>
      </c>
      <c r="J380" s="481" t="s">
        <v>3055</v>
      </c>
      <c r="K380" s="481" t="s">
        <v>3944</v>
      </c>
    </row>
    <row r="381" spans="1:11" ht="67.5">
      <c r="A381" s="481" t="s">
        <v>47</v>
      </c>
      <c r="B381" s="481" t="s">
        <v>4630</v>
      </c>
      <c r="C381" s="479">
        <v>0.98611111111111116</v>
      </c>
      <c r="D381" s="481" t="s">
        <v>45</v>
      </c>
      <c r="E381" s="479" t="s">
        <v>45</v>
      </c>
      <c r="F381" s="481" t="s">
        <v>4237</v>
      </c>
      <c r="G381" s="481" t="s">
        <v>3143</v>
      </c>
      <c r="H381" s="485" t="s">
        <v>3451</v>
      </c>
      <c r="I381" s="481" t="s">
        <v>3768</v>
      </c>
      <c r="J381" s="481" t="s">
        <v>45</v>
      </c>
      <c r="K381" s="481" t="s">
        <v>4631</v>
      </c>
    </row>
    <row r="382" spans="1:11" ht="33.75">
      <c r="A382" s="481" t="s">
        <v>47</v>
      </c>
      <c r="B382" s="481" t="s">
        <v>4632</v>
      </c>
      <c r="C382" s="479">
        <v>0.16041666666666668</v>
      </c>
      <c r="D382" s="481" t="s">
        <v>4632</v>
      </c>
      <c r="E382" s="479">
        <v>0.16111111111111112</v>
      </c>
      <c r="F382" s="481" t="s">
        <v>2945</v>
      </c>
      <c r="G382" s="481" t="s">
        <v>124</v>
      </c>
      <c r="H382" s="485" t="s">
        <v>3356</v>
      </c>
      <c r="I382" s="481" t="s">
        <v>100</v>
      </c>
      <c r="J382" s="481">
        <v>0</v>
      </c>
      <c r="K382" s="481" t="s">
        <v>3055</v>
      </c>
    </row>
    <row r="383" spans="1:11" ht="78.75">
      <c r="A383" s="481" t="s">
        <v>47</v>
      </c>
      <c r="B383" s="481" t="s">
        <v>4632</v>
      </c>
      <c r="C383" s="479">
        <v>0.78541666666666676</v>
      </c>
      <c r="D383" s="481" t="s">
        <v>4632</v>
      </c>
      <c r="E383" s="479">
        <v>0.80833333333333324</v>
      </c>
      <c r="F383" s="481" t="s">
        <v>4048</v>
      </c>
      <c r="G383" s="481" t="s">
        <v>3143</v>
      </c>
      <c r="H383" s="485" t="s">
        <v>3402</v>
      </c>
      <c r="I383" s="481" t="s">
        <v>2118</v>
      </c>
      <c r="J383" s="481" t="s">
        <v>3055</v>
      </c>
      <c r="K383" s="481" t="s">
        <v>3055</v>
      </c>
    </row>
    <row r="384" spans="1:11" ht="33.75">
      <c r="A384" s="481" t="s">
        <v>47</v>
      </c>
      <c r="B384" s="481" t="s">
        <v>4632</v>
      </c>
      <c r="C384" s="479">
        <v>0.3298611111111111</v>
      </c>
      <c r="D384" s="481" t="s">
        <v>4632</v>
      </c>
      <c r="E384" s="479">
        <v>0.69791666666666663</v>
      </c>
      <c r="F384" s="481" t="s">
        <v>4633</v>
      </c>
      <c r="G384" s="481" t="s">
        <v>61</v>
      </c>
      <c r="H384" s="485" t="s">
        <v>3451</v>
      </c>
      <c r="I384" s="481" t="s">
        <v>22</v>
      </c>
      <c r="J384" s="481" t="s">
        <v>45</v>
      </c>
      <c r="K384" s="481" t="s">
        <v>4634</v>
      </c>
    </row>
    <row r="385" spans="1:11" ht="33.75">
      <c r="A385" s="481" t="s">
        <v>47</v>
      </c>
      <c r="B385" s="481" t="s">
        <v>4635</v>
      </c>
      <c r="C385" s="479">
        <v>0.72986111111111107</v>
      </c>
      <c r="D385" s="481" t="s">
        <v>4636</v>
      </c>
      <c r="E385" s="479">
        <v>0.56319444444444444</v>
      </c>
      <c r="F385" s="481" t="s">
        <v>3325</v>
      </c>
      <c r="G385" s="481" t="s">
        <v>63</v>
      </c>
      <c r="H385" s="485" t="s">
        <v>3356</v>
      </c>
      <c r="I385" s="481" t="s">
        <v>100</v>
      </c>
      <c r="J385" s="481" t="s">
        <v>3055</v>
      </c>
      <c r="K385" s="481" t="s">
        <v>3055</v>
      </c>
    </row>
  </sheetData>
  <autoFilter ref="A2:K2" xr:uid="{00000000-0009-0000-0000-000012000000}"/>
  <mergeCells count="1">
    <mergeCell ref="A1:K1"/>
  </mergeCells>
  <printOptions gridLines="1"/>
  <pageMargins left="0.25" right="0.25" top="0.75" bottom="0.75" header="0.3" footer="0.3"/>
  <pageSetup scale="97" fitToHeight="0" orientation="landscape" r:id="rId1"/>
  <headerFooter>
    <oddFooter>&amp;C&amp;"Arial,Bold"Page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K389"/>
  <sheetViews>
    <sheetView zoomScaleNormal="100" workbookViewId="0">
      <pane ySplit="2" topLeftCell="A382" activePane="bottomLeft" state="frozen"/>
      <selection pane="bottomLeft" activeCell="B2" sqref="B2:K389"/>
    </sheetView>
  </sheetViews>
  <sheetFormatPr defaultRowHeight="14.25"/>
  <cols>
    <col min="1" max="1" width="11.42578125" style="463" customWidth="1"/>
    <col min="2" max="2" width="10.7109375" style="456" customWidth="1"/>
    <col min="3" max="3" width="10.7109375" style="457" customWidth="1"/>
    <col min="4" max="4" width="10.7109375" style="456" customWidth="1"/>
    <col min="5" max="5" width="10.7109375" style="457" customWidth="1"/>
    <col min="6" max="6" width="20.42578125" style="458" customWidth="1"/>
    <col min="7" max="7" width="6.7109375" style="459" customWidth="1"/>
    <col min="8" max="8" width="26.140625" style="460" customWidth="1"/>
    <col min="9" max="9" width="15.85546875" style="459" customWidth="1"/>
    <col min="10" max="10" width="7.7109375" style="461" customWidth="1"/>
    <col min="11" max="11" width="9.7109375" style="524" customWidth="1"/>
    <col min="12" max="256" width="11.42578125" style="419" customWidth="1"/>
    <col min="257" max="16384" width="9.140625" style="419"/>
  </cols>
  <sheetData>
    <row r="1" spans="1:11" s="412" customFormat="1" ht="15">
      <c r="A1" s="857" t="s">
        <v>4637</v>
      </c>
      <c r="B1" s="857"/>
      <c r="C1" s="857"/>
      <c r="D1" s="857"/>
      <c r="E1" s="857"/>
      <c r="F1" s="857"/>
      <c r="G1" s="857"/>
      <c r="H1" s="857"/>
      <c r="I1" s="857"/>
      <c r="J1" s="857"/>
      <c r="K1" s="857"/>
    </row>
    <row r="2" spans="1:11" ht="33.75">
      <c r="A2" s="518" t="s">
        <v>2742</v>
      </c>
      <c r="B2" s="414" t="s">
        <v>2105</v>
      </c>
      <c r="C2" s="415" t="s">
        <v>2106</v>
      </c>
      <c r="D2" s="414" t="s">
        <v>2107</v>
      </c>
      <c r="E2" s="415" t="s">
        <v>2108</v>
      </c>
      <c r="F2" s="416" t="s">
        <v>67</v>
      </c>
      <c r="G2" s="416" t="s">
        <v>57</v>
      </c>
      <c r="H2" s="416" t="s">
        <v>2743</v>
      </c>
      <c r="I2" s="416" t="s">
        <v>2109</v>
      </c>
      <c r="J2" s="417" t="s">
        <v>2110</v>
      </c>
      <c r="K2" s="523" t="s">
        <v>7</v>
      </c>
    </row>
    <row r="3" spans="1:11" ht="67.5">
      <c r="A3" s="481" t="s">
        <v>9</v>
      </c>
      <c r="B3" s="481" t="s">
        <v>4638</v>
      </c>
      <c r="C3" s="479">
        <v>0.29444444444444445</v>
      </c>
      <c r="D3" s="481" t="s">
        <v>4638</v>
      </c>
      <c r="E3" s="479">
        <v>0.2951388888888889</v>
      </c>
      <c r="F3" s="481" t="s">
        <v>3967</v>
      </c>
      <c r="G3" s="481" t="s">
        <v>124</v>
      </c>
      <c r="H3" s="485" t="s">
        <v>3463</v>
      </c>
      <c r="I3" s="481" t="s">
        <v>100</v>
      </c>
      <c r="J3" s="481" t="s">
        <v>3055</v>
      </c>
      <c r="K3" s="481" t="s">
        <v>3055</v>
      </c>
    </row>
    <row r="4" spans="1:11" ht="67.5">
      <c r="A4" s="481" t="s">
        <v>9</v>
      </c>
      <c r="B4" s="481" t="s">
        <v>4639</v>
      </c>
      <c r="C4" s="479">
        <v>0.43611111111111112</v>
      </c>
      <c r="D4" s="481" t="s">
        <v>4639</v>
      </c>
      <c r="E4" s="479">
        <v>0.4368055555555555</v>
      </c>
      <c r="F4" s="481" t="s">
        <v>2894</v>
      </c>
      <c r="G4" s="481" t="s">
        <v>124</v>
      </c>
      <c r="H4" s="485" t="s">
        <v>4071</v>
      </c>
      <c r="I4" s="481" t="s">
        <v>2764</v>
      </c>
      <c r="J4" s="481" t="s">
        <v>3643</v>
      </c>
      <c r="K4" s="481" t="s">
        <v>4640</v>
      </c>
    </row>
    <row r="5" spans="1:11" ht="67.5">
      <c r="A5" s="481" t="s">
        <v>9</v>
      </c>
      <c r="B5" s="481" t="s">
        <v>4641</v>
      </c>
      <c r="C5" s="479">
        <v>0.44027777777777777</v>
      </c>
      <c r="D5" s="481" t="s">
        <v>4641</v>
      </c>
      <c r="E5" s="479">
        <v>0.45069444444444445</v>
      </c>
      <c r="F5" s="481" t="s">
        <v>3245</v>
      </c>
      <c r="G5" s="481" t="s">
        <v>3143</v>
      </c>
      <c r="H5" s="485" t="s">
        <v>3411</v>
      </c>
      <c r="I5" s="481" t="s">
        <v>2483</v>
      </c>
      <c r="J5" s="481" t="s">
        <v>4642</v>
      </c>
      <c r="K5" s="481" t="s">
        <v>4643</v>
      </c>
    </row>
    <row r="6" spans="1:11" ht="33.75">
      <c r="A6" s="481" t="s">
        <v>9</v>
      </c>
      <c r="B6" s="481" t="s">
        <v>4644</v>
      </c>
      <c r="C6" s="479">
        <v>5.9722222222222225E-2</v>
      </c>
      <c r="D6" s="481" t="s">
        <v>4644</v>
      </c>
      <c r="E6" s="479">
        <v>0.11458333333333333</v>
      </c>
      <c r="F6" s="481" t="s">
        <v>4645</v>
      </c>
      <c r="G6" s="481" t="s">
        <v>63</v>
      </c>
      <c r="H6" s="485" t="s">
        <v>3356</v>
      </c>
      <c r="I6" s="481" t="s">
        <v>2343</v>
      </c>
      <c r="J6" s="481" t="s">
        <v>45</v>
      </c>
      <c r="K6" s="481" t="s">
        <v>4646</v>
      </c>
    </row>
    <row r="7" spans="1:11" ht="90">
      <c r="A7" s="481" t="s">
        <v>9</v>
      </c>
      <c r="B7" s="481" t="s">
        <v>4647</v>
      </c>
      <c r="C7" s="479">
        <v>0.9472222222222223</v>
      </c>
      <c r="D7" s="481" t="s">
        <v>4648</v>
      </c>
      <c r="E7" s="479">
        <v>0.66666666666666663</v>
      </c>
      <c r="F7" s="481" t="s">
        <v>4649</v>
      </c>
      <c r="G7" s="481" t="s">
        <v>1352</v>
      </c>
      <c r="H7" s="485" t="s">
        <v>3451</v>
      </c>
      <c r="I7" s="481" t="s">
        <v>22</v>
      </c>
      <c r="J7" s="481" t="s">
        <v>45</v>
      </c>
      <c r="K7" s="481" t="s">
        <v>4650</v>
      </c>
    </row>
    <row r="8" spans="1:11" ht="33.75">
      <c r="A8" s="481" t="s">
        <v>9</v>
      </c>
      <c r="B8" s="481" t="s">
        <v>4651</v>
      </c>
      <c r="C8" s="479">
        <v>0.20833333333333334</v>
      </c>
      <c r="D8" s="481" t="s">
        <v>4651</v>
      </c>
      <c r="E8" s="479">
        <v>0.59861111111111109</v>
      </c>
      <c r="F8" s="481" t="s">
        <v>3767</v>
      </c>
      <c r="G8" s="481" t="s">
        <v>63</v>
      </c>
      <c r="H8" s="485" t="s">
        <v>3451</v>
      </c>
      <c r="I8" s="481" t="s">
        <v>3768</v>
      </c>
      <c r="J8" s="481" t="s">
        <v>45</v>
      </c>
      <c r="K8" s="481" t="s">
        <v>3262</v>
      </c>
    </row>
    <row r="9" spans="1:11" ht="67.5">
      <c r="A9" s="481" t="s">
        <v>9</v>
      </c>
      <c r="B9" s="481" t="s">
        <v>4652</v>
      </c>
      <c r="C9" s="479">
        <v>0.99305555555555547</v>
      </c>
      <c r="D9" s="481" t="s">
        <v>4653</v>
      </c>
      <c r="E9" s="479">
        <v>0.54166666666666663</v>
      </c>
      <c r="F9" s="481" t="s">
        <v>4654</v>
      </c>
      <c r="G9" s="481" t="s">
        <v>124</v>
      </c>
      <c r="H9" s="485" t="s">
        <v>4071</v>
      </c>
      <c r="I9" s="481" t="s">
        <v>22</v>
      </c>
      <c r="J9" s="481" t="s">
        <v>3093</v>
      </c>
      <c r="K9" s="481" t="s">
        <v>4655</v>
      </c>
    </row>
    <row r="10" spans="1:11" ht="33.75">
      <c r="A10" s="481" t="s">
        <v>9</v>
      </c>
      <c r="B10" s="481" t="s">
        <v>4652</v>
      </c>
      <c r="C10" s="479">
        <v>0.8652777777777777</v>
      </c>
      <c r="D10" s="481" t="s">
        <v>4648</v>
      </c>
      <c r="E10" s="479">
        <v>0.66666666666666663</v>
      </c>
      <c r="F10" s="481" t="s">
        <v>4656</v>
      </c>
      <c r="G10" s="481" t="s">
        <v>124</v>
      </c>
      <c r="H10" s="485" t="s">
        <v>3451</v>
      </c>
      <c r="I10" s="481" t="s">
        <v>22</v>
      </c>
      <c r="J10" s="481" t="s">
        <v>45</v>
      </c>
      <c r="K10" s="481" t="s">
        <v>4657</v>
      </c>
    </row>
    <row r="11" spans="1:11" ht="33.75">
      <c r="A11" s="481" t="s">
        <v>9</v>
      </c>
      <c r="B11" s="481" t="s">
        <v>4652</v>
      </c>
      <c r="C11" s="479">
        <v>0.99236111111111114</v>
      </c>
      <c r="D11" s="481" t="s">
        <v>4658</v>
      </c>
      <c r="E11" s="479">
        <v>0.58333333333333337</v>
      </c>
      <c r="F11" s="481" t="s">
        <v>2853</v>
      </c>
      <c r="G11" s="481" t="s">
        <v>124</v>
      </c>
      <c r="H11" s="485" t="s">
        <v>3451</v>
      </c>
      <c r="I11" s="481" t="s">
        <v>3768</v>
      </c>
      <c r="J11" s="481" t="s">
        <v>3751</v>
      </c>
      <c r="K11" s="481" t="s">
        <v>3340</v>
      </c>
    </row>
    <row r="12" spans="1:11" ht="33.75">
      <c r="A12" s="481" t="s">
        <v>9</v>
      </c>
      <c r="B12" s="481" t="s">
        <v>4652</v>
      </c>
      <c r="C12" s="479">
        <v>0.85416666666666663</v>
      </c>
      <c r="D12" s="481" t="s">
        <v>45</v>
      </c>
      <c r="E12" s="479" t="s">
        <v>45</v>
      </c>
      <c r="F12" s="481" t="s">
        <v>2813</v>
      </c>
      <c r="G12" s="481" t="s">
        <v>124</v>
      </c>
      <c r="H12" s="485" t="s">
        <v>3451</v>
      </c>
      <c r="I12" s="481" t="s">
        <v>2990</v>
      </c>
      <c r="J12" s="481" t="s">
        <v>3110</v>
      </c>
      <c r="K12" s="481" t="s">
        <v>3542</v>
      </c>
    </row>
    <row r="13" spans="1:11" ht="33.75">
      <c r="A13" s="481" t="s">
        <v>9</v>
      </c>
      <c r="B13" s="481" t="s">
        <v>4648</v>
      </c>
      <c r="C13" s="479">
        <v>0.15486111111111112</v>
      </c>
      <c r="D13" s="481" t="s">
        <v>4648</v>
      </c>
      <c r="E13" s="479">
        <v>0.66666666666666663</v>
      </c>
      <c r="F13" s="481" t="s">
        <v>4659</v>
      </c>
      <c r="G13" s="481" t="s">
        <v>124</v>
      </c>
      <c r="H13" s="485" t="s">
        <v>3451</v>
      </c>
      <c r="I13" s="481" t="s">
        <v>22</v>
      </c>
      <c r="J13" s="481" t="s">
        <v>4660</v>
      </c>
      <c r="K13" s="481" t="s">
        <v>4661</v>
      </c>
    </row>
    <row r="14" spans="1:11" ht="33.75">
      <c r="A14" s="481" t="s">
        <v>9</v>
      </c>
      <c r="B14" s="481" t="s">
        <v>4648</v>
      </c>
      <c r="C14" s="479">
        <v>0.54513888888888895</v>
      </c>
      <c r="D14" s="481" t="s">
        <v>4648</v>
      </c>
      <c r="E14" s="479">
        <v>0.54583333333333328</v>
      </c>
      <c r="F14" s="481" t="s">
        <v>4662</v>
      </c>
      <c r="G14" s="481" t="s">
        <v>63</v>
      </c>
      <c r="H14" s="485" t="s">
        <v>3356</v>
      </c>
      <c r="I14" s="481" t="s">
        <v>100</v>
      </c>
      <c r="J14" s="481" t="s">
        <v>3055</v>
      </c>
      <c r="K14" s="481" t="s">
        <v>3055</v>
      </c>
    </row>
    <row r="15" spans="1:11" ht="45">
      <c r="A15" s="481" t="s">
        <v>9</v>
      </c>
      <c r="B15" s="481" t="s">
        <v>4653</v>
      </c>
      <c r="C15" s="479">
        <v>0.7416666666666667</v>
      </c>
      <c r="D15" s="481" t="s">
        <v>4653</v>
      </c>
      <c r="E15" s="479">
        <v>0.78819444444444453</v>
      </c>
      <c r="F15" s="481" t="s">
        <v>2864</v>
      </c>
      <c r="G15" s="481" t="s">
        <v>63</v>
      </c>
      <c r="H15" s="485" t="s">
        <v>3387</v>
      </c>
      <c r="I15" s="481" t="s">
        <v>2764</v>
      </c>
      <c r="J15" s="481" t="s">
        <v>3055</v>
      </c>
      <c r="K15" s="481" t="s">
        <v>3055</v>
      </c>
    </row>
    <row r="16" spans="1:11" ht="45">
      <c r="A16" s="481" t="s">
        <v>9</v>
      </c>
      <c r="B16" s="481" t="s">
        <v>4663</v>
      </c>
      <c r="C16" s="479">
        <v>0.58819444444444446</v>
      </c>
      <c r="D16" s="481" t="s">
        <v>4663</v>
      </c>
      <c r="E16" s="479">
        <v>0.61249999999999993</v>
      </c>
      <c r="F16" s="481" t="s">
        <v>4664</v>
      </c>
      <c r="G16" s="481" t="s">
        <v>61</v>
      </c>
      <c r="H16" s="485" t="s">
        <v>3387</v>
      </c>
      <c r="I16" s="481" t="s">
        <v>2764</v>
      </c>
      <c r="J16" s="481" t="s">
        <v>3055</v>
      </c>
      <c r="K16" s="481" t="s">
        <v>3055</v>
      </c>
    </row>
    <row r="17" spans="1:11" ht="67.5">
      <c r="A17" s="481" t="s">
        <v>9</v>
      </c>
      <c r="B17" s="481" t="s">
        <v>4665</v>
      </c>
      <c r="C17" s="479">
        <v>0.39652777777777781</v>
      </c>
      <c r="D17" s="481" t="s">
        <v>4666</v>
      </c>
      <c r="E17" s="479">
        <v>0.60833333333333328</v>
      </c>
      <c r="F17" s="481" t="s">
        <v>4667</v>
      </c>
      <c r="G17" s="481" t="s">
        <v>124</v>
      </c>
      <c r="H17" s="485" t="s">
        <v>3451</v>
      </c>
      <c r="I17" s="481" t="s">
        <v>22</v>
      </c>
      <c r="J17" s="481" t="s">
        <v>45</v>
      </c>
      <c r="K17" s="481" t="s">
        <v>4668</v>
      </c>
    </row>
    <row r="18" spans="1:11" ht="33.75">
      <c r="A18" s="481" t="s">
        <v>9</v>
      </c>
      <c r="B18" s="481" t="s">
        <v>4665</v>
      </c>
      <c r="C18" s="479">
        <v>0.11666666666666665</v>
      </c>
      <c r="D18" s="481" t="s">
        <v>4669</v>
      </c>
      <c r="E18" s="479">
        <v>0.48680555555555555</v>
      </c>
      <c r="F18" s="481" t="s">
        <v>2945</v>
      </c>
      <c r="G18" s="481" t="s">
        <v>124</v>
      </c>
      <c r="H18" s="485" t="s">
        <v>3451</v>
      </c>
      <c r="I18" s="481" t="s">
        <v>22</v>
      </c>
      <c r="J18" s="481" t="s">
        <v>4670</v>
      </c>
      <c r="K18" s="481" t="s">
        <v>4671</v>
      </c>
    </row>
    <row r="19" spans="1:11" ht="33.75">
      <c r="A19" s="481" t="s">
        <v>9</v>
      </c>
      <c r="B19" s="481" t="s">
        <v>4666</v>
      </c>
      <c r="C19" s="479">
        <v>0</v>
      </c>
      <c r="D19" s="481" t="s">
        <v>4672</v>
      </c>
      <c r="E19" s="479">
        <v>0.70486111111111116</v>
      </c>
      <c r="F19" s="481" t="s">
        <v>4673</v>
      </c>
      <c r="G19" s="481" t="s">
        <v>1352</v>
      </c>
      <c r="H19" s="485" t="s">
        <v>3356</v>
      </c>
      <c r="I19" s="481" t="s">
        <v>100</v>
      </c>
      <c r="J19" s="481" t="s">
        <v>3055</v>
      </c>
      <c r="K19" s="481" t="s">
        <v>3055</v>
      </c>
    </row>
    <row r="20" spans="1:11" ht="78.75">
      <c r="A20" s="481" t="s">
        <v>9</v>
      </c>
      <c r="B20" s="481" t="s">
        <v>4674</v>
      </c>
      <c r="C20" s="479">
        <v>0.29166666666666669</v>
      </c>
      <c r="D20" s="481" t="s">
        <v>4675</v>
      </c>
      <c r="E20" s="479">
        <v>0.57291666666666663</v>
      </c>
      <c r="F20" s="481" t="s">
        <v>4676</v>
      </c>
      <c r="G20" s="481" t="s">
        <v>63</v>
      </c>
      <c r="H20" s="485" t="s">
        <v>3402</v>
      </c>
      <c r="I20" s="481" t="s">
        <v>2952</v>
      </c>
      <c r="J20" s="481" t="s">
        <v>3765</v>
      </c>
      <c r="K20" s="481" t="s">
        <v>45</v>
      </c>
    </row>
    <row r="21" spans="1:11" ht="78.75">
      <c r="A21" s="481" t="s">
        <v>9</v>
      </c>
      <c r="B21" s="481" t="s">
        <v>4674</v>
      </c>
      <c r="C21" s="479">
        <v>0.32291666666666669</v>
      </c>
      <c r="D21" s="481" t="s">
        <v>4674</v>
      </c>
      <c r="E21" s="479">
        <v>0.33333333333333331</v>
      </c>
      <c r="F21" s="481" t="s">
        <v>4226</v>
      </c>
      <c r="G21" s="481" t="s">
        <v>124</v>
      </c>
      <c r="H21" s="485" t="s">
        <v>3402</v>
      </c>
      <c r="I21" s="481" t="s">
        <v>2118</v>
      </c>
      <c r="J21" s="481" t="s">
        <v>4677</v>
      </c>
      <c r="K21" s="481" t="s">
        <v>3055</v>
      </c>
    </row>
    <row r="22" spans="1:11" ht="33.75">
      <c r="A22" s="481" t="s">
        <v>9</v>
      </c>
      <c r="B22" s="481" t="s">
        <v>4678</v>
      </c>
      <c r="C22" s="479">
        <v>0.86736111111111114</v>
      </c>
      <c r="D22" s="481" t="s">
        <v>4679</v>
      </c>
      <c r="E22" s="479">
        <v>0.8847222222222223</v>
      </c>
      <c r="F22" s="481" t="s">
        <v>2945</v>
      </c>
      <c r="G22" s="481" t="s">
        <v>124</v>
      </c>
      <c r="H22" s="485" t="s">
        <v>3451</v>
      </c>
      <c r="I22" s="481" t="s">
        <v>22</v>
      </c>
      <c r="J22" s="481" t="s">
        <v>4680</v>
      </c>
      <c r="K22" s="481" t="s">
        <v>4681</v>
      </c>
    </row>
    <row r="23" spans="1:11" ht="33.75">
      <c r="A23" s="481" t="s">
        <v>9</v>
      </c>
      <c r="B23" s="481" t="s">
        <v>4675</v>
      </c>
      <c r="C23" s="479">
        <v>0.52083333333333337</v>
      </c>
      <c r="D23" s="481" t="s">
        <v>4675</v>
      </c>
      <c r="E23" s="479">
        <v>0.6791666666666667</v>
      </c>
      <c r="F23" s="481" t="s">
        <v>4682</v>
      </c>
      <c r="G23" s="481" t="s">
        <v>61</v>
      </c>
      <c r="H23" s="485" t="s">
        <v>3356</v>
      </c>
      <c r="I23" s="481" t="s">
        <v>100</v>
      </c>
      <c r="J23" s="481" t="s">
        <v>3055</v>
      </c>
      <c r="K23" s="481" t="s">
        <v>3055</v>
      </c>
    </row>
    <row r="24" spans="1:11" ht="33.75">
      <c r="A24" s="481" t="s">
        <v>9</v>
      </c>
      <c r="B24" s="481" t="s">
        <v>4679</v>
      </c>
      <c r="C24" s="479">
        <v>0.42708333333333331</v>
      </c>
      <c r="D24" s="481" t="s">
        <v>4679</v>
      </c>
      <c r="E24" s="479">
        <v>0.69861111111111107</v>
      </c>
      <c r="F24" s="481" t="s">
        <v>4682</v>
      </c>
      <c r="G24" s="481" t="s">
        <v>61</v>
      </c>
      <c r="H24" s="485" t="s">
        <v>3356</v>
      </c>
      <c r="I24" s="481" t="s">
        <v>100</v>
      </c>
      <c r="J24" s="481" t="s">
        <v>3055</v>
      </c>
      <c r="K24" s="481" t="s">
        <v>3055</v>
      </c>
    </row>
    <row r="25" spans="1:11" ht="67.5">
      <c r="A25" s="481" t="s">
        <v>17</v>
      </c>
      <c r="B25" s="481" t="s">
        <v>4683</v>
      </c>
      <c r="C25" s="479">
        <v>0.97569444444444453</v>
      </c>
      <c r="D25" s="481" t="s">
        <v>4684</v>
      </c>
      <c r="E25" s="479">
        <v>4.9999999999999996E-2</v>
      </c>
      <c r="F25" s="481" t="s">
        <v>4685</v>
      </c>
      <c r="G25" s="481" t="s">
        <v>1352</v>
      </c>
      <c r="H25" s="485" t="s">
        <v>3411</v>
      </c>
      <c r="I25" s="481" t="s">
        <v>2483</v>
      </c>
      <c r="J25" s="481" t="s">
        <v>4686</v>
      </c>
      <c r="K25" s="481" t="s">
        <v>4687</v>
      </c>
    </row>
    <row r="26" spans="1:11" ht="67.5">
      <c r="A26" s="481" t="s">
        <v>17</v>
      </c>
      <c r="B26" s="481" t="s">
        <v>4684</v>
      </c>
      <c r="C26" s="479">
        <v>0.52361111111111114</v>
      </c>
      <c r="D26" s="481" t="s">
        <v>4684</v>
      </c>
      <c r="E26" s="479">
        <v>0.65486111111111112</v>
      </c>
      <c r="F26" s="481" t="s">
        <v>4688</v>
      </c>
      <c r="G26" s="481" t="s">
        <v>674</v>
      </c>
      <c r="H26" s="485" t="s">
        <v>4071</v>
      </c>
      <c r="I26" s="481" t="s">
        <v>2990</v>
      </c>
      <c r="J26" s="481" t="s">
        <v>3432</v>
      </c>
      <c r="K26" s="481" t="s">
        <v>3497</v>
      </c>
    </row>
    <row r="27" spans="1:11" ht="67.5">
      <c r="A27" s="481" t="s">
        <v>17</v>
      </c>
      <c r="B27" s="481" t="s">
        <v>4684</v>
      </c>
      <c r="C27" s="479">
        <v>0.3923611111111111</v>
      </c>
      <c r="D27" s="481" t="s">
        <v>4672</v>
      </c>
      <c r="E27" s="479">
        <v>0.48472222222222222</v>
      </c>
      <c r="F27" s="481" t="s">
        <v>4688</v>
      </c>
      <c r="G27" s="481" t="s">
        <v>674</v>
      </c>
      <c r="H27" s="485" t="s">
        <v>4071</v>
      </c>
      <c r="I27" s="481" t="s">
        <v>2990</v>
      </c>
      <c r="J27" s="481" t="s">
        <v>3432</v>
      </c>
      <c r="K27" s="481" t="s">
        <v>3175</v>
      </c>
    </row>
    <row r="28" spans="1:11" ht="67.5">
      <c r="A28" s="481" t="s">
        <v>17</v>
      </c>
      <c r="B28" s="481" t="s">
        <v>4672</v>
      </c>
      <c r="C28" s="479">
        <v>0.59861111111111109</v>
      </c>
      <c r="D28" s="481" t="s">
        <v>4689</v>
      </c>
      <c r="E28" s="479">
        <v>0.93888888888888899</v>
      </c>
      <c r="F28" s="481" t="s">
        <v>4690</v>
      </c>
      <c r="G28" s="481" t="s">
        <v>674</v>
      </c>
      <c r="H28" s="485" t="s">
        <v>3411</v>
      </c>
      <c r="I28" s="481" t="s">
        <v>2483</v>
      </c>
      <c r="J28" s="481" t="s">
        <v>3754</v>
      </c>
      <c r="K28" s="481" t="s">
        <v>4399</v>
      </c>
    </row>
    <row r="29" spans="1:11" ht="33.75">
      <c r="A29" s="481" t="s">
        <v>17</v>
      </c>
      <c r="B29" s="481" t="s">
        <v>4691</v>
      </c>
      <c r="C29" s="479">
        <v>0.40486111111111112</v>
      </c>
      <c r="D29" s="481" t="s">
        <v>4691</v>
      </c>
      <c r="E29" s="479">
        <v>0.47152777777777777</v>
      </c>
      <c r="F29" s="481" t="s">
        <v>4692</v>
      </c>
      <c r="G29" s="481" t="s">
        <v>63</v>
      </c>
      <c r="H29" s="485" t="s">
        <v>3356</v>
      </c>
      <c r="I29" s="481" t="s">
        <v>100</v>
      </c>
      <c r="J29" s="481" t="s">
        <v>3055</v>
      </c>
      <c r="K29" s="481" t="s">
        <v>3055</v>
      </c>
    </row>
    <row r="30" spans="1:11" ht="67.5">
      <c r="A30" s="481" t="s">
        <v>17</v>
      </c>
      <c r="B30" s="481" t="s">
        <v>4693</v>
      </c>
      <c r="C30" s="479">
        <v>0.28472222222222221</v>
      </c>
      <c r="D30" s="481" t="s">
        <v>4693</v>
      </c>
      <c r="E30" s="479">
        <v>0.61319444444444449</v>
      </c>
      <c r="F30" s="481" t="s">
        <v>4048</v>
      </c>
      <c r="G30" s="481" t="s">
        <v>3143</v>
      </c>
      <c r="H30" s="485" t="s">
        <v>3411</v>
      </c>
      <c r="I30" s="481" t="s">
        <v>2483</v>
      </c>
      <c r="J30" s="481" t="s">
        <v>3055</v>
      </c>
      <c r="K30" s="481" t="s">
        <v>3055</v>
      </c>
    </row>
    <row r="31" spans="1:11" ht="78.75">
      <c r="A31" s="481" t="s">
        <v>17</v>
      </c>
      <c r="B31" s="481" t="s">
        <v>4694</v>
      </c>
      <c r="C31" s="479">
        <v>0.28958333333333336</v>
      </c>
      <c r="D31" s="481" t="s">
        <v>4694</v>
      </c>
      <c r="E31" s="479">
        <v>0.31527777777777777</v>
      </c>
      <c r="F31" s="481" t="s">
        <v>4185</v>
      </c>
      <c r="G31" s="481" t="s">
        <v>1352</v>
      </c>
      <c r="H31" s="485" t="s">
        <v>3402</v>
      </c>
      <c r="I31" s="481" t="s">
        <v>2118</v>
      </c>
      <c r="J31" s="481" t="s">
        <v>3055</v>
      </c>
      <c r="K31" s="481" t="s">
        <v>3055</v>
      </c>
    </row>
    <row r="32" spans="1:11" ht="67.5">
      <c r="A32" s="481" t="s">
        <v>17</v>
      </c>
      <c r="B32" s="481" t="s">
        <v>4695</v>
      </c>
      <c r="C32" s="479">
        <v>0.29444444444444445</v>
      </c>
      <c r="D32" s="481" t="s">
        <v>4695</v>
      </c>
      <c r="E32" s="479">
        <v>0.59027777777777779</v>
      </c>
      <c r="F32" s="481" t="s">
        <v>3378</v>
      </c>
      <c r="G32" s="481" t="s">
        <v>674</v>
      </c>
      <c r="H32" s="485" t="s">
        <v>3411</v>
      </c>
      <c r="I32" s="481" t="s">
        <v>2483</v>
      </c>
      <c r="J32" s="481" t="s">
        <v>3055</v>
      </c>
      <c r="K32" s="481" t="s">
        <v>3055</v>
      </c>
    </row>
    <row r="33" spans="1:11" ht="45">
      <c r="A33" s="481" t="s">
        <v>17</v>
      </c>
      <c r="B33" s="481" t="s">
        <v>4695</v>
      </c>
      <c r="C33" s="479">
        <v>0.7631944444444444</v>
      </c>
      <c r="D33" s="481" t="s">
        <v>4695</v>
      </c>
      <c r="E33" s="479">
        <v>0.77013888888888893</v>
      </c>
      <c r="F33" s="481" t="s">
        <v>4682</v>
      </c>
      <c r="G33" s="481" t="s">
        <v>61</v>
      </c>
      <c r="H33" s="485" t="s">
        <v>3447</v>
      </c>
      <c r="I33" s="481" t="s">
        <v>2764</v>
      </c>
      <c r="J33" s="481" t="s">
        <v>3055</v>
      </c>
      <c r="K33" s="481" t="s">
        <v>3055</v>
      </c>
    </row>
    <row r="34" spans="1:11" ht="33.75">
      <c r="A34" s="481" t="s">
        <v>17</v>
      </c>
      <c r="B34" s="481" t="s">
        <v>4696</v>
      </c>
      <c r="C34" s="479">
        <v>0.54166666666666663</v>
      </c>
      <c r="D34" s="481" t="s">
        <v>4697</v>
      </c>
      <c r="E34" s="479">
        <v>0.59791666666666665</v>
      </c>
      <c r="F34" s="481" t="s">
        <v>3153</v>
      </c>
      <c r="G34" s="481" t="s">
        <v>124</v>
      </c>
      <c r="H34" s="485" t="s">
        <v>3356</v>
      </c>
      <c r="I34" s="481" t="s">
        <v>100</v>
      </c>
      <c r="J34" s="481" t="s">
        <v>3055</v>
      </c>
      <c r="K34" s="481" t="s">
        <v>3055</v>
      </c>
    </row>
    <row r="35" spans="1:11" ht="67.5">
      <c r="A35" s="481" t="s">
        <v>17</v>
      </c>
      <c r="B35" s="481" t="s">
        <v>4696</v>
      </c>
      <c r="C35" s="479">
        <v>0.45208333333333334</v>
      </c>
      <c r="D35" s="481" t="s">
        <v>45</v>
      </c>
      <c r="E35" s="479" t="s">
        <v>45</v>
      </c>
      <c r="F35" s="481" t="s">
        <v>2928</v>
      </c>
      <c r="G35" s="481" t="s">
        <v>63</v>
      </c>
      <c r="H35" s="485" t="s">
        <v>3411</v>
      </c>
      <c r="I35" s="481" t="s">
        <v>2483</v>
      </c>
      <c r="J35" s="481" t="s">
        <v>3055</v>
      </c>
      <c r="K35" s="481" t="s">
        <v>3055</v>
      </c>
    </row>
    <row r="36" spans="1:11" ht="33.75">
      <c r="A36" s="481" t="s">
        <v>17</v>
      </c>
      <c r="B36" s="481" t="s">
        <v>4697</v>
      </c>
      <c r="C36" s="479">
        <v>0.625</v>
      </c>
      <c r="D36" s="481" t="s">
        <v>4698</v>
      </c>
      <c r="E36" s="479">
        <v>0.625</v>
      </c>
      <c r="F36" s="481" t="s">
        <v>2919</v>
      </c>
      <c r="G36" s="481" t="s">
        <v>1352</v>
      </c>
      <c r="H36" s="485" t="s">
        <v>3451</v>
      </c>
      <c r="I36" s="481" t="s">
        <v>22</v>
      </c>
      <c r="J36" s="481" t="s">
        <v>45</v>
      </c>
      <c r="K36" s="481" t="s">
        <v>4699</v>
      </c>
    </row>
    <row r="37" spans="1:11" ht="33.75">
      <c r="A37" s="481" t="s">
        <v>17</v>
      </c>
      <c r="B37" s="481" t="s">
        <v>4700</v>
      </c>
      <c r="C37" s="479">
        <v>0.35416666666666669</v>
      </c>
      <c r="D37" s="481" t="s">
        <v>4701</v>
      </c>
      <c r="E37" s="479">
        <v>0.375</v>
      </c>
      <c r="F37" s="481" t="s">
        <v>3653</v>
      </c>
      <c r="G37" s="481" t="s">
        <v>63</v>
      </c>
      <c r="H37" s="485" t="s">
        <v>3654</v>
      </c>
      <c r="I37" s="481" t="s">
        <v>1138</v>
      </c>
      <c r="J37" s="481" t="s">
        <v>45</v>
      </c>
      <c r="K37" s="481" t="s">
        <v>45</v>
      </c>
    </row>
    <row r="38" spans="1:11" ht="67.5">
      <c r="A38" s="481" t="s">
        <v>17</v>
      </c>
      <c r="B38" s="481" t="s">
        <v>4700</v>
      </c>
      <c r="C38" s="479">
        <v>0.80625000000000002</v>
      </c>
      <c r="D38" s="481" t="s">
        <v>4700</v>
      </c>
      <c r="E38" s="479">
        <v>0.88888888888888884</v>
      </c>
      <c r="F38" s="481" t="s">
        <v>4702</v>
      </c>
      <c r="G38" s="481" t="s">
        <v>124</v>
      </c>
      <c r="H38" s="485" t="s">
        <v>3411</v>
      </c>
      <c r="I38" s="481" t="s">
        <v>2483</v>
      </c>
      <c r="J38" s="481" t="s">
        <v>3055</v>
      </c>
      <c r="K38" s="481" t="s">
        <v>3055</v>
      </c>
    </row>
    <row r="39" spans="1:11" ht="33.75">
      <c r="A39" s="481" t="s">
        <v>17</v>
      </c>
      <c r="B39" s="481" t="s">
        <v>4700</v>
      </c>
      <c r="C39" s="479">
        <v>0.54166666666666663</v>
      </c>
      <c r="D39" s="481" t="s">
        <v>45</v>
      </c>
      <c r="E39" s="479" t="s">
        <v>45</v>
      </c>
      <c r="F39" s="481" t="s">
        <v>4703</v>
      </c>
      <c r="G39" s="481" t="s">
        <v>674</v>
      </c>
      <c r="H39" s="485" t="s">
        <v>3654</v>
      </c>
      <c r="I39" s="481" t="s">
        <v>1138</v>
      </c>
      <c r="J39" s="481" t="s">
        <v>3055</v>
      </c>
      <c r="K39" s="481" t="s">
        <v>3055</v>
      </c>
    </row>
    <row r="40" spans="1:11" ht="56.25">
      <c r="A40" s="481" t="s">
        <v>17</v>
      </c>
      <c r="B40" s="481" t="s">
        <v>4704</v>
      </c>
      <c r="C40" s="479">
        <v>0.875</v>
      </c>
      <c r="D40" s="481" t="s">
        <v>4705</v>
      </c>
      <c r="E40" s="479">
        <v>0.71875</v>
      </c>
      <c r="F40" s="481" t="s">
        <v>4706</v>
      </c>
      <c r="G40" s="481" t="s">
        <v>124</v>
      </c>
      <c r="H40" s="485" t="s">
        <v>3451</v>
      </c>
      <c r="I40" s="481" t="s">
        <v>22</v>
      </c>
      <c r="J40" s="481" t="s">
        <v>45</v>
      </c>
      <c r="K40" s="481" t="s">
        <v>4707</v>
      </c>
    </row>
    <row r="41" spans="1:11" ht="33.75">
      <c r="A41" s="481" t="s">
        <v>17</v>
      </c>
      <c r="B41" s="481" t="s">
        <v>4704</v>
      </c>
      <c r="C41" s="479">
        <v>0.64583333333333337</v>
      </c>
      <c r="D41" s="481" t="s">
        <v>4701</v>
      </c>
      <c r="E41" s="479">
        <v>0.3125</v>
      </c>
      <c r="F41" s="481" t="s">
        <v>2919</v>
      </c>
      <c r="G41" s="481" t="s">
        <v>1352</v>
      </c>
      <c r="H41" s="485" t="s">
        <v>3654</v>
      </c>
      <c r="I41" s="481" t="s">
        <v>1138</v>
      </c>
      <c r="J41" s="481" t="s">
        <v>45</v>
      </c>
      <c r="K41" s="481" t="s">
        <v>45</v>
      </c>
    </row>
    <row r="42" spans="1:11" ht="33.75">
      <c r="A42" s="481" t="s">
        <v>17</v>
      </c>
      <c r="B42" s="481" t="s">
        <v>4708</v>
      </c>
      <c r="C42" s="479">
        <v>0.41388888888888892</v>
      </c>
      <c r="D42" s="481" t="s">
        <v>4708</v>
      </c>
      <c r="E42" s="479">
        <v>0.45902777777777781</v>
      </c>
      <c r="F42" s="481" t="s">
        <v>4709</v>
      </c>
      <c r="G42" s="481" t="s">
        <v>124</v>
      </c>
      <c r="H42" s="485" t="s">
        <v>3451</v>
      </c>
      <c r="I42" s="481" t="s">
        <v>22</v>
      </c>
      <c r="J42" s="481" t="s">
        <v>4710</v>
      </c>
      <c r="K42" s="481" t="s">
        <v>4711</v>
      </c>
    </row>
    <row r="43" spans="1:11" ht="45">
      <c r="A43" s="481" t="s">
        <v>17</v>
      </c>
      <c r="B43" s="481" t="s">
        <v>4708</v>
      </c>
      <c r="C43" s="479">
        <v>0.5625</v>
      </c>
      <c r="D43" s="481" t="s">
        <v>4705</v>
      </c>
      <c r="E43" s="479">
        <v>0.33333333333333331</v>
      </c>
      <c r="F43" s="481" t="s">
        <v>2919</v>
      </c>
      <c r="G43" s="481" t="s">
        <v>1352</v>
      </c>
      <c r="H43" s="485" t="s">
        <v>3478</v>
      </c>
      <c r="I43" s="481" t="s">
        <v>22</v>
      </c>
      <c r="J43" s="481" t="s">
        <v>45</v>
      </c>
      <c r="K43" s="481" t="s">
        <v>45</v>
      </c>
    </row>
    <row r="44" spans="1:11" ht="33.75">
      <c r="A44" s="481" t="s">
        <v>17</v>
      </c>
      <c r="B44" s="481" t="s">
        <v>4708</v>
      </c>
      <c r="C44" s="479">
        <v>0.5625</v>
      </c>
      <c r="D44" s="481" t="s">
        <v>4712</v>
      </c>
      <c r="E44" s="479">
        <v>0.875</v>
      </c>
      <c r="F44" s="481" t="s">
        <v>4713</v>
      </c>
      <c r="G44" s="481" t="s">
        <v>3143</v>
      </c>
      <c r="H44" s="485" t="s">
        <v>3451</v>
      </c>
      <c r="I44" s="481" t="s">
        <v>22</v>
      </c>
      <c r="J44" s="481" t="s">
        <v>45</v>
      </c>
      <c r="K44" s="481" t="s">
        <v>4714</v>
      </c>
    </row>
    <row r="45" spans="1:11" ht="33.75">
      <c r="A45" s="481" t="s">
        <v>17</v>
      </c>
      <c r="B45" s="481" t="s">
        <v>4708</v>
      </c>
      <c r="C45" s="479">
        <v>0.35555555555555557</v>
      </c>
      <c r="D45" s="481" t="s">
        <v>4715</v>
      </c>
      <c r="E45" s="479">
        <v>0.625</v>
      </c>
      <c r="F45" s="481" t="s">
        <v>4716</v>
      </c>
      <c r="G45" s="481" t="s">
        <v>63</v>
      </c>
      <c r="H45" s="485" t="s">
        <v>3451</v>
      </c>
      <c r="I45" s="481" t="s">
        <v>22</v>
      </c>
      <c r="J45" s="481" t="s">
        <v>45</v>
      </c>
      <c r="K45" s="481" t="s">
        <v>4717</v>
      </c>
    </row>
    <row r="46" spans="1:11" ht="45">
      <c r="A46" s="481" t="s">
        <v>17</v>
      </c>
      <c r="B46" s="481" t="s">
        <v>4715</v>
      </c>
      <c r="C46" s="479">
        <v>0.35416666666666669</v>
      </c>
      <c r="D46" s="481" t="s">
        <v>4712</v>
      </c>
      <c r="E46" s="479">
        <v>0.75</v>
      </c>
      <c r="F46" s="481" t="s">
        <v>2919</v>
      </c>
      <c r="G46" s="481" t="s">
        <v>1352</v>
      </c>
      <c r="H46" s="485" t="s">
        <v>3478</v>
      </c>
      <c r="I46" s="481" t="s">
        <v>22</v>
      </c>
      <c r="J46" s="481" t="s">
        <v>4718</v>
      </c>
      <c r="K46" s="481" t="s">
        <v>45</v>
      </c>
    </row>
    <row r="47" spans="1:11" ht="45">
      <c r="A47" s="481" t="s">
        <v>17</v>
      </c>
      <c r="B47" s="481" t="s">
        <v>4715</v>
      </c>
      <c r="C47" s="479">
        <v>0.35416666666666669</v>
      </c>
      <c r="D47" s="481" t="s">
        <v>4712</v>
      </c>
      <c r="E47" s="479">
        <v>0.75</v>
      </c>
      <c r="F47" s="481" t="s">
        <v>2919</v>
      </c>
      <c r="G47" s="481" t="s">
        <v>1352</v>
      </c>
      <c r="H47" s="485" t="s">
        <v>3478</v>
      </c>
      <c r="I47" s="481" t="s">
        <v>22</v>
      </c>
      <c r="J47" s="481" t="s">
        <v>45</v>
      </c>
      <c r="K47" s="481" t="s">
        <v>45</v>
      </c>
    </row>
    <row r="48" spans="1:11" ht="45">
      <c r="A48" s="481" t="s">
        <v>17</v>
      </c>
      <c r="B48" s="481" t="s">
        <v>4715</v>
      </c>
      <c r="C48" s="479">
        <v>0.22916666666666666</v>
      </c>
      <c r="D48" s="481" t="s">
        <v>4719</v>
      </c>
      <c r="E48" s="479">
        <v>0.41666666666666669</v>
      </c>
      <c r="F48" s="481" t="s">
        <v>3693</v>
      </c>
      <c r="G48" s="481" t="s">
        <v>674</v>
      </c>
      <c r="H48" s="485" t="s">
        <v>3478</v>
      </c>
      <c r="I48" s="481" t="s">
        <v>22</v>
      </c>
      <c r="J48" s="481" t="s">
        <v>45</v>
      </c>
      <c r="K48" s="481" t="s">
        <v>45</v>
      </c>
    </row>
    <row r="49" spans="1:11" ht="45">
      <c r="A49" s="481" t="s">
        <v>17</v>
      </c>
      <c r="B49" s="481" t="s">
        <v>4715</v>
      </c>
      <c r="C49" s="479">
        <v>0.84791666666666676</v>
      </c>
      <c r="D49" s="481" t="s">
        <v>4719</v>
      </c>
      <c r="E49" s="479">
        <v>0.39583333333333331</v>
      </c>
      <c r="F49" s="481" t="s">
        <v>4720</v>
      </c>
      <c r="G49" s="481" t="s">
        <v>63</v>
      </c>
      <c r="H49" s="485" t="s">
        <v>3478</v>
      </c>
      <c r="I49" s="481" t="s">
        <v>22</v>
      </c>
      <c r="J49" s="481" t="s">
        <v>4721</v>
      </c>
      <c r="K49" s="481" t="s">
        <v>4722</v>
      </c>
    </row>
    <row r="50" spans="1:11" ht="45">
      <c r="A50" s="481" t="s">
        <v>17</v>
      </c>
      <c r="B50" s="481" t="s">
        <v>4715</v>
      </c>
      <c r="C50" s="479">
        <v>0.83333333333333337</v>
      </c>
      <c r="D50" s="481" t="s">
        <v>4719</v>
      </c>
      <c r="E50" s="479">
        <v>0.39444444444444443</v>
      </c>
      <c r="F50" s="481" t="s">
        <v>4723</v>
      </c>
      <c r="G50" s="481" t="s">
        <v>674</v>
      </c>
      <c r="H50" s="485" t="s">
        <v>3750</v>
      </c>
      <c r="I50" s="481" t="s">
        <v>22</v>
      </c>
      <c r="J50" s="481" t="s">
        <v>3851</v>
      </c>
      <c r="K50" s="481" t="s">
        <v>45</v>
      </c>
    </row>
    <row r="51" spans="1:11" ht="45">
      <c r="A51" s="481" t="s">
        <v>17</v>
      </c>
      <c r="B51" s="481" t="s">
        <v>4715</v>
      </c>
      <c r="C51" s="479">
        <v>0.79513888888888884</v>
      </c>
      <c r="D51" s="481" t="s">
        <v>45</v>
      </c>
      <c r="E51" s="479" t="s">
        <v>45</v>
      </c>
      <c r="F51" s="481" t="s">
        <v>4614</v>
      </c>
      <c r="G51" s="481" t="s">
        <v>63</v>
      </c>
      <c r="H51" s="485" t="s">
        <v>3478</v>
      </c>
      <c r="I51" s="481" t="s">
        <v>22</v>
      </c>
      <c r="J51" s="481" t="s">
        <v>45</v>
      </c>
      <c r="K51" s="481" t="s">
        <v>45</v>
      </c>
    </row>
    <row r="52" spans="1:11" ht="45">
      <c r="A52" s="481" t="s">
        <v>17</v>
      </c>
      <c r="B52" s="481" t="s">
        <v>4715</v>
      </c>
      <c r="C52" s="479">
        <v>0.85555555555555562</v>
      </c>
      <c r="D52" s="481" t="s">
        <v>45</v>
      </c>
      <c r="E52" s="479" t="s">
        <v>45</v>
      </c>
      <c r="F52" s="481" t="s">
        <v>4724</v>
      </c>
      <c r="G52" s="481" t="s">
        <v>674</v>
      </c>
      <c r="H52" s="485" t="s">
        <v>3478</v>
      </c>
      <c r="I52" s="481" t="s">
        <v>22</v>
      </c>
      <c r="J52" s="481" t="s">
        <v>3055</v>
      </c>
      <c r="K52" s="481" t="s">
        <v>3055</v>
      </c>
    </row>
    <row r="53" spans="1:11" ht="45">
      <c r="A53" s="481" t="s">
        <v>17</v>
      </c>
      <c r="B53" s="481" t="s">
        <v>4715</v>
      </c>
      <c r="C53" s="479">
        <v>0.75</v>
      </c>
      <c r="D53" s="481" t="s">
        <v>4725</v>
      </c>
      <c r="E53" s="479">
        <v>0.91666666666666663</v>
      </c>
      <c r="F53" s="481" t="s">
        <v>4726</v>
      </c>
      <c r="G53" s="481" t="s">
        <v>63</v>
      </c>
      <c r="H53" s="485" t="s">
        <v>3478</v>
      </c>
      <c r="I53" s="481" t="s">
        <v>22</v>
      </c>
      <c r="J53" s="481" t="s">
        <v>3055</v>
      </c>
      <c r="K53" s="481" t="s">
        <v>3055</v>
      </c>
    </row>
    <row r="54" spans="1:11" ht="45">
      <c r="A54" s="481" t="s">
        <v>17</v>
      </c>
      <c r="B54" s="481" t="s">
        <v>4727</v>
      </c>
      <c r="C54" s="479">
        <v>5.5555555555555552E-2</v>
      </c>
      <c r="D54" s="481" t="s">
        <v>4719</v>
      </c>
      <c r="E54" s="479">
        <v>2.9166666666666664E-2</v>
      </c>
      <c r="F54" s="481" t="s">
        <v>3976</v>
      </c>
      <c r="G54" s="481" t="s">
        <v>1352</v>
      </c>
      <c r="H54" s="485" t="s">
        <v>3750</v>
      </c>
      <c r="I54" s="481" t="s">
        <v>22</v>
      </c>
      <c r="J54" s="481" t="s">
        <v>45</v>
      </c>
      <c r="K54" s="481" t="s">
        <v>45</v>
      </c>
    </row>
    <row r="55" spans="1:11" ht="45">
      <c r="A55" s="481" t="s">
        <v>17</v>
      </c>
      <c r="B55" s="481" t="s">
        <v>4727</v>
      </c>
      <c r="C55" s="479">
        <v>5.5555555555555552E-2</v>
      </c>
      <c r="D55" s="481" t="s">
        <v>4719</v>
      </c>
      <c r="E55" s="479">
        <v>1.3888888888888889E-3</v>
      </c>
      <c r="F55" s="481" t="s">
        <v>2809</v>
      </c>
      <c r="G55" s="481" t="s">
        <v>1352</v>
      </c>
      <c r="H55" s="485" t="s">
        <v>3750</v>
      </c>
      <c r="I55" s="481" t="s">
        <v>22</v>
      </c>
      <c r="J55" s="481" t="s">
        <v>4728</v>
      </c>
      <c r="K55" s="481" t="s">
        <v>4729</v>
      </c>
    </row>
    <row r="56" spans="1:11" ht="45">
      <c r="A56" s="481" t="s">
        <v>17</v>
      </c>
      <c r="B56" s="481" t="s">
        <v>4727</v>
      </c>
      <c r="C56" s="479">
        <v>0.66666666666666663</v>
      </c>
      <c r="D56" s="481" t="s">
        <v>4727</v>
      </c>
      <c r="E56" s="479">
        <v>0.77361111111111114</v>
      </c>
      <c r="F56" s="481" t="s">
        <v>3591</v>
      </c>
      <c r="G56" s="481" t="s">
        <v>1352</v>
      </c>
      <c r="H56" s="485" t="s">
        <v>3387</v>
      </c>
      <c r="I56" s="481" t="s">
        <v>2764</v>
      </c>
      <c r="J56" s="481" t="s">
        <v>3055</v>
      </c>
      <c r="K56" s="481" t="s">
        <v>3055</v>
      </c>
    </row>
    <row r="57" spans="1:11" ht="45">
      <c r="A57" s="481" t="s">
        <v>17</v>
      </c>
      <c r="B57" s="481" t="s">
        <v>4727</v>
      </c>
      <c r="C57" s="479">
        <v>0</v>
      </c>
      <c r="D57" s="481" t="s">
        <v>45</v>
      </c>
      <c r="E57" s="479" t="s">
        <v>45</v>
      </c>
      <c r="F57" s="481" t="s">
        <v>2919</v>
      </c>
      <c r="G57" s="481" t="s">
        <v>1352</v>
      </c>
      <c r="H57" s="485" t="s">
        <v>3750</v>
      </c>
      <c r="I57" s="481" t="s">
        <v>22</v>
      </c>
      <c r="J57" s="481" t="s">
        <v>3198</v>
      </c>
      <c r="K57" s="481" t="s">
        <v>45</v>
      </c>
    </row>
    <row r="58" spans="1:11" ht="45">
      <c r="A58" s="481" t="s">
        <v>17</v>
      </c>
      <c r="B58" s="481" t="s">
        <v>4727</v>
      </c>
      <c r="C58" s="479">
        <v>0.23333333333333331</v>
      </c>
      <c r="D58" s="481" t="s">
        <v>45</v>
      </c>
      <c r="E58" s="479" t="s">
        <v>45</v>
      </c>
      <c r="F58" s="481" t="s">
        <v>2919</v>
      </c>
      <c r="G58" s="481" t="s">
        <v>1352</v>
      </c>
      <c r="H58" s="485" t="s">
        <v>3750</v>
      </c>
      <c r="I58" s="481" t="s">
        <v>22</v>
      </c>
      <c r="J58" s="481" t="s">
        <v>3296</v>
      </c>
      <c r="K58" s="481" t="s">
        <v>45</v>
      </c>
    </row>
    <row r="59" spans="1:11" ht="45">
      <c r="A59" s="481" t="s">
        <v>17</v>
      </c>
      <c r="B59" s="481" t="s">
        <v>4727</v>
      </c>
      <c r="C59" s="479">
        <v>0.54166666666666663</v>
      </c>
      <c r="D59" s="481" t="s">
        <v>4705</v>
      </c>
      <c r="E59" s="479">
        <v>0.41666666666666669</v>
      </c>
      <c r="F59" s="481" t="s">
        <v>2919</v>
      </c>
      <c r="G59" s="481" t="s">
        <v>1352</v>
      </c>
      <c r="H59" s="485" t="s">
        <v>3750</v>
      </c>
      <c r="I59" s="481" t="s">
        <v>22</v>
      </c>
      <c r="J59" s="481" t="s">
        <v>45</v>
      </c>
      <c r="K59" s="481" t="s">
        <v>4730</v>
      </c>
    </row>
    <row r="60" spans="1:11" ht="45">
      <c r="A60" s="481" t="s">
        <v>17</v>
      </c>
      <c r="B60" s="481" t="s">
        <v>4727</v>
      </c>
      <c r="C60" s="479">
        <v>7.9166666666666663E-2</v>
      </c>
      <c r="D60" s="481" t="s">
        <v>4731</v>
      </c>
      <c r="E60" s="479">
        <v>0.99722222222222223</v>
      </c>
      <c r="F60" s="481" t="s">
        <v>2919</v>
      </c>
      <c r="G60" s="481" t="s">
        <v>1352</v>
      </c>
      <c r="H60" s="485" t="s">
        <v>3750</v>
      </c>
      <c r="I60" s="481" t="s">
        <v>22</v>
      </c>
      <c r="J60" s="481" t="s">
        <v>4732</v>
      </c>
      <c r="K60" s="481" t="s">
        <v>45</v>
      </c>
    </row>
    <row r="61" spans="1:11" ht="45">
      <c r="A61" s="481" t="s">
        <v>17</v>
      </c>
      <c r="B61" s="481" t="s">
        <v>4727</v>
      </c>
      <c r="C61" s="479">
        <v>5.5555555555555552E-2</v>
      </c>
      <c r="D61" s="481" t="s">
        <v>4712</v>
      </c>
      <c r="E61" s="479">
        <v>0.375</v>
      </c>
      <c r="F61" s="481" t="s">
        <v>2919</v>
      </c>
      <c r="G61" s="481" t="s">
        <v>1352</v>
      </c>
      <c r="H61" s="485" t="s">
        <v>3750</v>
      </c>
      <c r="I61" s="481" t="s">
        <v>22</v>
      </c>
      <c r="J61" s="481" t="s">
        <v>4718</v>
      </c>
      <c r="K61" s="481" t="s">
        <v>45</v>
      </c>
    </row>
    <row r="62" spans="1:11" ht="45">
      <c r="A62" s="481" t="s">
        <v>17</v>
      </c>
      <c r="B62" s="481" t="s">
        <v>4727</v>
      </c>
      <c r="C62" s="479">
        <v>0.625</v>
      </c>
      <c r="D62" s="481" t="s">
        <v>4712</v>
      </c>
      <c r="E62" s="479">
        <v>0.41666666666666669</v>
      </c>
      <c r="F62" s="481" t="s">
        <v>2866</v>
      </c>
      <c r="G62" s="481" t="s">
        <v>63</v>
      </c>
      <c r="H62" s="485" t="s">
        <v>3478</v>
      </c>
      <c r="I62" s="481" t="s">
        <v>22</v>
      </c>
      <c r="J62" s="481" t="s">
        <v>45</v>
      </c>
      <c r="K62" s="481" t="s">
        <v>45</v>
      </c>
    </row>
    <row r="63" spans="1:11" ht="33.75">
      <c r="A63" s="481" t="s">
        <v>17</v>
      </c>
      <c r="B63" s="481" t="s">
        <v>4727</v>
      </c>
      <c r="C63" s="479">
        <v>0.11875000000000001</v>
      </c>
      <c r="D63" s="481" t="s">
        <v>4712</v>
      </c>
      <c r="E63" s="479">
        <v>0.375</v>
      </c>
      <c r="F63" s="481" t="s">
        <v>3591</v>
      </c>
      <c r="G63" s="481" t="s">
        <v>1352</v>
      </c>
      <c r="H63" s="485" t="s">
        <v>3451</v>
      </c>
      <c r="I63" s="481" t="s">
        <v>22</v>
      </c>
      <c r="J63" s="481" t="s">
        <v>45</v>
      </c>
      <c r="K63" s="481" t="s">
        <v>4733</v>
      </c>
    </row>
    <row r="64" spans="1:11" ht="45">
      <c r="A64" s="481" t="s">
        <v>17</v>
      </c>
      <c r="B64" s="481" t="s">
        <v>4727</v>
      </c>
      <c r="C64" s="479">
        <v>7.9166666666666663E-2</v>
      </c>
      <c r="D64" s="481" t="s">
        <v>4712</v>
      </c>
      <c r="E64" s="479">
        <v>0.375</v>
      </c>
      <c r="F64" s="481" t="s">
        <v>3591</v>
      </c>
      <c r="G64" s="481" t="s">
        <v>1352</v>
      </c>
      <c r="H64" s="485" t="s">
        <v>3750</v>
      </c>
      <c r="I64" s="481" t="s">
        <v>22</v>
      </c>
      <c r="J64" s="481" t="s">
        <v>4734</v>
      </c>
      <c r="K64" s="481" t="s">
        <v>45</v>
      </c>
    </row>
    <row r="65" spans="1:11" ht="33.75">
      <c r="A65" s="481" t="s">
        <v>17</v>
      </c>
      <c r="B65" s="481" t="s">
        <v>4727</v>
      </c>
      <c r="C65" s="479">
        <v>0.12916666666666668</v>
      </c>
      <c r="D65" s="481" t="s">
        <v>45</v>
      </c>
      <c r="E65" s="479" t="s">
        <v>45</v>
      </c>
      <c r="F65" s="481" t="s">
        <v>3162</v>
      </c>
      <c r="G65" s="481" t="s">
        <v>1352</v>
      </c>
      <c r="H65" s="485" t="s">
        <v>3451</v>
      </c>
      <c r="I65" s="481" t="s">
        <v>22</v>
      </c>
      <c r="J65" s="481" t="s">
        <v>45</v>
      </c>
      <c r="K65" s="481" t="s">
        <v>4735</v>
      </c>
    </row>
    <row r="66" spans="1:11" ht="67.5">
      <c r="A66" s="481" t="s">
        <v>17</v>
      </c>
      <c r="B66" s="481" t="s">
        <v>4727</v>
      </c>
      <c r="C66" s="479">
        <v>0.22708333333333333</v>
      </c>
      <c r="D66" s="481" t="s">
        <v>4719</v>
      </c>
      <c r="E66" s="479">
        <v>0.34583333333333338</v>
      </c>
      <c r="F66" s="481" t="s">
        <v>2919</v>
      </c>
      <c r="G66" s="481" t="s">
        <v>1352</v>
      </c>
      <c r="H66" s="485" t="s">
        <v>3396</v>
      </c>
      <c r="I66" s="481" t="s">
        <v>22</v>
      </c>
      <c r="J66" s="481" t="s">
        <v>45</v>
      </c>
      <c r="K66" s="481" t="s">
        <v>45</v>
      </c>
    </row>
    <row r="67" spans="1:11" ht="45">
      <c r="A67" s="481" t="s">
        <v>17</v>
      </c>
      <c r="B67" s="481" t="s">
        <v>4727</v>
      </c>
      <c r="C67" s="479">
        <v>5.7638888888888885E-2</v>
      </c>
      <c r="D67" s="481" t="s">
        <v>4712</v>
      </c>
      <c r="E67" s="479">
        <v>0.22916666666666666</v>
      </c>
      <c r="F67" s="481" t="s">
        <v>2919</v>
      </c>
      <c r="G67" s="481" t="s">
        <v>1352</v>
      </c>
      <c r="H67" s="485" t="s">
        <v>3750</v>
      </c>
      <c r="I67" s="481" t="s">
        <v>22</v>
      </c>
      <c r="J67" s="481" t="s">
        <v>45</v>
      </c>
      <c r="K67" s="481" t="s">
        <v>45</v>
      </c>
    </row>
    <row r="68" spans="1:11" ht="45">
      <c r="A68" s="481" t="s">
        <v>17</v>
      </c>
      <c r="B68" s="481" t="s">
        <v>4727</v>
      </c>
      <c r="C68" s="479">
        <v>0.36805555555555558</v>
      </c>
      <c r="D68" s="481" t="s">
        <v>4719</v>
      </c>
      <c r="E68" s="479">
        <v>0.39583333333333331</v>
      </c>
      <c r="F68" s="481" t="s">
        <v>4703</v>
      </c>
      <c r="G68" s="481" t="s">
        <v>674</v>
      </c>
      <c r="H68" s="485" t="s">
        <v>3478</v>
      </c>
      <c r="I68" s="481" t="s">
        <v>22</v>
      </c>
      <c r="J68" s="481" t="s">
        <v>45</v>
      </c>
      <c r="K68" s="481" t="s">
        <v>45</v>
      </c>
    </row>
    <row r="69" spans="1:11" ht="33.75">
      <c r="A69" s="481" t="s">
        <v>17</v>
      </c>
      <c r="B69" s="481" t="s">
        <v>4727</v>
      </c>
      <c r="C69" s="479">
        <v>0.29166666666666669</v>
      </c>
      <c r="D69" s="481" t="s">
        <v>4719</v>
      </c>
      <c r="E69" s="479">
        <v>0.375</v>
      </c>
      <c r="F69" s="481" t="s">
        <v>3693</v>
      </c>
      <c r="G69" s="481" t="s">
        <v>674</v>
      </c>
      <c r="H69" s="485" t="s">
        <v>3654</v>
      </c>
      <c r="I69" s="481" t="s">
        <v>1138</v>
      </c>
      <c r="J69" s="481" t="s">
        <v>3055</v>
      </c>
      <c r="K69" s="481" t="s">
        <v>3055</v>
      </c>
    </row>
    <row r="70" spans="1:11" ht="33.75">
      <c r="A70" s="481" t="s">
        <v>17</v>
      </c>
      <c r="B70" s="481" t="s">
        <v>4727</v>
      </c>
      <c r="C70" s="479">
        <v>0.82500000000000007</v>
      </c>
      <c r="D70" s="481" t="s">
        <v>4719</v>
      </c>
      <c r="E70" s="479">
        <v>0.4375</v>
      </c>
      <c r="F70" s="481" t="s">
        <v>4736</v>
      </c>
      <c r="G70" s="481" t="s">
        <v>674</v>
      </c>
      <c r="H70" s="485" t="s">
        <v>3654</v>
      </c>
      <c r="I70" s="481" t="s">
        <v>1138</v>
      </c>
      <c r="J70" s="481" t="s">
        <v>3055</v>
      </c>
      <c r="K70" s="481" t="s">
        <v>45</v>
      </c>
    </row>
    <row r="71" spans="1:11" ht="45">
      <c r="A71" s="481" t="s">
        <v>17</v>
      </c>
      <c r="B71" s="481" t="s">
        <v>4727</v>
      </c>
      <c r="C71" s="479">
        <v>0.43333333333333335</v>
      </c>
      <c r="D71" s="481" t="s">
        <v>4719</v>
      </c>
      <c r="E71" s="479">
        <v>0.41111111111111115</v>
      </c>
      <c r="F71" s="481" t="s">
        <v>2909</v>
      </c>
      <c r="G71" s="481" t="s">
        <v>1352</v>
      </c>
      <c r="H71" s="485" t="s">
        <v>3478</v>
      </c>
      <c r="I71" s="481" t="s">
        <v>22</v>
      </c>
      <c r="J71" s="481" t="s">
        <v>3746</v>
      </c>
      <c r="K71" s="481" t="s">
        <v>4737</v>
      </c>
    </row>
    <row r="72" spans="1:11" ht="45">
      <c r="A72" s="481" t="s">
        <v>17</v>
      </c>
      <c r="B72" s="481" t="s">
        <v>4727</v>
      </c>
      <c r="C72" s="479">
        <v>0.75</v>
      </c>
      <c r="D72" s="481" t="s">
        <v>4727</v>
      </c>
      <c r="E72" s="479">
        <v>0.99652777777777779</v>
      </c>
      <c r="F72" s="481" t="s">
        <v>2919</v>
      </c>
      <c r="G72" s="481" t="s">
        <v>1352</v>
      </c>
      <c r="H72" s="485" t="s">
        <v>3478</v>
      </c>
      <c r="I72" s="481" t="s">
        <v>22</v>
      </c>
      <c r="J72" s="481" t="s">
        <v>45</v>
      </c>
      <c r="K72" s="481" t="s">
        <v>45</v>
      </c>
    </row>
    <row r="73" spans="1:11" ht="45">
      <c r="A73" s="481" t="s">
        <v>17</v>
      </c>
      <c r="B73" s="481" t="s">
        <v>4727</v>
      </c>
      <c r="C73" s="479">
        <v>0.23611111111111113</v>
      </c>
      <c r="D73" s="481" t="s">
        <v>4725</v>
      </c>
      <c r="E73" s="479">
        <v>0.5493055555555556</v>
      </c>
      <c r="F73" s="481" t="s">
        <v>2919</v>
      </c>
      <c r="G73" s="481" t="s">
        <v>1352</v>
      </c>
      <c r="H73" s="485" t="s">
        <v>3750</v>
      </c>
      <c r="I73" s="481" t="s">
        <v>22</v>
      </c>
      <c r="J73" s="481" t="s">
        <v>4738</v>
      </c>
      <c r="K73" s="481" t="s">
        <v>45</v>
      </c>
    </row>
    <row r="74" spans="1:11" ht="33.75">
      <c r="A74" s="481" t="s">
        <v>17</v>
      </c>
      <c r="B74" s="481" t="s">
        <v>4727</v>
      </c>
      <c r="C74" s="479">
        <v>0.28125</v>
      </c>
      <c r="D74" s="481" t="s">
        <v>45</v>
      </c>
      <c r="E74" s="479" t="s">
        <v>45</v>
      </c>
      <c r="F74" s="481" t="s">
        <v>4739</v>
      </c>
      <c r="G74" s="481" t="s">
        <v>1352</v>
      </c>
      <c r="H74" s="485" t="s">
        <v>3451</v>
      </c>
      <c r="I74" s="481" t="s">
        <v>22</v>
      </c>
      <c r="J74" s="481" t="s">
        <v>45</v>
      </c>
      <c r="K74" s="481" t="s">
        <v>45</v>
      </c>
    </row>
    <row r="75" spans="1:11" ht="45">
      <c r="A75" s="481" t="s">
        <v>17</v>
      </c>
      <c r="B75" s="481" t="s">
        <v>4727</v>
      </c>
      <c r="C75" s="479">
        <v>0.20833333333333334</v>
      </c>
      <c r="D75" s="481" t="s">
        <v>4731</v>
      </c>
      <c r="E75" s="479">
        <v>0.66666666666666663</v>
      </c>
      <c r="F75" s="481" t="s">
        <v>4740</v>
      </c>
      <c r="G75" s="481" t="s">
        <v>63</v>
      </c>
      <c r="H75" s="485" t="s">
        <v>3478</v>
      </c>
      <c r="I75" s="481" t="s">
        <v>22</v>
      </c>
      <c r="J75" s="481" t="s">
        <v>45</v>
      </c>
      <c r="K75" s="481" t="s">
        <v>45</v>
      </c>
    </row>
    <row r="76" spans="1:11" ht="45">
      <c r="A76" s="481" t="s">
        <v>17</v>
      </c>
      <c r="B76" s="481" t="s">
        <v>4727</v>
      </c>
      <c r="C76" s="479">
        <v>0.70833333333333337</v>
      </c>
      <c r="D76" s="481" t="s">
        <v>4727</v>
      </c>
      <c r="E76" s="479">
        <v>0.95763888888888893</v>
      </c>
      <c r="F76" s="481" t="s">
        <v>3116</v>
      </c>
      <c r="G76" s="481" t="s">
        <v>63</v>
      </c>
      <c r="H76" s="485" t="s">
        <v>3478</v>
      </c>
      <c r="I76" s="481" t="s">
        <v>22</v>
      </c>
      <c r="J76" s="481" t="s">
        <v>45</v>
      </c>
      <c r="K76" s="481" t="s">
        <v>45</v>
      </c>
    </row>
    <row r="77" spans="1:11" ht="112.5">
      <c r="A77" s="481" t="s">
        <v>17</v>
      </c>
      <c r="B77" s="481" t="s">
        <v>4727</v>
      </c>
      <c r="C77" s="479">
        <v>0.32777777777777778</v>
      </c>
      <c r="D77" s="481" t="s">
        <v>4731</v>
      </c>
      <c r="E77" s="479">
        <v>0.59375</v>
      </c>
      <c r="F77" s="481" t="s">
        <v>4741</v>
      </c>
      <c r="G77" s="481" t="s">
        <v>1352</v>
      </c>
      <c r="H77" s="485" t="s">
        <v>3750</v>
      </c>
      <c r="I77" s="481" t="s">
        <v>22</v>
      </c>
      <c r="J77" s="481" t="s">
        <v>4742</v>
      </c>
      <c r="K77" s="481" t="s">
        <v>4743</v>
      </c>
    </row>
    <row r="78" spans="1:11" ht="45">
      <c r="A78" s="481" t="s">
        <v>17</v>
      </c>
      <c r="B78" s="481" t="s">
        <v>4727</v>
      </c>
      <c r="C78" s="479">
        <v>0.28541666666666665</v>
      </c>
      <c r="D78" s="481" t="s">
        <v>4725</v>
      </c>
      <c r="E78" s="479">
        <v>0.55486111111111114</v>
      </c>
      <c r="F78" s="481" t="s">
        <v>3693</v>
      </c>
      <c r="G78" s="481" t="s">
        <v>674</v>
      </c>
      <c r="H78" s="485" t="s">
        <v>3750</v>
      </c>
      <c r="I78" s="481" t="s">
        <v>22</v>
      </c>
      <c r="J78" s="481" t="s">
        <v>3380</v>
      </c>
      <c r="K78" s="481" t="s">
        <v>4744</v>
      </c>
    </row>
    <row r="79" spans="1:11" ht="45">
      <c r="A79" s="481" t="s">
        <v>17</v>
      </c>
      <c r="B79" s="481" t="s">
        <v>4727</v>
      </c>
      <c r="C79" s="479">
        <v>0.75</v>
      </c>
      <c r="D79" s="481" t="s">
        <v>4727</v>
      </c>
      <c r="E79" s="479">
        <v>0.99930555555555556</v>
      </c>
      <c r="F79" s="481" t="s">
        <v>2866</v>
      </c>
      <c r="G79" s="481" t="s">
        <v>63</v>
      </c>
      <c r="H79" s="485" t="s">
        <v>3478</v>
      </c>
      <c r="I79" s="481" t="s">
        <v>2764</v>
      </c>
      <c r="J79" s="481" t="s">
        <v>45</v>
      </c>
      <c r="K79" s="481" t="s">
        <v>45</v>
      </c>
    </row>
    <row r="80" spans="1:11" ht="45">
      <c r="A80" s="481" t="s">
        <v>17</v>
      </c>
      <c r="B80" s="481" t="s">
        <v>4727</v>
      </c>
      <c r="C80" s="479">
        <v>0.75</v>
      </c>
      <c r="D80" s="481" t="s">
        <v>4727</v>
      </c>
      <c r="E80" s="479">
        <v>0.99930555555555556</v>
      </c>
      <c r="F80" s="481" t="s">
        <v>2919</v>
      </c>
      <c r="G80" s="481" t="s">
        <v>1352</v>
      </c>
      <c r="H80" s="485" t="s">
        <v>3478</v>
      </c>
      <c r="I80" s="481" t="s">
        <v>22</v>
      </c>
      <c r="J80" s="481" t="s">
        <v>45</v>
      </c>
      <c r="K80" s="481" t="s">
        <v>45</v>
      </c>
    </row>
    <row r="81" spans="1:11" ht="33.75">
      <c r="A81" s="481" t="s">
        <v>17</v>
      </c>
      <c r="B81" s="481" t="s">
        <v>4727</v>
      </c>
      <c r="C81" s="479">
        <v>0.58333333333333337</v>
      </c>
      <c r="D81" s="481" t="s">
        <v>4727</v>
      </c>
      <c r="E81" s="479">
        <v>0.75</v>
      </c>
      <c r="F81" s="481" t="s">
        <v>2866</v>
      </c>
      <c r="G81" s="481" t="s">
        <v>63</v>
      </c>
      <c r="H81" s="485" t="s">
        <v>3654</v>
      </c>
      <c r="I81" s="481" t="s">
        <v>1138</v>
      </c>
      <c r="J81" s="481" t="s">
        <v>45</v>
      </c>
      <c r="K81" s="481" t="s">
        <v>45</v>
      </c>
    </row>
    <row r="82" spans="1:11" ht="33.75">
      <c r="A82" s="481" t="s">
        <v>17</v>
      </c>
      <c r="B82" s="481" t="s">
        <v>4727</v>
      </c>
      <c r="C82" s="479">
        <v>5.5555555555555552E-2</v>
      </c>
      <c r="D82" s="481" t="s">
        <v>45</v>
      </c>
      <c r="E82" s="479" t="s">
        <v>45</v>
      </c>
      <c r="F82" s="481" t="s">
        <v>2919</v>
      </c>
      <c r="G82" s="481" t="s">
        <v>1352</v>
      </c>
      <c r="H82" s="485" t="s">
        <v>3451</v>
      </c>
      <c r="I82" s="481" t="s">
        <v>22</v>
      </c>
      <c r="J82" s="481" t="s">
        <v>4745</v>
      </c>
      <c r="K82" s="481" t="s">
        <v>3331</v>
      </c>
    </row>
    <row r="83" spans="1:11" ht="45">
      <c r="A83" s="481" t="s">
        <v>17</v>
      </c>
      <c r="B83" s="481" t="s">
        <v>4727</v>
      </c>
      <c r="C83" s="479">
        <v>0.51250000000000007</v>
      </c>
      <c r="D83" s="481" t="s">
        <v>4727</v>
      </c>
      <c r="E83" s="479">
        <v>0.55694444444444446</v>
      </c>
      <c r="F83" s="481" t="s">
        <v>4614</v>
      </c>
      <c r="G83" s="481" t="s">
        <v>63</v>
      </c>
      <c r="H83" s="485" t="s">
        <v>3750</v>
      </c>
      <c r="I83" s="481" t="s">
        <v>22</v>
      </c>
      <c r="J83" s="481" t="s">
        <v>45</v>
      </c>
      <c r="K83" s="481" t="s">
        <v>45</v>
      </c>
    </row>
    <row r="84" spans="1:11" ht="33.75">
      <c r="A84" s="481" t="s">
        <v>17</v>
      </c>
      <c r="B84" s="481" t="s">
        <v>4727</v>
      </c>
      <c r="C84" s="479">
        <v>0.41666666666666669</v>
      </c>
      <c r="D84" s="481" t="s">
        <v>45</v>
      </c>
      <c r="E84" s="479" t="s">
        <v>45</v>
      </c>
      <c r="F84" s="481" t="s">
        <v>4724</v>
      </c>
      <c r="G84" s="481" t="s">
        <v>674</v>
      </c>
      <c r="H84" s="485" t="s">
        <v>3654</v>
      </c>
      <c r="I84" s="481" t="s">
        <v>1138</v>
      </c>
      <c r="J84" s="481" t="s">
        <v>4746</v>
      </c>
      <c r="K84" s="481" t="s">
        <v>45</v>
      </c>
    </row>
    <row r="85" spans="1:11" ht="45">
      <c r="A85" s="481" t="s">
        <v>17</v>
      </c>
      <c r="B85" s="481" t="s">
        <v>4727</v>
      </c>
      <c r="C85" s="479">
        <v>0.38194444444444442</v>
      </c>
      <c r="D85" s="481" t="s">
        <v>45</v>
      </c>
      <c r="E85" s="479" t="s">
        <v>45</v>
      </c>
      <c r="F85" s="481" t="s">
        <v>4747</v>
      </c>
      <c r="G85" s="481" t="s">
        <v>1352</v>
      </c>
      <c r="H85" s="485" t="s">
        <v>3478</v>
      </c>
      <c r="I85" s="481" t="s">
        <v>22</v>
      </c>
      <c r="J85" s="481" t="s">
        <v>3055</v>
      </c>
      <c r="K85" s="481" t="s">
        <v>3055</v>
      </c>
    </row>
    <row r="86" spans="1:11" ht="45">
      <c r="A86" s="481" t="s">
        <v>17</v>
      </c>
      <c r="B86" s="481" t="s">
        <v>4727</v>
      </c>
      <c r="C86" s="479">
        <v>0.23333333333333331</v>
      </c>
      <c r="D86" s="481" t="s">
        <v>45</v>
      </c>
      <c r="E86" s="479" t="s">
        <v>45</v>
      </c>
      <c r="F86" s="481" t="s">
        <v>2919</v>
      </c>
      <c r="G86" s="481" t="s">
        <v>1352</v>
      </c>
      <c r="H86" s="485" t="s">
        <v>3750</v>
      </c>
      <c r="I86" s="481" t="s">
        <v>22</v>
      </c>
      <c r="J86" s="481" t="s">
        <v>3296</v>
      </c>
      <c r="K86" s="481" t="s">
        <v>45</v>
      </c>
    </row>
    <row r="87" spans="1:11" ht="45">
      <c r="A87" s="481" t="s">
        <v>17</v>
      </c>
      <c r="B87" s="481" t="s">
        <v>4727</v>
      </c>
      <c r="C87" s="479">
        <v>0</v>
      </c>
      <c r="D87" s="481" t="s">
        <v>45</v>
      </c>
      <c r="E87" s="479" t="s">
        <v>45</v>
      </c>
      <c r="F87" s="481" t="s">
        <v>2919</v>
      </c>
      <c r="G87" s="481" t="s">
        <v>1352</v>
      </c>
      <c r="H87" s="485" t="s">
        <v>3750</v>
      </c>
      <c r="I87" s="481" t="s">
        <v>22</v>
      </c>
      <c r="J87" s="481" t="s">
        <v>3198</v>
      </c>
      <c r="K87" s="481" t="s">
        <v>45</v>
      </c>
    </row>
    <row r="88" spans="1:11" ht="45">
      <c r="A88" s="481" t="s">
        <v>17</v>
      </c>
      <c r="B88" s="481" t="s">
        <v>4725</v>
      </c>
      <c r="C88" s="479">
        <v>0.29375000000000001</v>
      </c>
      <c r="D88" s="481" t="s">
        <v>4705</v>
      </c>
      <c r="E88" s="479">
        <v>0.91666666666666663</v>
      </c>
      <c r="F88" s="481" t="s">
        <v>4748</v>
      </c>
      <c r="G88" s="481" t="s">
        <v>674</v>
      </c>
      <c r="H88" s="485" t="s">
        <v>3750</v>
      </c>
      <c r="I88" s="481" t="s">
        <v>22</v>
      </c>
      <c r="J88" s="481" t="s">
        <v>45</v>
      </c>
      <c r="K88" s="481" t="s">
        <v>4749</v>
      </c>
    </row>
    <row r="89" spans="1:11" ht="67.5">
      <c r="A89" s="481" t="s">
        <v>17</v>
      </c>
      <c r="B89" s="481" t="s">
        <v>4725</v>
      </c>
      <c r="C89" s="479">
        <v>0.7631944444444444</v>
      </c>
      <c r="D89" s="481" t="s">
        <v>45</v>
      </c>
      <c r="E89" s="479" t="s">
        <v>45</v>
      </c>
      <c r="F89" s="481" t="s">
        <v>3405</v>
      </c>
      <c r="G89" s="481" t="s">
        <v>63</v>
      </c>
      <c r="H89" s="485" t="s">
        <v>3411</v>
      </c>
      <c r="I89" s="481" t="s">
        <v>2483</v>
      </c>
      <c r="J89" s="481" t="s">
        <v>45</v>
      </c>
      <c r="K89" s="481" t="s">
        <v>45</v>
      </c>
    </row>
    <row r="90" spans="1:11" ht="45">
      <c r="A90" s="481" t="s">
        <v>17</v>
      </c>
      <c r="B90" s="481" t="s">
        <v>4725</v>
      </c>
      <c r="C90" s="479">
        <v>0.73958333333333337</v>
      </c>
      <c r="D90" s="481" t="s">
        <v>4725</v>
      </c>
      <c r="E90" s="479">
        <v>0.80208333333333337</v>
      </c>
      <c r="F90" s="481" t="s">
        <v>3591</v>
      </c>
      <c r="G90" s="481" t="s">
        <v>1352</v>
      </c>
      <c r="H90" s="485" t="s">
        <v>3447</v>
      </c>
      <c r="I90" s="481" t="s">
        <v>2764</v>
      </c>
      <c r="J90" s="481" t="s">
        <v>3055</v>
      </c>
      <c r="K90" s="481" t="s">
        <v>3055</v>
      </c>
    </row>
    <row r="91" spans="1:11" ht="45">
      <c r="A91" s="481" t="s">
        <v>17</v>
      </c>
      <c r="B91" s="481" t="s">
        <v>4725</v>
      </c>
      <c r="C91" s="479">
        <v>0.28333333333333333</v>
      </c>
      <c r="D91" s="481" t="s">
        <v>45</v>
      </c>
      <c r="E91" s="479" t="s">
        <v>45</v>
      </c>
      <c r="F91" s="481" t="s">
        <v>2866</v>
      </c>
      <c r="G91" s="481" t="s">
        <v>63</v>
      </c>
      <c r="H91" s="485" t="s">
        <v>3750</v>
      </c>
      <c r="I91" s="481" t="s">
        <v>22</v>
      </c>
      <c r="J91" s="481" t="s">
        <v>4745</v>
      </c>
      <c r="K91" s="481" t="s">
        <v>45</v>
      </c>
    </row>
    <row r="92" spans="1:11" ht="45">
      <c r="A92" s="481" t="s">
        <v>17</v>
      </c>
      <c r="B92" s="481" t="s">
        <v>4725</v>
      </c>
      <c r="C92" s="479">
        <v>0.77430555555555547</v>
      </c>
      <c r="D92" s="481" t="s">
        <v>4731</v>
      </c>
      <c r="E92" s="479">
        <v>4.1666666666666664E-2</v>
      </c>
      <c r="F92" s="481" t="s">
        <v>2919</v>
      </c>
      <c r="G92" s="481" t="s">
        <v>1352</v>
      </c>
      <c r="H92" s="485" t="s">
        <v>3478</v>
      </c>
      <c r="I92" s="481" t="s">
        <v>1138</v>
      </c>
      <c r="J92" s="481" t="s">
        <v>45</v>
      </c>
      <c r="K92" s="481" t="s">
        <v>45</v>
      </c>
    </row>
    <row r="93" spans="1:11" ht="45">
      <c r="A93" s="481" t="s">
        <v>17</v>
      </c>
      <c r="B93" s="481" t="s">
        <v>4725</v>
      </c>
      <c r="C93" s="479">
        <v>0.97777777777777775</v>
      </c>
      <c r="D93" s="481" t="s">
        <v>45</v>
      </c>
      <c r="E93" s="479" t="s">
        <v>45</v>
      </c>
      <c r="F93" s="481" t="s">
        <v>2919</v>
      </c>
      <c r="G93" s="481" t="s">
        <v>1352</v>
      </c>
      <c r="H93" s="485" t="s">
        <v>3447</v>
      </c>
      <c r="I93" s="481" t="s">
        <v>2764</v>
      </c>
      <c r="J93" s="481" t="s">
        <v>3055</v>
      </c>
      <c r="K93" s="481" t="s">
        <v>3055</v>
      </c>
    </row>
    <row r="94" spans="1:11" ht="45">
      <c r="A94" s="481" t="s">
        <v>17</v>
      </c>
      <c r="B94" s="481" t="s">
        <v>4725</v>
      </c>
      <c r="C94" s="479">
        <v>0.69444444444444453</v>
      </c>
      <c r="D94" s="481" t="s">
        <v>4705</v>
      </c>
      <c r="E94" s="479">
        <v>0</v>
      </c>
      <c r="F94" s="481" t="s">
        <v>2864</v>
      </c>
      <c r="G94" s="481" t="s">
        <v>63</v>
      </c>
      <c r="H94" s="485" t="s">
        <v>3478</v>
      </c>
      <c r="I94" s="481" t="s">
        <v>22</v>
      </c>
      <c r="J94" s="481" t="s">
        <v>45</v>
      </c>
      <c r="K94" s="481" t="s">
        <v>45</v>
      </c>
    </row>
    <row r="95" spans="1:11" ht="45">
      <c r="A95" s="481" t="s">
        <v>17</v>
      </c>
      <c r="B95" s="481" t="s">
        <v>4725</v>
      </c>
      <c r="C95" s="479">
        <v>0.73263888888888884</v>
      </c>
      <c r="D95" s="481" t="s">
        <v>4731</v>
      </c>
      <c r="E95" s="479">
        <v>0</v>
      </c>
      <c r="F95" s="481" t="s">
        <v>3116</v>
      </c>
      <c r="G95" s="481" t="s">
        <v>63</v>
      </c>
      <c r="H95" s="485" t="s">
        <v>3478</v>
      </c>
      <c r="I95" s="481" t="s">
        <v>22</v>
      </c>
      <c r="J95" s="481" t="s">
        <v>45</v>
      </c>
      <c r="K95" s="481" t="s">
        <v>45</v>
      </c>
    </row>
    <row r="96" spans="1:11" ht="101.25">
      <c r="A96" s="481" t="s">
        <v>17</v>
      </c>
      <c r="B96" s="481" t="s">
        <v>4725</v>
      </c>
      <c r="C96" s="479">
        <v>0.30555555555555552</v>
      </c>
      <c r="D96" s="481" t="s">
        <v>4725</v>
      </c>
      <c r="E96" s="479">
        <v>0.41805555555555557</v>
      </c>
      <c r="F96" s="481" t="s">
        <v>4461</v>
      </c>
      <c r="G96" s="481" t="s">
        <v>674</v>
      </c>
      <c r="H96" s="485" t="s">
        <v>3750</v>
      </c>
      <c r="I96" s="481" t="s">
        <v>22</v>
      </c>
      <c r="J96" s="481" t="s">
        <v>4750</v>
      </c>
      <c r="K96" s="481" t="s">
        <v>4751</v>
      </c>
    </row>
    <row r="97" spans="1:11" ht="45">
      <c r="A97" s="481" t="s">
        <v>17</v>
      </c>
      <c r="B97" s="481" t="s">
        <v>4725</v>
      </c>
      <c r="C97" s="479">
        <v>0.22916666666666666</v>
      </c>
      <c r="D97" s="481" t="s">
        <v>4725</v>
      </c>
      <c r="E97" s="479">
        <v>0.58333333333333337</v>
      </c>
      <c r="F97" s="481" t="s">
        <v>4752</v>
      </c>
      <c r="G97" s="481" t="s">
        <v>63</v>
      </c>
      <c r="H97" s="485" t="s">
        <v>3750</v>
      </c>
      <c r="I97" s="481" t="s">
        <v>22</v>
      </c>
      <c r="J97" s="481" t="s">
        <v>4753</v>
      </c>
      <c r="K97" s="481" t="s">
        <v>45</v>
      </c>
    </row>
    <row r="98" spans="1:11" ht="45">
      <c r="A98" s="481" t="s">
        <v>17</v>
      </c>
      <c r="B98" s="481" t="s">
        <v>4725</v>
      </c>
      <c r="C98" s="479">
        <v>0.82152777777777775</v>
      </c>
      <c r="D98" s="481" t="s">
        <v>4725</v>
      </c>
      <c r="E98" s="479">
        <v>0.90347222222222223</v>
      </c>
      <c r="F98" s="481" t="s">
        <v>4754</v>
      </c>
      <c r="G98" s="481" t="s">
        <v>63</v>
      </c>
      <c r="H98" s="485" t="s">
        <v>3750</v>
      </c>
      <c r="I98" s="481" t="s">
        <v>22</v>
      </c>
      <c r="J98" s="481" t="s">
        <v>3066</v>
      </c>
      <c r="K98" s="481" t="s">
        <v>45</v>
      </c>
    </row>
    <row r="99" spans="1:11" ht="45">
      <c r="A99" s="481" t="s">
        <v>17</v>
      </c>
      <c r="B99" s="481" t="s">
        <v>4725</v>
      </c>
      <c r="C99" s="479">
        <v>0.81944444444444453</v>
      </c>
      <c r="D99" s="481" t="s">
        <v>4731</v>
      </c>
      <c r="E99" s="479">
        <v>4.1666666666666664E-2</v>
      </c>
      <c r="F99" s="481" t="s">
        <v>2919</v>
      </c>
      <c r="G99" s="481" t="s">
        <v>1352</v>
      </c>
      <c r="H99" s="485" t="s">
        <v>3750</v>
      </c>
      <c r="I99" s="481" t="s">
        <v>22</v>
      </c>
      <c r="J99" s="481" t="s">
        <v>4755</v>
      </c>
      <c r="K99" s="481" t="s">
        <v>45</v>
      </c>
    </row>
    <row r="100" spans="1:11" ht="45">
      <c r="A100" s="481" t="s">
        <v>17</v>
      </c>
      <c r="B100" s="481" t="s">
        <v>4725</v>
      </c>
      <c r="C100" s="479">
        <v>0.3034722222222222</v>
      </c>
      <c r="D100" s="481" t="s">
        <v>4725</v>
      </c>
      <c r="E100" s="479">
        <v>0.42222222222222222</v>
      </c>
      <c r="F100" s="481" t="s">
        <v>2919</v>
      </c>
      <c r="G100" s="481" t="s">
        <v>1352</v>
      </c>
      <c r="H100" s="485" t="s">
        <v>3478</v>
      </c>
      <c r="I100" s="481" t="s">
        <v>22</v>
      </c>
      <c r="J100" s="481" t="s">
        <v>4756</v>
      </c>
      <c r="K100" s="481" t="s">
        <v>4757</v>
      </c>
    </row>
    <row r="101" spans="1:11" ht="45">
      <c r="A101" s="481" t="s">
        <v>17</v>
      </c>
      <c r="B101" s="481" t="s">
        <v>4725</v>
      </c>
      <c r="C101" s="479">
        <v>0.77430555555555547</v>
      </c>
      <c r="D101" s="481" t="s">
        <v>4731</v>
      </c>
      <c r="E101" s="479">
        <v>4.1666666666666664E-2</v>
      </c>
      <c r="F101" s="481" t="s">
        <v>2866</v>
      </c>
      <c r="G101" s="481" t="s">
        <v>63</v>
      </c>
      <c r="H101" s="485" t="s">
        <v>3478</v>
      </c>
      <c r="I101" s="481" t="s">
        <v>2764</v>
      </c>
      <c r="J101" s="481" t="s">
        <v>45</v>
      </c>
      <c r="K101" s="481" t="s">
        <v>45</v>
      </c>
    </row>
    <row r="102" spans="1:11" ht="45">
      <c r="A102" s="481" t="s">
        <v>17</v>
      </c>
      <c r="B102" s="481" t="s">
        <v>4725</v>
      </c>
      <c r="C102" s="479">
        <v>0.43055555555555558</v>
      </c>
      <c r="D102" s="481" t="s">
        <v>4725</v>
      </c>
      <c r="E102" s="479">
        <v>0.55555555555555558</v>
      </c>
      <c r="F102" s="481" t="s">
        <v>2947</v>
      </c>
      <c r="G102" s="481" t="s">
        <v>124</v>
      </c>
      <c r="H102" s="485" t="s">
        <v>3447</v>
      </c>
      <c r="I102" s="481" t="s">
        <v>2764</v>
      </c>
      <c r="J102" s="481" t="s">
        <v>3055</v>
      </c>
      <c r="K102" s="481" t="s">
        <v>3055</v>
      </c>
    </row>
    <row r="103" spans="1:11" ht="67.5">
      <c r="A103" s="481" t="s">
        <v>17</v>
      </c>
      <c r="B103" s="481" t="s">
        <v>4725</v>
      </c>
      <c r="C103" s="479">
        <v>0.39652777777777781</v>
      </c>
      <c r="D103" s="481" t="s">
        <v>4725</v>
      </c>
      <c r="E103" s="479">
        <v>0.43541666666666662</v>
      </c>
      <c r="F103" s="481" t="s">
        <v>4443</v>
      </c>
      <c r="G103" s="481" t="s">
        <v>674</v>
      </c>
      <c r="H103" s="485" t="s">
        <v>3411</v>
      </c>
      <c r="I103" s="481" t="s">
        <v>2483</v>
      </c>
      <c r="J103" s="481" t="s">
        <v>4758</v>
      </c>
      <c r="K103" s="481" t="s">
        <v>45</v>
      </c>
    </row>
    <row r="104" spans="1:11" ht="45">
      <c r="A104" s="481" t="s">
        <v>17</v>
      </c>
      <c r="B104" s="481" t="s">
        <v>4725</v>
      </c>
      <c r="C104" s="479">
        <v>0.73263888888888884</v>
      </c>
      <c r="D104" s="481" t="s">
        <v>4731</v>
      </c>
      <c r="E104" s="479">
        <v>0</v>
      </c>
      <c r="F104" s="481" t="s">
        <v>4532</v>
      </c>
      <c r="G104" s="481" t="s">
        <v>63</v>
      </c>
      <c r="H104" s="485" t="s">
        <v>3478</v>
      </c>
      <c r="I104" s="481" t="s">
        <v>22</v>
      </c>
      <c r="J104" s="481" t="s">
        <v>45</v>
      </c>
      <c r="K104" s="481" t="s">
        <v>45</v>
      </c>
    </row>
    <row r="105" spans="1:11" ht="45">
      <c r="A105" s="481" t="s">
        <v>17</v>
      </c>
      <c r="B105" s="481" t="s">
        <v>4725</v>
      </c>
      <c r="C105" s="479">
        <v>0.26666666666666666</v>
      </c>
      <c r="D105" s="481" t="s">
        <v>4725</v>
      </c>
      <c r="E105" s="479">
        <v>0.44513888888888892</v>
      </c>
      <c r="F105" s="481" t="s">
        <v>2866</v>
      </c>
      <c r="G105" s="481" t="s">
        <v>63</v>
      </c>
      <c r="H105" s="485" t="s">
        <v>3750</v>
      </c>
      <c r="I105" s="481" t="s">
        <v>2764</v>
      </c>
      <c r="J105" s="481" t="s">
        <v>3093</v>
      </c>
      <c r="K105" s="481" t="s">
        <v>4759</v>
      </c>
    </row>
    <row r="106" spans="1:11" ht="33.75">
      <c r="A106" s="481" t="s">
        <v>17</v>
      </c>
      <c r="B106" s="481" t="s">
        <v>4725</v>
      </c>
      <c r="C106" s="479">
        <v>4.1666666666666664E-2</v>
      </c>
      <c r="D106" s="481" t="s">
        <v>4725</v>
      </c>
      <c r="E106" s="479">
        <v>0.89444444444444438</v>
      </c>
      <c r="F106" s="481" t="s">
        <v>3354</v>
      </c>
      <c r="G106" s="481" t="s">
        <v>63</v>
      </c>
      <c r="H106" s="485" t="s">
        <v>3451</v>
      </c>
      <c r="I106" s="481" t="s">
        <v>22</v>
      </c>
      <c r="J106" s="481" t="s">
        <v>45</v>
      </c>
      <c r="K106" s="481" t="s">
        <v>4760</v>
      </c>
    </row>
    <row r="107" spans="1:11" ht="45">
      <c r="A107" s="481" t="s">
        <v>17</v>
      </c>
      <c r="B107" s="481" t="s">
        <v>4725</v>
      </c>
      <c r="C107" s="479">
        <v>0.25694444444444448</v>
      </c>
      <c r="D107" s="481" t="s">
        <v>45</v>
      </c>
      <c r="E107" s="479" t="s">
        <v>45</v>
      </c>
      <c r="F107" s="481" t="s">
        <v>2864</v>
      </c>
      <c r="G107" s="481" t="s">
        <v>63</v>
      </c>
      <c r="H107" s="485" t="s">
        <v>3750</v>
      </c>
      <c r="I107" s="481" t="s">
        <v>2990</v>
      </c>
      <c r="J107" s="481" t="s">
        <v>4761</v>
      </c>
      <c r="K107" s="481" t="s">
        <v>45</v>
      </c>
    </row>
    <row r="108" spans="1:11" ht="33.75">
      <c r="A108" s="481" t="s">
        <v>17</v>
      </c>
      <c r="B108" s="481" t="s">
        <v>4725</v>
      </c>
      <c r="C108" s="479">
        <v>0.29166666666666669</v>
      </c>
      <c r="D108" s="481" t="s">
        <v>45</v>
      </c>
      <c r="E108" s="479" t="s">
        <v>45</v>
      </c>
      <c r="F108" s="481" t="s">
        <v>4762</v>
      </c>
      <c r="G108" s="481" t="s">
        <v>3143</v>
      </c>
      <c r="H108" s="485" t="s">
        <v>3928</v>
      </c>
      <c r="I108" s="481" t="s">
        <v>2952</v>
      </c>
      <c r="J108" s="481" t="s">
        <v>45</v>
      </c>
      <c r="K108" s="481" t="s">
        <v>3055</v>
      </c>
    </row>
    <row r="109" spans="1:11" ht="45">
      <c r="A109" s="481" t="s">
        <v>17</v>
      </c>
      <c r="B109" s="481" t="s">
        <v>4725</v>
      </c>
      <c r="C109" s="479">
        <v>0.30694444444444441</v>
      </c>
      <c r="D109" s="481" t="s">
        <v>4725</v>
      </c>
      <c r="E109" s="479">
        <v>0.33333333333333331</v>
      </c>
      <c r="F109" s="481" t="s">
        <v>4763</v>
      </c>
      <c r="G109" s="481" t="s">
        <v>63</v>
      </c>
      <c r="H109" s="485" t="s">
        <v>3750</v>
      </c>
      <c r="I109" s="481" t="s">
        <v>22</v>
      </c>
      <c r="J109" s="481" t="s">
        <v>4764</v>
      </c>
      <c r="K109" s="481" t="s">
        <v>45</v>
      </c>
    </row>
    <row r="110" spans="1:11" ht="45">
      <c r="A110" s="481" t="s">
        <v>17</v>
      </c>
      <c r="B110" s="481" t="s">
        <v>4725</v>
      </c>
      <c r="C110" s="479">
        <v>0.28333333333333333</v>
      </c>
      <c r="D110" s="481" t="s">
        <v>45</v>
      </c>
      <c r="E110" s="479" t="s">
        <v>45</v>
      </c>
      <c r="F110" s="481" t="s">
        <v>3767</v>
      </c>
      <c r="G110" s="481" t="s">
        <v>63</v>
      </c>
      <c r="H110" s="485" t="s">
        <v>3750</v>
      </c>
      <c r="I110" s="481" t="s">
        <v>22</v>
      </c>
      <c r="J110" s="481" t="s">
        <v>3536</v>
      </c>
      <c r="K110" s="481" t="s">
        <v>45</v>
      </c>
    </row>
    <row r="111" spans="1:11" ht="45">
      <c r="A111" s="481" t="s">
        <v>17</v>
      </c>
      <c r="B111" s="481" t="s">
        <v>4725</v>
      </c>
      <c r="C111" s="479">
        <v>0.18472222222222223</v>
      </c>
      <c r="D111" s="481" t="s">
        <v>45</v>
      </c>
      <c r="E111" s="479" t="s">
        <v>45</v>
      </c>
      <c r="F111" s="481" t="s">
        <v>2919</v>
      </c>
      <c r="G111" s="481" t="s">
        <v>1352</v>
      </c>
      <c r="H111" s="485" t="s">
        <v>3750</v>
      </c>
      <c r="I111" s="481" t="s">
        <v>22</v>
      </c>
      <c r="J111" s="481" t="s">
        <v>3296</v>
      </c>
      <c r="K111" s="481" t="s">
        <v>45</v>
      </c>
    </row>
    <row r="112" spans="1:11" ht="45">
      <c r="A112" s="481" t="s">
        <v>17</v>
      </c>
      <c r="B112" s="481" t="s">
        <v>4731</v>
      </c>
      <c r="C112" s="479">
        <v>0.75</v>
      </c>
      <c r="D112" s="481" t="s">
        <v>4731</v>
      </c>
      <c r="E112" s="479">
        <v>0.95833333333333337</v>
      </c>
      <c r="F112" s="481" t="s">
        <v>2866</v>
      </c>
      <c r="G112" s="481" t="s">
        <v>63</v>
      </c>
      <c r="H112" s="485" t="s">
        <v>3478</v>
      </c>
      <c r="I112" s="481" t="s">
        <v>2764</v>
      </c>
      <c r="J112" s="481" t="s">
        <v>45</v>
      </c>
      <c r="K112" s="481" t="s">
        <v>45</v>
      </c>
    </row>
    <row r="113" spans="1:11" ht="45">
      <c r="A113" s="481" t="s">
        <v>17</v>
      </c>
      <c r="B113" s="481" t="s">
        <v>4731</v>
      </c>
      <c r="C113" s="479">
        <v>0.75</v>
      </c>
      <c r="D113" s="481" t="s">
        <v>4731</v>
      </c>
      <c r="E113" s="479">
        <v>0.95833333333333337</v>
      </c>
      <c r="F113" s="481" t="s">
        <v>2919</v>
      </c>
      <c r="G113" s="481" t="s">
        <v>1352</v>
      </c>
      <c r="H113" s="485" t="s">
        <v>3478</v>
      </c>
      <c r="I113" s="481" t="s">
        <v>22</v>
      </c>
      <c r="J113" s="481" t="s">
        <v>45</v>
      </c>
      <c r="K113" s="481" t="s">
        <v>45</v>
      </c>
    </row>
    <row r="114" spans="1:11" ht="33.75">
      <c r="A114" s="481" t="s">
        <v>17</v>
      </c>
      <c r="B114" s="481" t="s">
        <v>4731</v>
      </c>
      <c r="C114" s="479">
        <v>0.375</v>
      </c>
      <c r="D114" s="481" t="s">
        <v>4712</v>
      </c>
      <c r="E114" s="479">
        <v>0.375</v>
      </c>
      <c r="F114" s="481" t="s">
        <v>4703</v>
      </c>
      <c r="G114" s="481" t="s">
        <v>674</v>
      </c>
      <c r="H114" s="485" t="s">
        <v>3654</v>
      </c>
      <c r="I114" s="481" t="s">
        <v>1138</v>
      </c>
      <c r="J114" s="481" t="s">
        <v>45</v>
      </c>
      <c r="K114" s="481" t="s">
        <v>45</v>
      </c>
    </row>
    <row r="115" spans="1:11" ht="45">
      <c r="A115" s="481" t="s">
        <v>17</v>
      </c>
      <c r="B115" s="481" t="s">
        <v>4731</v>
      </c>
      <c r="C115" s="479">
        <v>0.70833333333333337</v>
      </c>
      <c r="D115" s="481" t="s">
        <v>4731</v>
      </c>
      <c r="E115" s="479">
        <v>0.91666666666666663</v>
      </c>
      <c r="F115" s="481" t="s">
        <v>3116</v>
      </c>
      <c r="G115" s="481" t="s">
        <v>63</v>
      </c>
      <c r="H115" s="485" t="s">
        <v>3478</v>
      </c>
      <c r="I115" s="481" t="s">
        <v>22</v>
      </c>
      <c r="J115" s="481" t="s">
        <v>45</v>
      </c>
      <c r="K115" s="481" t="s">
        <v>45</v>
      </c>
    </row>
    <row r="116" spans="1:11" ht="67.5">
      <c r="A116" s="481" t="s">
        <v>17</v>
      </c>
      <c r="B116" s="481" t="s">
        <v>4731</v>
      </c>
      <c r="C116" s="479">
        <v>0.4375</v>
      </c>
      <c r="D116" s="481" t="s">
        <v>4731</v>
      </c>
      <c r="E116" s="479">
        <v>0.75277777777777777</v>
      </c>
      <c r="F116" s="481" t="s">
        <v>2928</v>
      </c>
      <c r="G116" s="481" t="s">
        <v>63</v>
      </c>
      <c r="H116" s="485" t="s">
        <v>3411</v>
      </c>
      <c r="I116" s="481" t="s">
        <v>2483</v>
      </c>
      <c r="J116" s="481" t="s">
        <v>3055</v>
      </c>
      <c r="K116" s="481" t="s">
        <v>3055</v>
      </c>
    </row>
    <row r="117" spans="1:11" ht="45">
      <c r="A117" s="481" t="s">
        <v>17</v>
      </c>
      <c r="B117" s="481" t="s">
        <v>4731</v>
      </c>
      <c r="C117" s="479">
        <v>0.70833333333333337</v>
      </c>
      <c r="D117" s="481" t="s">
        <v>4731</v>
      </c>
      <c r="E117" s="479">
        <v>0.91666666666666663</v>
      </c>
      <c r="F117" s="481" t="s">
        <v>4532</v>
      </c>
      <c r="G117" s="481" t="s">
        <v>63</v>
      </c>
      <c r="H117" s="485" t="s">
        <v>3478</v>
      </c>
      <c r="I117" s="481" t="s">
        <v>22</v>
      </c>
      <c r="J117" s="481" t="s">
        <v>4053</v>
      </c>
      <c r="K117" s="481" t="s">
        <v>3452</v>
      </c>
    </row>
    <row r="118" spans="1:11" ht="45">
      <c r="A118" s="481" t="s">
        <v>17</v>
      </c>
      <c r="B118" s="481" t="s">
        <v>4731</v>
      </c>
      <c r="C118" s="479">
        <v>0.27638888888888885</v>
      </c>
      <c r="D118" s="481" t="s">
        <v>4731</v>
      </c>
      <c r="E118" s="479">
        <v>0.35902777777777778</v>
      </c>
      <c r="F118" s="481" t="s">
        <v>3591</v>
      </c>
      <c r="G118" s="481" t="s">
        <v>1352</v>
      </c>
      <c r="H118" s="485" t="s">
        <v>3387</v>
      </c>
      <c r="I118" s="481" t="s">
        <v>2764</v>
      </c>
      <c r="J118" s="481" t="s">
        <v>3055</v>
      </c>
      <c r="K118" s="481" t="s">
        <v>3055</v>
      </c>
    </row>
    <row r="119" spans="1:11" ht="45">
      <c r="A119" s="481" t="s">
        <v>17</v>
      </c>
      <c r="B119" s="481" t="s">
        <v>4712</v>
      </c>
      <c r="C119" s="479">
        <v>0.28333333333333333</v>
      </c>
      <c r="D119" s="481" t="s">
        <v>45</v>
      </c>
      <c r="E119" s="479" t="s">
        <v>45</v>
      </c>
      <c r="F119" s="481" t="s">
        <v>3767</v>
      </c>
      <c r="G119" s="481" t="s">
        <v>63</v>
      </c>
      <c r="H119" s="485" t="s">
        <v>3750</v>
      </c>
      <c r="I119" s="481" t="s">
        <v>22</v>
      </c>
      <c r="J119" s="481" t="s">
        <v>3536</v>
      </c>
      <c r="K119" s="481" t="s">
        <v>45</v>
      </c>
    </row>
    <row r="120" spans="1:11" ht="33.75">
      <c r="A120" s="481" t="s">
        <v>17</v>
      </c>
      <c r="B120" s="481" t="s">
        <v>4712</v>
      </c>
      <c r="C120" s="479">
        <v>0.875</v>
      </c>
      <c r="D120" s="481" t="s">
        <v>4705</v>
      </c>
      <c r="E120" s="479">
        <v>0.54166666666666663</v>
      </c>
      <c r="F120" s="481" t="s">
        <v>2919</v>
      </c>
      <c r="G120" s="481" t="s">
        <v>1352</v>
      </c>
      <c r="H120" s="485" t="s">
        <v>3696</v>
      </c>
      <c r="I120" s="481" t="s">
        <v>2952</v>
      </c>
      <c r="J120" s="481" t="s">
        <v>45</v>
      </c>
      <c r="K120" s="481" t="s">
        <v>3055</v>
      </c>
    </row>
    <row r="121" spans="1:11" ht="45">
      <c r="A121" s="481" t="s">
        <v>17</v>
      </c>
      <c r="B121" s="481" t="s">
        <v>4712</v>
      </c>
      <c r="C121" s="479">
        <v>0.50069444444444444</v>
      </c>
      <c r="D121" s="481" t="s">
        <v>4712</v>
      </c>
      <c r="E121" s="479">
        <v>0.52847222222222223</v>
      </c>
      <c r="F121" s="481" t="s">
        <v>3719</v>
      </c>
      <c r="G121" s="481" t="s">
        <v>61</v>
      </c>
      <c r="H121" s="485" t="s">
        <v>3387</v>
      </c>
      <c r="I121" s="481" t="s">
        <v>2764</v>
      </c>
      <c r="J121" s="481" t="s">
        <v>3055</v>
      </c>
      <c r="K121" s="481" t="s">
        <v>3055</v>
      </c>
    </row>
    <row r="122" spans="1:11" ht="45">
      <c r="A122" s="481" t="s">
        <v>17</v>
      </c>
      <c r="B122" s="481" t="s">
        <v>4765</v>
      </c>
      <c r="C122" s="479">
        <v>0.25138888888888888</v>
      </c>
      <c r="D122" s="481" t="s">
        <v>4765</v>
      </c>
      <c r="E122" s="479">
        <v>0.41041666666666665</v>
      </c>
      <c r="F122" s="481" t="s">
        <v>4766</v>
      </c>
      <c r="G122" s="481" t="s">
        <v>124</v>
      </c>
      <c r="H122" s="485" t="s">
        <v>3447</v>
      </c>
      <c r="I122" s="481" t="s">
        <v>2764</v>
      </c>
      <c r="J122" s="481" t="s">
        <v>45</v>
      </c>
      <c r="K122" s="481" t="s">
        <v>3055</v>
      </c>
    </row>
    <row r="123" spans="1:11" ht="45">
      <c r="A123" s="481" t="s">
        <v>17</v>
      </c>
      <c r="B123" s="481" t="s">
        <v>4767</v>
      </c>
      <c r="C123" s="479">
        <v>0.52916666666666667</v>
      </c>
      <c r="D123" s="481" t="s">
        <v>4767</v>
      </c>
      <c r="E123" s="479">
        <v>0.55694444444444446</v>
      </c>
      <c r="F123" s="481" t="s">
        <v>2919</v>
      </c>
      <c r="G123" s="481" t="s">
        <v>1352</v>
      </c>
      <c r="H123" s="485" t="s">
        <v>3387</v>
      </c>
      <c r="I123" s="481" t="s">
        <v>2764</v>
      </c>
      <c r="J123" s="481" t="s">
        <v>3055</v>
      </c>
      <c r="K123" s="481" t="s">
        <v>3055</v>
      </c>
    </row>
    <row r="124" spans="1:11" ht="33.75">
      <c r="A124" s="481" t="s">
        <v>20</v>
      </c>
      <c r="B124" s="481" t="s">
        <v>4768</v>
      </c>
      <c r="C124" s="479">
        <v>0.42083333333333334</v>
      </c>
      <c r="D124" s="481" t="s">
        <v>4769</v>
      </c>
      <c r="E124" s="479">
        <v>0.5</v>
      </c>
      <c r="F124" s="481" t="s">
        <v>4770</v>
      </c>
      <c r="G124" s="481" t="s">
        <v>61</v>
      </c>
      <c r="H124" s="485" t="s">
        <v>3928</v>
      </c>
      <c r="I124" s="481" t="s">
        <v>2952</v>
      </c>
      <c r="J124" s="481" t="s">
        <v>3055</v>
      </c>
      <c r="K124" s="481" t="s">
        <v>3055</v>
      </c>
    </row>
    <row r="125" spans="1:11" ht="45">
      <c r="A125" s="481" t="s">
        <v>20</v>
      </c>
      <c r="B125" s="481" t="s">
        <v>4768</v>
      </c>
      <c r="C125" s="479">
        <v>0.94791666666666663</v>
      </c>
      <c r="D125" s="481" t="s">
        <v>4771</v>
      </c>
      <c r="E125" s="479">
        <v>0.77430555555555547</v>
      </c>
      <c r="F125" s="481" t="s">
        <v>3139</v>
      </c>
      <c r="G125" s="481" t="s">
        <v>61</v>
      </c>
      <c r="H125" s="485" t="s">
        <v>3451</v>
      </c>
      <c r="I125" s="481" t="s">
        <v>22</v>
      </c>
      <c r="J125" s="481" t="s">
        <v>45</v>
      </c>
      <c r="K125" s="481" t="s">
        <v>4772</v>
      </c>
    </row>
    <row r="126" spans="1:11" ht="33.75">
      <c r="A126" s="481" t="s">
        <v>20</v>
      </c>
      <c r="B126" s="522" t="s">
        <v>4768</v>
      </c>
      <c r="C126" s="525">
        <v>0.54583333333333328</v>
      </c>
      <c r="D126" s="526" t="s">
        <v>4768</v>
      </c>
      <c r="E126" s="525">
        <v>0.54652777777777783</v>
      </c>
      <c r="F126" s="522" t="s">
        <v>3639</v>
      </c>
      <c r="G126" s="522" t="s">
        <v>1352</v>
      </c>
      <c r="H126" s="522" t="s">
        <v>3356</v>
      </c>
      <c r="I126" s="522" t="s">
        <v>100</v>
      </c>
      <c r="J126" s="522" t="s">
        <v>3055</v>
      </c>
      <c r="K126" s="522" t="s">
        <v>3055</v>
      </c>
    </row>
    <row r="127" spans="1:11" ht="45">
      <c r="A127" s="481" t="s">
        <v>20</v>
      </c>
      <c r="B127" s="481" t="s">
        <v>4771</v>
      </c>
      <c r="C127" s="479">
        <v>0.54375000000000007</v>
      </c>
      <c r="D127" s="478" t="s">
        <v>4771</v>
      </c>
      <c r="E127" s="479">
        <v>0.56805555555555554</v>
      </c>
      <c r="F127" s="481" t="s">
        <v>3354</v>
      </c>
      <c r="G127" s="481" t="s">
        <v>63</v>
      </c>
      <c r="H127" s="485" t="s">
        <v>3387</v>
      </c>
      <c r="I127" s="481" t="s">
        <v>2764</v>
      </c>
      <c r="J127" s="481" t="s">
        <v>3055</v>
      </c>
      <c r="K127" s="481" t="s">
        <v>3055</v>
      </c>
    </row>
    <row r="128" spans="1:11" ht="45">
      <c r="A128" s="481" t="s">
        <v>20</v>
      </c>
      <c r="B128" s="481" t="s">
        <v>4773</v>
      </c>
      <c r="C128" s="479">
        <v>0.60416666666666663</v>
      </c>
      <c r="D128" s="478" t="s">
        <v>4773</v>
      </c>
      <c r="E128" s="479">
        <v>0.625</v>
      </c>
      <c r="F128" s="481" t="s">
        <v>4774</v>
      </c>
      <c r="G128" s="481" t="s">
        <v>3143</v>
      </c>
      <c r="H128" s="485" t="s">
        <v>3387</v>
      </c>
      <c r="I128" s="485" t="s">
        <v>2764</v>
      </c>
      <c r="J128" s="481" t="s">
        <v>3055</v>
      </c>
      <c r="K128" s="481" t="s">
        <v>3055</v>
      </c>
    </row>
    <row r="129" spans="1:11" ht="67.5">
      <c r="A129" s="481" t="s">
        <v>20</v>
      </c>
      <c r="B129" s="481" t="s">
        <v>4775</v>
      </c>
      <c r="C129" s="479">
        <v>0.13958333333333334</v>
      </c>
      <c r="D129" s="478" t="s">
        <v>4775</v>
      </c>
      <c r="E129" s="479">
        <v>0.17152777777777775</v>
      </c>
      <c r="F129" s="481" t="s">
        <v>4776</v>
      </c>
      <c r="G129" s="481" t="s">
        <v>124</v>
      </c>
      <c r="H129" s="485" t="s">
        <v>4071</v>
      </c>
      <c r="I129" s="481" t="s">
        <v>22</v>
      </c>
      <c r="J129" s="481" t="s">
        <v>4075</v>
      </c>
      <c r="K129" s="481" t="s">
        <v>4777</v>
      </c>
    </row>
    <row r="130" spans="1:11" ht="33.75">
      <c r="A130" s="481" t="s">
        <v>20</v>
      </c>
      <c r="B130" s="481" t="s">
        <v>4778</v>
      </c>
      <c r="C130" s="479">
        <v>0.19166666666666665</v>
      </c>
      <c r="D130" s="478" t="s">
        <v>4778</v>
      </c>
      <c r="E130" s="520">
        <v>0.19236111111111112</v>
      </c>
      <c r="F130" s="481" t="s">
        <v>4779</v>
      </c>
      <c r="G130" s="481" t="s">
        <v>124</v>
      </c>
      <c r="H130" s="485" t="s">
        <v>3356</v>
      </c>
      <c r="I130" s="481" t="s">
        <v>100</v>
      </c>
      <c r="J130" s="481" t="s">
        <v>3055</v>
      </c>
      <c r="K130" s="481" t="s">
        <v>3055</v>
      </c>
    </row>
    <row r="131" spans="1:11" ht="78.75">
      <c r="A131" s="481" t="s">
        <v>20</v>
      </c>
      <c r="B131" s="481" t="s">
        <v>4778</v>
      </c>
      <c r="C131" s="479">
        <v>0.37083333333333335</v>
      </c>
      <c r="D131" s="478" t="s">
        <v>4778</v>
      </c>
      <c r="E131" s="520">
        <v>0.37152777777777773</v>
      </c>
      <c r="F131" s="481" t="s">
        <v>2947</v>
      </c>
      <c r="G131" s="481" t="s">
        <v>124</v>
      </c>
      <c r="H131" s="485" t="s">
        <v>3402</v>
      </c>
      <c r="I131" s="481" t="s">
        <v>2118</v>
      </c>
      <c r="J131" s="481" t="s">
        <v>3055</v>
      </c>
      <c r="K131" s="481" t="s">
        <v>3055</v>
      </c>
    </row>
    <row r="132" spans="1:11" ht="33.75">
      <c r="A132" s="481" t="s">
        <v>20</v>
      </c>
      <c r="B132" s="481" t="s">
        <v>4780</v>
      </c>
      <c r="C132" s="479">
        <v>0.34027777777777773</v>
      </c>
      <c r="D132" s="478" t="s">
        <v>4780</v>
      </c>
      <c r="E132" s="479">
        <v>0.54166666666666663</v>
      </c>
      <c r="F132" s="481" t="s">
        <v>2853</v>
      </c>
      <c r="G132" s="481" t="s">
        <v>124</v>
      </c>
      <c r="H132" s="485" t="s">
        <v>3356</v>
      </c>
      <c r="I132" s="481" t="s">
        <v>100</v>
      </c>
      <c r="J132" s="481" t="s">
        <v>3055</v>
      </c>
      <c r="K132" s="481" t="s">
        <v>3055</v>
      </c>
    </row>
    <row r="133" spans="1:11" ht="67.5">
      <c r="A133" s="481" t="s">
        <v>20</v>
      </c>
      <c r="B133" s="481" t="s">
        <v>4781</v>
      </c>
      <c r="C133" s="479">
        <v>0.26874999999999999</v>
      </c>
      <c r="D133" s="478" t="s">
        <v>4781</v>
      </c>
      <c r="E133" s="520">
        <v>0.3520833333333333</v>
      </c>
      <c r="F133" s="481" t="s">
        <v>3245</v>
      </c>
      <c r="G133" s="481" t="s">
        <v>3143</v>
      </c>
      <c r="H133" s="485" t="s">
        <v>3411</v>
      </c>
      <c r="I133" s="481" t="s">
        <v>2483</v>
      </c>
      <c r="J133" s="481" t="s">
        <v>4782</v>
      </c>
      <c r="K133" s="481" t="s">
        <v>4783</v>
      </c>
    </row>
    <row r="134" spans="1:11" ht="33.75">
      <c r="A134" s="481" t="s">
        <v>20</v>
      </c>
      <c r="B134" s="481" t="s">
        <v>4781</v>
      </c>
      <c r="C134" s="479">
        <v>0.26041666666666669</v>
      </c>
      <c r="D134" s="478" t="s">
        <v>4784</v>
      </c>
      <c r="E134" s="520">
        <v>0.5</v>
      </c>
      <c r="F134" s="481" t="s">
        <v>4785</v>
      </c>
      <c r="G134" s="481" t="s">
        <v>1352</v>
      </c>
      <c r="H134" s="485" t="s">
        <v>3451</v>
      </c>
      <c r="I134" s="481" t="s">
        <v>22</v>
      </c>
      <c r="J134" s="481" t="s">
        <v>45</v>
      </c>
      <c r="K134" s="481" t="s">
        <v>4786</v>
      </c>
    </row>
    <row r="135" spans="1:11" ht="33.75">
      <c r="A135" s="481" t="s">
        <v>20</v>
      </c>
      <c r="B135" s="481" t="s">
        <v>4784</v>
      </c>
      <c r="C135" s="479">
        <v>0.88055555555555554</v>
      </c>
      <c r="D135" s="478" t="s">
        <v>4787</v>
      </c>
      <c r="E135" s="520">
        <v>0.93819444444444444</v>
      </c>
      <c r="F135" s="481" t="s">
        <v>4788</v>
      </c>
      <c r="G135" s="481" t="s">
        <v>124</v>
      </c>
      <c r="H135" s="485" t="s">
        <v>3356</v>
      </c>
      <c r="I135" s="481" t="s">
        <v>100</v>
      </c>
      <c r="J135" s="481" t="s">
        <v>3497</v>
      </c>
      <c r="K135" s="481" t="s">
        <v>4789</v>
      </c>
    </row>
    <row r="136" spans="1:11" ht="33.75">
      <c r="A136" s="481" t="s">
        <v>20</v>
      </c>
      <c r="B136" s="481" t="s">
        <v>4787</v>
      </c>
      <c r="C136" s="479">
        <v>0.4375</v>
      </c>
      <c r="D136" s="478" t="s">
        <v>4787</v>
      </c>
      <c r="E136" s="520">
        <v>0.5</v>
      </c>
      <c r="F136" s="481" t="s">
        <v>4790</v>
      </c>
      <c r="G136" s="481" t="s">
        <v>63</v>
      </c>
      <c r="H136" s="485" t="s">
        <v>3356</v>
      </c>
      <c r="I136" s="481" t="s">
        <v>100</v>
      </c>
      <c r="J136" s="481" t="s">
        <v>45</v>
      </c>
      <c r="K136" s="481" t="s">
        <v>4791</v>
      </c>
    </row>
    <row r="137" spans="1:11" ht="45">
      <c r="A137" s="481" t="s">
        <v>20</v>
      </c>
      <c r="B137" s="481" t="s">
        <v>4787</v>
      </c>
      <c r="C137" s="479">
        <v>0.7993055555555556</v>
      </c>
      <c r="D137" s="478" t="s">
        <v>4787</v>
      </c>
      <c r="E137" s="520">
        <v>0.83263888888888893</v>
      </c>
      <c r="F137" s="481" t="s">
        <v>2833</v>
      </c>
      <c r="G137" s="481" t="s">
        <v>3143</v>
      </c>
      <c r="H137" s="485" t="s">
        <v>3387</v>
      </c>
      <c r="I137" s="481" t="s">
        <v>2764</v>
      </c>
      <c r="J137" s="481" t="s">
        <v>45</v>
      </c>
      <c r="K137" s="481" t="s">
        <v>45</v>
      </c>
    </row>
    <row r="138" spans="1:11" ht="45">
      <c r="A138" s="481" t="s">
        <v>20</v>
      </c>
      <c r="B138" s="481" t="s">
        <v>4787</v>
      </c>
      <c r="C138" s="479">
        <v>0.3743055555555555</v>
      </c>
      <c r="D138" s="478" t="s">
        <v>4787</v>
      </c>
      <c r="E138" s="520">
        <v>0.41944444444444445</v>
      </c>
      <c r="F138" s="481" t="s">
        <v>2959</v>
      </c>
      <c r="G138" s="481" t="s">
        <v>61</v>
      </c>
      <c r="H138" s="485" t="s">
        <v>3387</v>
      </c>
      <c r="I138" s="481" t="s">
        <v>2764</v>
      </c>
      <c r="J138" s="481" t="s">
        <v>3055</v>
      </c>
      <c r="K138" s="481" t="s">
        <v>3055</v>
      </c>
    </row>
    <row r="139" spans="1:11" ht="78.75">
      <c r="A139" s="481" t="s">
        <v>20</v>
      </c>
      <c r="B139" s="481" t="s">
        <v>4792</v>
      </c>
      <c r="C139" s="479">
        <v>0.1673611111111111</v>
      </c>
      <c r="D139" s="478" t="s">
        <v>4793</v>
      </c>
      <c r="E139" s="520">
        <v>0.40069444444444446</v>
      </c>
      <c r="F139" s="481" t="s">
        <v>4269</v>
      </c>
      <c r="G139" s="481" t="s">
        <v>674</v>
      </c>
      <c r="H139" s="485" t="s">
        <v>3402</v>
      </c>
      <c r="I139" s="481" t="s">
        <v>2118</v>
      </c>
      <c r="J139" s="481" t="s">
        <v>3055</v>
      </c>
      <c r="K139" s="481" t="s">
        <v>3055</v>
      </c>
    </row>
    <row r="140" spans="1:11" ht="45">
      <c r="A140" s="481" t="s">
        <v>20</v>
      </c>
      <c r="B140" s="481" t="s">
        <v>4794</v>
      </c>
      <c r="C140" s="479">
        <v>0.46249999999999997</v>
      </c>
      <c r="D140" s="478" t="s">
        <v>45</v>
      </c>
      <c r="E140" s="520" t="s">
        <v>45</v>
      </c>
      <c r="F140" s="481" t="s">
        <v>4795</v>
      </c>
      <c r="G140" s="481" t="s">
        <v>61</v>
      </c>
      <c r="H140" s="485" t="s">
        <v>3451</v>
      </c>
      <c r="I140" s="481" t="s">
        <v>22</v>
      </c>
      <c r="J140" s="481" t="s">
        <v>45</v>
      </c>
      <c r="K140" s="481" t="s">
        <v>3340</v>
      </c>
    </row>
    <row r="141" spans="1:11" ht="33.75">
      <c r="A141" s="481" t="s">
        <v>20</v>
      </c>
      <c r="B141" s="481" t="s">
        <v>4794</v>
      </c>
      <c r="C141" s="479">
        <v>0.4375</v>
      </c>
      <c r="D141" s="478" t="s">
        <v>45</v>
      </c>
      <c r="E141" s="520" t="s">
        <v>45</v>
      </c>
      <c r="F141" s="481" t="s">
        <v>4796</v>
      </c>
      <c r="G141" s="481" t="s">
        <v>124</v>
      </c>
      <c r="H141" s="485" t="s">
        <v>3356</v>
      </c>
      <c r="I141" s="481" t="s">
        <v>100</v>
      </c>
      <c r="J141" s="481" t="s">
        <v>45</v>
      </c>
      <c r="K141" s="481" t="s">
        <v>3055</v>
      </c>
    </row>
    <row r="142" spans="1:11" ht="67.5">
      <c r="A142" s="481" t="s">
        <v>20</v>
      </c>
      <c r="B142" s="481" t="s">
        <v>4797</v>
      </c>
      <c r="C142" s="479">
        <v>0.6791666666666667</v>
      </c>
      <c r="D142" s="478" t="s">
        <v>4797</v>
      </c>
      <c r="E142" s="520">
        <v>0.84791666666666676</v>
      </c>
      <c r="F142" s="481" t="s">
        <v>4798</v>
      </c>
      <c r="G142" s="481" t="s">
        <v>1352</v>
      </c>
      <c r="H142" s="485" t="s">
        <v>3411</v>
      </c>
      <c r="I142" s="481" t="s">
        <v>2483</v>
      </c>
      <c r="J142" s="481" t="s">
        <v>3055</v>
      </c>
      <c r="K142" s="481" t="s">
        <v>3055</v>
      </c>
    </row>
    <row r="143" spans="1:11" ht="67.5">
      <c r="A143" s="481" t="s">
        <v>23</v>
      </c>
      <c r="B143" s="481" t="s">
        <v>4799</v>
      </c>
      <c r="C143" s="479">
        <v>0.36736111111111108</v>
      </c>
      <c r="D143" s="481" t="s">
        <v>4799</v>
      </c>
      <c r="E143" s="479">
        <v>0.36805555555555558</v>
      </c>
      <c r="F143" s="481" t="s">
        <v>3182</v>
      </c>
      <c r="G143" s="481" t="s">
        <v>63</v>
      </c>
      <c r="H143" s="485" t="s">
        <v>3463</v>
      </c>
      <c r="I143" s="481" t="s">
        <v>100</v>
      </c>
      <c r="J143" s="481" t="s">
        <v>3055</v>
      </c>
      <c r="K143" s="481" t="s">
        <v>3055</v>
      </c>
    </row>
    <row r="144" spans="1:11" ht="78.75">
      <c r="A144" s="481" t="s">
        <v>23</v>
      </c>
      <c r="B144" s="481" t="s">
        <v>4800</v>
      </c>
      <c r="C144" s="479">
        <v>0.73749999999999993</v>
      </c>
      <c r="D144" s="481" t="s">
        <v>4800</v>
      </c>
      <c r="E144" s="479">
        <v>0.92291666666666661</v>
      </c>
      <c r="F144" s="481" t="s">
        <v>4801</v>
      </c>
      <c r="G144" s="481" t="s">
        <v>3143</v>
      </c>
      <c r="H144" s="485" t="s">
        <v>3402</v>
      </c>
      <c r="I144" s="481" t="s">
        <v>2118</v>
      </c>
      <c r="J144" s="481" t="s">
        <v>3055</v>
      </c>
      <c r="K144" s="481" t="s">
        <v>3055</v>
      </c>
    </row>
    <row r="145" spans="1:11" ht="45">
      <c r="A145" s="481" t="s">
        <v>23</v>
      </c>
      <c r="B145" s="522" t="s">
        <v>4800</v>
      </c>
      <c r="C145" s="525">
        <v>0.4291666666666667</v>
      </c>
      <c r="D145" s="526" t="s">
        <v>4800</v>
      </c>
      <c r="E145" s="525">
        <v>0.47222222222222227</v>
      </c>
      <c r="F145" s="522" t="s">
        <v>2919</v>
      </c>
      <c r="G145" s="522" t="s">
        <v>1352</v>
      </c>
      <c r="H145" s="522" t="s">
        <v>3387</v>
      </c>
      <c r="I145" s="522" t="s">
        <v>2764</v>
      </c>
      <c r="J145" s="522" t="s">
        <v>3055</v>
      </c>
      <c r="K145" s="522" t="s">
        <v>3055</v>
      </c>
    </row>
    <row r="146" spans="1:11" ht="78.75">
      <c r="A146" s="481" t="s">
        <v>23</v>
      </c>
      <c r="B146" s="481" t="s">
        <v>4802</v>
      </c>
      <c r="C146" s="479">
        <v>0.20208333333333331</v>
      </c>
      <c r="D146" s="478" t="s">
        <v>4803</v>
      </c>
      <c r="E146" s="479">
        <v>0.83333333333333337</v>
      </c>
      <c r="F146" s="481" t="s">
        <v>2945</v>
      </c>
      <c r="G146" s="481" t="s">
        <v>124</v>
      </c>
      <c r="H146" s="485" t="s">
        <v>3402</v>
      </c>
      <c r="I146" s="481" t="s">
        <v>2118</v>
      </c>
      <c r="J146" s="481" t="s">
        <v>3055</v>
      </c>
      <c r="K146" s="481" t="s">
        <v>3055</v>
      </c>
    </row>
    <row r="147" spans="1:11" ht="33.75">
      <c r="A147" s="481" t="s">
        <v>23</v>
      </c>
      <c r="B147" s="481" t="s">
        <v>4804</v>
      </c>
      <c r="C147" s="479">
        <v>0.55555555555555558</v>
      </c>
      <c r="D147" s="478" t="s">
        <v>4803</v>
      </c>
      <c r="E147" s="479">
        <v>2.7777777777777776E-2</v>
      </c>
      <c r="F147" s="481" t="s">
        <v>4448</v>
      </c>
      <c r="G147" s="481" t="s">
        <v>1352</v>
      </c>
      <c r="H147" s="485" t="s">
        <v>3356</v>
      </c>
      <c r="I147" s="485" t="s">
        <v>100</v>
      </c>
      <c r="J147" s="481" t="s">
        <v>3055</v>
      </c>
      <c r="K147" s="481" t="s">
        <v>3055</v>
      </c>
    </row>
    <row r="148" spans="1:11" ht="33.75">
      <c r="A148" s="481" t="s">
        <v>23</v>
      </c>
      <c r="B148" s="481" t="s">
        <v>4805</v>
      </c>
      <c r="C148" s="479">
        <v>3.0555555555555555E-2</v>
      </c>
      <c r="D148" s="478" t="s">
        <v>4805</v>
      </c>
      <c r="E148" s="479">
        <v>0.73958333333333337</v>
      </c>
      <c r="F148" s="481" t="s">
        <v>3645</v>
      </c>
      <c r="G148" s="481" t="s">
        <v>124</v>
      </c>
      <c r="H148" s="485" t="s">
        <v>3356</v>
      </c>
      <c r="I148" s="481" t="s">
        <v>2293</v>
      </c>
      <c r="J148" s="481" t="s">
        <v>3055</v>
      </c>
      <c r="K148" s="481" t="s">
        <v>3055</v>
      </c>
    </row>
    <row r="149" spans="1:11" ht="78.75">
      <c r="A149" s="481" t="s">
        <v>23</v>
      </c>
      <c r="B149" s="481" t="s">
        <v>4806</v>
      </c>
      <c r="C149" s="479">
        <v>0.375</v>
      </c>
      <c r="D149" s="478" t="s">
        <v>4806</v>
      </c>
      <c r="E149" s="520">
        <v>0.41666666666666669</v>
      </c>
      <c r="F149" s="481" t="s">
        <v>4185</v>
      </c>
      <c r="G149" s="481" t="s">
        <v>1352</v>
      </c>
      <c r="H149" s="485" t="s">
        <v>3402</v>
      </c>
      <c r="I149" s="481" t="s">
        <v>2118</v>
      </c>
      <c r="J149" s="481" t="s">
        <v>3055</v>
      </c>
      <c r="K149" s="481" t="s">
        <v>3055</v>
      </c>
    </row>
    <row r="150" spans="1:11" ht="45">
      <c r="A150" s="481" t="s">
        <v>23</v>
      </c>
      <c r="B150" s="481" t="s">
        <v>4806</v>
      </c>
      <c r="C150" s="479">
        <v>0.7006944444444444</v>
      </c>
      <c r="D150" s="478" t="s">
        <v>4806</v>
      </c>
      <c r="E150" s="520">
        <v>0.85416666666666663</v>
      </c>
      <c r="F150" s="481" t="s">
        <v>2919</v>
      </c>
      <c r="G150" s="481" t="s">
        <v>1352</v>
      </c>
      <c r="H150" s="485" t="s">
        <v>3478</v>
      </c>
      <c r="I150" s="481" t="s">
        <v>22</v>
      </c>
      <c r="J150" s="481" t="s">
        <v>3055</v>
      </c>
      <c r="K150" s="481" t="s">
        <v>3055</v>
      </c>
    </row>
    <row r="151" spans="1:11" ht="45">
      <c r="A151" s="481" t="s">
        <v>23</v>
      </c>
      <c r="B151" s="481" t="s">
        <v>4806</v>
      </c>
      <c r="C151" s="479">
        <v>2.5694444444444447E-2</v>
      </c>
      <c r="D151" s="478" t="s">
        <v>4806</v>
      </c>
      <c r="E151" s="479">
        <v>0.17986111111111111</v>
      </c>
      <c r="F151" s="481" t="s">
        <v>4807</v>
      </c>
      <c r="G151" s="481" t="s">
        <v>674</v>
      </c>
      <c r="H151" s="485" t="s">
        <v>3387</v>
      </c>
      <c r="I151" s="481" t="s">
        <v>2764</v>
      </c>
      <c r="J151" s="481" t="s">
        <v>3055</v>
      </c>
      <c r="K151" s="481" t="s">
        <v>3055</v>
      </c>
    </row>
    <row r="152" spans="1:11" ht="45">
      <c r="A152" s="481" t="s">
        <v>23</v>
      </c>
      <c r="B152" s="481" t="s">
        <v>4808</v>
      </c>
      <c r="C152" s="479">
        <v>0.42986111111111108</v>
      </c>
      <c r="D152" s="478" t="s">
        <v>4808</v>
      </c>
      <c r="E152" s="520">
        <v>0.48541666666666666</v>
      </c>
      <c r="F152" s="481" t="s">
        <v>4809</v>
      </c>
      <c r="G152" s="481" t="s">
        <v>3143</v>
      </c>
      <c r="H152" s="485" t="s">
        <v>3387</v>
      </c>
      <c r="I152" s="481" t="s">
        <v>2764</v>
      </c>
      <c r="J152" s="481" t="s">
        <v>3055</v>
      </c>
      <c r="K152" s="481" t="s">
        <v>3055</v>
      </c>
    </row>
    <row r="153" spans="1:11" ht="67.5">
      <c r="A153" s="481" t="s">
        <v>23</v>
      </c>
      <c r="B153" s="481" t="s">
        <v>4810</v>
      </c>
      <c r="C153" s="479">
        <v>0.85486111111111107</v>
      </c>
      <c r="D153" s="478" t="s">
        <v>4810</v>
      </c>
      <c r="E153" s="520">
        <v>0.89930555555555547</v>
      </c>
      <c r="F153" s="481" t="s">
        <v>4811</v>
      </c>
      <c r="G153" s="481" t="s">
        <v>674</v>
      </c>
      <c r="H153" s="485" t="s">
        <v>3411</v>
      </c>
      <c r="I153" s="481" t="s">
        <v>2483</v>
      </c>
      <c r="J153" s="481" t="s">
        <v>3055</v>
      </c>
      <c r="K153" s="481" t="s">
        <v>3055</v>
      </c>
    </row>
    <row r="154" spans="1:11" ht="45">
      <c r="A154" s="481" t="s">
        <v>23</v>
      </c>
      <c r="B154" s="481" t="s">
        <v>4810</v>
      </c>
      <c r="C154" s="479">
        <v>0.55069444444444449</v>
      </c>
      <c r="D154" s="478" t="s">
        <v>4810</v>
      </c>
      <c r="E154" s="520">
        <v>0.59027777777777779</v>
      </c>
      <c r="F154" s="481" t="s">
        <v>3591</v>
      </c>
      <c r="G154" s="481" t="s">
        <v>1352</v>
      </c>
      <c r="H154" s="485" t="s">
        <v>3387</v>
      </c>
      <c r="I154" s="481" t="s">
        <v>2764</v>
      </c>
      <c r="J154" s="481" t="s">
        <v>3055</v>
      </c>
      <c r="K154" s="481" t="s">
        <v>3055</v>
      </c>
    </row>
    <row r="155" spans="1:11" ht="45">
      <c r="A155" s="481" t="s">
        <v>23</v>
      </c>
      <c r="B155" s="481" t="s">
        <v>4812</v>
      </c>
      <c r="C155" s="479">
        <v>0.69652777777777775</v>
      </c>
      <c r="D155" s="478" t="s">
        <v>4812</v>
      </c>
      <c r="E155" s="520">
        <v>0.71805555555555556</v>
      </c>
      <c r="F155" s="481" t="s">
        <v>3872</v>
      </c>
      <c r="G155" s="481" t="s">
        <v>674</v>
      </c>
      <c r="H155" s="485" t="s">
        <v>3387</v>
      </c>
      <c r="I155" s="481" t="s">
        <v>2764</v>
      </c>
      <c r="J155" s="481" t="s">
        <v>3055</v>
      </c>
      <c r="K155" s="481" t="s">
        <v>3055</v>
      </c>
    </row>
    <row r="156" spans="1:11" ht="33.75">
      <c r="A156" s="481" t="s">
        <v>23</v>
      </c>
      <c r="B156" s="481" t="s">
        <v>4812</v>
      </c>
      <c r="C156" s="479">
        <v>0.21875</v>
      </c>
      <c r="D156" s="478" t="s">
        <v>45</v>
      </c>
      <c r="E156" s="520" t="s">
        <v>45</v>
      </c>
      <c r="F156" s="481" t="s">
        <v>2945</v>
      </c>
      <c r="G156" s="481" t="s">
        <v>124</v>
      </c>
      <c r="H156" s="485" t="s">
        <v>3654</v>
      </c>
      <c r="I156" s="481" t="s">
        <v>1138</v>
      </c>
      <c r="J156" s="481" t="s">
        <v>3055</v>
      </c>
      <c r="K156" s="481" t="s">
        <v>3055</v>
      </c>
    </row>
    <row r="157" spans="1:11" ht="78.75">
      <c r="A157" s="481" t="s">
        <v>23</v>
      </c>
      <c r="B157" s="481" t="s">
        <v>4813</v>
      </c>
      <c r="C157" s="479">
        <v>0.92222222222222217</v>
      </c>
      <c r="D157" s="478" t="s">
        <v>4813</v>
      </c>
      <c r="E157" s="520">
        <v>0.9868055555555556</v>
      </c>
      <c r="F157" s="481" t="s">
        <v>4185</v>
      </c>
      <c r="G157" s="481" t="s">
        <v>1352</v>
      </c>
      <c r="H157" s="485" t="s">
        <v>3402</v>
      </c>
      <c r="I157" s="481" t="s">
        <v>2118</v>
      </c>
      <c r="J157" s="481" t="s">
        <v>3055</v>
      </c>
      <c r="K157" s="481" t="s">
        <v>3055</v>
      </c>
    </row>
    <row r="158" spans="1:11" ht="33.75">
      <c r="A158" s="481" t="s">
        <v>23</v>
      </c>
      <c r="B158" s="481" t="s">
        <v>4813</v>
      </c>
      <c r="C158" s="479">
        <v>0.875</v>
      </c>
      <c r="D158" s="478" t="s">
        <v>4814</v>
      </c>
      <c r="E158" s="520">
        <v>0.4465277777777778</v>
      </c>
      <c r="F158" s="481" t="s">
        <v>4815</v>
      </c>
      <c r="G158" s="481" t="s">
        <v>63</v>
      </c>
      <c r="H158" s="485" t="s">
        <v>3451</v>
      </c>
      <c r="I158" s="481" t="s">
        <v>22</v>
      </c>
      <c r="J158" s="481" t="s">
        <v>3587</v>
      </c>
      <c r="K158" s="481" t="s">
        <v>4816</v>
      </c>
    </row>
    <row r="159" spans="1:11" ht="33.75">
      <c r="A159" s="481" t="s">
        <v>23</v>
      </c>
      <c r="B159" s="481" t="s">
        <v>4814</v>
      </c>
      <c r="C159" s="479">
        <v>0.34722222222222227</v>
      </c>
      <c r="D159" s="478" t="s">
        <v>45</v>
      </c>
      <c r="E159" s="520" t="s">
        <v>45</v>
      </c>
      <c r="F159" s="481" t="s">
        <v>4241</v>
      </c>
      <c r="G159" s="481" t="s">
        <v>63</v>
      </c>
      <c r="H159" s="485" t="s">
        <v>3356</v>
      </c>
      <c r="I159" s="481" t="s">
        <v>100</v>
      </c>
      <c r="J159" s="481" t="s">
        <v>3055</v>
      </c>
      <c r="K159" s="481" t="s">
        <v>3055</v>
      </c>
    </row>
    <row r="160" spans="1:11" ht="45">
      <c r="A160" s="481" t="s">
        <v>23</v>
      </c>
      <c r="B160" s="481" t="s">
        <v>4817</v>
      </c>
      <c r="C160" s="479">
        <v>0.47083333333333338</v>
      </c>
      <c r="D160" s="478" t="s">
        <v>4817</v>
      </c>
      <c r="E160" s="520">
        <v>0.54166666666666663</v>
      </c>
      <c r="F160" s="481" t="s">
        <v>4818</v>
      </c>
      <c r="G160" s="481" t="s">
        <v>61</v>
      </c>
      <c r="H160" s="485" t="s">
        <v>3387</v>
      </c>
      <c r="I160" s="481" t="s">
        <v>2764</v>
      </c>
      <c r="J160" s="481" t="s">
        <v>3055</v>
      </c>
      <c r="K160" s="481" t="s">
        <v>3055</v>
      </c>
    </row>
    <row r="161" spans="1:11" ht="45">
      <c r="A161" s="481" t="s">
        <v>103</v>
      </c>
      <c r="B161" s="481" t="s">
        <v>4819</v>
      </c>
      <c r="C161" s="479">
        <v>0.83194444444444438</v>
      </c>
      <c r="D161" s="481" t="s">
        <v>4819</v>
      </c>
      <c r="E161" s="479">
        <v>0.84861111111111109</v>
      </c>
      <c r="F161" s="481" t="s">
        <v>4682</v>
      </c>
      <c r="G161" s="481" t="s">
        <v>61</v>
      </c>
      <c r="H161" s="485" t="s">
        <v>4820</v>
      </c>
      <c r="I161" s="481" t="s">
        <v>2764</v>
      </c>
      <c r="J161" s="481" t="s">
        <v>3055</v>
      </c>
      <c r="K161" s="481" t="s">
        <v>3055</v>
      </c>
    </row>
    <row r="162" spans="1:11" ht="67.5">
      <c r="A162" s="481" t="s">
        <v>103</v>
      </c>
      <c r="B162" s="481" t="s">
        <v>4821</v>
      </c>
      <c r="C162" s="479">
        <v>0.47291666666666665</v>
      </c>
      <c r="D162" s="481" t="s">
        <v>4821</v>
      </c>
      <c r="E162" s="479">
        <v>0.49513888888888885</v>
      </c>
      <c r="F162" s="481" t="s">
        <v>3835</v>
      </c>
      <c r="G162" s="481" t="s">
        <v>674</v>
      </c>
      <c r="H162" s="485" t="s">
        <v>4822</v>
      </c>
      <c r="I162" s="481" t="s">
        <v>2764</v>
      </c>
      <c r="J162" s="481" t="s">
        <v>3055</v>
      </c>
      <c r="K162" s="481" t="s">
        <v>3055</v>
      </c>
    </row>
    <row r="163" spans="1:11" ht="78.75">
      <c r="A163" s="481" t="s">
        <v>103</v>
      </c>
      <c r="B163" s="522" t="s">
        <v>4821</v>
      </c>
      <c r="C163" s="525">
        <v>0.32777777777777778</v>
      </c>
      <c r="D163" s="526" t="s">
        <v>4821</v>
      </c>
      <c r="E163" s="525">
        <v>0.32847222222222222</v>
      </c>
      <c r="F163" s="522" t="s">
        <v>3996</v>
      </c>
      <c r="G163" s="522" t="s">
        <v>63</v>
      </c>
      <c r="H163" s="522" t="s">
        <v>3402</v>
      </c>
      <c r="I163" s="522" t="s">
        <v>2118</v>
      </c>
      <c r="J163" s="522" t="s">
        <v>3055</v>
      </c>
      <c r="K163" s="522" t="s">
        <v>3055</v>
      </c>
    </row>
    <row r="164" spans="1:11" ht="33.75">
      <c r="A164" s="481" t="s">
        <v>103</v>
      </c>
      <c r="B164" s="481" t="s">
        <v>4823</v>
      </c>
      <c r="C164" s="479">
        <v>0.65625</v>
      </c>
      <c r="D164" s="478" t="s">
        <v>4824</v>
      </c>
      <c r="E164" s="479">
        <v>0.41666666666666669</v>
      </c>
      <c r="F164" s="481" t="s">
        <v>3405</v>
      </c>
      <c r="G164" s="481" t="s">
        <v>63</v>
      </c>
      <c r="H164" s="485" t="s">
        <v>3451</v>
      </c>
      <c r="I164" s="481" t="s">
        <v>22</v>
      </c>
      <c r="J164" s="481" t="s">
        <v>45</v>
      </c>
      <c r="K164" s="481" t="s">
        <v>4825</v>
      </c>
    </row>
    <row r="165" spans="1:11" ht="33.75">
      <c r="A165" s="481" t="s">
        <v>103</v>
      </c>
      <c r="B165" s="481" t="s">
        <v>4823</v>
      </c>
      <c r="C165" s="479">
        <v>0.75416666666666676</v>
      </c>
      <c r="D165" s="478" t="s">
        <v>4824</v>
      </c>
      <c r="E165" s="479">
        <v>0.7416666666666667</v>
      </c>
      <c r="F165" s="481" t="s">
        <v>4205</v>
      </c>
      <c r="G165" s="481" t="s">
        <v>63</v>
      </c>
      <c r="H165" s="485" t="s">
        <v>3451</v>
      </c>
      <c r="I165" s="485" t="s">
        <v>22</v>
      </c>
      <c r="J165" s="481" t="s">
        <v>4826</v>
      </c>
      <c r="K165" s="481" t="s">
        <v>4827</v>
      </c>
    </row>
    <row r="166" spans="1:11" ht="67.5">
      <c r="A166" s="481" t="s">
        <v>103</v>
      </c>
      <c r="B166" s="481" t="s">
        <v>4824</v>
      </c>
      <c r="C166" s="479">
        <v>0.49305555555555558</v>
      </c>
      <c r="D166" s="478" t="s">
        <v>4828</v>
      </c>
      <c r="E166" s="479">
        <v>0.49305555555555558</v>
      </c>
      <c r="F166" s="481" t="s">
        <v>4829</v>
      </c>
      <c r="G166" s="481" t="s">
        <v>3143</v>
      </c>
      <c r="H166" s="485" t="s">
        <v>3463</v>
      </c>
      <c r="I166" s="481" t="s">
        <v>100</v>
      </c>
      <c r="J166" s="481" t="s">
        <v>3055</v>
      </c>
      <c r="K166" s="481" t="s">
        <v>3055</v>
      </c>
    </row>
    <row r="167" spans="1:11" ht="45">
      <c r="A167" s="481" t="s">
        <v>103</v>
      </c>
      <c r="B167" s="481" t="s">
        <v>4830</v>
      </c>
      <c r="C167" s="479">
        <v>0.70833333333333337</v>
      </c>
      <c r="D167" s="478" t="s">
        <v>4830</v>
      </c>
      <c r="E167" s="520">
        <v>0.71875</v>
      </c>
      <c r="F167" s="481" t="s">
        <v>4726</v>
      </c>
      <c r="G167" s="481" t="s">
        <v>63</v>
      </c>
      <c r="H167" s="485" t="s">
        <v>3478</v>
      </c>
      <c r="I167" s="481" t="s">
        <v>2764</v>
      </c>
      <c r="J167" s="481" t="s">
        <v>3055</v>
      </c>
      <c r="K167" s="481" t="s">
        <v>3055</v>
      </c>
    </row>
    <row r="168" spans="1:11" ht="67.5">
      <c r="A168" s="481" t="s">
        <v>103</v>
      </c>
      <c r="B168" s="481" t="s">
        <v>4831</v>
      </c>
      <c r="C168" s="479">
        <v>0.10277777777777779</v>
      </c>
      <c r="D168" s="478" t="s">
        <v>4831</v>
      </c>
      <c r="E168" s="520">
        <v>0.13958333333333334</v>
      </c>
      <c r="F168" s="481" t="s">
        <v>3245</v>
      </c>
      <c r="G168" s="481" t="s">
        <v>3143</v>
      </c>
      <c r="H168" s="485" t="s">
        <v>4822</v>
      </c>
      <c r="I168" s="481" t="s">
        <v>2764</v>
      </c>
      <c r="J168" s="481" t="s">
        <v>3055</v>
      </c>
      <c r="K168" s="481" t="s">
        <v>3055</v>
      </c>
    </row>
    <row r="169" spans="1:11" ht="67.5">
      <c r="A169" s="481" t="s">
        <v>103</v>
      </c>
      <c r="B169" s="481" t="s">
        <v>4831</v>
      </c>
      <c r="C169" s="479">
        <v>0.51180555555555551</v>
      </c>
      <c r="D169" s="478" t="s">
        <v>4831</v>
      </c>
      <c r="E169" s="479">
        <v>0.53749999999999998</v>
      </c>
      <c r="F169" s="481" t="s">
        <v>4832</v>
      </c>
      <c r="G169" s="481" t="s">
        <v>3143</v>
      </c>
      <c r="H169" s="485" t="s">
        <v>4822</v>
      </c>
      <c r="I169" s="481" t="s">
        <v>2764</v>
      </c>
      <c r="J169" s="481" t="s">
        <v>3055</v>
      </c>
      <c r="K169" s="481" t="s">
        <v>3055</v>
      </c>
    </row>
    <row r="170" spans="1:11" ht="67.5">
      <c r="A170" s="481" t="s">
        <v>103</v>
      </c>
      <c r="B170" s="481" t="s">
        <v>4833</v>
      </c>
      <c r="C170" s="479">
        <v>0.9590277777777777</v>
      </c>
      <c r="D170" s="478" t="s">
        <v>4834</v>
      </c>
      <c r="E170" s="520">
        <v>0.35347222222222219</v>
      </c>
      <c r="F170" s="481" t="s">
        <v>4835</v>
      </c>
      <c r="G170" s="481" t="s">
        <v>1352</v>
      </c>
      <c r="H170" s="485" t="s">
        <v>3463</v>
      </c>
      <c r="I170" s="481" t="s">
        <v>100</v>
      </c>
      <c r="J170" s="481" t="s">
        <v>3055</v>
      </c>
      <c r="K170" s="481" t="s">
        <v>3055</v>
      </c>
    </row>
    <row r="171" spans="1:11" ht="67.5">
      <c r="A171" s="481" t="s">
        <v>103</v>
      </c>
      <c r="B171" s="481" t="s">
        <v>4833</v>
      </c>
      <c r="C171" s="479">
        <v>0.3972222222222222</v>
      </c>
      <c r="D171" s="478" t="s">
        <v>4833</v>
      </c>
      <c r="E171" s="520">
        <v>0.44305555555555554</v>
      </c>
      <c r="F171" s="481" t="s">
        <v>4836</v>
      </c>
      <c r="G171" s="481" t="s">
        <v>674</v>
      </c>
      <c r="H171" s="485" t="s">
        <v>4822</v>
      </c>
      <c r="I171" s="481" t="s">
        <v>2764</v>
      </c>
      <c r="J171" s="481" t="s">
        <v>3055</v>
      </c>
      <c r="K171" s="481" t="s">
        <v>3055</v>
      </c>
    </row>
    <row r="172" spans="1:11" ht="33.75">
      <c r="A172" s="481" t="s">
        <v>103</v>
      </c>
      <c r="B172" s="481" t="s">
        <v>4837</v>
      </c>
      <c r="C172" s="479">
        <v>0.91666666666666663</v>
      </c>
      <c r="D172" s="478" t="s">
        <v>4838</v>
      </c>
      <c r="E172" s="520">
        <v>0.25</v>
      </c>
      <c r="F172" s="481" t="s">
        <v>4492</v>
      </c>
      <c r="G172" s="481" t="s">
        <v>124</v>
      </c>
      <c r="H172" s="485" t="s">
        <v>3356</v>
      </c>
      <c r="I172" s="481" t="s">
        <v>100</v>
      </c>
      <c r="J172" s="481" t="s">
        <v>3055</v>
      </c>
      <c r="K172" s="481" t="s">
        <v>3055</v>
      </c>
    </row>
    <row r="173" spans="1:11" ht="78.75">
      <c r="A173" s="481" t="s">
        <v>103</v>
      </c>
      <c r="B173" s="481" t="s">
        <v>4837</v>
      </c>
      <c r="C173" s="479">
        <v>0.35416666666666669</v>
      </c>
      <c r="D173" s="478" t="s">
        <v>4837</v>
      </c>
      <c r="E173" s="520">
        <v>0.66666666666666663</v>
      </c>
      <c r="F173" s="481" t="s">
        <v>3215</v>
      </c>
      <c r="G173" s="481" t="s">
        <v>3143</v>
      </c>
      <c r="H173" s="485" t="s">
        <v>3402</v>
      </c>
      <c r="I173" s="481" t="s">
        <v>2118</v>
      </c>
      <c r="J173" s="481" t="s">
        <v>3055</v>
      </c>
      <c r="K173" s="481" t="s">
        <v>3055</v>
      </c>
    </row>
    <row r="174" spans="1:11" ht="33.75">
      <c r="A174" s="481" t="s">
        <v>103</v>
      </c>
      <c r="B174" s="481" t="s">
        <v>4839</v>
      </c>
      <c r="C174" s="479">
        <v>0.97569444444444453</v>
      </c>
      <c r="D174" s="478" t="s">
        <v>4840</v>
      </c>
      <c r="E174" s="520">
        <v>0.85416666666666663</v>
      </c>
      <c r="F174" s="481" t="s">
        <v>2809</v>
      </c>
      <c r="G174" s="481" t="s">
        <v>1352</v>
      </c>
      <c r="H174" s="485" t="s">
        <v>3451</v>
      </c>
      <c r="I174" s="481" t="s">
        <v>22</v>
      </c>
      <c r="J174" s="481" t="s">
        <v>45</v>
      </c>
      <c r="K174" s="481" t="s">
        <v>4841</v>
      </c>
    </row>
    <row r="175" spans="1:11" ht="33.75">
      <c r="A175" s="481" t="s">
        <v>103</v>
      </c>
      <c r="B175" s="481" t="s">
        <v>4839</v>
      </c>
      <c r="C175" s="479">
        <v>0.51041666666666663</v>
      </c>
      <c r="D175" s="478" t="s">
        <v>4839</v>
      </c>
      <c r="E175" s="520">
        <v>0.84583333333333333</v>
      </c>
      <c r="F175" s="481" t="s">
        <v>2892</v>
      </c>
      <c r="G175" s="481" t="s">
        <v>3143</v>
      </c>
      <c r="H175" s="485" t="s">
        <v>3356</v>
      </c>
      <c r="I175" s="481" t="s">
        <v>100</v>
      </c>
      <c r="J175" s="481" t="s">
        <v>3055</v>
      </c>
      <c r="K175" s="481" t="s">
        <v>3055</v>
      </c>
    </row>
    <row r="176" spans="1:11" ht="67.5">
      <c r="A176" s="481" t="s">
        <v>103</v>
      </c>
      <c r="B176" s="481" t="s">
        <v>4842</v>
      </c>
      <c r="C176" s="479">
        <v>0.42083333333333334</v>
      </c>
      <c r="D176" s="478" t="s">
        <v>4842</v>
      </c>
      <c r="E176" s="520">
        <v>0.57291666666666663</v>
      </c>
      <c r="F176" s="481" t="s">
        <v>4843</v>
      </c>
      <c r="G176" s="481" t="s">
        <v>63</v>
      </c>
      <c r="H176" s="485" t="s">
        <v>3411</v>
      </c>
      <c r="I176" s="481" t="s">
        <v>2483</v>
      </c>
      <c r="J176" s="481" t="s">
        <v>3055</v>
      </c>
      <c r="K176" s="481" t="s">
        <v>4844</v>
      </c>
    </row>
    <row r="177" spans="1:11" ht="67.5">
      <c r="A177" s="481" t="s">
        <v>103</v>
      </c>
      <c r="B177" s="481" t="s">
        <v>4842</v>
      </c>
      <c r="C177" s="479">
        <v>0.30902777777777779</v>
      </c>
      <c r="D177" s="478" t="s">
        <v>4842</v>
      </c>
      <c r="E177" s="520">
        <v>0.30972222222222223</v>
      </c>
      <c r="F177" s="481" t="s">
        <v>2920</v>
      </c>
      <c r="G177" s="481" t="s">
        <v>124</v>
      </c>
      <c r="H177" s="485" t="s">
        <v>3463</v>
      </c>
      <c r="I177" s="481" t="s">
        <v>100</v>
      </c>
      <c r="J177" s="481" t="s">
        <v>3055</v>
      </c>
      <c r="K177" s="481" t="s">
        <v>3055</v>
      </c>
    </row>
    <row r="178" spans="1:11" ht="67.5">
      <c r="A178" s="481" t="s">
        <v>103</v>
      </c>
      <c r="B178" s="481" t="s">
        <v>4845</v>
      </c>
      <c r="C178" s="479">
        <v>0.55138888888888882</v>
      </c>
      <c r="D178" s="478" t="s">
        <v>4845</v>
      </c>
      <c r="E178" s="520">
        <v>0.55208333333333337</v>
      </c>
      <c r="F178" s="481" t="s">
        <v>4846</v>
      </c>
      <c r="G178" s="481" t="s">
        <v>124</v>
      </c>
      <c r="H178" s="485" t="s">
        <v>3463</v>
      </c>
      <c r="I178" s="481" t="s">
        <v>100</v>
      </c>
      <c r="J178" s="481" t="s">
        <v>3055</v>
      </c>
      <c r="K178" s="481" t="s">
        <v>3055</v>
      </c>
    </row>
    <row r="179" spans="1:11" ht="45">
      <c r="A179" s="481" t="s">
        <v>103</v>
      </c>
      <c r="B179" s="481" t="s">
        <v>4847</v>
      </c>
      <c r="C179" s="479">
        <v>0.53888888888888886</v>
      </c>
      <c r="D179" s="478" t="s">
        <v>4847</v>
      </c>
      <c r="E179" s="520">
        <v>0.57013888888888886</v>
      </c>
      <c r="F179" s="481" t="s">
        <v>2895</v>
      </c>
      <c r="G179" s="481" t="s">
        <v>3143</v>
      </c>
      <c r="H179" s="485" t="s">
        <v>4820</v>
      </c>
      <c r="I179" s="481" t="s">
        <v>2764</v>
      </c>
      <c r="J179" s="481" t="s">
        <v>3055</v>
      </c>
      <c r="K179" s="481" t="s">
        <v>3055</v>
      </c>
    </row>
    <row r="180" spans="1:11" ht="67.5">
      <c r="A180" s="481" t="s">
        <v>103</v>
      </c>
      <c r="B180" s="481" t="s">
        <v>4848</v>
      </c>
      <c r="C180" s="479">
        <v>0.78541666666666676</v>
      </c>
      <c r="D180" s="478" t="s">
        <v>4849</v>
      </c>
      <c r="E180" s="520">
        <v>0.66388888888888886</v>
      </c>
      <c r="F180" s="481" t="s">
        <v>4850</v>
      </c>
      <c r="G180" s="481" t="s">
        <v>124</v>
      </c>
      <c r="H180" s="485" t="s">
        <v>3411</v>
      </c>
      <c r="I180" s="481" t="s">
        <v>2483</v>
      </c>
      <c r="J180" s="481" t="s">
        <v>3055</v>
      </c>
      <c r="K180" s="481" t="s">
        <v>3055</v>
      </c>
    </row>
    <row r="181" spans="1:11" ht="45">
      <c r="A181" s="481" t="s">
        <v>103</v>
      </c>
      <c r="B181" s="481" t="s">
        <v>4848</v>
      </c>
      <c r="C181" s="479">
        <v>3.472222222222222E-3</v>
      </c>
      <c r="D181" s="478" t="s">
        <v>4848</v>
      </c>
      <c r="E181" s="520">
        <v>3.125E-2</v>
      </c>
      <c r="F181" s="481" t="s">
        <v>2947</v>
      </c>
      <c r="G181" s="481" t="s">
        <v>124</v>
      </c>
      <c r="H181" s="485" t="s">
        <v>4820</v>
      </c>
      <c r="I181" s="481" t="s">
        <v>2764</v>
      </c>
      <c r="J181" s="481" t="s">
        <v>3055</v>
      </c>
      <c r="K181" s="481" t="s">
        <v>3055</v>
      </c>
    </row>
    <row r="182" spans="1:11" ht="67.5">
      <c r="A182" s="481" t="s">
        <v>103</v>
      </c>
      <c r="B182" s="481" t="s">
        <v>4849</v>
      </c>
      <c r="C182" s="479">
        <v>0.89166666666666661</v>
      </c>
      <c r="D182" s="478" t="s">
        <v>4849</v>
      </c>
      <c r="E182" s="520">
        <v>0.89236111111111116</v>
      </c>
      <c r="F182" s="481" t="s">
        <v>4019</v>
      </c>
      <c r="G182" s="481" t="s">
        <v>63</v>
      </c>
      <c r="H182" s="485" t="s">
        <v>3411</v>
      </c>
      <c r="I182" s="481" t="s">
        <v>2483</v>
      </c>
      <c r="J182" s="481" t="s">
        <v>4851</v>
      </c>
      <c r="K182" s="481" t="s">
        <v>3367</v>
      </c>
    </row>
    <row r="183" spans="1:11" ht="78.75">
      <c r="A183" s="481" t="s">
        <v>103</v>
      </c>
      <c r="B183" s="481" t="s">
        <v>4849</v>
      </c>
      <c r="C183" s="479">
        <v>0.83333333333333337</v>
      </c>
      <c r="D183" s="478" t="s">
        <v>4849</v>
      </c>
      <c r="E183" s="520">
        <v>0.89513888888888893</v>
      </c>
      <c r="F183" s="481" t="s">
        <v>2951</v>
      </c>
      <c r="G183" s="481" t="s">
        <v>124</v>
      </c>
      <c r="H183" s="485" t="s">
        <v>3402</v>
      </c>
      <c r="I183" s="481" t="s">
        <v>2293</v>
      </c>
      <c r="J183" s="481" t="s">
        <v>3055</v>
      </c>
      <c r="K183" s="481" t="s">
        <v>4852</v>
      </c>
    </row>
    <row r="184" spans="1:11" ht="45">
      <c r="A184" s="481" t="s">
        <v>103</v>
      </c>
      <c r="B184" s="481" t="s">
        <v>4849</v>
      </c>
      <c r="C184" s="479">
        <v>0.92569444444444438</v>
      </c>
      <c r="D184" s="478" t="s">
        <v>4849</v>
      </c>
      <c r="E184" s="520">
        <v>0.9819444444444444</v>
      </c>
      <c r="F184" s="481" t="s">
        <v>3378</v>
      </c>
      <c r="G184" s="481" t="s">
        <v>674</v>
      </c>
      <c r="H184" s="485" t="s">
        <v>4820</v>
      </c>
      <c r="I184" s="481" t="s">
        <v>2764</v>
      </c>
      <c r="J184" s="481" t="s">
        <v>3055</v>
      </c>
      <c r="K184" s="481" t="s">
        <v>3055</v>
      </c>
    </row>
    <row r="185" spans="1:11" s="527" customFormat="1" ht="67.5">
      <c r="A185" s="481" t="s">
        <v>123</v>
      </c>
      <c r="B185" s="481" t="s">
        <v>4853</v>
      </c>
      <c r="C185" s="479">
        <v>0.62291666666666667</v>
      </c>
      <c r="D185" s="481" t="s">
        <v>4853</v>
      </c>
      <c r="E185" s="479">
        <v>0.66666666666666663</v>
      </c>
      <c r="F185" s="481" t="s">
        <v>4854</v>
      </c>
      <c r="G185" s="481" t="s">
        <v>3143</v>
      </c>
      <c r="H185" s="485" t="s">
        <v>3411</v>
      </c>
      <c r="I185" s="481" t="s">
        <v>2483</v>
      </c>
      <c r="J185" s="481" t="s">
        <v>45</v>
      </c>
      <c r="K185" s="481" t="s">
        <v>3055</v>
      </c>
    </row>
    <row r="186" spans="1:11" s="527" customFormat="1" ht="67.5">
      <c r="A186" s="481" t="s">
        <v>123</v>
      </c>
      <c r="B186" s="481" t="s">
        <v>4855</v>
      </c>
      <c r="C186" s="479">
        <v>0.93541666666666667</v>
      </c>
      <c r="D186" s="481" t="s">
        <v>4856</v>
      </c>
      <c r="E186" s="479">
        <v>2.2916666666666669E-2</v>
      </c>
      <c r="F186" s="481" t="s">
        <v>4857</v>
      </c>
      <c r="G186" s="481" t="s">
        <v>674</v>
      </c>
      <c r="H186" s="485" t="s">
        <v>3411</v>
      </c>
      <c r="I186" s="481" t="s">
        <v>2990</v>
      </c>
      <c r="J186" s="481" t="s">
        <v>4858</v>
      </c>
      <c r="K186" s="481" t="s">
        <v>3081</v>
      </c>
    </row>
    <row r="187" spans="1:11" s="528" customFormat="1" ht="67.5">
      <c r="A187" s="481" t="s">
        <v>123</v>
      </c>
      <c r="B187" s="522" t="s">
        <v>4855</v>
      </c>
      <c r="C187" s="525">
        <v>0.55972222222222223</v>
      </c>
      <c r="D187" s="526" t="s">
        <v>4855</v>
      </c>
      <c r="E187" s="525">
        <v>0.56041666666666667</v>
      </c>
      <c r="F187" s="522" t="s">
        <v>4859</v>
      </c>
      <c r="G187" s="522" t="s">
        <v>1352</v>
      </c>
      <c r="H187" s="522" t="s">
        <v>3396</v>
      </c>
      <c r="I187" s="522" t="s">
        <v>2905</v>
      </c>
      <c r="J187" s="522" t="s">
        <v>4860</v>
      </c>
      <c r="K187" s="522" t="s">
        <v>3055</v>
      </c>
    </row>
    <row r="188" spans="1:11" s="527" customFormat="1" ht="45">
      <c r="A188" s="481" t="s">
        <v>123</v>
      </c>
      <c r="B188" s="481" t="s">
        <v>4855</v>
      </c>
      <c r="C188" s="479">
        <v>0.6381944444444444</v>
      </c>
      <c r="D188" s="478" t="s">
        <v>4855</v>
      </c>
      <c r="E188" s="479">
        <v>0.76527777777777783</v>
      </c>
      <c r="F188" s="481" t="s">
        <v>3620</v>
      </c>
      <c r="G188" s="481" t="s">
        <v>124</v>
      </c>
      <c r="H188" s="485" t="s">
        <v>3387</v>
      </c>
      <c r="I188" s="481" t="s">
        <v>2764</v>
      </c>
      <c r="J188" s="481" t="s">
        <v>3055</v>
      </c>
      <c r="K188" s="481" t="s">
        <v>3055</v>
      </c>
    </row>
    <row r="189" spans="1:11" s="529" customFormat="1" ht="33.75">
      <c r="A189" s="481" t="s">
        <v>123</v>
      </c>
      <c r="B189" s="481" t="s">
        <v>4856</v>
      </c>
      <c r="C189" s="479">
        <v>0.625</v>
      </c>
      <c r="D189" s="478" t="s">
        <v>4856</v>
      </c>
      <c r="E189" s="479">
        <v>0.62569444444444444</v>
      </c>
      <c r="F189" s="481" t="s">
        <v>4861</v>
      </c>
      <c r="G189" s="481" t="s">
        <v>1352</v>
      </c>
      <c r="H189" s="485" t="s">
        <v>3356</v>
      </c>
      <c r="I189" s="485" t="s">
        <v>100</v>
      </c>
      <c r="J189" s="481" t="s">
        <v>3055</v>
      </c>
      <c r="K189" s="481" t="s">
        <v>3055</v>
      </c>
    </row>
    <row r="190" spans="1:11" s="529" customFormat="1" ht="45">
      <c r="A190" s="481" t="s">
        <v>123</v>
      </c>
      <c r="B190" s="481" t="s">
        <v>4862</v>
      </c>
      <c r="C190" s="479">
        <v>0.79791666666666661</v>
      </c>
      <c r="D190" s="478" t="s">
        <v>4862</v>
      </c>
      <c r="E190" s="479">
        <v>0.86805555555555547</v>
      </c>
      <c r="F190" s="481" t="s">
        <v>3620</v>
      </c>
      <c r="G190" s="481" t="s">
        <v>124</v>
      </c>
      <c r="H190" s="485" t="s">
        <v>3387</v>
      </c>
      <c r="I190" s="481" t="s">
        <v>2764</v>
      </c>
      <c r="J190" s="481" t="s">
        <v>3055</v>
      </c>
      <c r="K190" s="481" t="s">
        <v>3055</v>
      </c>
    </row>
    <row r="191" spans="1:11" s="529" customFormat="1" ht="67.5">
      <c r="A191" s="481" t="s">
        <v>123</v>
      </c>
      <c r="B191" s="481" t="s">
        <v>4863</v>
      </c>
      <c r="C191" s="479">
        <v>0.93611111111111101</v>
      </c>
      <c r="D191" s="478" t="s">
        <v>4863</v>
      </c>
      <c r="E191" s="520">
        <v>0.96319444444444446</v>
      </c>
      <c r="F191" s="481" t="s">
        <v>4864</v>
      </c>
      <c r="G191" s="481" t="s">
        <v>674</v>
      </c>
      <c r="H191" s="485" t="s">
        <v>3411</v>
      </c>
      <c r="I191" s="481" t="s">
        <v>2483</v>
      </c>
      <c r="J191" s="481" t="s">
        <v>4865</v>
      </c>
      <c r="K191" s="481" t="s">
        <v>4866</v>
      </c>
    </row>
    <row r="192" spans="1:11" s="529" customFormat="1" ht="44.45" customHeight="1">
      <c r="A192" s="481" t="s">
        <v>123</v>
      </c>
      <c r="B192" s="481" t="s">
        <v>4867</v>
      </c>
      <c r="C192" s="479">
        <v>0.14305555555555557</v>
      </c>
      <c r="D192" s="478" t="s">
        <v>4867</v>
      </c>
      <c r="E192" s="520">
        <v>0.15833333333333333</v>
      </c>
      <c r="F192" s="481" t="s">
        <v>4868</v>
      </c>
      <c r="G192" s="481" t="s">
        <v>674</v>
      </c>
      <c r="H192" s="485" t="s">
        <v>3411</v>
      </c>
      <c r="I192" s="481" t="s">
        <v>2990</v>
      </c>
      <c r="J192" s="481" t="s">
        <v>3055</v>
      </c>
      <c r="K192" s="481" t="s">
        <v>3055</v>
      </c>
    </row>
    <row r="193" spans="1:11" s="529" customFormat="1" ht="45">
      <c r="A193" s="481" t="s">
        <v>123</v>
      </c>
      <c r="B193" s="481" t="s">
        <v>4869</v>
      </c>
      <c r="C193" s="479">
        <v>0.53819444444444442</v>
      </c>
      <c r="D193" s="478" t="s">
        <v>4870</v>
      </c>
      <c r="E193" s="479">
        <v>0.79166666666666663</v>
      </c>
      <c r="F193" s="481" t="s">
        <v>2919</v>
      </c>
      <c r="G193" s="481" t="s">
        <v>1352</v>
      </c>
      <c r="H193" s="485" t="s">
        <v>3478</v>
      </c>
      <c r="I193" s="481" t="s">
        <v>2764</v>
      </c>
      <c r="J193" s="481" t="s">
        <v>45</v>
      </c>
      <c r="K193" s="481" t="s">
        <v>45</v>
      </c>
    </row>
    <row r="194" spans="1:11" s="529" customFormat="1" ht="45">
      <c r="A194" s="481" t="s">
        <v>123</v>
      </c>
      <c r="B194" s="481" t="s">
        <v>4869</v>
      </c>
      <c r="C194" s="479">
        <v>0.51041666666666663</v>
      </c>
      <c r="D194" s="478" t="s">
        <v>4870</v>
      </c>
      <c r="E194" s="520">
        <v>0.79166666666666663</v>
      </c>
      <c r="F194" s="481" t="s">
        <v>2919</v>
      </c>
      <c r="G194" s="481" t="s">
        <v>1352</v>
      </c>
      <c r="H194" s="485" t="s">
        <v>3478</v>
      </c>
      <c r="I194" s="481" t="s">
        <v>2764</v>
      </c>
      <c r="J194" s="481" t="s">
        <v>45</v>
      </c>
      <c r="K194" s="481" t="s">
        <v>45</v>
      </c>
    </row>
    <row r="195" spans="1:11" s="529" customFormat="1" ht="78.75">
      <c r="A195" s="481" t="s">
        <v>123</v>
      </c>
      <c r="B195" s="481" t="s">
        <v>4869</v>
      </c>
      <c r="C195" s="479">
        <v>9.0277777777777776E-2</v>
      </c>
      <c r="D195" s="478" t="s">
        <v>4869</v>
      </c>
      <c r="E195" s="520">
        <v>9.0972222222222218E-2</v>
      </c>
      <c r="F195" s="481" t="s">
        <v>2831</v>
      </c>
      <c r="G195" s="481" t="s">
        <v>124</v>
      </c>
      <c r="H195" s="485" t="s">
        <v>3402</v>
      </c>
      <c r="I195" s="481" t="s">
        <v>2118</v>
      </c>
      <c r="J195" s="481" t="s">
        <v>3055</v>
      </c>
      <c r="K195" s="481" t="s">
        <v>3055</v>
      </c>
    </row>
    <row r="196" spans="1:11" s="529" customFormat="1" ht="33.75">
      <c r="A196" s="481" t="s">
        <v>123</v>
      </c>
      <c r="B196" s="481" t="s">
        <v>4871</v>
      </c>
      <c r="C196" s="479">
        <v>0.49652777777777773</v>
      </c>
      <c r="D196" s="478" t="s">
        <v>4871</v>
      </c>
      <c r="E196" s="520">
        <v>0.88680555555555562</v>
      </c>
      <c r="F196" s="481" t="s">
        <v>2919</v>
      </c>
      <c r="G196" s="481" t="s">
        <v>1352</v>
      </c>
      <c r="H196" s="485" t="s">
        <v>3928</v>
      </c>
      <c r="I196" s="481" t="s">
        <v>2952</v>
      </c>
      <c r="J196" s="481" t="s">
        <v>45</v>
      </c>
      <c r="K196" s="481" t="s">
        <v>45</v>
      </c>
    </row>
    <row r="197" spans="1:11" s="529" customFormat="1" ht="45">
      <c r="A197" s="481" t="s">
        <v>123</v>
      </c>
      <c r="B197" s="481" t="s">
        <v>4871</v>
      </c>
      <c r="C197" s="479">
        <v>0.47916666666666669</v>
      </c>
      <c r="D197" s="478" t="s">
        <v>4871</v>
      </c>
      <c r="E197" s="520">
        <v>0.56597222222222221</v>
      </c>
      <c r="F197" s="481" t="s">
        <v>4864</v>
      </c>
      <c r="G197" s="481" t="s">
        <v>674</v>
      </c>
      <c r="H197" s="485" t="s">
        <v>3387</v>
      </c>
      <c r="I197" s="481" t="s">
        <v>2764</v>
      </c>
      <c r="J197" s="481" t="s">
        <v>3055</v>
      </c>
      <c r="K197" s="481" t="s">
        <v>3055</v>
      </c>
    </row>
    <row r="198" spans="1:11" s="529" customFormat="1" ht="67.5">
      <c r="A198" s="481" t="s">
        <v>123</v>
      </c>
      <c r="B198" s="481" t="s">
        <v>4872</v>
      </c>
      <c r="C198" s="479">
        <v>0.44444444444444442</v>
      </c>
      <c r="D198" s="478" t="s">
        <v>4872</v>
      </c>
      <c r="E198" s="520">
        <v>0.4465277777777778</v>
      </c>
      <c r="F198" s="481" t="s">
        <v>4873</v>
      </c>
      <c r="G198" s="481" t="s">
        <v>63</v>
      </c>
      <c r="H198" s="485" t="s">
        <v>3411</v>
      </c>
      <c r="I198" s="481" t="s">
        <v>2483</v>
      </c>
      <c r="J198" s="481" t="s">
        <v>3754</v>
      </c>
      <c r="K198" s="481" t="s">
        <v>4874</v>
      </c>
    </row>
    <row r="199" spans="1:11" s="529" customFormat="1" ht="45">
      <c r="A199" s="481" t="s">
        <v>123</v>
      </c>
      <c r="B199" s="481" t="s">
        <v>4872</v>
      </c>
      <c r="C199" s="479">
        <v>0.17361111111111113</v>
      </c>
      <c r="D199" s="478" t="s">
        <v>4872</v>
      </c>
      <c r="E199" s="520">
        <v>0.27708333333333335</v>
      </c>
      <c r="F199" s="481" t="s">
        <v>2959</v>
      </c>
      <c r="G199" s="481" t="s">
        <v>61</v>
      </c>
      <c r="H199" s="485" t="s">
        <v>3387</v>
      </c>
      <c r="I199" s="481" t="s">
        <v>2764</v>
      </c>
      <c r="J199" s="481" t="s">
        <v>3055</v>
      </c>
      <c r="K199" s="481" t="s">
        <v>3055</v>
      </c>
    </row>
    <row r="200" spans="1:11" s="529" customFormat="1" ht="67.5">
      <c r="A200" s="481" t="s">
        <v>123</v>
      </c>
      <c r="B200" s="481" t="s">
        <v>4872</v>
      </c>
      <c r="C200" s="479">
        <v>0.43402777777777773</v>
      </c>
      <c r="D200" s="478" t="s">
        <v>4872</v>
      </c>
      <c r="E200" s="520">
        <v>0.63611111111111118</v>
      </c>
      <c r="F200" s="481" t="s">
        <v>3182</v>
      </c>
      <c r="G200" s="481" t="s">
        <v>63</v>
      </c>
      <c r="H200" s="485" t="s">
        <v>3463</v>
      </c>
      <c r="I200" s="481" t="s">
        <v>100</v>
      </c>
      <c r="J200" s="481" t="s">
        <v>3055</v>
      </c>
      <c r="K200" s="481" t="s">
        <v>3055</v>
      </c>
    </row>
    <row r="201" spans="1:11" s="529" customFormat="1" ht="33.75">
      <c r="A201" s="481" t="s">
        <v>123</v>
      </c>
      <c r="B201" s="481" t="s">
        <v>4875</v>
      </c>
      <c r="C201" s="479">
        <v>0.78749999999999998</v>
      </c>
      <c r="D201" s="478" t="s">
        <v>4875</v>
      </c>
      <c r="E201" s="520">
        <v>0.87569444444444444</v>
      </c>
      <c r="F201" s="481" t="s">
        <v>3967</v>
      </c>
      <c r="G201" s="481" t="s">
        <v>124</v>
      </c>
      <c r="H201" s="485" t="s">
        <v>3451</v>
      </c>
      <c r="I201" s="481" t="s">
        <v>2764</v>
      </c>
      <c r="J201" s="481" t="s">
        <v>4602</v>
      </c>
      <c r="K201" s="481" t="s">
        <v>4876</v>
      </c>
    </row>
    <row r="202" spans="1:11" s="529" customFormat="1" ht="78.75">
      <c r="A202" s="481" t="s">
        <v>123</v>
      </c>
      <c r="B202" s="481" t="s">
        <v>4877</v>
      </c>
      <c r="C202" s="479">
        <v>0.65972222222222221</v>
      </c>
      <c r="D202" s="478" t="s">
        <v>4877</v>
      </c>
      <c r="E202" s="520">
        <v>0.70138888888888884</v>
      </c>
      <c r="F202" s="481" t="s">
        <v>4878</v>
      </c>
      <c r="G202" s="481" t="s">
        <v>63</v>
      </c>
      <c r="H202" s="485" t="s">
        <v>3402</v>
      </c>
      <c r="I202" s="481" t="s">
        <v>2118</v>
      </c>
      <c r="J202" s="481" t="s">
        <v>3055</v>
      </c>
      <c r="K202" s="481" t="s">
        <v>3055</v>
      </c>
    </row>
    <row r="203" spans="1:11" s="527" customFormat="1" ht="33.75">
      <c r="A203" s="481" t="s">
        <v>123</v>
      </c>
      <c r="B203" s="481" t="s">
        <v>4877</v>
      </c>
      <c r="C203" s="479">
        <v>0.21805555555555556</v>
      </c>
      <c r="D203" s="478" t="s">
        <v>4877</v>
      </c>
      <c r="E203" s="520">
        <v>0.79166666666666663</v>
      </c>
      <c r="F203" s="481" t="s">
        <v>3307</v>
      </c>
      <c r="G203" s="481" t="s">
        <v>3143</v>
      </c>
      <c r="H203" s="485" t="s">
        <v>3451</v>
      </c>
      <c r="I203" s="481" t="s">
        <v>22</v>
      </c>
      <c r="J203" s="481" t="s">
        <v>45</v>
      </c>
      <c r="K203" s="481" t="s">
        <v>4879</v>
      </c>
    </row>
    <row r="204" spans="1:11" s="527" customFormat="1" ht="45">
      <c r="A204" s="481" t="s">
        <v>123</v>
      </c>
      <c r="B204" s="481" t="s">
        <v>4880</v>
      </c>
      <c r="C204" s="479">
        <v>0.65763888888888888</v>
      </c>
      <c r="D204" s="478" t="s">
        <v>4880</v>
      </c>
      <c r="E204" s="520">
        <v>0.6972222222222223</v>
      </c>
      <c r="F204" s="481" t="s">
        <v>3439</v>
      </c>
      <c r="G204" s="481" t="s">
        <v>63</v>
      </c>
      <c r="H204" s="485" t="s">
        <v>3387</v>
      </c>
      <c r="I204" s="481" t="s">
        <v>2764</v>
      </c>
      <c r="J204" s="481" t="s">
        <v>3055</v>
      </c>
      <c r="K204" s="481" t="s">
        <v>3055</v>
      </c>
    </row>
    <row r="205" spans="1:11" s="527" customFormat="1" ht="67.5">
      <c r="A205" s="481" t="s">
        <v>123</v>
      </c>
      <c r="B205" s="481" t="s">
        <v>4881</v>
      </c>
      <c r="C205" s="479">
        <v>0.14861111111111111</v>
      </c>
      <c r="D205" s="478" t="s">
        <v>4881</v>
      </c>
      <c r="E205" s="520">
        <v>0.21319444444444444</v>
      </c>
      <c r="F205" s="481" t="s">
        <v>2939</v>
      </c>
      <c r="G205" s="481" t="s">
        <v>124</v>
      </c>
      <c r="H205" s="485" t="s">
        <v>4882</v>
      </c>
      <c r="I205" s="481" t="s">
        <v>2483</v>
      </c>
      <c r="J205" s="481" t="s">
        <v>4323</v>
      </c>
      <c r="K205" s="481" t="s">
        <v>4883</v>
      </c>
    </row>
    <row r="206" spans="1:11" s="527" customFormat="1" ht="33.75">
      <c r="A206" s="481" t="s">
        <v>123</v>
      </c>
      <c r="B206" s="481" t="s">
        <v>4881</v>
      </c>
      <c r="C206" s="479">
        <v>0.29652777777777778</v>
      </c>
      <c r="D206" s="478" t="s">
        <v>4881</v>
      </c>
      <c r="E206" s="520">
        <v>0.57500000000000007</v>
      </c>
      <c r="F206" s="481" t="s">
        <v>4884</v>
      </c>
      <c r="G206" s="481" t="s">
        <v>63</v>
      </c>
      <c r="H206" s="485" t="s">
        <v>3356</v>
      </c>
      <c r="I206" s="481" t="s">
        <v>100</v>
      </c>
      <c r="J206" s="481" t="s">
        <v>3055</v>
      </c>
      <c r="K206" s="481" t="s">
        <v>3055</v>
      </c>
    </row>
    <row r="207" spans="1:11" s="527" customFormat="1" ht="33.75">
      <c r="A207" s="481" t="s">
        <v>123</v>
      </c>
      <c r="B207" s="481" t="s">
        <v>4885</v>
      </c>
      <c r="C207" s="479">
        <v>0.84027777777777779</v>
      </c>
      <c r="D207" s="478" t="s">
        <v>4885</v>
      </c>
      <c r="E207" s="520">
        <v>0.89583333333333337</v>
      </c>
      <c r="F207" s="481" t="s">
        <v>4886</v>
      </c>
      <c r="G207" s="481" t="s">
        <v>674</v>
      </c>
      <c r="H207" s="485" t="s">
        <v>3356</v>
      </c>
      <c r="I207" s="481" t="s">
        <v>100</v>
      </c>
      <c r="J207" s="481" t="s">
        <v>3497</v>
      </c>
      <c r="K207" s="481" t="s">
        <v>4887</v>
      </c>
    </row>
    <row r="208" spans="1:11" s="527" customFormat="1" ht="33.75">
      <c r="A208" s="481" t="s">
        <v>123</v>
      </c>
      <c r="B208" s="481" t="s">
        <v>4885</v>
      </c>
      <c r="C208" s="479">
        <v>0.10208333333333335</v>
      </c>
      <c r="D208" s="478" t="s">
        <v>4885</v>
      </c>
      <c r="E208" s="520">
        <v>0.14583333333333334</v>
      </c>
      <c r="F208" s="481" t="s">
        <v>4888</v>
      </c>
      <c r="G208" s="481" t="s">
        <v>61</v>
      </c>
      <c r="H208" s="485" t="s">
        <v>3356</v>
      </c>
      <c r="I208" s="481" t="s">
        <v>100</v>
      </c>
      <c r="J208" s="481" t="s">
        <v>45</v>
      </c>
      <c r="K208" s="481" t="s">
        <v>3812</v>
      </c>
    </row>
    <row r="209" spans="1:11" s="527" customFormat="1" ht="101.25">
      <c r="A209" s="481" t="s">
        <v>123</v>
      </c>
      <c r="B209" s="481" t="s">
        <v>4889</v>
      </c>
      <c r="C209" s="479">
        <v>0.55555555555555558</v>
      </c>
      <c r="D209" s="478" t="s">
        <v>45</v>
      </c>
      <c r="E209" s="520" t="s">
        <v>45</v>
      </c>
      <c r="F209" s="481" t="s">
        <v>4890</v>
      </c>
      <c r="G209" s="481" t="s">
        <v>124</v>
      </c>
      <c r="H209" s="485" t="s">
        <v>3478</v>
      </c>
      <c r="I209" s="481" t="s">
        <v>22</v>
      </c>
      <c r="J209" s="481" t="s">
        <v>4891</v>
      </c>
      <c r="K209" s="481" t="s">
        <v>45</v>
      </c>
    </row>
    <row r="210" spans="1:11" s="527" customFormat="1" ht="67.5">
      <c r="A210" s="481" t="s">
        <v>123</v>
      </c>
      <c r="B210" s="481" t="s">
        <v>4889</v>
      </c>
      <c r="C210" s="479">
        <v>0.47361111111111115</v>
      </c>
      <c r="D210" s="478" t="s">
        <v>45</v>
      </c>
      <c r="E210" s="520" t="s">
        <v>45</v>
      </c>
      <c r="F210" s="481" t="s">
        <v>2928</v>
      </c>
      <c r="G210" s="481" t="s">
        <v>63</v>
      </c>
      <c r="H210" s="485" t="s">
        <v>3411</v>
      </c>
      <c r="I210" s="481" t="s">
        <v>2483</v>
      </c>
      <c r="J210" s="481" t="s">
        <v>3055</v>
      </c>
      <c r="K210" s="481" t="s">
        <v>3055</v>
      </c>
    </row>
    <row r="211" spans="1:11" s="527" customFormat="1" ht="33.75">
      <c r="A211" s="481" t="s">
        <v>123</v>
      </c>
      <c r="B211" s="481" t="s">
        <v>4892</v>
      </c>
      <c r="C211" s="479">
        <v>0.66666666666666663</v>
      </c>
      <c r="D211" s="478" t="s">
        <v>45</v>
      </c>
      <c r="E211" s="520" t="s">
        <v>45</v>
      </c>
      <c r="F211" s="481" t="s">
        <v>4893</v>
      </c>
      <c r="G211" s="481" t="s">
        <v>3143</v>
      </c>
      <c r="H211" s="485" t="s">
        <v>3451</v>
      </c>
      <c r="I211" s="481" t="s">
        <v>22</v>
      </c>
      <c r="J211" s="481" t="s">
        <v>45</v>
      </c>
      <c r="K211" s="481" t="s">
        <v>4894</v>
      </c>
    </row>
    <row r="212" spans="1:11" s="527" customFormat="1" ht="45">
      <c r="A212" s="481" t="s">
        <v>123</v>
      </c>
      <c r="B212" s="481" t="s">
        <v>4895</v>
      </c>
      <c r="C212" s="479">
        <v>0.78472222222222221</v>
      </c>
      <c r="D212" s="478" t="s">
        <v>45</v>
      </c>
      <c r="E212" s="520" t="s">
        <v>45</v>
      </c>
      <c r="F212" s="481" t="s">
        <v>4896</v>
      </c>
      <c r="G212" s="481" t="s">
        <v>61</v>
      </c>
      <c r="H212" s="485" t="s">
        <v>3451</v>
      </c>
      <c r="I212" s="481" t="s">
        <v>22</v>
      </c>
      <c r="J212" s="481" t="s">
        <v>45</v>
      </c>
      <c r="K212" s="481" t="s">
        <v>4897</v>
      </c>
    </row>
    <row r="213" spans="1:11" ht="45">
      <c r="A213" s="481" t="s">
        <v>26</v>
      </c>
      <c r="B213" s="481" t="s">
        <v>4898</v>
      </c>
      <c r="C213" s="479">
        <v>0.96388888888888891</v>
      </c>
      <c r="D213" s="481" t="s">
        <v>4899</v>
      </c>
      <c r="E213" s="520">
        <v>9.4444444444444442E-2</v>
      </c>
      <c r="F213" s="481" t="s">
        <v>2893</v>
      </c>
      <c r="G213" s="481" t="s">
        <v>124</v>
      </c>
      <c r="H213" s="481" t="s">
        <v>4900</v>
      </c>
      <c r="I213" s="481" t="s">
        <v>100</v>
      </c>
      <c r="J213" s="481" t="s">
        <v>4677</v>
      </c>
      <c r="K213" s="481" t="s">
        <v>4901</v>
      </c>
    </row>
    <row r="214" spans="1:11" ht="67.5">
      <c r="A214" s="481" t="s">
        <v>26</v>
      </c>
      <c r="B214" s="481" t="s">
        <v>4899</v>
      </c>
      <c r="C214" s="479">
        <v>0.6479166666666667</v>
      </c>
      <c r="D214" s="481" t="s">
        <v>4899</v>
      </c>
      <c r="E214" s="520">
        <v>0.85555555555555562</v>
      </c>
      <c r="F214" s="481" t="s">
        <v>4049</v>
      </c>
      <c r="G214" s="481" t="s">
        <v>124</v>
      </c>
      <c r="H214" s="481" t="s">
        <v>3411</v>
      </c>
      <c r="I214" s="481" t="s">
        <v>3416</v>
      </c>
      <c r="J214" s="481" t="s">
        <v>3055</v>
      </c>
      <c r="K214" s="481" t="s">
        <v>3055</v>
      </c>
    </row>
    <row r="215" spans="1:11" ht="67.5">
      <c r="A215" s="481" t="s">
        <v>26</v>
      </c>
      <c r="B215" s="481" t="s">
        <v>4902</v>
      </c>
      <c r="C215" s="479">
        <v>0.23055555555555554</v>
      </c>
      <c r="D215" s="481" t="s">
        <v>4902</v>
      </c>
      <c r="E215" s="520">
        <v>0.37361111111111112</v>
      </c>
      <c r="F215" s="481" t="s">
        <v>2868</v>
      </c>
      <c r="G215" s="481" t="s">
        <v>61</v>
      </c>
      <c r="H215" s="481" t="s">
        <v>3411</v>
      </c>
      <c r="I215" s="481" t="s">
        <v>2483</v>
      </c>
      <c r="J215" s="481" t="s">
        <v>3055</v>
      </c>
      <c r="K215" s="481" t="s">
        <v>3055</v>
      </c>
    </row>
    <row r="216" spans="1:11" ht="45">
      <c r="A216" s="481" t="s">
        <v>26</v>
      </c>
      <c r="B216" s="481" t="s">
        <v>4902</v>
      </c>
      <c r="C216" s="479">
        <v>0.58611111111111114</v>
      </c>
      <c r="D216" s="481" t="s">
        <v>4902</v>
      </c>
      <c r="E216" s="520">
        <v>0.6118055555555556</v>
      </c>
      <c r="F216" s="481" t="s">
        <v>4048</v>
      </c>
      <c r="G216" s="481" t="s">
        <v>4903</v>
      </c>
      <c r="H216" s="481" t="s">
        <v>3447</v>
      </c>
      <c r="I216" s="481" t="s">
        <v>2483</v>
      </c>
      <c r="J216" s="481" t="s">
        <v>3055</v>
      </c>
      <c r="K216" s="481" t="s">
        <v>3055</v>
      </c>
    </row>
    <row r="217" spans="1:11" ht="33.75">
      <c r="A217" s="481" t="s">
        <v>26</v>
      </c>
      <c r="B217" s="481" t="s">
        <v>4904</v>
      </c>
      <c r="C217" s="479">
        <v>0.82013888888888886</v>
      </c>
      <c r="D217" s="481" t="s">
        <v>4904</v>
      </c>
      <c r="E217" s="520">
        <v>0.90972222222222221</v>
      </c>
      <c r="F217" s="481" t="s">
        <v>2895</v>
      </c>
      <c r="G217" s="481" t="s">
        <v>3143</v>
      </c>
      <c r="H217" s="481" t="s">
        <v>2753</v>
      </c>
      <c r="I217" s="481" t="s">
        <v>4905</v>
      </c>
      <c r="J217" s="481" t="s">
        <v>45</v>
      </c>
      <c r="K217" s="481" t="s">
        <v>4906</v>
      </c>
    </row>
    <row r="218" spans="1:11" ht="67.5">
      <c r="A218" s="481" t="s">
        <v>26</v>
      </c>
      <c r="B218" s="481" t="s">
        <v>4907</v>
      </c>
      <c r="C218" s="479">
        <v>1.3888888888888889E-3</v>
      </c>
      <c r="D218" s="481" t="s">
        <v>4907</v>
      </c>
      <c r="E218" s="520">
        <v>1.3888888888888888E-2</v>
      </c>
      <c r="F218" s="481" t="s">
        <v>4534</v>
      </c>
      <c r="G218" s="481" t="s">
        <v>63</v>
      </c>
      <c r="H218" s="481" t="s">
        <v>3411</v>
      </c>
      <c r="I218" s="481" t="s">
        <v>2483</v>
      </c>
      <c r="J218" s="481" t="s">
        <v>4908</v>
      </c>
      <c r="K218" s="481" t="s">
        <v>3055</v>
      </c>
    </row>
    <row r="219" spans="1:11" ht="67.5">
      <c r="A219" s="481" t="s">
        <v>26</v>
      </c>
      <c r="B219" s="481" t="s">
        <v>4907</v>
      </c>
      <c r="C219" s="479">
        <v>0.64583333333333337</v>
      </c>
      <c r="D219" s="481" t="s">
        <v>45</v>
      </c>
      <c r="E219" s="520" t="s">
        <v>45</v>
      </c>
      <c r="F219" s="481" t="s">
        <v>4909</v>
      </c>
      <c r="G219" s="481" t="s">
        <v>3143</v>
      </c>
      <c r="H219" s="481" t="s">
        <v>2753</v>
      </c>
      <c r="I219" s="481" t="s">
        <v>22</v>
      </c>
      <c r="J219" s="481" t="s">
        <v>45</v>
      </c>
      <c r="K219" s="481" t="s">
        <v>3251</v>
      </c>
    </row>
    <row r="220" spans="1:11" ht="67.5">
      <c r="A220" s="481" t="s">
        <v>26</v>
      </c>
      <c r="B220" s="481" t="s">
        <v>4910</v>
      </c>
      <c r="C220" s="479">
        <v>0.7090277777777777</v>
      </c>
      <c r="D220" s="481" t="s">
        <v>4910</v>
      </c>
      <c r="E220" s="520">
        <v>0.72499999999999998</v>
      </c>
      <c r="F220" s="481" t="s">
        <v>2868</v>
      </c>
      <c r="G220" s="481" t="s">
        <v>61</v>
      </c>
      <c r="H220" s="481" t="s">
        <v>3411</v>
      </c>
      <c r="I220" s="481" t="s">
        <v>4905</v>
      </c>
      <c r="J220" s="481" t="s">
        <v>3055</v>
      </c>
      <c r="K220" s="481" t="s">
        <v>3055</v>
      </c>
    </row>
    <row r="221" spans="1:11" ht="67.5">
      <c r="A221" s="481" t="s">
        <v>26</v>
      </c>
      <c r="B221" s="481" t="s">
        <v>4910</v>
      </c>
      <c r="C221" s="479">
        <v>0.8534722222222223</v>
      </c>
      <c r="D221" s="481" t="s">
        <v>4910</v>
      </c>
      <c r="E221" s="520">
        <v>0.85625000000000007</v>
      </c>
      <c r="F221" s="481" t="s">
        <v>4911</v>
      </c>
      <c r="G221" s="481" t="s">
        <v>674</v>
      </c>
      <c r="H221" s="481" t="s">
        <v>3411</v>
      </c>
      <c r="I221" s="481" t="s">
        <v>4905</v>
      </c>
      <c r="J221" s="481" t="s">
        <v>4912</v>
      </c>
      <c r="K221" s="481" t="s">
        <v>3055</v>
      </c>
    </row>
    <row r="222" spans="1:11" ht="45">
      <c r="A222" s="481" t="s">
        <v>26</v>
      </c>
      <c r="B222" s="481" t="s">
        <v>4913</v>
      </c>
      <c r="C222" s="479">
        <v>0.73888888888888893</v>
      </c>
      <c r="D222" s="481" t="s">
        <v>4913</v>
      </c>
      <c r="E222" s="520">
        <v>0.87847222222222221</v>
      </c>
      <c r="F222" s="481" t="s">
        <v>2945</v>
      </c>
      <c r="G222" s="481" t="s">
        <v>124</v>
      </c>
      <c r="H222" s="481" t="s">
        <v>3415</v>
      </c>
      <c r="I222" s="481" t="s">
        <v>1138</v>
      </c>
      <c r="J222" s="481" t="s">
        <v>4914</v>
      </c>
      <c r="K222" s="481" t="s">
        <v>45</v>
      </c>
    </row>
    <row r="223" spans="1:11" ht="45">
      <c r="A223" s="481" t="s">
        <v>26</v>
      </c>
      <c r="B223" s="481" t="s">
        <v>4913</v>
      </c>
      <c r="C223" s="479">
        <v>0.85069444444444453</v>
      </c>
      <c r="D223" s="481" t="s">
        <v>4915</v>
      </c>
      <c r="E223" s="520">
        <v>0.875</v>
      </c>
      <c r="F223" s="481" t="s">
        <v>3414</v>
      </c>
      <c r="G223" s="481" t="s">
        <v>124</v>
      </c>
      <c r="H223" s="481" t="s">
        <v>3415</v>
      </c>
      <c r="I223" s="481" t="s">
        <v>22</v>
      </c>
      <c r="J223" s="481" t="s">
        <v>3614</v>
      </c>
      <c r="K223" s="481" t="s">
        <v>4916</v>
      </c>
    </row>
    <row r="224" spans="1:11" ht="33.75">
      <c r="A224" s="481" t="s">
        <v>26</v>
      </c>
      <c r="B224" s="481" t="s">
        <v>4915</v>
      </c>
      <c r="C224" s="479">
        <v>2.0833333333333332E-2</v>
      </c>
      <c r="D224" s="481" t="s">
        <v>4915</v>
      </c>
      <c r="E224" s="520">
        <v>0.20833333333333334</v>
      </c>
      <c r="F224" s="481" t="s">
        <v>4917</v>
      </c>
      <c r="G224" s="481" t="s">
        <v>4918</v>
      </c>
      <c r="H224" s="481" t="s">
        <v>2753</v>
      </c>
      <c r="I224" s="481" t="s">
        <v>4905</v>
      </c>
      <c r="J224" s="481" t="s">
        <v>45</v>
      </c>
      <c r="K224" s="481" t="s">
        <v>4919</v>
      </c>
    </row>
    <row r="225" spans="1:11" ht="33.75">
      <c r="A225" s="481" t="s">
        <v>26</v>
      </c>
      <c r="B225" s="481" t="s">
        <v>4915</v>
      </c>
      <c r="C225" s="479">
        <v>0</v>
      </c>
      <c r="D225" s="481" t="s">
        <v>4920</v>
      </c>
      <c r="E225" s="520">
        <v>0.66666666666666663</v>
      </c>
      <c r="F225" s="481" t="s">
        <v>3642</v>
      </c>
      <c r="G225" s="481" t="s">
        <v>674</v>
      </c>
      <c r="H225" s="481" t="s">
        <v>2753</v>
      </c>
      <c r="I225" s="481" t="s">
        <v>22</v>
      </c>
      <c r="J225" s="481" t="s">
        <v>45</v>
      </c>
      <c r="K225" s="481" t="s">
        <v>4650</v>
      </c>
    </row>
    <row r="226" spans="1:11" ht="33.75">
      <c r="A226" s="481" t="s">
        <v>26</v>
      </c>
      <c r="B226" s="481" t="s">
        <v>4915</v>
      </c>
      <c r="C226" s="479">
        <v>7.9861111111111105E-2</v>
      </c>
      <c r="D226" s="481" t="s">
        <v>4915</v>
      </c>
      <c r="E226" s="520">
        <v>8.0555555555555561E-2</v>
      </c>
      <c r="F226" s="481" t="s">
        <v>2864</v>
      </c>
      <c r="G226" s="481" t="s">
        <v>63</v>
      </c>
      <c r="H226" s="481" t="s">
        <v>2753</v>
      </c>
      <c r="I226" s="481" t="s">
        <v>22</v>
      </c>
      <c r="J226" s="481" t="s">
        <v>45</v>
      </c>
      <c r="K226" s="481" t="s">
        <v>4111</v>
      </c>
    </row>
    <row r="227" spans="1:11" ht="45">
      <c r="A227" s="481" t="s">
        <v>26</v>
      </c>
      <c r="B227" s="481" t="s">
        <v>4915</v>
      </c>
      <c r="C227" s="479">
        <v>0.75</v>
      </c>
      <c r="D227" s="481" t="s">
        <v>4915</v>
      </c>
      <c r="E227" s="520">
        <v>0.875</v>
      </c>
      <c r="F227" s="481" t="s">
        <v>4133</v>
      </c>
      <c r="G227" s="481" t="s">
        <v>124</v>
      </c>
      <c r="H227" s="481" t="s">
        <v>3415</v>
      </c>
      <c r="I227" s="481" t="s">
        <v>2483</v>
      </c>
      <c r="J227" s="481" t="s">
        <v>4921</v>
      </c>
      <c r="K227" s="481" t="s">
        <v>4922</v>
      </c>
    </row>
    <row r="228" spans="1:11" ht="33.75">
      <c r="A228" s="481" t="s">
        <v>26</v>
      </c>
      <c r="B228" s="481" t="s">
        <v>4915</v>
      </c>
      <c r="C228" s="479">
        <v>2.0833333333333332E-2</v>
      </c>
      <c r="D228" s="481" t="s">
        <v>4915</v>
      </c>
      <c r="E228" s="520">
        <v>0.20833333333333334</v>
      </c>
      <c r="F228" s="481" t="s">
        <v>3629</v>
      </c>
      <c r="G228" s="481" t="s">
        <v>4918</v>
      </c>
      <c r="H228" s="481" t="s">
        <v>2753</v>
      </c>
      <c r="I228" s="481" t="s">
        <v>4905</v>
      </c>
      <c r="J228" s="481" t="s">
        <v>45</v>
      </c>
      <c r="K228" s="481" t="s">
        <v>4923</v>
      </c>
    </row>
    <row r="229" spans="1:11" ht="45">
      <c r="A229" s="481" t="s">
        <v>26</v>
      </c>
      <c r="B229" s="481" t="s">
        <v>4920</v>
      </c>
      <c r="C229" s="479">
        <v>0.75</v>
      </c>
      <c r="D229" s="481" t="s">
        <v>4920</v>
      </c>
      <c r="E229" s="520">
        <v>0.875</v>
      </c>
      <c r="F229" s="481" t="s">
        <v>4133</v>
      </c>
      <c r="G229" s="481" t="s">
        <v>124</v>
      </c>
      <c r="H229" s="481" t="s">
        <v>3415</v>
      </c>
      <c r="I229" s="481" t="s">
        <v>2483</v>
      </c>
      <c r="J229" s="481" t="s">
        <v>4921</v>
      </c>
      <c r="K229" s="481" t="s">
        <v>4922</v>
      </c>
    </row>
    <row r="230" spans="1:11" ht="33.75">
      <c r="A230" s="481" t="s">
        <v>26</v>
      </c>
      <c r="B230" s="481" t="s">
        <v>4924</v>
      </c>
      <c r="C230" s="479">
        <v>0.66041666666666665</v>
      </c>
      <c r="D230" s="481" t="s">
        <v>4925</v>
      </c>
      <c r="E230" s="520">
        <v>0.70833333333333337</v>
      </c>
      <c r="F230" s="481" t="s">
        <v>3385</v>
      </c>
      <c r="G230" s="481" t="s">
        <v>124</v>
      </c>
      <c r="H230" s="481" t="s">
        <v>3356</v>
      </c>
      <c r="I230" s="481" t="s">
        <v>2343</v>
      </c>
      <c r="J230" s="481" t="s">
        <v>3055</v>
      </c>
      <c r="K230" s="481" t="s">
        <v>3055</v>
      </c>
    </row>
    <row r="231" spans="1:11" ht="67.5">
      <c r="A231" s="481" t="s">
        <v>26</v>
      </c>
      <c r="B231" s="481" t="s">
        <v>4926</v>
      </c>
      <c r="C231" s="479">
        <v>0.59375</v>
      </c>
      <c r="D231" s="481" t="s">
        <v>4926</v>
      </c>
      <c r="E231" s="520">
        <v>0.59444444444444444</v>
      </c>
      <c r="F231" s="481" t="s">
        <v>2939</v>
      </c>
      <c r="G231" s="481" t="s">
        <v>124</v>
      </c>
      <c r="H231" s="481" t="s">
        <v>2839</v>
      </c>
      <c r="I231" s="481" t="s">
        <v>4905</v>
      </c>
      <c r="J231" s="481" t="s">
        <v>4036</v>
      </c>
      <c r="K231" s="481" t="s">
        <v>4336</v>
      </c>
    </row>
    <row r="232" spans="1:11" ht="67.5">
      <c r="A232" s="481" t="s">
        <v>26</v>
      </c>
      <c r="B232" s="481" t="s">
        <v>4927</v>
      </c>
      <c r="C232" s="479">
        <v>0.16666666666666666</v>
      </c>
      <c r="D232" s="481" t="s">
        <v>4927</v>
      </c>
      <c r="E232" s="520">
        <v>0.4069444444444445</v>
      </c>
      <c r="F232" s="481" t="s">
        <v>4928</v>
      </c>
      <c r="G232" s="481" t="s">
        <v>3143</v>
      </c>
      <c r="H232" s="481" t="s">
        <v>3411</v>
      </c>
      <c r="I232" s="481" t="s">
        <v>2483</v>
      </c>
      <c r="J232" s="481" t="s">
        <v>3055</v>
      </c>
      <c r="K232" s="481" t="s">
        <v>3055</v>
      </c>
    </row>
    <row r="233" spans="1:11" ht="45">
      <c r="A233" s="481" t="s">
        <v>26</v>
      </c>
      <c r="B233" s="481" t="s">
        <v>4929</v>
      </c>
      <c r="C233" s="479">
        <v>0.68125000000000002</v>
      </c>
      <c r="D233" s="481" t="s">
        <v>4929</v>
      </c>
      <c r="E233" s="520">
        <v>0.70833333333333337</v>
      </c>
      <c r="F233" s="481" t="s">
        <v>2895</v>
      </c>
      <c r="G233" s="481" t="s">
        <v>3143</v>
      </c>
      <c r="H233" s="481" t="s">
        <v>3387</v>
      </c>
      <c r="I233" s="481" t="s">
        <v>2764</v>
      </c>
      <c r="J233" s="481" t="s">
        <v>3055</v>
      </c>
      <c r="K233" s="481" t="s">
        <v>3055</v>
      </c>
    </row>
    <row r="234" spans="1:11" ht="67.5">
      <c r="A234" s="481" t="s">
        <v>26</v>
      </c>
      <c r="B234" s="481" t="s">
        <v>4930</v>
      </c>
      <c r="C234" s="479">
        <v>0.61458333333333337</v>
      </c>
      <c r="D234" s="481" t="s">
        <v>4931</v>
      </c>
      <c r="E234" s="520">
        <v>0.5</v>
      </c>
      <c r="F234" s="481" t="s">
        <v>4237</v>
      </c>
      <c r="G234" s="481" t="s">
        <v>3143</v>
      </c>
      <c r="H234" s="481" t="s">
        <v>2753</v>
      </c>
      <c r="I234" s="481" t="s">
        <v>22</v>
      </c>
      <c r="J234" s="481" t="s">
        <v>45</v>
      </c>
      <c r="K234" s="481" t="s">
        <v>4932</v>
      </c>
    </row>
    <row r="235" spans="1:11" ht="45">
      <c r="A235" s="481" t="s">
        <v>26</v>
      </c>
      <c r="B235" s="481" t="s">
        <v>4931</v>
      </c>
      <c r="C235" s="479">
        <v>0.58333333333333337</v>
      </c>
      <c r="D235" s="481" t="s">
        <v>4931</v>
      </c>
      <c r="E235" s="520">
        <v>0.61111111111111105</v>
      </c>
      <c r="F235" s="481" t="s">
        <v>3414</v>
      </c>
      <c r="G235" s="481" t="s">
        <v>124</v>
      </c>
      <c r="H235" s="481" t="s">
        <v>3387</v>
      </c>
      <c r="I235" s="481" t="s">
        <v>2764</v>
      </c>
      <c r="J235" s="481" t="s">
        <v>4933</v>
      </c>
      <c r="K235" s="481" t="s">
        <v>3055</v>
      </c>
    </row>
    <row r="236" spans="1:11" ht="67.5">
      <c r="A236" s="481" t="s">
        <v>26</v>
      </c>
      <c r="B236" s="481" t="s">
        <v>4934</v>
      </c>
      <c r="C236" s="479">
        <v>0.33958333333333335</v>
      </c>
      <c r="D236" s="481" t="s">
        <v>4934</v>
      </c>
      <c r="E236" s="520">
        <v>0.35416666666666669</v>
      </c>
      <c r="F236" s="481" t="s">
        <v>4269</v>
      </c>
      <c r="G236" s="481" t="s">
        <v>4935</v>
      </c>
      <c r="H236" s="481" t="s">
        <v>3411</v>
      </c>
      <c r="I236" s="481" t="s">
        <v>2764</v>
      </c>
      <c r="J236" s="481" t="s">
        <v>4936</v>
      </c>
      <c r="K236" s="481" t="s">
        <v>4937</v>
      </c>
    </row>
    <row r="237" spans="1:11" ht="45">
      <c r="A237" s="481" t="s">
        <v>26</v>
      </c>
      <c r="B237" s="481" t="s">
        <v>4934</v>
      </c>
      <c r="C237" s="479">
        <v>0.34722222222222227</v>
      </c>
      <c r="D237" s="481" t="s">
        <v>4934</v>
      </c>
      <c r="E237" s="520">
        <v>0.44791666666666669</v>
      </c>
      <c r="F237" s="481" t="s">
        <v>3256</v>
      </c>
      <c r="G237" s="481" t="s">
        <v>4903</v>
      </c>
      <c r="H237" s="481" t="s">
        <v>3387</v>
      </c>
      <c r="I237" s="481" t="s">
        <v>2764</v>
      </c>
      <c r="J237" s="481" t="s">
        <v>3055</v>
      </c>
      <c r="K237" s="481" t="s">
        <v>3055</v>
      </c>
    </row>
    <row r="238" spans="1:11" ht="33.75">
      <c r="A238" s="481" t="s">
        <v>26</v>
      </c>
      <c r="B238" s="481" t="s">
        <v>4938</v>
      </c>
      <c r="C238" s="479">
        <v>0.85416666666666663</v>
      </c>
      <c r="D238" s="481" t="s">
        <v>45</v>
      </c>
      <c r="E238" s="520" t="s">
        <v>45</v>
      </c>
      <c r="F238" s="481" t="s">
        <v>4939</v>
      </c>
      <c r="G238" s="481" t="s">
        <v>3143</v>
      </c>
      <c r="H238" s="481" t="s">
        <v>2753</v>
      </c>
      <c r="I238" s="481" t="s">
        <v>22</v>
      </c>
      <c r="J238" s="481" t="s">
        <v>45</v>
      </c>
      <c r="K238" s="481" t="s">
        <v>4940</v>
      </c>
    </row>
    <row r="239" spans="1:11" ht="33.75">
      <c r="A239" s="481" t="s">
        <v>26</v>
      </c>
      <c r="B239" s="481" t="s">
        <v>4941</v>
      </c>
      <c r="C239" s="479">
        <v>0.32916666666666666</v>
      </c>
      <c r="D239" s="481" t="s">
        <v>45</v>
      </c>
      <c r="E239" s="520" t="s">
        <v>45</v>
      </c>
      <c r="F239" s="481" t="s">
        <v>2817</v>
      </c>
      <c r="G239" s="481" t="s">
        <v>124</v>
      </c>
      <c r="H239" s="481" t="s">
        <v>3356</v>
      </c>
      <c r="I239" s="481" t="s">
        <v>100</v>
      </c>
      <c r="J239" s="481" t="s">
        <v>3055</v>
      </c>
      <c r="K239" s="481" t="s">
        <v>3055</v>
      </c>
    </row>
    <row r="240" spans="1:11" ht="45">
      <c r="A240" s="481" t="s">
        <v>26</v>
      </c>
      <c r="B240" s="481" t="s">
        <v>4942</v>
      </c>
      <c r="C240" s="479">
        <v>0.53749999999999998</v>
      </c>
      <c r="D240" s="481" t="s">
        <v>4942</v>
      </c>
      <c r="E240" s="520">
        <v>0.65416666666666667</v>
      </c>
      <c r="F240" s="481" t="s">
        <v>2959</v>
      </c>
      <c r="G240" s="481" t="s">
        <v>61</v>
      </c>
      <c r="H240" s="481" t="s">
        <v>3387</v>
      </c>
      <c r="I240" s="481" t="s">
        <v>2764</v>
      </c>
      <c r="J240" s="481" t="s">
        <v>3055</v>
      </c>
      <c r="K240" s="481" t="s">
        <v>3055</v>
      </c>
    </row>
    <row r="241" spans="1:11" ht="45">
      <c r="A241" s="481" t="s">
        <v>26</v>
      </c>
      <c r="B241" s="481" t="s">
        <v>4943</v>
      </c>
      <c r="C241" s="479">
        <v>0.3347222222222222</v>
      </c>
      <c r="D241" s="481" t="s">
        <v>4943</v>
      </c>
      <c r="E241" s="520">
        <v>0.39861111111111108</v>
      </c>
      <c r="F241" s="481" t="s">
        <v>3554</v>
      </c>
      <c r="G241" s="481" t="s">
        <v>674</v>
      </c>
      <c r="H241" s="481" t="s">
        <v>3387</v>
      </c>
      <c r="I241" s="481" t="s">
        <v>2952</v>
      </c>
      <c r="J241" s="481" t="s">
        <v>3055</v>
      </c>
      <c r="K241" s="481" t="s">
        <v>3055</v>
      </c>
    </row>
    <row r="242" spans="1:11" ht="67.5">
      <c r="A242" s="481" t="s">
        <v>32</v>
      </c>
      <c r="B242" s="481" t="s">
        <v>4944</v>
      </c>
      <c r="C242" s="479">
        <v>0.375</v>
      </c>
      <c r="D242" s="481" t="s">
        <v>4945</v>
      </c>
      <c r="E242" s="520">
        <v>0.375</v>
      </c>
      <c r="F242" s="481" t="s">
        <v>2817</v>
      </c>
      <c r="G242" s="481" t="s">
        <v>124</v>
      </c>
      <c r="H242" s="481" t="s">
        <v>2910</v>
      </c>
      <c r="I242" s="481" t="s">
        <v>100</v>
      </c>
      <c r="J242" s="481" t="s">
        <v>3055</v>
      </c>
      <c r="K242" s="481" t="s">
        <v>3055</v>
      </c>
    </row>
    <row r="243" spans="1:11" ht="67.5">
      <c r="A243" s="481" t="s">
        <v>32</v>
      </c>
      <c r="B243" s="481" t="s">
        <v>4944</v>
      </c>
      <c r="C243" s="479">
        <v>0.98402777777777783</v>
      </c>
      <c r="D243" s="481" t="s">
        <v>4946</v>
      </c>
      <c r="E243" s="520">
        <v>0</v>
      </c>
      <c r="F243" s="481" t="s">
        <v>4947</v>
      </c>
      <c r="G243" s="481" t="s">
        <v>124</v>
      </c>
      <c r="H243" s="481" t="s">
        <v>2839</v>
      </c>
      <c r="I243" s="481" t="s">
        <v>22</v>
      </c>
      <c r="J243" s="481" t="s">
        <v>4948</v>
      </c>
      <c r="K243" s="481" t="s">
        <v>4949</v>
      </c>
    </row>
    <row r="244" spans="1:11" ht="67.5">
      <c r="A244" s="481" t="s">
        <v>32</v>
      </c>
      <c r="B244" s="481" t="s">
        <v>4946</v>
      </c>
      <c r="C244" s="479">
        <v>0.26597222222222222</v>
      </c>
      <c r="D244" s="481" t="s">
        <v>4946</v>
      </c>
      <c r="E244" s="520">
        <v>0.66319444444444442</v>
      </c>
      <c r="F244" s="481" t="s">
        <v>4950</v>
      </c>
      <c r="G244" s="481" t="s">
        <v>1352</v>
      </c>
      <c r="H244" s="481" t="s">
        <v>3411</v>
      </c>
      <c r="I244" s="481" t="s">
        <v>2990</v>
      </c>
      <c r="J244" s="481" t="s">
        <v>4782</v>
      </c>
      <c r="K244" s="481" t="s">
        <v>4634</v>
      </c>
    </row>
    <row r="245" spans="1:11" ht="67.5">
      <c r="A245" s="481" t="s">
        <v>32</v>
      </c>
      <c r="B245" s="481" t="s">
        <v>4946</v>
      </c>
      <c r="C245" s="479">
        <v>1.2499999999999999E-2</v>
      </c>
      <c r="D245" s="481" t="s">
        <v>4946</v>
      </c>
      <c r="E245" s="520">
        <v>0.44930555555555557</v>
      </c>
      <c r="F245" s="481" t="s">
        <v>4950</v>
      </c>
      <c r="G245" s="481" t="s">
        <v>1352</v>
      </c>
      <c r="H245" s="481" t="s">
        <v>3411</v>
      </c>
      <c r="I245" s="481" t="s">
        <v>2990</v>
      </c>
      <c r="J245" s="481" t="s">
        <v>4951</v>
      </c>
      <c r="K245" s="481" t="s">
        <v>4952</v>
      </c>
    </row>
    <row r="246" spans="1:11" ht="78.75">
      <c r="A246" s="481" t="s">
        <v>32</v>
      </c>
      <c r="B246" s="481" t="s">
        <v>4953</v>
      </c>
      <c r="C246" s="479">
        <v>0.2951388888888889</v>
      </c>
      <c r="D246" s="481" t="s">
        <v>4953</v>
      </c>
      <c r="E246" s="520">
        <v>0.31388888888888888</v>
      </c>
      <c r="F246" s="481" t="s">
        <v>4185</v>
      </c>
      <c r="G246" s="481" t="s">
        <v>1352</v>
      </c>
      <c r="H246" s="481" t="s">
        <v>3402</v>
      </c>
      <c r="I246" s="481" t="s">
        <v>2118</v>
      </c>
      <c r="J246" s="481" t="s">
        <v>3055</v>
      </c>
      <c r="K246" s="481" t="s">
        <v>3055</v>
      </c>
    </row>
    <row r="247" spans="1:11" ht="67.5">
      <c r="A247" s="481" t="s">
        <v>32</v>
      </c>
      <c r="B247" s="481" t="s">
        <v>4953</v>
      </c>
      <c r="C247" s="479">
        <v>0.19097222222222221</v>
      </c>
      <c r="D247" s="481" t="s">
        <v>4953</v>
      </c>
      <c r="E247" s="520">
        <v>0.22777777777777777</v>
      </c>
      <c r="F247" s="481" t="s">
        <v>4954</v>
      </c>
      <c r="G247" s="481" t="s">
        <v>124</v>
      </c>
      <c r="H247" s="481" t="s">
        <v>3411</v>
      </c>
      <c r="I247" s="481" t="s">
        <v>2764</v>
      </c>
      <c r="J247" s="481" t="s">
        <v>3497</v>
      </c>
      <c r="K247" s="481" t="s">
        <v>45</v>
      </c>
    </row>
    <row r="248" spans="1:11" ht="360">
      <c r="A248" s="481" t="s">
        <v>32</v>
      </c>
      <c r="B248" s="481" t="s">
        <v>4955</v>
      </c>
      <c r="C248" s="479">
        <v>0.9375</v>
      </c>
      <c r="D248" s="481" t="s">
        <v>4956</v>
      </c>
      <c r="E248" s="520">
        <v>0.69305555555555554</v>
      </c>
      <c r="F248" s="481" t="s">
        <v>4957</v>
      </c>
      <c r="G248" s="481" t="s">
        <v>3143</v>
      </c>
      <c r="H248" s="481" t="s">
        <v>2753</v>
      </c>
      <c r="I248" s="481" t="s">
        <v>22</v>
      </c>
      <c r="J248" s="481" t="s">
        <v>45</v>
      </c>
      <c r="K248" s="481" t="s">
        <v>4958</v>
      </c>
    </row>
    <row r="249" spans="1:11" ht="33.75">
      <c r="A249" s="481" t="s">
        <v>32</v>
      </c>
      <c r="B249" s="481" t="s">
        <v>4955</v>
      </c>
      <c r="C249" s="479">
        <v>0.85416666666666663</v>
      </c>
      <c r="D249" s="481" t="s">
        <v>4959</v>
      </c>
      <c r="E249" s="520">
        <v>0.79166666666666663</v>
      </c>
      <c r="F249" s="481" t="s">
        <v>3461</v>
      </c>
      <c r="G249" s="481" t="s">
        <v>4903</v>
      </c>
      <c r="H249" s="481" t="s">
        <v>2753</v>
      </c>
      <c r="I249" s="481" t="s">
        <v>22</v>
      </c>
      <c r="J249" s="481" t="s">
        <v>45</v>
      </c>
      <c r="K249" s="481" t="s">
        <v>4960</v>
      </c>
    </row>
    <row r="250" spans="1:11" ht="56.25">
      <c r="A250" s="481" t="s">
        <v>32</v>
      </c>
      <c r="B250" s="481" t="s">
        <v>4955</v>
      </c>
      <c r="C250" s="479">
        <v>0.83333333333333337</v>
      </c>
      <c r="D250" s="481" t="s">
        <v>45</v>
      </c>
      <c r="E250" s="520" t="s">
        <v>45</v>
      </c>
      <c r="F250" s="481" t="s">
        <v>4961</v>
      </c>
      <c r="G250" s="481" t="s">
        <v>4903</v>
      </c>
      <c r="H250" s="481" t="s">
        <v>2753</v>
      </c>
      <c r="I250" s="481" t="s">
        <v>22</v>
      </c>
      <c r="J250" s="481" t="s">
        <v>45</v>
      </c>
      <c r="K250" s="481" t="s">
        <v>3664</v>
      </c>
    </row>
    <row r="251" spans="1:11" ht="90">
      <c r="A251" s="481" t="s">
        <v>32</v>
      </c>
      <c r="B251" s="481" t="s">
        <v>4959</v>
      </c>
      <c r="C251" s="479">
        <v>0.64930555555555558</v>
      </c>
      <c r="D251" s="481" t="s">
        <v>45</v>
      </c>
      <c r="E251" s="520" t="s">
        <v>45</v>
      </c>
      <c r="F251" s="481" t="s">
        <v>4962</v>
      </c>
      <c r="G251" s="481" t="s">
        <v>3143</v>
      </c>
      <c r="H251" s="481" t="s">
        <v>2753</v>
      </c>
      <c r="I251" s="481" t="s">
        <v>22</v>
      </c>
      <c r="J251" s="481" t="s">
        <v>45</v>
      </c>
      <c r="K251" s="481" t="s">
        <v>4963</v>
      </c>
    </row>
    <row r="252" spans="1:11" ht="33.75">
      <c r="A252" s="481" t="s">
        <v>32</v>
      </c>
      <c r="B252" s="481" t="s">
        <v>4959</v>
      </c>
      <c r="C252" s="479">
        <v>0.79999999999999993</v>
      </c>
      <c r="D252" s="481" t="s">
        <v>4959</v>
      </c>
      <c r="E252" s="520">
        <v>0.90902777777777777</v>
      </c>
      <c r="F252" s="481" t="s">
        <v>2895</v>
      </c>
      <c r="G252" s="481" t="s">
        <v>3143</v>
      </c>
      <c r="H252" s="481" t="s">
        <v>2753</v>
      </c>
      <c r="I252" s="481" t="s">
        <v>22</v>
      </c>
      <c r="J252" s="481" t="s">
        <v>45</v>
      </c>
      <c r="K252" s="481" t="s">
        <v>4964</v>
      </c>
    </row>
    <row r="253" spans="1:11" ht="33.75">
      <c r="A253" s="481" t="s">
        <v>32</v>
      </c>
      <c r="B253" s="481" t="s">
        <v>4965</v>
      </c>
      <c r="C253" s="479">
        <v>0.7895833333333333</v>
      </c>
      <c r="D253" s="481" t="s">
        <v>4956</v>
      </c>
      <c r="E253" s="520">
        <v>0.25</v>
      </c>
      <c r="F253" s="481" t="s">
        <v>4392</v>
      </c>
      <c r="G253" s="481" t="s">
        <v>4903</v>
      </c>
      <c r="H253" s="481" t="s">
        <v>2753</v>
      </c>
      <c r="I253" s="481" t="s">
        <v>22</v>
      </c>
      <c r="J253" s="481" t="s">
        <v>45</v>
      </c>
      <c r="K253" s="481" t="s">
        <v>4966</v>
      </c>
    </row>
    <row r="254" spans="1:11" ht="45">
      <c r="A254" s="481" t="s">
        <v>32</v>
      </c>
      <c r="B254" s="481" t="s">
        <v>4965</v>
      </c>
      <c r="C254" s="479">
        <v>0.91875000000000007</v>
      </c>
      <c r="D254" s="481" t="s">
        <v>4965</v>
      </c>
      <c r="E254" s="520">
        <v>0.9472222222222223</v>
      </c>
      <c r="F254" s="481" t="s">
        <v>3335</v>
      </c>
      <c r="G254" s="481" t="s">
        <v>61</v>
      </c>
      <c r="H254" s="481" t="s">
        <v>3447</v>
      </c>
      <c r="I254" s="481" t="s">
        <v>2764</v>
      </c>
      <c r="J254" s="481" t="s">
        <v>3055</v>
      </c>
      <c r="K254" s="481" t="s">
        <v>3055</v>
      </c>
    </row>
    <row r="255" spans="1:11" ht="67.5">
      <c r="A255" s="481" t="s">
        <v>32</v>
      </c>
      <c r="B255" s="481" t="s">
        <v>4967</v>
      </c>
      <c r="C255" s="479">
        <v>0.72013888888888899</v>
      </c>
      <c r="D255" s="481" t="s">
        <v>4968</v>
      </c>
      <c r="E255" s="520">
        <v>0.14583333333333334</v>
      </c>
      <c r="F255" s="481" t="s">
        <v>4969</v>
      </c>
      <c r="G255" s="481" t="s">
        <v>124</v>
      </c>
      <c r="H255" s="481" t="s">
        <v>2910</v>
      </c>
      <c r="I255" s="481" t="s">
        <v>2293</v>
      </c>
      <c r="J255" s="481" t="s">
        <v>3055</v>
      </c>
      <c r="K255" s="481" t="s">
        <v>3055</v>
      </c>
    </row>
    <row r="256" spans="1:11" ht="33.75">
      <c r="A256" s="481" t="s">
        <v>32</v>
      </c>
      <c r="B256" s="481" t="s">
        <v>4968</v>
      </c>
      <c r="C256" s="479">
        <v>0.6743055555555556</v>
      </c>
      <c r="D256" s="481" t="s">
        <v>4968</v>
      </c>
      <c r="E256" s="520">
        <v>0.68819444444444444</v>
      </c>
      <c r="F256" s="481" t="s">
        <v>4970</v>
      </c>
      <c r="G256" s="481" t="s">
        <v>124</v>
      </c>
      <c r="H256" s="481" t="s">
        <v>3356</v>
      </c>
      <c r="I256" s="481" t="s">
        <v>100</v>
      </c>
      <c r="J256" s="481" t="s">
        <v>3055</v>
      </c>
      <c r="K256" s="481" t="s">
        <v>3055</v>
      </c>
    </row>
    <row r="257" spans="1:11" ht="112.5">
      <c r="A257" s="481" t="s">
        <v>32</v>
      </c>
      <c r="B257" s="481" t="s">
        <v>4971</v>
      </c>
      <c r="C257" s="479">
        <v>0.80208333333333337</v>
      </c>
      <c r="D257" s="481" t="s">
        <v>4972</v>
      </c>
      <c r="E257" s="520">
        <v>0.73958333333333337</v>
      </c>
      <c r="F257" s="481" t="s">
        <v>4973</v>
      </c>
      <c r="G257" s="481" t="s">
        <v>124</v>
      </c>
      <c r="H257" s="481" t="s">
        <v>2753</v>
      </c>
      <c r="I257" s="481" t="s">
        <v>22</v>
      </c>
      <c r="J257" s="481" t="s">
        <v>4974</v>
      </c>
      <c r="K257" s="481" t="s">
        <v>4975</v>
      </c>
    </row>
    <row r="258" spans="1:11" ht="33.75">
      <c r="A258" s="481" t="s">
        <v>32</v>
      </c>
      <c r="B258" s="481" t="s">
        <v>4971</v>
      </c>
      <c r="C258" s="479">
        <v>0.58333333333333337</v>
      </c>
      <c r="D258" s="481" t="s">
        <v>4972</v>
      </c>
      <c r="E258" s="520">
        <v>0.58333333333333337</v>
      </c>
      <c r="F258" s="481" t="s">
        <v>3357</v>
      </c>
      <c r="G258" s="481" t="s">
        <v>124</v>
      </c>
      <c r="H258" s="481" t="s">
        <v>3356</v>
      </c>
      <c r="I258" s="481" t="s">
        <v>100</v>
      </c>
      <c r="J258" s="481" t="s">
        <v>45</v>
      </c>
      <c r="K258" s="481" t="s">
        <v>3055</v>
      </c>
    </row>
    <row r="259" spans="1:11" ht="45">
      <c r="A259" s="481" t="s">
        <v>32</v>
      </c>
      <c r="B259" s="481" t="s">
        <v>4972</v>
      </c>
      <c r="C259" s="479">
        <v>0.4861111111111111</v>
      </c>
      <c r="D259" s="481" t="s">
        <v>4972</v>
      </c>
      <c r="E259" s="520">
        <v>0.50902777777777775</v>
      </c>
      <c r="F259" s="481" t="s">
        <v>2919</v>
      </c>
      <c r="G259" s="481" t="s">
        <v>1352</v>
      </c>
      <c r="H259" s="481" t="s">
        <v>3387</v>
      </c>
      <c r="I259" s="481" t="s">
        <v>2764</v>
      </c>
      <c r="J259" s="481" t="s">
        <v>3055</v>
      </c>
      <c r="K259" s="481" t="s">
        <v>3055</v>
      </c>
    </row>
    <row r="260" spans="1:11" ht="33.75">
      <c r="A260" s="481" t="s">
        <v>32</v>
      </c>
      <c r="B260" s="481" t="s">
        <v>4976</v>
      </c>
      <c r="C260" s="479">
        <v>0.64930555555555558</v>
      </c>
      <c r="D260" s="481" t="s">
        <v>4976</v>
      </c>
      <c r="E260" s="520">
        <v>0.69097222222222221</v>
      </c>
      <c r="F260" s="481" t="s">
        <v>4166</v>
      </c>
      <c r="G260" s="481" t="s">
        <v>124</v>
      </c>
      <c r="H260" s="481" t="s">
        <v>3356</v>
      </c>
      <c r="I260" s="481" t="s">
        <v>100</v>
      </c>
      <c r="J260" s="481" t="s">
        <v>3055</v>
      </c>
      <c r="K260" s="481" t="s">
        <v>3055</v>
      </c>
    </row>
    <row r="261" spans="1:11" ht="78.75">
      <c r="A261" s="481" t="s">
        <v>32</v>
      </c>
      <c r="B261" s="481" t="s">
        <v>4976</v>
      </c>
      <c r="C261" s="479">
        <v>8.3333333333333329E-2</v>
      </c>
      <c r="D261" s="481" t="s">
        <v>4976</v>
      </c>
      <c r="E261" s="520">
        <v>0.125</v>
      </c>
      <c r="F261" s="481" t="s">
        <v>4977</v>
      </c>
      <c r="G261" s="481" t="s">
        <v>124</v>
      </c>
      <c r="H261" s="481" t="s">
        <v>3402</v>
      </c>
      <c r="I261" s="481" t="s">
        <v>100</v>
      </c>
      <c r="J261" s="481" t="s">
        <v>3055</v>
      </c>
      <c r="K261" s="481" t="s">
        <v>3055</v>
      </c>
    </row>
    <row r="262" spans="1:11" ht="67.5">
      <c r="A262" s="481" t="s">
        <v>32</v>
      </c>
      <c r="B262" s="481" t="s">
        <v>4978</v>
      </c>
      <c r="C262" s="479">
        <v>0.42638888888888887</v>
      </c>
      <c r="D262" s="481" t="s">
        <v>4978</v>
      </c>
      <c r="E262" s="520">
        <v>0.45277777777777778</v>
      </c>
      <c r="F262" s="481" t="s">
        <v>4021</v>
      </c>
      <c r="G262" s="481" t="s">
        <v>124</v>
      </c>
      <c r="H262" s="481" t="s">
        <v>2839</v>
      </c>
      <c r="I262" s="481" t="s">
        <v>22</v>
      </c>
      <c r="J262" s="481" t="s">
        <v>3055</v>
      </c>
      <c r="K262" s="481" t="s">
        <v>4979</v>
      </c>
    </row>
    <row r="263" spans="1:11" ht="33.75">
      <c r="A263" s="481" t="s">
        <v>32</v>
      </c>
      <c r="B263" s="481" t="s">
        <v>4980</v>
      </c>
      <c r="C263" s="479">
        <v>0.50763888888888886</v>
      </c>
      <c r="D263" s="481" t="s">
        <v>4981</v>
      </c>
      <c r="E263" s="520">
        <v>0.6875</v>
      </c>
      <c r="F263" s="481" t="s">
        <v>4982</v>
      </c>
      <c r="G263" s="481" t="s">
        <v>61</v>
      </c>
      <c r="H263" s="481" t="s">
        <v>2753</v>
      </c>
      <c r="I263" s="481" t="s">
        <v>22</v>
      </c>
      <c r="J263" s="481" t="s">
        <v>45</v>
      </c>
      <c r="K263" s="481" t="s">
        <v>4983</v>
      </c>
    </row>
    <row r="264" spans="1:11" ht="67.5">
      <c r="A264" s="481" t="s">
        <v>32</v>
      </c>
      <c r="B264" s="481" t="s">
        <v>4984</v>
      </c>
      <c r="C264" s="479">
        <v>0.90069444444444446</v>
      </c>
      <c r="D264" s="481" t="s">
        <v>45</v>
      </c>
      <c r="E264" s="520" t="s">
        <v>45</v>
      </c>
      <c r="F264" s="481" t="s">
        <v>4985</v>
      </c>
      <c r="G264" s="481" t="s">
        <v>3143</v>
      </c>
      <c r="H264" s="481" t="s">
        <v>2753</v>
      </c>
      <c r="I264" s="481" t="s">
        <v>22</v>
      </c>
      <c r="J264" s="481" t="s">
        <v>45</v>
      </c>
      <c r="K264" s="481" t="s">
        <v>4986</v>
      </c>
    </row>
    <row r="265" spans="1:11" ht="157.5">
      <c r="A265" s="481" t="s">
        <v>32</v>
      </c>
      <c r="B265" s="481" t="s">
        <v>4984</v>
      </c>
      <c r="C265" s="479">
        <v>0.70833333333333337</v>
      </c>
      <c r="D265" s="481" t="s">
        <v>4987</v>
      </c>
      <c r="E265" s="520">
        <v>0.58819444444444446</v>
      </c>
      <c r="F265" s="481" t="s">
        <v>4988</v>
      </c>
      <c r="G265" s="481" t="s">
        <v>3143</v>
      </c>
      <c r="H265" s="481" t="s">
        <v>2753</v>
      </c>
      <c r="I265" s="481" t="s">
        <v>22</v>
      </c>
      <c r="J265" s="481" t="s">
        <v>45</v>
      </c>
      <c r="K265" s="481" t="s">
        <v>4989</v>
      </c>
    </row>
    <row r="266" spans="1:11" ht="78.75">
      <c r="A266" s="481" t="s">
        <v>32</v>
      </c>
      <c r="B266" s="481" t="s">
        <v>4990</v>
      </c>
      <c r="C266" s="479">
        <v>0.26111111111111113</v>
      </c>
      <c r="D266" s="481" t="s">
        <v>4990</v>
      </c>
      <c r="E266" s="520">
        <v>0.42638888888888887</v>
      </c>
      <c r="F266" s="481" t="s">
        <v>4740</v>
      </c>
      <c r="G266" s="481" t="s">
        <v>63</v>
      </c>
      <c r="H266" s="481" t="s">
        <v>3402</v>
      </c>
      <c r="I266" s="481" t="s">
        <v>2118</v>
      </c>
      <c r="J266" s="481" t="s">
        <v>3055</v>
      </c>
      <c r="K266" s="481" t="s">
        <v>3055</v>
      </c>
    </row>
    <row r="267" spans="1:11" ht="33.75">
      <c r="A267" s="481" t="s">
        <v>32</v>
      </c>
      <c r="B267" s="481" t="s">
        <v>4991</v>
      </c>
      <c r="C267" s="479">
        <v>0.47916666666666669</v>
      </c>
      <c r="D267" s="481" t="s">
        <v>45</v>
      </c>
      <c r="E267" s="520" t="s">
        <v>45</v>
      </c>
      <c r="F267" s="481" t="s">
        <v>2866</v>
      </c>
      <c r="G267" s="481" t="s">
        <v>63</v>
      </c>
      <c r="H267" s="481" t="s">
        <v>2753</v>
      </c>
      <c r="I267" s="481" t="s">
        <v>22</v>
      </c>
      <c r="J267" s="481" t="s">
        <v>45</v>
      </c>
      <c r="K267" s="481" t="s">
        <v>45</v>
      </c>
    </row>
    <row r="268" spans="1:11" ht="45">
      <c r="A268" s="481" t="s">
        <v>32</v>
      </c>
      <c r="B268" s="481" t="s">
        <v>4991</v>
      </c>
      <c r="C268" s="479">
        <v>0.75277777777777777</v>
      </c>
      <c r="D268" s="481" t="s">
        <v>4992</v>
      </c>
      <c r="E268" s="520">
        <v>0.94166666666666676</v>
      </c>
      <c r="F268" s="481" t="s">
        <v>4408</v>
      </c>
      <c r="G268" s="481" t="s">
        <v>63</v>
      </c>
      <c r="H268" s="481" t="s">
        <v>4362</v>
      </c>
      <c r="I268" s="481" t="s">
        <v>22</v>
      </c>
      <c r="J268" s="481" t="s">
        <v>45</v>
      </c>
      <c r="K268" s="481" t="s">
        <v>45</v>
      </c>
    </row>
    <row r="269" spans="1:11" ht="33.75">
      <c r="A269" s="481" t="s">
        <v>32</v>
      </c>
      <c r="B269" s="481" t="s">
        <v>4991</v>
      </c>
      <c r="C269" s="479">
        <v>0.75</v>
      </c>
      <c r="D269" s="481" t="s">
        <v>4993</v>
      </c>
      <c r="E269" s="520">
        <v>0.57013888888888886</v>
      </c>
      <c r="F269" s="481" t="s">
        <v>2866</v>
      </c>
      <c r="G269" s="481" t="s">
        <v>63</v>
      </c>
      <c r="H269" s="481" t="s">
        <v>2753</v>
      </c>
      <c r="I269" s="481" t="s">
        <v>22</v>
      </c>
      <c r="J269" s="481" t="s">
        <v>45</v>
      </c>
      <c r="K269" s="481" t="s">
        <v>4994</v>
      </c>
    </row>
    <row r="270" spans="1:11" ht="33.75">
      <c r="A270" s="481" t="s">
        <v>32</v>
      </c>
      <c r="B270" s="481" t="s">
        <v>4991</v>
      </c>
      <c r="C270" s="479">
        <v>0.94374999999999998</v>
      </c>
      <c r="D270" s="481" t="s">
        <v>4993</v>
      </c>
      <c r="E270" s="520">
        <v>0.35972222222222222</v>
      </c>
      <c r="F270" s="481" t="s">
        <v>2866</v>
      </c>
      <c r="G270" s="481" t="s">
        <v>63</v>
      </c>
      <c r="H270" s="481" t="s">
        <v>2753</v>
      </c>
      <c r="I270" s="481" t="s">
        <v>22</v>
      </c>
      <c r="J270" s="481" t="s">
        <v>45</v>
      </c>
      <c r="K270" s="481" t="s">
        <v>3240</v>
      </c>
    </row>
    <row r="271" spans="1:11" ht="67.5">
      <c r="A271" s="481" t="s">
        <v>32</v>
      </c>
      <c r="B271" s="481" t="s">
        <v>4991</v>
      </c>
      <c r="C271" s="479">
        <v>0.85069444444444453</v>
      </c>
      <c r="D271" s="481" t="s">
        <v>45</v>
      </c>
      <c r="E271" s="520" t="s">
        <v>45</v>
      </c>
      <c r="F271" s="481" t="s">
        <v>2868</v>
      </c>
      <c r="G271" s="481" t="s">
        <v>61</v>
      </c>
      <c r="H271" s="481" t="s">
        <v>3411</v>
      </c>
      <c r="I271" s="481" t="s">
        <v>2483</v>
      </c>
      <c r="J271" s="481" t="s">
        <v>4995</v>
      </c>
      <c r="K271" s="481" t="s">
        <v>3055</v>
      </c>
    </row>
    <row r="272" spans="1:11" ht="67.5">
      <c r="A272" s="481" t="s">
        <v>32</v>
      </c>
      <c r="B272" s="481" t="s">
        <v>4991</v>
      </c>
      <c r="C272" s="479">
        <v>0.3972222222222222</v>
      </c>
      <c r="D272" s="481" t="s">
        <v>4991</v>
      </c>
      <c r="E272" s="520">
        <v>0.89722222222222225</v>
      </c>
      <c r="F272" s="481" t="s">
        <v>4996</v>
      </c>
      <c r="G272" s="481" t="s">
        <v>63</v>
      </c>
      <c r="H272" s="481" t="s">
        <v>3411</v>
      </c>
      <c r="I272" s="481" t="s">
        <v>2483</v>
      </c>
      <c r="J272" s="481" t="s">
        <v>45</v>
      </c>
      <c r="K272" s="481" t="s">
        <v>45</v>
      </c>
    </row>
    <row r="273" spans="1:11" ht="67.5">
      <c r="A273" s="481" t="s">
        <v>32</v>
      </c>
      <c r="B273" s="481" t="s">
        <v>4991</v>
      </c>
      <c r="C273" s="479">
        <v>0.74513888888888891</v>
      </c>
      <c r="D273" s="481" t="s">
        <v>45</v>
      </c>
      <c r="E273" s="520" t="s">
        <v>45</v>
      </c>
      <c r="F273" s="481" t="s">
        <v>2866</v>
      </c>
      <c r="G273" s="481" t="s">
        <v>63</v>
      </c>
      <c r="H273" s="481" t="s">
        <v>2839</v>
      </c>
      <c r="I273" s="481" t="s">
        <v>22</v>
      </c>
      <c r="J273" s="481" t="s">
        <v>45</v>
      </c>
      <c r="K273" s="481" t="s">
        <v>45</v>
      </c>
    </row>
    <row r="274" spans="1:11" ht="33.75">
      <c r="A274" s="481" t="s">
        <v>32</v>
      </c>
      <c r="B274" s="481" t="s">
        <v>4997</v>
      </c>
      <c r="C274" s="479">
        <v>0.88680555555555562</v>
      </c>
      <c r="D274" s="481" t="s">
        <v>4998</v>
      </c>
      <c r="E274" s="520">
        <v>0.6381944444444444</v>
      </c>
      <c r="F274" s="481" t="s">
        <v>3575</v>
      </c>
      <c r="G274" s="481" t="s">
        <v>63</v>
      </c>
      <c r="H274" s="481" t="s">
        <v>3356</v>
      </c>
      <c r="I274" s="481" t="s">
        <v>2293</v>
      </c>
      <c r="J274" s="481" t="s">
        <v>3055</v>
      </c>
      <c r="K274" s="481" t="s">
        <v>3055</v>
      </c>
    </row>
    <row r="275" spans="1:11" ht="67.5">
      <c r="A275" s="481" t="s">
        <v>219</v>
      </c>
      <c r="B275" s="481" t="s">
        <v>4998</v>
      </c>
      <c r="C275" s="479">
        <v>0.26527777777777778</v>
      </c>
      <c r="D275" s="481" t="s">
        <v>4998</v>
      </c>
      <c r="E275" s="520">
        <v>0.66388888888888886</v>
      </c>
      <c r="F275" s="481" t="s">
        <v>4035</v>
      </c>
      <c r="G275" s="481" t="s">
        <v>124</v>
      </c>
      <c r="H275" s="481" t="s">
        <v>2910</v>
      </c>
      <c r="I275" s="481" t="s">
        <v>100</v>
      </c>
      <c r="J275" s="481" t="s">
        <v>3055</v>
      </c>
      <c r="K275" s="481" t="s">
        <v>3055</v>
      </c>
    </row>
    <row r="276" spans="1:11" ht="67.5">
      <c r="A276" s="481" t="s">
        <v>219</v>
      </c>
      <c r="B276" s="481" t="s">
        <v>4998</v>
      </c>
      <c r="C276" s="479">
        <v>0.72916666666666663</v>
      </c>
      <c r="D276" s="481" t="s">
        <v>4999</v>
      </c>
      <c r="E276" s="520">
        <v>8.3333333333333329E-2</v>
      </c>
      <c r="F276" s="481" t="s">
        <v>4237</v>
      </c>
      <c r="G276" s="481" t="s">
        <v>3143</v>
      </c>
      <c r="H276" s="481" t="s">
        <v>2753</v>
      </c>
      <c r="I276" s="481" t="s">
        <v>22</v>
      </c>
      <c r="J276" s="481" t="s">
        <v>45</v>
      </c>
      <c r="K276" s="481" t="s">
        <v>5000</v>
      </c>
    </row>
    <row r="277" spans="1:11" ht="78.75">
      <c r="A277" s="481" t="s">
        <v>219</v>
      </c>
      <c r="B277" s="481" t="s">
        <v>4999</v>
      </c>
      <c r="C277" s="479">
        <v>0.58819444444444446</v>
      </c>
      <c r="D277" s="481" t="s">
        <v>4999</v>
      </c>
      <c r="E277" s="520">
        <v>0.59027777777777779</v>
      </c>
      <c r="F277" s="481" t="s">
        <v>2797</v>
      </c>
      <c r="G277" s="481" t="s">
        <v>1352</v>
      </c>
      <c r="H277" s="481" t="s">
        <v>3402</v>
      </c>
      <c r="I277" s="481" t="s">
        <v>2118</v>
      </c>
      <c r="J277" s="481" t="s">
        <v>3055</v>
      </c>
      <c r="K277" s="481" t="s">
        <v>3055</v>
      </c>
    </row>
    <row r="278" spans="1:11" ht="67.5">
      <c r="A278" s="481" t="s">
        <v>219</v>
      </c>
      <c r="B278" s="481" t="s">
        <v>5001</v>
      </c>
      <c r="C278" s="479">
        <v>0.72916666666666663</v>
      </c>
      <c r="D278" s="481" t="s">
        <v>5002</v>
      </c>
      <c r="E278" s="520">
        <v>0.375</v>
      </c>
      <c r="F278" s="481" t="s">
        <v>5003</v>
      </c>
      <c r="G278" s="481" t="s">
        <v>3143</v>
      </c>
      <c r="H278" s="481" t="s">
        <v>2753</v>
      </c>
      <c r="I278" s="481" t="s">
        <v>22</v>
      </c>
      <c r="J278" s="481" t="s">
        <v>45</v>
      </c>
      <c r="K278" s="481" t="s">
        <v>5004</v>
      </c>
    </row>
    <row r="279" spans="1:11" ht="33.75">
      <c r="A279" s="481" t="s">
        <v>219</v>
      </c>
      <c r="B279" s="481" t="s">
        <v>5001</v>
      </c>
      <c r="C279" s="479">
        <v>0.83333333333333337</v>
      </c>
      <c r="D279" s="481" t="s">
        <v>5002</v>
      </c>
      <c r="E279" s="520">
        <v>0.29166666666666669</v>
      </c>
      <c r="F279" s="481" t="s">
        <v>3528</v>
      </c>
      <c r="G279" s="481" t="s">
        <v>3143</v>
      </c>
      <c r="H279" s="481" t="s">
        <v>2753</v>
      </c>
      <c r="I279" s="481" t="s">
        <v>22</v>
      </c>
      <c r="J279" s="481" t="s">
        <v>45</v>
      </c>
      <c r="K279" s="481" t="s">
        <v>3237</v>
      </c>
    </row>
    <row r="280" spans="1:11" ht="67.5">
      <c r="A280" s="481" t="s">
        <v>219</v>
      </c>
      <c r="B280" s="481" t="s">
        <v>5005</v>
      </c>
      <c r="C280" s="479">
        <v>0.51041666666666663</v>
      </c>
      <c r="D280" s="481" t="s">
        <v>5005</v>
      </c>
      <c r="E280" s="520">
        <v>0.52638888888888891</v>
      </c>
      <c r="F280" s="481" t="s">
        <v>5006</v>
      </c>
      <c r="G280" s="481" t="s">
        <v>674</v>
      </c>
      <c r="H280" s="481" t="s">
        <v>3411</v>
      </c>
      <c r="I280" s="481" t="s">
        <v>2483</v>
      </c>
      <c r="J280" s="481" t="s">
        <v>5007</v>
      </c>
      <c r="K280" s="481" t="s">
        <v>3081</v>
      </c>
    </row>
    <row r="281" spans="1:11" ht="33.75">
      <c r="A281" s="481" t="s">
        <v>219</v>
      </c>
      <c r="B281" s="481" t="s">
        <v>5002</v>
      </c>
      <c r="C281" s="479">
        <v>0.66666666666666663</v>
      </c>
      <c r="D281" s="481" t="s">
        <v>5002</v>
      </c>
      <c r="E281" s="520">
        <v>0.72916666666666663</v>
      </c>
      <c r="F281" s="481" t="s">
        <v>2945</v>
      </c>
      <c r="G281" s="481" t="s">
        <v>124</v>
      </c>
      <c r="H281" s="481" t="s">
        <v>3356</v>
      </c>
      <c r="I281" s="481" t="s">
        <v>100</v>
      </c>
      <c r="J281" s="481" t="s">
        <v>3055</v>
      </c>
      <c r="K281" s="481" t="s">
        <v>3055</v>
      </c>
    </row>
    <row r="282" spans="1:11" ht="45">
      <c r="A282" s="481" t="s">
        <v>219</v>
      </c>
      <c r="B282" s="481" t="s">
        <v>5002</v>
      </c>
      <c r="C282" s="479">
        <v>0.70833333333333337</v>
      </c>
      <c r="D282" s="481" t="s">
        <v>5002</v>
      </c>
      <c r="E282" s="520">
        <v>0.83333333333333337</v>
      </c>
      <c r="F282" s="481" t="s">
        <v>4133</v>
      </c>
      <c r="G282" s="481" t="s">
        <v>124</v>
      </c>
      <c r="H282" s="481" t="s">
        <v>3415</v>
      </c>
      <c r="I282" s="481" t="s">
        <v>2764</v>
      </c>
      <c r="J282" s="481" t="s">
        <v>4012</v>
      </c>
      <c r="K282" s="481" t="s">
        <v>4922</v>
      </c>
    </row>
    <row r="283" spans="1:11" ht="67.5">
      <c r="A283" s="481" t="s">
        <v>219</v>
      </c>
      <c r="B283" s="481" t="s">
        <v>5008</v>
      </c>
      <c r="C283" s="479">
        <v>0.47013888888888888</v>
      </c>
      <c r="D283" s="481" t="s">
        <v>5008</v>
      </c>
      <c r="E283" s="520">
        <v>0.47152777777777777</v>
      </c>
      <c r="F283" s="481" t="s">
        <v>5009</v>
      </c>
      <c r="G283" s="481" t="s">
        <v>674</v>
      </c>
      <c r="H283" s="481" t="s">
        <v>3411</v>
      </c>
      <c r="I283" s="481" t="s">
        <v>2483</v>
      </c>
      <c r="J283" s="481" t="s">
        <v>4642</v>
      </c>
      <c r="K283" s="481" t="s">
        <v>3081</v>
      </c>
    </row>
    <row r="284" spans="1:11" ht="33.75">
      <c r="A284" s="481" t="s">
        <v>219</v>
      </c>
      <c r="B284" s="481" t="s">
        <v>5008</v>
      </c>
      <c r="C284" s="479">
        <v>0.58680555555555558</v>
      </c>
      <c r="D284" s="481" t="s">
        <v>45</v>
      </c>
      <c r="E284" s="520" t="s">
        <v>45</v>
      </c>
      <c r="F284" s="481" t="s">
        <v>5010</v>
      </c>
      <c r="G284" s="481" t="s">
        <v>674</v>
      </c>
      <c r="H284" s="481" t="s">
        <v>3356</v>
      </c>
      <c r="I284" s="481" t="s">
        <v>100</v>
      </c>
      <c r="J284" s="481" t="s">
        <v>3055</v>
      </c>
      <c r="K284" s="481" t="s">
        <v>3055</v>
      </c>
    </row>
    <row r="285" spans="1:11" ht="33.75">
      <c r="A285" s="481" t="s">
        <v>219</v>
      </c>
      <c r="B285" s="481" t="s">
        <v>5008</v>
      </c>
      <c r="C285" s="479">
        <v>0.30555555555555552</v>
      </c>
      <c r="D285" s="481" t="s">
        <v>5008</v>
      </c>
      <c r="E285" s="520">
        <v>0.37847222222222227</v>
      </c>
      <c r="F285" s="481" t="s">
        <v>2945</v>
      </c>
      <c r="G285" s="481" t="s">
        <v>124</v>
      </c>
      <c r="H285" s="481" t="s">
        <v>2753</v>
      </c>
      <c r="I285" s="481" t="s">
        <v>22</v>
      </c>
      <c r="J285" s="481" t="s">
        <v>4384</v>
      </c>
      <c r="K285" s="481" t="s">
        <v>5011</v>
      </c>
    </row>
    <row r="286" spans="1:11" ht="67.5">
      <c r="A286" s="481" t="s">
        <v>219</v>
      </c>
      <c r="B286" s="481" t="s">
        <v>5008</v>
      </c>
      <c r="C286" s="479">
        <v>7.9861111111111105E-2</v>
      </c>
      <c r="D286" s="481" t="s">
        <v>5008</v>
      </c>
      <c r="E286" s="520">
        <v>8.6111111111111124E-2</v>
      </c>
      <c r="F286" s="481" t="s">
        <v>5012</v>
      </c>
      <c r="G286" s="481" t="s">
        <v>63</v>
      </c>
      <c r="H286" s="481" t="s">
        <v>3411</v>
      </c>
      <c r="I286" s="481" t="s">
        <v>22</v>
      </c>
      <c r="J286" s="481" t="s">
        <v>4100</v>
      </c>
      <c r="K286" s="481" t="s">
        <v>45</v>
      </c>
    </row>
    <row r="287" spans="1:11" ht="67.5">
      <c r="A287" s="481" t="s">
        <v>219</v>
      </c>
      <c r="B287" s="481" t="s">
        <v>5013</v>
      </c>
      <c r="C287" s="479">
        <v>0.35555555555555557</v>
      </c>
      <c r="D287" s="481" t="s">
        <v>45</v>
      </c>
      <c r="E287" s="520" t="s">
        <v>45</v>
      </c>
      <c r="F287" s="481" t="s">
        <v>5014</v>
      </c>
      <c r="G287" s="481" t="s">
        <v>5015</v>
      </c>
      <c r="H287" s="481" t="s">
        <v>2910</v>
      </c>
      <c r="I287" s="481" t="s">
        <v>2293</v>
      </c>
      <c r="J287" s="481" t="s">
        <v>3055</v>
      </c>
      <c r="K287" s="481" t="s">
        <v>3055</v>
      </c>
    </row>
    <row r="288" spans="1:11" ht="67.5">
      <c r="A288" s="481" t="s">
        <v>219</v>
      </c>
      <c r="B288" s="481" t="s">
        <v>5016</v>
      </c>
      <c r="C288" s="479">
        <v>0.51250000000000007</v>
      </c>
      <c r="D288" s="481" t="s">
        <v>5016</v>
      </c>
      <c r="E288" s="520">
        <v>0.55208333333333337</v>
      </c>
      <c r="F288" s="481" t="s">
        <v>5017</v>
      </c>
      <c r="G288" s="481" t="s">
        <v>124</v>
      </c>
      <c r="H288" s="481" t="s">
        <v>3411</v>
      </c>
      <c r="I288" s="481" t="s">
        <v>2483</v>
      </c>
      <c r="J288" s="481" t="s">
        <v>3055</v>
      </c>
      <c r="K288" s="481" t="s">
        <v>3055</v>
      </c>
    </row>
    <row r="289" spans="1:11" ht="33.75">
      <c r="A289" s="481" t="s">
        <v>219</v>
      </c>
      <c r="B289" s="481" t="s">
        <v>5016</v>
      </c>
      <c r="C289" s="479">
        <v>0.99930555555555556</v>
      </c>
      <c r="D289" s="481" t="s">
        <v>45</v>
      </c>
      <c r="E289" s="520" t="s">
        <v>45</v>
      </c>
      <c r="F289" s="481" t="s">
        <v>2809</v>
      </c>
      <c r="G289" s="481" t="s">
        <v>1352</v>
      </c>
      <c r="H289" s="481" t="s">
        <v>2753</v>
      </c>
      <c r="I289" s="481" t="s">
        <v>22</v>
      </c>
      <c r="J289" s="481" t="s">
        <v>45</v>
      </c>
      <c r="K289" s="481" t="s">
        <v>5018</v>
      </c>
    </row>
    <row r="290" spans="1:11" ht="33.75">
      <c r="A290" s="481" t="s">
        <v>219</v>
      </c>
      <c r="B290" s="481" t="s">
        <v>5016</v>
      </c>
      <c r="C290" s="479">
        <v>0.54861111111111105</v>
      </c>
      <c r="D290" s="481" t="s">
        <v>45</v>
      </c>
      <c r="E290" s="520" t="s">
        <v>45</v>
      </c>
      <c r="F290" s="481" t="s">
        <v>3197</v>
      </c>
      <c r="G290" s="481" t="s">
        <v>1352</v>
      </c>
      <c r="H290" s="481" t="s">
        <v>3356</v>
      </c>
      <c r="I290" s="481" t="s">
        <v>2483</v>
      </c>
      <c r="J290" s="481" t="s">
        <v>3055</v>
      </c>
      <c r="K290" s="481" t="s">
        <v>3055</v>
      </c>
    </row>
    <row r="291" spans="1:11" ht="33.75">
      <c r="A291" s="481" t="s">
        <v>219</v>
      </c>
      <c r="B291" s="481" t="s">
        <v>5016</v>
      </c>
      <c r="C291" s="479">
        <v>0.75</v>
      </c>
      <c r="D291" s="481" t="s">
        <v>5019</v>
      </c>
      <c r="E291" s="520">
        <v>3.4027777777777775E-2</v>
      </c>
      <c r="F291" s="481" t="s">
        <v>2809</v>
      </c>
      <c r="G291" s="481" t="s">
        <v>1352</v>
      </c>
      <c r="H291" s="481" t="s">
        <v>2753</v>
      </c>
      <c r="I291" s="481" t="s">
        <v>22</v>
      </c>
      <c r="J291" s="481" t="s">
        <v>45</v>
      </c>
      <c r="K291" s="481" t="s">
        <v>5020</v>
      </c>
    </row>
    <row r="292" spans="1:11" ht="33.75">
      <c r="A292" s="481" t="s">
        <v>219</v>
      </c>
      <c r="B292" s="481" t="s">
        <v>5019</v>
      </c>
      <c r="C292" s="479">
        <v>2.4305555555555556E-2</v>
      </c>
      <c r="D292" s="481" t="s">
        <v>5021</v>
      </c>
      <c r="E292" s="520">
        <v>0.80555555555555547</v>
      </c>
      <c r="F292" s="481" t="s">
        <v>2809</v>
      </c>
      <c r="G292" s="481" t="s">
        <v>1352</v>
      </c>
      <c r="H292" s="481" t="s">
        <v>2753</v>
      </c>
      <c r="I292" s="481" t="s">
        <v>22</v>
      </c>
      <c r="J292" s="481" t="s">
        <v>5022</v>
      </c>
      <c r="K292" s="481" t="s">
        <v>5023</v>
      </c>
    </row>
    <row r="293" spans="1:11" ht="67.5">
      <c r="A293" s="481" t="s">
        <v>219</v>
      </c>
      <c r="B293" s="481" t="s">
        <v>5019</v>
      </c>
      <c r="C293" s="479">
        <v>0.31666666666666665</v>
      </c>
      <c r="D293" s="481" t="s">
        <v>5024</v>
      </c>
      <c r="E293" s="520">
        <v>7.4999999999999997E-2</v>
      </c>
      <c r="F293" s="481" t="s">
        <v>2919</v>
      </c>
      <c r="G293" s="481" t="s">
        <v>1352</v>
      </c>
      <c r="H293" s="481" t="s">
        <v>2839</v>
      </c>
      <c r="I293" s="481" t="s">
        <v>22</v>
      </c>
      <c r="J293" s="481" t="s">
        <v>3055</v>
      </c>
      <c r="K293" s="481" t="s">
        <v>45</v>
      </c>
    </row>
    <row r="294" spans="1:11" ht="67.5">
      <c r="A294" s="481" t="s">
        <v>219</v>
      </c>
      <c r="B294" s="481" t="s">
        <v>5019</v>
      </c>
      <c r="C294" s="479">
        <v>0.32777777777777778</v>
      </c>
      <c r="D294" s="481" t="s">
        <v>5019</v>
      </c>
      <c r="E294" s="520">
        <v>0.9472222222222223</v>
      </c>
      <c r="F294" s="481" t="s">
        <v>2919</v>
      </c>
      <c r="G294" s="481" t="s">
        <v>1352</v>
      </c>
      <c r="H294" s="481" t="s">
        <v>2839</v>
      </c>
      <c r="I294" s="481" t="s">
        <v>22</v>
      </c>
      <c r="J294" s="481" t="s">
        <v>3055</v>
      </c>
      <c r="K294" s="481" t="s">
        <v>45</v>
      </c>
    </row>
    <row r="295" spans="1:11" ht="45">
      <c r="A295" s="481" t="s">
        <v>219</v>
      </c>
      <c r="B295" s="481" t="s">
        <v>5024</v>
      </c>
      <c r="C295" s="479">
        <v>0.9458333333333333</v>
      </c>
      <c r="D295" s="481" t="s">
        <v>5025</v>
      </c>
      <c r="E295" s="520">
        <v>2.5694444444444447E-2</v>
      </c>
      <c r="F295" s="481" t="s">
        <v>4592</v>
      </c>
      <c r="G295" s="481" t="s">
        <v>5026</v>
      </c>
      <c r="H295" s="481" t="s">
        <v>3447</v>
      </c>
      <c r="I295" s="481" t="s">
        <v>2764</v>
      </c>
      <c r="J295" s="481" t="s">
        <v>3055</v>
      </c>
      <c r="K295" s="481" t="s">
        <v>3055</v>
      </c>
    </row>
    <row r="296" spans="1:11" ht="67.5">
      <c r="A296" s="481" t="s">
        <v>219</v>
      </c>
      <c r="B296" s="481" t="s">
        <v>5025</v>
      </c>
      <c r="C296" s="479">
        <v>0.61736111111111114</v>
      </c>
      <c r="D296" s="481" t="s">
        <v>5025</v>
      </c>
      <c r="E296" s="520">
        <v>0.83472222222222225</v>
      </c>
      <c r="F296" s="481" t="s">
        <v>3693</v>
      </c>
      <c r="G296" s="481" t="s">
        <v>4918</v>
      </c>
      <c r="H296" s="481" t="s">
        <v>3411</v>
      </c>
      <c r="I296" s="481" t="s">
        <v>2483</v>
      </c>
      <c r="J296" s="481" t="s">
        <v>3093</v>
      </c>
      <c r="K296" s="481" t="s">
        <v>5027</v>
      </c>
    </row>
    <row r="297" spans="1:11" ht="67.5">
      <c r="A297" s="481" t="s">
        <v>219</v>
      </c>
      <c r="B297" s="481" t="s">
        <v>5025</v>
      </c>
      <c r="C297" s="479">
        <v>0.61736111111111114</v>
      </c>
      <c r="D297" s="481" t="s">
        <v>5025</v>
      </c>
      <c r="E297" s="520">
        <v>0.83472222222222225</v>
      </c>
      <c r="F297" s="481" t="s">
        <v>3693</v>
      </c>
      <c r="G297" s="481" t="s">
        <v>4918</v>
      </c>
      <c r="H297" s="481" t="s">
        <v>3411</v>
      </c>
      <c r="I297" s="481" t="s">
        <v>2483</v>
      </c>
      <c r="J297" s="481" t="s">
        <v>3093</v>
      </c>
      <c r="K297" s="481" t="s">
        <v>5027</v>
      </c>
    </row>
    <row r="298" spans="1:11" ht="33.75">
      <c r="A298" s="481" t="s">
        <v>219</v>
      </c>
      <c r="B298" s="481" t="s">
        <v>5028</v>
      </c>
      <c r="C298" s="479">
        <v>0.95833333333333337</v>
      </c>
      <c r="D298" s="481" t="s">
        <v>5029</v>
      </c>
      <c r="E298" s="520">
        <v>0.5</v>
      </c>
      <c r="F298" s="481" t="s">
        <v>5030</v>
      </c>
      <c r="G298" s="481" t="s">
        <v>124</v>
      </c>
      <c r="H298" s="481" t="s">
        <v>2753</v>
      </c>
      <c r="I298" s="481" t="s">
        <v>2990</v>
      </c>
      <c r="J298" s="481" t="s">
        <v>45</v>
      </c>
      <c r="K298" s="481" t="s">
        <v>4113</v>
      </c>
    </row>
    <row r="299" spans="1:11" ht="78.75">
      <c r="A299" s="481" t="s">
        <v>219</v>
      </c>
      <c r="B299" s="481" t="s">
        <v>5028</v>
      </c>
      <c r="C299" s="479">
        <v>0.15972222222222224</v>
      </c>
      <c r="D299" s="481" t="s">
        <v>5021</v>
      </c>
      <c r="E299" s="520">
        <v>0.17222222222222225</v>
      </c>
      <c r="F299" s="481" t="s">
        <v>3561</v>
      </c>
      <c r="G299" s="481" t="s">
        <v>3143</v>
      </c>
      <c r="H299" s="481" t="s">
        <v>3402</v>
      </c>
      <c r="I299" s="481" t="s">
        <v>2118</v>
      </c>
      <c r="J299" s="481" t="s">
        <v>3055</v>
      </c>
      <c r="K299" s="481" t="s">
        <v>3055</v>
      </c>
    </row>
    <row r="300" spans="1:11" ht="33.75">
      <c r="A300" s="481" t="s">
        <v>219</v>
      </c>
      <c r="B300" s="481" t="s">
        <v>5028</v>
      </c>
      <c r="C300" s="479">
        <v>0.125</v>
      </c>
      <c r="D300" s="481" t="s">
        <v>5021</v>
      </c>
      <c r="E300" s="520">
        <v>0.91666666666666663</v>
      </c>
      <c r="F300" s="481" t="s">
        <v>3738</v>
      </c>
      <c r="G300" s="481" t="s">
        <v>674</v>
      </c>
      <c r="H300" s="481" t="s">
        <v>2753</v>
      </c>
      <c r="I300" s="481" t="s">
        <v>22</v>
      </c>
      <c r="J300" s="481" t="s">
        <v>45</v>
      </c>
      <c r="K300" s="481" t="s">
        <v>3075</v>
      </c>
    </row>
    <row r="301" spans="1:11" ht="78.75">
      <c r="A301" s="481" t="s">
        <v>219</v>
      </c>
      <c r="B301" s="481" t="s">
        <v>5021</v>
      </c>
      <c r="C301" s="479">
        <v>0.1875</v>
      </c>
      <c r="D301" s="481" t="s">
        <v>5021</v>
      </c>
      <c r="E301" s="520">
        <v>0.25</v>
      </c>
      <c r="F301" s="481" t="s">
        <v>4774</v>
      </c>
      <c r="G301" s="481" t="s">
        <v>3143</v>
      </c>
      <c r="H301" s="481" t="s">
        <v>3402</v>
      </c>
      <c r="I301" s="481" t="s">
        <v>2118</v>
      </c>
      <c r="J301" s="481" t="s">
        <v>3055</v>
      </c>
      <c r="K301" s="481" t="s">
        <v>3055</v>
      </c>
    </row>
    <row r="302" spans="1:11" ht="112.5">
      <c r="A302" s="481" t="s">
        <v>219</v>
      </c>
      <c r="B302" s="481" t="s">
        <v>5031</v>
      </c>
      <c r="C302" s="479">
        <v>0.72013888888888899</v>
      </c>
      <c r="D302" s="481" t="s">
        <v>45</v>
      </c>
      <c r="E302" s="520" t="s">
        <v>45</v>
      </c>
      <c r="F302" s="481" t="s">
        <v>5032</v>
      </c>
      <c r="G302" s="481" t="s">
        <v>3143</v>
      </c>
      <c r="H302" s="481" t="s">
        <v>2753</v>
      </c>
      <c r="I302" s="481" t="s">
        <v>22</v>
      </c>
      <c r="J302" s="481" t="s">
        <v>45</v>
      </c>
      <c r="K302" s="481" t="s">
        <v>5033</v>
      </c>
    </row>
    <row r="303" spans="1:11" ht="33.75">
      <c r="A303" s="481" t="s">
        <v>219</v>
      </c>
      <c r="B303" s="481" t="s">
        <v>5031</v>
      </c>
      <c r="C303" s="479">
        <v>0.39999999999999997</v>
      </c>
      <c r="D303" s="481" t="s">
        <v>5034</v>
      </c>
      <c r="E303" s="520">
        <v>0.48958333333333331</v>
      </c>
      <c r="F303" s="481" t="s">
        <v>2967</v>
      </c>
      <c r="G303" s="481" t="s">
        <v>124</v>
      </c>
      <c r="H303" s="481" t="s">
        <v>3356</v>
      </c>
      <c r="I303" s="481" t="s">
        <v>100</v>
      </c>
      <c r="J303" s="481" t="s">
        <v>3081</v>
      </c>
      <c r="K303" s="481" t="s">
        <v>3055</v>
      </c>
    </row>
    <row r="304" spans="1:11" ht="67.5">
      <c r="A304" s="481" t="s">
        <v>219</v>
      </c>
      <c r="B304" s="481" t="s">
        <v>5035</v>
      </c>
      <c r="C304" s="479">
        <v>0.57222222222222219</v>
      </c>
      <c r="D304" s="481" t="s">
        <v>5035</v>
      </c>
      <c r="E304" s="520">
        <v>0.5805555555555556</v>
      </c>
      <c r="F304" s="481" t="s">
        <v>5036</v>
      </c>
      <c r="G304" s="481" t="s">
        <v>63</v>
      </c>
      <c r="H304" s="481" t="s">
        <v>2839</v>
      </c>
      <c r="I304" s="481" t="s">
        <v>2483</v>
      </c>
      <c r="J304" s="481" t="s">
        <v>3787</v>
      </c>
      <c r="K304" s="481" t="s">
        <v>5037</v>
      </c>
    </row>
    <row r="305" spans="1:11" ht="45">
      <c r="A305" s="481" t="s">
        <v>219</v>
      </c>
      <c r="B305" s="481" t="s">
        <v>5038</v>
      </c>
      <c r="C305" s="479">
        <v>0.4916666666666667</v>
      </c>
      <c r="D305" s="481" t="s">
        <v>5038</v>
      </c>
      <c r="E305" s="520">
        <v>0.51458333333333328</v>
      </c>
      <c r="F305" s="481" t="s">
        <v>4590</v>
      </c>
      <c r="G305" s="481" t="s">
        <v>4918</v>
      </c>
      <c r="H305" s="481" t="s">
        <v>3387</v>
      </c>
      <c r="I305" s="481" t="s">
        <v>2764</v>
      </c>
      <c r="J305" s="481" t="s">
        <v>3751</v>
      </c>
      <c r="K305" s="481" t="s">
        <v>3055</v>
      </c>
    </row>
    <row r="306" spans="1:11" ht="78.75">
      <c r="A306" s="481" t="s">
        <v>35</v>
      </c>
      <c r="B306" s="481" t="s">
        <v>5039</v>
      </c>
      <c r="C306" s="479">
        <v>0.44444444444444442</v>
      </c>
      <c r="D306" s="481" t="s">
        <v>5039</v>
      </c>
      <c r="E306" s="520">
        <v>0.49583333333333335</v>
      </c>
      <c r="F306" s="481" t="s">
        <v>4185</v>
      </c>
      <c r="G306" s="481" t="s">
        <v>1352</v>
      </c>
      <c r="H306" s="481" t="s">
        <v>3402</v>
      </c>
      <c r="I306" s="481" t="s">
        <v>2118</v>
      </c>
      <c r="J306" s="481" t="s">
        <v>3055</v>
      </c>
      <c r="K306" s="481" t="s">
        <v>3055</v>
      </c>
    </row>
    <row r="307" spans="1:11" ht="33.75">
      <c r="A307" s="481" t="s">
        <v>35</v>
      </c>
      <c r="B307" s="481" t="s">
        <v>5040</v>
      </c>
      <c r="C307" s="479">
        <v>0.29166666666666669</v>
      </c>
      <c r="D307" s="481" t="s">
        <v>5040</v>
      </c>
      <c r="E307" s="520">
        <v>0.33333333333333331</v>
      </c>
      <c r="F307" s="481" t="s">
        <v>5041</v>
      </c>
      <c r="G307" s="481" t="s">
        <v>124</v>
      </c>
      <c r="H307" s="481" t="s">
        <v>3356</v>
      </c>
      <c r="I307" s="481" t="s">
        <v>100</v>
      </c>
      <c r="J307" s="481" t="s">
        <v>45</v>
      </c>
      <c r="K307" s="481" t="s">
        <v>3055</v>
      </c>
    </row>
    <row r="308" spans="1:11" ht="67.5">
      <c r="A308" s="481" t="s">
        <v>35</v>
      </c>
      <c r="B308" s="481" t="s">
        <v>5042</v>
      </c>
      <c r="C308" s="479">
        <v>0.47986111111111113</v>
      </c>
      <c r="D308" s="481" t="s">
        <v>5042</v>
      </c>
      <c r="E308" s="520">
        <v>0.48055555555555557</v>
      </c>
      <c r="F308" s="481" t="s">
        <v>4035</v>
      </c>
      <c r="G308" s="481" t="s">
        <v>124</v>
      </c>
      <c r="H308" s="481" t="s">
        <v>2910</v>
      </c>
      <c r="I308" s="481" t="s">
        <v>100</v>
      </c>
      <c r="J308" s="481" t="s">
        <v>3055</v>
      </c>
      <c r="K308" s="481" t="s">
        <v>3055</v>
      </c>
    </row>
    <row r="309" spans="1:11" ht="67.5">
      <c r="A309" s="481" t="s">
        <v>35</v>
      </c>
      <c r="B309" s="481" t="s">
        <v>5042</v>
      </c>
      <c r="C309" s="479">
        <v>0.47986111111111113</v>
      </c>
      <c r="D309" s="481" t="s">
        <v>5042</v>
      </c>
      <c r="E309" s="520">
        <v>0.48055555555555557</v>
      </c>
      <c r="F309" s="481" t="s">
        <v>4035</v>
      </c>
      <c r="G309" s="481" t="s">
        <v>124</v>
      </c>
      <c r="H309" s="481" t="s">
        <v>2910</v>
      </c>
      <c r="I309" s="481" t="s">
        <v>100</v>
      </c>
      <c r="J309" s="481" t="s">
        <v>3055</v>
      </c>
      <c r="K309" s="481" t="s">
        <v>3055</v>
      </c>
    </row>
    <row r="310" spans="1:11" ht="33.75">
      <c r="A310" s="481" t="s">
        <v>35</v>
      </c>
      <c r="B310" s="481" t="s">
        <v>5043</v>
      </c>
      <c r="C310" s="479">
        <v>0.71875</v>
      </c>
      <c r="D310" s="481" t="s">
        <v>5044</v>
      </c>
      <c r="E310" s="520">
        <v>0.76041666666666663</v>
      </c>
      <c r="F310" s="481" t="s">
        <v>3965</v>
      </c>
      <c r="G310" s="481" t="s">
        <v>3143</v>
      </c>
      <c r="H310" s="481" t="s">
        <v>3356</v>
      </c>
      <c r="I310" s="481" t="s">
        <v>100</v>
      </c>
      <c r="J310" s="481" t="s">
        <v>3055</v>
      </c>
      <c r="K310" s="481" t="s">
        <v>3055</v>
      </c>
    </row>
    <row r="311" spans="1:11" ht="33.75">
      <c r="A311" s="481" t="s">
        <v>35</v>
      </c>
      <c r="B311" s="481" t="s">
        <v>5045</v>
      </c>
      <c r="C311" s="479">
        <v>0.27083333333333331</v>
      </c>
      <c r="D311" s="481" t="s">
        <v>5045</v>
      </c>
      <c r="E311" s="520">
        <v>0.41666666666666669</v>
      </c>
      <c r="F311" s="481" t="s">
        <v>3338</v>
      </c>
      <c r="G311" s="481" t="s">
        <v>124</v>
      </c>
      <c r="H311" s="481" t="s">
        <v>3356</v>
      </c>
      <c r="I311" s="481" t="s">
        <v>100</v>
      </c>
      <c r="J311" s="481" t="s">
        <v>3055</v>
      </c>
      <c r="K311" s="481" t="s">
        <v>3055</v>
      </c>
    </row>
    <row r="312" spans="1:11" ht="45">
      <c r="A312" s="481" t="s">
        <v>35</v>
      </c>
      <c r="B312" s="481" t="s">
        <v>5045</v>
      </c>
      <c r="C312" s="479">
        <v>0.60416666666666663</v>
      </c>
      <c r="D312" s="481" t="s">
        <v>5045</v>
      </c>
      <c r="E312" s="520">
        <v>0.77222222222222225</v>
      </c>
      <c r="F312" s="481" t="s">
        <v>5046</v>
      </c>
      <c r="G312" s="481" t="s">
        <v>3143</v>
      </c>
      <c r="H312" s="481" t="s">
        <v>3387</v>
      </c>
      <c r="I312" s="481" t="s">
        <v>2764</v>
      </c>
      <c r="J312" s="481" t="s">
        <v>3185</v>
      </c>
      <c r="K312" s="481" t="s">
        <v>3055</v>
      </c>
    </row>
    <row r="313" spans="1:11" ht="45">
      <c r="A313" s="481" t="s">
        <v>35</v>
      </c>
      <c r="B313" s="481" t="s">
        <v>5044</v>
      </c>
      <c r="C313" s="479">
        <v>0.7090277777777777</v>
      </c>
      <c r="D313" s="481" t="s">
        <v>5047</v>
      </c>
      <c r="E313" s="520">
        <v>0.27083333333333331</v>
      </c>
      <c r="F313" s="481" t="s">
        <v>2928</v>
      </c>
      <c r="G313" s="481" t="s">
        <v>63</v>
      </c>
      <c r="H313" s="481" t="s">
        <v>3447</v>
      </c>
      <c r="I313" s="481" t="s">
        <v>2764</v>
      </c>
      <c r="J313" s="481" t="s">
        <v>3055</v>
      </c>
      <c r="K313" s="481" t="s">
        <v>3055</v>
      </c>
    </row>
    <row r="314" spans="1:11" ht="67.5">
      <c r="A314" s="481" t="s">
        <v>35</v>
      </c>
      <c r="B314" s="481" t="s">
        <v>5047</v>
      </c>
      <c r="C314" s="479">
        <v>0.92708333333333337</v>
      </c>
      <c r="D314" s="481" t="s">
        <v>5048</v>
      </c>
      <c r="E314" s="520">
        <v>0.70833333333333337</v>
      </c>
      <c r="F314" s="481" t="s">
        <v>5049</v>
      </c>
      <c r="G314" s="481" t="s">
        <v>1352</v>
      </c>
      <c r="H314" s="481" t="s">
        <v>2753</v>
      </c>
      <c r="I314" s="481" t="s">
        <v>22</v>
      </c>
      <c r="J314" s="481" t="s">
        <v>45</v>
      </c>
      <c r="K314" s="481" t="s">
        <v>3458</v>
      </c>
    </row>
    <row r="315" spans="1:11" ht="33.75">
      <c r="A315" s="481" t="s">
        <v>35</v>
      </c>
      <c r="B315" s="481" t="s">
        <v>5050</v>
      </c>
      <c r="C315" s="479">
        <v>0.59861111111111109</v>
      </c>
      <c r="D315" s="481" t="s">
        <v>5050</v>
      </c>
      <c r="E315" s="520">
        <v>0.85416666666666663</v>
      </c>
      <c r="F315" s="481" t="s">
        <v>2945</v>
      </c>
      <c r="G315" s="481" t="s">
        <v>124</v>
      </c>
      <c r="H315" s="481" t="s">
        <v>2753</v>
      </c>
      <c r="I315" s="481" t="s">
        <v>22</v>
      </c>
      <c r="J315" s="481" t="s">
        <v>4750</v>
      </c>
      <c r="K315" s="481" t="s">
        <v>4345</v>
      </c>
    </row>
    <row r="316" spans="1:11" ht="78.75">
      <c r="A316" s="481" t="s">
        <v>35</v>
      </c>
      <c r="B316" s="481" t="s">
        <v>5048</v>
      </c>
      <c r="C316" s="479">
        <v>0.83888888888888891</v>
      </c>
      <c r="D316" s="481" t="s">
        <v>5048</v>
      </c>
      <c r="E316" s="520">
        <v>0.83958333333333324</v>
      </c>
      <c r="F316" s="481" t="s">
        <v>4928</v>
      </c>
      <c r="G316" s="481" t="s">
        <v>3143</v>
      </c>
      <c r="H316" s="481" t="s">
        <v>3402</v>
      </c>
      <c r="I316" s="481" t="s">
        <v>2118</v>
      </c>
      <c r="J316" s="481" t="s">
        <v>3055</v>
      </c>
      <c r="K316" s="481" t="s">
        <v>3055</v>
      </c>
    </row>
    <row r="317" spans="1:11" ht="67.5">
      <c r="A317" s="481" t="s">
        <v>35</v>
      </c>
      <c r="B317" s="481" t="s">
        <v>5051</v>
      </c>
      <c r="C317" s="479">
        <v>0.59444444444444444</v>
      </c>
      <c r="D317" s="481" t="s">
        <v>5051</v>
      </c>
      <c r="E317" s="520">
        <v>0.77847222222222223</v>
      </c>
      <c r="F317" s="481" t="s">
        <v>3712</v>
      </c>
      <c r="G317" s="481" t="s">
        <v>124</v>
      </c>
      <c r="H317" s="481" t="s">
        <v>3411</v>
      </c>
      <c r="I317" s="481" t="s">
        <v>2483</v>
      </c>
      <c r="J317" s="481" t="s">
        <v>45</v>
      </c>
      <c r="K317" s="481" t="s">
        <v>45</v>
      </c>
    </row>
    <row r="318" spans="1:11" ht="45">
      <c r="A318" s="481" t="s">
        <v>35</v>
      </c>
      <c r="B318" s="481" t="s">
        <v>5052</v>
      </c>
      <c r="C318" s="479">
        <v>0.9291666666666667</v>
      </c>
      <c r="D318" s="481" t="s">
        <v>5052</v>
      </c>
      <c r="E318" s="520">
        <v>0.97916666666666663</v>
      </c>
      <c r="F318" s="481" t="s">
        <v>3245</v>
      </c>
      <c r="G318" s="481" t="s">
        <v>3143</v>
      </c>
      <c r="H318" s="481" t="s">
        <v>3387</v>
      </c>
      <c r="I318" s="481" t="s">
        <v>2764</v>
      </c>
      <c r="J318" s="481" t="s">
        <v>3055</v>
      </c>
      <c r="K318" s="481" t="s">
        <v>3055</v>
      </c>
    </row>
    <row r="319" spans="1:11" ht="90">
      <c r="A319" s="481" t="s">
        <v>35</v>
      </c>
      <c r="B319" s="481" t="s">
        <v>5052</v>
      </c>
      <c r="C319" s="479">
        <v>0.97638888888888886</v>
      </c>
      <c r="D319" s="481" t="s">
        <v>5053</v>
      </c>
      <c r="E319" s="520">
        <v>0.625</v>
      </c>
      <c r="F319" s="481" t="s">
        <v>3215</v>
      </c>
      <c r="G319" s="481" t="s">
        <v>3143</v>
      </c>
      <c r="H319" s="481" t="s">
        <v>3874</v>
      </c>
      <c r="I319" s="481" t="s">
        <v>2118</v>
      </c>
      <c r="J319" s="481" t="s">
        <v>3055</v>
      </c>
      <c r="K319" s="481" t="s">
        <v>3055</v>
      </c>
    </row>
    <row r="320" spans="1:11" ht="90">
      <c r="A320" s="481" t="s">
        <v>35</v>
      </c>
      <c r="B320" s="481" t="s">
        <v>5052</v>
      </c>
      <c r="C320" s="479">
        <v>0.9770833333333333</v>
      </c>
      <c r="D320" s="481" t="s">
        <v>5053</v>
      </c>
      <c r="E320" s="520">
        <v>0.4201388888888889</v>
      </c>
      <c r="F320" s="481" t="s">
        <v>5054</v>
      </c>
      <c r="G320" s="481" t="s">
        <v>63</v>
      </c>
      <c r="H320" s="481" t="s">
        <v>3874</v>
      </c>
      <c r="I320" s="481" t="s">
        <v>2118</v>
      </c>
      <c r="J320" s="481" t="s">
        <v>3055</v>
      </c>
      <c r="K320" s="481" t="s">
        <v>3055</v>
      </c>
    </row>
    <row r="321" spans="1:11" ht="78.75">
      <c r="A321" s="481" t="s">
        <v>35</v>
      </c>
      <c r="B321" s="481" t="s">
        <v>5052</v>
      </c>
      <c r="C321" s="479">
        <v>0.93472222222222223</v>
      </c>
      <c r="D321" s="481" t="s">
        <v>5053</v>
      </c>
      <c r="E321" s="520">
        <v>0.34652777777777777</v>
      </c>
      <c r="F321" s="481" t="s">
        <v>3439</v>
      </c>
      <c r="G321" s="481" t="s">
        <v>5055</v>
      </c>
      <c r="H321" s="481" t="s">
        <v>3402</v>
      </c>
      <c r="I321" s="481" t="s">
        <v>2118</v>
      </c>
      <c r="J321" s="481" t="s">
        <v>3055</v>
      </c>
      <c r="K321" s="481" t="s">
        <v>3055</v>
      </c>
    </row>
    <row r="322" spans="1:11" ht="33.75">
      <c r="A322" s="481" t="s">
        <v>35</v>
      </c>
      <c r="B322" s="481" t="s">
        <v>5052</v>
      </c>
      <c r="C322" s="479">
        <v>0.4909722222222222</v>
      </c>
      <c r="D322" s="481" t="s">
        <v>5052</v>
      </c>
      <c r="E322" s="520">
        <v>0.4916666666666667</v>
      </c>
      <c r="F322" s="481" t="s">
        <v>5056</v>
      </c>
      <c r="G322" s="481" t="s">
        <v>63</v>
      </c>
      <c r="H322" s="481" t="s">
        <v>3356</v>
      </c>
      <c r="I322" s="481" t="s">
        <v>100</v>
      </c>
      <c r="J322" s="481" t="s">
        <v>3055</v>
      </c>
      <c r="K322" s="481" t="s">
        <v>3055</v>
      </c>
    </row>
    <row r="323" spans="1:11" ht="67.5">
      <c r="A323" s="481" t="s">
        <v>35</v>
      </c>
      <c r="B323" s="481" t="s">
        <v>5053</v>
      </c>
      <c r="C323" s="479">
        <v>0.64861111111111114</v>
      </c>
      <c r="D323" s="481" t="s">
        <v>5053</v>
      </c>
      <c r="E323" s="520">
        <v>0.68472222222222223</v>
      </c>
      <c r="F323" s="481" t="s">
        <v>5057</v>
      </c>
      <c r="G323" s="481" t="s">
        <v>3143</v>
      </c>
      <c r="H323" s="481" t="s">
        <v>3411</v>
      </c>
      <c r="I323" s="481" t="s">
        <v>2764</v>
      </c>
      <c r="J323" s="481" t="s">
        <v>3659</v>
      </c>
      <c r="K323" s="481" t="s">
        <v>3081</v>
      </c>
    </row>
    <row r="324" spans="1:11" ht="45">
      <c r="A324" s="481" t="s">
        <v>35</v>
      </c>
      <c r="B324" s="481" t="s">
        <v>5058</v>
      </c>
      <c r="C324" s="479">
        <v>0.95833333333333337</v>
      </c>
      <c r="D324" s="481" t="s">
        <v>5059</v>
      </c>
      <c r="E324" s="520">
        <v>5.5555555555555552E-2</v>
      </c>
      <c r="F324" s="481" t="s">
        <v>4807</v>
      </c>
      <c r="G324" s="481" t="s">
        <v>4935</v>
      </c>
      <c r="H324" s="481" t="s">
        <v>3387</v>
      </c>
      <c r="I324" s="481" t="s">
        <v>2764</v>
      </c>
      <c r="J324" s="481" t="s">
        <v>3055</v>
      </c>
      <c r="K324" s="481" t="s">
        <v>3055</v>
      </c>
    </row>
    <row r="325" spans="1:11" ht="45">
      <c r="A325" s="481" t="s">
        <v>35</v>
      </c>
      <c r="B325" s="481" t="s">
        <v>5060</v>
      </c>
      <c r="C325" s="479">
        <v>0.82986111111111116</v>
      </c>
      <c r="D325" s="481" t="s">
        <v>5061</v>
      </c>
      <c r="E325" s="520">
        <v>0.24652777777777779</v>
      </c>
      <c r="F325" s="481" t="s">
        <v>4532</v>
      </c>
      <c r="G325" s="481" t="s">
        <v>63</v>
      </c>
      <c r="H325" s="481" t="s">
        <v>3387</v>
      </c>
      <c r="I325" s="481" t="s">
        <v>2764</v>
      </c>
      <c r="J325" s="481" t="s">
        <v>3106</v>
      </c>
      <c r="K325" s="481" t="s">
        <v>3055</v>
      </c>
    </row>
    <row r="326" spans="1:11" ht="33.75">
      <c r="A326" s="481" t="s">
        <v>35</v>
      </c>
      <c r="B326" s="481" t="s">
        <v>5062</v>
      </c>
      <c r="C326" s="479">
        <v>0.37152777777777773</v>
      </c>
      <c r="D326" s="481" t="s">
        <v>5063</v>
      </c>
      <c r="E326" s="520">
        <v>0.76041666666666663</v>
      </c>
      <c r="F326" s="481" t="s">
        <v>2945</v>
      </c>
      <c r="G326" s="481" t="s">
        <v>124</v>
      </c>
      <c r="H326" s="481" t="s">
        <v>2753</v>
      </c>
      <c r="I326" s="481" t="s">
        <v>22</v>
      </c>
      <c r="J326" s="481" t="s">
        <v>3746</v>
      </c>
      <c r="K326" s="481" t="s">
        <v>5064</v>
      </c>
    </row>
    <row r="327" spans="1:11" ht="33.75">
      <c r="A327" s="481" t="s">
        <v>35</v>
      </c>
      <c r="B327" s="481" t="s">
        <v>5062</v>
      </c>
      <c r="C327" s="479">
        <v>0.29166666666666669</v>
      </c>
      <c r="D327" s="481" t="s">
        <v>5065</v>
      </c>
      <c r="E327" s="520">
        <v>0.89583333333333337</v>
      </c>
      <c r="F327" s="481" t="s">
        <v>5066</v>
      </c>
      <c r="G327" s="481" t="s">
        <v>124</v>
      </c>
      <c r="H327" s="481" t="s">
        <v>2753</v>
      </c>
      <c r="I327" s="481" t="s">
        <v>22</v>
      </c>
      <c r="J327" s="481" t="s">
        <v>45</v>
      </c>
      <c r="K327" s="481" t="s">
        <v>3664</v>
      </c>
    </row>
    <row r="328" spans="1:11" ht="67.5">
      <c r="A328" s="481" t="s">
        <v>35</v>
      </c>
      <c r="B328" s="481" t="s">
        <v>5067</v>
      </c>
      <c r="C328" s="479">
        <v>0.74791666666666667</v>
      </c>
      <c r="D328" s="481" t="s">
        <v>5068</v>
      </c>
      <c r="E328" s="520">
        <v>0.7006944444444444</v>
      </c>
      <c r="F328" s="481" t="s">
        <v>5069</v>
      </c>
      <c r="G328" s="481" t="s">
        <v>63</v>
      </c>
      <c r="H328" s="481" t="s">
        <v>3411</v>
      </c>
      <c r="I328" s="481" t="s">
        <v>2764</v>
      </c>
      <c r="J328" s="481" t="s">
        <v>3055</v>
      </c>
      <c r="K328" s="481" t="s">
        <v>3055</v>
      </c>
    </row>
    <row r="329" spans="1:11" ht="45">
      <c r="A329" s="481" t="s">
        <v>35</v>
      </c>
      <c r="B329" s="481" t="s">
        <v>5067</v>
      </c>
      <c r="C329" s="479">
        <v>0.10069444444444443</v>
      </c>
      <c r="D329" s="481" t="s">
        <v>5070</v>
      </c>
      <c r="E329" s="520">
        <v>0.35902777777777778</v>
      </c>
      <c r="F329" s="481" t="s">
        <v>2984</v>
      </c>
      <c r="G329" s="481" t="s">
        <v>61</v>
      </c>
      <c r="H329" s="481" t="s">
        <v>2753</v>
      </c>
      <c r="I329" s="481" t="s">
        <v>22</v>
      </c>
      <c r="J329" s="481" t="s">
        <v>45</v>
      </c>
      <c r="K329" s="481" t="s">
        <v>5071</v>
      </c>
    </row>
    <row r="330" spans="1:11" ht="67.5">
      <c r="A330" s="481" t="s">
        <v>35</v>
      </c>
      <c r="B330" s="481" t="s">
        <v>5068</v>
      </c>
      <c r="C330" s="479">
        <v>0.53263888888888888</v>
      </c>
      <c r="D330" s="481" t="s">
        <v>5068</v>
      </c>
      <c r="E330" s="520">
        <v>0.54513888888888895</v>
      </c>
      <c r="F330" s="481" t="s">
        <v>3622</v>
      </c>
      <c r="G330" s="481" t="s">
        <v>124</v>
      </c>
      <c r="H330" s="481" t="s">
        <v>3411</v>
      </c>
      <c r="I330" s="481" t="s">
        <v>2764</v>
      </c>
      <c r="J330" s="481" t="s">
        <v>3787</v>
      </c>
      <c r="K330" s="481" t="s">
        <v>3055</v>
      </c>
    </row>
    <row r="331" spans="1:11" ht="123.75">
      <c r="A331" s="481" t="s">
        <v>35</v>
      </c>
      <c r="B331" s="481" t="s">
        <v>5068</v>
      </c>
      <c r="C331" s="479">
        <v>0.59375</v>
      </c>
      <c r="D331" s="481" t="s">
        <v>5072</v>
      </c>
      <c r="E331" s="520">
        <v>0.33333333333333331</v>
      </c>
      <c r="F331" s="481" t="s">
        <v>5073</v>
      </c>
      <c r="G331" s="481" t="s">
        <v>1352</v>
      </c>
      <c r="H331" s="481" t="s">
        <v>2753</v>
      </c>
      <c r="I331" s="481" t="s">
        <v>22</v>
      </c>
      <c r="J331" s="481" t="s">
        <v>45</v>
      </c>
      <c r="K331" s="481" t="s">
        <v>3297</v>
      </c>
    </row>
    <row r="332" spans="1:11" ht="33.75">
      <c r="A332" s="481" t="s">
        <v>35</v>
      </c>
      <c r="B332" s="481" t="s">
        <v>5068</v>
      </c>
      <c r="C332" s="479">
        <v>0.61458333333333337</v>
      </c>
      <c r="D332" s="481" t="s">
        <v>5070</v>
      </c>
      <c r="E332" s="520">
        <v>0.85416666666666663</v>
      </c>
      <c r="F332" s="481" t="s">
        <v>2809</v>
      </c>
      <c r="G332" s="481" t="s">
        <v>1352</v>
      </c>
      <c r="H332" s="481" t="s">
        <v>2753</v>
      </c>
      <c r="I332" s="481" t="s">
        <v>22</v>
      </c>
      <c r="J332" s="481" t="s">
        <v>45</v>
      </c>
      <c r="K332" s="481" t="s">
        <v>4098</v>
      </c>
    </row>
    <row r="333" spans="1:11" ht="33.75">
      <c r="A333" s="481" t="s">
        <v>35</v>
      </c>
      <c r="B333" s="481" t="s">
        <v>5068</v>
      </c>
      <c r="C333" s="479">
        <v>0.50416666666666665</v>
      </c>
      <c r="D333" s="481" t="s">
        <v>5068</v>
      </c>
      <c r="E333" s="520">
        <v>0.52083333333333337</v>
      </c>
      <c r="F333" s="481" t="s">
        <v>5074</v>
      </c>
      <c r="G333" s="481" t="s">
        <v>1352</v>
      </c>
      <c r="H333" s="481" t="s">
        <v>3356</v>
      </c>
      <c r="I333" s="481" t="s">
        <v>5075</v>
      </c>
      <c r="J333" s="481" t="s">
        <v>45</v>
      </c>
      <c r="K333" s="481" t="s">
        <v>45</v>
      </c>
    </row>
    <row r="334" spans="1:11" ht="78.75">
      <c r="A334" s="481" t="s">
        <v>35</v>
      </c>
      <c r="B334" s="481" t="s">
        <v>5070</v>
      </c>
      <c r="C334" s="479">
        <v>0.59722222222222221</v>
      </c>
      <c r="D334" s="481" t="s">
        <v>5070</v>
      </c>
      <c r="E334" s="520">
        <v>0.625</v>
      </c>
      <c r="F334" s="481" t="s">
        <v>5076</v>
      </c>
      <c r="G334" s="481" t="s">
        <v>61</v>
      </c>
      <c r="H334" s="481" t="s">
        <v>3402</v>
      </c>
      <c r="I334" s="481" t="s">
        <v>2118</v>
      </c>
      <c r="J334" s="481" t="s">
        <v>3055</v>
      </c>
      <c r="K334" s="481" t="s">
        <v>3055</v>
      </c>
    </row>
    <row r="335" spans="1:11" ht="78.75">
      <c r="A335" s="481" t="s">
        <v>35</v>
      </c>
      <c r="B335" s="481" t="s">
        <v>5072</v>
      </c>
      <c r="C335" s="479">
        <v>0.31319444444444444</v>
      </c>
      <c r="D335" s="481" t="s">
        <v>45</v>
      </c>
      <c r="E335" s="520" t="s">
        <v>45</v>
      </c>
      <c r="F335" s="481" t="s">
        <v>2833</v>
      </c>
      <c r="G335" s="481" t="s">
        <v>3143</v>
      </c>
      <c r="H335" s="481" t="s">
        <v>3402</v>
      </c>
      <c r="I335" s="481" t="s">
        <v>2118</v>
      </c>
      <c r="J335" s="481" t="s">
        <v>45</v>
      </c>
      <c r="K335" s="481" t="s">
        <v>45</v>
      </c>
    </row>
    <row r="336" spans="1:11" ht="67.5">
      <c r="A336" s="481" t="s">
        <v>35</v>
      </c>
      <c r="B336" s="481" t="s">
        <v>5077</v>
      </c>
      <c r="C336" s="479">
        <v>0.32569444444444445</v>
      </c>
      <c r="D336" s="481" t="s">
        <v>5077</v>
      </c>
      <c r="E336" s="520">
        <v>0.3972222222222222</v>
      </c>
      <c r="F336" s="481" t="s">
        <v>3967</v>
      </c>
      <c r="G336" s="481" t="s">
        <v>124</v>
      </c>
      <c r="H336" s="481" t="s">
        <v>2910</v>
      </c>
      <c r="I336" s="481" t="s">
        <v>100</v>
      </c>
      <c r="J336" s="481" t="s">
        <v>3055</v>
      </c>
      <c r="K336" s="481" t="s">
        <v>3055</v>
      </c>
    </row>
    <row r="337" spans="1:11" ht="67.5">
      <c r="A337" s="481" t="s">
        <v>38</v>
      </c>
      <c r="B337" s="481" t="s">
        <v>5078</v>
      </c>
      <c r="C337" s="479">
        <v>0.89861111111111114</v>
      </c>
      <c r="D337" s="481" t="s">
        <v>5078</v>
      </c>
      <c r="E337" s="520">
        <v>0.95624999999999993</v>
      </c>
      <c r="F337" s="481" t="s">
        <v>5079</v>
      </c>
      <c r="G337" s="481" t="s">
        <v>124</v>
      </c>
      <c r="H337" s="481" t="s">
        <v>3411</v>
      </c>
      <c r="I337" s="481" t="s">
        <v>2764</v>
      </c>
      <c r="J337" s="481" t="s">
        <v>4891</v>
      </c>
      <c r="K337" s="481" t="s">
        <v>45</v>
      </c>
    </row>
    <row r="338" spans="1:11" ht="78.75">
      <c r="A338" s="481" t="s">
        <v>38</v>
      </c>
      <c r="B338" s="481" t="s">
        <v>5080</v>
      </c>
      <c r="C338" s="479">
        <v>0.28125</v>
      </c>
      <c r="D338" s="481" t="s">
        <v>5080</v>
      </c>
      <c r="E338" s="520">
        <v>0.29166666666666669</v>
      </c>
      <c r="F338" s="481" t="s">
        <v>5081</v>
      </c>
      <c r="G338" s="481" t="s">
        <v>3143</v>
      </c>
      <c r="H338" s="481" t="s">
        <v>3402</v>
      </c>
      <c r="I338" s="481" t="s">
        <v>2118</v>
      </c>
      <c r="J338" s="481" t="s">
        <v>3055</v>
      </c>
      <c r="K338" s="481" t="s">
        <v>3055</v>
      </c>
    </row>
    <row r="339" spans="1:11" ht="78.75">
      <c r="A339" s="481" t="s">
        <v>38</v>
      </c>
      <c r="B339" s="481" t="s">
        <v>5080</v>
      </c>
      <c r="C339" s="479">
        <v>0.3611111111111111</v>
      </c>
      <c r="D339" s="481" t="s">
        <v>5080</v>
      </c>
      <c r="E339" s="520">
        <v>0.36180555555555555</v>
      </c>
      <c r="F339" s="481" t="s">
        <v>3819</v>
      </c>
      <c r="G339" s="481" t="s">
        <v>124</v>
      </c>
      <c r="H339" s="481" t="s">
        <v>3402</v>
      </c>
      <c r="I339" s="481" t="s">
        <v>2118</v>
      </c>
      <c r="J339" s="481" t="s">
        <v>45</v>
      </c>
      <c r="K339" s="481" t="s">
        <v>3380</v>
      </c>
    </row>
    <row r="340" spans="1:11" ht="67.5">
      <c r="A340" s="481" t="s">
        <v>38</v>
      </c>
      <c r="B340" s="481" t="s">
        <v>5082</v>
      </c>
      <c r="C340" s="479">
        <v>0.95347222222222217</v>
      </c>
      <c r="D340" s="481" t="s">
        <v>5082</v>
      </c>
      <c r="E340" s="520">
        <v>0.98125000000000007</v>
      </c>
      <c r="F340" s="481" t="s">
        <v>2801</v>
      </c>
      <c r="G340" s="481" t="s">
        <v>124</v>
      </c>
      <c r="H340" s="481" t="s">
        <v>2839</v>
      </c>
      <c r="I340" s="481" t="s">
        <v>2764</v>
      </c>
      <c r="J340" s="481" t="s">
        <v>5083</v>
      </c>
      <c r="K340" s="481" t="s">
        <v>45</v>
      </c>
    </row>
    <row r="341" spans="1:11" ht="45">
      <c r="A341" s="481" t="s">
        <v>38</v>
      </c>
      <c r="B341" s="481" t="s">
        <v>5084</v>
      </c>
      <c r="C341" s="479">
        <v>0.75</v>
      </c>
      <c r="D341" s="481" t="s">
        <v>5084</v>
      </c>
      <c r="E341" s="520">
        <v>0.83333333333333337</v>
      </c>
      <c r="F341" s="481" t="s">
        <v>3123</v>
      </c>
      <c r="G341" s="481" t="s">
        <v>63</v>
      </c>
      <c r="H341" s="481" t="s">
        <v>5085</v>
      </c>
      <c r="I341" s="481" t="s">
        <v>2764</v>
      </c>
      <c r="J341" s="481" t="s">
        <v>45</v>
      </c>
      <c r="K341" s="481" t="s">
        <v>45</v>
      </c>
    </row>
    <row r="342" spans="1:11" ht="33.75">
      <c r="A342" s="481" t="s">
        <v>38</v>
      </c>
      <c r="B342" s="481" t="s">
        <v>5084</v>
      </c>
      <c r="C342" s="479">
        <v>0.36805555555555558</v>
      </c>
      <c r="D342" s="481" t="s">
        <v>5084</v>
      </c>
      <c r="E342" s="520">
        <v>0.66666666666666663</v>
      </c>
      <c r="F342" s="481" t="s">
        <v>5086</v>
      </c>
      <c r="G342" s="481" t="s">
        <v>3143</v>
      </c>
      <c r="H342" s="481" t="s">
        <v>3356</v>
      </c>
      <c r="I342" s="481" t="s">
        <v>100</v>
      </c>
      <c r="J342" s="481" t="s">
        <v>3055</v>
      </c>
      <c r="K342" s="481" t="s">
        <v>3055</v>
      </c>
    </row>
    <row r="343" spans="1:11" ht="67.5">
      <c r="A343" s="481" t="s">
        <v>38</v>
      </c>
      <c r="B343" s="481" t="s">
        <v>5087</v>
      </c>
      <c r="C343" s="479">
        <v>0.8881944444444444</v>
      </c>
      <c r="D343" s="481" t="s">
        <v>5088</v>
      </c>
      <c r="E343" s="520">
        <v>5.486111111111111E-2</v>
      </c>
      <c r="F343" s="481" t="s">
        <v>4083</v>
      </c>
      <c r="G343" s="481" t="s">
        <v>1352</v>
      </c>
      <c r="H343" s="481" t="s">
        <v>3411</v>
      </c>
      <c r="I343" s="481" t="s">
        <v>2483</v>
      </c>
      <c r="J343" s="481" t="s">
        <v>3055</v>
      </c>
      <c r="K343" s="481" t="s">
        <v>3055</v>
      </c>
    </row>
    <row r="344" spans="1:11" ht="67.5">
      <c r="A344" s="481" t="s">
        <v>38</v>
      </c>
      <c r="B344" s="481" t="s">
        <v>5087</v>
      </c>
      <c r="C344" s="479">
        <v>0.40902777777777777</v>
      </c>
      <c r="D344" s="481" t="s">
        <v>5087</v>
      </c>
      <c r="E344" s="520">
        <v>0.4201388888888889</v>
      </c>
      <c r="F344" s="481" t="s">
        <v>2868</v>
      </c>
      <c r="G344" s="481" t="s">
        <v>61</v>
      </c>
      <c r="H344" s="481" t="s">
        <v>3411</v>
      </c>
      <c r="I344" s="481" t="s">
        <v>2483</v>
      </c>
      <c r="J344" s="481" t="s">
        <v>3055</v>
      </c>
      <c r="K344" s="481" t="s">
        <v>3055</v>
      </c>
    </row>
    <row r="345" spans="1:11" ht="67.5">
      <c r="A345" s="481" t="s">
        <v>38</v>
      </c>
      <c r="B345" s="481" t="s">
        <v>5088</v>
      </c>
      <c r="C345" s="479">
        <v>0.24444444444444446</v>
      </c>
      <c r="D345" s="481" t="s">
        <v>5088</v>
      </c>
      <c r="E345" s="520">
        <v>0.25625000000000003</v>
      </c>
      <c r="F345" s="481" t="s">
        <v>5089</v>
      </c>
      <c r="G345" s="481" t="s">
        <v>1352</v>
      </c>
      <c r="H345" s="481" t="s">
        <v>3411</v>
      </c>
      <c r="I345" s="481" t="s">
        <v>2764</v>
      </c>
      <c r="J345" s="481" t="s">
        <v>5090</v>
      </c>
      <c r="K345" s="481" t="s">
        <v>45</v>
      </c>
    </row>
    <row r="346" spans="1:11" ht="33.75">
      <c r="A346" s="481" t="s">
        <v>38</v>
      </c>
      <c r="B346" s="481" t="s">
        <v>5091</v>
      </c>
      <c r="C346" s="479">
        <v>0.29166666666666669</v>
      </c>
      <c r="D346" s="481" t="s">
        <v>5091</v>
      </c>
      <c r="E346" s="520">
        <v>0.30138888888888887</v>
      </c>
      <c r="F346" s="481" t="s">
        <v>5092</v>
      </c>
      <c r="G346" s="481" t="s">
        <v>124</v>
      </c>
      <c r="H346" s="481" t="s">
        <v>3356</v>
      </c>
      <c r="I346" s="481" t="s">
        <v>100</v>
      </c>
      <c r="J346" s="481" t="s">
        <v>3055</v>
      </c>
      <c r="K346" s="481" t="s">
        <v>3055</v>
      </c>
    </row>
    <row r="347" spans="1:11" ht="67.5">
      <c r="A347" s="481" t="s">
        <v>38</v>
      </c>
      <c r="B347" s="481" t="s">
        <v>5093</v>
      </c>
      <c r="C347" s="479">
        <v>0.4909722222222222</v>
      </c>
      <c r="D347" s="481" t="s">
        <v>45</v>
      </c>
      <c r="E347" s="520" t="s">
        <v>45</v>
      </c>
      <c r="F347" s="481" t="s">
        <v>3645</v>
      </c>
      <c r="G347" s="481" t="s">
        <v>124</v>
      </c>
      <c r="H347" s="481" t="s">
        <v>2910</v>
      </c>
      <c r="I347" s="481" t="s">
        <v>2118</v>
      </c>
      <c r="J347" s="481" t="s">
        <v>3055</v>
      </c>
      <c r="K347" s="481" t="s">
        <v>3055</v>
      </c>
    </row>
    <row r="348" spans="1:11" ht="45">
      <c r="A348" s="481" t="s">
        <v>38</v>
      </c>
      <c r="B348" s="481" t="s">
        <v>5093</v>
      </c>
      <c r="C348" s="479">
        <v>0.45833333333333331</v>
      </c>
      <c r="D348" s="481" t="s">
        <v>5094</v>
      </c>
      <c r="E348" s="520">
        <v>0.25</v>
      </c>
      <c r="F348" s="481" t="s">
        <v>5095</v>
      </c>
      <c r="G348" s="481" t="s">
        <v>124</v>
      </c>
      <c r="H348" s="481" t="s">
        <v>2753</v>
      </c>
      <c r="I348" s="481" t="s">
        <v>22</v>
      </c>
      <c r="J348" s="481" t="s">
        <v>45</v>
      </c>
      <c r="K348" s="481" t="s">
        <v>3251</v>
      </c>
    </row>
    <row r="349" spans="1:11" ht="67.5">
      <c r="A349" s="481" t="s">
        <v>38</v>
      </c>
      <c r="B349" s="481" t="s">
        <v>5096</v>
      </c>
      <c r="C349" s="479">
        <v>2.9166666666666664E-2</v>
      </c>
      <c r="D349" s="481" t="s">
        <v>5096</v>
      </c>
      <c r="E349" s="520">
        <v>0.31597222222222221</v>
      </c>
      <c r="F349" s="481" t="s">
        <v>2967</v>
      </c>
      <c r="G349" s="481" t="s">
        <v>124</v>
      </c>
      <c r="H349" s="481" t="s">
        <v>4043</v>
      </c>
      <c r="I349" s="481" t="s">
        <v>2118</v>
      </c>
      <c r="J349" s="481" t="s">
        <v>3055</v>
      </c>
      <c r="K349" s="481" t="s">
        <v>3055</v>
      </c>
    </row>
    <row r="350" spans="1:11" ht="45">
      <c r="A350" s="481" t="s">
        <v>38</v>
      </c>
      <c r="B350" s="481" t="s">
        <v>5096</v>
      </c>
      <c r="C350" s="479">
        <v>0.73402777777777783</v>
      </c>
      <c r="D350" s="481" t="s">
        <v>5096</v>
      </c>
      <c r="E350" s="520">
        <v>0.76458333333333339</v>
      </c>
      <c r="F350" s="481" t="s">
        <v>3965</v>
      </c>
      <c r="G350" s="481" t="s">
        <v>3143</v>
      </c>
      <c r="H350" s="481" t="s">
        <v>3447</v>
      </c>
      <c r="I350" s="481" t="s">
        <v>2764</v>
      </c>
      <c r="J350" s="481" t="s">
        <v>3055</v>
      </c>
      <c r="K350" s="481" t="s">
        <v>3055</v>
      </c>
    </row>
    <row r="351" spans="1:11" ht="45">
      <c r="A351" s="481" t="s">
        <v>38</v>
      </c>
      <c r="B351" s="481" t="s">
        <v>5094</v>
      </c>
      <c r="C351" s="479">
        <v>0.52986111111111112</v>
      </c>
      <c r="D351" s="481" t="s">
        <v>5094</v>
      </c>
      <c r="E351" s="520">
        <v>0.55902777777777779</v>
      </c>
      <c r="F351" s="481" t="s">
        <v>5097</v>
      </c>
      <c r="G351" s="481" t="s">
        <v>3143</v>
      </c>
      <c r="H351" s="481" t="s">
        <v>3387</v>
      </c>
      <c r="I351" s="481" t="s">
        <v>2764</v>
      </c>
      <c r="J351" s="481" t="s">
        <v>3055</v>
      </c>
      <c r="K351" s="481" t="s">
        <v>3055</v>
      </c>
    </row>
    <row r="352" spans="1:11" ht="67.5">
      <c r="A352" s="481" t="s">
        <v>38</v>
      </c>
      <c r="B352" s="481" t="s">
        <v>5094</v>
      </c>
      <c r="C352" s="479">
        <v>0.54999999999999993</v>
      </c>
      <c r="D352" s="481" t="s">
        <v>45</v>
      </c>
      <c r="E352" s="520" t="s">
        <v>45</v>
      </c>
      <c r="F352" s="481" t="s">
        <v>3645</v>
      </c>
      <c r="G352" s="481" t="s">
        <v>124</v>
      </c>
      <c r="H352" s="481" t="s">
        <v>2910</v>
      </c>
      <c r="I352" s="481" t="s">
        <v>100</v>
      </c>
      <c r="J352" s="481" t="s">
        <v>3055</v>
      </c>
      <c r="K352" s="481" t="s">
        <v>3055</v>
      </c>
    </row>
    <row r="353" spans="1:11" ht="67.5">
      <c r="A353" s="481" t="s">
        <v>38</v>
      </c>
      <c r="B353" s="481" t="s">
        <v>5098</v>
      </c>
      <c r="C353" s="479">
        <v>0.41666666666666669</v>
      </c>
      <c r="D353" s="481" t="s">
        <v>5098</v>
      </c>
      <c r="E353" s="520">
        <v>0.41736111111111113</v>
      </c>
      <c r="F353" s="481" t="s">
        <v>3554</v>
      </c>
      <c r="G353" s="481" t="s">
        <v>4935</v>
      </c>
      <c r="H353" s="481" t="s">
        <v>5099</v>
      </c>
      <c r="I353" s="481" t="s">
        <v>2952</v>
      </c>
      <c r="J353" s="481" t="s">
        <v>3055</v>
      </c>
      <c r="K353" s="481" t="s">
        <v>3055</v>
      </c>
    </row>
    <row r="354" spans="1:11" ht="56.25">
      <c r="A354" s="481" t="s">
        <v>38</v>
      </c>
      <c r="B354" s="481" t="s">
        <v>5100</v>
      </c>
      <c r="C354" s="479">
        <v>0.41666666666666669</v>
      </c>
      <c r="D354" s="481" t="s">
        <v>5101</v>
      </c>
      <c r="E354" s="520">
        <v>0.43124999999999997</v>
      </c>
      <c r="F354" s="481" t="s">
        <v>5102</v>
      </c>
      <c r="G354" s="481" t="s">
        <v>124</v>
      </c>
      <c r="H354" s="481" t="s">
        <v>2753</v>
      </c>
      <c r="I354" s="481" t="s">
        <v>22</v>
      </c>
      <c r="J354" s="481" t="s">
        <v>45</v>
      </c>
      <c r="K354" s="481" t="s">
        <v>5103</v>
      </c>
    </row>
    <row r="355" spans="1:11" ht="67.5">
      <c r="A355" s="481" t="s">
        <v>38</v>
      </c>
      <c r="B355" s="481" t="s">
        <v>5104</v>
      </c>
      <c r="C355" s="479">
        <v>0.28194444444444444</v>
      </c>
      <c r="D355" s="481" t="s">
        <v>5104</v>
      </c>
      <c r="E355" s="520">
        <v>0.28263888888888888</v>
      </c>
      <c r="F355" s="481" t="s">
        <v>2832</v>
      </c>
      <c r="G355" s="481" t="s">
        <v>63</v>
      </c>
      <c r="H355" s="481" t="s">
        <v>3411</v>
      </c>
      <c r="I355" s="481" t="s">
        <v>2764</v>
      </c>
      <c r="J355" s="481" t="s">
        <v>3055</v>
      </c>
      <c r="K355" s="481" t="s">
        <v>3055</v>
      </c>
    </row>
    <row r="356" spans="1:11" ht="78.75">
      <c r="A356" s="481" t="s">
        <v>38</v>
      </c>
      <c r="B356" s="481" t="s">
        <v>5104</v>
      </c>
      <c r="C356" s="479">
        <v>0.28611111111111115</v>
      </c>
      <c r="D356" s="481" t="s">
        <v>5104</v>
      </c>
      <c r="E356" s="520">
        <v>0.30902777777777779</v>
      </c>
      <c r="F356" s="481" t="s">
        <v>4185</v>
      </c>
      <c r="G356" s="481" t="s">
        <v>1352</v>
      </c>
      <c r="H356" s="481" t="s">
        <v>3402</v>
      </c>
      <c r="I356" s="481" t="s">
        <v>2118</v>
      </c>
      <c r="J356" s="481" t="s">
        <v>3055</v>
      </c>
      <c r="K356" s="481" t="s">
        <v>3055</v>
      </c>
    </row>
    <row r="357" spans="1:11" ht="67.5">
      <c r="A357" s="481" t="s">
        <v>38</v>
      </c>
      <c r="B357" s="481" t="s">
        <v>5104</v>
      </c>
      <c r="C357" s="479">
        <v>0.57430555555555551</v>
      </c>
      <c r="D357" s="481" t="s">
        <v>5104</v>
      </c>
      <c r="E357" s="520">
        <v>0.59791666666666665</v>
      </c>
      <c r="F357" s="481" t="s">
        <v>2945</v>
      </c>
      <c r="G357" s="481" t="s">
        <v>124</v>
      </c>
      <c r="H357" s="481" t="s">
        <v>2839</v>
      </c>
      <c r="I357" s="481" t="s">
        <v>2764</v>
      </c>
      <c r="J357" s="481" t="s">
        <v>5105</v>
      </c>
      <c r="K357" s="481" t="s">
        <v>4254</v>
      </c>
    </row>
    <row r="358" spans="1:11" ht="33.75">
      <c r="A358" s="481" t="s">
        <v>38</v>
      </c>
      <c r="B358" s="481" t="s">
        <v>5104</v>
      </c>
      <c r="C358" s="479">
        <v>0.20833333333333334</v>
      </c>
      <c r="D358" s="481" t="s">
        <v>5104</v>
      </c>
      <c r="E358" s="520">
        <v>0.20902777777777778</v>
      </c>
      <c r="F358" s="481" t="s">
        <v>5092</v>
      </c>
      <c r="G358" s="481" t="s">
        <v>124</v>
      </c>
      <c r="H358" s="481" t="s">
        <v>3356</v>
      </c>
      <c r="I358" s="481" t="s">
        <v>100</v>
      </c>
      <c r="J358" s="481" t="s">
        <v>3055</v>
      </c>
      <c r="K358" s="481" t="s">
        <v>3055</v>
      </c>
    </row>
    <row r="359" spans="1:11" ht="45">
      <c r="A359" s="481" t="s">
        <v>47</v>
      </c>
      <c r="B359" s="481" t="s">
        <v>5106</v>
      </c>
      <c r="C359" s="479">
        <v>0.41944444444444445</v>
      </c>
      <c r="D359" s="481" t="s">
        <v>5106</v>
      </c>
      <c r="E359" s="520">
        <v>0.54722222222222217</v>
      </c>
      <c r="F359" s="481" t="s">
        <v>4807</v>
      </c>
      <c r="G359" s="481" t="s">
        <v>674</v>
      </c>
      <c r="H359" s="481" t="s">
        <v>3387</v>
      </c>
      <c r="I359" s="481" t="s">
        <v>2764</v>
      </c>
      <c r="J359" s="481" t="s">
        <v>3055</v>
      </c>
      <c r="K359" s="481" t="s">
        <v>3055</v>
      </c>
    </row>
    <row r="360" spans="1:11" ht="45">
      <c r="A360" s="481" t="s">
        <v>47</v>
      </c>
      <c r="B360" s="481" t="s">
        <v>5107</v>
      </c>
      <c r="C360" s="479">
        <v>0.43958333333333338</v>
      </c>
      <c r="D360" s="481" t="s">
        <v>5107</v>
      </c>
      <c r="E360" s="520">
        <v>0.54861111111111105</v>
      </c>
      <c r="F360" s="481" t="s">
        <v>2919</v>
      </c>
      <c r="G360" s="481" t="s">
        <v>1352</v>
      </c>
      <c r="H360" s="481" t="s">
        <v>3387</v>
      </c>
      <c r="I360" s="481" t="s">
        <v>2764</v>
      </c>
      <c r="J360" s="481" t="s">
        <v>3055</v>
      </c>
      <c r="K360" s="481" t="s">
        <v>3055</v>
      </c>
    </row>
    <row r="361" spans="1:11" ht="67.5">
      <c r="A361" s="481" t="s">
        <v>47</v>
      </c>
      <c r="B361" s="481" t="s">
        <v>5108</v>
      </c>
      <c r="C361" s="479">
        <v>0.60625000000000007</v>
      </c>
      <c r="D361" s="481" t="s">
        <v>5108</v>
      </c>
      <c r="E361" s="520">
        <v>0.65277777777777779</v>
      </c>
      <c r="F361" s="481" t="s">
        <v>5109</v>
      </c>
      <c r="G361" s="481" t="s">
        <v>3143</v>
      </c>
      <c r="H361" s="481" t="s">
        <v>3411</v>
      </c>
      <c r="I361" s="481" t="s">
        <v>2483</v>
      </c>
      <c r="J361" s="481" t="s">
        <v>3055</v>
      </c>
      <c r="K361" s="481" t="s">
        <v>3055</v>
      </c>
    </row>
    <row r="362" spans="1:11" ht="45">
      <c r="A362" s="481" t="s">
        <v>47</v>
      </c>
      <c r="B362" s="481" t="s">
        <v>5110</v>
      </c>
      <c r="C362" s="479">
        <v>0.37777777777777777</v>
      </c>
      <c r="D362" s="481" t="s">
        <v>5110</v>
      </c>
      <c r="E362" s="520">
        <v>0.39930555555555558</v>
      </c>
      <c r="F362" s="481" t="s">
        <v>3719</v>
      </c>
      <c r="G362" s="481" t="s">
        <v>61</v>
      </c>
      <c r="H362" s="481" t="s">
        <v>3387</v>
      </c>
      <c r="I362" s="481" t="s">
        <v>2764</v>
      </c>
      <c r="J362" s="481" t="s">
        <v>3055</v>
      </c>
      <c r="K362" s="481" t="s">
        <v>3055</v>
      </c>
    </row>
    <row r="363" spans="1:11" ht="33.75">
      <c r="A363" s="481" t="s">
        <v>47</v>
      </c>
      <c r="B363" s="481" t="s">
        <v>5111</v>
      </c>
      <c r="C363" s="479">
        <v>0.50416666666666665</v>
      </c>
      <c r="D363" s="481" t="s">
        <v>5111</v>
      </c>
      <c r="E363" s="520">
        <v>0.54652777777777783</v>
      </c>
      <c r="F363" s="481" t="s">
        <v>2847</v>
      </c>
      <c r="G363" s="481" t="s">
        <v>124</v>
      </c>
      <c r="H363" s="481" t="s">
        <v>3356</v>
      </c>
      <c r="I363" s="481" t="s">
        <v>100</v>
      </c>
      <c r="J363" s="481" t="s">
        <v>3055</v>
      </c>
      <c r="K363" s="481" t="s">
        <v>3055</v>
      </c>
    </row>
    <row r="364" spans="1:11" ht="33.75">
      <c r="A364" s="481" t="s">
        <v>47</v>
      </c>
      <c r="B364" s="481" t="s">
        <v>5112</v>
      </c>
      <c r="C364" s="479">
        <v>0.13402777777777777</v>
      </c>
      <c r="D364" s="481" t="s">
        <v>5113</v>
      </c>
      <c r="E364" s="520">
        <v>0.64583333333333337</v>
      </c>
      <c r="F364" s="481" t="s">
        <v>5114</v>
      </c>
      <c r="G364" s="481" t="s">
        <v>63</v>
      </c>
      <c r="H364" s="481" t="s">
        <v>2753</v>
      </c>
      <c r="I364" s="481" t="s">
        <v>22</v>
      </c>
      <c r="J364" s="481" t="s">
        <v>3121</v>
      </c>
      <c r="K364" s="481" t="s">
        <v>5115</v>
      </c>
    </row>
    <row r="365" spans="1:11" ht="33.75">
      <c r="A365" s="481" t="s">
        <v>47</v>
      </c>
      <c r="B365" s="481" t="s">
        <v>5112</v>
      </c>
      <c r="C365" s="479">
        <v>0.76111111111111107</v>
      </c>
      <c r="D365" s="481" t="s">
        <v>5116</v>
      </c>
      <c r="E365" s="520">
        <v>0.70833333333333337</v>
      </c>
      <c r="F365" s="481" t="s">
        <v>2868</v>
      </c>
      <c r="G365" s="481" t="s">
        <v>61</v>
      </c>
      <c r="H365" s="481" t="s">
        <v>2753</v>
      </c>
      <c r="I365" s="481" t="s">
        <v>22</v>
      </c>
      <c r="J365" s="481" t="s">
        <v>45</v>
      </c>
      <c r="K365" s="481" t="s">
        <v>4488</v>
      </c>
    </row>
    <row r="366" spans="1:11" ht="33.75">
      <c r="A366" s="481" t="s">
        <v>47</v>
      </c>
      <c r="B366" s="481" t="s">
        <v>5112</v>
      </c>
      <c r="C366" s="479">
        <v>0.46736111111111112</v>
      </c>
      <c r="D366" s="481" t="s">
        <v>5117</v>
      </c>
      <c r="E366" s="520">
        <v>0.96250000000000002</v>
      </c>
      <c r="F366" s="481" t="s">
        <v>3307</v>
      </c>
      <c r="G366" s="481" t="s">
        <v>674</v>
      </c>
      <c r="H366" s="481" t="s">
        <v>2753</v>
      </c>
      <c r="I366" s="481" t="s">
        <v>22</v>
      </c>
      <c r="J366" s="481" t="s">
        <v>45</v>
      </c>
      <c r="K366" s="481" t="s">
        <v>5118</v>
      </c>
    </row>
    <row r="367" spans="1:11" ht="112.5">
      <c r="A367" s="481" t="s">
        <v>47</v>
      </c>
      <c r="B367" s="481" t="s">
        <v>5112</v>
      </c>
      <c r="C367" s="479">
        <v>0.4375</v>
      </c>
      <c r="D367" s="481" t="s">
        <v>5112</v>
      </c>
      <c r="E367" s="520">
        <v>0.625</v>
      </c>
      <c r="F367" s="481" t="s">
        <v>5119</v>
      </c>
      <c r="G367" s="481" t="s">
        <v>674</v>
      </c>
      <c r="H367" s="481" t="s">
        <v>2753</v>
      </c>
      <c r="I367" s="481" t="s">
        <v>22</v>
      </c>
      <c r="J367" s="481" t="s">
        <v>45</v>
      </c>
      <c r="K367" s="481" t="s">
        <v>5120</v>
      </c>
    </row>
    <row r="368" spans="1:11" ht="67.5">
      <c r="A368" s="481" t="s">
        <v>47</v>
      </c>
      <c r="B368" s="481" t="s">
        <v>5117</v>
      </c>
      <c r="C368" s="479">
        <v>0.25972222222222224</v>
      </c>
      <c r="D368" s="481" t="s">
        <v>5117</v>
      </c>
      <c r="E368" s="520">
        <v>0.27777777777777779</v>
      </c>
      <c r="F368" s="481" t="s">
        <v>5121</v>
      </c>
      <c r="G368" s="481" t="s">
        <v>63</v>
      </c>
      <c r="H368" s="481" t="s">
        <v>2910</v>
      </c>
      <c r="I368" s="481" t="s">
        <v>100</v>
      </c>
      <c r="J368" s="481" t="s">
        <v>4323</v>
      </c>
      <c r="K368" s="481" t="s">
        <v>45</v>
      </c>
    </row>
    <row r="369" spans="1:11" ht="67.5">
      <c r="A369" s="481" t="s">
        <v>47</v>
      </c>
      <c r="B369" s="481" t="s">
        <v>5122</v>
      </c>
      <c r="C369" s="479">
        <v>0.31111111111111112</v>
      </c>
      <c r="D369" s="481" t="s">
        <v>5122</v>
      </c>
      <c r="E369" s="520">
        <v>0.57152777777777775</v>
      </c>
      <c r="F369" s="481" t="s">
        <v>3079</v>
      </c>
      <c r="G369" s="481" t="s">
        <v>124</v>
      </c>
      <c r="H369" s="481" t="s">
        <v>2839</v>
      </c>
      <c r="I369" s="481" t="s">
        <v>22</v>
      </c>
      <c r="J369" s="481" t="s">
        <v>5123</v>
      </c>
      <c r="K369" s="481" t="s">
        <v>5124</v>
      </c>
    </row>
    <row r="370" spans="1:11" ht="67.5">
      <c r="A370" s="481" t="s">
        <v>47</v>
      </c>
      <c r="B370" s="481" t="s">
        <v>5122</v>
      </c>
      <c r="C370" s="479">
        <v>0.40208333333333335</v>
      </c>
      <c r="D370" s="481" t="s">
        <v>5122</v>
      </c>
      <c r="E370" s="520">
        <v>0.40833333333333338</v>
      </c>
      <c r="F370" s="481" t="s">
        <v>4049</v>
      </c>
      <c r="G370" s="481" t="s">
        <v>124</v>
      </c>
      <c r="H370" s="481" t="s">
        <v>3411</v>
      </c>
      <c r="I370" s="481" t="s">
        <v>2764</v>
      </c>
      <c r="J370" s="481" t="s">
        <v>3055</v>
      </c>
      <c r="K370" s="481" t="s">
        <v>3055</v>
      </c>
    </row>
    <row r="371" spans="1:11" ht="33.75">
      <c r="A371" s="481" t="s">
        <v>47</v>
      </c>
      <c r="B371" s="481" t="s">
        <v>5113</v>
      </c>
      <c r="C371" s="479">
        <v>0.79166666666666663</v>
      </c>
      <c r="D371" s="481" t="s">
        <v>5125</v>
      </c>
      <c r="E371" s="520">
        <v>0.125</v>
      </c>
      <c r="F371" s="481" t="s">
        <v>4703</v>
      </c>
      <c r="G371" s="481" t="s">
        <v>674</v>
      </c>
      <c r="H371" s="481" t="s">
        <v>2753</v>
      </c>
      <c r="I371" s="481" t="s">
        <v>22</v>
      </c>
      <c r="J371" s="481" t="s">
        <v>45</v>
      </c>
      <c r="K371" s="481" t="s">
        <v>5126</v>
      </c>
    </row>
    <row r="372" spans="1:11" ht="33.75">
      <c r="A372" s="481" t="s">
        <v>47</v>
      </c>
      <c r="B372" s="481" t="s">
        <v>5113</v>
      </c>
      <c r="C372" s="479">
        <v>0.75</v>
      </c>
      <c r="D372" s="481" t="s">
        <v>5125</v>
      </c>
      <c r="E372" s="520">
        <v>0.375</v>
      </c>
      <c r="F372" s="481" t="s">
        <v>5127</v>
      </c>
      <c r="G372" s="481" t="s">
        <v>674</v>
      </c>
      <c r="H372" s="481" t="s">
        <v>2753</v>
      </c>
      <c r="I372" s="481" t="s">
        <v>22</v>
      </c>
      <c r="J372" s="481" t="s">
        <v>45</v>
      </c>
      <c r="K372" s="481" t="s">
        <v>5128</v>
      </c>
    </row>
    <row r="373" spans="1:11" ht="33.75">
      <c r="A373" s="481" t="s">
        <v>47</v>
      </c>
      <c r="B373" s="481" t="s">
        <v>5113</v>
      </c>
      <c r="C373" s="479">
        <v>0.69236111111111109</v>
      </c>
      <c r="D373" s="481" t="s">
        <v>5125</v>
      </c>
      <c r="E373" s="520">
        <v>0.47916666666666669</v>
      </c>
      <c r="F373" s="481" t="s">
        <v>4614</v>
      </c>
      <c r="G373" s="481" t="s">
        <v>5055</v>
      </c>
      <c r="H373" s="481" t="s">
        <v>2753</v>
      </c>
      <c r="I373" s="481" t="s">
        <v>22</v>
      </c>
      <c r="J373" s="481" t="s">
        <v>3055</v>
      </c>
      <c r="K373" s="481" t="s">
        <v>5129</v>
      </c>
    </row>
    <row r="374" spans="1:11" ht="33.75">
      <c r="A374" s="481" t="s">
        <v>47</v>
      </c>
      <c r="B374" s="481" t="s">
        <v>5113</v>
      </c>
      <c r="C374" s="479">
        <v>0.83333333333333337</v>
      </c>
      <c r="D374" s="481" t="s">
        <v>45</v>
      </c>
      <c r="E374" s="520" t="s">
        <v>45</v>
      </c>
      <c r="F374" s="481" t="s">
        <v>3554</v>
      </c>
      <c r="G374" s="481" t="s">
        <v>674</v>
      </c>
      <c r="H374" s="481" t="s">
        <v>2753</v>
      </c>
      <c r="I374" s="481" t="s">
        <v>22</v>
      </c>
      <c r="J374" s="481" t="s">
        <v>45</v>
      </c>
      <c r="K374" s="481" t="s">
        <v>5004</v>
      </c>
    </row>
    <row r="375" spans="1:11" ht="33.75">
      <c r="A375" s="481" t="s">
        <v>47</v>
      </c>
      <c r="B375" s="481" t="s">
        <v>5113</v>
      </c>
      <c r="C375" s="479">
        <v>0.83333333333333337</v>
      </c>
      <c r="D375" s="481" t="s">
        <v>45</v>
      </c>
      <c r="E375" s="520" t="s">
        <v>45</v>
      </c>
      <c r="F375" s="481" t="s">
        <v>3554</v>
      </c>
      <c r="G375" s="481" t="s">
        <v>674</v>
      </c>
      <c r="H375" s="481" t="s">
        <v>2753</v>
      </c>
      <c r="I375" s="481" t="s">
        <v>22</v>
      </c>
      <c r="J375" s="481" t="s">
        <v>45</v>
      </c>
      <c r="K375" s="481" t="s">
        <v>5130</v>
      </c>
    </row>
    <row r="376" spans="1:11" ht="67.5">
      <c r="A376" s="481" t="s">
        <v>47</v>
      </c>
      <c r="B376" s="481" t="s">
        <v>5113</v>
      </c>
      <c r="C376" s="479">
        <v>0.875</v>
      </c>
      <c r="D376" s="481" t="s">
        <v>45</v>
      </c>
      <c r="E376" s="520" t="s">
        <v>45</v>
      </c>
      <c r="F376" s="481" t="s">
        <v>5131</v>
      </c>
      <c r="G376" s="481" t="s">
        <v>674</v>
      </c>
      <c r="H376" s="481" t="s">
        <v>5132</v>
      </c>
      <c r="I376" s="481" t="s">
        <v>22</v>
      </c>
      <c r="J376" s="481" t="s">
        <v>45</v>
      </c>
      <c r="K376" s="481" t="s">
        <v>45</v>
      </c>
    </row>
    <row r="377" spans="1:11" ht="67.5">
      <c r="A377" s="481" t="s">
        <v>47</v>
      </c>
      <c r="B377" s="481" t="s">
        <v>5113</v>
      </c>
      <c r="C377" s="479">
        <v>0.66388888888888886</v>
      </c>
      <c r="D377" s="481" t="s">
        <v>5113</v>
      </c>
      <c r="E377" s="520">
        <v>0.7270833333333333</v>
      </c>
      <c r="F377" s="481" t="s">
        <v>5133</v>
      </c>
      <c r="G377" s="481" t="s">
        <v>674</v>
      </c>
      <c r="H377" s="481" t="s">
        <v>3411</v>
      </c>
      <c r="I377" s="481" t="s">
        <v>2764</v>
      </c>
      <c r="J377" s="481" t="s">
        <v>3432</v>
      </c>
      <c r="K377" s="481" t="s">
        <v>45</v>
      </c>
    </row>
    <row r="378" spans="1:11" ht="33.75">
      <c r="A378" s="481" t="s">
        <v>47</v>
      </c>
      <c r="B378" s="481" t="s">
        <v>5113</v>
      </c>
      <c r="C378" s="479">
        <v>0.69236111111111109</v>
      </c>
      <c r="D378" s="481" t="s">
        <v>45</v>
      </c>
      <c r="E378" s="520" t="s">
        <v>45</v>
      </c>
      <c r="F378" s="481" t="s">
        <v>4614</v>
      </c>
      <c r="G378" s="481" t="s">
        <v>5055</v>
      </c>
      <c r="H378" s="481" t="s">
        <v>2753</v>
      </c>
      <c r="I378" s="481" t="s">
        <v>22</v>
      </c>
      <c r="J378" s="481" t="s">
        <v>45</v>
      </c>
      <c r="K378" s="481" t="s">
        <v>45</v>
      </c>
    </row>
    <row r="379" spans="1:11" ht="168.75">
      <c r="A379" s="481" t="s">
        <v>47</v>
      </c>
      <c r="B379" s="481" t="s">
        <v>5125</v>
      </c>
      <c r="C379" s="479">
        <v>0.25</v>
      </c>
      <c r="D379" s="481" t="s">
        <v>5125</v>
      </c>
      <c r="E379" s="520">
        <v>0.83333333333333337</v>
      </c>
      <c r="F379" s="481" t="s">
        <v>5134</v>
      </c>
      <c r="G379" s="481" t="s">
        <v>674</v>
      </c>
      <c r="H379" s="481" t="s">
        <v>2753</v>
      </c>
      <c r="I379" s="481" t="s">
        <v>22</v>
      </c>
      <c r="J379" s="481" t="s">
        <v>45</v>
      </c>
      <c r="K379" s="481" t="s">
        <v>5135</v>
      </c>
    </row>
    <row r="380" spans="1:11" ht="33.75">
      <c r="A380" s="481" t="s">
        <v>47</v>
      </c>
      <c r="B380" s="481" t="s">
        <v>5136</v>
      </c>
      <c r="C380" s="479">
        <v>0.5444444444444444</v>
      </c>
      <c r="D380" s="481" t="s">
        <v>5136</v>
      </c>
      <c r="E380" s="520">
        <v>0.9159722222222223</v>
      </c>
      <c r="F380" s="481" t="s">
        <v>2945</v>
      </c>
      <c r="G380" s="481" t="s">
        <v>124</v>
      </c>
      <c r="H380" s="481" t="s">
        <v>5137</v>
      </c>
      <c r="I380" s="481" t="s">
        <v>2118</v>
      </c>
      <c r="J380" s="481" t="s">
        <v>5105</v>
      </c>
      <c r="K380" s="481" t="s">
        <v>5138</v>
      </c>
    </row>
    <row r="381" spans="1:11" ht="78.75">
      <c r="A381" s="481" t="s">
        <v>47</v>
      </c>
      <c r="B381" s="481" t="s">
        <v>5139</v>
      </c>
      <c r="C381" s="479">
        <v>0.8666666666666667</v>
      </c>
      <c r="D381" s="481" t="s">
        <v>5139</v>
      </c>
      <c r="E381" s="520">
        <v>0.875</v>
      </c>
      <c r="F381" s="481" t="s">
        <v>4185</v>
      </c>
      <c r="G381" s="481" t="s">
        <v>1352</v>
      </c>
      <c r="H381" s="481" t="s">
        <v>3402</v>
      </c>
      <c r="I381" s="481" t="s">
        <v>2118</v>
      </c>
      <c r="J381" s="481" t="s">
        <v>3055</v>
      </c>
      <c r="K381" s="481" t="s">
        <v>3055</v>
      </c>
    </row>
    <row r="382" spans="1:11" ht="67.5">
      <c r="A382" s="481" t="s">
        <v>47</v>
      </c>
      <c r="B382" s="481" t="s">
        <v>5140</v>
      </c>
      <c r="C382" s="479">
        <v>0.9159722222222223</v>
      </c>
      <c r="D382" s="481" t="s">
        <v>5141</v>
      </c>
      <c r="E382" s="520">
        <v>0.59375</v>
      </c>
      <c r="F382" s="481" t="s">
        <v>4185</v>
      </c>
      <c r="G382" s="481" t="s">
        <v>1352</v>
      </c>
      <c r="H382" s="481" t="s">
        <v>3411</v>
      </c>
      <c r="I382" s="481" t="s">
        <v>2764</v>
      </c>
      <c r="J382" s="481" t="s">
        <v>4075</v>
      </c>
      <c r="K382" s="481" t="s">
        <v>45</v>
      </c>
    </row>
    <row r="383" spans="1:11" ht="78.75">
      <c r="A383" s="481" t="s">
        <v>47</v>
      </c>
      <c r="B383" s="481" t="s">
        <v>5142</v>
      </c>
      <c r="C383" s="479">
        <v>4.8611111111111112E-2</v>
      </c>
      <c r="D383" s="481" t="s">
        <v>5142</v>
      </c>
      <c r="E383" s="520">
        <v>5.2083333333333336E-2</v>
      </c>
      <c r="F383" s="481" t="s">
        <v>5081</v>
      </c>
      <c r="G383" s="481" t="s">
        <v>3143</v>
      </c>
      <c r="H383" s="481" t="s">
        <v>3402</v>
      </c>
      <c r="I383" s="481" t="s">
        <v>2118</v>
      </c>
      <c r="J383" s="481" t="s">
        <v>3055</v>
      </c>
      <c r="K383" s="481" t="s">
        <v>3055</v>
      </c>
    </row>
    <row r="384" spans="1:11" ht="67.5">
      <c r="A384" s="481" t="s">
        <v>47</v>
      </c>
      <c r="B384" s="481" t="s">
        <v>5142</v>
      </c>
      <c r="C384" s="479">
        <v>0.58472222222222225</v>
      </c>
      <c r="D384" s="481" t="s">
        <v>5142</v>
      </c>
      <c r="E384" s="520">
        <v>0.62152777777777779</v>
      </c>
      <c r="F384" s="481" t="s">
        <v>5143</v>
      </c>
      <c r="G384" s="481" t="s">
        <v>61</v>
      </c>
      <c r="H384" s="481" t="s">
        <v>3411</v>
      </c>
      <c r="I384" s="481" t="s">
        <v>2764</v>
      </c>
      <c r="J384" s="481" t="s">
        <v>3055</v>
      </c>
      <c r="K384" s="481" t="s">
        <v>3055</v>
      </c>
    </row>
    <row r="385" spans="1:11" ht="67.5">
      <c r="A385" s="481" t="s">
        <v>47</v>
      </c>
      <c r="B385" s="481" t="s">
        <v>5144</v>
      </c>
      <c r="C385" s="479">
        <v>2.361111111111111E-2</v>
      </c>
      <c r="D385" s="481" t="s">
        <v>5144</v>
      </c>
      <c r="E385" s="520">
        <v>0.27777777777777779</v>
      </c>
      <c r="F385" s="481" t="s">
        <v>5145</v>
      </c>
      <c r="G385" s="481" t="s">
        <v>1352</v>
      </c>
      <c r="H385" s="481" t="s">
        <v>3411</v>
      </c>
      <c r="I385" s="481" t="s">
        <v>2764</v>
      </c>
      <c r="J385" s="481" t="s">
        <v>45</v>
      </c>
      <c r="K385" s="481" t="s">
        <v>45</v>
      </c>
    </row>
    <row r="386" spans="1:11" ht="33.75">
      <c r="A386" s="481" t="s">
        <v>47</v>
      </c>
      <c r="B386" s="481" t="s">
        <v>5146</v>
      </c>
      <c r="C386" s="479">
        <v>0.17430555555555557</v>
      </c>
      <c r="D386" s="481" t="s">
        <v>5147</v>
      </c>
      <c r="E386" s="520">
        <v>0.11180555555555556</v>
      </c>
      <c r="F386" s="481" t="s">
        <v>2945</v>
      </c>
      <c r="G386" s="481" t="s">
        <v>124</v>
      </c>
      <c r="H386" s="481" t="s">
        <v>2753</v>
      </c>
      <c r="I386" s="481" t="s">
        <v>22</v>
      </c>
      <c r="J386" s="481" t="s">
        <v>5148</v>
      </c>
      <c r="K386" s="481" t="s">
        <v>5149</v>
      </c>
    </row>
    <row r="387" spans="1:11" ht="67.5">
      <c r="A387" s="481" t="s">
        <v>47</v>
      </c>
      <c r="B387" s="481" t="s">
        <v>5146</v>
      </c>
      <c r="C387" s="479">
        <v>0.87569444444444444</v>
      </c>
      <c r="D387" s="481" t="s">
        <v>5150</v>
      </c>
      <c r="E387" s="520">
        <v>0.38263888888888897</v>
      </c>
      <c r="F387" s="481" t="s">
        <v>3079</v>
      </c>
      <c r="G387" s="481" t="s">
        <v>124</v>
      </c>
      <c r="H387" s="481" t="s">
        <v>2839</v>
      </c>
      <c r="I387" s="481" t="s">
        <v>2764</v>
      </c>
      <c r="J387" s="481" t="s">
        <v>5123</v>
      </c>
      <c r="K387" s="481" t="s">
        <v>5124</v>
      </c>
    </row>
    <row r="388" spans="1:11" ht="45">
      <c r="A388" s="481" t="s">
        <v>47</v>
      </c>
      <c r="B388" s="481" t="s">
        <v>5151</v>
      </c>
      <c r="C388" s="479">
        <v>0.45833333333333331</v>
      </c>
      <c r="D388" s="481" t="s">
        <v>5151</v>
      </c>
      <c r="E388" s="520">
        <v>0.5</v>
      </c>
      <c r="F388" s="481" t="s">
        <v>2817</v>
      </c>
      <c r="G388" s="481" t="s">
        <v>124</v>
      </c>
      <c r="H388" s="481" t="s">
        <v>3387</v>
      </c>
      <c r="I388" s="481" t="s">
        <v>2764</v>
      </c>
      <c r="J388" s="481" t="s">
        <v>3055</v>
      </c>
      <c r="K388" s="481" t="s">
        <v>3055</v>
      </c>
    </row>
    <row r="389" spans="1:11" ht="33.75">
      <c r="A389" s="481" t="s">
        <v>47</v>
      </c>
      <c r="B389" s="481" t="s">
        <v>5150</v>
      </c>
      <c r="C389" s="479">
        <v>0.78541666666666676</v>
      </c>
      <c r="D389" s="481" t="s">
        <v>45</v>
      </c>
      <c r="E389" s="520" t="s">
        <v>45</v>
      </c>
      <c r="F389" s="481" t="s">
        <v>5152</v>
      </c>
      <c r="G389" s="481" t="s">
        <v>63</v>
      </c>
      <c r="H389" s="481" t="s">
        <v>3356</v>
      </c>
      <c r="I389" s="481" t="s">
        <v>100</v>
      </c>
      <c r="J389" s="481" t="s">
        <v>3055</v>
      </c>
      <c r="K389" s="481" t="s">
        <v>3055</v>
      </c>
    </row>
  </sheetData>
  <autoFilter ref="A2:K2" xr:uid="{00000000-0009-0000-0000-000013000000}"/>
  <mergeCells count="1">
    <mergeCell ref="A1:K1"/>
  </mergeCells>
  <printOptions gridLines="1"/>
  <pageMargins left="0.25" right="0.25" top="0.75" bottom="0.75" header="0.3" footer="0.3"/>
  <pageSetup scale="97" fitToHeight="0" orientation="landscape"/>
  <headerFooter>
    <oddFooter>&amp;C&amp;"Arial,Bold"Page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K392"/>
  <sheetViews>
    <sheetView zoomScaleNormal="100" workbookViewId="0">
      <pane ySplit="2" topLeftCell="A385" activePane="bottomLeft" state="frozen"/>
      <selection pane="bottomLeft" activeCell="B2" sqref="B2:K392"/>
    </sheetView>
  </sheetViews>
  <sheetFormatPr defaultRowHeight="14.25"/>
  <cols>
    <col min="1" max="1" width="9.140625" style="463"/>
    <col min="2" max="2" width="10.5703125" style="456" customWidth="1"/>
    <col min="3" max="3" width="10.5703125" style="457" customWidth="1"/>
    <col min="4" max="4" width="10.5703125" style="456" customWidth="1"/>
    <col min="5" max="5" width="10.5703125" style="457" customWidth="1"/>
    <col min="6" max="6" width="20.42578125" style="458" customWidth="1"/>
    <col min="7" max="7" width="6.5703125" style="459" customWidth="1"/>
    <col min="8" max="8" width="26.140625" style="460" customWidth="1"/>
    <col min="9" max="9" width="15.85546875" style="459" customWidth="1"/>
    <col min="10" max="10" width="7.5703125" style="461" customWidth="1"/>
    <col min="11" max="11" width="9.5703125" style="524" customWidth="1"/>
    <col min="12" max="16384" width="9.140625" style="419"/>
  </cols>
  <sheetData>
    <row r="1" spans="1:11" s="412" customFormat="1" ht="15">
      <c r="A1" s="857" t="s">
        <v>5153</v>
      </c>
      <c r="B1" s="857"/>
      <c r="C1" s="857"/>
      <c r="D1" s="857"/>
      <c r="E1" s="857"/>
      <c r="F1" s="857"/>
      <c r="G1" s="857"/>
      <c r="H1" s="857"/>
      <c r="I1" s="857"/>
      <c r="J1" s="857"/>
      <c r="K1" s="857"/>
    </row>
    <row r="2" spans="1:11" ht="33.75">
      <c r="A2" s="518" t="s">
        <v>2742</v>
      </c>
      <c r="B2" s="414" t="s">
        <v>2105</v>
      </c>
      <c r="C2" s="415" t="s">
        <v>2106</v>
      </c>
      <c r="D2" s="414" t="s">
        <v>2107</v>
      </c>
      <c r="E2" s="415" t="s">
        <v>2108</v>
      </c>
      <c r="F2" s="416" t="s">
        <v>67</v>
      </c>
      <c r="G2" s="416" t="s">
        <v>57</v>
      </c>
      <c r="H2" s="416" t="s">
        <v>2743</v>
      </c>
      <c r="I2" s="416" t="s">
        <v>2109</v>
      </c>
      <c r="J2" s="417" t="s">
        <v>2110</v>
      </c>
      <c r="K2" s="523" t="s">
        <v>7</v>
      </c>
    </row>
    <row r="3" spans="1:11" ht="67.5">
      <c r="A3" s="481" t="s">
        <v>9</v>
      </c>
      <c r="B3" s="481" t="s">
        <v>5147</v>
      </c>
      <c r="C3" s="479">
        <v>0.52500000000000002</v>
      </c>
      <c r="D3" s="481" t="s">
        <v>5147</v>
      </c>
      <c r="E3" s="520">
        <v>0.59166666666666667</v>
      </c>
      <c r="F3" s="481" t="s">
        <v>4315</v>
      </c>
      <c r="G3" s="481" t="s">
        <v>124</v>
      </c>
      <c r="H3" s="481" t="s">
        <v>5132</v>
      </c>
      <c r="I3" s="481" t="s">
        <v>2764</v>
      </c>
      <c r="J3" s="481" t="s">
        <v>3055</v>
      </c>
      <c r="K3" s="481" t="s">
        <v>3055</v>
      </c>
    </row>
    <row r="4" spans="1:11" ht="67.5">
      <c r="A4" s="481" t="s">
        <v>9</v>
      </c>
      <c r="B4" s="481" t="s">
        <v>5147</v>
      </c>
      <c r="C4" s="479">
        <v>0.52500000000000002</v>
      </c>
      <c r="D4" s="481" t="s">
        <v>5154</v>
      </c>
      <c r="E4" s="520">
        <v>0.82152777777777775</v>
      </c>
      <c r="F4" s="481" t="s">
        <v>4315</v>
      </c>
      <c r="G4" s="481" t="s">
        <v>124</v>
      </c>
      <c r="H4" s="481" t="s">
        <v>5132</v>
      </c>
      <c r="I4" s="481" t="s">
        <v>2764</v>
      </c>
      <c r="J4" s="481" t="s">
        <v>3055</v>
      </c>
      <c r="K4" s="481" t="s">
        <v>3055</v>
      </c>
    </row>
    <row r="5" spans="1:11" ht="33.75">
      <c r="A5" s="481" t="s">
        <v>9</v>
      </c>
      <c r="B5" s="481" t="s">
        <v>5147</v>
      </c>
      <c r="C5" s="479">
        <v>4.2361111111111106E-2</v>
      </c>
      <c r="D5" s="481" t="s">
        <v>45</v>
      </c>
      <c r="E5" s="520" t="s">
        <v>45</v>
      </c>
      <c r="F5" s="481" t="s">
        <v>5155</v>
      </c>
      <c r="G5" s="481" t="s">
        <v>63</v>
      </c>
      <c r="H5" s="481" t="s">
        <v>3356</v>
      </c>
      <c r="I5" s="481" t="s">
        <v>100</v>
      </c>
      <c r="J5" s="481" t="s">
        <v>3055</v>
      </c>
      <c r="K5" s="481" t="s">
        <v>3055</v>
      </c>
    </row>
    <row r="6" spans="1:11" ht="33.75">
      <c r="A6" s="481" t="s">
        <v>9</v>
      </c>
      <c r="B6" s="481" t="s">
        <v>5147</v>
      </c>
      <c r="C6" s="479">
        <v>4.1666666666666666E-3</v>
      </c>
      <c r="D6" s="481" t="s">
        <v>5147</v>
      </c>
      <c r="E6" s="520">
        <v>0.24374999999999999</v>
      </c>
      <c r="F6" s="481" t="s">
        <v>5156</v>
      </c>
      <c r="G6" s="481" t="s">
        <v>61</v>
      </c>
      <c r="H6" s="481" t="s">
        <v>3356</v>
      </c>
      <c r="I6" s="481" t="s">
        <v>2118</v>
      </c>
      <c r="J6" s="481" t="s">
        <v>3082</v>
      </c>
      <c r="K6" s="481" t="s">
        <v>5157</v>
      </c>
    </row>
    <row r="7" spans="1:11" ht="67.5">
      <c r="A7" s="481" t="s">
        <v>9</v>
      </c>
      <c r="B7" s="481" t="s">
        <v>5154</v>
      </c>
      <c r="C7" s="479">
        <v>0.55625000000000002</v>
      </c>
      <c r="D7" s="481" t="s">
        <v>5154</v>
      </c>
      <c r="E7" s="520">
        <v>0.73472222222222217</v>
      </c>
      <c r="F7" s="481" t="s">
        <v>4776</v>
      </c>
      <c r="G7" s="481" t="s">
        <v>124</v>
      </c>
      <c r="H7" s="481" t="s">
        <v>2839</v>
      </c>
      <c r="I7" s="481" t="s">
        <v>22</v>
      </c>
      <c r="J7" s="481" t="s">
        <v>3175</v>
      </c>
      <c r="K7" s="481" t="s">
        <v>5158</v>
      </c>
    </row>
    <row r="8" spans="1:11" ht="67.5">
      <c r="A8" s="481" t="s">
        <v>9</v>
      </c>
      <c r="B8" s="481" t="s">
        <v>5159</v>
      </c>
      <c r="C8" s="479">
        <v>0.53125</v>
      </c>
      <c r="D8" s="481" t="s">
        <v>5159</v>
      </c>
      <c r="E8" s="520">
        <v>0.53194444444444444</v>
      </c>
      <c r="F8" s="481" t="s">
        <v>4315</v>
      </c>
      <c r="G8" s="481" t="s">
        <v>124</v>
      </c>
      <c r="H8" s="481" t="s">
        <v>2910</v>
      </c>
      <c r="I8" s="481" t="s">
        <v>100</v>
      </c>
      <c r="J8" s="481" t="s">
        <v>3055</v>
      </c>
      <c r="K8" s="481" t="s">
        <v>3055</v>
      </c>
    </row>
    <row r="9" spans="1:11" ht="33.75">
      <c r="A9" s="481" t="s">
        <v>9</v>
      </c>
      <c r="B9" s="481" t="s">
        <v>5159</v>
      </c>
      <c r="C9" s="479">
        <v>0.20833333333333334</v>
      </c>
      <c r="D9" s="481" t="s">
        <v>5160</v>
      </c>
      <c r="E9" s="520">
        <v>0.75</v>
      </c>
      <c r="F9" s="481" t="s">
        <v>2896</v>
      </c>
      <c r="G9" s="481" t="s">
        <v>63</v>
      </c>
      <c r="H9" s="481" t="s">
        <v>2753</v>
      </c>
      <c r="I9" s="481" t="s">
        <v>22</v>
      </c>
      <c r="J9" s="481" t="s">
        <v>45</v>
      </c>
      <c r="K9" s="481" t="s">
        <v>5161</v>
      </c>
    </row>
    <row r="10" spans="1:11" ht="33.75">
      <c r="A10" s="481" t="s">
        <v>9</v>
      </c>
      <c r="B10" s="481" t="s">
        <v>5159</v>
      </c>
      <c r="C10" s="479">
        <v>0.22916666666666666</v>
      </c>
      <c r="D10" s="481" t="s">
        <v>5160</v>
      </c>
      <c r="E10" s="520">
        <v>0.52083333333333337</v>
      </c>
      <c r="F10" s="481" t="s">
        <v>2832</v>
      </c>
      <c r="G10" s="481" t="s">
        <v>63</v>
      </c>
      <c r="H10" s="481" t="s">
        <v>2753</v>
      </c>
      <c r="I10" s="481" t="s">
        <v>22</v>
      </c>
      <c r="J10" s="481" t="s">
        <v>45</v>
      </c>
      <c r="K10" s="481" t="s">
        <v>5162</v>
      </c>
    </row>
    <row r="11" spans="1:11" ht="33.75">
      <c r="A11" s="481" t="s">
        <v>9</v>
      </c>
      <c r="B11" s="481" t="s">
        <v>5159</v>
      </c>
      <c r="C11" s="479">
        <v>4.1666666666666664E-2</v>
      </c>
      <c r="D11" s="481" t="s">
        <v>5159</v>
      </c>
      <c r="E11" s="520">
        <v>0.58333333333333337</v>
      </c>
      <c r="F11" s="481" t="s">
        <v>5163</v>
      </c>
      <c r="G11" s="481" t="s">
        <v>63</v>
      </c>
      <c r="H11" s="481" t="s">
        <v>2753</v>
      </c>
      <c r="I11" s="481" t="s">
        <v>22</v>
      </c>
      <c r="J11" s="481" t="s">
        <v>5164</v>
      </c>
      <c r="K11" s="481" t="s">
        <v>5165</v>
      </c>
    </row>
    <row r="12" spans="1:11" ht="67.5">
      <c r="A12" s="481" t="s">
        <v>9</v>
      </c>
      <c r="B12" s="481" t="s">
        <v>5166</v>
      </c>
      <c r="C12" s="479">
        <v>0.52222222222222225</v>
      </c>
      <c r="D12" s="481" t="s">
        <v>5166</v>
      </c>
      <c r="E12" s="520">
        <v>0.53125</v>
      </c>
      <c r="F12" s="481" t="s">
        <v>5167</v>
      </c>
      <c r="G12" s="481" t="s">
        <v>61</v>
      </c>
      <c r="H12" s="481" t="s">
        <v>3411</v>
      </c>
      <c r="I12" s="481" t="s">
        <v>2764</v>
      </c>
      <c r="J12" s="481" t="s">
        <v>3055</v>
      </c>
      <c r="K12" s="481" t="s">
        <v>3055</v>
      </c>
    </row>
    <row r="13" spans="1:11" ht="33.75">
      <c r="A13" s="481" t="s">
        <v>9</v>
      </c>
      <c r="B13" s="481" t="s">
        <v>5168</v>
      </c>
      <c r="C13" s="479">
        <v>9.7222222222222224E-2</v>
      </c>
      <c r="D13" s="481" t="s">
        <v>5169</v>
      </c>
      <c r="E13" s="520">
        <v>0.31944444444444448</v>
      </c>
      <c r="F13" s="481" t="s">
        <v>5012</v>
      </c>
      <c r="G13" s="481" t="s">
        <v>63</v>
      </c>
      <c r="H13" s="481" t="s">
        <v>3356</v>
      </c>
      <c r="I13" s="481" t="s">
        <v>100</v>
      </c>
      <c r="J13" s="481" t="s">
        <v>3055</v>
      </c>
      <c r="K13" s="481" t="s">
        <v>3055</v>
      </c>
    </row>
    <row r="14" spans="1:11" ht="67.5">
      <c r="A14" s="481" t="s">
        <v>9</v>
      </c>
      <c r="B14" s="481" t="s">
        <v>5168</v>
      </c>
      <c r="C14" s="479">
        <v>0.75486111111111109</v>
      </c>
      <c r="D14" s="481" t="s">
        <v>5168</v>
      </c>
      <c r="E14" s="520">
        <v>0.93472222222222223</v>
      </c>
      <c r="F14" s="481" t="s">
        <v>5156</v>
      </c>
      <c r="G14" s="481" t="s">
        <v>61</v>
      </c>
      <c r="H14" s="481" t="s">
        <v>2910</v>
      </c>
      <c r="I14" s="481" t="s">
        <v>2118</v>
      </c>
      <c r="J14" s="481" t="s">
        <v>3055</v>
      </c>
      <c r="K14" s="481" t="s">
        <v>3055</v>
      </c>
    </row>
    <row r="15" spans="1:11" ht="67.5">
      <c r="A15" s="481" t="s">
        <v>9</v>
      </c>
      <c r="B15" s="481" t="s">
        <v>5168</v>
      </c>
      <c r="C15" s="479">
        <v>0.12222222222222223</v>
      </c>
      <c r="D15" s="481" t="s">
        <v>5168</v>
      </c>
      <c r="E15" s="520">
        <v>0.12708333333333333</v>
      </c>
      <c r="F15" s="481" t="s">
        <v>5170</v>
      </c>
      <c r="G15" s="481" t="s">
        <v>1352</v>
      </c>
      <c r="H15" s="481" t="s">
        <v>3411</v>
      </c>
      <c r="I15" s="481" t="s">
        <v>2764</v>
      </c>
      <c r="J15" s="481" t="s">
        <v>3055</v>
      </c>
      <c r="K15" s="481" t="s">
        <v>3055</v>
      </c>
    </row>
    <row r="16" spans="1:11" ht="67.5">
      <c r="A16" s="481" t="s">
        <v>9</v>
      </c>
      <c r="B16" s="481" t="s">
        <v>5171</v>
      </c>
      <c r="C16" s="479">
        <v>0.75555555555555554</v>
      </c>
      <c r="D16" s="481" t="s">
        <v>45</v>
      </c>
      <c r="E16" s="520" t="s">
        <v>45</v>
      </c>
      <c r="F16" s="481" t="s">
        <v>5172</v>
      </c>
      <c r="G16" s="481" t="s">
        <v>63</v>
      </c>
      <c r="H16" s="481" t="s">
        <v>3411</v>
      </c>
      <c r="I16" s="481" t="s">
        <v>2764</v>
      </c>
      <c r="J16" s="481" t="s">
        <v>45</v>
      </c>
      <c r="K16" s="481" t="s">
        <v>45</v>
      </c>
    </row>
    <row r="17" spans="1:11" ht="45">
      <c r="A17" s="481" t="s">
        <v>9</v>
      </c>
      <c r="B17" s="481" t="s">
        <v>5169</v>
      </c>
      <c r="C17" s="479">
        <v>0.3888888888888889</v>
      </c>
      <c r="D17" s="481" t="s">
        <v>5169</v>
      </c>
      <c r="E17" s="520">
        <v>0.43402777777777773</v>
      </c>
      <c r="F17" s="481" t="s">
        <v>5173</v>
      </c>
      <c r="G17" s="481" t="s">
        <v>5174</v>
      </c>
      <c r="H17" s="481" t="s">
        <v>3387</v>
      </c>
      <c r="I17" s="481" t="s">
        <v>2764</v>
      </c>
      <c r="J17" s="481" t="s">
        <v>45</v>
      </c>
      <c r="K17" s="481" t="s">
        <v>45</v>
      </c>
    </row>
    <row r="18" spans="1:11" ht="90">
      <c r="A18" s="481" t="s">
        <v>9</v>
      </c>
      <c r="B18" s="481" t="s">
        <v>5175</v>
      </c>
      <c r="C18" s="479">
        <v>0.66666666666666663</v>
      </c>
      <c r="D18" s="481" t="s">
        <v>5175</v>
      </c>
      <c r="E18" s="520">
        <v>0.66736111111111107</v>
      </c>
      <c r="F18" s="481" t="s">
        <v>3758</v>
      </c>
      <c r="G18" s="481" t="s">
        <v>61</v>
      </c>
      <c r="H18" s="481" t="s">
        <v>3874</v>
      </c>
      <c r="I18" s="481" t="s">
        <v>2118</v>
      </c>
      <c r="J18" s="481" t="s">
        <v>3055</v>
      </c>
      <c r="K18" s="481" t="s">
        <v>3055</v>
      </c>
    </row>
    <row r="19" spans="1:11" ht="33.75">
      <c r="A19" s="481" t="s">
        <v>9</v>
      </c>
      <c r="B19" s="481" t="s">
        <v>5176</v>
      </c>
      <c r="C19" s="479">
        <v>0.57638888888888895</v>
      </c>
      <c r="D19" s="481" t="s">
        <v>5176</v>
      </c>
      <c r="E19" s="520">
        <v>0.59236111111111112</v>
      </c>
      <c r="F19" s="481" t="s">
        <v>5177</v>
      </c>
      <c r="G19" s="481" t="s">
        <v>61</v>
      </c>
      <c r="H19" s="481" t="s">
        <v>3356</v>
      </c>
      <c r="I19" s="481" t="s">
        <v>2118</v>
      </c>
      <c r="J19" s="481" t="s">
        <v>3055</v>
      </c>
      <c r="K19" s="481" t="s">
        <v>3055</v>
      </c>
    </row>
    <row r="20" spans="1:11" ht="67.5">
      <c r="A20" s="481" t="s">
        <v>9</v>
      </c>
      <c r="B20" s="481" t="s">
        <v>5176</v>
      </c>
      <c r="C20" s="479">
        <v>0.35694444444444445</v>
      </c>
      <c r="D20" s="481" t="s">
        <v>5176</v>
      </c>
      <c r="E20" s="520">
        <v>0.36249999999999999</v>
      </c>
      <c r="F20" s="481" t="s">
        <v>5178</v>
      </c>
      <c r="G20" s="481" t="s">
        <v>5179</v>
      </c>
      <c r="H20" s="481" t="s">
        <v>3411</v>
      </c>
      <c r="I20" s="481" t="s">
        <v>2483</v>
      </c>
      <c r="J20" s="481" t="s">
        <v>3055</v>
      </c>
      <c r="K20" s="481" t="s">
        <v>3055</v>
      </c>
    </row>
    <row r="21" spans="1:11" ht="78.75">
      <c r="A21" s="481" t="s">
        <v>9</v>
      </c>
      <c r="B21" s="481" t="s">
        <v>5180</v>
      </c>
      <c r="C21" s="479">
        <v>0.58958333333333335</v>
      </c>
      <c r="D21" s="481" t="s">
        <v>5180</v>
      </c>
      <c r="E21" s="520">
        <v>0.60277777777777775</v>
      </c>
      <c r="F21" s="481" t="s">
        <v>5181</v>
      </c>
      <c r="G21" s="481" t="s">
        <v>61</v>
      </c>
      <c r="H21" s="481" t="s">
        <v>3402</v>
      </c>
      <c r="I21" s="481" t="s">
        <v>2118</v>
      </c>
      <c r="J21" s="481" t="s">
        <v>3055</v>
      </c>
      <c r="K21" s="481" t="s">
        <v>3055</v>
      </c>
    </row>
    <row r="22" spans="1:11" ht="33.75">
      <c r="A22" s="481" t="s">
        <v>9</v>
      </c>
      <c r="B22" s="481" t="s">
        <v>5182</v>
      </c>
      <c r="C22" s="479">
        <v>0.50347222222222221</v>
      </c>
      <c r="D22" s="481" t="s">
        <v>5183</v>
      </c>
      <c r="E22" s="520">
        <v>0.36458333333333331</v>
      </c>
      <c r="F22" s="481" t="s">
        <v>5184</v>
      </c>
      <c r="G22" s="481" t="s">
        <v>63</v>
      </c>
      <c r="H22" s="481" t="s">
        <v>2753</v>
      </c>
      <c r="I22" s="481" t="s">
        <v>22</v>
      </c>
      <c r="J22" s="481" t="s">
        <v>45</v>
      </c>
      <c r="K22" s="481" t="s">
        <v>5185</v>
      </c>
    </row>
    <row r="23" spans="1:11" ht="33.75">
      <c r="A23" s="481" t="s">
        <v>9</v>
      </c>
      <c r="B23" s="481" t="s">
        <v>5182</v>
      </c>
      <c r="C23" s="479">
        <v>0.55208333333333337</v>
      </c>
      <c r="D23" s="481" t="s">
        <v>5182</v>
      </c>
      <c r="E23" s="520">
        <v>0.71875</v>
      </c>
      <c r="F23" s="481" t="s">
        <v>2832</v>
      </c>
      <c r="G23" s="481" t="s">
        <v>63</v>
      </c>
      <c r="H23" s="481" t="s">
        <v>2753</v>
      </c>
      <c r="I23" s="481" t="s">
        <v>22</v>
      </c>
      <c r="J23" s="481" t="s">
        <v>45</v>
      </c>
      <c r="K23" s="481" t="s">
        <v>5186</v>
      </c>
    </row>
    <row r="24" spans="1:11" ht="33.75">
      <c r="A24" s="481" t="s">
        <v>9</v>
      </c>
      <c r="B24" s="481" t="s">
        <v>5182</v>
      </c>
      <c r="C24" s="479">
        <v>0.21875</v>
      </c>
      <c r="D24" s="481" t="s">
        <v>5183</v>
      </c>
      <c r="E24" s="520">
        <v>4.1666666666666666E-3</v>
      </c>
      <c r="F24" s="481" t="s">
        <v>5187</v>
      </c>
      <c r="G24" s="481" t="s">
        <v>63</v>
      </c>
      <c r="H24" s="481" t="s">
        <v>2753</v>
      </c>
      <c r="I24" s="481" t="s">
        <v>22</v>
      </c>
      <c r="J24" s="481" t="s">
        <v>5188</v>
      </c>
      <c r="K24" s="481" t="s">
        <v>5189</v>
      </c>
    </row>
    <row r="25" spans="1:11" ht="67.5">
      <c r="A25" s="481" t="s">
        <v>9</v>
      </c>
      <c r="B25" s="481" t="s">
        <v>5190</v>
      </c>
      <c r="C25" s="479">
        <v>0.93194444444444446</v>
      </c>
      <c r="D25" s="481" t="s">
        <v>5190</v>
      </c>
      <c r="E25" s="520">
        <v>0.93263888888888891</v>
      </c>
      <c r="F25" s="481" t="s">
        <v>2809</v>
      </c>
      <c r="G25" s="481" t="s">
        <v>1352</v>
      </c>
      <c r="H25" s="481" t="s">
        <v>5099</v>
      </c>
      <c r="I25" s="481" t="s">
        <v>2952</v>
      </c>
      <c r="J25" s="481" t="s">
        <v>3055</v>
      </c>
      <c r="K25" s="481" t="s">
        <v>3055</v>
      </c>
    </row>
    <row r="26" spans="1:11" ht="45">
      <c r="A26" s="481" t="s">
        <v>9</v>
      </c>
      <c r="B26" s="481" t="s">
        <v>5191</v>
      </c>
      <c r="C26" s="479">
        <v>0.60763888888888895</v>
      </c>
      <c r="D26" s="481" t="s">
        <v>5191</v>
      </c>
      <c r="E26" s="520">
        <v>0.66805555555555562</v>
      </c>
      <c r="F26" s="481" t="s">
        <v>2959</v>
      </c>
      <c r="G26" s="481" t="s">
        <v>61</v>
      </c>
      <c r="H26" s="481" t="s">
        <v>3387</v>
      </c>
      <c r="I26" s="481" t="s">
        <v>2764</v>
      </c>
      <c r="J26" s="481" t="s">
        <v>3055</v>
      </c>
      <c r="K26" s="481" t="s">
        <v>3055</v>
      </c>
    </row>
    <row r="27" spans="1:11" ht="45">
      <c r="A27" s="481" t="s">
        <v>9</v>
      </c>
      <c r="B27" s="481" t="s">
        <v>5192</v>
      </c>
      <c r="C27" s="479">
        <v>0.83124999999999993</v>
      </c>
      <c r="D27" s="481" t="s">
        <v>5193</v>
      </c>
      <c r="E27" s="520">
        <v>0.22916666666666666</v>
      </c>
      <c r="F27" s="481" t="s">
        <v>5194</v>
      </c>
      <c r="G27" s="481" t="s">
        <v>5015</v>
      </c>
      <c r="H27" s="481" t="s">
        <v>3387</v>
      </c>
      <c r="I27" s="481" t="s">
        <v>22</v>
      </c>
      <c r="J27" s="481" t="s">
        <v>3055</v>
      </c>
      <c r="K27" s="481" t="s">
        <v>3055</v>
      </c>
    </row>
    <row r="28" spans="1:11" ht="45">
      <c r="A28" s="481" t="s">
        <v>9</v>
      </c>
      <c r="B28" s="481" t="s">
        <v>5192</v>
      </c>
      <c r="C28" s="479">
        <v>0.375</v>
      </c>
      <c r="D28" s="481" t="s">
        <v>5192</v>
      </c>
      <c r="E28" s="520">
        <v>0.41597222222222219</v>
      </c>
      <c r="F28" s="481" t="s">
        <v>2959</v>
      </c>
      <c r="G28" s="481" t="s">
        <v>61</v>
      </c>
      <c r="H28" s="481" t="s">
        <v>3387</v>
      </c>
      <c r="I28" s="481" t="s">
        <v>2764</v>
      </c>
      <c r="J28" s="481" t="s">
        <v>3055</v>
      </c>
      <c r="K28" s="481" t="s">
        <v>3055</v>
      </c>
    </row>
    <row r="29" spans="1:11" ht="78.75">
      <c r="A29" s="481" t="s">
        <v>9</v>
      </c>
      <c r="B29" s="481" t="s">
        <v>5195</v>
      </c>
      <c r="C29" s="479">
        <v>2.5694444444444447E-2</v>
      </c>
      <c r="D29" s="481" t="s">
        <v>5195</v>
      </c>
      <c r="E29" s="520">
        <v>2.9166666666666664E-2</v>
      </c>
      <c r="F29" s="481" t="s">
        <v>5196</v>
      </c>
      <c r="G29" s="481" t="s">
        <v>3143</v>
      </c>
      <c r="H29" s="481" t="s">
        <v>3402</v>
      </c>
      <c r="I29" s="481" t="s">
        <v>2118</v>
      </c>
      <c r="J29" s="481" t="s">
        <v>3055</v>
      </c>
      <c r="K29" s="481" t="s">
        <v>3055</v>
      </c>
    </row>
    <row r="30" spans="1:11" ht="67.5">
      <c r="A30" s="481" t="s">
        <v>9</v>
      </c>
      <c r="B30" s="481" t="s">
        <v>5197</v>
      </c>
      <c r="C30" s="479">
        <v>0.43541666666666662</v>
      </c>
      <c r="D30" s="481" t="s">
        <v>5197</v>
      </c>
      <c r="E30" s="520">
        <v>0.45208333333333334</v>
      </c>
      <c r="F30" s="481" t="s">
        <v>4049</v>
      </c>
      <c r="G30" s="481" t="s">
        <v>124</v>
      </c>
      <c r="H30" s="481" t="s">
        <v>3411</v>
      </c>
      <c r="I30" s="481" t="s">
        <v>2764</v>
      </c>
      <c r="J30" s="481" t="s">
        <v>3055</v>
      </c>
      <c r="K30" s="481" t="s">
        <v>3055</v>
      </c>
    </row>
    <row r="31" spans="1:11" ht="33.75">
      <c r="A31" s="481" t="s">
        <v>9</v>
      </c>
      <c r="B31" s="481" t="s">
        <v>5197</v>
      </c>
      <c r="C31" s="479">
        <v>0.49305555555555558</v>
      </c>
      <c r="D31" s="481" t="s">
        <v>5197</v>
      </c>
      <c r="E31" s="520">
        <v>0.66666666666666663</v>
      </c>
      <c r="F31" s="481" t="s">
        <v>5198</v>
      </c>
      <c r="G31" s="481" t="s">
        <v>61</v>
      </c>
      <c r="H31" s="481" t="s">
        <v>3356</v>
      </c>
      <c r="I31" s="481" t="s">
        <v>2343</v>
      </c>
      <c r="J31" s="481" t="s">
        <v>3055</v>
      </c>
      <c r="K31" s="481" t="s">
        <v>3055</v>
      </c>
    </row>
    <row r="32" spans="1:11" ht="45">
      <c r="A32" s="481" t="s">
        <v>9</v>
      </c>
      <c r="B32" s="481" t="s">
        <v>5199</v>
      </c>
      <c r="C32" s="479">
        <v>0.56736111111111109</v>
      </c>
      <c r="D32" s="481" t="s">
        <v>5199</v>
      </c>
      <c r="E32" s="520">
        <v>0.59375</v>
      </c>
      <c r="F32" s="481" t="s">
        <v>3575</v>
      </c>
      <c r="G32" s="481" t="s">
        <v>63</v>
      </c>
      <c r="H32" s="481" t="s">
        <v>3387</v>
      </c>
      <c r="I32" s="481" t="s">
        <v>2764</v>
      </c>
      <c r="J32" s="481" t="s">
        <v>3055</v>
      </c>
      <c r="K32" s="481" t="s">
        <v>3055</v>
      </c>
    </row>
    <row r="33" spans="1:11" ht="67.5">
      <c r="A33" s="481" t="s">
        <v>9</v>
      </c>
      <c r="B33" s="481" t="s">
        <v>5200</v>
      </c>
      <c r="C33" s="479">
        <v>0.47916666666666669</v>
      </c>
      <c r="D33" s="481" t="s">
        <v>5200</v>
      </c>
      <c r="E33" s="520">
        <v>0.47986111111111113</v>
      </c>
      <c r="F33" s="481" t="s">
        <v>2817</v>
      </c>
      <c r="G33" s="481" t="s">
        <v>124</v>
      </c>
      <c r="H33" s="481" t="s">
        <v>5132</v>
      </c>
      <c r="I33" s="481" t="s">
        <v>100</v>
      </c>
      <c r="J33" s="481" t="s">
        <v>3055</v>
      </c>
      <c r="K33" s="481" t="s">
        <v>3055</v>
      </c>
    </row>
    <row r="34" spans="1:11" ht="67.5">
      <c r="A34" s="481" t="s">
        <v>9</v>
      </c>
      <c r="B34" s="481" t="s">
        <v>5201</v>
      </c>
      <c r="C34" s="479">
        <v>0.65347222222222223</v>
      </c>
      <c r="D34" s="481" t="s">
        <v>5201</v>
      </c>
      <c r="E34" s="520">
        <v>0.89583333333333337</v>
      </c>
      <c r="F34" s="481" t="s">
        <v>5202</v>
      </c>
      <c r="G34" s="481" t="s">
        <v>124</v>
      </c>
      <c r="H34" s="481" t="s">
        <v>3411</v>
      </c>
      <c r="I34" s="481" t="s">
        <v>2483</v>
      </c>
      <c r="J34" s="481" t="s">
        <v>3055</v>
      </c>
      <c r="K34" s="481" t="s">
        <v>3055</v>
      </c>
    </row>
    <row r="35" spans="1:11" ht="45">
      <c r="A35" s="481" t="s">
        <v>9</v>
      </c>
      <c r="B35" s="481" t="s">
        <v>5203</v>
      </c>
      <c r="C35" s="479">
        <v>0.36458333333333331</v>
      </c>
      <c r="D35" s="481" t="s">
        <v>5204</v>
      </c>
      <c r="E35" s="520">
        <v>4.1666666666666664E-2</v>
      </c>
      <c r="F35" s="481" t="s">
        <v>2906</v>
      </c>
      <c r="G35" s="481" t="s">
        <v>61</v>
      </c>
      <c r="H35" s="481" t="s">
        <v>2753</v>
      </c>
      <c r="I35" s="481" t="s">
        <v>22</v>
      </c>
      <c r="J35" s="481" t="s">
        <v>5123</v>
      </c>
      <c r="K35" s="481" t="s">
        <v>5205</v>
      </c>
    </row>
    <row r="36" spans="1:11" ht="45">
      <c r="A36" s="481" t="s">
        <v>9</v>
      </c>
      <c r="B36" s="481" t="s">
        <v>5204</v>
      </c>
      <c r="C36" s="479">
        <v>0.8618055555555556</v>
      </c>
      <c r="D36" s="481" t="s">
        <v>5206</v>
      </c>
      <c r="E36" s="520">
        <v>2.9166666666666664E-2</v>
      </c>
      <c r="F36" s="481" t="s">
        <v>3642</v>
      </c>
      <c r="G36" s="481" t="s">
        <v>674</v>
      </c>
      <c r="H36" s="481" t="s">
        <v>3387</v>
      </c>
      <c r="I36" s="481" t="s">
        <v>2764</v>
      </c>
      <c r="J36" s="481" t="s">
        <v>3055</v>
      </c>
      <c r="K36" s="481" t="s">
        <v>3055</v>
      </c>
    </row>
    <row r="37" spans="1:11" ht="78.75">
      <c r="A37" s="481" t="s">
        <v>9</v>
      </c>
      <c r="B37" s="481" t="s">
        <v>5206</v>
      </c>
      <c r="C37" s="479">
        <v>0.83194444444444438</v>
      </c>
      <c r="D37" s="481" t="s">
        <v>5206</v>
      </c>
      <c r="E37" s="520">
        <v>0.84027777777777779</v>
      </c>
      <c r="F37" s="481" t="s">
        <v>5207</v>
      </c>
      <c r="G37" s="481" t="s">
        <v>3143</v>
      </c>
      <c r="H37" s="481" t="s">
        <v>3402</v>
      </c>
      <c r="I37" s="481" t="s">
        <v>2118</v>
      </c>
      <c r="J37" s="481" t="s">
        <v>3055</v>
      </c>
      <c r="K37" s="481" t="s">
        <v>3055</v>
      </c>
    </row>
    <row r="38" spans="1:11" ht="67.5">
      <c r="A38" s="481" t="s">
        <v>17</v>
      </c>
      <c r="B38" s="481" t="s">
        <v>5208</v>
      </c>
      <c r="C38" s="479">
        <v>0.50902777777777775</v>
      </c>
      <c r="D38" s="481" t="s">
        <v>5208</v>
      </c>
      <c r="E38" s="520">
        <v>0.51736111111111105</v>
      </c>
      <c r="F38" s="481" t="s">
        <v>4426</v>
      </c>
      <c r="G38" s="481" t="s">
        <v>124</v>
      </c>
      <c r="H38" s="481" t="s">
        <v>2839</v>
      </c>
      <c r="I38" s="481" t="s">
        <v>2764</v>
      </c>
      <c r="J38" s="481" t="s">
        <v>5105</v>
      </c>
      <c r="K38" s="481" t="s">
        <v>5209</v>
      </c>
    </row>
    <row r="39" spans="1:11" ht="33.75">
      <c r="A39" s="481" t="s">
        <v>17</v>
      </c>
      <c r="B39" s="481" t="s">
        <v>5210</v>
      </c>
      <c r="C39" s="479">
        <v>0.41666666666666669</v>
      </c>
      <c r="D39" s="481" t="s">
        <v>5211</v>
      </c>
      <c r="E39" s="520">
        <v>0.83333333333333337</v>
      </c>
      <c r="F39" s="481" t="s">
        <v>2935</v>
      </c>
      <c r="G39" s="481" t="s">
        <v>63</v>
      </c>
      <c r="H39" s="481" t="s">
        <v>2753</v>
      </c>
      <c r="I39" s="481" t="s">
        <v>2990</v>
      </c>
      <c r="J39" s="481" t="s">
        <v>45</v>
      </c>
      <c r="K39" s="481" t="s">
        <v>5212</v>
      </c>
    </row>
    <row r="40" spans="1:11" ht="33.75">
      <c r="A40" s="481" t="s">
        <v>17</v>
      </c>
      <c r="B40" s="481" t="s">
        <v>5210</v>
      </c>
      <c r="C40" s="479">
        <v>0.53888888888888886</v>
      </c>
      <c r="D40" s="481" t="s">
        <v>5213</v>
      </c>
      <c r="E40" s="520">
        <v>0.85416666666666663</v>
      </c>
      <c r="F40" s="481" t="s">
        <v>2895</v>
      </c>
      <c r="G40" s="481" t="s">
        <v>3143</v>
      </c>
      <c r="H40" s="481" t="s">
        <v>2753</v>
      </c>
      <c r="I40" s="481" t="s">
        <v>2990</v>
      </c>
      <c r="J40" s="481" t="s">
        <v>45</v>
      </c>
      <c r="K40" s="481" t="s">
        <v>4203</v>
      </c>
    </row>
    <row r="41" spans="1:11" ht="33.75">
      <c r="A41" s="481" t="s">
        <v>17</v>
      </c>
      <c r="B41" s="481" t="s">
        <v>5210</v>
      </c>
      <c r="C41" s="479">
        <v>0.53888888888888886</v>
      </c>
      <c r="D41" s="481" t="s">
        <v>45</v>
      </c>
      <c r="E41" s="520" t="s">
        <v>45</v>
      </c>
      <c r="F41" s="481" t="s">
        <v>2895</v>
      </c>
      <c r="G41" s="481" t="s">
        <v>3143</v>
      </c>
      <c r="H41" s="481" t="s">
        <v>2753</v>
      </c>
      <c r="I41" s="481" t="s">
        <v>2990</v>
      </c>
      <c r="J41" s="481" t="s">
        <v>45</v>
      </c>
      <c r="K41" s="481" t="s">
        <v>4203</v>
      </c>
    </row>
    <row r="42" spans="1:11" ht="67.5">
      <c r="A42" s="481" t="s">
        <v>17</v>
      </c>
      <c r="B42" s="481" t="s">
        <v>5213</v>
      </c>
      <c r="C42" s="479">
        <v>0.76458333333333339</v>
      </c>
      <c r="D42" s="481" t="s">
        <v>5213</v>
      </c>
      <c r="E42" s="520">
        <v>0.91666666666666663</v>
      </c>
      <c r="F42" s="481" t="s">
        <v>2919</v>
      </c>
      <c r="G42" s="481" t="s">
        <v>1352</v>
      </c>
      <c r="H42" s="481" t="s">
        <v>2839</v>
      </c>
      <c r="I42" s="481" t="s">
        <v>2483</v>
      </c>
      <c r="J42" s="481" t="s">
        <v>45</v>
      </c>
      <c r="K42" s="481" t="s">
        <v>45</v>
      </c>
    </row>
    <row r="43" spans="1:11" ht="33.75">
      <c r="A43" s="481" t="s">
        <v>17</v>
      </c>
      <c r="B43" s="481" t="s">
        <v>5213</v>
      </c>
      <c r="C43" s="479">
        <v>0.54861111111111105</v>
      </c>
      <c r="D43" s="481" t="s">
        <v>45</v>
      </c>
      <c r="E43" s="520" t="s">
        <v>45</v>
      </c>
      <c r="F43" s="481" t="s">
        <v>5214</v>
      </c>
      <c r="G43" s="481" t="s">
        <v>61</v>
      </c>
      <c r="H43" s="481" t="s">
        <v>2753</v>
      </c>
      <c r="I43" s="481" t="s">
        <v>2990</v>
      </c>
      <c r="J43" s="481" t="s">
        <v>45</v>
      </c>
      <c r="K43" s="481" t="s">
        <v>5215</v>
      </c>
    </row>
    <row r="44" spans="1:11" ht="67.5">
      <c r="A44" s="481" t="s">
        <v>17</v>
      </c>
      <c r="B44" s="481" t="s">
        <v>5216</v>
      </c>
      <c r="C44" s="479">
        <v>0.29166666666666669</v>
      </c>
      <c r="D44" s="481" t="s">
        <v>5216</v>
      </c>
      <c r="E44" s="520">
        <v>0.375</v>
      </c>
      <c r="F44" s="481" t="s">
        <v>5181</v>
      </c>
      <c r="G44" s="481" t="s">
        <v>61</v>
      </c>
      <c r="H44" s="481" t="s">
        <v>2910</v>
      </c>
      <c r="I44" s="481" t="s">
        <v>100</v>
      </c>
      <c r="J44" s="481" t="s">
        <v>3055</v>
      </c>
      <c r="K44" s="481" t="s">
        <v>3055</v>
      </c>
    </row>
    <row r="45" spans="1:11" ht="67.5">
      <c r="A45" s="481" t="s">
        <v>17</v>
      </c>
      <c r="B45" s="481" t="s">
        <v>5217</v>
      </c>
      <c r="C45" s="479">
        <v>0.68680555555555556</v>
      </c>
      <c r="D45" s="481" t="s">
        <v>5217</v>
      </c>
      <c r="E45" s="520">
        <v>0.6875</v>
      </c>
      <c r="F45" s="481" t="s">
        <v>3967</v>
      </c>
      <c r="G45" s="481" t="s">
        <v>124</v>
      </c>
      <c r="H45" s="481" t="s">
        <v>2910</v>
      </c>
      <c r="I45" s="481" t="s">
        <v>100</v>
      </c>
      <c r="J45" s="481" t="s">
        <v>45</v>
      </c>
      <c r="K45" s="481" t="s">
        <v>45</v>
      </c>
    </row>
    <row r="46" spans="1:11" ht="78.75">
      <c r="A46" s="481" t="s">
        <v>17</v>
      </c>
      <c r="B46" s="481" t="s">
        <v>5218</v>
      </c>
      <c r="C46" s="479">
        <v>0.4375</v>
      </c>
      <c r="D46" s="481" t="s">
        <v>5218</v>
      </c>
      <c r="E46" s="520">
        <v>0.4381944444444445</v>
      </c>
      <c r="F46" s="481" t="s">
        <v>5219</v>
      </c>
      <c r="G46" s="481" t="s">
        <v>61</v>
      </c>
      <c r="H46" s="481" t="s">
        <v>3402</v>
      </c>
      <c r="I46" s="481" t="s">
        <v>2118</v>
      </c>
      <c r="J46" s="481" t="s">
        <v>3055</v>
      </c>
      <c r="K46" s="481" t="s">
        <v>3055</v>
      </c>
    </row>
    <row r="47" spans="1:11" ht="45">
      <c r="A47" s="481" t="s">
        <v>17</v>
      </c>
      <c r="B47" s="481" t="s">
        <v>5218</v>
      </c>
      <c r="C47" s="479">
        <v>6.2499999999999995E-3</v>
      </c>
      <c r="D47" s="481" t="s">
        <v>5218</v>
      </c>
      <c r="E47" s="520">
        <v>0.31666666666666665</v>
      </c>
      <c r="F47" s="481" t="s">
        <v>4532</v>
      </c>
      <c r="G47" s="481" t="s">
        <v>63</v>
      </c>
      <c r="H47" s="481" t="s">
        <v>3387</v>
      </c>
      <c r="I47" s="481" t="s">
        <v>2764</v>
      </c>
      <c r="J47" s="481" t="s">
        <v>3278</v>
      </c>
      <c r="K47" s="481" t="s">
        <v>3055</v>
      </c>
    </row>
    <row r="48" spans="1:11" ht="45">
      <c r="A48" s="481" t="s">
        <v>17</v>
      </c>
      <c r="B48" s="481" t="s">
        <v>5220</v>
      </c>
      <c r="C48" s="479">
        <v>0.2986111111111111</v>
      </c>
      <c r="D48" s="481" t="s">
        <v>5220</v>
      </c>
      <c r="E48" s="520">
        <v>0.68402777777777779</v>
      </c>
      <c r="F48" s="481" t="s">
        <v>5221</v>
      </c>
      <c r="G48" s="481" t="s">
        <v>61</v>
      </c>
      <c r="H48" s="481" t="s">
        <v>2753</v>
      </c>
      <c r="I48" s="481" t="s">
        <v>22</v>
      </c>
      <c r="J48" s="481" t="s">
        <v>3754</v>
      </c>
      <c r="K48" s="481" t="s">
        <v>5222</v>
      </c>
    </row>
    <row r="49" spans="1:11" ht="78.75">
      <c r="A49" s="481" t="s">
        <v>17</v>
      </c>
      <c r="B49" s="481" t="s">
        <v>5223</v>
      </c>
      <c r="C49" s="479">
        <v>0.46527777777777773</v>
      </c>
      <c r="D49" s="481" t="s">
        <v>5223</v>
      </c>
      <c r="E49" s="520">
        <v>0.51041666666666663</v>
      </c>
      <c r="F49" s="481" t="s">
        <v>4144</v>
      </c>
      <c r="G49" s="481" t="s">
        <v>1352</v>
      </c>
      <c r="H49" s="481" t="s">
        <v>3402</v>
      </c>
      <c r="I49" s="481" t="s">
        <v>2118</v>
      </c>
      <c r="J49" s="481" t="s">
        <v>3055</v>
      </c>
      <c r="K49" s="481" t="s">
        <v>3055</v>
      </c>
    </row>
    <row r="50" spans="1:11" ht="67.5">
      <c r="A50" s="481" t="s">
        <v>17</v>
      </c>
      <c r="B50" s="481" t="s">
        <v>5224</v>
      </c>
      <c r="C50" s="479">
        <v>0.43402777777777773</v>
      </c>
      <c r="D50" s="481" t="s">
        <v>5224</v>
      </c>
      <c r="E50" s="520">
        <v>0.4381944444444445</v>
      </c>
      <c r="F50" s="481" t="s">
        <v>5089</v>
      </c>
      <c r="G50" s="481" t="s">
        <v>1352</v>
      </c>
      <c r="H50" s="481" t="s">
        <v>3411</v>
      </c>
      <c r="I50" s="481" t="s">
        <v>2483</v>
      </c>
      <c r="J50" s="481" t="s">
        <v>3175</v>
      </c>
      <c r="K50" s="481" t="s">
        <v>5225</v>
      </c>
    </row>
    <row r="51" spans="1:11" ht="45">
      <c r="A51" s="481" t="s">
        <v>17</v>
      </c>
      <c r="B51" s="481" t="s">
        <v>5224</v>
      </c>
      <c r="C51" s="479">
        <v>4.7916666666666663E-2</v>
      </c>
      <c r="D51" s="481" t="s">
        <v>5224</v>
      </c>
      <c r="E51" s="520">
        <v>0.12430555555555556</v>
      </c>
      <c r="F51" s="481" t="s">
        <v>5226</v>
      </c>
      <c r="G51" s="481" t="s">
        <v>124</v>
      </c>
      <c r="H51" s="481" t="s">
        <v>3387</v>
      </c>
      <c r="I51" s="481" t="s">
        <v>2764</v>
      </c>
      <c r="J51" s="481" t="s">
        <v>5227</v>
      </c>
      <c r="K51" s="481" t="s">
        <v>3055</v>
      </c>
    </row>
    <row r="52" spans="1:11" ht="45">
      <c r="A52" s="481" t="s">
        <v>17</v>
      </c>
      <c r="B52" s="481" t="s">
        <v>5228</v>
      </c>
      <c r="C52" s="479">
        <v>0.39652777777777781</v>
      </c>
      <c r="D52" s="481" t="s">
        <v>5228</v>
      </c>
      <c r="E52" s="520">
        <v>0.54791666666666672</v>
      </c>
      <c r="F52" s="481" t="s">
        <v>5229</v>
      </c>
      <c r="G52" s="481" t="s">
        <v>1352</v>
      </c>
      <c r="H52" s="481" t="s">
        <v>5230</v>
      </c>
      <c r="I52" s="481" t="s">
        <v>2764</v>
      </c>
      <c r="J52" s="481" t="s">
        <v>3055</v>
      </c>
      <c r="K52" s="481" t="s">
        <v>3055</v>
      </c>
    </row>
    <row r="53" spans="1:11" ht="78.75">
      <c r="A53" s="481" t="s">
        <v>17</v>
      </c>
      <c r="B53" s="481" t="s">
        <v>5231</v>
      </c>
      <c r="C53" s="479">
        <v>0.46875</v>
      </c>
      <c r="D53" s="481" t="s">
        <v>5231</v>
      </c>
      <c r="E53" s="520">
        <v>0.70833333333333337</v>
      </c>
      <c r="F53" s="481" t="s">
        <v>3819</v>
      </c>
      <c r="G53" s="481" t="s">
        <v>124</v>
      </c>
      <c r="H53" s="481" t="s">
        <v>3402</v>
      </c>
      <c r="I53" s="481" t="s">
        <v>2293</v>
      </c>
      <c r="J53" s="481" t="s">
        <v>3055</v>
      </c>
      <c r="K53" s="481" t="s">
        <v>3055</v>
      </c>
    </row>
    <row r="54" spans="1:11" ht="33.75">
      <c r="A54" s="481" t="s">
        <v>17</v>
      </c>
      <c r="B54" s="481" t="s">
        <v>5232</v>
      </c>
      <c r="C54" s="479">
        <v>0.3923611111111111</v>
      </c>
      <c r="D54" s="481" t="s">
        <v>5232</v>
      </c>
      <c r="E54" s="520">
        <v>0.39305555555555555</v>
      </c>
      <c r="F54" s="481" t="s">
        <v>5233</v>
      </c>
      <c r="G54" s="481" t="s">
        <v>1352</v>
      </c>
      <c r="H54" s="481" t="s">
        <v>5234</v>
      </c>
      <c r="I54" s="481" t="s">
        <v>100</v>
      </c>
      <c r="J54" s="481" t="s">
        <v>3055</v>
      </c>
      <c r="K54" s="481" t="s">
        <v>3055</v>
      </c>
    </row>
    <row r="55" spans="1:11" ht="67.5">
      <c r="A55" s="481" t="s">
        <v>20</v>
      </c>
      <c r="B55" s="481" t="s">
        <v>5235</v>
      </c>
      <c r="C55" s="479">
        <v>0.57152777777777775</v>
      </c>
      <c r="D55" s="481" t="s">
        <v>5235</v>
      </c>
      <c r="E55" s="520">
        <v>0.57430555555555551</v>
      </c>
      <c r="F55" s="481" t="s">
        <v>5236</v>
      </c>
      <c r="G55" s="481" t="s">
        <v>3143</v>
      </c>
      <c r="H55" s="481" t="s">
        <v>3411</v>
      </c>
      <c r="I55" s="481" t="s">
        <v>2764</v>
      </c>
      <c r="J55" s="481" t="s">
        <v>3055</v>
      </c>
      <c r="K55" s="481" t="s">
        <v>3055</v>
      </c>
    </row>
    <row r="56" spans="1:11" ht="45">
      <c r="A56" s="481" t="s">
        <v>20</v>
      </c>
      <c r="B56" s="481" t="s">
        <v>5237</v>
      </c>
      <c r="C56" s="479">
        <v>0.39305555555555555</v>
      </c>
      <c r="D56" s="481" t="s">
        <v>5237</v>
      </c>
      <c r="E56" s="520">
        <v>0.4201388888888889</v>
      </c>
      <c r="F56" s="481" t="s">
        <v>2832</v>
      </c>
      <c r="G56" s="481" t="s">
        <v>63</v>
      </c>
      <c r="H56" s="481" t="s">
        <v>3447</v>
      </c>
      <c r="I56" s="481" t="s">
        <v>2764</v>
      </c>
      <c r="J56" s="481" t="s">
        <v>3055</v>
      </c>
      <c r="K56" s="481" t="s">
        <v>3055</v>
      </c>
    </row>
    <row r="57" spans="1:11" ht="67.5">
      <c r="A57" s="481" t="s">
        <v>20</v>
      </c>
      <c r="B57" s="481" t="s">
        <v>5238</v>
      </c>
      <c r="C57" s="479">
        <v>0.95694444444444438</v>
      </c>
      <c r="D57" s="481" t="s">
        <v>5239</v>
      </c>
      <c r="E57" s="520">
        <v>0.81805555555555554</v>
      </c>
      <c r="F57" s="481" t="s">
        <v>5240</v>
      </c>
      <c r="G57" s="481" t="s">
        <v>5174</v>
      </c>
      <c r="H57" s="481" t="s">
        <v>3411</v>
      </c>
      <c r="I57" s="481" t="s">
        <v>2764</v>
      </c>
      <c r="J57" s="481" t="s">
        <v>3055</v>
      </c>
      <c r="K57" s="481" t="s">
        <v>3055</v>
      </c>
    </row>
    <row r="58" spans="1:11" ht="33.75">
      <c r="A58" s="481" t="s">
        <v>20</v>
      </c>
      <c r="B58" s="481" t="s">
        <v>5239</v>
      </c>
      <c r="C58" s="479">
        <v>0.10416666666666667</v>
      </c>
      <c r="D58" s="481" t="s">
        <v>5239</v>
      </c>
      <c r="E58" s="520">
        <v>0.70833333333333337</v>
      </c>
      <c r="F58" s="481" t="s">
        <v>4185</v>
      </c>
      <c r="G58" s="481" t="s">
        <v>1352</v>
      </c>
      <c r="H58" s="481" t="s">
        <v>2944</v>
      </c>
      <c r="I58" s="481" t="s">
        <v>2952</v>
      </c>
      <c r="J58" s="481" t="s">
        <v>3055</v>
      </c>
      <c r="K58" s="481" t="s">
        <v>3055</v>
      </c>
    </row>
    <row r="59" spans="1:11" ht="67.5">
      <c r="A59" s="481" t="s">
        <v>20</v>
      </c>
      <c r="B59" s="481" t="s">
        <v>5241</v>
      </c>
      <c r="C59" s="479">
        <v>0.57638888888888895</v>
      </c>
      <c r="D59" s="481" t="s">
        <v>5241</v>
      </c>
      <c r="E59" s="520">
        <v>0.61041666666666672</v>
      </c>
      <c r="F59" s="481" t="s">
        <v>5242</v>
      </c>
      <c r="G59" s="481" t="s">
        <v>1352</v>
      </c>
      <c r="H59" s="481" t="s">
        <v>3411</v>
      </c>
      <c r="I59" s="481" t="s">
        <v>2764</v>
      </c>
      <c r="J59" s="481" t="s">
        <v>4454</v>
      </c>
      <c r="K59" s="481" t="s">
        <v>5243</v>
      </c>
    </row>
    <row r="60" spans="1:11" ht="67.5">
      <c r="A60" s="481" t="s">
        <v>20</v>
      </c>
      <c r="B60" s="481" t="s">
        <v>5244</v>
      </c>
      <c r="C60" s="479">
        <v>0.36874999999999997</v>
      </c>
      <c r="D60" s="481" t="s">
        <v>5244</v>
      </c>
      <c r="E60" s="520">
        <v>0.63541666666666663</v>
      </c>
      <c r="F60" s="481" t="s">
        <v>3890</v>
      </c>
      <c r="G60" s="481" t="s">
        <v>674</v>
      </c>
      <c r="H60" s="481" t="s">
        <v>3411</v>
      </c>
      <c r="I60" s="481" t="s">
        <v>2483</v>
      </c>
      <c r="J60" s="481" t="s">
        <v>3055</v>
      </c>
      <c r="K60" s="481" t="s">
        <v>3055</v>
      </c>
    </row>
    <row r="61" spans="1:11" ht="78.75">
      <c r="A61" s="481" t="s">
        <v>20</v>
      </c>
      <c r="B61" s="481" t="s">
        <v>5245</v>
      </c>
      <c r="C61" s="479">
        <v>0.27430555555555552</v>
      </c>
      <c r="D61" s="481" t="s">
        <v>5245</v>
      </c>
      <c r="E61" s="520">
        <v>0.29166666666666669</v>
      </c>
      <c r="F61" s="481" t="s">
        <v>4185</v>
      </c>
      <c r="G61" s="481" t="s">
        <v>1352</v>
      </c>
      <c r="H61" s="481" t="s">
        <v>3402</v>
      </c>
      <c r="I61" s="481" t="s">
        <v>2118</v>
      </c>
      <c r="J61" s="481" t="s">
        <v>3055</v>
      </c>
      <c r="K61" s="481" t="s">
        <v>3055</v>
      </c>
    </row>
    <row r="62" spans="1:11" ht="33.75">
      <c r="A62" s="481" t="s">
        <v>20</v>
      </c>
      <c r="B62" s="481" t="s">
        <v>5246</v>
      </c>
      <c r="C62" s="479">
        <v>0.35625000000000001</v>
      </c>
      <c r="D62" s="481" t="s">
        <v>45</v>
      </c>
      <c r="E62" s="520" t="s">
        <v>45</v>
      </c>
      <c r="F62" s="481" t="s">
        <v>2974</v>
      </c>
      <c r="G62" s="481" t="s">
        <v>63</v>
      </c>
      <c r="H62" s="481" t="s">
        <v>2753</v>
      </c>
      <c r="I62" s="481" t="s">
        <v>22</v>
      </c>
      <c r="J62" s="481" t="s">
        <v>5247</v>
      </c>
      <c r="K62" s="481" t="s">
        <v>5248</v>
      </c>
    </row>
    <row r="63" spans="1:11" ht="33.75">
      <c r="A63" s="481" t="s">
        <v>20</v>
      </c>
      <c r="B63" s="481" t="s">
        <v>5249</v>
      </c>
      <c r="C63" s="479">
        <v>0.92708333333333337</v>
      </c>
      <c r="D63" s="481" t="s">
        <v>5249</v>
      </c>
      <c r="E63" s="520">
        <v>0.94305555555555554</v>
      </c>
      <c r="F63" s="481" t="s">
        <v>4269</v>
      </c>
      <c r="G63" s="481" t="s">
        <v>674</v>
      </c>
      <c r="H63" s="481" t="s">
        <v>3356</v>
      </c>
      <c r="I63" s="481" t="s">
        <v>100</v>
      </c>
      <c r="J63" s="481" t="s">
        <v>3055</v>
      </c>
      <c r="K63" s="481" t="s">
        <v>3055</v>
      </c>
    </row>
    <row r="64" spans="1:11" ht="78.75">
      <c r="A64" s="481" t="s">
        <v>20</v>
      </c>
      <c r="B64" s="481" t="s">
        <v>5250</v>
      </c>
      <c r="C64" s="479">
        <v>0.39583333333333331</v>
      </c>
      <c r="D64" s="481" t="s">
        <v>5250</v>
      </c>
      <c r="E64" s="520">
        <v>0.44791666666666669</v>
      </c>
      <c r="F64" s="481" t="s">
        <v>4185</v>
      </c>
      <c r="G64" s="481" t="s">
        <v>1352</v>
      </c>
      <c r="H64" s="481" t="s">
        <v>3402</v>
      </c>
      <c r="I64" s="481" t="s">
        <v>100</v>
      </c>
      <c r="J64" s="481" t="s">
        <v>3055</v>
      </c>
      <c r="K64" s="481" t="s">
        <v>3055</v>
      </c>
    </row>
    <row r="65" spans="1:11" ht="78.75">
      <c r="A65" s="481" t="s">
        <v>20</v>
      </c>
      <c r="B65" s="481" t="s">
        <v>5250</v>
      </c>
      <c r="C65" s="479">
        <v>0.65625</v>
      </c>
      <c r="D65" s="481" t="s">
        <v>45</v>
      </c>
      <c r="E65" s="520" t="s">
        <v>45</v>
      </c>
      <c r="F65" s="481" t="s">
        <v>2833</v>
      </c>
      <c r="G65" s="481" t="s">
        <v>3143</v>
      </c>
      <c r="H65" s="481" t="s">
        <v>3402</v>
      </c>
      <c r="I65" s="481" t="s">
        <v>2118</v>
      </c>
      <c r="J65" s="481" t="s">
        <v>45</v>
      </c>
      <c r="K65" s="481" t="s">
        <v>45</v>
      </c>
    </row>
    <row r="66" spans="1:11" ht="78.75">
      <c r="A66" s="481" t="s">
        <v>20</v>
      </c>
      <c r="B66" s="481" t="s">
        <v>5251</v>
      </c>
      <c r="C66" s="479">
        <v>0.78680555555555554</v>
      </c>
      <c r="D66" s="481" t="s">
        <v>5251</v>
      </c>
      <c r="E66" s="520">
        <v>0.85625000000000007</v>
      </c>
      <c r="F66" s="481" t="s">
        <v>5252</v>
      </c>
      <c r="G66" s="481" t="s">
        <v>124</v>
      </c>
      <c r="H66" s="481" t="s">
        <v>3402</v>
      </c>
      <c r="I66" s="481" t="s">
        <v>100</v>
      </c>
      <c r="J66" s="481" t="s">
        <v>5105</v>
      </c>
      <c r="K66" s="481" t="s">
        <v>5253</v>
      </c>
    </row>
    <row r="67" spans="1:11" ht="45">
      <c r="A67" s="481" t="s">
        <v>20</v>
      </c>
      <c r="B67" s="481" t="s">
        <v>5251</v>
      </c>
      <c r="C67" s="479">
        <v>0.46597222222222223</v>
      </c>
      <c r="D67" s="481" t="s">
        <v>5251</v>
      </c>
      <c r="E67" s="520">
        <v>0.4909722222222222</v>
      </c>
      <c r="F67" s="481" t="s">
        <v>2959</v>
      </c>
      <c r="G67" s="481" t="s">
        <v>61</v>
      </c>
      <c r="H67" s="481" t="s">
        <v>3387</v>
      </c>
      <c r="I67" s="481" t="s">
        <v>2764</v>
      </c>
      <c r="J67" s="481" t="s">
        <v>3055</v>
      </c>
      <c r="K67" s="481" t="s">
        <v>3055</v>
      </c>
    </row>
    <row r="68" spans="1:11" ht="33.75">
      <c r="A68" s="481" t="s">
        <v>20</v>
      </c>
      <c r="B68" s="481" t="s">
        <v>5254</v>
      </c>
      <c r="C68" s="479">
        <v>0.4777777777777778</v>
      </c>
      <c r="D68" s="481" t="s">
        <v>5254</v>
      </c>
      <c r="E68" s="520">
        <v>0.47847222222222219</v>
      </c>
      <c r="F68" s="481" t="s">
        <v>3616</v>
      </c>
      <c r="G68" s="481" t="s">
        <v>124</v>
      </c>
      <c r="H68" s="481" t="s">
        <v>3356</v>
      </c>
      <c r="I68" s="481" t="s">
        <v>100</v>
      </c>
      <c r="J68" s="481" t="s">
        <v>3055</v>
      </c>
      <c r="K68" s="481" t="s">
        <v>3055</v>
      </c>
    </row>
    <row r="69" spans="1:11" ht="33.75">
      <c r="A69" s="481" t="s">
        <v>20</v>
      </c>
      <c r="B69" s="481" t="s">
        <v>5255</v>
      </c>
      <c r="C69" s="479">
        <v>0.54097222222222219</v>
      </c>
      <c r="D69" s="481">
        <v>44641</v>
      </c>
      <c r="E69" s="520">
        <v>0.69305555555555554</v>
      </c>
      <c r="F69" s="481" t="s">
        <v>5256</v>
      </c>
      <c r="G69" s="481" t="s">
        <v>63</v>
      </c>
      <c r="H69" s="481" t="s">
        <v>3356</v>
      </c>
      <c r="I69" s="481" t="s">
        <v>5075</v>
      </c>
      <c r="J69" s="481" t="s">
        <v>3055</v>
      </c>
      <c r="K69" s="481" t="s">
        <v>3055</v>
      </c>
    </row>
    <row r="70" spans="1:11" ht="67.5">
      <c r="A70" s="481" t="s">
        <v>20</v>
      </c>
      <c r="B70" s="481" t="s">
        <v>5257</v>
      </c>
      <c r="C70" s="479">
        <v>0.68888888888888899</v>
      </c>
      <c r="D70" s="481" t="s">
        <v>45</v>
      </c>
      <c r="E70" s="520" t="s">
        <v>45</v>
      </c>
      <c r="F70" s="481" t="s">
        <v>3299</v>
      </c>
      <c r="G70" s="481" t="s">
        <v>63</v>
      </c>
      <c r="H70" s="481" t="s">
        <v>3411</v>
      </c>
      <c r="I70" s="481" t="s">
        <v>2483</v>
      </c>
      <c r="J70" s="481" t="s">
        <v>5258</v>
      </c>
      <c r="K70" s="481" t="s">
        <v>5259</v>
      </c>
    </row>
    <row r="71" spans="1:11" ht="45">
      <c r="A71" s="481" t="s">
        <v>20</v>
      </c>
      <c r="B71" s="481" t="s">
        <v>5260</v>
      </c>
      <c r="C71" s="479">
        <v>0.74444444444444446</v>
      </c>
      <c r="D71" s="481" t="s">
        <v>5260</v>
      </c>
      <c r="E71" s="520">
        <v>0.93055555555555547</v>
      </c>
      <c r="F71" s="481" t="s">
        <v>3378</v>
      </c>
      <c r="G71" s="481" t="s">
        <v>674</v>
      </c>
      <c r="H71" s="481" t="s">
        <v>3387</v>
      </c>
      <c r="I71" s="481" t="s">
        <v>2764</v>
      </c>
      <c r="J71" s="481" t="s">
        <v>3055</v>
      </c>
      <c r="K71" s="481" t="s">
        <v>3055</v>
      </c>
    </row>
    <row r="72" spans="1:11" ht="281.25">
      <c r="A72" s="481" t="s">
        <v>20</v>
      </c>
      <c r="B72" s="481" t="s">
        <v>5261</v>
      </c>
      <c r="C72" s="479">
        <v>0.79166666666666663</v>
      </c>
      <c r="D72" s="481" t="s">
        <v>5262</v>
      </c>
      <c r="E72" s="520">
        <v>0</v>
      </c>
      <c r="F72" s="481" t="s">
        <v>5263</v>
      </c>
      <c r="G72" s="481" t="s">
        <v>1352</v>
      </c>
      <c r="H72" s="481" t="s">
        <v>2753</v>
      </c>
      <c r="I72" s="481" t="s">
        <v>22</v>
      </c>
      <c r="J72" s="481" t="s">
        <v>45</v>
      </c>
      <c r="K72" s="481" t="s">
        <v>5264</v>
      </c>
    </row>
    <row r="73" spans="1:11" ht="78.75">
      <c r="A73" s="481" t="s">
        <v>20</v>
      </c>
      <c r="B73" s="481" t="s">
        <v>5265</v>
      </c>
      <c r="C73" s="479">
        <v>0.87777777777777777</v>
      </c>
      <c r="D73" s="481" t="s">
        <v>5265</v>
      </c>
      <c r="E73" s="520">
        <v>0.88055555555555554</v>
      </c>
      <c r="F73" s="481" t="s">
        <v>5266</v>
      </c>
      <c r="G73" s="481" t="s">
        <v>3143</v>
      </c>
      <c r="H73" s="481" t="s">
        <v>3402</v>
      </c>
      <c r="I73" s="481" t="s">
        <v>2118</v>
      </c>
      <c r="J73" s="481" t="s">
        <v>3055</v>
      </c>
      <c r="K73" s="481" t="s">
        <v>3055</v>
      </c>
    </row>
    <row r="74" spans="1:11" ht="67.5">
      <c r="A74" s="481" t="s">
        <v>20</v>
      </c>
      <c r="B74" s="481" t="s">
        <v>5265</v>
      </c>
      <c r="C74" s="479">
        <v>4.1666666666666666E-3</v>
      </c>
      <c r="D74" s="481" t="s">
        <v>5265</v>
      </c>
      <c r="E74" s="520">
        <v>0.18680555555555556</v>
      </c>
      <c r="F74" s="481" t="s">
        <v>5267</v>
      </c>
      <c r="G74" s="481" t="s">
        <v>674</v>
      </c>
      <c r="H74" s="481" t="s">
        <v>3411</v>
      </c>
      <c r="I74" s="481" t="s">
        <v>2483</v>
      </c>
      <c r="J74" s="481" t="s">
        <v>3055</v>
      </c>
      <c r="K74" s="481" t="s">
        <v>3055</v>
      </c>
    </row>
    <row r="75" spans="1:11" ht="45">
      <c r="A75" s="481" t="s">
        <v>20</v>
      </c>
      <c r="B75" s="481" t="s">
        <v>5268</v>
      </c>
      <c r="C75" s="479">
        <v>0.8652777777777777</v>
      </c>
      <c r="D75" s="481" t="s">
        <v>5268</v>
      </c>
      <c r="E75" s="520">
        <v>0.95000000000000007</v>
      </c>
      <c r="F75" s="481" t="s">
        <v>2959</v>
      </c>
      <c r="G75" s="481" t="s">
        <v>61</v>
      </c>
      <c r="H75" s="481" t="s">
        <v>3387</v>
      </c>
      <c r="I75" s="481" t="s">
        <v>2764</v>
      </c>
      <c r="J75" s="481" t="s">
        <v>3055</v>
      </c>
      <c r="K75" s="481" t="s">
        <v>3055</v>
      </c>
    </row>
    <row r="76" spans="1:11" ht="67.5">
      <c r="A76" s="481" t="s">
        <v>20</v>
      </c>
      <c r="B76" s="481" t="s">
        <v>5269</v>
      </c>
      <c r="C76" s="479">
        <v>0.48958333333333331</v>
      </c>
      <c r="D76" s="481" t="s">
        <v>45</v>
      </c>
      <c r="E76" s="520" t="s">
        <v>45</v>
      </c>
      <c r="F76" s="481" t="s">
        <v>2920</v>
      </c>
      <c r="G76" s="481" t="s">
        <v>124</v>
      </c>
      <c r="H76" s="481" t="s">
        <v>2910</v>
      </c>
      <c r="I76" s="481" t="s">
        <v>100</v>
      </c>
      <c r="J76" s="481" t="s">
        <v>3055</v>
      </c>
      <c r="K76" s="481" t="s">
        <v>3055</v>
      </c>
    </row>
    <row r="77" spans="1:11" ht="33.75">
      <c r="A77" s="481" t="s">
        <v>20</v>
      </c>
      <c r="B77" s="481" t="s">
        <v>5269</v>
      </c>
      <c r="C77" s="479">
        <v>0.69027777777777777</v>
      </c>
      <c r="D77" s="481" t="s">
        <v>5270</v>
      </c>
      <c r="E77" s="520">
        <v>0.64236111111111105</v>
      </c>
      <c r="F77" s="481" t="s">
        <v>2958</v>
      </c>
      <c r="G77" s="481" t="s">
        <v>61</v>
      </c>
      <c r="H77" s="481" t="s">
        <v>3356</v>
      </c>
      <c r="I77" s="481" t="s">
        <v>100</v>
      </c>
      <c r="J77" s="481" t="s">
        <v>3055</v>
      </c>
      <c r="K77" s="481" t="s">
        <v>3055</v>
      </c>
    </row>
    <row r="78" spans="1:11" ht="33.75">
      <c r="A78" s="481" t="s">
        <v>20</v>
      </c>
      <c r="B78" s="481" t="s">
        <v>5270</v>
      </c>
      <c r="C78" s="479">
        <v>0.65625</v>
      </c>
      <c r="D78" s="481" t="s">
        <v>45</v>
      </c>
      <c r="E78" s="520" t="s">
        <v>45</v>
      </c>
      <c r="F78" s="481" t="s">
        <v>5271</v>
      </c>
      <c r="G78" s="481" t="s">
        <v>63</v>
      </c>
      <c r="H78" s="481" t="s">
        <v>2753</v>
      </c>
      <c r="I78" s="481" t="s">
        <v>22</v>
      </c>
      <c r="J78" s="481" t="s">
        <v>45</v>
      </c>
      <c r="K78" s="481" t="s">
        <v>5272</v>
      </c>
    </row>
    <row r="79" spans="1:11" ht="78.75">
      <c r="A79" s="481" t="s">
        <v>20</v>
      </c>
      <c r="B79" s="481" t="s">
        <v>5273</v>
      </c>
      <c r="C79" s="479">
        <v>0.3743055555555555</v>
      </c>
      <c r="D79" s="481" t="s">
        <v>5274</v>
      </c>
      <c r="E79" s="520">
        <v>0.8125</v>
      </c>
      <c r="F79" s="481" t="s">
        <v>5275</v>
      </c>
      <c r="G79" s="481" t="s">
        <v>3143</v>
      </c>
      <c r="H79" s="481" t="s">
        <v>2753</v>
      </c>
      <c r="I79" s="481" t="s">
        <v>22</v>
      </c>
      <c r="J79" s="481" t="s">
        <v>3880</v>
      </c>
      <c r="K79" s="481" t="s">
        <v>3340</v>
      </c>
    </row>
    <row r="80" spans="1:11" ht="33.75">
      <c r="A80" s="481" t="s">
        <v>20</v>
      </c>
      <c r="B80" s="481" t="s">
        <v>5273</v>
      </c>
      <c r="C80" s="479">
        <v>0.94652777777777775</v>
      </c>
      <c r="D80" s="481" t="s">
        <v>45</v>
      </c>
      <c r="E80" s="520" t="s">
        <v>45</v>
      </c>
      <c r="F80" s="481" t="s">
        <v>5276</v>
      </c>
      <c r="G80" s="481" t="s">
        <v>5277</v>
      </c>
      <c r="H80" s="481" t="s">
        <v>2944</v>
      </c>
      <c r="I80" s="481" t="s">
        <v>2952</v>
      </c>
      <c r="J80" s="481" t="s">
        <v>3055</v>
      </c>
      <c r="K80" s="481" t="s">
        <v>3055</v>
      </c>
    </row>
    <row r="81" spans="1:11" ht="33.75">
      <c r="A81" s="481" t="s">
        <v>20</v>
      </c>
      <c r="B81" s="481" t="s">
        <v>5273</v>
      </c>
      <c r="C81" s="479">
        <v>2.7777777777777779E-3</v>
      </c>
      <c r="D81" s="481" t="s">
        <v>5273</v>
      </c>
      <c r="E81" s="520">
        <v>0.3888888888888889</v>
      </c>
      <c r="F81" s="481" t="s">
        <v>5278</v>
      </c>
      <c r="G81" s="481" t="s">
        <v>63</v>
      </c>
      <c r="H81" s="481" t="s">
        <v>2753</v>
      </c>
      <c r="I81" s="481" t="s">
        <v>22</v>
      </c>
      <c r="J81" s="481" t="s">
        <v>5279</v>
      </c>
      <c r="K81" s="481" t="s">
        <v>5280</v>
      </c>
    </row>
    <row r="82" spans="1:11" ht="67.5">
      <c r="A82" s="481" t="s">
        <v>23</v>
      </c>
      <c r="B82" s="481" t="s">
        <v>5281</v>
      </c>
      <c r="C82" s="479">
        <v>0.19444444444444445</v>
      </c>
      <c r="D82" s="481" t="s">
        <v>5281</v>
      </c>
      <c r="E82" s="520">
        <v>0.72291666666666676</v>
      </c>
      <c r="F82" s="481" t="s">
        <v>4590</v>
      </c>
      <c r="G82" s="481" t="s">
        <v>5174</v>
      </c>
      <c r="H82" s="481" t="s">
        <v>3411</v>
      </c>
      <c r="I82" s="481" t="s">
        <v>2764</v>
      </c>
      <c r="J82" s="481" t="s">
        <v>3364</v>
      </c>
      <c r="K82" s="481" t="s">
        <v>5282</v>
      </c>
    </row>
    <row r="83" spans="1:11" ht="67.5">
      <c r="A83" s="481" t="s">
        <v>23</v>
      </c>
      <c r="B83" s="481" t="s">
        <v>5283</v>
      </c>
      <c r="C83" s="479">
        <v>0.65347222222222223</v>
      </c>
      <c r="D83" s="481" t="s">
        <v>5283</v>
      </c>
      <c r="E83" s="520">
        <v>0.65972222222222221</v>
      </c>
      <c r="F83" s="481" t="s">
        <v>4740</v>
      </c>
      <c r="G83" s="481" t="s">
        <v>63</v>
      </c>
      <c r="H83" s="481" t="s">
        <v>2839</v>
      </c>
      <c r="I83" s="481" t="s">
        <v>2764</v>
      </c>
      <c r="J83" s="481" t="s">
        <v>3432</v>
      </c>
      <c r="K83" s="481" t="s">
        <v>45</v>
      </c>
    </row>
    <row r="84" spans="1:11" ht="67.5">
      <c r="A84" s="481" t="s">
        <v>23</v>
      </c>
      <c r="B84" s="481" t="s">
        <v>5283</v>
      </c>
      <c r="C84" s="479">
        <v>0.65347222222222223</v>
      </c>
      <c r="D84" s="481" t="s">
        <v>5283</v>
      </c>
      <c r="E84" s="520">
        <v>0.65972222222222221</v>
      </c>
      <c r="F84" s="481" t="s">
        <v>4740</v>
      </c>
      <c r="G84" s="481" t="s">
        <v>63</v>
      </c>
      <c r="H84" s="481" t="s">
        <v>2839</v>
      </c>
      <c r="I84" s="481" t="s">
        <v>2764</v>
      </c>
      <c r="J84" s="481" t="s">
        <v>3432</v>
      </c>
      <c r="K84" s="481" t="s">
        <v>45</v>
      </c>
    </row>
    <row r="85" spans="1:11" ht="45">
      <c r="A85" s="481" t="s">
        <v>23</v>
      </c>
      <c r="B85" s="481" t="s">
        <v>5284</v>
      </c>
      <c r="C85" s="479">
        <v>0.38541666666666669</v>
      </c>
      <c r="D85" s="481" t="s">
        <v>5285</v>
      </c>
      <c r="E85" s="520">
        <v>0.33333333333333331</v>
      </c>
      <c r="F85" s="481" t="s">
        <v>5286</v>
      </c>
      <c r="G85" s="481" t="s">
        <v>124</v>
      </c>
      <c r="H85" s="481" t="s">
        <v>2753</v>
      </c>
      <c r="I85" s="481" t="s">
        <v>22</v>
      </c>
      <c r="J85" s="481" t="s">
        <v>5287</v>
      </c>
      <c r="K85" s="481" t="s">
        <v>5288</v>
      </c>
    </row>
    <row r="86" spans="1:11" ht="33.75">
      <c r="A86" s="481" t="s">
        <v>23</v>
      </c>
      <c r="B86" s="481" t="s">
        <v>5284</v>
      </c>
      <c r="C86" s="479">
        <v>0.90069444444444446</v>
      </c>
      <c r="D86" s="481" t="s">
        <v>5284</v>
      </c>
      <c r="E86" s="520">
        <v>0.92638888888888893</v>
      </c>
      <c r="F86" s="481" t="s">
        <v>2951</v>
      </c>
      <c r="G86" s="481" t="s">
        <v>124</v>
      </c>
      <c r="H86" s="481" t="s">
        <v>3356</v>
      </c>
      <c r="I86" s="481" t="s">
        <v>2293</v>
      </c>
      <c r="J86" s="481" t="s">
        <v>3082</v>
      </c>
      <c r="K86" s="481" t="s">
        <v>5289</v>
      </c>
    </row>
    <row r="87" spans="1:11" ht="78.75">
      <c r="A87" s="481" t="s">
        <v>23</v>
      </c>
      <c r="B87" s="481" t="s">
        <v>5284</v>
      </c>
      <c r="C87" s="479">
        <v>0.85625000000000007</v>
      </c>
      <c r="D87" s="481" t="s">
        <v>5284</v>
      </c>
      <c r="E87" s="520">
        <v>0.86111111111111116</v>
      </c>
      <c r="F87" s="481" t="s">
        <v>5290</v>
      </c>
      <c r="G87" s="481" t="s">
        <v>3143</v>
      </c>
      <c r="H87" s="481" t="s">
        <v>3402</v>
      </c>
      <c r="I87" s="481" t="s">
        <v>2118</v>
      </c>
      <c r="J87" s="481" t="s">
        <v>3055</v>
      </c>
      <c r="K87" s="481" t="s">
        <v>3055</v>
      </c>
    </row>
    <row r="88" spans="1:11" ht="78.75">
      <c r="A88" s="481" t="s">
        <v>23</v>
      </c>
      <c r="B88" s="481" t="s">
        <v>5284</v>
      </c>
      <c r="C88" s="479">
        <v>0.85625000000000007</v>
      </c>
      <c r="D88" s="481" t="s">
        <v>5284</v>
      </c>
      <c r="E88" s="520">
        <v>0.86111111111111116</v>
      </c>
      <c r="F88" s="481" t="s">
        <v>5290</v>
      </c>
      <c r="G88" s="481" t="s">
        <v>3143</v>
      </c>
      <c r="H88" s="481" t="s">
        <v>3402</v>
      </c>
      <c r="I88" s="481" t="s">
        <v>2118</v>
      </c>
      <c r="J88" s="481" t="s">
        <v>3055</v>
      </c>
      <c r="K88" s="481" t="s">
        <v>3055</v>
      </c>
    </row>
    <row r="89" spans="1:11" ht="67.5">
      <c r="A89" s="481" t="s">
        <v>23</v>
      </c>
      <c r="B89" s="481" t="s">
        <v>5291</v>
      </c>
      <c r="C89" s="479">
        <v>0.73749999999999993</v>
      </c>
      <c r="D89" s="481" t="s">
        <v>5291</v>
      </c>
      <c r="E89" s="520">
        <v>0.77638888888888891</v>
      </c>
      <c r="F89" s="481" t="s">
        <v>5292</v>
      </c>
      <c r="G89" s="481" t="s">
        <v>63</v>
      </c>
      <c r="H89" s="481" t="s">
        <v>2910</v>
      </c>
      <c r="I89" s="481" t="s">
        <v>2293</v>
      </c>
      <c r="J89" s="481" t="s">
        <v>3055</v>
      </c>
      <c r="K89" s="481" t="s">
        <v>3055</v>
      </c>
    </row>
    <row r="90" spans="1:11" ht="67.5">
      <c r="A90" s="481" t="s">
        <v>23</v>
      </c>
      <c r="B90" s="481" t="s">
        <v>5285</v>
      </c>
      <c r="C90" s="479">
        <v>0.9194444444444444</v>
      </c>
      <c r="D90" s="481" t="s">
        <v>5293</v>
      </c>
      <c r="E90" s="520">
        <v>1.3888888888888889E-3</v>
      </c>
      <c r="F90" s="481" t="s">
        <v>5294</v>
      </c>
      <c r="G90" s="481" t="s">
        <v>63</v>
      </c>
      <c r="H90" s="481" t="s">
        <v>3411</v>
      </c>
      <c r="I90" s="481" t="s">
        <v>2764</v>
      </c>
      <c r="J90" s="481" t="s">
        <v>3754</v>
      </c>
      <c r="K90" s="481" t="s">
        <v>5295</v>
      </c>
    </row>
    <row r="91" spans="1:11" ht="67.5">
      <c r="A91" s="481" t="s">
        <v>23</v>
      </c>
      <c r="B91" s="481" t="s">
        <v>5293</v>
      </c>
      <c r="C91" s="479">
        <v>0.24930555555555556</v>
      </c>
      <c r="D91" s="481" t="s">
        <v>5293</v>
      </c>
      <c r="E91" s="520">
        <v>0.2590277777777778</v>
      </c>
      <c r="F91" s="481" t="s">
        <v>2967</v>
      </c>
      <c r="G91" s="481" t="s">
        <v>124</v>
      </c>
      <c r="H91" s="481" t="s">
        <v>3411</v>
      </c>
      <c r="I91" s="481" t="s">
        <v>2483</v>
      </c>
      <c r="J91" s="481" t="s">
        <v>4710</v>
      </c>
      <c r="K91" s="481" t="s">
        <v>5296</v>
      </c>
    </row>
    <row r="92" spans="1:11" ht="45">
      <c r="A92" s="481" t="s">
        <v>23</v>
      </c>
      <c r="B92" s="481" t="s">
        <v>5297</v>
      </c>
      <c r="C92" s="479">
        <v>0.51180555555555551</v>
      </c>
      <c r="D92" s="481" t="s">
        <v>45</v>
      </c>
      <c r="E92" s="520" t="s">
        <v>45</v>
      </c>
      <c r="F92" s="481" t="s">
        <v>2864</v>
      </c>
      <c r="G92" s="481" t="s">
        <v>5174</v>
      </c>
      <c r="H92" s="481" t="s">
        <v>3387</v>
      </c>
      <c r="I92" s="481" t="s">
        <v>2905</v>
      </c>
      <c r="J92" s="481" t="s">
        <v>3055</v>
      </c>
      <c r="K92" s="481" t="s">
        <v>3055</v>
      </c>
    </row>
    <row r="93" spans="1:11" ht="67.5">
      <c r="A93" s="481" t="s">
        <v>23</v>
      </c>
      <c r="B93" s="481" t="s">
        <v>5297</v>
      </c>
      <c r="C93" s="479">
        <v>0.46388888888888885</v>
      </c>
      <c r="D93" s="481" t="s">
        <v>45</v>
      </c>
      <c r="E93" s="520" t="s">
        <v>45</v>
      </c>
      <c r="F93" s="481" t="s">
        <v>5298</v>
      </c>
      <c r="G93" s="481" t="s">
        <v>5055</v>
      </c>
      <c r="H93" s="481" t="s">
        <v>3411</v>
      </c>
      <c r="I93" s="481" t="s">
        <v>2764</v>
      </c>
      <c r="J93" s="481" t="s">
        <v>3055</v>
      </c>
      <c r="K93" s="481" t="s">
        <v>3055</v>
      </c>
    </row>
    <row r="94" spans="1:11" ht="78.75">
      <c r="A94" s="481" t="s">
        <v>23</v>
      </c>
      <c r="B94" s="481" t="s">
        <v>5297</v>
      </c>
      <c r="C94" s="479">
        <v>0.44791666666666669</v>
      </c>
      <c r="D94" s="481" t="s">
        <v>45</v>
      </c>
      <c r="E94" s="520" t="s">
        <v>45</v>
      </c>
      <c r="F94" s="481" t="s">
        <v>2853</v>
      </c>
      <c r="G94" s="481" t="s">
        <v>124</v>
      </c>
      <c r="H94" s="481" t="s">
        <v>3402</v>
      </c>
      <c r="I94" s="481" t="s">
        <v>2118</v>
      </c>
      <c r="J94" s="481" t="s">
        <v>3055</v>
      </c>
      <c r="K94" s="481" t="s">
        <v>3055</v>
      </c>
    </row>
    <row r="95" spans="1:11" ht="67.5">
      <c r="A95" s="481" t="s">
        <v>23</v>
      </c>
      <c r="B95" s="481" t="s">
        <v>5297</v>
      </c>
      <c r="C95" s="479">
        <v>0.73888888888888893</v>
      </c>
      <c r="D95" s="481" t="s">
        <v>45</v>
      </c>
      <c r="E95" s="520" t="s">
        <v>45</v>
      </c>
      <c r="F95" s="481" t="s">
        <v>2945</v>
      </c>
      <c r="G95" s="481" t="s">
        <v>124</v>
      </c>
      <c r="H95" s="481" t="s">
        <v>2839</v>
      </c>
      <c r="I95" s="481" t="s">
        <v>2764</v>
      </c>
      <c r="J95" s="481" t="s">
        <v>5299</v>
      </c>
      <c r="K95" s="481" t="s">
        <v>45</v>
      </c>
    </row>
    <row r="96" spans="1:11" ht="45">
      <c r="A96" s="481" t="s">
        <v>23</v>
      </c>
      <c r="B96" s="481" t="s">
        <v>5297</v>
      </c>
      <c r="C96" s="479">
        <v>0.22916666666666666</v>
      </c>
      <c r="D96" s="481" t="s">
        <v>5297</v>
      </c>
      <c r="E96" s="520">
        <v>0.48472222222222222</v>
      </c>
      <c r="F96" s="481" t="s">
        <v>3414</v>
      </c>
      <c r="G96" s="481" t="s">
        <v>124</v>
      </c>
      <c r="H96" s="481" t="s">
        <v>3447</v>
      </c>
      <c r="I96" s="481" t="s">
        <v>2764</v>
      </c>
      <c r="J96" s="481" t="s">
        <v>3055</v>
      </c>
      <c r="K96" s="481" t="s">
        <v>3055</v>
      </c>
    </row>
    <row r="97" spans="1:11" ht="78.75">
      <c r="A97" s="481" t="s">
        <v>23</v>
      </c>
      <c r="B97" s="481" t="s">
        <v>5297</v>
      </c>
      <c r="C97" s="479">
        <v>0.95486111111111116</v>
      </c>
      <c r="D97" s="481" t="s">
        <v>5297</v>
      </c>
      <c r="E97" s="520">
        <v>0.95624999999999993</v>
      </c>
      <c r="F97" s="481" t="s">
        <v>5081</v>
      </c>
      <c r="G97" s="481" t="s">
        <v>3143</v>
      </c>
      <c r="H97" s="481" t="s">
        <v>3402</v>
      </c>
      <c r="I97" s="481" t="s">
        <v>2118</v>
      </c>
      <c r="J97" s="481" t="s">
        <v>3055</v>
      </c>
      <c r="K97" s="481" t="s">
        <v>3055</v>
      </c>
    </row>
    <row r="98" spans="1:11" ht="33.75">
      <c r="A98" s="481" t="s">
        <v>23</v>
      </c>
      <c r="B98" s="481" t="s">
        <v>5300</v>
      </c>
      <c r="C98" s="479">
        <v>0.25</v>
      </c>
      <c r="D98" s="481" t="s">
        <v>45</v>
      </c>
      <c r="E98" s="520" t="s">
        <v>45</v>
      </c>
      <c r="F98" s="481" t="s">
        <v>2868</v>
      </c>
      <c r="G98" s="481" t="s">
        <v>61</v>
      </c>
      <c r="H98" s="481" t="s">
        <v>2753</v>
      </c>
      <c r="I98" s="481" t="s">
        <v>22</v>
      </c>
      <c r="J98" s="481" t="s">
        <v>45</v>
      </c>
      <c r="K98" s="481" t="s">
        <v>5301</v>
      </c>
    </row>
    <row r="99" spans="1:11" ht="45">
      <c r="A99" s="481" t="s">
        <v>23</v>
      </c>
      <c r="B99" s="481" t="s">
        <v>5300</v>
      </c>
      <c r="C99" s="479">
        <v>0.36180555555555555</v>
      </c>
      <c r="D99" s="481" t="s">
        <v>5300</v>
      </c>
      <c r="E99" s="520">
        <v>0.50694444444444442</v>
      </c>
      <c r="F99" s="481" t="s">
        <v>3264</v>
      </c>
      <c r="G99" s="481" t="s">
        <v>61</v>
      </c>
      <c r="H99" s="481" t="s">
        <v>2753</v>
      </c>
      <c r="I99" s="481" t="s">
        <v>22</v>
      </c>
      <c r="J99" s="481" t="s">
        <v>45</v>
      </c>
      <c r="K99" s="481" t="s">
        <v>5302</v>
      </c>
    </row>
    <row r="100" spans="1:11" ht="202.5">
      <c r="A100" s="481" t="s">
        <v>23</v>
      </c>
      <c r="B100" s="481" t="s">
        <v>5300</v>
      </c>
      <c r="C100" s="479">
        <v>0.17152777777777775</v>
      </c>
      <c r="D100" s="481" t="s">
        <v>45</v>
      </c>
      <c r="E100" s="520" t="s">
        <v>45</v>
      </c>
      <c r="F100" s="481" t="s">
        <v>5303</v>
      </c>
      <c r="G100" s="481" t="s">
        <v>61</v>
      </c>
      <c r="H100" s="481" t="s">
        <v>2753</v>
      </c>
      <c r="I100" s="481" t="s">
        <v>22</v>
      </c>
      <c r="J100" s="481" t="s">
        <v>45</v>
      </c>
      <c r="K100" s="481" t="s">
        <v>5304</v>
      </c>
    </row>
    <row r="101" spans="1:11" ht="45">
      <c r="A101" s="481" t="s">
        <v>23</v>
      </c>
      <c r="B101" s="481" t="s">
        <v>5305</v>
      </c>
      <c r="C101" s="479">
        <v>0.95833333333333337</v>
      </c>
      <c r="D101" s="481" t="s">
        <v>5306</v>
      </c>
      <c r="E101" s="520">
        <v>0.66666666666666663</v>
      </c>
      <c r="F101" s="481" t="s">
        <v>3931</v>
      </c>
      <c r="G101" s="481" t="s">
        <v>674</v>
      </c>
      <c r="H101" s="481" t="s">
        <v>3379</v>
      </c>
      <c r="I101" s="481" t="s">
        <v>22</v>
      </c>
      <c r="J101" s="481" t="s">
        <v>5307</v>
      </c>
      <c r="K101" s="481" t="s">
        <v>45</v>
      </c>
    </row>
    <row r="102" spans="1:11" ht="112.5">
      <c r="A102" s="481" t="s">
        <v>23</v>
      </c>
      <c r="B102" s="481" t="s">
        <v>5305</v>
      </c>
      <c r="C102" s="479">
        <v>0.96944444444444444</v>
      </c>
      <c r="D102" s="481" t="s">
        <v>5306</v>
      </c>
      <c r="E102" s="520">
        <v>0.66666666666666663</v>
      </c>
      <c r="F102" s="481" t="s">
        <v>5308</v>
      </c>
      <c r="G102" s="481" t="s">
        <v>5309</v>
      </c>
      <c r="H102" s="481" t="s">
        <v>3411</v>
      </c>
      <c r="I102" s="481" t="s">
        <v>22</v>
      </c>
      <c r="J102" s="481" t="s">
        <v>45</v>
      </c>
      <c r="K102" s="481" t="s">
        <v>45</v>
      </c>
    </row>
    <row r="103" spans="1:11" ht="45">
      <c r="A103" s="481" t="s">
        <v>23</v>
      </c>
      <c r="B103" s="481" t="s">
        <v>5310</v>
      </c>
      <c r="C103" s="479">
        <v>0.65138888888888891</v>
      </c>
      <c r="D103" s="481" t="s">
        <v>5306</v>
      </c>
      <c r="E103" s="520">
        <v>0.16666666666666666</v>
      </c>
      <c r="F103" s="481" t="s">
        <v>3809</v>
      </c>
      <c r="G103" s="481" t="s">
        <v>674</v>
      </c>
      <c r="H103" s="481" t="s">
        <v>3379</v>
      </c>
      <c r="I103" s="481" t="s">
        <v>22</v>
      </c>
      <c r="J103" s="481" t="s">
        <v>5311</v>
      </c>
      <c r="K103" s="481" t="s">
        <v>5312</v>
      </c>
    </row>
    <row r="104" spans="1:11" ht="67.5">
      <c r="A104" s="481" t="s">
        <v>23</v>
      </c>
      <c r="B104" s="481" t="s">
        <v>5310</v>
      </c>
      <c r="C104" s="479">
        <v>0.8208333333333333</v>
      </c>
      <c r="D104" s="481" t="s">
        <v>5306</v>
      </c>
      <c r="E104" s="520">
        <v>0.67847222222222225</v>
      </c>
      <c r="F104" s="481" t="s">
        <v>5313</v>
      </c>
      <c r="G104" s="481" t="s">
        <v>5055</v>
      </c>
      <c r="H104" s="481" t="s">
        <v>3411</v>
      </c>
      <c r="I104" s="481" t="s">
        <v>22</v>
      </c>
      <c r="J104" s="481" t="s">
        <v>4782</v>
      </c>
      <c r="K104" s="481" t="s">
        <v>5314</v>
      </c>
    </row>
    <row r="105" spans="1:11" ht="33.75">
      <c r="A105" s="481" t="s">
        <v>23</v>
      </c>
      <c r="B105" s="481" t="s">
        <v>5315</v>
      </c>
      <c r="C105" s="479">
        <v>0.6020833333333333</v>
      </c>
      <c r="D105" s="481" t="s">
        <v>45</v>
      </c>
      <c r="E105" s="520" t="s">
        <v>45</v>
      </c>
      <c r="F105" s="481" t="s">
        <v>3897</v>
      </c>
      <c r="G105" s="481" t="s">
        <v>674</v>
      </c>
      <c r="H105" s="481" t="s">
        <v>3356</v>
      </c>
      <c r="I105" s="481" t="s">
        <v>100</v>
      </c>
      <c r="J105" s="481" t="s">
        <v>5316</v>
      </c>
      <c r="K105" s="481" t="s">
        <v>3055</v>
      </c>
    </row>
    <row r="106" spans="1:11" ht="67.5">
      <c r="A106" s="481" t="s">
        <v>23</v>
      </c>
      <c r="B106" s="481" t="s">
        <v>5315</v>
      </c>
      <c r="C106" s="479">
        <v>0.37083333333333335</v>
      </c>
      <c r="D106" s="481" t="s">
        <v>5315</v>
      </c>
      <c r="E106" s="520">
        <v>0.37152777777777773</v>
      </c>
      <c r="F106" s="481" t="s">
        <v>3616</v>
      </c>
      <c r="G106" s="481" t="s">
        <v>124</v>
      </c>
      <c r="H106" s="481" t="s">
        <v>2910</v>
      </c>
      <c r="I106" s="481" t="s">
        <v>100</v>
      </c>
      <c r="J106" s="481" t="s">
        <v>3055</v>
      </c>
      <c r="K106" s="481" t="s">
        <v>3055</v>
      </c>
    </row>
    <row r="107" spans="1:11" ht="78.75">
      <c r="A107" s="481" t="s">
        <v>23</v>
      </c>
      <c r="B107" s="481" t="s">
        <v>5317</v>
      </c>
      <c r="C107" s="479">
        <v>0.375</v>
      </c>
      <c r="D107" s="481" t="s">
        <v>5317</v>
      </c>
      <c r="E107" s="520">
        <v>0.3756944444444445</v>
      </c>
      <c r="F107" s="481" t="s">
        <v>5318</v>
      </c>
      <c r="G107" s="481" t="s">
        <v>3143</v>
      </c>
      <c r="H107" s="481" t="s">
        <v>3402</v>
      </c>
      <c r="I107" s="481" t="s">
        <v>2118</v>
      </c>
      <c r="J107" s="481" t="s">
        <v>45</v>
      </c>
      <c r="K107" s="481" t="s">
        <v>45</v>
      </c>
    </row>
    <row r="108" spans="1:11" ht="67.5">
      <c r="A108" s="481" t="s">
        <v>23</v>
      </c>
      <c r="B108" s="481" t="s">
        <v>5319</v>
      </c>
      <c r="C108" s="479">
        <v>0.33055555555555555</v>
      </c>
      <c r="D108" s="481" t="s">
        <v>5319</v>
      </c>
      <c r="E108" s="520">
        <v>0.3666666666666667</v>
      </c>
      <c r="F108" s="481" t="s">
        <v>2832</v>
      </c>
      <c r="G108" s="481" t="s">
        <v>63</v>
      </c>
      <c r="H108" s="481" t="s">
        <v>3411</v>
      </c>
      <c r="I108" s="481" t="s">
        <v>2764</v>
      </c>
      <c r="J108" s="481" t="s">
        <v>5320</v>
      </c>
      <c r="K108" s="481" t="s">
        <v>45</v>
      </c>
    </row>
    <row r="109" spans="1:11" ht="78.75">
      <c r="A109" s="481" t="s">
        <v>23</v>
      </c>
      <c r="B109" s="481" t="s">
        <v>5319</v>
      </c>
      <c r="C109" s="479">
        <v>0.65625</v>
      </c>
      <c r="D109" s="481" t="s">
        <v>45</v>
      </c>
      <c r="E109" s="520" t="s">
        <v>45</v>
      </c>
      <c r="F109" s="481" t="s">
        <v>3620</v>
      </c>
      <c r="G109" s="481" t="s">
        <v>124</v>
      </c>
      <c r="H109" s="481" t="s">
        <v>3402</v>
      </c>
      <c r="I109" s="481" t="s">
        <v>2118</v>
      </c>
      <c r="J109" s="481" t="s">
        <v>3055</v>
      </c>
      <c r="K109" s="481" t="s">
        <v>3055</v>
      </c>
    </row>
    <row r="110" spans="1:11" ht="67.5">
      <c r="A110" s="481" t="s">
        <v>23</v>
      </c>
      <c r="B110" s="481" t="s">
        <v>5321</v>
      </c>
      <c r="C110" s="479">
        <v>0.2951388888888889</v>
      </c>
      <c r="D110" s="481" t="s">
        <v>5321</v>
      </c>
      <c r="E110" s="520">
        <v>0.29583333333333334</v>
      </c>
      <c r="F110" s="481" t="s">
        <v>2945</v>
      </c>
      <c r="G110" s="481" t="s">
        <v>124</v>
      </c>
      <c r="H110" s="481" t="s">
        <v>2910</v>
      </c>
      <c r="I110" s="481" t="s">
        <v>100</v>
      </c>
      <c r="J110" s="481" t="s">
        <v>3055</v>
      </c>
      <c r="K110" s="481" t="s">
        <v>3055</v>
      </c>
    </row>
    <row r="111" spans="1:11" ht="33.75">
      <c r="A111" s="481" t="s">
        <v>103</v>
      </c>
      <c r="B111" s="481" t="s">
        <v>5322</v>
      </c>
      <c r="C111" s="479">
        <v>0.6</v>
      </c>
      <c r="D111" s="481" t="s">
        <v>5322</v>
      </c>
      <c r="E111" s="520">
        <v>0.60069444444444442</v>
      </c>
      <c r="F111" s="481" t="s">
        <v>2945</v>
      </c>
      <c r="G111" s="481" t="s">
        <v>124</v>
      </c>
      <c r="H111" s="481" t="s">
        <v>3356</v>
      </c>
      <c r="I111" s="481" t="s">
        <v>100</v>
      </c>
      <c r="J111" s="481" t="s">
        <v>45</v>
      </c>
      <c r="K111" s="481" t="s">
        <v>3055</v>
      </c>
    </row>
    <row r="112" spans="1:11" ht="33.75">
      <c r="A112" s="481" t="s">
        <v>103</v>
      </c>
      <c r="B112" s="481" t="s">
        <v>5323</v>
      </c>
      <c r="C112" s="479">
        <v>0.27916666666666667</v>
      </c>
      <c r="D112" s="481" t="s">
        <v>5323</v>
      </c>
      <c r="E112" s="520">
        <v>0.58263888888888882</v>
      </c>
      <c r="F112" s="481" t="s">
        <v>5324</v>
      </c>
      <c r="G112" s="481" t="s">
        <v>61</v>
      </c>
      <c r="H112" s="481" t="s">
        <v>3356</v>
      </c>
      <c r="I112" s="481" t="s">
        <v>100</v>
      </c>
      <c r="J112" s="481" t="s">
        <v>3055</v>
      </c>
      <c r="K112" s="481" t="s">
        <v>3055</v>
      </c>
    </row>
    <row r="113" spans="1:11" ht="33.75">
      <c r="A113" s="481" t="s">
        <v>103</v>
      </c>
      <c r="B113" s="481" t="s">
        <v>5323</v>
      </c>
      <c r="C113" s="479">
        <v>1.1805555555555555E-2</v>
      </c>
      <c r="D113" s="481" t="s">
        <v>5325</v>
      </c>
      <c r="E113" s="520">
        <v>0.5</v>
      </c>
      <c r="F113" s="481" t="s">
        <v>2866</v>
      </c>
      <c r="G113" s="481" t="s">
        <v>63</v>
      </c>
      <c r="H113" s="481" t="s">
        <v>3356</v>
      </c>
      <c r="I113" s="481" t="s">
        <v>2293</v>
      </c>
      <c r="J113" s="481" t="s">
        <v>3055</v>
      </c>
      <c r="K113" s="481" t="s">
        <v>3055</v>
      </c>
    </row>
    <row r="114" spans="1:11" ht="45">
      <c r="A114" s="481" t="s">
        <v>103</v>
      </c>
      <c r="B114" s="481" t="s">
        <v>5325</v>
      </c>
      <c r="C114" s="479">
        <v>0.58819444444444446</v>
      </c>
      <c r="D114" s="481" t="s">
        <v>5326</v>
      </c>
      <c r="E114" s="520">
        <v>8.1250000000000003E-2</v>
      </c>
      <c r="F114" s="481" t="s">
        <v>3528</v>
      </c>
      <c r="G114" s="481" t="s">
        <v>3143</v>
      </c>
      <c r="H114" s="481" t="s">
        <v>3387</v>
      </c>
      <c r="I114" s="481" t="s">
        <v>2764</v>
      </c>
      <c r="J114" s="481" t="s">
        <v>45</v>
      </c>
      <c r="K114" s="481" t="s">
        <v>3055</v>
      </c>
    </row>
    <row r="115" spans="1:11" ht="67.5">
      <c r="A115" s="481" t="s">
        <v>103</v>
      </c>
      <c r="B115" s="481" t="s">
        <v>5326</v>
      </c>
      <c r="C115" s="479">
        <v>0.54583333333333328</v>
      </c>
      <c r="D115" s="481" t="s">
        <v>5326</v>
      </c>
      <c r="E115" s="520">
        <v>0.58750000000000002</v>
      </c>
      <c r="F115" s="481" t="s">
        <v>3405</v>
      </c>
      <c r="G115" s="481" t="s">
        <v>63</v>
      </c>
      <c r="H115" s="481" t="s">
        <v>3411</v>
      </c>
      <c r="I115" s="481" t="s">
        <v>2483</v>
      </c>
      <c r="J115" s="481" t="s">
        <v>45</v>
      </c>
      <c r="K115" s="481" t="s">
        <v>3055</v>
      </c>
    </row>
    <row r="116" spans="1:11" ht="45">
      <c r="A116" s="481" t="s">
        <v>103</v>
      </c>
      <c r="B116" s="481" t="s">
        <v>5327</v>
      </c>
      <c r="C116" s="479">
        <v>0.12638888888888888</v>
      </c>
      <c r="D116" s="481" t="s">
        <v>5327</v>
      </c>
      <c r="E116" s="520">
        <v>0.14861111111111111</v>
      </c>
      <c r="F116" s="481" t="s">
        <v>4350</v>
      </c>
      <c r="G116" s="481" t="s">
        <v>3143</v>
      </c>
      <c r="H116" s="481" t="s">
        <v>3387</v>
      </c>
      <c r="I116" s="481" t="s">
        <v>1138</v>
      </c>
      <c r="J116" s="481" t="s">
        <v>3055</v>
      </c>
      <c r="K116" s="481" t="s">
        <v>3055</v>
      </c>
    </row>
    <row r="117" spans="1:11" ht="33.75">
      <c r="A117" s="481" t="s">
        <v>103</v>
      </c>
      <c r="B117" s="481" t="s">
        <v>5328</v>
      </c>
      <c r="C117" s="479">
        <v>0.68402777777777779</v>
      </c>
      <c r="D117" s="481" t="s">
        <v>5328</v>
      </c>
      <c r="E117" s="520">
        <v>0.71527777777777779</v>
      </c>
      <c r="F117" s="481" t="s">
        <v>5074</v>
      </c>
      <c r="G117" s="481" t="s">
        <v>1352</v>
      </c>
      <c r="H117" s="481" t="s">
        <v>3356</v>
      </c>
      <c r="I117" s="481" t="s">
        <v>100</v>
      </c>
      <c r="J117" s="481" t="s">
        <v>3055</v>
      </c>
      <c r="K117" s="481" t="s">
        <v>3055</v>
      </c>
    </row>
    <row r="118" spans="1:11" ht="33.75">
      <c r="A118" s="481" t="s">
        <v>103</v>
      </c>
      <c r="B118" s="481" t="s">
        <v>5328</v>
      </c>
      <c r="C118" s="479">
        <v>0.68402777777777779</v>
      </c>
      <c r="D118" s="481" t="s">
        <v>5328</v>
      </c>
      <c r="E118" s="520">
        <v>0.71527777777777779</v>
      </c>
      <c r="F118" s="481" t="s">
        <v>5074</v>
      </c>
      <c r="G118" s="481" t="s">
        <v>1352</v>
      </c>
      <c r="H118" s="481" t="s">
        <v>3356</v>
      </c>
      <c r="I118" s="481" t="s">
        <v>100</v>
      </c>
      <c r="J118" s="481" t="s">
        <v>3055</v>
      </c>
      <c r="K118" s="481" t="s">
        <v>3055</v>
      </c>
    </row>
    <row r="119" spans="1:11" ht="33.75">
      <c r="A119" s="481" t="s">
        <v>103</v>
      </c>
      <c r="B119" s="481" t="s">
        <v>5329</v>
      </c>
      <c r="C119" s="479">
        <v>0.75</v>
      </c>
      <c r="D119" s="481" t="s">
        <v>5329</v>
      </c>
      <c r="E119" s="520">
        <v>0.9458333333333333</v>
      </c>
      <c r="F119" s="481" t="s">
        <v>3738</v>
      </c>
      <c r="G119" s="481" t="s">
        <v>674</v>
      </c>
      <c r="H119" s="481" t="s">
        <v>2753</v>
      </c>
      <c r="I119" s="481" t="s">
        <v>22</v>
      </c>
      <c r="J119" s="481" t="s">
        <v>45</v>
      </c>
      <c r="K119" s="481" t="s">
        <v>5330</v>
      </c>
    </row>
    <row r="120" spans="1:11" ht="101.25">
      <c r="A120" s="481" t="s">
        <v>103</v>
      </c>
      <c r="B120" s="481" t="s">
        <v>5329</v>
      </c>
      <c r="C120" s="479">
        <v>0.41666666666666669</v>
      </c>
      <c r="D120" s="481" t="s">
        <v>5329</v>
      </c>
      <c r="E120" s="520">
        <v>0.41736111111111113</v>
      </c>
      <c r="F120" s="481" t="s">
        <v>5331</v>
      </c>
      <c r="G120" s="481" t="s">
        <v>674</v>
      </c>
      <c r="H120" s="481" t="s">
        <v>5332</v>
      </c>
      <c r="I120" s="481" t="s">
        <v>100</v>
      </c>
      <c r="J120" s="481" t="s">
        <v>3055</v>
      </c>
      <c r="K120" s="481" t="s">
        <v>3055</v>
      </c>
    </row>
    <row r="121" spans="1:11" ht="67.5">
      <c r="A121" s="481" t="s">
        <v>103</v>
      </c>
      <c r="B121" s="481" t="s">
        <v>5333</v>
      </c>
      <c r="C121" s="479">
        <v>0.70138888888888884</v>
      </c>
      <c r="D121" s="481" t="s">
        <v>5334</v>
      </c>
      <c r="E121" s="520">
        <v>0.11666666666666665</v>
      </c>
      <c r="F121" s="481" t="s">
        <v>5335</v>
      </c>
      <c r="G121" s="481" t="s">
        <v>674</v>
      </c>
      <c r="H121" s="481" t="s">
        <v>3411</v>
      </c>
      <c r="I121" s="481" t="s">
        <v>2483</v>
      </c>
      <c r="J121" s="481" t="s">
        <v>45</v>
      </c>
      <c r="K121" s="481" t="s">
        <v>45</v>
      </c>
    </row>
    <row r="122" spans="1:11" ht="33.75">
      <c r="A122" s="481" t="s">
        <v>103</v>
      </c>
      <c r="B122" s="481" t="s">
        <v>5333</v>
      </c>
      <c r="C122" s="479">
        <v>0.62361111111111112</v>
      </c>
      <c r="D122" s="481" t="s">
        <v>5333</v>
      </c>
      <c r="E122" s="520">
        <v>0.62430555555555556</v>
      </c>
      <c r="F122" s="481" t="s">
        <v>5336</v>
      </c>
      <c r="G122" s="481" t="s">
        <v>63</v>
      </c>
      <c r="H122" s="481" t="s">
        <v>3356</v>
      </c>
      <c r="I122" s="481" t="s">
        <v>5075</v>
      </c>
      <c r="J122" s="481" t="s">
        <v>3055</v>
      </c>
      <c r="K122" s="481" t="s">
        <v>3055</v>
      </c>
    </row>
    <row r="123" spans="1:11" ht="33.75">
      <c r="A123" s="481" t="s">
        <v>103</v>
      </c>
      <c r="B123" s="481" t="s">
        <v>5333</v>
      </c>
      <c r="C123" s="479">
        <v>0.62361111111111112</v>
      </c>
      <c r="D123" s="481" t="s">
        <v>5333</v>
      </c>
      <c r="E123" s="520">
        <v>0.62430555555555556</v>
      </c>
      <c r="F123" s="481" t="s">
        <v>5337</v>
      </c>
      <c r="G123" s="481" t="s">
        <v>63</v>
      </c>
      <c r="H123" s="481" t="s">
        <v>3356</v>
      </c>
      <c r="I123" s="481" t="s">
        <v>5075</v>
      </c>
      <c r="J123" s="481" t="s">
        <v>3055</v>
      </c>
      <c r="K123" s="481" t="s">
        <v>3055</v>
      </c>
    </row>
    <row r="124" spans="1:11" ht="78.75">
      <c r="A124" s="481" t="s">
        <v>103</v>
      </c>
      <c r="B124" s="481" t="s">
        <v>5333</v>
      </c>
      <c r="C124" s="479">
        <v>4.1666666666666664E-2</v>
      </c>
      <c r="D124" s="481" t="s">
        <v>5333</v>
      </c>
      <c r="E124" s="520">
        <v>4.8611111111111112E-2</v>
      </c>
      <c r="F124" s="481" t="s">
        <v>5338</v>
      </c>
      <c r="G124" s="481" t="s">
        <v>1352</v>
      </c>
      <c r="H124" s="481" t="s">
        <v>3402</v>
      </c>
      <c r="I124" s="481" t="s">
        <v>2118</v>
      </c>
      <c r="J124" s="481" t="s">
        <v>3055</v>
      </c>
      <c r="K124" s="481" t="s">
        <v>3055</v>
      </c>
    </row>
    <row r="125" spans="1:11" ht="67.5">
      <c r="A125" s="481" t="s">
        <v>103</v>
      </c>
      <c r="B125" s="481" t="s">
        <v>5333</v>
      </c>
      <c r="C125" s="479">
        <v>0.44722222222222219</v>
      </c>
      <c r="D125" s="481" t="s">
        <v>5333</v>
      </c>
      <c r="E125" s="520">
        <v>0.56527777777777777</v>
      </c>
      <c r="F125" s="481" t="s">
        <v>5339</v>
      </c>
      <c r="G125" s="481" t="s">
        <v>63</v>
      </c>
      <c r="H125" s="481" t="s">
        <v>3411</v>
      </c>
      <c r="I125" s="481" t="s">
        <v>2483</v>
      </c>
      <c r="J125" s="481" t="s">
        <v>4738</v>
      </c>
      <c r="K125" s="481" t="s">
        <v>3055</v>
      </c>
    </row>
    <row r="126" spans="1:11" ht="45">
      <c r="A126" s="481" t="s">
        <v>103</v>
      </c>
      <c r="B126" s="481" t="s">
        <v>5340</v>
      </c>
      <c r="C126" s="479">
        <v>0.62847222222222221</v>
      </c>
      <c r="D126" s="481" t="s">
        <v>5340</v>
      </c>
      <c r="E126" s="520">
        <v>0.6875</v>
      </c>
      <c r="F126" s="481" t="s">
        <v>2919</v>
      </c>
      <c r="G126" s="481" t="s">
        <v>1352</v>
      </c>
      <c r="H126" s="481" t="s">
        <v>3387</v>
      </c>
      <c r="I126" s="481" t="s">
        <v>2764</v>
      </c>
      <c r="J126" s="481" t="s">
        <v>3055</v>
      </c>
      <c r="K126" s="481" t="s">
        <v>3055</v>
      </c>
    </row>
    <row r="127" spans="1:11" ht="101.25">
      <c r="A127" s="481" t="s">
        <v>103</v>
      </c>
      <c r="B127" s="481" t="s">
        <v>5341</v>
      </c>
      <c r="C127" s="479">
        <v>0.97916666666666663</v>
      </c>
      <c r="D127" s="481" t="s">
        <v>5342</v>
      </c>
      <c r="E127" s="520">
        <v>0.98958333333333337</v>
      </c>
      <c r="F127" s="481" t="s">
        <v>5343</v>
      </c>
      <c r="G127" s="481" t="s">
        <v>1352</v>
      </c>
      <c r="H127" s="481" t="s">
        <v>2753</v>
      </c>
      <c r="I127" s="481" t="s">
        <v>22</v>
      </c>
      <c r="J127" s="481" t="s">
        <v>45</v>
      </c>
      <c r="K127" s="481" t="s">
        <v>3560</v>
      </c>
    </row>
    <row r="128" spans="1:11" ht="78.75">
      <c r="A128" s="481" t="s">
        <v>103</v>
      </c>
      <c r="B128" s="481" t="s">
        <v>5341</v>
      </c>
      <c r="C128" s="479">
        <v>0.875</v>
      </c>
      <c r="D128" s="481" t="s">
        <v>5341</v>
      </c>
      <c r="E128" s="520">
        <v>0.88194444444444453</v>
      </c>
      <c r="F128" s="481" t="s">
        <v>3215</v>
      </c>
      <c r="G128" s="481" t="s">
        <v>3143</v>
      </c>
      <c r="H128" s="481" t="s">
        <v>3402</v>
      </c>
      <c r="I128" s="481" t="s">
        <v>2118</v>
      </c>
      <c r="J128" s="481" t="s">
        <v>3055</v>
      </c>
      <c r="K128" s="481" t="s">
        <v>3055</v>
      </c>
    </row>
    <row r="129" spans="1:11" ht="78.75">
      <c r="A129" s="481" t="s">
        <v>103</v>
      </c>
      <c r="B129" s="481" t="s">
        <v>5341</v>
      </c>
      <c r="C129" s="479">
        <v>0.875</v>
      </c>
      <c r="D129" s="481" t="s">
        <v>5341</v>
      </c>
      <c r="E129" s="520">
        <v>0.88194444444444453</v>
      </c>
      <c r="F129" s="481" t="s">
        <v>3215</v>
      </c>
      <c r="G129" s="481" t="s">
        <v>3143</v>
      </c>
      <c r="H129" s="481" t="s">
        <v>3402</v>
      </c>
      <c r="I129" s="481" t="s">
        <v>2118</v>
      </c>
      <c r="J129" s="481" t="s">
        <v>3055</v>
      </c>
      <c r="K129" s="481" t="s">
        <v>3055</v>
      </c>
    </row>
    <row r="130" spans="1:11" ht="33.75">
      <c r="A130" s="481" t="s">
        <v>103</v>
      </c>
      <c r="B130" s="481" t="s">
        <v>5344</v>
      </c>
      <c r="C130" s="479">
        <v>0.20833333333333334</v>
      </c>
      <c r="D130" s="481" t="s">
        <v>5344</v>
      </c>
      <c r="E130" s="520">
        <v>0.20902777777777778</v>
      </c>
      <c r="F130" s="481" t="s">
        <v>5345</v>
      </c>
      <c r="G130" s="481" t="s">
        <v>124</v>
      </c>
      <c r="H130" s="481" t="s">
        <v>3356</v>
      </c>
      <c r="I130" s="481" t="s">
        <v>100</v>
      </c>
      <c r="J130" s="481" t="s">
        <v>3055</v>
      </c>
      <c r="K130" s="481" t="s">
        <v>3055</v>
      </c>
    </row>
    <row r="131" spans="1:11" ht="78.75">
      <c r="A131" s="481" t="s">
        <v>103</v>
      </c>
      <c r="B131" s="481" t="s">
        <v>5344</v>
      </c>
      <c r="C131" s="479">
        <v>0.66875000000000007</v>
      </c>
      <c r="D131" s="481" t="s">
        <v>5344</v>
      </c>
      <c r="E131" s="520">
        <v>0.81388888888888899</v>
      </c>
      <c r="F131" s="481" t="s">
        <v>3957</v>
      </c>
      <c r="G131" s="481" t="s">
        <v>124</v>
      </c>
      <c r="H131" s="481" t="s">
        <v>5346</v>
      </c>
      <c r="I131" s="481" t="s">
        <v>2764</v>
      </c>
      <c r="J131" s="481" t="s">
        <v>3055</v>
      </c>
      <c r="K131" s="481" t="s">
        <v>3055</v>
      </c>
    </row>
    <row r="132" spans="1:11" ht="67.5">
      <c r="A132" s="481" t="s">
        <v>103</v>
      </c>
      <c r="B132" s="481" t="s">
        <v>5342</v>
      </c>
      <c r="C132" s="479">
        <v>0.50694444444444442</v>
      </c>
      <c r="D132" s="481" t="s">
        <v>45</v>
      </c>
      <c r="E132" s="520" t="s">
        <v>45</v>
      </c>
      <c r="F132" s="481" t="s">
        <v>5347</v>
      </c>
      <c r="G132" s="481" t="s">
        <v>124</v>
      </c>
      <c r="H132" s="481" t="s">
        <v>3411</v>
      </c>
      <c r="I132" s="481" t="s">
        <v>2483</v>
      </c>
      <c r="J132" s="481" t="s">
        <v>3889</v>
      </c>
      <c r="K132" s="481" t="s">
        <v>45</v>
      </c>
    </row>
    <row r="133" spans="1:11" ht="33.75">
      <c r="A133" s="481" t="s">
        <v>103</v>
      </c>
      <c r="B133" s="481" t="s">
        <v>5348</v>
      </c>
      <c r="C133" s="479">
        <v>0.70833333333333337</v>
      </c>
      <c r="D133" s="481" t="s">
        <v>5349</v>
      </c>
      <c r="E133" s="520">
        <v>0.5</v>
      </c>
      <c r="F133" s="481" t="s">
        <v>3620</v>
      </c>
      <c r="G133" s="481" t="s">
        <v>124</v>
      </c>
      <c r="H133" s="481" t="s">
        <v>2780</v>
      </c>
      <c r="I133" s="481" t="s">
        <v>1138</v>
      </c>
      <c r="J133" s="481" t="s">
        <v>4406</v>
      </c>
      <c r="K133" s="481" t="s">
        <v>3055</v>
      </c>
    </row>
    <row r="134" spans="1:11" ht="33.75">
      <c r="A134" s="481" t="s">
        <v>103</v>
      </c>
      <c r="B134" s="481" t="s">
        <v>5348</v>
      </c>
      <c r="C134" s="479">
        <v>0.45833333333333331</v>
      </c>
      <c r="D134" s="481" t="s">
        <v>5348</v>
      </c>
      <c r="E134" s="520">
        <v>0.69027777777777777</v>
      </c>
      <c r="F134" s="481" t="s">
        <v>5350</v>
      </c>
      <c r="G134" s="481" t="s">
        <v>124</v>
      </c>
      <c r="H134" s="481" t="s">
        <v>3356</v>
      </c>
      <c r="I134" s="481" t="s">
        <v>100</v>
      </c>
      <c r="J134" s="481" t="s">
        <v>3055</v>
      </c>
      <c r="K134" s="481" t="s">
        <v>3055</v>
      </c>
    </row>
    <row r="135" spans="1:11" ht="78.75">
      <c r="A135" s="481" t="s">
        <v>103</v>
      </c>
      <c r="B135" s="481" t="s">
        <v>5348</v>
      </c>
      <c r="C135" s="479">
        <v>0.64583333333333337</v>
      </c>
      <c r="D135" s="481" t="s">
        <v>5348</v>
      </c>
      <c r="E135" s="520">
        <v>0.6875</v>
      </c>
      <c r="F135" s="481" t="s">
        <v>5351</v>
      </c>
      <c r="G135" s="481" t="s">
        <v>3143</v>
      </c>
      <c r="H135" s="481" t="s">
        <v>3402</v>
      </c>
      <c r="I135" s="481" t="s">
        <v>2118</v>
      </c>
      <c r="J135" s="481" t="s">
        <v>3055</v>
      </c>
      <c r="K135" s="481" t="s">
        <v>3055</v>
      </c>
    </row>
    <row r="136" spans="1:11" ht="67.5">
      <c r="A136" s="481" t="s">
        <v>103</v>
      </c>
      <c r="B136" s="481" t="s">
        <v>5352</v>
      </c>
      <c r="C136" s="479">
        <v>0.72638888888888886</v>
      </c>
      <c r="D136" s="481" t="s">
        <v>5352</v>
      </c>
      <c r="E136" s="520">
        <v>0.73125000000000007</v>
      </c>
      <c r="F136" s="481" t="s">
        <v>2868</v>
      </c>
      <c r="G136" s="481" t="s">
        <v>61</v>
      </c>
      <c r="H136" s="481" t="s">
        <v>3411</v>
      </c>
      <c r="I136" s="481" t="s">
        <v>2483</v>
      </c>
      <c r="J136" s="481" t="s">
        <v>3055</v>
      </c>
      <c r="K136" s="481" t="s">
        <v>3055</v>
      </c>
    </row>
    <row r="137" spans="1:11" ht="78.75">
      <c r="A137" s="481" t="s">
        <v>103</v>
      </c>
      <c r="B137" s="481" t="s">
        <v>5352</v>
      </c>
      <c r="C137" s="479">
        <v>0.3666666666666667</v>
      </c>
      <c r="D137" s="481" t="s">
        <v>45</v>
      </c>
      <c r="E137" s="520" t="s">
        <v>45</v>
      </c>
      <c r="F137" s="481" t="s">
        <v>5353</v>
      </c>
      <c r="G137" s="481" t="s">
        <v>61</v>
      </c>
      <c r="H137" s="481" t="s">
        <v>3402</v>
      </c>
      <c r="I137" s="481" t="s">
        <v>2118</v>
      </c>
      <c r="J137" s="481" t="s">
        <v>3055</v>
      </c>
      <c r="K137" s="481" t="s">
        <v>3055</v>
      </c>
    </row>
    <row r="138" spans="1:11" ht="33.75">
      <c r="A138" s="481" t="s">
        <v>103</v>
      </c>
      <c r="B138" s="481" t="s">
        <v>5354</v>
      </c>
      <c r="C138" s="479">
        <v>0.91180555555555554</v>
      </c>
      <c r="D138" s="481" t="s">
        <v>5355</v>
      </c>
      <c r="E138" s="520">
        <v>1.9444444444444445E-2</v>
      </c>
      <c r="F138" s="481" t="s">
        <v>4590</v>
      </c>
      <c r="G138" s="481" t="s">
        <v>63</v>
      </c>
      <c r="H138" s="481" t="s">
        <v>3356</v>
      </c>
      <c r="I138" s="481" t="s">
        <v>2293</v>
      </c>
      <c r="J138" s="481" t="s">
        <v>3055</v>
      </c>
      <c r="K138" s="481" t="s">
        <v>3055</v>
      </c>
    </row>
    <row r="139" spans="1:11" ht="33.75">
      <c r="A139" s="481" t="s">
        <v>103</v>
      </c>
      <c r="B139" s="481" t="s">
        <v>5355</v>
      </c>
      <c r="C139" s="479">
        <v>0.10416666666666667</v>
      </c>
      <c r="D139" s="481" t="s">
        <v>5355</v>
      </c>
      <c r="E139" s="520">
        <v>0.78611111111111098</v>
      </c>
      <c r="F139" s="481" t="s">
        <v>2809</v>
      </c>
      <c r="G139" s="481" t="s">
        <v>1352</v>
      </c>
      <c r="H139" s="481" t="s">
        <v>2753</v>
      </c>
      <c r="I139" s="481" t="s">
        <v>22</v>
      </c>
      <c r="J139" s="481" t="s">
        <v>45</v>
      </c>
      <c r="K139" s="481" t="s">
        <v>5356</v>
      </c>
    </row>
    <row r="140" spans="1:11" ht="45">
      <c r="A140" s="481" t="s">
        <v>103</v>
      </c>
      <c r="B140" s="481" t="s">
        <v>5355</v>
      </c>
      <c r="C140" s="479">
        <v>0.94444444444444453</v>
      </c>
      <c r="D140" s="481" t="s">
        <v>5355</v>
      </c>
      <c r="E140" s="520">
        <v>0.96944444444444444</v>
      </c>
      <c r="F140" s="481" t="s">
        <v>2959</v>
      </c>
      <c r="G140" s="481" t="s">
        <v>61</v>
      </c>
      <c r="H140" s="481" t="s">
        <v>3387</v>
      </c>
      <c r="I140" s="481" t="s">
        <v>2764</v>
      </c>
      <c r="J140" s="481" t="s">
        <v>3055</v>
      </c>
      <c r="K140" s="481" t="s">
        <v>3055</v>
      </c>
    </row>
    <row r="141" spans="1:11" ht="33.75">
      <c r="A141" s="481" t="s">
        <v>103</v>
      </c>
      <c r="B141" s="481" t="s">
        <v>5357</v>
      </c>
      <c r="C141" s="479">
        <v>0.27916666666666667</v>
      </c>
      <c r="D141" s="481" t="s">
        <v>5357</v>
      </c>
      <c r="E141" s="520">
        <v>0.27986111111111112</v>
      </c>
      <c r="F141" s="481" t="s">
        <v>5358</v>
      </c>
      <c r="G141" s="481" t="s">
        <v>124</v>
      </c>
      <c r="H141" s="481" t="s">
        <v>3356</v>
      </c>
      <c r="I141" s="481" t="s">
        <v>2293</v>
      </c>
      <c r="J141" s="481" t="s">
        <v>3055</v>
      </c>
      <c r="K141" s="481" t="s">
        <v>3055</v>
      </c>
    </row>
    <row r="142" spans="1:11" ht="45">
      <c r="A142" s="481" t="s">
        <v>103</v>
      </c>
      <c r="B142" s="481" t="s">
        <v>5359</v>
      </c>
      <c r="C142" s="479">
        <v>0.33055555555555555</v>
      </c>
      <c r="D142" s="481" t="s">
        <v>5359</v>
      </c>
      <c r="E142" s="520">
        <v>0.35972222222222222</v>
      </c>
      <c r="F142" s="481" t="s">
        <v>5360</v>
      </c>
      <c r="G142" s="481" t="s">
        <v>124</v>
      </c>
      <c r="H142" s="481" t="s">
        <v>3387</v>
      </c>
      <c r="I142" s="481" t="s">
        <v>2764</v>
      </c>
      <c r="J142" s="481" t="s">
        <v>3055</v>
      </c>
      <c r="K142" s="481" t="s">
        <v>3055</v>
      </c>
    </row>
    <row r="143" spans="1:11" ht="78.75">
      <c r="A143" s="481" t="s">
        <v>103</v>
      </c>
      <c r="B143" s="481" t="s">
        <v>5359</v>
      </c>
      <c r="C143" s="479">
        <v>0.22152777777777777</v>
      </c>
      <c r="D143" s="481" t="s">
        <v>5359</v>
      </c>
      <c r="E143" s="520">
        <v>0.25</v>
      </c>
      <c r="F143" s="481" t="s">
        <v>5046</v>
      </c>
      <c r="G143" s="481" t="s">
        <v>3143</v>
      </c>
      <c r="H143" s="481" t="s">
        <v>3402</v>
      </c>
      <c r="I143" s="481" t="s">
        <v>2118</v>
      </c>
      <c r="J143" s="481" t="s">
        <v>3055</v>
      </c>
      <c r="K143" s="481" t="s">
        <v>3055</v>
      </c>
    </row>
    <row r="144" spans="1:11" ht="67.5">
      <c r="A144" s="481" t="s">
        <v>103</v>
      </c>
      <c r="B144" s="481" t="s">
        <v>5361</v>
      </c>
      <c r="C144" s="479">
        <v>0.69513888888888886</v>
      </c>
      <c r="D144" s="481" t="s">
        <v>5349</v>
      </c>
      <c r="E144" s="520">
        <v>0.47847222222222219</v>
      </c>
      <c r="F144" s="481" t="s">
        <v>5081</v>
      </c>
      <c r="G144" s="481" t="s">
        <v>3143</v>
      </c>
      <c r="H144" s="481" t="s">
        <v>3411</v>
      </c>
      <c r="I144" s="481" t="s">
        <v>2483</v>
      </c>
      <c r="J144" s="481" t="s">
        <v>3055</v>
      </c>
      <c r="K144" s="481" t="s">
        <v>3055</v>
      </c>
    </row>
    <row r="145" spans="1:11" ht="45">
      <c r="A145" s="481" t="s">
        <v>103</v>
      </c>
      <c r="B145" s="481" t="s">
        <v>5361</v>
      </c>
      <c r="C145" s="479">
        <v>5.4166666666666669E-2</v>
      </c>
      <c r="D145" s="481" t="s">
        <v>5361</v>
      </c>
      <c r="E145" s="520">
        <v>7.6388888888888895E-2</v>
      </c>
      <c r="F145" s="481" t="s">
        <v>3215</v>
      </c>
      <c r="G145" s="481" t="s">
        <v>3143</v>
      </c>
      <c r="H145" s="481" t="s">
        <v>3387</v>
      </c>
      <c r="I145" s="481" t="s">
        <v>2764</v>
      </c>
      <c r="J145" s="481" t="s">
        <v>3055</v>
      </c>
      <c r="K145" s="481" t="s">
        <v>3055</v>
      </c>
    </row>
    <row r="146" spans="1:11" ht="45">
      <c r="A146" s="481" t="s">
        <v>103</v>
      </c>
      <c r="B146" s="481" t="s">
        <v>5362</v>
      </c>
      <c r="C146" s="479">
        <v>0.59027777777777779</v>
      </c>
      <c r="D146" s="481" t="s">
        <v>5349</v>
      </c>
      <c r="E146" s="520">
        <v>0.24861111111111112</v>
      </c>
      <c r="F146" s="481" t="s">
        <v>4355</v>
      </c>
      <c r="G146" s="481" t="s">
        <v>124</v>
      </c>
      <c r="H146" s="481" t="s">
        <v>3447</v>
      </c>
      <c r="I146" s="481" t="s">
        <v>2764</v>
      </c>
      <c r="J146" s="481" t="s">
        <v>3055</v>
      </c>
      <c r="K146" s="481" t="s">
        <v>3055</v>
      </c>
    </row>
    <row r="147" spans="1:11" ht="33.75">
      <c r="A147" s="481" t="s">
        <v>103</v>
      </c>
      <c r="B147" s="481" t="s">
        <v>5349</v>
      </c>
      <c r="C147" s="479">
        <v>0.58194444444444449</v>
      </c>
      <c r="D147" s="481" t="s">
        <v>5349</v>
      </c>
      <c r="E147" s="520">
        <v>0.58263888888888882</v>
      </c>
      <c r="F147" s="481" t="s">
        <v>3591</v>
      </c>
      <c r="G147" s="481" t="s">
        <v>1352</v>
      </c>
      <c r="H147" s="481" t="s">
        <v>3356</v>
      </c>
      <c r="I147" s="481" t="s">
        <v>100</v>
      </c>
      <c r="J147" s="481" t="s">
        <v>3055</v>
      </c>
      <c r="K147" s="481" t="s">
        <v>3055</v>
      </c>
    </row>
    <row r="148" spans="1:11" ht="33.75">
      <c r="A148" s="481" t="s">
        <v>123</v>
      </c>
      <c r="B148" s="481" t="s">
        <v>5363</v>
      </c>
      <c r="C148" s="479">
        <v>0.44930555555555557</v>
      </c>
      <c r="D148" s="481" t="s">
        <v>5363</v>
      </c>
      <c r="E148" s="520">
        <v>0.45</v>
      </c>
      <c r="F148" s="481" t="s">
        <v>5364</v>
      </c>
      <c r="G148" s="481" t="s">
        <v>124</v>
      </c>
      <c r="H148" s="481" t="s">
        <v>3356</v>
      </c>
      <c r="I148" s="481" t="s">
        <v>100</v>
      </c>
      <c r="J148" s="481" t="s">
        <v>3055</v>
      </c>
      <c r="K148" s="481" t="s">
        <v>3055</v>
      </c>
    </row>
    <row r="149" spans="1:11" ht="67.5">
      <c r="A149" s="481" t="s">
        <v>123</v>
      </c>
      <c r="B149" s="481" t="s">
        <v>5365</v>
      </c>
      <c r="C149" s="479">
        <v>0.34722222222222227</v>
      </c>
      <c r="D149" s="481" t="s">
        <v>45</v>
      </c>
      <c r="E149" s="520" t="s">
        <v>45</v>
      </c>
      <c r="F149" s="481" t="s">
        <v>2920</v>
      </c>
      <c r="G149" s="481" t="s">
        <v>124</v>
      </c>
      <c r="H149" s="481" t="s">
        <v>2910</v>
      </c>
      <c r="I149" s="481" t="s">
        <v>100</v>
      </c>
      <c r="J149" s="481" t="s">
        <v>3055</v>
      </c>
      <c r="K149" s="481" t="s">
        <v>3055</v>
      </c>
    </row>
    <row r="150" spans="1:11" ht="67.5">
      <c r="A150" s="481" t="s">
        <v>123</v>
      </c>
      <c r="B150" s="481" t="s">
        <v>5366</v>
      </c>
      <c r="C150" s="479">
        <v>0.15833333333333333</v>
      </c>
      <c r="D150" s="481" t="s">
        <v>5366</v>
      </c>
      <c r="E150" s="520">
        <v>0.15902777777777777</v>
      </c>
      <c r="F150" s="481" t="s">
        <v>5054</v>
      </c>
      <c r="G150" s="481" t="s">
        <v>63</v>
      </c>
      <c r="H150" s="481" t="s">
        <v>4043</v>
      </c>
      <c r="I150" s="481" t="s">
        <v>100</v>
      </c>
      <c r="J150" s="481" t="s">
        <v>3055</v>
      </c>
      <c r="K150" s="481" t="s">
        <v>3055</v>
      </c>
    </row>
    <row r="151" spans="1:11" ht="67.5">
      <c r="A151" s="481" t="s">
        <v>123</v>
      </c>
      <c r="B151" s="481" t="s">
        <v>5367</v>
      </c>
      <c r="C151" s="479">
        <v>0.54097222222222219</v>
      </c>
      <c r="D151" s="481" t="s">
        <v>5368</v>
      </c>
      <c r="E151" s="520">
        <v>9.375E-2</v>
      </c>
      <c r="F151" s="481" t="s">
        <v>4360</v>
      </c>
      <c r="G151" s="481" t="s">
        <v>1352</v>
      </c>
      <c r="H151" s="481" t="s">
        <v>3396</v>
      </c>
      <c r="I151" s="481" t="s">
        <v>2905</v>
      </c>
      <c r="J151" s="481" t="s">
        <v>3055</v>
      </c>
      <c r="K151" s="481" t="s">
        <v>3055</v>
      </c>
    </row>
    <row r="152" spans="1:11" ht="33.75">
      <c r="A152" s="481" t="s">
        <v>123</v>
      </c>
      <c r="B152" s="481" t="s">
        <v>5368</v>
      </c>
      <c r="C152" s="479">
        <v>0.63888888888888895</v>
      </c>
      <c r="D152" s="481" t="s">
        <v>5368</v>
      </c>
      <c r="E152" s="520">
        <v>0.84166666666666667</v>
      </c>
      <c r="F152" s="481" t="s">
        <v>2945</v>
      </c>
      <c r="G152" s="481" t="s">
        <v>124</v>
      </c>
      <c r="H152" s="481" t="s">
        <v>5369</v>
      </c>
      <c r="I152" s="481" t="s">
        <v>2905</v>
      </c>
      <c r="J152" s="481" t="s">
        <v>45</v>
      </c>
      <c r="K152" s="481" t="s">
        <v>45</v>
      </c>
    </row>
    <row r="153" spans="1:11" ht="67.5">
      <c r="A153" s="481" t="s">
        <v>123</v>
      </c>
      <c r="B153" s="481" t="s">
        <v>5370</v>
      </c>
      <c r="C153" s="479">
        <v>0.43124999999999997</v>
      </c>
      <c r="D153" s="481" t="s">
        <v>5370</v>
      </c>
      <c r="E153" s="520">
        <v>0.43333333333333335</v>
      </c>
      <c r="F153" s="481" t="s">
        <v>3414</v>
      </c>
      <c r="G153" s="481" t="s">
        <v>124</v>
      </c>
      <c r="H153" s="481" t="s">
        <v>2839</v>
      </c>
      <c r="I153" s="481" t="s">
        <v>2764</v>
      </c>
      <c r="J153" s="481" t="s">
        <v>4686</v>
      </c>
      <c r="K153" s="481" t="s">
        <v>5027</v>
      </c>
    </row>
    <row r="154" spans="1:11" ht="33.75">
      <c r="A154" s="481" t="s">
        <v>123</v>
      </c>
      <c r="B154" s="481" t="s">
        <v>5371</v>
      </c>
      <c r="C154" s="479">
        <v>4.1666666666666664E-2</v>
      </c>
      <c r="D154" s="481" t="s">
        <v>5371</v>
      </c>
      <c r="E154" s="520">
        <v>0.25</v>
      </c>
      <c r="F154" s="481" t="s">
        <v>5372</v>
      </c>
      <c r="G154" s="481" t="s">
        <v>5055</v>
      </c>
      <c r="H154" s="481" t="s">
        <v>5373</v>
      </c>
      <c r="I154" s="481" t="s">
        <v>2990</v>
      </c>
      <c r="J154" s="481" t="s">
        <v>45</v>
      </c>
      <c r="K154" s="482">
        <v>91188</v>
      </c>
    </row>
    <row r="155" spans="1:11" ht="33.75">
      <c r="A155" s="481" t="s">
        <v>123</v>
      </c>
      <c r="B155" s="481" t="s">
        <v>5371</v>
      </c>
      <c r="C155" s="479">
        <v>0</v>
      </c>
      <c r="D155" s="481" t="s">
        <v>5371</v>
      </c>
      <c r="E155" s="520">
        <v>0.16666666666666666</v>
      </c>
      <c r="F155" s="481" t="s">
        <v>5374</v>
      </c>
      <c r="G155" s="481" t="s">
        <v>5055</v>
      </c>
      <c r="H155" s="481" t="s">
        <v>5373</v>
      </c>
      <c r="I155" s="481" t="s">
        <v>22</v>
      </c>
      <c r="J155" s="481" t="s">
        <v>45</v>
      </c>
      <c r="K155" s="481" t="s">
        <v>3542</v>
      </c>
    </row>
    <row r="156" spans="1:11" ht="33.75">
      <c r="A156" s="481" t="s">
        <v>123</v>
      </c>
      <c r="B156" s="481" t="s">
        <v>5371</v>
      </c>
      <c r="C156" s="479">
        <v>4.1666666666666664E-2</v>
      </c>
      <c r="D156" s="481" t="s">
        <v>5371</v>
      </c>
      <c r="E156" s="520">
        <v>0.16666666666666666</v>
      </c>
      <c r="F156" s="481" t="s">
        <v>2864</v>
      </c>
      <c r="G156" s="481" t="s">
        <v>63</v>
      </c>
      <c r="H156" s="481" t="s">
        <v>5373</v>
      </c>
      <c r="I156" s="481" t="s">
        <v>3768</v>
      </c>
      <c r="J156" s="481" t="s">
        <v>45</v>
      </c>
      <c r="K156" s="481" t="s">
        <v>3237</v>
      </c>
    </row>
    <row r="157" spans="1:11" ht="33.75">
      <c r="A157" s="481" t="s">
        <v>123</v>
      </c>
      <c r="B157" s="481" t="s">
        <v>5375</v>
      </c>
      <c r="C157" s="479">
        <v>0.10625</v>
      </c>
      <c r="D157" s="481" t="s">
        <v>5375</v>
      </c>
      <c r="E157" s="520">
        <v>0.28402777777777777</v>
      </c>
      <c r="F157" s="481" t="s">
        <v>4054</v>
      </c>
      <c r="G157" s="481" t="s">
        <v>1352</v>
      </c>
      <c r="H157" s="481" t="s">
        <v>3356</v>
      </c>
      <c r="I157" s="481" t="s">
        <v>2118</v>
      </c>
      <c r="J157" s="481" t="s">
        <v>3055</v>
      </c>
      <c r="K157" s="481" t="s">
        <v>3055</v>
      </c>
    </row>
    <row r="158" spans="1:11" ht="33.75">
      <c r="A158" s="481" t="s">
        <v>123</v>
      </c>
      <c r="B158" s="481" t="s">
        <v>5375</v>
      </c>
      <c r="C158" s="479">
        <v>0.29166666666666669</v>
      </c>
      <c r="D158" s="481" t="s">
        <v>5375</v>
      </c>
      <c r="E158" s="520">
        <v>0.2951388888888889</v>
      </c>
      <c r="F158" s="481" t="s">
        <v>5376</v>
      </c>
      <c r="G158" s="481" t="s">
        <v>124</v>
      </c>
      <c r="H158" s="481" t="s">
        <v>3356</v>
      </c>
      <c r="I158" s="481" t="s">
        <v>100</v>
      </c>
      <c r="J158" s="481" t="s">
        <v>3055</v>
      </c>
      <c r="K158" s="481" t="s">
        <v>3055</v>
      </c>
    </row>
    <row r="159" spans="1:11" ht="45">
      <c r="A159" s="481" t="s">
        <v>123</v>
      </c>
      <c r="B159" s="481" t="s">
        <v>5377</v>
      </c>
      <c r="C159" s="479">
        <v>0.50555555555555554</v>
      </c>
      <c r="D159" s="481" t="s">
        <v>5377</v>
      </c>
      <c r="E159" s="520">
        <v>0.89583333333333337</v>
      </c>
      <c r="F159" s="481" t="s">
        <v>4402</v>
      </c>
      <c r="G159" s="481" t="s">
        <v>1352</v>
      </c>
      <c r="H159" s="481" t="s">
        <v>3415</v>
      </c>
      <c r="I159" s="481" t="s">
        <v>5075</v>
      </c>
      <c r="J159" s="481" t="s">
        <v>3055</v>
      </c>
      <c r="K159" s="481" t="s">
        <v>3055</v>
      </c>
    </row>
    <row r="160" spans="1:11" ht="33.75">
      <c r="A160" s="481" t="s">
        <v>123</v>
      </c>
      <c r="B160" s="481" t="s">
        <v>5377</v>
      </c>
      <c r="C160" s="479">
        <v>0.8520833333333333</v>
      </c>
      <c r="D160" s="481" t="s">
        <v>5377</v>
      </c>
      <c r="E160" s="520">
        <v>0.89583333333333337</v>
      </c>
      <c r="F160" s="481" t="s">
        <v>3357</v>
      </c>
      <c r="G160" s="481" t="s">
        <v>124</v>
      </c>
      <c r="H160" s="481" t="s">
        <v>5369</v>
      </c>
      <c r="I160" s="481" t="s">
        <v>2764</v>
      </c>
      <c r="J160" s="481" t="s">
        <v>3093</v>
      </c>
      <c r="K160" s="481" t="s">
        <v>5378</v>
      </c>
    </row>
    <row r="161" spans="1:11" ht="33.75">
      <c r="A161" s="481" t="s">
        <v>123</v>
      </c>
      <c r="B161" s="481" t="s">
        <v>5377</v>
      </c>
      <c r="C161" s="479">
        <v>0.84722222222222221</v>
      </c>
      <c r="D161" s="481" t="s">
        <v>5377</v>
      </c>
      <c r="E161" s="520">
        <v>0.85277777777777775</v>
      </c>
      <c r="F161" s="481" t="s">
        <v>3357</v>
      </c>
      <c r="G161" s="481" t="s">
        <v>124</v>
      </c>
      <c r="H161" s="481" t="s">
        <v>5369</v>
      </c>
      <c r="I161" s="481" t="s">
        <v>2764</v>
      </c>
      <c r="J161" s="481" t="s">
        <v>3093</v>
      </c>
      <c r="K161" s="481" t="s">
        <v>45</v>
      </c>
    </row>
    <row r="162" spans="1:11" ht="67.5">
      <c r="A162" s="481" t="s">
        <v>123</v>
      </c>
      <c r="B162" s="481" t="s">
        <v>5377</v>
      </c>
      <c r="C162" s="479">
        <v>0.36458333333333331</v>
      </c>
      <c r="D162" s="481" t="s">
        <v>45</v>
      </c>
      <c r="E162" s="520" t="s">
        <v>45</v>
      </c>
      <c r="F162" s="481" t="s">
        <v>2945</v>
      </c>
      <c r="G162" s="481" t="s">
        <v>124</v>
      </c>
      <c r="H162" s="481" t="s">
        <v>2839</v>
      </c>
      <c r="I162" s="481" t="s">
        <v>2764</v>
      </c>
      <c r="J162" s="481" t="s">
        <v>5379</v>
      </c>
      <c r="K162" s="481" t="s">
        <v>5380</v>
      </c>
    </row>
    <row r="163" spans="1:11" ht="33.75">
      <c r="A163" s="481" t="s">
        <v>123</v>
      </c>
      <c r="B163" s="481" t="s">
        <v>5381</v>
      </c>
      <c r="C163" s="479">
        <v>0.97916666666666663</v>
      </c>
      <c r="D163" s="481" t="s">
        <v>5382</v>
      </c>
      <c r="E163" s="520">
        <v>0.97916666666666663</v>
      </c>
      <c r="F163" s="481" t="s">
        <v>4589</v>
      </c>
      <c r="G163" s="481" t="s">
        <v>5174</v>
      </c>
      <c r="H163" s="481" t="s">
        <v>5373</v>
      </c>
      <c r="I163" s="481" t="s">
        <v>2990</v>
      </c>
      <c r="J163" s="481" t="s">
        <v>5383</v>
      </c>
      <c r="K163" s="481" t="s">
        <v>3462</v>
      </c>
    </row>
    <row r="164" spans="1:11" ht="33.75">
      <c r="A164" s="481" t="s">
        <v>123</v>
      </c>
      <c r="B164" s="481" t="s">
        <v>5382</v>
      </c>
      <c r="C164" s="479">
        <v>0.75</v>
      </c>
      <c r="D164" s="481" t="s">
        <v>5384</v>
      </c>
      <c r="E164" s="520">
        <v>0.76041666666666663</v>
      </c>
      <c r="F164" s="481" t="s">
        <v>4048</v>
      </c>
      <c r="G164" s="481" t="s">
        <v>5174</v>
      </c>
      <c r="H164" s="481" t="s">
        <v>5373</v>
      </c>
      <c r="I164" s="481" t="s">
        <v>2990</v>
      </c>
      <c r="J164" s="481" t="s">
        <v>45</v>
      </c>
      <c r="K164" s="481" t="s">
        <v>5385</v>
      </c>
    </row>
    <row r="165" spans="1:11" ht="112.5">
      <c r="A165" s="481" t="s">
        <v>123</v>
      </c>
      <c r="B165" s="481" t="s">
        <v>5382</v>
      </c>
      <c r="C165" s="479">
        <v>0.99583333333333324</v>
      </c>
      <c r="D165" s="481" t="s">
        <v>5384</v>
      </c>
      <c r="E165" s="520">
        <v>3.125E-2</v>
      </c>
      <c r="F165" s="481" t="s">
        <v>3307</v>
      </c>
      <c r="G165" s="481" t="s">
        <v>3143</v>
      </c>
      <c r="H165" s="481" t="s">
        <v>5386</v>
      </c>
      <c r="I165" s="481" t="s">
        <v>2764</v>
      </c>
      <c r="J165" s="481" t="s">
        <v>3055</v>
      </c>
      <c r="K165" s="481" t="s">
        <v>3055</v>
      </c>
    </row>
    <row r="166" spans="1:11" ht="33.75">
      <c r="A166" s="481" t="s">
        <v>123</v>
      </c>
      <c r="B166" s="481" t="s">
        <v>5384</v>
      </c>
      <c r="C166" s="479">
        <v>0.57361111111111118</v>
      </c>
      <c r="D166" s="481" t="s">
        <v>45</v>
      </c>
      <c r="E166" s="520" t="s">
        <v>45</v>
      </c>
      <c r="F166" s="481" t="s">
        <v>2895</v>
      </c>
      <c r="G166" s="481" t="s">
        <v>3143</v>
      </c>
      <c r="H166" s="481" t="s">
        <v>5369</v>
      </c>
      <c r="I166" s="481" t="s">
        <v>2764</v>
      </c>
      <c r="J166" s="481" t="s">
        <v>5387</v>
      </c>
      <c r="K166" s="481" t="s">
        <v>45</v>
      </c>
    </row>
    <row r="167" spans="1:11" ht="78.75">
      <c r="A167" s="481" t="s">
        <v>123</v>
      </c>
      <c r="B167" s="481" t="s">
        <v>5384</v>
      </c>
      <c r="C167" s="479">
        <v>0</v>
      </c>
      <c r="D167" s="481" t="s">
        <v>5384</v>
      </c>
      <c r="E167" s="520">
        <v>0.25</v>
      </c>
      <c r="F167" s="481" t="s">
        <v>3819</v>
      </c>
      <c r="G167" s="481" t="s">
        <v>124</v>
      </c>
      <c r="H167" s="481" t="s">
        <v>3402</v>
      </c>
      <c r="I167" s="481" t="s">
        <v>5075</v>
      </c>
      <c r="J167" s="481" t="s">
        <v>3055</v>
      </c>
      <c r="K167" s="481" t="s">
        <v>3055</v>
      </c>
    </row>
    <row r="168" spans="1:11" ht="78.75">
      <c r="A168" s="481" t="s">
        <v>123</v>
      </c>
      <c r="B168" s="481" t="s">
        <v>5388</v>
      </c>
      <c r="C168" s="479">
        <v>0.875</v>
      </c>
      <c r="D168" s="481" t="s">
        <v>45</v>
      </c>
      <c r="E168" s="520" t="s">
        <v>45</v>
      </c>
      <c r="F168" s="481" t="s">
        <v>5389</v>
      </c>
      <c r="G168" s="481" t="s">
        <v>5390</v>
      </c>
      <c r="H168" s="481" t="s">
        <v>5373</v>
      </c>
      <c r="I168" s="481" t="s">
        <v>22</v>
      </c>
      <c r="J168" s="481" t="s">
        <v>4865</v>
      </c>
      <c r="K168" s="481" t="s">
        <v>3295</v>
      </c>
    </row>
    <row r="169" spans="1:11" ht="45">
      <c r="A169" s="481" t="s">
        <v>123</v>
      </c>
      <c r="B169" s="481" t="s">
        <v>5388</v>
      </c>
      <c r="C169" s="479">
        <v>0.44791666666666669</v>
      </c>
      <c r="D169" s="481" t="s">
        <v>5388</v>
      </c>
      <c r="E169" s="520">
        <v>0.57291666666666663</v>
      </c>
      <c r="F169" s="481" t="s">
        <v>3528</v>
      </c>
      <c r="G169" s="481" t="s">
        <v>3143</v>
      </c>
      <c r="H169" s="481" t="s">
        <v>3387</v>
      </c>
      <c r="I169" s="481" t="s">
        <v>2764</v>
      </c>
      <c r="J169" s="481" t="s">
        <v>3055</v>
      </c>
      <c r="K169" s="481" t="s">
        <v>3055</v>
      </c>
    </row>
    <row r="170" spans="1:11" ht="33.75">
      <c r="A170" s="481" t="s">
        <v>123</v>
      </c>
      <c r="B170" s="481" t="s">
        <v>5391</v>
      </c>
      <c r="C170" s="479">
        <v>0.68819444444444444</v>
      </c>
      <c r="D170" s="481" t="s">
        <v>5391</v>
      </c>
      <c r="E170" s="520">
        <v>0.83819444444444446</v>
      </c>
      <c r="F170" s="481" t="s">
        <v>2832</v>
      </c>
      <c r="G170" s="481" t="s">
        <v>63</v>
      </c>
      <c r="H170" s="481" t="s">
        <v>5373</v>
      </c>
      <c r="I170" s="481" t="s">
        <v>22</v>
      </c>
      <c r="J170" s="481" t="s">
        <v>45</v>
      </c>
      <c r="K170" s="481" t="s">
        <v>5392</v>
      </c>
    </row>
    <row r="171" spans="1:11" ht="33.75">
      <c r="A171" s="481" t="s">
        <v>123</v>
      </c>
      <c r="B171" s="481" t="s">
        <v>5391</v>
      </c>
      <c r="C171" s="479">
        <v>0.16041666666666668</v>
      </c>
      <c r="D171" s="481" t="s">
        <v>5391</v>
      </c>
      <c r="E171" s="520">
        <v>0.27083333333333331</v>
      </c>
      <c r="F171" s="481" t="s">
        <v>4709</v>
      </c>
      <c r="G171" s="481" t="s">
        <v>124</v>
      </c>
      <c r="H171" s="481" t="s">
        <v>3356</v>
      </c>
      <c r="I171" s="481" t="s">
        <v>2118</v>
      </c>
      <c r="J171" s="481" t="s">
        <v>4036</v>
      </c>
      <c r="K171" s="481" t="s">
        <v>4110</v>
      </c>
    </row>
    <row r="172" spans="1:11" ht="33.75">
      <c r="A172" s="481" t="s">
        <v>123</v>
      </c>
      <c r="B172" s="481" t="s">
        <v>5393</v>
      </c>
      <c r="C172" s="479">
        <v>0.78125</v>
      </c>
      <c r="D172" s="481" t="s">
        <v>5394</v>
      </c>
      <c r="E172" s="520">
        <v>0.56388888888888888</v>
      </c>
      <c r="F172" s="481" t="s">
        <v>2928</v>
      </c>
      <c r="G172" s="481" t="s">
        <v>63</v>
      </c>
      <c r="H172" s="481" t="s">
        <v>5373</v>
      </c>
      <c r="I172" s="481" t="s">
        <v>22</v>
      </c>
      <c r="J172" s="481" t="s">
        <v>45</v>
      </c>
      <c r="K172" s="481" t="s">
        <v>5395</v>
      </c>
    </row>
    <row r="173" spans="1:11" ht="33.75">
      <c r="A173" s="481" t="s">
        <v>123</v>
      </c>
      <c r="B173" s="481" t="s">
        <v>5393</v>
      </c>
      <c r="C173" s="479">
        <v>0.72916666666666663</v>
      </c>
      <c r="D173" s="481" t="s">
        <v>5396</v>
      </c>
      <c r="E173" s="520">
        <v>0.88541666666666663</v>
      </c>
      <c r="F173" s="481" t="s">
        <v>5397</v>
      </c>
      <c r="G173" s="481" t="s">
        <v>5174</v>
      </c>
      <c r="H173" s="481" t="s">
        <v>5373</v>
      </c>
      <c r="I173" s="481" t="s">
        <v>22</v>
      </c>
      <c r="J173" s="481" t="s">
        <v>45</v>
      </c>
      <c r="K173" s="481" t="s">
        <v>3560</v>
      </c>
    </row>
    <row r="174" spans="1:11" ht="33.75">
      <c r="A174" s="481" t="s">
        <v>123</v>
      </c>
      <c r="B174" s="481" t="s">
        <v>5393</v>
      </c>
      <c r="C174" s="479">
        <v>0.73402777777777783</v>
      </c>
      <c r="D174" s="481" t="s">
        <v>5394</v>
      </c>
      <c r="E174" s="520">
        <v>3.7499999999999999E-2</v>
      </c>
      <c r="F174" s="481" t="s">
        <v>2832</v>
      </c>
      <c r="G174" s="481" t="s">
        <v>63</v>
      </c>
      <c r="H174" s="481" t="s">
        <v>5373</v>
      </c>
      <c r="I174" s="481" t="s">
        <v>22</v>
      </c>
      <c r="J174" s="481" t="s">
        <v>45</v>
      </c>
      <c r="K174" s="481" t="s">
        <v>5398</v>
      </c>
    </row>
    <row r="175" spans="1:11" ht="33.75">
      <c r="A175" s="481" t="s">
        <v>123</v>
      </c>
      <c r="B175" s="481" t="s">
        <v>5393</v>
      </c>
      <c r="C175" s="479">
        <v>0.25138888888888888</v>
      </c>
      <c r="D175" s="481" t="s">
        <v>45</v>
      </c>
      <c r="E175" s="520" t="s">
        <v>45</v>
      </c>
      <c r="F175" s="481" t="s">
        <v>4392</v>
      </c>
      <c r="G175" s="481" t="s">
        <v>5174</v>
      </c>
      <c r="H175" s="481" t="s">
        <v>2944</v>
      </c>
      <c r="I175" s="481" t="s">
        <v>22</v>
      </c>
      <c r="J175" s="481" t="s">
        <v>45</v>
      </c>
      <c r="K175" s="481" t="s">
        <v>5004</v>
      </c>
    </row>
    <row r="176" spans="1:11" ht="67.5">
      <c r="A176" s="481" t="s">
        <v>123</v>
      </c>
      <c r="B176" s="481" t="s">
        <v>5399</v>
      </c>
      <c r="C176" s="479">
        <v>0.53749999999999998</v>
      </c>
      <c r="D176" s="481" t="s">
        <v>5399</v>
      </c>
      <c r="E176" s="520">
        <v>0.59930555555555554</v>
      </c>
      <c r="F176" s="481" t="s">
        <v>4269</v>
      </c>
      <c r="G176" s="481" t="s">
        <v>674</v>
      </c>
      <c r="H176" s="481" t="s">
        <v>3411</v>
      </c>
      <c r="I176" s="481" t="s">
        <v>2764</v>
      </c>
      <c r="J176" s="481" t="s">
        <v>3055</v>
      </c>
      <c r="K176" s="481" t="s">
        <v>5400</v>
      </c>
    </row>
    <row r="177" spans="1:11" ht="33.75">
      <c r="A177" s="481" t="s">
        <v>123</v>
      </c>
      <c r="B177" s="481" t="s">
        <v>5401</v>
      </c>
      <c r="C177" s="479">
        <v>0.7055555555555556</v>
      </c>
      <c r="D177" s="481" t="s">
        <v>5402</v>
      </c>
      <c r="E177" s="520">
        <v>8.3333333333333329E-2</v>
      </c>
      <c r="F177" s="481" t="s">
        <v>3325</v>
      </c>
      <c r="G177" s="481" t="s">
        <v>5174</v>
      </c>
      <c r="H177" s="481" t="s">
        <v>5373</v>
      </c>
      <c r="I177" s="481" t="s">
        <v>3768</v>
      </c>
      <c r="J177" s="481" t="s">
        <v>45</v>
      </c>
      <c r="K177" s="481" t="s">
        <v>3462</v>
      </c>
    </row>
    <row r="178" spans="1:11" ht="78.75">
      <c r="A178" s="481" t="s">
        <v>123</v>
      </c>
      <c r="B178" s="481" t="s">
        <v>5402</v>
      </c>
      <c r="C178" s="479">
        <v>0.52847222222222223</v>
      </c>
      <c r="D178" s="481" t="s">
        <v>5402</v>
      </c>
      <c r="E178" s="520">
        <v>0.57013888888888886</v>
      </c>
      <c r="F178" s="481" t="s">
        <v>5403</v>
      </c>
      <c r="G178" s="481" t="s">
        <v>61</v>
      </c>
      <c r="H178" s="481" t="s">
        <v>3402</v>
      </c>
      <c r="I178" s="481" t="s">
        <v>2118</v>
      </c>
      <c r="J178" s="481" t="s">
        <v>3055</v>
      </c>
      <c r="K178" s="481" t="s">
        <v>3055</v>
      </c>
    </row>
    <row r="179" spans="1:11" ht="33.75">
      <c r="A179" s="481" t="s">
        <v>123</v>
      </c>
      <c r="B179" s="481" t="s">
        <v>5402</v>
      </c>
      <c r="C179" s="479">
        <v>0.4548611111111111</v>
      </c>
      <c r="D179" s="481" t="s">
        <v>45</v>
      </c>
      <c r="E179" s="520" t="s">
        <v>45</v>
      </c>
      <c r="F179" s="481" t="s">
        <v>2945</v>
      </c>
      <c r="G179" s="481" t="s">
        <v>124</v>
      </c>
      <c r="H179" s="481" t="s">
        <v>2780</v>
      </c>
      <c r="I179" s="481" t="s">
        <v>1138</v>
      </c>
      <c r="J179" s="481" t="s">
        <v>3055</v>
      </c>
      <c r="K179" s="481" t="s">
        <v>3055</v>
      </c>
    </row>
    <row r="180" spans="1:11" ht="33.75">
      <c r="A180" s="481" t="s">
        <v>123</v>
      </c>
      <c r="B180" s="481" t="s">
        <v>5404</v>
      </c>
      <c r="C180" s="479">
        <v>0.96458333333333324</v>
      </c>
      <c r="D180" s="481" t="s">
        <v>5405</v>
      </c>
      <c r="E180" s="520">
        <v>0</v>
      </c>
      <c r="F180" s="481" t="s">
        <v>2866</v>
      </c>
      <c r="G180" s="481" t="s">
        <v>63</v>
      </c>
      <c r="H180" s="481" t="s">
        <v>2780</v>
      </c>
      <c r="I180" s="481" t="s">
        <v>1138</v>
      </c>
      <c r="J180" s="481" t="s">
        <v>45</v>
      </c>
      <c r="K180" s="481" t="s">
        <v>45</v>
      </c>
    </row>
    <row r="181" spans="1:11" ht="33.75">
      <c r="A181" s="481" t="s">
        <v>123</v>
      </c>
      <c r="B181" s="481" t="s">
        <v>5406</v>
      </c>
      <c r="C181" s="479">
        <v>0.71180555555555547</v>
      </c>
      <c r="D181" s="481" t="s">
        <v>5406</v>
      </c>
      <c r="E181" s="520">
        <v>0.9458333333333333</v>
      </c>
      <c r="F181" s="481" t="s">
        <v>2817</v>
      </c>
      <c r="G181" s="481" t="s">
        <v>124</v>
      </c>
      <c r="H181" s="481" t="s">
        <v>3356</v>
      </c>
      <c r="I181" s="481" t="s">
        <v>100</v>
      </c>
      <c r="J181" s="481" t="s">
        <v>3055</v>
      </c>
      <c r="K181" s="481" t="s">
        <v>3055</v>
      </c>
    </row>
    <row r="182" spans="1:11" ht="45">
      <c r="A182" s="481" t="s">
        <v>123</v>
      </c>
      <c r="B182" s="481" t="s">
        <v>5407</v>
      </c>
      <c r="C182" s="479">
        <v>0.71319444444444446</v>
      </c>
      <c r="D182" s="481" t="s">
        <v>5408</v>
      </c>
      <c r="E182" s="520">
        <v>7.0833333333333331E-2</v>
      </c>
      <c r="F182" s="481" t="s">
        <v>3528</v>
      </c>
      <c r="G182" s="481" t="s">
        <v>5390</v>
      </c>
      <c r="H182" s="481" t="s">
        <v>3387</v>
      </c>
      <c r="I182" s="481" t="s">
        <v>2764</v>
      </c>
      <c r="J182" s="481" t="s">
        <v>3055</v>
      </c>
      <c r="K182" s="481" t="s">
        <v>3055</v>
      </c>
    </row>
    <row r="183" spans="1:11" ht="67.5">
      <c r="A183" s="481" t="s">
        <v>123</v>
      </c>
      <c r="B183" s="481" t="s">
        <v>5407</v>
      </c>
      <c r="C183" s="479">
        <v>0.60138888888888886</v>
      </c>
      <c r="D183" s="481" t="s">
        <v>5408</v>
      </c>
      <c r="E183" s="520">
        <v>0.16388888888888889</v>
      </c>
      <c r="F183" s="481" t="s">
        <v>5409</v>
      </c>
      <c r="G183" s="481" t="s">
        <v>1352</v>
      </c>
      <c r="H183" s="481" t="s">
        <v>3411</v>
      </c>
      <c r="I183" s="481" t="s">
        <v>22</v>
      </c>
      <c r="J183" s="481" t="s">
        <v>4232</v>
      </c>
      <c r="K183" s="481" t="s">
        <v>5410</v>
      </c>
    </row>
    <row r="184" spans="1:11" s="527" customFormat="1" ht="45">
      <c r="A184" s="481" t="s">
        <v>123</v>
      </c>
      <c r="B184" s="481" t="s">
        <v>5407</v>
      </c>
      <c r="C184" s="479">
        <v>0.26458333333333334</v>
      </c>
      <c r="D184" s="481" t="s">
        <v>5407</v>
      </c>
      <c r="E184" s="520">
        <v>0.30972222222222223</v>
      </c>
      <c r="F184" s="481" t="s">
        <v>2919</v>
      </c>
      <c r="G184" s="481" t="s">
        <v>1352</v>
      </c>
      <c r="H184" s="481" t="s">
        <v>3387</v>
      </c>
      <c r="I184" s="481" t="s">
        <v>2764</v>
      </c>
      <c r="J184" s="481" t="s">
        <v>3055</v>
      </c>
      <c r="K184" s="481" t="s">
        <v>3055</v>
      </c>
    </row>
    <row r="185" spans="1:11" s="527" customFormat="1" ht="45">
      <c r="A185" s="481" t="s">
        <v>123</v>
      </c>
      <c r="B185" s="481" t="s">
        <v>5408</v>
      </c>
      <c r="C185" s="479">
        <v>0.39374999999999999</v>
      </c>
      <c r="D185" s="481" t="s">
        <v>5408</v>
      </c>
      <c r="E185" s="520">
        <v>0.4458333333333333</v>
      </c>
      <c r="F185" s="481" t="s">
        <v>3591</v>
      </c>
      <c r="G185" s="481" t="s">
        <v>1352</v>
      </c>
      <c r="H185" s="481" t="s">
        <v>3387</v>
      </c>
      <c r="I185" s="481" t="s">
        <v>2764</v>
      </c>
      <c r="J185" s="481" t="s">
        <v>3055</v>
      </c>
      <c r="K185" s="481" t="s">
        <v>3055</v>
      </c>
    </row>
    <row r="186" spans="1:11" s="528" customFormat="1" ht="78.75">
      <c r="A186" s="481" t="s">
        <v>123</v>
      </c>
      <c r="B186" s="481" t="s">
        <v>5408</v>
      </c>
      <c r="C186" s="479">
        <v>0.40208333333333335</v>
      </c>
      <c r="D186" s="481" t="s">
        <v>5408</v>
      </c>
      <c r="E186" s="520">
        <v>0.40277777777777773</v>
      </c>
      <c r="F186" s="481" t="s">
        <v>5411</v>
      </c>
      <c r="G186" s="481" t="s">
        <v>63</v>
      </c>
      <c r="H186" s="481" t="s">
        <v>3402</v>
      </c>
      <c r="I186" s="481" t="s">
        <v>2118</v>
      </c>
      <c r="J186" s="481" t="s">
        <v>3055</v>
      </c>
      <c r="K186" s="481" t="s">
        <v>3055</v>
      </c>
    </row>
    <row r="187" spans="1:11" s="527" customFormat="1" ht="78.75">
      <c r="A187" s="481" t="s">
        <v>123</v>
      </c>
      <c r="B187" s="481" t="s">
        <v>5412</v>
      </c>
      <c r="C187" s="479">
        <v>0.83194444444444438</v>
      </c>
      <c r="D187" s="481" t="s">
        <v>5412</v>
      </c>
      <c r="E187" s="520">
        <v>0.86805555555555547</v>
      </c>
      <c r="F187" s="481" t="s">
        <v>3528</v>
      </c>
      <c r="G187" s="481" t="s">
        <v>3143</v>
      </c>
      <c r="H187" s="481" t="s">
        <v>5413</v>
      </c>
      <c r="I187" s="481" t="s">
        <v>2764</v>
      </c>
      <c r="J187" s="481" t="s">
        <v>3055</v>
      </c>
      <c r="K187" s="481" t="s">
        <v>3055</v>
      </c>
    </row>
    <row r="188" spans="1:11" s="529" customFormat="1" ht="33.75">
      <c r="A188" s="481" t="s">
        <v>26</v>
      </c>
      <c r="B188" s="481" t="s">
        <v>5414</v>
      </c>
      <c r="C188" s="479">
        <v>0.48958333333333331</v>
      </c>
      <c r="D188" s="481" t="s">
        <v>45</v>
      </c>
      <c r="E188" s="520" t="s">
        <v>45</v>
      </c>
      <c r="F188" s="481" t="s">
        <v>3357</v>
      </c>
      <c r="G188" s="481" t="s">
        <v>124</v>
      </c>
      <c r="H188" s="481" t="s">
        <v>3356</v>
      </c>
      <c r="I188" s="481" t="s">
        <v>100</v>
      </c>
      <c r="J188" s="481" t="s">
        <v>3787</v>
      </c>
      <c r="K188" s="481" t="s">
        <v>3055</v>
      </c>
    </row>
    <row r="189" spans="1:11" s="529" customFormat="1" ht="67.5">
      <c r="A189" s="481" t="s">
        <v>26</v>
      </c>
      <c r="B189" s="481" t="s">
        <v>5415</v>
      </c>
      <c r="C189" s="479">
        <v>0.4375</v>
      </c>
      <c r="D189" s="481" t="s">
        <v>5415</v>
      </c>
      <c r="E189" s="520">
        <v>0.44444444444444442</v>
      </c>
      <c r="F189" s="481" t="s">
        <v>3338</v>
      </c>
      <c r="G189" s="481" t="s">
        <v>124</v>
      </c>
      <c r="H189" s="481" t="s">
        <v>2910</v>
      </c>
      <c r="I189" s="481" t="s">
        <v>100</v>
      </c>
      <c r="J189" s="481" t="s">
        <v>3055</v>
      </c>
      <c r="K189" s="481" t="s">
        <v>3055</v>
      </c>
    </row>
    <row r="190" spans="1:11" s="529" customFormat="1" ht="67.5">
      <c r="A190" s="481" t="s">
        <v>26</v>
      </c>
      <c r="B190" s="481" t="s">
        <v>5415</v>
      </c>
      <c r="C190" s="479">
        <v>0.22083333333333333</v>
      </c>
      <c r="D190" s="481" t="s">
        <v>5415</v>
      </c>
      <c r="E190" s="520">
        <v>0.35000000000000003</v>
      </c>
      <c r="F190" s="481" t="s">
        <v>3693</v>
      </c>
      <c r="G190" s="481" t="s">
        <v>674</v>
      </c>
      <c r="H190" s="481" t="s">
        <v>2910</v>
      </c>
      <c r="I190" s="481" t="s">
        <v>100</v>
      </c>
      <c r="J190" s="481" t="s">
        <v>3055</v>
      </c>
      <c r="K190" s="481" t="s">
        <v>3055</v>
      </c>
    </row>
    <row r="191" spans="1:11" s="529" customFormat="1" ht="44.45" customHeight="1">
      <c r="A191" s="481" t="s">
        <v>26</v>
      </c>
      <c r="B191" s="481" t="s">
        <v>5415</v>
      </c>
      <c r="C191" s="479">
        <v>0.4597222222222222</v>
      </c>
      <c r="D191" s="481" t="s">
        <v>45</v>
      </c>
      <c r="E191" s="520" t="s">
        <v>45</v>
      </c>
      <c r="F191" s="481" t="s">
        <v>3357</v>
      </c>
      <c r="G191" s="481" t="s">
        <v>124</v>
      </c>
      <c r="H191" s="481" t="s">
        <v>3356</v>
      </c>
      <c r="I191" s="481" t="s">
        <v>2293</v>
      </c>
      <c r="J191" s="481" t="s">
        <v>45</v>
      </c>
      <c r="K191" s="481" t="s">
        <v>5416</v>
      </c>
    </row>
    <row r="192" spans="1:11" s="529" customFormat="1" ht="67.5">
      <c r="A192" s="481" t="s">
        <v>26</v>
      </c>
      <c r="B192" s="481" t="s">
        <v>5417</v>
      </c>
      <c r="C192" s="479">
        <v>0.76458333333333339</v>
      </c>
      <c r="D192" s="481" t="s">
        <v>45</v>
      </c>
      <c r="E192" s="520" t="s">
        <v>45</v>
      </c>
      <c r="F192" s="481" t="s">
        <v>5418</v>
      </c>
      <c r="G192" s="481" t="s">
        <v>124</v>
      </c>
      <c r="H192" s="481" t="s">
        <v>2839</v>
      </c>
      <c r="I192" s="481" t="s">
        <v>2764</v>
      </c>
      <c r="J192" s="481" t="s">
        <v>3175</v>
      </c>
      <c r="K192" s="481" t="s">
        <v>5419</v>
      </c>
    </row>
    <row r="193" spans="1:11" s="529" customFormat="1" ht="33.75">
      <c r="A193" s="481" t="s">
        <v>26</v>
      </c>
      <c r="B193" s="481" t="s">
        <v>5420</v>
      </c>
      <c r="C193" s="479">
        <v>0.33333333333333331</v>
      </c>
      <c r="D193" s="481" t="s">
        <v>5420</v>
      </c>
      <c r="E193" s="520">
        <v>0.33749999999999997</v>
      </c>
      <c r="F193" s="481" t="s">
        <v>5421</v>
      </c>
      <c r="G193" s="481" t="s">
        <v>124</v>
      </c>
      <c r="H193" s="481" t="s">
        <v>3356</v>
      </c>
      <c r="I193" s="481" t="s">
        <v>2293</v>
      </c>
      <c r="J193" s="481" t="s">
        <v>3055</v>
      </c>
      <c r="K193" s="481" t="s">
        <v>3055</v>
      </c>
    </row>
    <row r="194" spans="1:11" s="529" customFormat="1" ht="45">
      <c r="A194" s="481" t="s">
        <v>26</v>
      </c>
      <c r="B194" s="481" t="s">
        <v>5420</v>
      </c>
      <c r="C194" s="479">
        <v>0.8652777777777777</v>
      </c>
      <c r="D194" s="481" t="s">
        <v>5420</v>
      </c>
      <c r="E194" s="520">
        <v>0.90277777777777779</v>
      </c>
      <c r="F194" s="481" t="s">
        <v>5422</v>
      </c>
      <c r="G194" s="481" t="s">
        <v>4903</v>
      </c>
      <c r="H194" s="481" t="s">
        <v>3387</v>
      </c>
      <c r="I194" s="481" t="s">
        <v>2764</v>
      </c>
      <c r="J194" s="481" t="s">
        <v>3055</v>
      </c>
      <c r="K194" s="481" t="s">
        <v>3055</v>
      </c>
    </row>
    <row r="195" spans="1:11" s="529" customFormat="1" ht="33.75">
      <c r="A195" s="481" t="s">
        <v>26</v>
      </c>
      <c r="B195" s="481" t="s">
        <v>5423</v>
      </c>
      <c r="C195" s="479">
        <v>0.61041666666666672</v>
      </c>
      <c r="D195" s="481" t="s">
        <v>5424</v>
      </c>
      <c r="E195" s="520">
        <v>0.16250000000000001</v>
      </c>
      <c r="F195" s="481" t="s">
        <v>4048</v>
      </c>
      <c r="G195" s="481" t="s">
        <v>4903</v>
      </c>
      <c r="H195" s="481" t="s">
        <v>2753</v>
      </c>
      <c r="I195" s="481" t="s">
        <v>2990</v>
      </c>
      <c r="J195" s="481" t="s">
        <v>45</v>
      </c>
      <c r="K195" s="481" t="s">
        <v>5425</v>
      </c>
    </row>
    <row r="196" spans="1:11" s="529" customFormat="1" ht="78.75">
      <c r="A196" s="481" t="s">
        <v>26</v>
      </c>
      <c r="B196" s="481" t="s">
        <v>5423</v>
      </c>
      <c r="C196" s="479">
        <v>0.68263888888888891</v>
      </c>
      <c r="D196" s="481" t="s">
        <v>5423</v>
      </c>
      <c r="E196" s="520">
        <v>0.69097222222222221</v>
      </c>
      <c r="F196" s="481" t="s">
        <v>5426</v>
      </c>
      <c r="G196" s="481" t="s">
        <v>63</v>
      </c>
      <c r="H196" s="481" t="s">
        <v>3402</v>
      </c>
      <c r="I196" s="481" t="s">
        <v>2118</v>
      </c>
      <c r="J196" s="481" t="s">
        <v>3055</v>
      </c>
      <c r="K196" s="481" t="s">
        <v>3055</v>
      </c>
    </row>
    <row r="197" spans="1:11" s="529" customFormat="1" ht="33.75">
      <c r="A197" s="481" t="s">
        <v>26</v>
      </c>
      <c r="B197" s="481" t="s">
        <v>5423</v>
      </c>
      <c r="C197" s="479">
        <v>0.26250000000000001</v>
      </c>
      <c r="D197" s="481" t="s">
        <v>5423</v>
      </c>
      <c r="E197" s="520">
        <v>0.26319444444444445</v>
      </c>
      <c r="F197" s="481" t="s">
        <v>5427</v>
      </c>
      <c r="G197" s="481" t="s">
        <v>63</v>
      </c>
      <c r="H197" s="481" t="s">
        <v>3356</v>
      </c>
      <c r="I197" s="481" t="s">
        <v>100</v>
      </c>
      <c r="J197" s="481" t="s">
        <v>3055</v>
      </c>
      <c r="K197" s="481" t="s">
        <v>3055</v>
      </c>
    </row>
    <row r="198" spans="1:11" s="529" customFormat="1" ht="33.75">
      <c r="A198" s="481" t="s">
        <v>26</v>
      </c>
      <c r="B198" s="481" t="s">
        <v>5423</v>
      </c>
      <c r="C198" s="479">
        <v>0.52777777777777779</v>
      </c>
      <c r="D198" s="481" t="s">
        <v>5423</v>
      </c>
      <c r="E198" s="520">
        <v>0.52847222222222223</v>
      </c>
      <c r="F198" s="481" t="s">
        <v>5428</v>
      </c>
      <c r="G198" s="481" t="s">
        <v>124</v>
      </c>
      <c r="H198" s="481" t="s">
        <v>3356</v>
      </c>
      <c r="I198" s="481" t="s">
        <v>100</v>
      </c>
      <c r="J198" s="481" t="s">
        <v>3055</v>
      </c>
      <c r="K198" s="481" t="s">
        <v>3055</v>
      </c>
    </row>
    <row r="199" spans="1:11" s="529" customFormat="1" ht="33.75">
      <c r="A199" s="481" t="s">
        <v>26</v>
      </c>
      <c r="B199" s="481" t="s">
        <v>5423</v>
      </c>
      <c r="C199" s="479">
        <v>8.1944444444444445E-2</v>
      </c>
      <c r="D199" s="481" t="s">
        <v>45</v>
      </c>
      <c r="E199" s="520" t="s">
        <v>45</v>
      </c>
      <c r="F199" s="481" t="s">
        <v>5429</v>
      </c>
      <c r="G199" s="481" t="s">
        <v>674</v>
      </c>
      <c r="H199" s="481" t="s">
        <v>3356</v>
      </c>
      <c r="I199" s="481" t="s">
        <v>2293</v>
      </c>
      <c r="J199" s="481" t="s">
        <v>3889</v>
      </c>
      <c r="K199" s="481" t="s">
        <v>5430</v>
      </c>
    </row>
    <row r="200" spans="1:11" s="529" customFormat="1" ht="67.5">
      <c r="A200" s="481" t="s">
        <v>26</v>
      </c>
      <c r="B200" s="481" t="s">
        <v>5431</v>
      </c>
      <c r="C200" s="479">
        <v>0.11597222222222221</v>
      </c>
      <c r="D200" s="481" t="s">
        <v>5431</v>
      </c>
      <c r="E200" s="520">
        <v>0.12430555555555556</v>
      </c>
      <c r="F200" s="481" t="s">
        <v>3399</v>
      </c>
      <c r="G200" s="481" t="s">
        <v>63</v>
      </c>
      <c r="H200" s="481" t="s">
        <v>3411</v>
      </c>
      <c r="I200" s="481" t="s">
        <v>2764</v>
      </c>
      <c r="J200" s="481" t="s">
        <v>45</v>
      </c>
      <c r="K200" s="481" t="s">
        <v>5432</v>
      </c>
    </row>
    <row r="201" spans="1:11" s="529" customFormat="1" ht="45">
      <c r="A201" s="481" t="s">
        <v>26</v>
      </c>
      <c r="B201" s="481" t="s">
        <v>5433</v>
      </c>
      <c r="C201" s="479">
        <v>0.875</v>
      </c>
      <c r="D201" s="481" t="s">
        <v>5434</v>
      </c>
      <c r="E201" s="520">
        <v>0.83333333333333337</v>
      </c>
      <c r="F201" s="481" t="s">
        <v>2919</v>
      </c>
      <c r="G201" s="481" t="s">
        <v>1352</v>
      </c>
      <c r="H201" s="481" t="s">
        <v>3415</v>
      </c>
      <c r="I201" s="481" t="s">
        <v>2764</v>
      </c>
      <c r="J201" s="481" t="s">
        <v>45</v>
      </c>
      <c r="K201" s="481" t="s">
        <v>45</v>
      </c>
    </row>
    <row r="202" spans="1:11" s="527" customFormat="1" ht="33.75">
      <c r="A202" s="481" t="s">
        <v>26</v>
      </c>
      <c r="B202" s="481" t="s">
        <v>5434</v>
      </c>
      <c r="C202" s="479">
        <v>0.43055555555555558</v>
      </c>
      <c r="D202" s="481" t="s">
        <v>45</v>
      </c>
      <c r="E202" s="520" t="s">
        <v>45</v>
      </c>
      <c r="F202" s="481" t="s">
        <v>2967</v>
      </c>
      <c r="G202" s="481" t="s">
        <v>124</v>
      </c>
      <c r="H202" s="481" t="s">
        <v>3356</v>
      </c>
      <c r="I202" s="481" t="s">
        <v>100</v>
      </c>
      <c r="J202" s="481" t="s">
        <v>3082</v>
      </c>
      <c r="K202" s="481" t="s">
        <v>3055</v>
      </c>
    </row>
    <row r="203" spans="1:11" s="527" customFormat="1" ht="33.75">
      <c r="A203" s="481" t="s">
        <v>26</v>
      </c>
      <c r="B203" s="481" t="s">
        <v>5435</v>
      </c>
      <c r="C203" s="479">
        <v>0.66666666666666663</v>
      </c>
      <c r="D203" s="481" t="s">
        <v>45</v>
      </c>
      <c r="E203" s="520" t="s">
        <v>45</v>
      </c>
      <c r="F203" s="481" t="s">
        <v>5436</v>
      </c>
      <c r="G203" s="481" t="s">
        <v>3143</v>
      </c>
      <c r="H203" s="481" t="s">
        <v>2753</v>
      </c>
      <c r="I203" s="481" t="s">
        <v>22</v>
      </c>
      <c r="J203" s="481" t="s">
        <v>4738</v>
      </c>
      <c r="K203" s="481" t="s">
        <v>3603</v>
      </c>
    </row>
    <row r="204" spans="1:11" s="527" customFormat="1" ht="33.75">
      <c r="A204" s="481" t="s">
        <v>26</v>
      </c>
      <c r="B204" s="481" t="s">
        <v>5435</v>
      </c>
      <c r="C204" s="479">
        <v>0.44791666666666669</v>
      </c>
      <c r="D204" s="481" t="s">
        <v>5435</v>
      </c>
      <c r="E204" s="520">
        <v>0.45833333333333331</v>
      </c>
      <c r="F204" s="481" t="s">
        <v>5437</v>
      </c>
      <c r="G204" s="481" t="s">
        <v>124</v>
      </c>
      <c r="H204" s="481" t="s">
        <v>3356</v>
      </c>
      <c r="I204" s="481" t="s">
        <v>2293</v>
      </c>
      <c r="J204" s="481" t="s">
        <v>3055</v>
      </c>
      <c r="K204" s="481" t="s">
        <v>3055</v>
      </c>
    </row>
    <row r="205" spans="1:11" s="527" customFormat="1" ht="33.75">
      <c r="A205" s="481" t="s">
        <v>26</v>
      </c>
      <c r="B205" s="481" t="s">
        <v>5435</v>
      </c>
      <c r="C205" s="479">
        <v>0.75</v>
      </c>
      <c r="D205" s="481" t="s">
        <v>5435</v>
      </c>
      <c r="E205" s="520">
        <v>0.91666666666666663</v>
      </c>
      <c r="F205" s="481" t="s">
        <v>3917</v>
      </c>
      <c r="G205" s="481" t="s">
        <v>3143</v>
      </c>
      <c r="H205" s="481" t="s">
        <v>2753</v>
      </c>
      <c r="I205" s="481" t="s">
        <v>22</v>
      </c>
      <c r="J205" s="481" t="s">
        <v>45</v>
      </c>
      <c r="K205" s="481" t="s">
        <v>5438</v>
      </c>
    </row>
    <row r="206" spans="1:11" s="527" customFormat="1" ht="45">
      <c r="A206" s="481" t="s">
        <v>26</v>
      </c>
      <c r="B206" s="481" t="s">
        <v>5439</v>
      </c>
      <c r="C206" s="479">
        <v>0.47916666666666669</v>
      </c>
      <c r="D206" s="481" t="s">
        <v>5439</v>
      </c>
      <c r="E206" s="520">
        <v>0.875</v>
      </c>
      <c r="F206" s="481" t="s">
        <v>2919</v>
      </c>
      <c r="G206" s="481" t="s">
        <v>1352</v>
      </c>
      <c r="H206" s="481" t="s">
        <v>3415</v>
      </c>
      <c r="I206" s="481" t="s">
        <v>2764</v>
      </c>
      <c r="J206" s="481" t="s">
        <v>45</v>
      </c>
      <c r="K206" s="481" t="s">
        <v>45</v>
      </c>
    </row>
    <row r="207" spans="1:11" s="527" customFormat="1" ht="33.75">
      <c r="A207" s="481" t="s">
        <v>26</v>
      </c>
      <c r="B207" s="481" t="s">
        <v>5439</v>
      </c>
      <c r="C207" s="479">
        <v>0.41666666666666669</v>
      </c>
      <c r="D207" s="481" t="s">
        <v>5439</v>
      </c>
      <c r="E207" s="520">
        <v>0.54166666666666663</v>
      </c>
      <c r="F207" s="481" t="s">
        <v>5440</v>
      </c>
      <c r="G207" s="481" t="s">
        <v>124</v>
      </c>
      <c r="H207" s="481" t="s">
        <v>3356</v>
      </c>
      <c r="I207" s="481" t="s">
        <v>100</v>
      </c>
      <c r="J207" s="481" t="s">
        <v>3055</v>
      </c>
      <c r="K207" s="481" t="s">
        <v>3055</v>
      </c>
    </row>
    <row r="208" spans="1:11" s="527" customFormat="1" ht="33.75">
      <c r="A208" s="481" t="s">
        <v>26</v>
      </c>
      <c r="B208" s="481" t="s">
        <v>5441</v>
      </c>
      <c r="C208" s="479">
        <v>0.2986111111111111</v>
      </c>
      <c r="D208" s="481" t="s">
        <v>5441</v>
      </c>
      <c r="E208" s="520">
        <v>0.29930555555555555</v>
      </c>
      <c r="F208" s="481" t="s">
        <v>5442</v>
      </c>
      <c r="G208" s="481" t="s">
        <v>674</v>
      </c>
      <c r="H208" s="481" t="s">
        <v>3356</v>
      </c>
      <c r="I208" s="481" t="s">
        <v>2293</v>
      </c>
      <c r="J208" s="481" t="s">
        <v>3055</v>
      </c>
      <c r="K208" s="481" t="s">
        <v>3055</v>
      </c>
    </row>
    <row r="209" spans="1:11" s="527" customFormat="1" ht="33.75">
      <c r="A209" s="481" t="s">
        <v>26</v>
      </c>
      <c r="B209" s="481" t="s">
        <v>5443</v>
      </c>
      <c r="C209" s="479">
        <v>0.38541666666666669</v>
      </c>
      <c r="D209" s="481" t="s">
        <v>45</v>
      </c>
      <c r="E209" s="520" t="s">
        <v>45</v>
      </c>
      <c r="F209" s="481" t="s">
        <v>2896</v>
      </c>
      <c r="G209" s="481" t="s">
        <v>63</v>
      </c>
      <c r="H209" s="481" t="s">
        <v>2780</v>
      </c>
      <c r="I209" s="481" t="s">
        <v>1138</v>
      </c>
      <c r="J209" s="481" t="s">
        <v>3103</v>
      </c>
      <c r="K209" s="481" t="s">
        <v>3055</v>
      </c>
    </row>
    <row r="210" spans="1:11" s="527" customFormat="1" ht="33.75">
      <c r="A210" s="481" t="s">
        <v>26</v>
      </c>
      <c r="B210" s="481" t="s">
        <v>5443</v>
      </c>
      <c r="C210" s="479">
        <v>0.54791666666666672</v>
      </c>
      <c r="D210" s="481" t="s">
        <v>5443</v>
      </c>
      <c r="E210" s="520">
        <v>0.5493055555555556</v>
      </c>
      <c r="F210" s="481" t="s">
        <v>2808</v>
      </c>
      <c r="G210" s="481" t="s">
        <v>124</v>
      </c>
      <c r="H210" s="481" t="s">
        <v>3356</v>
      </c>
      <c r="I210" s="481" t="s">
        <v>100</v>
      </c>
      <c r="J210" s="481" t="s">
        <v>3055</v>
      </c>
      <c r="K210" s="481" t="s">
        <v>3055</v>
      </c>
    </row>
    <row r="211" spans="1:11" s="527" customFormat="1" ht="45">
      <c r="A211" s="481" t="s">
        <v>26</v>
      </c>
      <c r="B211" s="481" t="s">
        <v>5444</v>
      </c>
      <c r="C211" s="479">
        <v>0.65416666666666667</v>
      </c>
      <c r="D211" s="481" t="s">
        <v>5444</v>
      </c>
      <c r="E211" s="520">
        <v>0.67499999999999993</v>
      </c>
      <c r="F211" s="481" t="s">
        <v>3299</v>
      </c>
      <c r="G211" s="481" t="s">
        <v>63</v>
      </c>
      <c r="H211" s="481" t="s">
        <v>3447</v>
      </c>
      <c r="I211" s="481" t="s">
        <v>2764</v>
      </c>
      <c r="J211" s="481" t="s">
        <v>3055</v>
      </c>
      <c r="K211" s="481" t="s">
        <v>3055</v>
      </c>
    </row>
    <row r="212" spans="1:11" ht="45">
      <c r="A212" s="481" t="s">
        <v>26</v>
      </c>
      <c r="B212" s="481" t="s">
        <v>5444</v>
      </c>
      <c r="C212" s="479">
        <v>0.65416666666666667</v>
      </c>
      <c r="D212" s="481" t="s">
        <v>5444</v>
      </c>
      <c r="E212" s="520">
        <v>0.67499999999999993</v>
      </c>
      <c r="F212" s="481" t="s">
        <v>3299</v>
      </c>
      <c r="G212" s="481" t="s">
        <v>63</v>
      </c>
      <c r="H212" s="481" t="s">
        <v>3447</v>
      </c>
      <c r="I212" s="481" t="s">
        <v>2764</v>
      </c>
      <c r="J212" s="481" t="s">
        <v>3055</v>
      </c>
      <c r="K212" s="481" t="s">
        <v>3055</v>
      </c>
    </row>
    <row r="213" spans="1:11" ht="146.25">
      <c r="A213" s="481" t="s">
        <v>26</v>
      </c>
      <c r="B213" s="481" t="s">
        <v>5445</v>
      </c>
      <c r="C213" s="479">
        <v>0.86458333333333337</v>
      </c>
      <c r="D213" s="481" t="s">
        <v>5446</v>
      </c>
      <c r="E213" s="520">
        <v>0.47916666666666669</v>
      </c>
      <c r="F213" s="481" t="s">
        <v>5447</v>
      </c>
      <c r="G213" s="481" t="s">
        <v>3143</v>
      </c>
      <c r="H213" s="481" t="s">
        <v>2753</v>
      </c>
      <c r="I213" s="481" t="s">
        <v>22</v>
      </c>
      <c r="J213" s="481" t="s">
        <v>45</v>
      </c>
      <c r="K213" s="481" t="s">
        <v>5448</v>
      </c>
    </row>
    <row r="214" spans="1:11" ht="67.5">
      <c r="A214" s="481" t="s">
        <v>26</v>
      </c>
      <c r="B214" s="481" t="s">
        <v>5449</v>
      </c>
      <c r="C214" s="479">
        <v>2.6388888888888889E-2</v>
      </c>
      <c r="D214" s="481" t="s">
        <v>5449</v>
      </c>
      <c r="E214" s="520">
        <v>0.57361111111111118</v>
      </c>
      <c r="F214" s="481" t="s">
        <v>5450</v>
      </c>
      <c r="G214" s="481" t="s">
        <v>3143</v>
      </c>
      <c r="H214" s="481" t="s">
        <v>3411</v>
      </c>
      <c r="I214" s="481" t="s">
        <v>2483</v>
      </c>
      <c r="J214" s="481" t="s">
        <v>3055</v>
      </c>
      <c r="K214" s="481" t="s">
        <v>3055</v>
      </c>
    </row>
    <row r="215" spans="1:11" ht="67.5">
      <c r="A215" s="481" t="s">
        <v>26</v>
      </c>
      <c r="B215" s="481" t="s">
        <v>5451</v>
      </c>
      <c r="C215" s="479">
        <v>0.27638888888888885</v>
      </c>
      <c r="D215" s="481" t="s">
        <v>5451</v>
      </c>
      <c r="E215" s="520">
        <v>0.5395833333333333</v>
      </c>
      <c r="F215" s="481" t="s">
        <v>4950</v>
      </c>
      <c r="G215" s="481" t="s">
        <v>1352</v>
      </c>
      <c r="H215" s="481" t="s">
        <v>3411</v>
      </c>
      <c r="I215" s="481" t="s">
        <v>2764</v>
      </c>
      <c r="J215" s="481" t="s">
        <v>3055</v>
      </c>
      <c r="K215" s="481" t="s">
        <v>3055</v>
      </c>
    </row>
    <row r="216" spans="1:11" ht="33.75">
      <c r="A216" s="481" t="s">
        <v>26</v>
      </c>
      <c r="B216" s="481" t="s">
        <v>5451</v>
      </c>
      <c r="C216" s="479">
        <v>0.18055555555555555</v>
      </c>
      <c r="D216" s="481" t="s">
        <v>5451</v>
      </c>
      <c r="E216" s="520">
        <v>0.20625000000000002</v>
      </c>
      <c r="F216" s="481" t="s">
        <v>5452</v>
      </c>
      <c r="G216" s="481" t="s">
        <v>124</v>
      </c>
      <c r="H216" s="481" t="s">
        <v>3356</v>
      </c>
      <c r="I216" s="481" t="s">
        <v>2118</v>
      </c>
      <c r="J216" s="481" t="s">
        <v>45</v>
      </c>
      <c r="K216" s="481" t="s">
        <v>45</v>
      </c>
    </row>
    <row r="217" spans="1:11" ht="78.75">
      <c r="A217" s="481" t="s">
        <v>26</v>
      </c>
      <c r="B217" s="481" t="s">
        <v>5451</v>
      </c>
      <c r="C217" s="479">
        <v>0.875</v>
      </c>
      <c r="D217" s="481" t="s">
        <v>5451</v>
      </c>
      <c r="E217" s="520">
        <v>0.88888888888888884</v>
      </c>
      <c r="F217" s="481" t="s">
        <v>5081</v>
      </c>
      <c r="G217" s="481" t="s">
        <v>3143</v>
      </c>
      <c r="H217" s="481" t="s">
        <v>3402</v>
      </c>
      <c r="I217" s="481" t="s">
        <v>2118</v>
      </c>
      <c r="J217" s="481" t="s">
        <v>3055</v>
      </c>
      <c r="K217" s="481" t="s">
        <v>3055</v>
      </c>
    </row>
    <row r="218" spans="1:11" ht="112.5">
      <c r="A218" s="481" t="s">
        <v>26</v>
      </c>
      <c r="B218" s="481" t="s">
        <v>5453</v>
      </c>
      <c r="C218" s="479">
        <v>0.80902777777777779</v>
      </c>
      <c r="D218" s="481" t="s">
        <v>5453</v>
      </c>
      <c r="E218" s="520">
        <v>0.94513888888888886</v>
      </c>
      <c r="F218" s="481" t="s">
        <v>3909</v>
      </c>
      <c r="G218" s="481" t="s">
        <v>124</v>
      </c>
      <c r="H218" s="481" t="s">
        <v>5454</v>
      </c>
      <c r="I218" s="481" t="s">
        <v>2293</v>
      </c>
      <c r="J218" s="481" t="s">
        <v>3055</v>
      </c>
      <c r="K218" s="481" t="s">
        <v>3055</v>
      </c>
    </row>
    <row r="219" spans="1:11" ht="78.75">
      <c r="A219" s="481" t="s">
        <v>26</v>
      </c>
      <c r="B219" s="481" t="s">
        <v>5455</v>
      </c>
      <c r="C219" s="479">
        <v>8.3333333333333329E-2</v>
      </c>
      <c r="D219" s="481" t="s">
        <v>5455</v>
      </c>
      <c r="E219" s="520">
        <v>8.4027777777777771E-2</v>
      </c>
      <c r="F219" s="481" t="s">
        <v>5081</v>
      </c>
      <c r="G219" s="481" t="s">
        <v>3143</v>
      </c>
      <c r="H219" s="481" t="s">
        <v>3402</v>
      </c>
      <c r="I219" s="481" t="s">
        <v>2118</v>
      </c>
      <c r="J219" s="481" t="s">
        <v>3055</v>
      </c>
      <c r="K219" s="481" t="s">
        <v>3055</v>
      </c>
    </row>
    <row r="220" spans="1:11" ht="45">
      <c r="A220" s="481" t="s">
        <v>26</v>
      </c>
      <c r="B220" s="481" t="s">
        <v>5456</v>
      </c>
      <c r="C220" s="479">
        <v>0.81597222222222221</v>
      </c>
      <c r="D220" s="481" t="s">
        <v>5457</v>
      </c>
      <c r="E220" s="520">
        <v>0.55347222222222225</v>
      </c>
      <c r="F220" s="481" t="s">
        <v>3414</v>
      </c>
      <c r="G220" s="481" t="s">
        <v>124</v>
      </c>
      <c r="H220" s="481" t="s">
        <v>3447</v>
      </c>
      <c r="I220" s="481" t="s">
        <v>2764</v>
      </c>
      <c r="J220" s="481" t="s">
        <v>3055</v>
      </c>
      <c r="K220" s="481" t="s">
        <v>3055</v>
      </c>
    </row>
    <row r="221" spans="1:11" ht="45">
      <c r="A221" s="481" t="s">
        <v>26</v>
      </c>
      <c r="B221" s="481" t="s">
        <v>5458</v>
      </c>
      <c r="C221" s="479">
        <v>0.27499999999999997</v>
      </c>
      <c r="D221" s="481" t="s">
        <v>5458</v>
      </c>
      <c r="E221" s="520">
        <v>0.30069444444444443</v>
      </c>
      <c r="F221" s="481" t="s">
        <v>3174</v>
      </c>
      <c r="G221" s="481" t="s">
        <v>61</v>
      </c>
      <c r="H221" s="481" t="s">
        <v>3387</v>
      </c>
      <c r="I221" s="481" t="s">
        <v>2764</v>
      </c>
      <c r="J221" s="481" t="s">
        <v>3055</v>
      </c>
      <c r="K221" s="481" t="s">
        <v>3055</v>
      </c>
    </row>
    <row r="222" spans="1:11" ht="33.75">
      <c r="A222" s="481" t="s">
        <v>32</v>
      </c>
      <c r="B222" s="481" t="s">
        <v>5457</v>
      </c>
      <c r="C222" s="479">
        <v>0.4055555555555555</v>
      </c>
      <c r="D222" s="481" t="s">
        <v>5457</v>
      </c>
      <c r="E222" s="520">
        <v>0.40625</v>
      </c>
      <c r="F222" s="481" t="s">
        <v>5054</v>
      </c>
      <c r="G222" s="481" t="s">
        <v>63</v>
      </c>
      <c r="H222" s="481" t="s">
        <v>3356</v>
      </c>
      <c r="I222" s="481" t="s">
        <v>100</v>
      </c>
      <c r="J222" s="481" t="s">
        <v>3055</v>
      </c>
      <c r="K222" s="481" t="s">
        <v>3055</v>
      </c>
    </row>
    <row r="223" spans="1:11" ht="33.75">
      <c r="A223" s="481" t="s">
        <v>32</v>
      </c>
      <c r="B223" s="481" t="s">
        <v>5457</v>
      </c>
      <c r="C223" s="479">
        <v>0.3354166666666667</v>
      </c>
      <c r="D223" s="481" t="s">
        <v>5457</v>
      </c>
      <c r="E223" s="520">
        <v>0.375</v>
      </c>
      <c r="F223" s="481" t="s">
        <v>2967</v>
      </c>
      <c r="G223" s="481" t="s">
        <v>124</v>
      </c>
      <c r="H223" s="481" t="s">
        <v>3356</v>
      </c>
      <c r="I223" s="481" t="s">
        <v>2293</v>
      </c>
      <c r="J223" s="481" t="s">
        <v>3055</v>
      </c>
      <c r="K223" s="481" t="s">
        <v>3055</v>
      </c>
    </row>
    <row r="224" spans="1:11" ht="78.75">
      <c r="A224" s="481" t="s">
        <v>32</v>
      </c>
      <c r="B224" s="481" t="s">
        <v>5459</v>
      </c>
      <c r="C224" s="479">
        <v>8.3333333333333329E-2</v>
      </c>
      <c r="D224" s="481" t="s">
        <v>5459</v>
      </c>
      <c r="E224" s="520">
        <v>0.12986111111111112</v>
      </c>
      <c r="F224" s="481" t="s">
        <v>4185</v>
      </c>
      <c r="G224" s="481" t="s">
        <v>1352</v>
      </c>
      <c r="H224" s="481" t="s">
        <v>3402</v>
      </c>
      <c r="I224" s="481" t="s">
        <v>2118</v>
      </c>
      <c r="J224" s="481" t="s">
        <v>3055</v>
      </c>
      <c r="K224" s="481" t="s">
        <v>3055</v>
      </c>
    </row>
    <row r="225" spans="1:11" ht="33.75">
      <c r="A225" s="481" t="s">
        <v>32</v>
      </c>
      <c r="B225" s="481" t="s">
        <v>5459</v>
      </c>
      <c r="C225" s="479">
        <v>0.10416666666666667</v>
      </c>
      <c r="D225" s="481" t="s">
        <v>45</v>
      </c>
      <c r="E225" s="520" t="s">
        <v>45</v>
      </c>
      <c r="F225" s="481" t="s">
        <v>5460</v>
      </c>
      <c r="G225" s="481" t="s">
        <v>4935</v>
      </c>
      <c r="H225" s="481" t="s">
        <v>2753</v>
      </c>
      <c r="I225" s="481" t="s">
        <v>22</v>
      </c>
      <c r="J225" s="481" t="s">
        <v>45</v>
      </c>
      <c r="K225" s="481" t="s">
        <v>5004</v>
      </c>
    </row>
    <row r="226" spans="1:11" ht="56.25">
      <c r="A226" s="481" t="s">
        <v>32</v>
      </c>
      <c r="B226" s="481" t="s">
        <v>5459</v>
      </c>
      <c r="C226" s="479">
        <v>0.79166666666666663</v>
      </c>
      <c r="D226" s="481" t="s">
        <v>5461</v>
      </c>
      <c r="E226" s="520">
        <v>0.37013888888888885</v>
      </c>
      <c r="F226" s="481" t="s">
        <v>5462</v>
      </c>
      <c r="G226" s="481" t="s">
        <v>3143</v>
      </c>
      <c r="H226" s="481" t="s">
        <v>2753</v>
      </c>
      <c r="I226" s="481" t="s">
        <v>22</v>
      </c>
      <c r="J226" s="481" t="s">
        <v>45</v>
      </c>
      <c r="K226" s="481" t="s">
        <v>4975</v>
      </c>
    </row>
    <row r="227" spans="1:11" ht="67.5">
      <c r="A227" s="481" t="s">
        <v>32</v>
      </c>
      <c r="B227" s="481" t="s">
        <v>5459</v>
      </c>
      <c r="C227" s="479">
        <v>0.70833333333333337</v>
      </c>
      <c r="D227" s="481" t="s">
        <v>5459</v>
      </c>
      <c r="E227" s="520">
        <v>0.85416666666666663</v>
      </c>
      <c r="F227" s="481" t="s">
        <v>5463</v>
      </c>
      <c r="G227" s="481" t="s">
        <v>3143</v>
      </c>
      <c r="H227" s="481" t="s">
        <v>2753</v>
      </c>
      <c r="I227" s="481" t="s">
        <v>22</v>
      </c>
      <c r="J227" s="481" t="s">
        <v>45</v>
      </c>
      <c r="K227" s="481" t="s">
        <v>5464</v>
      </c>
    </row>
    <row r="228" spans="1:11" ht="33.75">
      <c r="A228" s="481" t="s">
        <v>32</v>
      </c>
      <c r="B228" s="481" t="s">
        <v>5465</v>
      </c>
      <c r="C228" s="479">
        <v>0.75</v>
      </c>
      <c r="D228" s="481" t="s">
        <v>5461</v>
      </c>
      <c r="E228" s="520">
        <v>8.3333333333333329E-2</v>
      </c>
      <c r="F228" s="481" t="s">
        <v>5466</v>
      </c>
      <c r="G228" s="481" t="s">
        <v>3143</v>
      </c>
      <c r="H228" s="481" t="s">
        <v>2753</v>
      </c>
      <c r="I228" s="481" t="s">
        <v>22</v>
      </c>
      <c r="J228" s="481" t="s">
        <v>45</v>
      </c>
      <c r="K228" s="481" t="s">
        <v>5467</v>
      </c>
    </row>
    <row r="229" spans="1:11" ht="33.75">
      <c r="A229" s="481" t="s">
        <v>32</v>
      </c>
      <c r="B229" s="481" t="s">
        <v>5461</v>
      </c>
      <c r="C229" s="479">
        <v>0.61944444444444446</v>
      </c>
      <c r="D229" s="481" t="s">
        <v>5461</v>
      </c>
      <c r="E229" s="520">
        <v>0.69513888888888886</v>
      </c>
      <c r="F229" s="481" t="s">
        <v>4709</v>
      </c>
      <c r="G229" s="481" t="s">
        <v>124</v>
      </c>
      <c r="H229" s="481" t="s">
        <v>3356</v>
      </c>
      <c r="I229" s="481" t="s">
        <v>100</v>
      </c>
      <c r="J229" s="481" t="s">
        <v>3055</v>
      </c>
      <c r="K229" s="481" t="s">
        <v>3055</v>
      </c>
    </row>
    <row r="230" spans="1:11" ht="78.75">
      <c r="A230" s="481" t="s">
        <v>32</v>
      </c>
      <c r="B230" s="481" t="s">
        <v>5461</v>
      </c>
      <c r="C230" s="479">
        <v>8.3333333333333329E-2</v>
      </c>
      <c r="D230" s="481" t="s">
        <v>5461</v>
      </c>
      <c r="E230" s="520">
        <v>0.27083333333333331</v>
      </c>
      <c r="F230" s="481" t="s">
        <v>2853</v>
      </c>
      <c r="G230" s="481" t="s">
        <v>124</v>
      </c>
      <c r="H230" s="481" t="s">
        <v>3402</v>
      </c>
      <c r="I230" s="481" t="s">
        <v>2293</v>
      </c>
      <c r="J230" s="481" t="s">
        <v>3175</v>
      </c>
      <c r="K230" s="481" t="s">
        <v>3380</v>
      </c>
    </row>
    <row r="231" spans="1:11" ht="33.75">
      <c r="A231" s="481" t="s">
        <v>32</v>
      </c>
      <c r="B231" s="481" t="s">
        <v>5468</v>
      </c>
      <c r="C231" s="479">
        <v>0.63750000000000007</v>
      </c>
      <c r="D231" s="481" t="s">
        <v>5468</v>
      </c>
      <c r="E231" s="520">
        <v>0.6381944444444444</v>
      </c>
      <c r="F231" s="481" t="s">
        <v>5469</v>
      </c>
      <c r="G231" s="481" t="s">
        <v>124</v>
      </c>
      <c r="H231" s="481" t="s">
        <v>3356</v>
      </c>
      <c r="I231" s="481" t="s">
        <v>100</v>
      </c>
      <c r="J231" s="481" t="s">
        <v>3055</v>
      </c>
      <c r="K231" s="481" t="s">
        <v>3055</v>
      </c>
    </row>
    <row r="232" spans="1:11" ht="33.75">
      <c r="A232" s="481" t="s">
        <v>32</v>
      </c>
      <c r="B232" s="481" t="s">
        <v>5468</v>
      </c>
      <c r="C232" s="479">
        <v>0.6958333333333333</v>
      </c>
      <c r="D232" s="481" t="s">
        <v>5468</v>
      </c>
      <c r="E232" s="520">
        <v>0.92499999999999993</v>
      </c>
      <c r="F232" s="481" t="s">
        <v>2895</v>
      </c>
      <c r="G232" s="481" t="s">
        <v>3143</v>
      </c>
      <c r="H232" s="481" t="s">
        <v>2753</v>
      </c>
      <c r="I232" s="481" t="s">
        <v>2764</v>
      </c>
      <c r="J232" s="481" t="s">
        <v>45</v>
      </c>
      <c r="K232" s="481" t="s">
        <v>5470</v>
      </c>
    </row>
    <row r="233" spans="1:11" ht="45">
      <c r="A233" s="481" t="s">
        <v>32</v>
      </c>
      <c r="B233" s="481" t="s">
        <v>5468</v>
      </c>
      <c r="C233" s="479">
        <v>0.10347222222222223</v>
      </c>
      <c r="D233" s="481" t="s">
        <v>5468</v>
      </c>
      <c r="E233" s="520">
        <v>0.125</v>
      </c>
      <c r="F233" s="481" t="s">
        <v>2864</v>
      </c>
      <c r="G233" s="481" t="s">
        <v>63</v>
      </c>
      <c r="H233" s="481" t="s">
        <v>3387</v>
      </c>
      <c r="I233" s="481" t="s">
        <v>2764</v>
      </c>
      <c r="J233" s="481" t="s">
        <v>3055</v>
      </c>
      <c r="K233" s="481" t="s">
        <v>3055</v>
      </c>
    </row>
    <row r="234" spans="1:11" ht="45">
      <c r="A234" s="481" t="s">
        <v>32</v>
      </c>
      <c r="B234" s="481" t="s">
        <v>5468</v>
      </c>
      <c r="C234" s="479">
        <v>0.5083333333333333</v>
      </c>
      <c r="D234" s="481" t="s">
        <v>5468</v>
      </c>
      <c r="E234" s="520">
        <v>0.54722222222222217</v>
      </c>
      <c r="F234" s="481" t="s">
        <v>3299</v>
      </c>
      <c r="G234" s="481" t="s">
        <v>63</v>
      </c>
      <c r="H234" s="481" t="s">
        <v>3447</v>
      </c>
      <c r="I234" s="481" t="s">
        <v>2764</v>
      </c>
      <c r="J234" s="481" t="s">
        <v>3055</v>
      </c>
      <c r="K234" s="481" t="s">
        <v>3055</v>
      </c>
    </row>
    <row r="235" spans="1:11" ht="45">
      <c r="A235" s="481" t="s">
        <v>32</v>
      </c>
      <c r="B235" s="481" t="s">
        <v>5468</v>
      </c>
      <c r="C235" s="479">
        <v>0.5083333333333333</v>
      </c>
      <c r="D235" s="481" t="s">
        <v>5468</v>
      </c>
      <c r="E235" s="520">
        <v>0.54722222222222217</v>
      </c>
      <c r="F235" s="481" t="s">
        <v>3299</v>
      </c>
      <c r="G235" s="481" t="s">
        <v>63</v>
      </c>
      <c r="H235" s="481" t="s">
        <v>3447</v>
      </c>
      <c r="I235" s="481" t="s">
        <v>2764</v>
      </c>
      <c r="J235" s="481" t="s">
        <v>3055</v>
      </c>
      <c r="K235" s="481" t="s">
        <v>3055</v>
      </c>
    </row>
    <row r="236" spans="1:11" ht="67.5">
      <c r="A236" s="481" t="s">
        <v>32</v>
      </c>
      <c r="B236" s="481" t="s">
        <v>5471</v>
      </c>
      <c r="C236" s="479">
        <v>5.9027777777777783E-2</v>
      </c>
      <c r="D236" s="481" t="s">
        <v>5471</v>
      </c>
      <c r="E236" s="520">
        <v>6.25E-2</v>
      </c>
      <c r="F236" s="481" t="s">
        <v>5472</v>
      </c>
      <c r="G236" s="481" t="s">
        <v>63</v>
      </c>
      <c r="H236" s="481" t="s">
        <v>3411</v>
      </c>
      <c r="I236" s="481" t="s">
        <v>22</v>
      </c>
      <c r="J236" s="481" t="s">
        <v>4951</v>
      </c>
      <c r="K236" s="481" t="s">
        <v>3055</v>
      </c>
    </row>
    <row r="237" spans="1:11" ht="33.75">
      <c r="A237" s="481" t="s">
        <v>32</v>
      </c>
      <c r="B237" s="481" t="s">
        <v>5471</v>
      </c>
      <c r="C237" s="479">
        <v>0.625</v>
      </c>
      <c r="D237" s="481" t="s">
        <v>5471</v>
      </c>
      <c r="E237" s="520">
        <v>0.62569444444444444</v>
      </c>
      <c r="F237" s="481" t="s">
        <v>4253</v>
      </c>
      <c r="G237" s="481" t="s">
        <v>63</v>
      </c>
      <c r="H237" s="481" t="s">
        <v>3356</v>
      </c>
      <c r="I237" s="481" t="s">
        <v>100</v>
      </c>
      <c r="J237" s="481" t="s">
        <v>3055</v>
      </c>
      <c r="K237" s="481" t="s">
        <v>3055</v>
      </c>
    </row>
    <row r="238" spans="1:11" ht="33.75">
      <c r="A238" s="481" t="s">
        <v>32</v>
      </c>
      <c r="B238" s="481" t="s">
        <v>5471</v>
      </c>
      <c r="C238" s="479">
        <v>0.8305555555555556</v>
      </c>
      <c r="D238" s="481" t="s">
        <v>5473</v>
      </c>
      <c r="E238" s="520">
        <v>0.83333333333333337</v>
      </c>
      <c r="F238" s="481" t="s">
        <v>2809</v>
      </c>
      <c r="G238" s="481" t="s">
        <v>1352</v>
      </c>
      <c r="H238" s="481" t="s">
        <v>2753</v>
      </c>
      <c r="I238" s="481" t="s">
        <v>22</v>
      </c>
      <c r="J238" s="481" t="s">
        <v>45</v>
      </c>
      <c r="K238" s="481" t="s">
        <v>5474</v>
      </c>
    </row>
    <row r="239" spans="1:11" ht="33.75">
      <c r="A239" s="481" t="s">
        <v>32</v>
      </c>
      <c r="B239" s="481" t="s">
        <v>5475</v>
      </c>
      <c r="C239" s="479">
        <v>0.61527777777777781</v>
      </c>
      <c r="D239" s="481" t="s">
        <v>5475</v>
      </c>
      <c r="E239" s="520">
        <v>0.61597222222222225</v>
      </c>
      <c r="F239" s="481" t="s">
        <v>5476</v>
      </c>
      <c r="G239" s="481" t="s">
        <v>63</v>
      </c>
      <c r="H239" s="481" t="s">
        <v>3356</v>
      </c>
      <c r="I239" s="481" t="s">
        <v>100</v>
      </c>
      <c r="J239" s="481" t="s">
        <v>3055</v>
      </c>
      <c r="K239" s="481" t="s">
        <v>3055</v>
      </c>
    </row>
    <row r="240" spans="1:11" ht="67.5">
      <c r="A240" s="481" t="s">
        <v>32</v>
      </c>
      <c r="B240" s="481" t="s">
        <v>5477</v>
      </c>
      <c r="C240" s="479">
        <v>0.98819444444444438</v>
      </c>
      <c r="D240" s="481" t="s">
        <v>5478</v>
      </c>
      <c r="E240" s="520">
        <v>0.30138888888888887</v>
      </c>
      <c r="F240" s="481" t="s">
        <v>5479</v>
      </c>
      <c r="G240" s="481" t="s">
        <v>5309</v>
      </c>
      <c r="H240" s="481" t="s">
        <v>3411</v>
      </c>
      <c r="I240" s="481" t="s">
        <v>2483</v>
      </c>
      <c r="J240" s="481" t="s">
        <v>3055</v>
      </c>
      <c r="K240" s="481" t="s">
        <v>5037</v>
      </c>
    </row>
    <row r="241" spans="1:11" ht="33.75">
      <c r="A241" s="481" t="s">
        <v>32</v>
      </c>
      <c r="B241" s="481" t="s">
        <v>5477</v>
      </c>
      <c r="C241" s="479">
        <v>0.38055555555555554</v>
      </c>
      <c r="D241" s="481" t="s">
        <v>5477</v>
      </c>
      <c r="E241" s="520">
        <v>0.38194444444444442</v>
      </c>
      <c r="F241" s="481" t="s">
        <v>2817</v>
      </c>
      <c r="G241" s="481" t="s">
        <v>124</v>
      </c>
      <c r="H241" s="481" t="s">
        <v>3356</v>
      </c>
      <c r="I241" s="481" t="s">
        <v>100</v>
      </c>
      <c r="J241" s="481" t="s">
        <v>3055</v>
      </c>
      <c r="K241" s="481" t="s">
        <v>3055</v>
      </c>
    </row>
    <row r="242" spans="1:11" ht="67.5">
      <c r="A242" s="481" t="s">
        <v>32</v>
      </c>
      <c r="B242" s="481" t="s">
        <v>5477</v>
      </c>
      <c r="C242" s="479">
        <v>0.43333333333333335</v>
      </c>
      <c r="D242" s="481" t="s">
        <v>5477</v>
      </c>
      <c r="E242" s="520">
        <v>0.53402777777777777</v>
      </c>
      <c r="F242" s="481" t="s">
        <v>3885</v>
      </c>
      <c r="G242" s="481" t="s">
        <v>3143</v>
      </c>
      <c r="H242" s="481" t="s">
        <v>2910</v>
      </c>
      <c r="I242" s="481" t="s">
        <v>2483</v>
      </c>
      <c r="J242" s="481" t="s">
        <v>45</v>
      </c>
      <c r="K242" s="481" t="s">
        <v>3055</v>
      </c>
    </row>
    <row r="243" spans="1:11" ht="45">
      <c r="A243" s="481" t="s">
        <v>32</v>
      </c>
      <c r="B243" s="481" t="s">
        <v>5480</v>
      </c>
      <c r="C243" s="479">
        <v>0.75347222222222221</v>
      </c>
      <c r="D243" s="481" t="s">
        <v>5480</v>
      </c>
      <c r="E243" s="520">
        <v>0.90208333333333324</v>
      </c>
      <c r="F243" s="481" t="s">
        <v>4271</v>
      </c>
      <c r="G243" s="481" t="s">
        <v>3143</v>
      </c>
      <c r="H243" s="481" t="s">
        <v>3387</v>
      </c>
      <c r="I243" s="481" t="s">
        <v>2764</v>
      </c>
      <c r="J243" s="481" t="s">
        <v>45</v>
      </c>
      <c r="K243" s="481" t="s">
        <v>45</v>
      </c>
    </row>
    <row r="244" spans="1:11" ht="33.75">
      <c r="A244" s="481" t="s">
        <v>32</v>
      </c>
      <c r="B244" s="481" t="s">
        <v>5481</v>
      </c>
      <c r="C244" s="479">
        <v>0.73611111111111116</v>
      </c>
      <c r="D244" s="481" t="s">
        <v>5481</v>
      </c>
      <c r="E244" s="520">
        <v>0.7368055555555556</v>
      </c>
      <c r="F244" s="481" t="s">
        <v>5482</v>
      </c>
      <c r="G244" s="481" t="s">
        <v>61</v>
      </c>
      <c r="H244" s="481" t="s">
        <v>3356</v>
      </c>
      <c r="I244" s="481" t="s">
        <v>2293</v>
      </c>
      <c r="J244" s="481" t="s">
        <v>3055</v>
      </c>
      <c r="K244" s="481" t="s">
        <v>3055</v>
      </c>
    </row>
    <row r="245" spans="1:11" ht="33.75">
      <c r="A245" s="481" t="s">
        <v>32</v>
      </c>
      <c r="B245" s="481" t="s">
        <v>5481</v>
      </c>
      <c r="C245" s="479">
        <v>0.91666666666666663</v>
      </c>
      <c r="D245" s="481" t="s">
        <v>5483</v>
      </c>
      <c r="E245" s="520">
        <v>0.47916666666666669</v>
      </c>
      <c r="F245" s="481" t="s">
        <v>2862</v>
      </c>
      <c r="G245" s="481" t="s">
        <v>124</v>
      </c>
      <c r="H245" s="481" t="s">
        <v>2944</v>
      </c>
      <c r="I245" s="481" t="s">
        <v>2952</v>
      </c>
      <c r="J245" s="481" t="s">
        <v>3055</v>
      </c>
      <c r="K245" s="481" t="s">
        <v>3055</v>
      </c>
    </row>
    <row r="246" spans="1:11" ht="33.75">
      <c r="A246" s="481" t="s">
        <v>32</v>
      </c>
      <c r="B246" s="481" t="s">
        <v>5484</v>
      </c>
      <c r="C246" s="479">
        <v>0.40763888888888888</v>
      </c>
      <c r="D246" s="481" t="s">
        <v>5484</v>
      </c>
      <c r="E246" s="520">
        <v>0.40833333333333338</v>
      </c>
      <c r="F246" s="481" t="s">
        <v>2967</v>
      </c>
      <c r="G246" s="481" t="s">
        <v>124</v>
      </c>
      <c r="H246" s="481" t="s">
        <v>3356</v>
      </c>
      <c r="I246" s="481" t="s">
        <v>100</v>
      </c>
      <c r="J246" s="481" t="s">
        <v>3055</v>
      </c>
      <c r="K246" s="481" t="s">
        <v>3055</v>
      </c>
    </row>
    <row r="247" spans="1:11" ht="67.5">
      <c r="A247" s="481" t="s">
        <v>32</v>
      </c>
      <c r="B247" s="481" t="s">
        <v>5484</v>
      </c>
      <c r="C247" s="479">
        <v>0.53194444444444444</v>
      </c>
      <c r="D247" s="481" t="s">
        <v>5484</v>
      </c>
      <c r="E247" s="520">
        <v>0.54791666666666672</v>
      </c>
      <c r="F247" s="481" t="s">
        <v>5485</v>
      </c>
      <c r="G247" s="481" t="s">
        <v>1352</v>
      </c>
      <c r="H247" s="481" t="s">
        <v>3411</v>
      </c>
      <c r="I247" s="481" t="s">
        <v>2764</v>
      </c>
      <c r="J247" s="481" t="s">
        <v>4951</v>
      </c>
      <c r="K247" s="481" t="s">
        <v>5486</v>
      </c>
    </row>
    <row r="248" spans="1:11" ht="67.5">
      <c r="A248" s="481" t="s">
        <v>32</v>
      </c>
      <c r="B248" s="481" t="s">
        <v>5484</v>
      </c>
      <c r="C248" s="479">
        <v>0.86111111111111116</v>
      </c>
      <c r="D248" s="481" t="s">
        <v>5484</v>
      </c>
      <c r="E248" s="520">
        <v>0.9145833333333333</v>
      </c>
      <c r="F248" s="481" t="s">
        <v>4402</v>
      </c>
      <c r="G248" s="481" t="s">
        <v>1352</v>
      </c>
      <c r="H248" s="481" t="s">
        <v>3411</v>
      </c>
      <c r="I248" s="481" t="s">
        <v>22</v>
      </c>
      <c r="J248" s="481" t="s">
        <v>3055</v>
      </c>
      <c r="K248" s="481" t="s">
        <v>3055</v>
      </c>
    </row>
    <row r="249" spans="1:11" ht="33.75">
      <c r="A249" s="481" t="s">
        <v>32</v>
      </c>
      <c r="B249" s="481" t="s">
        <v>5487</v>
      </c>
      <c r="C249" s="479">
        <v>0.59722222222222221</v>
      </c>
      <c r="D249" s="481" t="s">
        <v>5487</v>
      </c>
      <c r="E249" s="520">
        <v>0.59791666666666665</v>
      </c>
      <c r="F249" s="481" t="s">
        <v>2967</v>
      </c>
      <c r="G249" s="481" t="s">
        <v>124</v>
      </c>
      <c r="H249" s="481" t="s">
        <v>3356</v>
      </c>
      <c r="I249" s="481" t="s">
        <v>100</v>
      </c>
      <c r="J249" s="481" t="s">
        <v>3055</v>
      </c>
      <c r="K249" s="481" t="s">
        <v>3055</v>
      </c>
    </row>
    <row r="250" spans="1:11" ht="67.5">
      <c r="A250" s="481" t="s">
        <v>32</v>
      </c>
      <c r="B250" s="481" t="s">
        <v>5488</v>
      </c>
      <c r="C250" s="479">
        <v>4.0972222222222222E-2</v>
      </c>
      <c r="D250" s="481" t="s">
        <v>5488</v>
      </c>
      <c r="E250" s="520">
        <v>4.1666666666666664E-2</v>
      </c>
      <c r="F250" s="481" t="s">
        <v>4355</v>
      </c>
      <c r="G250" s="481" t="s">
        <v>124</v>
      </c>
      <c r="H250" s="481" t="s">
        <v>2910</v>
      </c>
      <c r="I250" s="481" t="s">
        <v>100</v>
      </c>
      <c r="J250" s="481" t="s">
        <v>3055</v>
      </c>
      <c r="K250" s="481" t="s">
        <v>3055</v>
      </c>
    </row>
    <row r="251" spans="1:11" ht="67.5">
      <c r="A251" s="481" t="s">
        <v>32</v>
      </c>
      <c r="B251" s="481" t="s">
        <v>5488</v>
      </c>
      <c r="C251" s="479">
        <v>4.0972222222222222E-2</v>
      </c>
      <c r="D251" s="481" t="s">
        <v>5488</v>
      </c>
      <c r="E251" s="520">
        <v>4.1666666666666664E-2</v>
      </c>
      <c r="F251" s="481" t="s">
        <v>4355</v>
      </c>
      <c r="G251" s="481" t="s">
        <v>124</v>
      </c>
      <c r="H251" s="481" t="s">
        <v>2910</v>
      </c>
      <c r="I251" s="481" t="s">
        <v>100</v>
      </c>
      <c r="J251" s="481" t="s">
        <v>3055</v>
      </c>
      <c r="K251" s="481" t="s">
        <v>3055</v>
      </c>
    </row>
    <row r="252" spans="1:11" ht="33.75">
      <c r="A252" s="481" t="s">
        <v>32</v>
      </c>
      <c r="B252" s="481" t="s">
        <v>5489</v>
      </c>
      <c r="C252" s="479">
        <v>0.46458333333333335</v>
      </c>
      <c r="D252" s="481" t="s">
        <v>5489</v>
      </c>
      <c r="E252" s="520">
        <v>0.46527777777777773</v>
      </c>
      <c r="F252" s="481" t="s">
        <v>2967</v>
      </c>
      <c r="G252" s="481" t="s">
        <v>124</v>
      </c>
      <c r="H252" s="481" t="s">
        <v>3356</v>
      </c>
      <c r="I252" s="481" t="s">
        <v>100</v>
      </c>
      <c r="J252" s="481" t="s">
        <v>3055</v>
      </c>
      <c r="K252" s="481" t="s">
        <v>3055</v>
      </c>
    </row>
    <row r="253" spans="1:11" ht="45">
      <c r="A253" s="481" t="s">
        <v>32</v>
      </c>
      <c r="B253" s="481" t="s">
        <v>5490</v>
      </c>
      <c r="C253" s="479">
        <v>9.7916666666666666E-2</v>
      </c>
      <c r="D253" s="481" t="s">
        <v>5490</v>
      </c>
      <c r="E253" s="520">
        <v>0.80138888888888893</v>
      </c>
      <c r="F253" s="481" t="s">
        <v>2959</v>
      </c>
      <c r="G253" s="481" t="s">
        <v>61</v>
      </c>
      <c r="H253" s="481" t="s">
        <v>3387</v>
      </c>
      <c r="I253" s="481" t="s">
        <v>2764</v>
      </c>
      <c r="J253" s="481" t="s">
        <v>3055</v>
      </c>
      <c r="K253" s="481" t="s">
        <v>3055</v>
      </c>
    </row>
    <row r="254" spans="1:11" ht="45">
      <c r="A254" s="481" t="s">
        <v>32</v>
      </c>
      <c r="B254" s="481" t="s">
        <v>5491</v>
      </c>
      <c r="C254" s="479">
        <v>0.2076388888888889</v>
      </c>
      <c r="D254" s="481" t="s">
        <v>5491</v>
      </c>
      <c r="E254" s="520">
        <v>0.25416666666666665</v>
      </c>
      <c r="F254" s="481" t="s">
        <v>3719</v>
      </c>
      <c r="G254" s="481" t="s">
        <v>61</v>
      </c>
      <c r="H254" s="481" t="s">
        <v>3387</v>
      </c>
      <c r="I254" s="481" t="s">
        <v>2764</v>
      </c>
      <c r="J254" s="481" t="s">
        <v>3055</v>
      </c>
      <c r="K254" s="481" t="s">
        <v>3055</v>
      </c>
    </row>
    <row r="255" spans="1:11" ht="157.5">
      <c r="A255" s="481" t="s">
        <v>32</v>
      </c>
      <c r="B255" s="481" t="s">
        <v>5492</v>
      </c>
      <c r="C255" s="479">
        <v>0.625</v>
      </c>
      <c r="D255" s="481" t="s">
        <v>5493</v>
      </c>
      <c r="E255" s="520">
        <v>0.375</v>
      </c>
      <c r="F255" s="481" t="s">
        <v>5494</v>
      </c>
      <c r="G255" s="481" t="s">
        <v>3143</v>
      </c>
      <c r="H255" s="481" t="s">
        <v>2753</v>
      </c>
      <c r="I255" s="481" t="s">
        <v>22</v>
      </c>
      <c r="J255" s="481" t="s">
        <v>45</v>
      </c>
      <c r="K255" s="481" t="s">
        <v>5495</v>
      </c>
    </row>
    <row r="256" spans="1:11" ht="33.75">
      <c r="A256" s="481" t="s">
        <v>32</v>
      </c>
      <c r="B256" s="481" t="s">
        <v>5492</v>
      </c>
      <c r="C256" s="479">
        <v>0.74305555555555547</v>
      </c>
      <c r="D256" s="481" t="s">
        <v>45</v>
      </c>
      <c r="E256" s="520" t="s">
        <v>45</v>
      </c>
      <c r="F256" s="481" t="s">
        <v>3307</v>
      </c>
      <c r="G256" s="481" t="s">
        <v>3143</v>
      </c>
      <c r="H256" s="481" t="s">
        <v>2753</v>
      </c>
      <c r="I256" s="481" t="s">
        <v>22</v>
      </c>
      <c r="J256" s="481" t="s">
        <v>45</v>
      </c>
      <c r="K256" s="481" t="s">
        <v>45</v>
      </c>
    </row>
    <row r="257" spans="1:11" ht="78.75">
      <c r="A257" s="481" t="s">
        <v>32</v>
      </c>
      <c r="B257" s="481" t="s">
        <v>5492</v>
      </c>
      <c r="C257" s="479">
        <v>0.44791666666666669</v>
      </c>
      <c r="D257" s="481" t="s">
        <v>5492</v>
      </c>
      <c r="E257" s="520">
        <v>0.48958333333333331</v>
      </c>
      <c r="F257" s="481" t="s">
        <v>5496</v>
      </c>
      <c r="G257" s="481" t="s">
        <v>1352</v>
      </c>
      <c r="H257" s="481" t="s">
        <v>3402</v>
      </c>
      <c r="I257" s="481" t="s">
        <v>2118</v>
      </c>
      <c r="J257" s="481" t="s">
        <v>3055</v>
      </c>
      <c r="K257" s="481" t="s">
        <v>3055</v>
      </c>
    </row>
    <row r="258" spans="1:11" ht="78.75">
      <c r="A258" s="481" t="s">
        <v>32</v>
      </c>
      <c r="B258" s="481" t="s">
        <v>5497</v>
      </c>
      <c r="C258" s="479">
        <v>0.4152777777777778</v>
      </c>
      <c r="D258" s="481" t="s">
        <v>5497</v>
      </c>
      <c r="E258" s="520">
        <v>0.51041666666666663</v>
      </c>
      <c r="F258" s="481" t="s">
        <v>4019</v>
      </c>
      <c r="G258" s="481" t="s">
        <v>63</v>
      </c>
      <c r="H258" s="481" t="s">
        <v>3402</v>
      </c>
      <c r="I258" s="481" t="s">
        <v>100</v>
      </c>
      <c r="J258" s="481" t="s">
        <v>5105</v>
      </c>
      <c r="K258" s="481" t="s">
        <v>3851</v>
      </c>
    </row>
    <row r="259" spans="1:11" ht="45">
      <c r="A259" s="481" t="s">
        <v>219</v>
      </c>
      <c r="B259" s="481" t="s">
        <v>5493</v>
      </c>
      <c r="C259" s="479">
        <v>0.625</v>
      </c>
      <c r="D259" s="481" t="s">
        <v>5493</v>
      </c>
      <c r="E259" s="520">
        <v>0.875</v>
      </c>
      <c r="F259" s="481" t="s">
        <v>3414</v>
      </c>
      <c r="G259" s="481" t="s">
        <v>124</v>
      </c>
      <c r="H259" s="481" t="s">
        <v>3415</v>
      </c>
      <c r="I259" s="481" t="s">
        <v>22</v>
      </c>
      <c r="J259" s="481" t="s">
        <v>5498</v>
      </c>
      <c r="K259" s="481" t="s">
        <v>5395</v>
      </c>
    </row>
    <row r="260" spans="1:11" ht="78.75">
      <c r="A260" s="481" t="s">
        <v>219</v>
      </c>
      <c r="B260" s="481" t="s">
        <v>5499</v>
      </c>
      <c r="C260" s="479">
        <v>0.66666666666666663</v>
      </c>
      <c r="D260" s="481" t="s">
        <v>5500</v>
      </c>
      <c r="E260" s="520">
        <v>0.33333333333333331</v>
      </c>
      <c r="F260" s="481" t="s">
        <v>5501</v>
      </c>
      <c r="G260" s="481" t="s">
        <v>1352</v>
      </c>
      <c r="H260" s="481" t="s">
        <v>2753</v>
      </c>
      <c r="I260" s="481" t="s">
        <v>22</v>
      </c>
      <c r="J260" s="481" t="s">
        <v>45</v>
      </c>
      <c r="K260" s="481" t="s">
        <v>5502</v>
      </c>
    </row>
    <row r="261" spans="1:11" ht="33.75">
      <c r="A261" s="481" t="s">
        <v>219</v>
      </c>
      <c r="B261" s="481" t="s">
        <v>5499</v>
      </c>
      <c r="C261" s="479">
        <v>0.78472222222222221</v>
      </c>
      <c r="D261" s="481" t="s">
        <v>5503</v>
      </c>
      <c r="E261" s="520">
        <v>0.11458333333333333</v>
      </c>
      <c r="F261" s="481" t="s">
        <v>4428</v>
      </c>
      <c r="G261" s="481" t="s">
        <v>124</v>
      </c>
      <c r="H261" s="481" t="s">
        <v>2944</v>
      </c>
      <c r="I261" s="481" t="s">
        <v>2952</v>
      </c>
      <c r="J261" s="481" t="s">
        <v>3055</v>
      </c>
      <c r="K261" s="481" t="s">
        <v>3055</v>
      </c>
    </row>
    <row r="262" spans="1:11" ht="45">
      <c r="A262" s="481" t="s">
        <v>219</v>
      </c>
      <c r="B262" s="481" t="s">
        <v>5503</v>
      </c>
      <c r="C262" s="479">
        <v>0.25347222222222221</v>
      </c>
      <c r="D262" s="481" t="s">
        <v>5503</v>
      </c>
      <c r="E262" s="520">
        <v>0.875</v>
      </c>
      <c r="F262" s="481" t="s">
        <v>3616</v>
      </c>
      <c r="G262" s="481" t="s">
        <v>124</v>
      </c>
      <c r="H262" s="481" t="s">
        <v>3415</v>
      </c>
      <c r="I262" s="481" t="s">
        <v>2764</v>
      </c>
      <c r="J262" s="481" t="s">
        <v>45</v>
      </c>
      <c r="K262" s="481" t="s">
        <v>3055</v>
      </c>
    </row>
    <row r="263" spans="1:11" ht="67.5">
      <c r="A263" s="481" t="s">
        <v>219</v>
      </c>
      <c r="B263" s="481" t="s">
        <v>5500</v>
      </c>
      <c r="C263" s="479">
        <v>0.6875</v>
      </c>
      <c r="D263" s="481" t="s">
        <v>5504</v>
      </c>
      <c r="E263" s="520">
        <v>2.0833333333333332E-2</v>
      </c>
      <c r="F263" s="481" t="s">
        <v>4355</v>
      </c>
      <c r="G263" s="481" t="s">
        <v>124</v>
      </c>
      <c r="H263" s="481" t="s">
        <v>2910</v>
      </c>
      <c r="I263" s="481" t="s">
        <v>100</v>
      </c>
      <c r="J263" s="481" t="s">
        <v>3055</v>
      </c>
      <c r="K263" s="481" t="s">
        <v>3055</v>
      </c>
    </row>
    <row r="264" spans="1:11" ht="78.75">
      <c r="A264" s="481" t="s">
        <v>219</v>
      </c>
      <c r="B264" s="481" t="s">
        <v>5500</v>
      </c>
      <c r="C264" s="479">
        <v>0.25</v>
      </c>
      <c r="D264" s="481" t="s">
        <v>5500</v>
      </c>
      <c r="E264" s="520">
        <v>0.26527777777777778</v>
      </c>
      <c r="F264" s="481" t="s">
        <v>4185</v>
      </c>
      <c r="G264" s="481" t="s">
        <v>1352</v>
      </c>
      <c r="H264" s="481" t="s">
        <v>3402</v>
      </c>
      <c r="I264" s="481" t="s">
        <v>2118</v>
      </c>
      <c r="J264" s="481" t="s">
        <v>3055</v>
      </c>
      <c r="K264" s="481" t="s">
        <v>3055</v>
      </c>
    </row>
    <row r="265" spans="1:11" ht="45">
      <c r="A265" s="481" t="s">
        <v>219</v>
      </c>
      <c r="B265" s="481" t="s">
        <v>5500</v>
      </c>
      <c r="C265" s="479">
        <v>0.44027777777777777</v>
      </c>
      <c r="D265" s="481" t="s">
        <v>5500</v>
      </c>
      <c r="E265" s="520">
        <v>0.875</v>
      </c>
      <c r="F265" s="481" t="s">
        <v>3616</v>
      </c>
      <c r="G265" s="481" t="s">
        <v>124</v>
      </c>
      <c r="H265" s="481" t="s">
        <v>3415</v>
      </c>
      <c r="I265" s="481" t="s">
        <v>2764</v>
      </c>
      <c r="J265" s="481" t="s">
        <v>45</v>
      </c>
      <c r="K265" s="481" t="s">
        <v>3055</v>
      </c>
    </row>
    <row r="266" spans="1:11" ht="45">
      <c r="A266" s="481" t="s">
        <v>219</v>
      </c>
      <c r="B266" s="481" t="s">
        <v>5500</v>
      </c>
      <c r="C266" s="479">
        <v>0.66666666666666663</v>
      </c>
      <c r="D266" s="481" t="s">
        <v>5500</v>
      </c>
      <c r="E266" s="520">
        <v>0.875</v>
      </c>
      <c r="F266" s="481" t="s">
        <v>3414</v>
      </c>
      <c r="G266" s="481" t="s">
        <v>124</v>
      </c>
      <c r="H266" s="481" t="s">
        <v>3415</v>
      </c>
      <c r="I266" s="481" t="s">
        <v>22</v>
      </c>
      <c r="J266" s="481" t="s">
        <v>5505</v>
      </c>
      <c r="K266" s="481" t="s">
        <v>5395</v>
      </c>
    </row>
    <row r="267" spans="1:11" ht="45">
      <c r="A267" s="481" t="s">
        <v>219</v>
      </c>
      <c r="B267" s="481" t="s">
        <v>5500</v>
      </c>
      <c r="C267" s="479">
        <v>0.80555555555555547</v>
      </c>
      <c r="D267" s="481" t="s">
        <v>5500</v>
      </c>
      <c r="E267" s="520">
        <v>0.87569444444444444</v>
      </c>
      <c r="F267" s="481" t="s">
        <v>4622</v>
      </c>
      <c r="G267" s="481" t="s">
        <v>124</v>
      </c>
      <c r="H267" s="481" t="s">
        <v>3415</v>
      </c>
      <c r="I267" s="481" t="s">
        <v>2764</v>
      </c>
      <c r="J267" s="481" t="s">
        <v>45</v>
      </c>
      <c r="K267" s="481" t="s">
        <v>45</v>
      </c>
    </row>
    <row r="268" spans="1:11" ht="45">
      <c r="A268" s="481" t="s">
        <v>219</v>
      </c>
      <c r="B268" s="481" t="s">
        <v>5500</v>
      </c>
      <c r="C268" s="479">
        <v>0.70833333333333337</v>
      </c>
      <c r="D268" s="481" t="s">
        <v>5500</v>
      </c>
      <c r="E268" s="520">
        <v>0.83333333333333337</v>
      </c>
      <c r="F268" s="481" t="s">
        <v>4133</v>
      </c>
      <c r="G268" s="481" t="s">
        <v>124</v>
      </c>
      <c r="H268" s="481" t="s">
        <v>3415</v>
      </c>
      <c r="I268" s="481" t="s">
        <v>2764</v>
      </c>
      <c r="J268" s="481" t="s">
        <v>5506</v>
      </c>
      <c r="K268" s="481" t="s">
        <v>4922</v>
      </c>
    </row>
    <row r="269" spans="1:11" ht="45">
      <c r="A269" s="481" t="s">
        <v>219</v>
      </c>
      <c r="B269" s="481" t="s">
        <v>5504</v>
      </c>
      <c r="C269" s="479">
        <v>0.57291666666666663</v>
      </c>
      <c r="D269" s="481" t="s">
        <v>5504</v>
      </c>
      <c r="E269" s="520">
        <v>0.79166666666666663</v>
      </c>
      <c r="F269" s="481" t="s">
        <v>3182</v>
      </c>
      <c r="G269" s="481" t="s">
        <v>63</v>
      </c>
      <c r="H269" s="481" t="s">
        <v>3387</v>
      </c>
      <c r="I269" s="481" t="s">
        <v>2952</v>
      </c>
      <c r="J269" s="481" t="s">
        <v>3055</v>
      </c>
      <c r="K269" s="481" t="s">
        <v>3055</v>
      </c>
    </row>
    <row r="270" spans="1:11" ht="45">
      <c r="A270" s="481" t="s">
        <v>219</v>
      </c>
      <c r="B270" s="481" t="s">
        <v>5504</v>
      </c>
      <c r="C270" s="479">
        <v>0.47986111111111113</v>
      </c>
      <c r="D270" s="481" t="s">
        <v>5504</v>
      </c>
      <c r="E270" s="520">
        <v>0.875</v>
      </c>
      <c r="F270" s="481" t="s">
        <v>3616</v>
      </c>
      <c r="G270" s="481" t="s">
        <v>124</v>
      </c>
      <c r="H270" s="481" t="s">
        <v>3415</v>
      </c>
      <c r="I270" s="481" t="s">
        <v>2764</v>
      </c>
      <c r="J270" s="481" t="s">
        <v>45</v>
      </c>
      <c r="K270" s="481" t="s">
        <v>3055</v>
      </c>
    </row>
    <row r="271" spans="1:11" ht="67.5">
      <c r="A271" s="481" t="s">
        <v>219</v>
      </c>
      <c r="B271" s="481" t="s">
        <v>5504</v>
      </c>
      <c r="C271" s="479">
        <v>0.54166666666666663</v>
      </c>
      <c r="D271" s="481" t="s">
        <v>45</v>
      </c>
      <c r="E271" s="520" t="s">
        <v>45</v>
      </c>
      <c r="F271" s="481" t="s">
        <v>2920</v>
      </c>
      <c r="G271" s="481" t="s">
        <v>124</v>
      </c>
      <c r="H271" s="481" t="s">
        <v>2910</v>
      </c>
      <c r="I271" s="481" t="s">
        <v>100</v>
      </c>
      <c r="J271" s="481" t="s">
        <v>3055</v>
      </c>
      <c r="K271" s="481" t="s">
        <v>3055</v>
      </c>
    </row>
    <row r="272" spans="1:11" ht="45">
      <c r="A272" s="481" t="s">
        <v>219</v>
      </c>
      <c r="B272" s="481" t="s">
        <v>5504</v>
      </c>
      <c r="C272" s="479">
        <v>0.70833333333333337</v>
      </c>
      <c r="D272" s="481" t="s">
        <v>5504</v>
      </c>
      <c r="E272" s="520">
        <v>0.83333333333333337</v>
      </c>
      <c r="F272" s="481" t="s">
        <v>4133</v>
      </c>
      <c r="G272" s="481" t="s">
        <v>124</v>
      </c>
      <c r="H272" s="481" t="s">
        <v>3415</v>
      </c>
      <c r="I272" s="481" t="s">
        <v>2764</v>
      </c>
      <c r="J272" s="481" t="s">
        <v>5507</v>
      </c>
      <c r="K272" s="481" t="s">
        <v>4922</v>
      </c>
    </row>
    <row r="273" spans="1:11" ht="45">
      <c r="A273" s="481" t="s">
        <v>219</v>
      </c>
      <c r="B273" s="481" t="s">
        <v>5504</v>
      </c>
      <c r="C273" s="479">
        <v>0.66666666666666663</v>
      </c>
      <c r="D273" s="481" t="s">
        <v>5504</v>
      </c>
      <c r="E273" s="520">
        <v>0.875</v>
      </c>
      <c r="F273" s="481" t="s">
        <v>3414</v>
      </c>
      <c r="G273" s="481" t="s">
        <v>124</v>
      </c>
      <c r="H273" s="481" t="s">
        <v>3415</v>
      </c>
      <c r="I273" s="481" t="s">
        <v>22</v>
      </c>
      <c r="J273" s="481" t="s">
        <v>5508</v>
      </c>
      <c r="K273" s="481" t="s">
        <v>5395</v>
      </c>
    </row>
    <row r="274" spans="1:11" ht="45">
      <c r="A274" s="481" t="s">
        <v>219</v>
      </c>
      <c r="B274" s="481" t="s">
        <v>5509</v>
      </c>
      <c r="C274" s="479">
        <v>0.45277777777777778</v>
      </c>
      <c r="D274" s="481" t="s">
        <v>5510</v>
      </c>
      <c r="E274" s="520">
        <v>0.875</v>
      </c>
      <c r="F274" s="481" t="s">
        <v>3616</v>
      </c>
      <c r="G274" s="481" t="s">
        <v>124</v>
      </c>
      <c r="H274" s="481" t="s">
        <v>3415</v>
      </c>
      <c r="I274" s="481" t="s">
        <v>2764</v>
      </c>
      <c r="J274" s="481" t="s">
        <v>45</v>
      </c>
      <c r="K274" s="481" t="s">
        <v>3055</v>
      </c>
    </row>
    <row r="275" spans="1:11" ht="45">
      <c r="A275" s="481" t="s">
        <v>219</v>
      </c>
      <c r="B275" s="481" t="s">
        <v>5509</v>
      </c>
      <c r="C275" s="479">
        <v>0.49583333333333335</v>
      </c>
      <c r="D275" s="481" t="s">
        <v>5509</v>
      </c>
      <c r="E275" s="520">
        <v>0.875</v>
      </c>
      <c r="F275" s="481" t="s">
        <v>3414</v>
      </c>
      <c r="G275" s="481" t="s">
        <v>124</v>
      </c>
      <c r="H275" s="481" t="s">
        <v>3415</v>
      </c>
      <c r="I275" s="481" t="s">
        <v>22</v>
      </c>
      <c r="J275" s="481" t="s">
        <v>5511</v>
      </c>
      <c r="K275" s="481" t="s">
        <v>5395</v>
      </c>
    </row>
    <row r="276" spans="1:11" ht="45">
      <c r="A276" s="481" t="s">
        <v>219</v>
      </c>
      <c r="B276" s="481" t="s">
        <v>5509</v>
      </c>
      <c r="C276" s="479">
        <v>0.70833333333333337</v>
      </c>
      <c r="D276" s="481" t="s">
        <v>5509</v>
      </c>
      <c r="E276" s="520">
        <v>0.83333333333333337</v>
      </c>
      <c r="F276" s="481" t="s">
        <v>4133</v>
      </c>
      <c r="G276" s="481" t="s">
        <v>124</v>
      </c>
      <c r="H276" s="481" t="s">
        <v>3415</v>
      </c>
      <c r="I276" s="481" t="s">
        <v>2764</v>
      </c>
      <c r="J276" s="481" t="s">
        <v>5512</v>
      </c>
      <c r="K276" s="481" t="s">
        <v>4922</v>
      </c>
    </row>
    <row r="277" spans="1:11" ht="45">
      <c r="A277" s="481" t="s">
        <v>219</v>
      </c>
      <c r="B277" s="481" t="s">
        <v>5510</v>
      </c>
      <c r="C277" s="479">
        <v>0.66666666666666663</v>
      </c>
      <c r="D277" s="481" t="s">
        <v>5510</v>
      </c>
      <c r="E277" s="520">
        <v>0.875</v>
      </c>
      <c r="F277" s="481" t="s">
        <v>3414</v>
      </c>
      <c r="G277" s="481" t="s">
        <v>124</v>
      </c>
      <c r="H277" s="481" t="s">
        <v>3415</v>
      </c>
      <c r="I277" s="481" t="s">
        <v>22</v>
      </c>
      <c r="J277" s="481" t="s">
        <v>5508</v>
      </c>
      <c r="K277" s="481" t="s">
        <v>5395</v>
      </c>
    </row>
    <row r="278" spans="1:11" ht="78.75">
      <c r="A278" s="481" t="s">
        <v>219</v>
      </c>
      <c r="B278" s="481" t="s">
        <v>5513</v>
      </c>
      <c r="C278" s="479">
        <v>0.9375</v>
      </c>
      <c r="D278" s="481" t="s">
        <v>5513</v>
      </c>
      <c r="E278" s="520">
        <v>0.93819444444444444</v>
      </c>
      <c r="F278" s="481" t="s">
        <v>5514</v>
      </c>
      <c r="G278" s="481" t="s">
        <v>3143</v>
      </c>
      <c r="H278" s="481" t="s">
        <v>3402</v>
      </c>
      <c r="I278" s="481" t="s">
        <v>2118</v>
      </c>
      <c r="J278" s="481" t="s">
        <v>45</v>
      </c>
      <c r="K278" s="481" t="s">
        <v>45</v>
      </c>
    </row>
    <row r="279" spans="1:11" ht="67.5">
      <c r="A279" s="481" t="s">
        <v>219</v>
      </c>
      <c r="B279" s="481" t="s">
        <v>5515</v>
      </c>
      <c r="C279" s="479">
        <v>0.7631944444444444</v>
      </c>
      <c r="D279" s="481" t="s">
        <v>5515</v>
      </c>
      <c r="E279" s="520">
        <v>0.93611111111111101</v>
      </c>
      <c r="F279" s="481" t="s">
        <v>5516</v>
      </c>
      <c r="G279" s="481" t="s">
        <v>1352</v>
      </c>
      <c r="H279" s="481" t="s">
        <v>3411</v>
      </c>
      <c r="I279" s="481" t="s">
        <v>2483</v>
      </c>
      <c r="J279" s="481" t="s">
        <v>3055</v>
      </c>
      <c r="K279" s="481" t="s">
        <v>3055</v>
      </c>
    </row>
    <row r="280" spans="1:11" ht="67.5">
      <c r="A280" s="481" t="s">
        <v>219</v>
      </c>
      <c r="B280" s="481" t="s">
        <v>5517</v>
      </c>
      <c r="C280" s="479">
        <v>0.82986111111111116</v>
      </c>
      <c r="D280" s="481" t="s">
        <v>5517</v>
      </c>
      <c r="E280" s="520">
        <v>0.8340277777777777</v>
      </c>
      <c r="F280" s="481" t="s">
        <v>4402</v>
      </c>
      <c r="G280" s="481" t="s">
        <v>1352</v>
      </c>
      <c r="H280" s="481" t="s">
        <v>3411</v>
      </c>
      <c r="I280" s="481" t="s">
        <v>22</v>
      </c>
      <c r="J280" s="481" t="s">
        <v>3055</v>
      </c>
      <c r="K280" s="481" t="s">
        <v>3055</v>
      </c>
    </row>
    <row r="281" spans="1:11" ht="67.5">
      <c r="A281" s="481" t="s">
        <v>219</v>
      </c>
      <c r="B281" s="481" t="s">
        <v>5518</v>
      </c>
      <c r="C281" s="479">
        <v>0.82777777777777783</v>
      </c>
      <c r="D281" s="481" t="s">
        <v>5518</v>
      </c>
      <c r="E281" s="520">
        <v>0.8965277777777777</v>
      </c>
      <c r="F281" s="481" t="s">
        <v>5516</v>
      </c>
      <c r="G281" s="481" t="s">
        <v>1352</v>
      </c>
      <c r="H281" s="481" t="s">
        <v>3411</v>
      </c>
      <c r="I281" s="481" t="s">
        <v>2483</v>
      </c>
      <c r="J281" s="481" t="s">
        <v>3055</v>
      </c>
      <c r="K281" s="481" t="s">
        <v>3055</v>
      </c>
    </row>
    <row r="282" spans="1:11" ht="67.5">
      <c r="A282" s="481" t="s">
        <v>219</v>
      </c>
      <c r="B282" s="481" t="s">
        <v>5519</v>
      </c>
      <c r="C282" s="479">
        <v>0.77083333333333337</v>
      </c>
      <c r="D282" s="481" t="s">
        <v>5519</v>
      </c>
      <c r="E282" s="520">
        <v>0.96875</v>
      </c>
      <c r="F282" s="481" t="s">
        <v>5520</v>
      </c>
      <c r="G282" s="481" t="s">
        <v>124</v>
      </c>
      <c r="H282" s="481" t="s">
        <v>3611</v>
      </c>
      <c r="I282" s="481" t="s">
        <v>2483</v>
      </c>
      <c r="J282" s="481" t="s">
        <v>3055</v>
      </c>
      <c r="K282" s="481" t="s">
        <v>3055</v>
      </c>
    </row>
    <row r="283" spans="1:11" ht="33.75">
      <c r="A283" s="481" t="s">
        <v>219</v>
      </c>
      <c r="B283" s="481" t="s">
        <v>5519</v>
      </c>
      <c r="C283" s="479">
        <v>0.75</v>
      </c>
      <c r="D283" s="481" t="s">
        <v>5519</v>
      </c>
      <c r="E283" s="520">
        <v>0.75069444444444444</v>
      </c>
      <c r="F283" s="481" t="s">
        <v>2865</v>
      </c>
      <c r="G283" s="481" t="s">
        <v>124</v>
      </c>
      <c r="H283" s="481" t="s">
        <v>3356</v>
      </c>
      <c r="I283" s="481" t="s">
        <v>2118</v>
      </c>
      <c r="J283" s="481" t="s">
        <v>3055</v>
      </c>
      <c r="K283" s="481" t="s">
        <v>3055</v>
      </c>
    </row>
    <row r="284" spans="1:11" ht="33.75">
      <c r="A284" s="481" t="s">
        <v>219</v>
      </c>
      <c r="B284" s="481" t="s">
        <v>5521</v>
      </c>
      <c r="C284" s="479">
        <v>0.67986111111111114</v>
      </c>
      <c r="D284" s="481" t="s">
        <v>5521</v>
      </c>
      <c r="E284" s="520">
        <v>0.75069444444444444</v>
      </c>
      <c r="F284" s="481" t="s">
        <v>5522</v>
      </c>
      <c r="G284" s="481" t="s">
        <v>5015</v>
      </c>
      <c r="H284" s="481" t="s">
        <v>3356</v>
      </c>
      <c r="I284" s="481" t="s">
        <v>100</v>
      </c>
      <c r="J284" s="481" t="s">
        <v>45</v>
      </c>
      <c r="K284" s="481" t="s">
        <v>5523</v>
      </c>
    </row>
    <row r="285" spans="1:11" ht="78.75">
      <c r="A285" s="481" t="s">
        <v>219</v>
      </c>
      <c r="B285" s="481" t="s">
        <v>5524</v>
      </c>
      <c r="C285" s="479">
        <v>0.16527777777777777</v>
      </c>
      <c r="D285" s="481" t="s">
        <v>5524</v>
      </c>
      <c r="E285" s="520">
        <v>0.16666666666666666</v>
      </c>
      <c r="F285" s="481" t="s">
        <v>5525</v>
      </c>
      <c r="G285" s="481" t="s">
        <v>63</v>
      </c>
      <c r="H285" s="481" t="s">
        <v>3402</v>
      </c>
      <c r="I285" s="481" t="s">
        <v>100</v>
      </c>
      <c r="J285" s="481" t="s">
        <v>45</v>
      </c>
      <c r="K285" s="481" t="s">
        <v>45</v>
      </c>
    </row>
    <row r="286" spans="1:11" ht="33.75">
      <c r="A286" s="481" t="s">
        <v>219</v>
      </c>
      <c r="B286" s="481" t="s">
        <v>5524</v>
      </c>
      <c r="C286" s="479">
        <v>0.41805555555555557</v>
      </c>
      <c r="D286" s="481" t="s">
        <v>5524</v>
      </c>
      <c r="E286" s="520">
        <v>0.45833333333333331</v>
      </c>
      <c r="F286" s="481" t="s">
        <v>2967</v>
      </c>
      <c r="G286" s="481" t="s">
        <v>124</v>
      </c>
      <c r="H286" s="481" t="s">
        <v>3356</v>
      </c>
      <c r="I286" s="481" t="s">
        <v>100</v>
      </c>
      <c r="J286" s="481" t="s">
        <v>3081</v>
      </c>
      <c r="K286" s="481" t="s">
        <v>3055</v>
      </c>
    </row>
    <row r="287" spans="1:11" ht="33.75">
      <c r="A287" s="481" t="s">
        <v>219</v>
      </c>
      <c r="B287" s="481" t="s">
        <v>5526</v>
      </c>
      <c r="C287" s="479">
        <v>0.4236111111111111</v>
      </c>
      <c r="D287" s="481" t="s">
        <v>5526</v>
      </c>
      <c r="E287" s="520">
        <v>0.45833333333333331</v>
      </c>
      <c r="F287" s="481" t="s">
        <v>2967</v>
      </c>
      <c r="G287" s="481" t="s">
        <v>124</v>
      </c>
      <c r="H287" s="481" t="s">
        <v>3356</v>
      </c>
      <c r="I287" s="481" t="s">
        <v>100</v>
      </c>
      <c r="J287" s="481" t="s">
        <v>3082</v>
      </c>
      <c r="K287" s="481" t="s">
        <v>3055</v>
      </c>
    </row>
    <row r="288" spans="1:11" ht="33.75">
      <c r="A288" s="481" t="s">
        <v>219</v>
      </c>
      <c r="B288" s="481" t="s">
        <v>5527</v>
      </c>
      <c r="C288" s="479">
        <v>0.36249999999999999</v>
      </c>
      <c r="D288" s="481" t="s">
        <v>5527</v>
      </c>
      <c r="E288" s="520">
        <v>0.41666666666666669</v>
      </c>
      <c r="F288" s="481" t="s">
        <v>2967</v>
      </c>
      <c r="G288" s="481" t="s">
        <v>124</v>
      </c>
      <c r="H288" s="481" t="s">
        <v>3356</v>
      </c>
      <c r="I288" s="481" t="s">
        <v>100</v>
      </c>
      <c r="J288" s="481" t="s">
        <v>3081</v>
      </c>
      <c r="K288" s="481" t="s">
        <v>3055</v>
      </c>
    </row>
    <row r="289" spans="1:11" ht="225">
      <c r="A289" s="481" t="s">
        <v>219</v>
      </c>
      <c r="B289" s="481" t="s">
        <v>5528</v>
      </c>
      <c r="C289" s="479">
        <v>0.625</v>
      </c>
      <c r="D289" s="481" t="s">
        <v>5529</v>
      </c>
      <c r="E289" s="520">
        <v>0.66180555555555554</v>
      </c>
      <c r="F289" s="481" t="s">
        <v>2903</v>
      </c>
      <c r="G289" s="481" t="s">
        <v>63</v>
      </c>
      <c r="H289" s="481" t="s">
        <v>2753</v>
      </c>
      <c r="I289" s="481" t="s">
        <v>22</v>
      </c>
      <c r="J289" s="481" t="s">
        <v>45</v>
      </c>
      <c r="K289" s="481" t="s">
        <v>5530</v>
      </c>
    </row>
    <row r="290" spans="1:11" ht="33.75">
      <c r="A290" s="481" t="s">
        <v>219</v>
      </c>
      <c r="B290" s="481" t="s">
        <v>5528</v>
      </c>
      <c r="C290" s="479">
        <v>0.75</v>
      </c>
      <c r="D290" s="481" t="s">
        <v>5531</v>
      </c>
      <c r="E290" s="520">
        <v>0.63888888888888895</v>
      </c>
      <c r="F290" s="481" t="s">
        <v>2901</v>
      </c>
      <c r="G290" s="481" t="s">
        <v>63</v>
      </c>
      <c r="H290" s="481" t="s">
        <v>2753</v>
      </c>
      <c r="I290" s="481" t="s">
        <v>22</v>
      </c>
      <c r="J290" s="481" t="s">
        <v>5307</v>
      </c>
      <c r="K290" s="481" t="s">
        <v>5532</v>
      </c>
    </row>
    <row r="291" spans="1:11" ht="33.75">
      <c r="A291" s="481" t="s">
        <v>219</v>
      </c>
      <c r="B291" s="481" t="s">
        <v>5528</v>
      </c>
      <c r="C291" s="479">
        <v>0.625</v>
      </c>
      <c r="D291" s="481" t="s">
        <v>45</v>
      </c>
      <c r="E291" s="520" t="s">
        <v>45</v>
      </c>
      <c r="F291" s="481" t="s">
        <v>5533</v>
      </c>
      <c r="G291" s="481" t="s">
        <v>63</v>
      </c>
      <c r="H291" s="481" t="s">
        <v>2753</v>
      </c>
      <c r="I291" s="481" t="s">
        <v>22</v>
      </c>
      <c r="J291" s="481" t="s">
        <v>5534</v>
      </c>
      <c r="K291" s="481" t="s">
        <v>5535</v>
      </c>
    </row>
    <row r="292" spans="1:11" ht="33.75">
      <c r="A292" s="481" t="s">
        <v>219</v>
      </c>
      <c r="B292" s="481" t="s">
        <v>5536</v>
      </c>
      <c r="C292" s="479">
        <v>0.16666666666666666</v>
      </c>
      <c r="D292" s="481" t="s">
        <v>5529</v>
      </c>
      <c r="E292" s="520">
        <v>0</v>
      </c>
      <c r="F292" s="481" t="s">
        <v>5537</v>
      </c>
      <c r="G292" s="481" t="s">
        <v>63</v>
      </c>
      <c r="H292" s="481" t="s">
        <v>2753</v>
      </c>
      <c r="I292" s="481" t="s">
        <v>22</v>
      </c>
      <c r="J292" s="481" t="s">
        <v>3055</v>
      </c>
      <c r="K292" s="481" t="s">
        <v>3055</v>
      </c>
    </row>
    <row r="293" spans="1:11" ht="33.75">
      <c r="A293" s="481" t="s">
        <v>219</v>
      </c>
      <c r="B293" s="481" t="s">
        <v>5536</v>
      </c>
      <c r="C293" s="479">
        <v>0.14375000000000002</v>
      </c>
      <c r="D293" s="481" t="s">
        <v>45</v>
      </c>
      <c r="E293" s="520" t="s">
        <v>45</v>
      </c>
      <c r="F293" s="481" t="s">
        <v>4534</v>
      </c>
      <c r="G293" s="481" t="s">
        <v>63</v>
      </c>
      <c r="H293" s="481" t="s">
        <v>2753</v>
      </c>
      <c r="I293" s="481" t="s">
        <v>22</v>
      </c>
      <c r="J293" s="481" t="s">
        <v>3751</v>
      </c>
      <c r="K293" s="481" t="s">
        <v>5538</v>
      </c>
    </row>
    <row r="294" spans="1:11" ht="33.75">
      <c r="A294" s="481" t="s">
        <v>219</v>
      </c>
      <c r="B294" s="481" t="s">
        <v>5531</v>
      </c>
      <c r="C294" s="479">
        <v>0.77083333333333337</v>
      </c>
      <c r="D294" s="481" t="s">
        <v>5539</v>
      </c>
      <c r="E294" s="520">
        <v>0.77500000000000002</v>
      </c>
      <c r="F294" s="481" t="s">
        <v>2832</v>
      </c>
      <c r="G294" s="481" t="s">
        <v>63</v>
      </c>
      <c r="H294" s="481" t="s">
        <v>2753</v>
      </c>
      <c r="I294" s="481" t="s">
        <v>22</v>
      </c>
      <c r="J294" s="481" t="s">
        <v>45</v>
      </c>
      <c r="K294" s="481" t="s">
        <v>5540</v>
      </c>
    </row>
    <row r="295" spans="1:11" ht="33.75">
      <c r="A295" s="481" t="s">
        <v>219</v>
      </c>
      <c r="B295" s="481" t="s">
        <v>5531</v>
      </c>
      <c r="C295" s="479">
        <v>0.57361111111111118</v>
      </c>
      <c r="D295" s="481" t="s">
        <v>5531</v>
      </c>
      <c r="E295" s="520">
        <v>0.75624999999999998</v>
      </c>
      <c r="F295" s="481" t="s">
        <v>2896</v>
      </c>
      <c r="G295" s="481" t="s">
        <v>63</v>
      </c>
      <c r="H295" s="481" t="s">
        <v>2753</v>
      </c>
      <c r="I295" s="481" t="s">
        <v>22</v>
      </c>
      <c r="J295" s="481" t="s">
        <v>45</v>
      </c>
      <c r="K295" s="481" t="s">
        <v>5541</v>
      </c>
    </row>
    <row r="296" spans="1:11" ht="33.75">
      <c r="A296" s="481" t="s">
        <v>219</v>
      </c>
      <c r="B296" s="481" t="s">
        <v>5531</v>
      </c>
      <c r="C296" s="479">
        <v>0.11458333333333333</v>
      </c>
      <c r="D296" s="481" t="s">
        <v>5539</v>
      </c>
      <c r="E296" s="520">
        <v>0.67708333333333337</v>
      </c>
      <c r="F296" s="481" t="s">
        <v>2928</v>
      </c>
      <c r="G296" s="481" t="s">
        <v>63</v>
      </c>
      <c r="H296" s="481" t="s">
        <v>2753</v>
      </c>
      <c r="I296" s="481" t="s">
        <v>22</v>
      </c>
      <c r="J296" s="481" t="s">
        <v>45</v>
      </c>
      <c r="K296" s="481" t="s">
        <v>5542</v>
      </c>
    </row>
    <row r="297" spans="1:11" ht="33.75">
      <c r="A297" s="481" t="s">
        <v>219</v>
      </c>
      <c r="B297" s="481" t="s">
        <v>5531</v>
      </c>
      <c r="C297" s="479">
        <v>0.45833333333333331</v>
      </c>
      <c r="D297" s="481" t="s">
        <v>5531</v>
      </c>
      <c r="E297" s="520">
        <v>0.5</v>
      </c>
      <c r="F297" s="481" t="s">
        <v>2967</v>
      </c>
      <c r="G297" s="481" t="s">
        <v>124</v>
      </c>
      <c r="H297" s="481" t="s">
        <v>3356</v>
      </c>
      <c r="I297" s="481" t="s">
        <v>100</v>
      </c>
      <c r="J297" s="481" t="s">
        <v>3082</v>
      </c>
      <c r="K297" s="481" t="s">
        <v>3055</v>
      </c>
    </row>
    <row r="298" spans="1:11" ht="33.75">
      <c r="A298" s="481" t="s">
        <v>35</v>
      </c>
      <c r="B298" s="481" t="s">
        <v>5529</v>
      </c>
      <c r="C298" s="479">
        <v>0.25</v>
      </c>
      <c r="D298" s="481" t="s">
        <v>5543</v>
      </c>
      <c r="E298" s="520">
        <v>0.29166666666666669</v>
      </c>
      <c r="F298" s="481" t="s">
        <v>5544</v>
      </c>
      <c r="G298" s="481" t="s">
        <v>63</v>
      </c>
      <c r="H298" s="481" t="s">
        <v>3356</v>
      </c>
      <c r="I298" s="481" t="s">
        <v>5545</v>
      </c>
      <c r="J298" s="481" t="s">
        <v>3055</v>
      </c>
      <c r="K298" s="481" t="s">
        <v>3055</v>
      </c>
    </row>
    <row r="299" spans="1:11" ht="33.75">
      <c r="A299" s="481" t="s">
        <v>35</v>
      </c>
      <c r="B299" s="481" t="s">
        <v>5529</v>
      </c>
      <c r="C299" s="479">
        <v>0.57291666666666663</v>
      </c>
      <c r="D299" s="481" t="s">
        <v>5529</v>
      </c>
      <c r="E299" s="520">
        <v>0.60416666666666663</v>
      </c>
      <c r="F299" s="481" t="s">
        <v>2967</v>
      </c>
      <c r="G299" s="481" t="s">
        <v>124</v>
      </c>
      <c r="H299" s="481" t="s">
        <v>3356</v>
      </c>
      <c r="I299" s="481" t="s">
        <v>100</v>
      </c>
      <c r="J299" s="481" t="s">
        <v>3081</v>
      </c>
      <c r="K299" s="481" t="s">
        <v>3055</v>
      </c>
    </row>
    <row r="300" spans="1:11" ht="90">
      <c r="A300" s="481" t="s">
        <v>35</v>
      </c>
      <c r="B300" s="481" t="s">
        <v>5546</v>
      </c>
      <c r="C300" s="479">
        <v>0.68263888888888891</v>
      </c>
      <c r="D300" s="481" t="s">
        <v>5546</v>
      </c>
      <c r="E300" s="520">
        <v>0.70138888888888884</v>
      </c>
      <c r="F300" s="481" t="s">
        <v>5547</v>
      </c>
      <c r="G300" s="481" t="s">
        <v>61</v>
      </c>
      <c r="H300" s="481" t="s">
        <v>3874</v>
      </c>
      <c r="I300" s="481" t="s">
        <v>5545</v>
      </c>
      <c r="J300" s="481" t="s">
        <v>3093</v>
      </c>
      <c r="K300" s="481" t="s">
        <v>3055</v>
      </c>
    </row>
    <row r="301" spans="1:11" ht="33.75">
      <c r="A301" s="481" t="s">
        <v>35</v>
      </c>
      <c r="B301" s="481" t="s">
        <v>5548</v>
      </c>
      <c r="C301" s="479">
        <v>0.65972222222222221</v>
      </c>
      <c r="D301" s="481" t="s">
        <v>5548</v>
      </c>
      <c r="E301" s="520">
        <v>0.67013888888888884</v>
      </c>
      <c r="F301" s="481" t="s">
        <v>5549</v>
      </c>
      <c r="G301" s="481" t="s">
        <v>5015</v>
      </c>
      <c r="H301" s="481" t="s">
        <v>3356</v>
      </c>
      <c r="I301" s="481" t="s">
        <v>100</v>
      </c>
      <c r="J301" s="481" t="s">
        <v>45</v>
      </c>
      <c r="K301" s="481" t="s">
        <v>3055</v>
      </c>
    </row>
    <row r="302" spans="1:11" ht="33.75">
      <c r="A302" s="481" t="s">
        <v>35</v>
      </c>
      <c r="B302" s="481" t="s">
        <v>5550</v>
      </c>
      <c r="C302" s="479">
        <v>0.41666666666666669</v>
      </c>
      <c r="D302" s="481" t="s">
        <v>5550</v>
      </c>
      <c r="E302" s="520">
        <v>0.45833333333333331</v>
      </c>
      <c r="F302" s="481" t="s">
        <v>2967</v>
      </c>
      <c r="G302" s="481" t="s">
        <v>124</v>
      </c>
      <c r="H302" s="481" t="s">
        <v>3356</v>
      </c>
      <c r="I302" s="481" t="s">
        <v>100</v>
      </c>
      <c r="J302" s="481" t="s">
        <v>3081</v>
      </c>
      <c r="K302" s="481" t="s">
        <v>3055</v>
      </c>
    </row>
    <row r="303" spans="1:11" ht="45">
      <c r="A303" s="481" t="s">
        <v>35</v>
      </c>
      <c r="B303" s="481" t="s">
        <v>5551</v>
      </c>
      <c r="C303" s="479">
        <v>0.55208333333333337</v>
      </c>
      <c r="D303" s="481" t="s">
        <v>5551</v>
      </c>
      <c r="E303" s="520">
        <v>0.73958333333333337</v>
      </c>
      <c r="F303" s="481" t="s">
        <v>5552</v>
      </c>
      <c r="G303" s="481" t="s">
        <v>61</v>
      </c>
      <c r="H303" s="481" t="s">
        <v>2753</v>
      </c>
      <c r="I303" s="481" t="s">
        <v>5553</v>
      </c>
      <c r="J303" s="481" t="s">
        <v>45</v>
      </c>
      <c r="K303" s="481" t="s">
        <v>5554</v>
      </c>
    </row>
    <row r="304" spans="1:11">
      <c r="A304" s="481" t="s">
        <v>35</v>
      </c>
      <c r="B304" s="481" t="s">
        <v>5551</v>
      </c>
      <c r="C304" s="479">
        <v>0.5625</v>
      </c>
      <c r="D304" s="481" t="s">
        <v>2768</v>
      </c>
      <c r="E304" s="520" t="s">
        <v>45</v>
      </c>
      <c r="F304" s="481" t="s">
        <v>5555</v>
      </c>
      <c r="G304" s="481" t="s">
        <v>5556</v>
      </c>
      <c r="H304" s="481" t="s">
        <v>5557</v>
      </c>
      <c r="I304" s="481" t="s">
        <v>2952</v>
      </c>
      <c r="J304" s="481" t="s">
        <v>3055</v>
      </c>
      <c r="K304" s="481" t="s">
        <v>3055</v>
      </c>
    </row>
    <row r="305" spans="1:11" ht="45">
      <c r="A305" s="481" t="s">
        <v>35</v>
      </c>
      <c r="B305" s="481" t="s">
        <v>5558</v>
      </c>
      <c r="C305" s="479">
        <v>0.41111111111111115</v>
      </c>
      <c r="D305" s="481" t="s">
        <v>5558</v>
      </c>
      <c r="E305" s="520">
        <v>0.43263888888888885</v>
      </c>
      <c r="F305" s="481" t="s">
        <v>3424</v>
      </c>
      <c r="G305" s="481" t="s">
        <v>124</v>
      </c>
      <c r="H305" s="481" t="s">
        <v>3447</v>
      </c>
      <c r="I305" s="481" t="s">
        <v>2764</v>
      </c>
      <c r="J305" s="481" t="s">
        <v>3055</v>
      </c>
      <c r="K305" s="481" t="s">
        <v>3055</v>
      </c>
    </row>
    <row r="306" spans="1:11" ht="67.5">
      <c r="A306" s="481" t="s">
        <v>35</v>
      </c>
      <c r="B306" s="481" t="s">
        <v>5558</v>
      </c>
      <c r="C306" s="479">
        <v>0.83611111111111114</v>
      </c>
      <c r="D306" s="481" t="s">
        <v>5559</v>
      </c>
      <c r="E306" s="520">
        <v>0.66875000000000007</v>
      </c>
      <c r="F306" s="481" t="s">
        <v>4790</v>
      </c>
      <c r="G306" s="481" t="s">
        <v>63</v>
      </c>
      <c r="H306" s="481" t="s">
        <v>3411</v>
      </c>
      <c r="I306" s="481" t="s">
        <v>2764</v>
      </c>
      <c r="J306" s="481" t="s">
        <v>5560</v>
      </c>
      <c r="K306" s="481" t="s">
        <v>5561</v>
      </c>
    </row>
    <row r="307" spans="1:11" ht="33.75">
      <c r="A307" s="481" t="s">
        <v>35</v>
      </c>
      <c r="B307" s="481" t="s">
        <v>5559</v>
      </c>
      <c r="C307" s="479">
        <v>0.6333333333333333</v>
      </c>
      <c r="D307" s="481" t="s">
        <v>2768</v>
      </c>
      <c r="E307" s="520" t="s">
        <v>45</v>
      </c>
      <c r="F307" s="481" t="s">
        <v>5549</v>
      </c>
      <c r="G307" s="481" t="s">
        <v>5015</v>
      </c>
      <c r="H307" s="481" t="s">
        <v>3356</v>
      </c>
      <c r="I307" s="481" t="s">
        <v>100</v>
      </c>
      <c r="J307" s="481" t="s">
        <v>45</v>
      </c>
      <c r="K307" s="481" t="s">
        <v>45</v>
      </c>
    </row>
    <row r="308" spans="1:11" ht="78.75">
      <c r="A308" s="481" t="s">
        <v>35</v>
      </c>
      <c r="B308" s="481" t="s">
        <v>5562</v>
      </c>
      <c r="C308" s="479">
        <v>0.46875</v>
      </c>
      <c r="D308" s="481" t="s">
        <v>5562</v>
      </c>
      <c r="E308" s="520">
        <v>0.47083333333333338</v>
      </c>
      <c r="F308" s="481" t="s">
        <v>5563</v>
      </c>
      <c r="G308" s="481" t="s">
        <v>124</v>
      </c>
      <c r="H308" s="481" t="s">
        <v>3402</v>
      </c>
      <c r="I308" s="481" t="s">
        <v>5545</v>
      </c>
      <c r="J308" s="481" t="s">
        <v>3055</v>
      </c>
      <c r="K308" s="481" t="s">
        <v>3055</v>
      </c>
    </row>
    <row r="309" spans="1:11" ht="22.5">
      <c r="A309" s="481" t="s">
        <v>35</v>
      </c>
      <c r="B309" s="481" t="s">
        <v>5564</v>
      </c>
      <c r="C309" s="479">
        <v>0</v>
      </c>
      <c r="D309" s="481" t="s">
        <v>5565</v>
      </c>
      <c r="E309" s="520">
        <v>0</v>
      </c>
      <c r="F309" s="481" t="s">
        <v>5566</v>
      </c>
      <c r="G309" s="481" t="s">
        <v>61</v>
      </c>
      <c r="H309" s="481" t="s">
        <v>5557</v>
      </c>
      <c r="I309" s="481" t="s">
        <v>2952</v>
      </c>
      <c r="J309" s="481" t="s">
        <v>3055</v>
      </c>
      <c r="K309" s="481" t="s">
        <v>3055</v>
      </c>
    </row>
    <row r="310" spans="1:11" ht="67.5">
      <c r="A310" s="481" t="s">
        <v>35</v>
      </c>
      <c r="B310" s="481" t="s">
        <v>5564</v>
      </c>
      <c r="C310" s="479">
        <v>0.68680555555555556</v>
      </c>
      <c r="D310" s="481" t="s">
        <v>5564</v>
      </c>
      <c r="E310" s="520">
        <v>0.75347222222222221</v>
      </c>
      <c r="F310" s="481" t="s">
        <v>5567</v>
      </c>
      <c r="G310" s="481" t="s">
        <v>5179</v>
      </c>
      <c r="H310" s="481" t="s">
        <v>3411</v>
      </c>
      <c r="I310" s="481" t="s">
        <v>2764</v>
      </c>
      <c r="J310" s="481" t="s">
        <v>5568</v>
      </c>
      <c r="K310" s="481" t="s">
        <v>5569</v>
      </c>
    </row>
    <row r="311" spans="1:11" ht="33.75">
      <c r="A311" s="481" t="s">
        <v>35</v>
      </c>
      <c r="B311" s="481" t="s">
        <v>5570</v>
      </c>
      <c r="C311" s="479">
        <v>7.2916666666666671E-2</v>
      </c>
      <c r="D311" s="481" t="s">
        <v>5570</v>
      </c>
      <c r="E311" s="520">
        <v>0.57638888888888895</v>
      </c>
      <c r="F311" s="481" t="s">
        <v>2809</v>
      </c>
      <c r="G311" s="481" t="s">
        <v>1352</v>
      </c>
      <c r="H311" s="481" t="s">
        <v>2753</v>
      </c>
      <c r="I311" s="481" t="s">
        <v>2764</v>
      </c>
      <c r="J311" s="481" t="s">
        <v>45</v>
      </c>
      <c r="K311" s="481" t="s">
        <v>5571</v>
      </c>
    </row>
    <row r="312" spans="1:11" ht="45">
      <c r="A312" s="481" t="s">
        <v>35</v>
      </c>
      <c r="B312" s="481" t="s">
        <v>5572</v>
      </c>
      <c r="C312" s="479">
        <v>0.81388888888888899</v>
      </c>
      <c r="D312" s="481" t="s">
        <v>5572</v>
      </c>
      <c r="E312" s="520">
        <v>0.85972222222222217</v>
      </c>
      <c r="F312" s="481" t="s">
        <v>2919</v>
      </c>
      <c r="G312" s="481" t="s">
        <v>1352</v>
      </c>
      <c r="H312" s="481" t="s">
        <v>3387</v>
      </c>
      <c r="I312" s="481" t="s">
        <v>2764</v>
      </c>
      <c r="J312" s="481" t="s">
        <v>3055</v>
      </c>
      <c r="K312" s="481" t="s">
        <v>3055</v>
      </c>
    </row>
    <row r="313" spans="1:11" ht="33.75">
      <c r="A313" s="481" t="s">
        <v>35</v>
      </c>
      <c r="B313" s="481" t="s">
        <v>5573</v>
      </c>
      <c r="C313" s="479">
        <v>6.9444444444444447E-4</v>
      </c>
      <c r="D313" s="481" t="s">
        <v>5573</v>
      </c>
      <c r="E313" s="520">
        <v>0.54166666666666663</v>
      </c>
      <c r="F313" s="481" t="s">
        <v>3405</v>
      </c>
      <c r="G313" s="481" t="s">
        <v>63</v>
      </c>
      <c r="H313" s="481" t="s">
        <v>3356</v>
      </c>
      <c r="I313" s="481" t="s">
        <v>100</v>
      </c>
      <c r="J313" s="481" t="s">
        <v>45</v>
      </c>
      <c r="K313" s="481" t="s">
        <v>3055</v>
      </c>
    </row>
    <row r="314" spans="1:11" ht="33.75">
      <c r="A314" s="481" t="s">
        <v>35</v>
      </c>
      <c r="B314" s="481" t="s">
        <v>5565</v>
      </c>
      <c r="C314" s="479">
        <v>0.59444444444444444</v>
      </c>
      <c r="D314" s="481" t="s">
        <v>5565</v>
      </c>
      <c r="E314" s="520">
        <v>0.625</v>
      </c>
      <c r="F314" s="481" t="s">
        <v>2967</v>
      </c>
      <c r="G314" s="481" t="s">
        <v>124</v>
      </c>
      <c r="H314" s="481" t="s">
        <v>3356</v>
      </c>
      <c r="I314" s="481" t="s">
        <v>100</v>
      </c>
      <c r="J314" s="481" t="s">
        <v>3082</v>
      </c>
      <c r="K314" s="481" t="s">
        <v>3055</v>
      </c>
    </row>
    <row r="315" spans="1:11" ht="33.75">
      <c r="A315" s="481" t="s">
        <v>35</v>
      </c>
      <c r="B315" s="481" t="s">
        <v>5574</v>
      </c>
      <c r="C315" s="479">
        <v>0.8847222222222223</v>
      </c>
      <c r="D315" s="481" t="s">
        <v>5574</v>
      </c>
      <c r="E315" s="520">
        <v>0.92638888888888893</v>
      </c>
      <c r="F315" s="481" t="s">
        <v>2866</v>
      </c>
      <c r="G315" s="481" t="s">
        <v>63</v>
      </c>
      <c r="H315" s="481" t="s">
        <v>3356</v>
      </c>
      <c r="I315" s="481" t="s">
        <v>5545</v>
      </c>
      <c r="J315" s="481" t="s">
        <v>45</v>
      </c>
      <c r="K315" s="481" t="s">
        <v>3055</v>
      </c>
    </row>
    <row r="316" spans="1:11" ht="78.75">
      <c r="A316" s="481" t="s">
        <v>38</v>
      </c>
      <c r="B316" s="481" t="s">
        <v>5575</v>
      </c>
      <c r="C316" s="479">
        <v>0.63263888888888886</v>
      </c>
      <c r="D316" s="481" t="s">
        <v>5575</v>
      </c>
      <c r="E316" s="520">
        <v>0.64236111111111105</v>
      </c>
      <c r="F316" s="481" t="s">
        <v>4185</v>
      </c>
      <c r="G316" s="481" t="s">
        <v>1352</v>
      </c>
      <c r="H316" s="481" t="s">
        <v>3402</v>
      </c>
      <c r="I316" s="481" t="s">
        <v>2118</v>
      </c>
      <c r="J316" s="481" t="s">
        <v>3055</v>
      </c>
      <c r="K316" s="481" t="s">
        <v>3055</v>
      </c>
    </row>
    <row r="317" spans="1:11" ht="67.5">
      <c r="A317" s="481" t="s">
        <v>38</v>
      </c>
      <c r="B317" s="481" t="s">
        <v>5576</v>
      </c>
      <c r="C317" s="479">
        <v>0.50486111111111109</v>
      </c>
      <c r="D317" s="481" t="s">
        <v>5576</v>
      </c>
      <c r="E317" s="520">
        <v>0.6</v>
      </c>
      <c r="F317" s="481" t="s">
        <v>5577</v>
      </c>
      <c r="G317" s="481" t="s">
        <v>124</v>
      </c>
      <c r="H317" s="481" t="s">
        <v>3411</v>
      </c>
      <c r="I317" s="481" t="s">
        <v>2483</v>
      </c>
      <c r="J317" s="481" t="s">
        <v>3055</v>
      </c>
      <c r="K317" s="481" t="s">
        <v>3055</v>
      </c>
    </row>
    <row r="318" spans="1:11" ht="67.5">
      <c r="A318" s="481" t="s">
        <v>38</v>
      </c>
      <c r="B318" s="481" t="s">
        <v>5578</v>
      </c>
      <c r="C318" s="479">
        <v>0.83680555555555547</v>
      </c>
      <c r="D318" s="481" t="s">
        <v>5579</v>
      </c>
      <c r="E318" s="520">
        <v>0.375</v>
      </c>
      <c r="F318" s="481" t="s">
        <v>5580</v>
      </c>
      <c r="G318" s="481" t="s">
        <v>124</v>
      </c>
      <c r="H318" s="481" t="s">
        <v>2753</v>
      </c>
      <c r="I318" s="481" t="s">
        <v>22</v>
      </c>
      <c r="J318" s="481" t="s">
        <v>45</v>
      </c>
      <c r="K318" s="481" t="s">
        <v>5581</v>
      </c>
    </row>
    <row r="319" spans="1:11" ht="202.5">
      <c r="A319" s="481" t="s">
        <v>38</v>
      </c>
      <c r="B319" s="481" t="s">
        <v>5582</v>
      </c>
      <c r="C319" s="479">
        <v>0.54166666666666663</v>
      </c>
      <c r="D319" s="481" t="s">
        <v>5583</v>
      </c>
      <c r="E319" s="520">
        <v>0.29166666666666669</v>
      </c>
      <c r="F319" s="481" t="s">
        <v>5584</v>
      </c>
      <c r="G319" s="481" t="s">
        <v>3143</v>
      </c>
      <c r="H319" s="481" t="s">
        <v>2753</v>
      </c>
      <c r="I319" s="481" t="s">
        <v>22</v>
      </c>
      <c r="J319" s="481" t="s">
        <v>45</v>
      </c>
      <c r="K319" s="481" t="s">
        <v>5585</v>
      </c>
    </row>
    <row r="320" spans="1:11" ht="78.75">
      <c r="A320" s="481" t="s">
        <v>38</v>
      </c>
      <c r="B320" s="481" t="s">
        <v>5582</v>
      </c>
      <c r="C320" s="479">
        <v>0.83124999999999993</v>
      </c>
      <c r="D320" s="481" t="s">
        <v>45</v>
      </c>
      <c r="E320" s="520" t="s">
        <v>45</v>
      </c>
      <c r="F320" s="481" t="s">
        <v>5586</v>
      </c>
      <c r="G320" s="481" t="s">
        <v>3143</v>
      </c>
      <c r="H320" s="481" t="s">
        <v>2753</v>
      </c>
      <c r="I320" s="481" t="s">
        <v>22</v>
      </c>
      <c r="J320" s="481" t="s">
        <v>45</v>
      </c>
      <c r="K320" s="481" t="s">
        <v>4894</v>
      </c>
    </row>
    <row r="321" spans="1:11" ht="33.75">
      <c r="A321" s="481" t="s">
        <v>38</v>
      </c>
      <c r="B321" s="481" t="s">
        <v>5582</v>
      </c>
      <c r="C321" s="479">
        <v>0.79166666666666663</v>
      </c>
      <c r="D321" s="481" t="s">
        <v>45</v>
      </c>
      <c r="E321" s="520" t="s">
        <v>45</v>
      </c>
      <c r="F321" s="481" t="s">
        <v>3554</v>
      </c>
      <c r="G321" s="481" t="s">
        <v>4935</v>
      </c>
      <c r="H321" s="481" t="s">
        <v>2753</v>
      </c>
      <c r="I321" s="481" t="s">
        <v>22</v>
      </c>
      <c r="J321" s="481" t="s">
        <v>45</v>
      </c>
      <c r="K321" s="481" t="s">
        <v>3240</v>
      </c>
    </row>
    <row r="322" spans="1:11" ht="67.5">
      <c r="A322" s="481" t="s">
        <v>38</v>
      </c>
      <c r="B322" s="481" t="s">
        <v>5583</v>
      </c>
      <c r="C322" s="479">
        <v>0.65833333333333333</v>
      </c>
      <c r="D322" s="481" t="s">
        <v>5583</v>
      </c>
      <c r="E322" s="520">
        <v>0.68125000000000002</v>
      </c>
      <c r="F322" s="481" t="s">
        <v>5587</v>
      </c>
      <c r="G322" s="481" t="s">
        <v>1352</v>
      </c>
      <c r="H322" s="481" t="s">
        <v>3411</v>
      </c>
      <c r="I322" s="481" t="s">
        <v>2483</v>
      </c>
      <c r="J322" s="481" t="s">
        <v>3055</v>
      </c>
      <c r="K322" s="481" t="s">
        <v>3055</v>
      </c>
    </row>
    <row r="323" spans="1:11" ht="45">
      <c r="A323" s="481" t="s">
        <v>38</v>
      </c>
      <c r="B323" s="481" t="s">
        <v>5588</v>
      </c>
      <c r="C323" s="479">
        <v>0.46319444444444446</v>
      </c>
      <c r="D323" s="481" t="s">
        <v>5588</v>
      </c>
      <c r="E323" s="520">
        <v>0.5</v>
      </c>
      <c r="F323" s="481" t="s">
        <v>4740</v>
      </c>
      <c r="G323" s="481" t="s">
        <v>63</v>
      </c>
      <c r="H323" s="481" t="s">
        <v>3447</v>
      </c>
      <c r="I323" s="481" t="s">
        <v>2905</v>
      </c>
      <c r="J323" s="481" t="s">
        <v>3055</v>
      </c>
      <c r="K323" s="481" t="s">
        <v>3055</v>
      </c>
    </row>
    <row r="324" spans="1:11" ht="225">
      <c r="A324" s="481" t="s">
        <v>38</v>
      </c>
      <c r="B324" s="481" t="s">
        <v>5588</v>
      </c>
      <c r="C324" s="479">
        <v>0.25</v>
      </c>
      <c r="D324" s="481" t="s">
        <v>5589</v>
      </c>
      <c r="E324" s="520">
        <v>0.3659722222222222</v>
      </c>
      <c r="F324" s="481" t="s">
        <v>2903</v>
      </c>
      <c r="G324" s="481" t="s">
        <v>63</v>
      </c>
      <c r="H324" s="481" t="s">
        <v>2753</v>
      </c>
      <c r="I324" s="481" t="s">
        <v>22</v>
      </c>
      <c r="J324" s="481" t="s">
        <v>45</v>
      </c>
      <c r="K324" s="481" t="s">
        <v>3058</v>
      </c>
    </row>
    <row r="325" spans="1:11" ht="33.75">
      <c r="A325" s="481" t="s">
        <v>38</v>
      </c>
      <c r="B325" s="481" t="s">
        <v>5589</v>
      </c>
      <c r="C325" s="479">
        <v>4.1666666666666664E-2</v>
      </c>
      <c r="D325" s="481" t="s">
        <v>5589</v>
      </c>
      <c r="E325" s="520">
        <v>0.20833333333333334</v>
      </c>
      <c r="F325" s="481" t="s">
        <v>2849</v>
      </c>
      <c r="G325" s="481" t="s">
        <v>124</v>
      </c>
      <c r="H325" s="481" t="s">
        <v>3356</v>
      </c>
      <c r="I325" s="481" t="s">
        <v>100</v>
      </c>
      <c r="J325" s="481" t="s">
        <v>45</v>
      </c>
      <c r="K325" s="481" t="s">
        <v>45</v>
      </c>
    </row>
    <row r="326" spans="1:11" ht="33.75">
      <c r="A326" s="481" t="s">
        <v>38</v>
      </c>
      <c r="B326" s="481" t="s">
        <v>5589</v>
      </c>
      <c r="C326" s="479">
        <v>7.013888888888889E-2</v>
      </c>
      <c r="D326" s="481" t="s">
        <v>5590</v>
      </c>
      <c r="E326" s="520">
        <v>0.58333333333333337</v>
      </c>
      <c r="F326" s="481" t="s">
        <v>5591</v>
      </c>
      <c r="G326" s="481" t="s">
        <v>3143</v>
      </c>
      <c r="H326" s="481" t="s">
        <v>3356</v>
      </c>
      <c r="I326" s="481" t="s">
        <v>5075</v>
      </c>
      <c r="J326" s="481" t="s">
        <v>3754</v>
      </c>
      <c r="K326" s="481" t="s">
        <v>5592</v>
      </c>
    </row>
    <row r="327" spans="1:11" ht="45">
      <c r="A327" s="481" t="s">
        <v>38</v>
      </c>
      <c r="B327" s="481" t="s">
        <v>5593</v>
      </c>
      <c r="C327" s="479">
        <v>0.4284722222222222</v>
      </c>
      <c r="D327" s="481" t="s">
        <v>5593</v>
      </c>
      <c r="E327" s="520">
        <v>0.46249999999999997</v>
      </c>
      <c r="F327" s="481" t="s">
        <v>3758</v>
      </c>
      <c r="G327" s="481" t="s">
        <v>61</v>
      </c>
      <c r="H327" s="481" t="s">
        <v>3387</v>
      </c>
      <c r="I327" s="481" t="s">
        <v>2764</v>
      </c>
      <c r="J327" s="481" t="s">
        <v>3055</v>
      </c>
      <c r="K327" s="481" t="s">
        <v>3055</v>
      </c>
    </row>
    <row r="328" spans="1:11" ht="33.75">
      <c r="A328" s="481" t="s">
        <v>38</v>
      </c>
      <c r="B328" s="481" t="s">
        <v>5593</v>
      </c>
      <c r="C328" s="479">
        <v>4.1666666666666664E-2</v>
      </c>
      <c r="D328" s="481" t="s">
        <v>5593</v>
      </c>
      <c r="E328" s="520">
        <v>0.25</v>
      </c>
      <c r="F328" s="481" t="s">
        <v>5594</v>
      </c>
      <c r="G328" s="481" t="s">
        <v>124</v>
      </c>
      <c r="H328" s="481" t="s">
        <v>3356</v>
      </c>
      <c r="I328" s="481" t="s">
        <v>100</v>
      </c>
      <c r="J328" s="481" t="s">
        <v>3055</v>
      </c>
      <c r="K328" s="481" t="s">
        <v>3055</v>
      </c>
    </row>
    <row r="329" spans="1:11" ht="33.75">
      <c r="A329" s="481" t="s">
        <v>38</v>
      </c>
      <c r="B329" s="481" t="s">
        <v>5595</v>
      </c>
      <c r="C329" s="479">
        <v>0.1875</v>
      </c>
      <c r="D329" s="481" t="s">
        <v>5595</v>
      </c>
      <c r="E329" s="520">
        <v>0.2076388888888889</v>
      </c>
      <c r="F329" s="481" t="s">
        <v>5596</v>
      </c>
      <c r="G329" s="481" t="s">
        <v>124</v>
      </c>
      <c r="H329" s="481" t="s">
        <v>3356</v>
      </c>
      <c r="I329" s="481" t="s">
        <v>5075</v>
      </c>
      <c r="J329" s="481" t="s">
        <v>3175</v>
      </c>
      <c r="K329" s="481" t="s">
        <v>5597</v>
      </c>
    </row>
    <row r="330" spans="1:11" ht="45">
      <c r="A330" s="481" t="s">
        <v>38</v>
      </c>
      <c r="B330" s="481" t="s">
        <v>5598</v>
      </c>
      <c r="C330" s="479">
        <v>0.41736111111111113</v>
      </c>
      <c r="D330" s="481" t="s">
        <v>5598</v>
      </c>
      <c r="E330" s="520">
        <v>0.4465277777777778</v>
      </c>
      <c r="F330" s="481" t="s">
        <v>5599</v>
      </c>
      <c r="G330" s="481" t="s">
        <v>61</v>
      </c>
      <c r="H330" s="481" t="s">
        <v>3387</v>
      </c>
      <c r="I330" s="481" t="s">
        <v>2764</v>
      </c>
      <c r="J330" s="481" t="s">
        <v>3055</v>
      </c>
      <c r="K330" s="481" t="s">
        <v>3055</v>
      </c>
    </row>
    <row r="331" spans="1:11" ht="78.75">
      <c r="A331" s="481" t="s">
        <v>38</v>
      </c>
      <c r="B331" s="481" t="s">
        <v>5600</v>
      </c>
      <c r="C331" s="479">
        <v>0.29375000000000001</v>
      </c>
      <c r="D331" s="481" t="s">
        <v>5600</v>
      </c>
      <c r="E331" s="520">
        <v>0.37291666666666662</v>
      </c>
      <c r="F331" s="481" t="s">
        <v>4185</v>
      </c>
      <c r="G331" s="481" t="s">
        <v>1352</v>
      </c>
      <c r="H331" s="481" t="s">
        <v>3402</v>
      </c>
      <c r="I331" s="481" t="s">
        <v>2118</v>
      </c>
      <c r="J331" s="481" t="s">
        <v>3055</v>
      </c>
      <c r="K331" s="481" t="s">
        <v>3055</v>
      </c>
    </row>
    <row r="332" spans="1:11" ht="67.5">
      <c r="A332" s="481" t="s">
        <v>38</v>
      </c>
      <c r="B332" s="481" t="s">
        <v>5600</v>
      </c>
      <c r="C332" s="479">
        <v>0.42708333333333331</v>
      </c>
      <c r="D332" s="481" t="s">
        <v>5600</v>
      </c>
      <c r="E332" s="520">
        <v>0.58958333333333335</v>
      </c>
      <c r="F332" s="481" t="s">
        <v>3903</v>
      </c>
      <c r="G332" s="481" t="s">
        <v>124</v>
      </c>
      <c r="H332" s="481" t="s">
        <v>2910</v>
      </c>
      <c r="I332" s="481" t="s">
        <v>5075</v>
      </c>
      <c r="J332" s="481" t="s">
        <v>3055</v>
      </c>
      <c r="K332" s="481" t="s">
        <v>3055</v>
      </c>
    </row>
    <row r="333" spans="1:11" ht="45">
      <c r="A333" s="481" t="s">
        <v>38</v>
      </c>
      <c r="B333" s="481" t="s">
        <v>5600</v>
      </c>
      <c r="C333" s="479">
        <v>0.53194444444444444</v>
      </c>
      <c r="D333" s="481" t="s">
        <v>5600</v>
      </c>
      <c r="E333" s="520">
        <v>0.55486111111111114</v>
      </c>
      <c r="F333" s="481" t="s">
        <v>3307</v>
      </c>
      <c r="G333" s="481" t="s">
        <v>3143</v>
      </c>
      <c r="H333" s="481" t="s">
        <v>3387</v>
      </c>
      <c r="I333" s="481" t="s">
        <v>2764</v>
      </c>
      <c r="J333" s="481" t="s">
        <v>3055</v>
      </c>
      <c r="K333" s="481" t="s">
        <v>3055</v>
      </c>
    </row>
    <row r="334" spans="1:11" ht="33.75">
      <c r="A334" s="481" t="s">
        <v>38</v>
      </c>
      <c r="B334" s="481" t="s">
        <v>5600</v>
      </c>
      <c r="C334" s="479">
        <v>0.39583333333333331</v>
      </c>
      <c r="D334" s="481" t="s">
        <v>45</v>
      </c>
      <c r="E334" s="520" t="s">
        <v>45</v>
      </c>
      <c r="F334" s="481" t="s">
        <v>5601</v>
      </c>
      <c r="G334" s="481" t="s">
        <v>3143</v>
      </c>
      <c r="H334" s="481" t="s">
        <v>2944</v>
      </c>
      <c r="I334" s="481" t="s">
        <v>2952</v>
      </c>
      <c r="J334" s="481" t="s">
        <v>45</v>
      </c>
      <c r="K334" s="481" t="s">
        <v>45</v>
      </c>
    </row>
    <row r="335" spans="1:11" ht="33.75">
      <c r="A335" s="481" t="s">
        <v>38</v>
      </c>
      <c r="B335" s="481" t="s">
        <v>5602</v>
      </c>
      <c r="C335" s="479">
        <v>6.9444444444444434E-2</v>
      </c>
      <c r="D335" s="481" t="s">
        <v>5602</v>
      </c>
      <c r="E335" s="520">
        <v>7.2916666666666671E-2</v>
      </c>
      <c r="F335" s="481" t="s">
        <v>4119</v>
      </c>
      <c r="G335" s="481" t="s">
        <v>124</v>
      </c>
      <c r="H335" s="481" t="s">
        <v>3356</v>
      </c>
      <c r="I335" s="481" t="s">
        <v>100</v>
      </c>
      <c r="J335" s="481" t="s">
        <v>3055</v>
      </c>
      <c r="K335" s="481" t="s">
        <v>3055</v>
      </c>
    </row>
    <row r="336" spans="1:11" ht="33.75">
      <c r="A336" s="481" t="s">
        <v>38</v>
      </c>
      <c r="B336" s="481" t="s">
        <v>5603</v>
      </c>
      <c r="C336" s="479">
        <v>0.20833333333333334</v>
      </c>
      <c r="D336" s="481" t="s">
        <v>5603</v>
      </c>
      <c r="E336" s="520">
        <v>0.33333333333333331</v>
      </c>
      <c r="F336" s="481" t="s">
        <v>2951</v>
      </c>
      <c r="G336" s="481" t="s">
        <v>124</v>
      </c>
      <c r="H336" s="481" t="s">
        <v>3356</v>
      </c>
      <c r="I336" s="481" t="s">
        <v>5075</v>
      </c>
      <c r="J336" s="481" t="s">
        <v>3055</v>
      </c>
      <c r="K336" s="481" t="s">
        <v>3055</v>
      </c>
    </row>
    <row r="337" spans="1:11" ht="33.75">
      <c r="A337" s="481" t="s">
        <v>38</v>
      </c>
      <c r="B337" s="481" t="s">
        <v>5604</v>
      </c>
      <c r="C337" s="479">
        <v>0.72777777777777775</v>
      </c>
      <c r="D337" s="481" t="s">
        <v>5604</v>
      </c>
      <c r="E337" s="520">
        <v>0.99861111111111101</v>
      </c>
      <c r="F337" s="481" t="s">
        <v>5605</v>
      </c>
      <c r="G337" s="481" t="s">
        <v>3143</v>
      </c>
      <c r="H337" s="481" t="s">
        <v>2753</v>
      </c>
      <c r="I337" s="481" t="s">
        <v>2483</v>
      </c>
      <c r="J337" s="481" t="s">
        <v>3637</v>
      </c>
      <c r="K337" s="481" t="s">
        <v>5606</v>
      </c>
    </row>
    <row r="338" spans="1:11" ht="67.5">
      <c r="A338" s="481" t="s">
        <v>38</v>
      </c>
      <c r="B338" s="481" t="s">
        <v>5607</v>
      </c>
      <c r="C338" s="479">
        <v>4.7222222222222221E-2</v>
      </c>
      <c r="D338" s="481" t="s">
        <v>5607</v>
      </c>
      <c r="E338" s="520">
        <v>9.9999999999999992E-2</v>
      </c>
      <c r="F338" s="481" t="s">
        <v>4119</v>
      </c>
      <c r="G338" s="481" t="s">
        <v>124</v>
      </c>
      <c r="H338" s="481" t="s">
        <v>2910</v>
      </c>
      <c r="I338" s="481" t="s">
        <v>5075</v>
      </c>
      <c r="J338" s="481" t="s">
        <v>45</v>
      </c>
      <c r="K338" s="481" t="s">
        <v>5608</v>
      </c>
    </row>
    <row r="339" spans="1:11" ht="33.75">
      <c r="A339" s="481" t="s">
        <v>38</v>
      </c>
      <c r="B339" s="481" t="s">
        <v>5609</v>
      </c>
      <c r="C339" s="479">
        <v>0.78125</v>
      </c>
      <c r="D339" s="481" t="s">
        <v>5610</v>
      </c>
      <c r="E339" s="520">
        <v>0.16666666666666666</v>
      </c>
      <c r="F339" s="481" t="s">
        <v>5611</v>
      </c>
      <c r="G339" s="481" t="s">
        <v>61</v>
      </c>
      <c r="H339" s="481" t="s">
        <v>2753</v>
      </c>
      <c r="I339" s="481" t="s">
        <v>22</v>
      </c>
      <c r="J339" s="481" t="s">
        <v>5612</v>
      </c>
      <c r="K339" s="481" t="s">
        <v>5613</v>
      </c>
    </row>
    <row r="340" spans="1:11" ht="45">
      <c r="A340" s="481" t="s">
        <v>38</v>
      </c>
      <c r="B340" s="481" t="s">
        <v>5609</v>
      </c>
      <c r="C340" s="479">
        <v>0.10902777777777778</v>
      </c>
      <c r="D340" s="481" t="s">
        <v>5609</v>
      </c>
      <c r="E340" s="520">
        <v>0.25694444444444448</v>
      </c>
      <c r="F340" s="481" t="s">
        <v>3719</v>
      </c>
      <c r="G340" s="481" t="s">
        <v>61</v>
      </c>
      <c r="H340" s="481" t="s">
        <v>3387</v>
      </c>
      <c r="I340" s="481" t="s">
        <v>2764</v>
      </c>
      <c r="J340" s="481" t="s">
        <v>3055</v>
      </c>
      <c r="K340" s="481" t="s">
        <v>3055</v>
      </c>
    </row>
    <row r="341" spans="1:11" ht="33.75">
      <c r="A341" s="481" t="s">
        <v>38</v>
      </c>
      <c r="B341" s="481" t="s">
        <v>5609</v>
      </c>
      <c r="C341" s="479">
        <v>0.14930555555555555</v>
      </c>
      <c r="D341" s="481" t="s">
        <v>5609</v>
      </c>
      <c r="E341" s="520">
        <v>0.38194444444444442</v>
      </c>
      <c r="F341" s="481" t="s">
        <v>5614</v>
      </c>
      <c r="G341" s="481" t="s">
        <v>63</v>
      </c>
      <c r="H341" s="481" t="s">
        <v>2753</v>
      </c>
      <c r="I341" s="481" t="s">
        <v>22</v>
      </c>
      <c r="J341" s="481" t="s">
        <v>5615</v>
      </c>
      <c r="K341" s="481" t="s">
        <v>5616</v>
      </c>
    </row>
    <row r="342" spans="1:11" ht="67.5">
      <c r="A342" s="481" t="s">
        <v>47</v>
      </c>
      <c r="B342" s="481" t="s">
        <v>5617</v>
      </c>
      <c r="C342" s="479">
        <v>0.82708333333333339</v>
      </c>
      <c r="D342" s="481" t="s">
        <v>45</v>
      </c>
      <c r="E342" s="520" t="s">
        <v>45</v>
      </c>
      <c r="F342" s="481" t="s">
        <v>5618</v>
      </c>
      <c r="G342" s="481" t="s">
        <v>63</v>
      </c>
      <c r="H342" s="481" t="s">
        <v>3463</v>
      </c>
      <c r="I342" s="481" t="s">
        <v>100</v>
      </c>
      <c r="J342" s="481" t="s">
        <v>5619</v>
      </c>
      <c r="K342" s="481" t="s">
        <v>3881</v>
      </c>
    </row>
    <row r="343" spans="1:11" ht="78.75">
      <c r="A343" s="481" t="s">
        <v>47</v>
      </c>
      <c r="B343" s="481" t="s">
        <v>5620</v>
      </c>
      <c r="C343" s="479">
        <v>0.76388888888888884</v>
      </c>
      <c r="D343" s="481" t="s">
        <v>5620</v>
      </c>
      <c r="E343" s="520">
        <v>0.78819444444444453</v>
      </c>
      <c r="F343" s="481" t="s">
        <v>5081</v>
      </c>
      <c r="G343" s="481" t="s">
        <v>3143</v>
      </c>
      <c r="H343" s="481" t="s">
        <v>3402</v>
      </c>
      <c r="I343" s="481" t="s">
        <v>2118</v>
      </c>
      <c r="J343" s="481" t="s">
        <v>3055</v>
      </c>
      <c r="K343" s="481" t="s">
        <v>3055</v>
      </c>
    </row>
    <row r="344" spans="1:11" ht="67.5">
      <c r="A344" s="481" t="s">
        <v>47</v>
      </c>
      <c r="B344" s="481" t="s">
        <v>5620</v>
      </c>
      <c r="C344" s="479">
        <v>0.375</v>
      </c>
      <c r="D344" s="481" t="s">
        <v>5620</v>
      </c>
      <c r="E344" s="520">
        <v>0.54166666666666663</v>
      </c>
      <c r="F344" s="481" t="s">
        <v>5181</v>
      </c>
      <c r="G344" s="481" t="s">
        <v>61</v>
      </c>
      <c r="H344" s="481" t="s">
        <v>3463</v>
      </c>
      <c r="I344" s="481" t="s">
        <v>100</v>
      </c>
      <c r="J344" s="481" t="s">
        <v>3055</v>
      </c>
      <c r="K344" s="481" t="s">
        <v>3055</v>
      </c>
    </row>
    <row r="345" spans="1:11" ht="78.75">
      <c r="A345" s="481" t="s">
        <v>47</v>
      </c>
      <c r="B345" s="481" t="s">
        <v>5621</v>
      </c>
      <c r="C345" s="479">
        <v>0.3923611111111111</v>
      </c>
      <c r="D345" s="481" t="s">
        <v>45</v>
      </c>
      <c r="E345" s="520" t="s">
        <v>45</v>
      </c>
      <c r="F345" s="481" t="s">
        <v>3616</v>
      </c>
      <c r="G345" s="481" t="s">
        <v>124</v>
      </c>
      <c r="H345" s="481" t="s">
        <v>3402</v>
      </c>
      <c r="I345" s="481" t="s">
        <v>2118</v>
      </c>
      <c r="J345" s="481" t="s">
        <v>3055</v>
      </c>
      <c r="K345" s="481" t="s">
        <v>3055</v>
      </c>
    </row>
    <row r="346" spans="1:11" ht="78.75">
      <c r="A346" s="481" t="s">
        <v>47</v>
      </c>
      <c r="B346" s="481" t="s">
        <v>5621</v>
      </c>
      <c r="C346" s="479">
        <v>0.35138888888888892</v>
      </c>
      <c r="D346" s="481" t="s">
        <v>5621</v>
      </c>
      <c r="E346" s="520">
        <v>0.35416666666666669</v>
      </c>
      <c r="F346" s="481" t="s">
        <v>5622</v>
      </c>
      <c r="G346" s="481" t="s">
        <v>63</v>
      </c>
      <c r="H346" s="481" t="s">
        <v>3402</v>
      </c>
      <c r="I346" s="481" t="s">
        <v>100</v>
      </c>
      <c r="J346" s="481" t="s">
        <v>3055</v>
      </c>
      <c r="K346" s="481" t="s">
        <v>3055</v>
      </c>
    </row>
    <row r="347" spans="1:11" ht="78.75">
      <c r="A347" s="481" t="s">
        <v>47</v>
      </c>
      <c r="B347" s="481" t="s">
        <v>5621</v>
      </c>
      <c r="C347" s="479">
        <v>0</v>
      </c>
      <c r="D347" s="481" t="s">
        <v>5621</v>
      </c>
      <c r="E347" s="520">
        <v>6.9444444444444447E-4</v>
      </c>
      <c r="F347" s="481" t="s">
        <v>5623</v>
      </c>
      <c r="G347" s="481" t="s">
        <v>63</v>
      </c>
      <c r="H347" s="481" t="s">
        <v>3402</v>
      </c>
      <c r="I347" s="481" t="s">
        <v>2118</v>
      </c>
      <c r="J347" s="481" t="s">
        <v>3055</v>
      </c>
      <c r="K347" s="481" t="s">
        <v>3055</v>
      </c>
    </row>
    <row r="348" spans="1:11" ht="78.75">
      <c r="A348" s="481" t="s">
        <v>47</v>
      </c>
      <c r="B348" s="481" t="s">
        <v>5621</v>
      </c>
      <c r="C348" s="479">
        <v>0</v>
      </c>
      <c r="D348" s="481" t="s">
        <v>5621</v>
      </c>
      <c r="E348" s="520">
        <v>6.9444444444444447E-4</v>
      </c>
      <c r="F348" s="481" t="s">
        <v>5624</v>
      </c>
      <c r="G348" s="481" t="s">
        <v>63</v>
      </c>
      <c r="H348" s="481" t="s">
        <v>3402</v>
      </c>
      <c r="I348" s="481" t="s">
        <v>2118</v>
      </c>
      <c r="J348" s="481" t="s">
        <v>3055</v>
      </c>
      <c r="K348" s="481" t="s">
        <v>3055</v>
      </c>
    </row>
    <row r="349" spans="1:11" ht="78.75">
      <c r="A349" s="481" t="s">
        <v>47</v>
      </c>
      <c r="B349" s="481" t="s">
        <v>5621</v>
      </c>
      <c r="C349" s="479">
        <v>0.53125</v>
      </c>
      <c r="D349" s="481" t="s">
        <v>45</v>
      </c>
      <c r="E349" s="520" t="s">
        <v>45</v>
      </c>
      <c r="F349" s="481" t="s">
        <v>2895</v>
      </c>
      <c r="G349" s="481" t="s">
        <v>3143</v>
      </c>
      <c r="H349" s="481" t="s">
        <v>3402</v>
      </c>
      <c r="I349" s="481" t="s">
        <v>2118</v>
      </c>
      <c r="J349" s="481" t="s">
        <v>5625</v>
      </c>
      <c r="K349" s="481" t="s">
        <v>45</v>
      </c>
    </row>
    <row r="350" spans="1:11" ht="78.75">
      <c r="A350" s="481" t="s">
        <v>47</v>
      </c>
      <c r="B350" s="481" t="s">
        <v>5621</v>
      </c>
      <c r="C350" s="479">
        <v>0.34375</v>
      </c>
      <c r="D350" s="481" t="s">
        <v>5621</v>
      </c>
      <c r="E350" s="520">
        <v>0.51041666666666663</v>
      </c>
      <c r="F350" s="481" t="s">
        <v>3245</v>
      </c>
      <c r="G350" s="481" t="s">
        <v>3143</v>
      </c>
      <c r="H350" s="481" t="s">
        <v>3402</v>
      </c>
      <c r="I350" s="481" t="s">
        <v>2118</v>
      </c>
      <c r="J350" s="481" t="s">
        <v>5626</v>
      </c>
      <c r="K350" s="481" t="s">
        <v>45</v>
      </c>
    </row>
    <row r="351" spans="1:11" ht="78.75">
      <c r="A351" s="481" t="s">
        <v>47</v>
      </c>
      <c r="B351" s="481" t="s">
        <v>5627</v>
      </c>
      <c r="C351" s="479">
        <v>0.56597222222222221</v>
      </c>
      <c r="D351" s="481" t="s">
        <v>5627</v>
      </c>
      <c r="E351" s="520">
        <v>0.56944444444444442</v>
      </c>
      <c r="F351" s="481" t="s">
        <v>4928</v>
      </c>
      <c r="G351" s="481" t="s">
        <v>5174</v>
      </c>
      <c r="H351" s="481" t="s">
        <v>3402</v>
      </c>
      <c r="I351" s="481" t="s">
        <v>2118</v>
      </c>
      <c r="J351" s="481" t="s">
        <v>3055</v>
      </c>
      <c r="K351" s="481" t="s">
        <v>3055</v>
      </c>
    </row>
    <row r="352" spans="1:11" ht="78.75">
      <c r="A352" s="481" t="s">
        <v>47</v>
      </c>
      <c r="B352" s="481" t="s">
        <v>5627</v>
      </c>
      <c r="C352" s="479">
        <v>0.6958333333333333</v>
      </c>
      <c r="D352" s="481" t="s">
        <v>5627</v>
      </c>
      <c r="E352" s="520">
        <v>0.875</v>
      </c>
      <c r="F352" s="481" t="s">
        <v>2832</v>
      </c>
      <c r="G352" s="481" t="s">
        <v>63</v>
      </c>
      <c r="H352" s="481" t="s">
        <v>3402</v>
      </c>
      <c r="I352" s="481" t="s">
        <v>2118</v>
      </c>
      <c r="J352" s="481" t="s">
        <v>3055</v>
      </c>
      <c r="K352" s="481" t="s">
        <v>3055</v>
      </c>
    </row>
    <row r="353" spans="1:11" ht="78.75">
      <c r="A353" s="481" t="s">
        <v>47</v>
      </c>
      <c r="B353" s="481" t="s">
        <v>5628</v>
      </c>
      <c r="C353" s="479">
        <v>0.52500000000000002</v>
      </c>
      <c r="D353" s="481" t="s">
        <v>45</v>
      </c>
      <c r="E353" s="520" t="s">
        <v>45</v>
      </c>
      <c r="F353" s="481" t="s">
        <v>5629</v>
      </c>
      <c r="G353" s="481" t="s">
        <v>3143</v>
      </c>
      <c r="H353" s="481" t="s">
        <v>3402</v>
      </c>
      <c r="I353" s="481" t="s">
        <v>2118</v>
      </c>
      <c r="J353" s="481" t="s">
        <v>3055</v>
      </c>
      <c r="K353" s="481" t="s">
        <v>3055</v>
      </c>
    </row>
    <row r="354" spans="1:11" ht="45">
      <c r="A354" s="481" t="s">
        <v>47</v>
      </c>
      <c r="B354" s="481" t="s">
        <v>5630</v>
      </c>
      <c r="C354" s="479">
        <v>5.1388888888888894E-2</v>
      </c>
      <c r="D354" s="481" t="s">
        <v>5630</v>
      </c>
      <c r="E354" s="520">
        <v>8.4722222222222213E-2</v>
      </c>
      <c r="F354" s="481" t="s">
        <v>5143</v>
      </c>
      <c r="G354" s="481" t="s">
        <v>61</v>
      </c>
      <c r="H354" s="481" t="s">
        <v>3447</v>
      </c>
      <c r="I354" s="481" t="s">
        <v>2483</v>
      </c>
      <c r="J354" s="481" t="s">
        <v>3055</v>
      </c>
      <c r="K354" s="481" t="s">
        <v>3055</v>
      </c>
    </row>
    <row r="355" spans="1:11" ht="78.75">
      <c r="A355" s="481" t="s">
        <v>47</v>
      </c>
      <c r="B355" s="481" t="s">
        <v>5630</v>
      </c>
      <c r="C355" s="479">
        <v>0.45833333333333331</v>
      </c>
      <c r="D355" s="481" t="s">
        <v>5631</v>
      </c>
      <c r="E355" s="520">
        <v>0.25</v>
      </c>
      <c r="F355" s="481" t="s">
        <v>5632</v>
      </c>
      <c r="G355" s="481" t="s">
        <v>63</v>
      </c>
      <c r="H355" s="481" t="s">
        <v>3402</v>
      </c>
      <c r="I355" s="481" t="s">
        <v>2118</v>
      </c>
      <c r="J355" s="481" t="s">
        <v>3055</v>
      </c>
      <c r="K355" s="481" t="s">
        <v>3055</v>
      </c>
    </row>
    <row r="356" spans="1:11" ht="33.75">
      <c r="A356" s="481" t="s">
        <v>47</v>
      </c>
      <c r="B356" s="481" t="s">
        <v>5633</v>
      </c>
      <c r="C356" s="479">
        <v>0.99930555555555556</v>
      </c>
      <c r="D356" s="481" t="s">
        <v>5634</v>
      </c>
      <c r="E356" s="520">
        <v>0.15208333333333332</v>
      </c>
      <c r="F356" s="481" t="s">
        <v>5635</v>
      </c>
      <c r="G356" s="481" t="s">
        <v>124</v>
      </c>
      <c r="H356" s="481" t="s">
        <v>3356</v>
      </c>
      <c r="I356" s="481" t="s">
        <v>100</v>
      </c>
      <c r="J356" s="481" t="s">
        <v>5105</v>
      </c>
      <c r="K356" s="481" t="s">
        <v>5636</v>
      </c>
    </row>
    <row r="357" spans="1:11" ht="45">
      <c r="A357" s="481" t="s">
        <v>47</v>
      </c>
      <c r="B357" s="481" t="s">
        <v>5634</v>
      </c>
      <c r="C357" s="479">
        <v>0.4458333333333333</v>
      </c>
      <c r="D357" s="481" t="s">
        <v>5634</v>
      </c>
      <c r="E357" s="520">
        <v>0.50347222222222221</v>
      </c>
      <c r="F357" s="481" t="s">
        <v>3470</v>
      </c>
      <c r="G357" s="481" t="s">
        <v>63</v>
      </c>
      <c r="H357" s="481" t="s">
        <v>3387</v>
      </c>
      <c r="I357" s="481" t="s">
        <v>2764</v>
      </c>
      <c r="J357" s="481" t="s">
        <v>3055</v>
      </c>
      <c r="K357" s="481" t="s">
        <v>3055</v>
      </c>
    </row>
    <row r="358" spans="1:11" ht="33.75">
      <c r="A358" s="481" t="s">
        <v>47</v>
      </c>
      <c r="B358" s="481" t="s">
        <v>5634</v>
      </c>
      <c r="C358" s="479">
        <v>0.47430555555555554</v>
      </c>
      <c r="D358" s="481" t="s">
        <v>45</v>
      </c>
      <c r="E358" s="520" t="s">
        <v>45</v>
      </c>
      <c r="F358" s="481" t="s">
        <v>3561</v>
      </c>
      <c r="G358" s="481" t="s">
        <v>3143</v>
      </c>
      <c r="H358" s="481" t="s">
        <v>3356</v>
      </c>
      <c r="I358" s="481" t="s">
        <v>100</v>
      </c>
      <c r="J358" s="481" t="s">
        <v>3055</v>
      </c>
      <c r="K358" s="481" t="s">
        <v>3055</v>
      </c>
    </row>
    <row r="359" spans="1:11" ht="78.75">
      <c r="A359" s="481" t="s">
        <v>47</v>
      </c>
      <c r="B359" s="481" t="s">
        <v>5634</v>
      </c>
      <c r="C359" s="479">
        <v>0.53611111111111109</v>
      </c>
      <c r="D359" s="481" t="s">
        <v>45</v>
      </c>
      <c r="E359" s="520" t="s">
        <v>45</v>
      </c>
      <c r="F359" s="481" t="s">
        <v>5637</v>
      </c>
      <c r="G359" s="481" t="s">
        <v>124</v>
      </c>
      <c r="H359" s="481" t="s">
        <v>3402</v>
      </c>
      <c r="I359" s="481" t="s">
        <v>2118</v>
      </c>
      <c r="J359" s="481" t="s">
        <v>45</v>
      </c>
      <c r="K359" s="481" t="s">
        <v>45</v>
      </c>
    </row>
    <row r="360" spans="1:11" ht="33.75">
      <c r="A360" s="481" t="s">
        <v>47</v>
      </c>
      <c r="B360" s="481" t="s">
        <v>5638</v>
      </c>
      <c r="C360" s="479">
        <v>0.22916666666666666</v>
      </c>
      <c r="D360" s="481" t="s">
        <v>5638</v>
      </c>
      <c r="E360" s="520">
        <v>0.2298611111111111</v>
      </c>
      <c r="F360" s="481" t="s">
        <v>2831</v>
      </c>
      <c r="G360" s="481" t="s">
        <v>124</v>
      </c>
      <c r="H360" s="481" t="s">
        <v>3356</v>
      </c>
      <c r="I360" s="481" t="s">
        <v>100</v>
      </c>
      <c r="J360" s="481" t="s">
        <v>3055</v>
      </c>
      <c r="K360" s="481" t="s">
        <v>3055</v>
      </c>
    </row>
    <row r="361" spans="1:11" ht="33.75">
      <c r="A361" s="481" t="s">
        <v>47</v>
      </c>
      <c r="B361" s="481" t="s">
        <v>5639</v>
      </c>
      <c r="C361" s="479">
        <v>0.97916666666666663</v>
      </c>
      <c r="D361" s="481" t="s">
        <v>5640</v>
      </c>
      <c r="E361" s="520">
        <v>0.97291666666666676</v>
      </c>
      <c r="F361" s="481" t="s">
        <v>5641</v>
      </c>
      <c r="G361" s="481" t="s">
        <v>61</v>
      </c>
      <c r="H361" s="481" t="s">
        <v>3451</v>
      </c>
      <c r="I361" s="481" t="s">
        <v>22</v>
      </c>
      <c r="J361" s="481" t="s">
        <v>45</v>
      </c>
      <c r="K361" s="481" t="s">
        <v>5642</v>
      </c>
    </row>
    <row r="362" spans="1:11" ht="78.75">
      <c r="A362" s="481" t="s">
        <v>47</v>
      </c>
      <c r="B362" s="481" t="s">
        <v>5643</v>
      </c>
      <c r="C362" s="479">
        <v>0.82291666666666663</v>
      </c>
      <c r="D362" s="481" t="s">
        <v>5643</v>
      </c>
      <c r="E362" s="520">
        <v>0.82361111111111107</v>
      </c>
      <c r="F362" s="481" t="s">
        <v>5644</v>
      </c>
      <c r="G362" s="481" t="s">
        <v>1352</v>
      </c>
      <c r="H362" s="481" t="s">
        <v>3402</v>
      </c>
      <c r="I362" s="481" t="s">
        <v>2118</v>
      </c>
      <c r="J362" s="481" t="s">
        <v>3055</v>
      </c>
      <c r="K362" s="481" t="s">
        <v>3055</v>
      </c>
    </row>
    <row r="363" spans="1:11" ht="45">
      <c r="A363" s="481" t="s">
        <v>47</v>
      </c>
      <c r="B363" s="481" t="s">
        <v>5645</v>
      </c>
      <c r="C363" s="479">
        <v>0.37777777777777777</v>
      </c>
      <c r="D363" s="481" t="s">
        <v>5646</v>
      </c>
      <c r="E363" s="520">
        <v>0</v>
      </c>
      <c r="F363" s="481" t="s">
        <v>5647</v>
      </c>
      <c r="G363" s="481" t="s">
        <v>63</v>
      </c>
      <c r="H363" s="481" t="s">
        <v>3750</v>
      </c>
      <c r="I363" s="481" t="s">
        <v>2483</v>
      </c>
      <c r="J363" s="481" t="s">
        <v>5648</v>
      </c>
      <c r="K363" s="481" t="s">
        <v>45</v>
      </c>
    </row>
    <row r="364" spans="1:11" ht="45">
      <c r="A364" s="481" t="s">
        <v>47</v>
      </c>
      <c r="B364" s="481" t="s">
        <v>5645</v>
      </c>
      <c r="C364" s="479">
        <v>0.87777777777777777</v>
      </c>
      <c r="D364" s="481" t="s">
        <v>5645</v>
      </c>
      <c r="E364" s="520">
        <v>0.90416666666666667</v>
      </c>
      <c r="F364" s="481" t="s">
        <v>5089</v>
      </c>
      <c r="G364" s="481" t="s">
        <v>1352</v>
      </c>
      <c r="H364" s="481" t="s">
        <v>3447</v>
      </c>
      <c r="I364" s="481" t="s">
        <v>2764</v>
      </c>
      <c r="J364" s="481" t="s">
        <v>3055</v>
      </c>
      <c r="K364" s="481" t="s">
        <v>3055</v>
      </c>
    </row>
    <row r="365" spans="1:11" ht="78.75">
      <c r="A365" s="481" t="s">
        <v>47</v>
      </c>
      <c r="B365" s="481" t="s">
        <v>5649</v>
      </c>
      <c r="C365" s="479">
        <v>0.25277777777777777</v>
      </c>
      <c r="D365" s="481" t="s">
        <v>5649</v>
      </c>
      <c r="E365" s="520">
        <v>0.27777777777777779</v>
      </c>
      <c r="F365" s="481" t="s">
        <v>4185</v>
      </c>
      <c r="G365" s="481" t="s">
        <v>1352</v>
      </c>
      <c r="H365" s="481" t="s">
        <v>3402</v>
      </c>
      <c r="I365" s="481" t="s">
        <v>2118</v>
      </c>
      <c r="J365" s="481" t="s">
        <v>3055</v>
      </c>
      <c r="K365" s="481" t="s">
        <v>3055</v>
      </c>
    </row>
    <row r="366" spans="1:11" ht="33.75">
      <c r="A366" s="481" t="s">
        <v>47</v>
      </c>
      <c r="B366" s="481" t="s">
        <v>5649</v>
      </c>
      <c r="C366" s="479">
        <v>0.60416666666666663</v>
      </c>
      <c r="D366" s="481" t="s">
        <v>45</v>
      </c>
      <c r="E366" s="520" t="s">
        <v>45</v>
      </c>
      <c r="F366" s="481" t="s">
        <v>2868</v>
      </c>
      <c r="G366" s="481" t="s">
        <v>61</v>
      </c>
      <c r="H366" s="481" t="s">
        <v>3451</v>
      </c>
      <c r="I366" s="481" t="s">
        <v>22</v>
      </c>
      <c r="J366" s="481" t="s">
        <v>45</v>
      </c>
      <c r="K366" s="481" t="s">
        <v>3295</v>
      </c>
    </row>
    <row r="367" spans="1:11" ht="33.75">
      <c r="A367" s="481" t="s">
        <v>47</v>
      </c>
      <c r="B367" s="481" t="s">
        <v>5649</v>
      </c>
      <c r="C367" s="479">
        <v>0.22222222222222221</v>
      </c>
      <c r="D367" s="481" t="s">
        <v>45</v>
      </c>
      <c r="E367" s="520" t="s">
        <v>45</v>
      </c>
      <c r="F367" s="481" t="s">
        <v>3521</v>
      </c>
      <c r="G367" s="481" t="s">
        <v>61</v>
      </c>
      <c r="H367" s="481" t="s">
        <v>3451</v>
      </c>
      <c r="I367" s="481" t="s">
        <v>22</v>
      </c>
      <c r="J367" s="481" t="s">
        <v>45</v>
      </c>
      <c r="K367" s="481" t="s">
        <v>5650</v>
      </c>
    </row>
    <row r="368" spans="1:11" ht="33.75">
      <c r="A368" s="481" t="s">
        <v>47</v>
      </c>
      <c r="B368" s="481" t="s">
        <v>5649</v>
      </c>
      <c r="C368" s="479">
        <v>0.40625</v>
      </c>
      <c r="D368" s="481" t="s">
        <v>5649</v>
      </c>
      <c r="E368" s="520">
        <v>0.70833333333333337</v>
      </c>
      <c r="F368" s="481" t="s">
        <v>2928</v>
      </c>
      <c r="G368" s="481" t="s">
        <v>63</v>
      </c>
      <c r="H368" s="481" t="s">
        <v>3451</v>
      </c>
      <c r="I368" s="481" t="s">
        <v>22</v>
      </c>
      <c r="J368" s="481" t="s">
        <v>45</v>
      </c>
      <c r="K368" s="481" t="s">
        <v>5651</v>
      </c>
    </row>
    <row r="369" spans="1:11" ht="33.75">
      <c r="A369" s="481" t="s">
        <v>47</v>
      </c>
      <c r="B369" s="481" t="s">
        <v>5649</v>
      </c>
      <c r="C369" s="479">
        <v>0.3125</v>
      </c>
      <c r="D369" s="481" t="s">
        <v>5649</v>
      </c>
      <c r="E369" s="520">
        <v>0.92569444444444438</v>
      </c>
      <c r="F369" s="481" t="s">
        <v>2832</v>
      </c>
      <c r="G369" s="481" t="s">
        <v>63</v>
      </c>
      <c r="H369" s="481" t="s">
        <v>3451</v>
      </c>
      <c r="I369" s="481" t="s">
        <v>22</v>
      </c>
      <c r="J369" s="481" t="s">
        <v>45</v>
      </c>
      <c r="K369" s="481" t="s">
        <v>5652</v>
      </c>
    </row>
    <row r="370" spans="1:11" ht="45">
      <c r="A370" s="481" t="s">
        <v>47</v>
      </c>
      <c r="B370" s="481" t="s">
        <v>5649</v>
      </c>
      <c r="C370" s="479">
        <v>0.35486111111111113</v>
      </c>
      <c r="D370" s="481" t="s">
        <v>45</v>
      </c>
      <c r="E370" s="520" t="s">
        <v>45</v>
      </c>
      <c r="F370" s="481" t="s">
        <v>2935</v>
      </c>
      <c r="G370" s="481" t="s">
        <v>63</v>
      </c>
      <c r="H370" s="481" t="s">
        <v>3750</v>
      </c>
      <c r="I370" s="481" t="s">
        <v>22</v>
      </c>
      <c r="J370" s="481" t="s">
        <v>45</v>
      </c>
      <c r="K370" s="481" t="s">
        <v>45</v>
      </c>
    </row>
    <row r="371" spans="1:11" ht="33.75">
      <c r="A371" s="481" t="s">
        <v>47</v>
      </c>
      <c r="B371" s="481" t="s">
        <v>5649</v>
      </c>
      <c r="C371" s="479">
        <v>0.12708333333333333</v>
      </c>
      <c r="D371" s="481" t="s">
        <v>5649</v>
      </c>
      <c r="E371" s="520">
        <v>0.52083333333333337</v>
      </c>
      <c r="F371" s="481" t="s">
        <v>3167</v>
      </c>
      <c r="G371" s="481" t="s">
        <v>63</v>
      </c>
      <c r="H371" s="481" t="s">
        <v>3451</v>
      </c>
      <c r="I371" s="481" t="s">
        <v>22</v>
      </c>
      <c r="J371" s="481" t="s">
        <v>4496</v>
      </c>
      <c r="K371" s="481" t="s">
        <v>5653</v>
      </c>
    </row>
    <row r="372" spans="1:11" ht="45">
      <c r="A372" s="481" t="s">
        <v>47</v>
      </c>
      <c r="B372" s="481" t="s">
        <v>5649</v>
      </c>
      <c r="C372" s="479">
        <v>0.30486111111111108</v>
      </c>
      <c r="D372" s="481" t="s">
        <v>5649</v>
      </c>
      <c r="E372" s="520">
        <v>0.32013888888888892</v>
      </c>
      <c r="F372" s="481" t="s">
        <v>4726</v>
      </c>
      <c r="G372" s="481" t="s">
        <v>63</v>
      </c>
      <c r="H372" s="481" t="s">
        <v>3478</v>
      </c>
      <c r="I372" s="481" t="s">
        <v>22</v>
      </c>
      <c r="J372" s="481" t="s">
        <v>3055</v>
      </c>
      <c r="K372" s="481" t="s">
        <v>3055</v>
      </c>
    </row>
    <row r="373" spans="1:11" ht="22.5">
      <c r="A373" s="481" t="s">
        <v>47</v>
      </c>
      <c r="B373" s="481" t="s">
        <v>5654</v>
      </c>
      <c r="C373" s="479">
        <v>0.26041666666666669</v>
      </c>
      <c r="D373" s="481" t="s">
        <v>5646</v>
      </c>
      <c r="E373" s="520">
        <v>0.375</v>
      </c>
      <c r="F373" s="481" t="s">
        <v>2896</v>
      </c>
      <c r="G373" s="481" t="s">
        <v>63</v>
      </c>
      <c r="H373" s="481" t="s">
        <v>5655</v>
      </c>
      <c r="I373" s="481" t="s">
        <v>22</v>
      </c>
      <c r="J373" s="481" t="s">
        <v>5656</v>
      </c>
      <c r="K373" s="481" t="s">
        <v>5657</v>
      </c>
    </row>
    <row r="374" spans="1:11" ht="45">
      <c r="A374" s="481" t="s">
        <v>47</v>
      </c>
      <c r="B374" s="481" t="s">
        <v>5654</v>
      </c>
      <c r="C374" s="479">
        <v>0.27430555555555552</v>
      </c>
      <c r="D374" s="481" t="s">
        <v>5654</v>
      </c>
      <c r="E374" s="520">
        <v>0.67361111111111116</v>
      </c>
      <c r="F374" s="481" t="s">
        <v>2928</v>
      </c>
      <c r="G374" s="481" t="s">
        <v>63</v>
      </c>
      <c r="H374" s="481" t="s">
        <v>3750</v>
      </c>
      <c r="I374" s="481" t="s">
        <v>2764</v>
      </c>
      <c r="J374" s="481" t="s">
        <v>5658</v>
      </c>
      <c r="K374" s="481" t="s">
        <v>4098</v>
      </c>
    </row>
    <row r="375" spans="1:11" ht="45">
      <c r="A375" s="481" t="s">
        <v>47</v>
      </c>
      <c r="B375" s="481" t="s">
        <v>5654</v>
      </c>
      <c r="C375" s="479">
        <v>0.19791666666666666</v>
      </c>
      <c r="D375" s="481" t="s">
        <v>5654</v>
      </c>
      <c r="E375" s="520">
        <v>0.65625</v>
      </c>
      <c r="F375" s="481" t="s">
        <v>2832</v>
      </c>
      <c r="G375" s="481" t="s">
        <v>63</v>
      </c>
      <c r="H375" s="481" t="s">
        <v>3750</v>
      </c>
      <c r="I375" s="481" t="s">
        <v>22</v>
      </c>
      <c r="J375" s="481" t="s">
        <v>5307</v>
      </c>
      <c r="K375" s="481" t="s">
        <v>5659</v>
      </c>
    </row>
    <row r="376" spans="1:11" ht="33.75">
      <c r="A376" s="481" t="s">
        <v>47</v>
      </c>
      <c r="B376" s="481" t="s">
        <v>5654</v>
      </c>
      <c r="C376" s="479">
        <v>0.375</v>
      </c>
      <c r="D376" s="481" t="s">
        <v>5654</v>
      </c>
      <c r="E376" s="520">
        <v>0.46875</v>
      </c>
      <c r="F376" s="481" t="s">
        <v>3167</v>
      </c>
      <c r="G376" s="481" t="s">
        <v>63</v>
      </c>
      <c r="H376" s="481" t="s">
        <v>3451</v>
      </c>
      <c r="I376" s="481" t="s">
        <v>22</v>
      </c>
      <c r="J376" s="481" t="s">
        <v>3376</v>
      </c>
      <c r="K376" s="481" t="s">
        <v>5660</v>
      </c>
    </row>
    <row r="377" spans="1:11" ht="33.75">
      <c r="A377" s="481" t="s">
        <v>47</v>
      </c>
      <c r="B377" s="481" t="s">
        <v>5646</v>
      </c>
      <c r="C377" s="479">
        <v>0.80902777777777779</v>
      </c>
      <c r="D377" s="481" t="s">
        <v>5646</v>
      </c>
      <c r="E377" s="520">
        <v>0.83819444444444446</v>
      </c>
      <c r="F377" s="481" t="s">
        <v>3903</v>
      </c>
      <c r="G377" s="481" t="s">
        <v>124</v>
      </c>
      <c r="H377" s="481" t="s">
        <v>3356</v>
      </c>
      <c r="I377" s="481" t="s">
        <v>100</v>
      </c>
      <c r="J377" s="481" t="s">
        <v>3548</v>
      </c>
      <c r="K377" s="481" t="s">
        <v>5661</v>
      </c>
    </row>
    <row r="378" spans="1:11" ht="33.75">
      <c r="A378" s="481" t="s">
        <v>47</v>
      </c>
      <c r="B378" s="481" t="s">
        <v>5646</v>
      </c>
      <c r="C378" s="479">
        <v>0.1125</v>
      </c>
      <c r="D378" s="481" t="s">
        <v>5646</v>
      </c>
      <c r="E378" s="520">
        <v>0.20486111111111113</v>
      </c>
      <c r="F378" s="481" t="s">
        <v>3903</v>
      </c>
      <c r="G378" s="481" t="s">
        <v>124</v>
      </c>
      <c r="H378" s="481" t="s">
        <v>3356</v>
      </c>
      <c r="I378" s="481" t="s">
        <v>100</v>
      </c>
      <c r="J378" s="481" t="s">
        <v>4232</v>
      </c>
      <c r="K378" s="481" t="s">
        <v>4012</v>
      </c>
    </row>
    <row r="379" spans="1:11" ht="33.75">
      <c r="A379" s="481" t="s">
        <v>47</v>
      </c>
      <c r="B379" s="481" t="s">
        <v>5662</v>
      </c>
      <c r="C379" s="479">
        <v>0.28750000000000003</v>
      </c>
      <c r="D379" s="481" t="s">
        <v>5662</v>
      </c>
      <c r="E379" s="520">
        <v>0.34652777777777777</v>
      </c>
      <c r="F379" s="481" t="s">
        <v>2853</v>
      </c>
      <c r="G379" s="481" t="s">
        <v>124</v>
      </c>
      <c r="H379" s="481" t="s">
        <v>3356</v>
      </c>
      <c r="I379" s="481" t="s">
        <v>100</v>
      </c>
      <c r="J379" s="481" t="s">
        <v>45</v>
      </c>
      <c r="K379" s="481" t="s">
        <v>45</v>
      </c>
    </row>
    <row r="380" spans="1:11" ht="67.5">
      <c r="A380" s="481" t="s">
        <v>47</v>
      </c>
      <c r="B380" s="481" t="s">
        <v>5662</v>
      </c>
      <c r="C380" s="479">
        <v>0.35416666666666669</v>
      </c>
      <c r="D380" s="481" t="s">
        <v>5663</v>
      </c>
      <c r="E380" s="520">
        <v>0.875</v>
      </c>
      <c r="F380" s="481" t="s">
        <v>5664</v>
      </c>
      <c r="G380" s="481" t="s">
        <v>124</v>
      </c>
      <c r="H380" s="481" t="s">
        <v>3451</v>
      </c>
      <c r="I380" s="481" t="s">
        <v>22</v>
      </c>
      <c r="J380" s="481" t="s">
        <v>45</v>
      </c>
      <c r="K380" s="481" t="s">
        <v>3615</v>
      </c>
    </row>
    <row r="381" spans="1:11" ht="33.75">
      <c r="A381" s="481" t="s">
        <v>47</v>
      </c>
      <c r="B381" s="481" t="s">
        <v>5665</v>
      </c>
      <c r="C381" s="479">
        <v>0.33333333333333331</v>
      </c>
      <c r="D381" s="481" t="s">
        <v>5665</v>
      </c>
      <c r="E381" s="520">
        <v>0.35416666666666669</v>
      </c>
      <c r="F381" s="481" t="s">
        <v>4709</v>
      </c>
      <c r="G381" s="481" t="s">
        <v>124</v>
      </c>
      <c r="H381" s="481" t="s">
        <v>3356</v>
      </c>
      <c r="I381" s="481" t="s">
        <v>100</v>
      </c>
      <c r="J381" s="481" t="s">
        <v>3055</v>
      </c>
      <c r="K381" s="481" t="s">
        <v>3055</v>
      </c>
    </row>
    <row r="382" spans="1:11" ht="33.75">
      <c r="A382" s="481" t="s">
        <v>47</v>
      </c>
      <c r="B382" s="481" t="s">
        <v>5665</v>
      </c>
      <c r="C382" s="479">
        <v>0.5625</v>
      </c>
      <c r="D382" s="481" t="s">
        <v>5665</v>
      </c>
      <c r="E382" s="520">
        <v>0.88611111111111107</v>
      </c>
      <c r="F382" s="481" t="s">
        <v>4355</v>
      </c>
      <c r="G382" s="481" t="s">
        <v>124</v>
      </c>
      <c r="H382" s="481" t="s">
        <v>3356</v>
      </c>
      <c r="I382" s="481" t="s">
        <v>100</v>
      </c>
      <c r="J382" s="481" t="s">
        <v>3055</v>
      </c>
      <c r="K382" s="481" t="s">
        <v>3055</v>
      </c>
    </row>
    <row r="383" spans="1:11" ht="45">
      <c r="A383" s="481" t="s">
        <v>47</v>
      </c>
      <c r="B383" s="481" t="s">
        <v>5665</v>
      </c>
      <c r="C383" s="479">
        <v>0.42499999999999999</v>
      </c>
      <c r="D383" s="481" t="s">
        <v>45</v>
      </c>
      <c r="E383" s="520" t="s">
        <v>45</v>
      </c>
      <c r="F383" s="481" t="s">
        <v>5666</v>
      </c>
      <c r="G383" s="481" t="s">
        <v>124</v>
      </c>
      <c r="H383" s="481" t="s">
        <v>3451</v>
      </c>
      <c r="I383" s="481" t="s">
        <v>22</v>
      </c>
      <c r="J383" s="481" t="s">
        <v>45</v>
      </c>
      <c r="K383" s="481" t="s">
        <v>5667</v>
      </c>
    </row>
    <row r="384" spans="1:11" ht="67.5">
      <c r="A384" s="481" t="s">
        <v>47</v>
      </c>
      <c r="B384" s="481" t="s">
        <v>5665</v>
      </c>
      <c r="C384" s="479">
        <v>0.86111111111111116</v>
      </c>
      <c r="D384" s="481" t="s">
        <v>5665</v>
      </c>
      <c r="E384" s="520">
        <v>0.8618055555555556</v>
      </c>
      <c r="F384" s="481" t="s">
        <v>2801</v>
      </c>
      <c r="G384" s="481" t="s">
        <v>124</v>
      </c>
      <c r="H384" s="481" t="s">
        <v>4882</v>
      </c>
      <c r="I384" s="481" t="s">
        <v>22</v>
      </c>
      <c r="J384" s="481" t="s">
        <v>3623</v>
      </c>
      <c r="K384" s="481" t="s">
        <v>5668</v>
      </c>
    </row>
    <row r="385" spans="1:11" ht="78.75">
      <c r="A385" s="481" t="s">
        <v>47</v>
      </c>
      <c r="B385" s="481" t="s">
        <v>5665</v>
      </c>
      <c r="C385" s="479">
        <v>0.29652777777777778</v>
      </c>
      <c r="D385" s="481" t="s">
        <v>5669</v>
      </c>
      <c r="E385" s="520">
        <v>0.46527777777777773</v>
      </c>
      <c r="F385" s="481" t="s">
        <v>3616</v>
      </c>
      <c r="G385" s="481" t="s">
        <v>124</v>
      </c>
      <c r="H385" s="481" t="s">
        <v>3402</v>
      </c>
      <c r="I385" s="481" t="s">
        <v>2118</v>
      </c>
      <c r="J385" s="481" t="s">
        <v>45</v>
      </c>
      <c r="K385" s="481" t="s">
        <v>45</v>
      </c>
    </row>
    <row r="386" spans="1:11" ht="67.5">
      <c r="A386" s="481" t="s">
        <v>47</v>
      </c>
      <c r="B386" s="481" t="s">
        <v>5665</v>
      </c>
      <c r="C386" s="479">
        <v>0.30555555555555552</v>
      </c>
      <c r="D386" s="481" t="s">
        <v>5665</v>
      </c>
      <c r="E386" s="520">
        <v>0.47361111111111115</v>
      </c>
      <c r="F386" s="481" t="s">
        <v>3616</v>
      </c>
      <c r="G386" s="481" t="s">
        <v>124</v>
      </c>
      <c r="H386" s="481" t="s">
        <v>3463</v>
      </c>
      <c r="I386" s="481" t="s">
        <v>100</v>
      </c>
      <c r="J386" s="481" t="s">
        <v>3055</v>
      </c>
      <c r="K386" s="481" t="s">
        <v>3055</v>
      </c>
    </row>
    <row r="387" spans="1:11" ht="33.75">
      <c r="A387" s="481" t="s">
        <v>47</v>
      </c>
      <c r="B387" s="481" t="s">
        <v>5669</v>
      </c>
      <c r="C387" s="479">
        <v>0.55138888888888882</v>
      </c>
      <c r="D387" s="481" t="s">
        <v>5669</v>
      </c>
      <c r="E387" s="520">
        <v>0.57986111111111105</v>
      </c>
      <c r="F387" s="481" t="s">
        <v>2801</v>
      </c>
      <c r="G387" s="481" t="s">
        <v>124</v>
      </c>
      <c r="H387" s="481" t="s">
        <v>3356</v>
      </c>
      <c r="I387" s="481" t="s">
        <v>100</v>
      </c>
      <c r="J387" s="481" t="s">
        <v>3055</v>
      </c>
      <c r="K387" s="481" t="s">
        <v>3055</v>
      </c>
    </row>
    <row r="388" spans="1:11" ht="78.75">
      <c r="A388" s="481" t="s">
        <v>47</v>
      </c>
      <c r="B388" s="481" t="s">
        <v>5669</v>
      </c>
      <c r="C388" s="479">
        <v>0.66666666666666663</v>
      </c>
      <c r="D388" s="481" t="s">
        <v>45</v>
      </c>
      <c r="E388" s="520" t="s">
        <v>45</v>
      </c>
      <c r="F388" s="481" t="s">
        <v>2895</v>
      </c>
      <c r="G388" s="481" t="s">
        <v>3143</v>
      </c>
      <c r="H388" s="481" t="s">
        <v>3402</v>
      </c>
      <c r="I388" s="481" t="s">
        <v>100</v>
      </c>
      <c r="J388" s="481" t="s">
        <v>5625</v>
      </c>
      <c r="K388" s="481" t="s">
        <v>45</v>
      </c>
    </row>
    <row r="389" spans="1:11" ht="67.5">
      <c r="A389" s="481" t="s">
        <v>47</v>
      </c>
      <c r="B389" s="481" t="s">
        <v>5670</v>
      </c>
      <c r="C389" s="479">
        <v>0.22569444444444445</v>
      </c>
      <c r="D389" s="481" t="s">
        <v>5670</v>
      </c>
      <c r="E389" s="520">
        <v>0.59513888888888888</v>
      </c>
      <c r="F389" s="481" t="s">
        <v>5671</v>
      </c>
      <c r="G389" s="481" t="s">
        <v>124</v>
      </c>
      <c r="H389" s="481" t="s">
        <v>3411</v>
      </c>
      <c r="I389" s="481" t="s">
        <v>2483</v>
      </c>
      <c r="J389" s="481" t="s">
        <v>3055</v>
      </c>
      <c r="K389" s="481" t="s">
        <v>3055</v>
      </c>
    </row>
    <row r="390" spans="1:11" ht="67.5">
      <c r="A390" s="481" t="s">
        <v>47</v>
      </c>
      <c r="B390" s="481" t="s">
        <v>5670</v>
      </c>
      <c r="C390" s="479">
        <v>0.71111111111111114</v>
      </c>
      <c r="D390" s="481" t="s">
        <v>45</v>
      </c>
      <c r="E390" s="520" t="s">
        <v>45</v>
      </c>
      <c r="F390" s="481" t="s">
        <v>3956</v>
      </c>
      <c r="G390" s="481" t="s">
        <v>674</v>
      </c>
      <c r="H390" s="481" t="s">
        <v>3411</v>
      </c>
      <c r="I390" s="481" t="s">
        <v>2483</v>
      </c>
      <c r="J390" s="481" t="s">
        <v>45</v>
      </c>
      <c r="K390" s="481" t="s">
        <v>45</v>
      </c>
    </row>
    <row r="391" spans="1:11" ht="33.75">
      <c r="A391" s="481" t="s">
        <v>47</v>
      </c>
      <c r="B391" s="481" t="s">
        <v>5672</v>
      </c>
      <c r="C391" s="479">
        <v>0.83333333333333337</v>
      </c>
      <c r="D391" s="481" t="s">
        <v>5673</v>
      </c>
      <c r="E391" s="520">
        <v>0</v>
      </c>
      <c r="F391" s="481" t="s">
        <v>4430</v>
      </c>
      <c r="G391" s="481" t="s">
        <v>124</v>
      </c>
      <c r="H391" s="481" t="s">
        <v>3451</v>
      </c>
      <c r="I391" s="481" t="s">
        <v>22</v>
      </c>
      <c r="J391" s="481" t="s">
        <v>45</v>
      </c>
      <c r="K391" s="481" t="s">
        <v>4937</v>
      </c>
    </row>
    <row r="392" spans="1:11" ht="33.75">
      <c r="A392" s="481" t="s">
        <v>47</v>
      </c>
      <c r="B392" s="481" t="s">
        <v>5672</v>
      </c>
      <c r="C392" s="479">
        <v>0.79166666666666663</v>
      </c>
      <c r="D392" s="481" t="s">
        <v>5674</v>
      </c>
      <c r="E392" s="520">
        <v>0.25</v>
      </c>
      <c r="F392" s="481" t="s">
        <v>3616</v>
      </c>
      <c r="G392" s="481" t="s">
        <v>124</v>
      </c>
      <c r="H392" s="481" t="s">
        <v>3451</v>
      </c>
      <c r="I392" s="481" t="s">
        <v>22</v>
      </c>
      <c r="J392" s="481" t="s">
        <v>45</v>
      </c>
      <c r="K392" s="481" t="s">
        <v>5675</v>
      </c>
    </row>
  </sheetData>
  <autoFilter ref="A2:K2" xr:uid="{00000000-0009-0000-0000-000014000000}"/>
  <mergeCells count="1">
    <mergeCell ref="A1:K1"/>
  </mergeCells>
  <printOptions gridLines="1"/>
  <pageMargins left="0.25" right="0.25" top="0.75" bottom="0.75" header="0.3" footer="0.3"/>
  <pageSetup scale="88" fitToHeight="0" orientation="landscape"/>
  <headerFooter>
    <oddFooter>&amp;C&amp;"Arial,Bold"Page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B83CC-579F-4F1C-BAC2-3A9F685C1554}">
  <dimension ref="A1:K372"/>
  <sheetViews>
    <sheetView zoomScale="175" zoomScaleNormal="175" workbookViewId="0">
      <pane ySplit="2" topLeftCell="A4" activePane="bottomLeft" state="frozen"/>
      <selection pane="bottomLeft" activeCell="B4" sqref="B4"/>
    </sheetView>
  </sheetViews>
  <sheetFormatPr defaultRowHeight="9"/>
  <cols>
    <col min="1" max="1" width="8.140625" style="727" customWidth="1"/>
    <col min="2" max="2" width="8.42578125" style="689" customWidth="1"/>
    <col min="3" max="3" width="14.140625" style="690" customWidth="1"/>
    <col min="4" max="4" width="10.42578125" style="689" customWidth="1"/>
    <col min="5" max="5" width="8.85546875" style="689" customWidth="1"/>
    <col min="6" max="6" width="12.5703125" style="689" customWidth="1"/>
    <col min="7" max="7" width="7.42578125" style="689" customWidth="1"/>
    <col min="8" max="8" width="23.28515625" style="689" customWidth="1"/>
    <col min="9" max="9" width="10.140625" style="689" customWidth="1"/>
    <col min="10" max="10" width="7.42578125" style="726" customWidth="1"/>
    <col min="11" max="11" width="9.140625" style="726"/>
    <col min="12" max="256" width="9.140625" style="684"/>
    <col min="257" max="257" width="8.140625" style="684" customWidth="1"/>
    <col min="258" max="258" width="8.42578125" style="684" customWidth="1"/>
    <col min="259" max="259" width="14.140625" style="684" customWidth="1"/>
    <col min="260" max="260" width="10.42578125" style="684" customWidth="1"/>
    <col min="261" max="261" width="8.85546875" style="684" customWidth="1"/>
    <col min="262" max="262" width="12.5703125" style="684" customWidth="1"/>
    <col min="263" max="263" width="7.42578125" style="684" customWidth="1"/>
    <col min="264" max="264" width="23.28515625" style="684" customWidth="1"/>
    <col min="265" max="265" width="10.140625" style="684" customWidth="1"/>
    <col min="266" max="266" width="7.42578125" style="684" customWidth="1"/>
    <col min="267" max="512" width="9.140625" style="684"/>
    <col min="513" max="513" width="8.140625" style="684" customWidth="1"/>
    <col min="514" max="514" width="8.42578125" style="684" customWidth="1"/>
    <col min="515" max="515" width="14.140625" style="684" customWidth="1"/>
    <col min="516" max="516" width="10.42578125" style="684" customWidth="1"/>
    <col min="517" max="517" width="8.85546875" style="684" customWidth="1"/>
    <col min="518" max="518" width="12.5703125" style="684" customWidth="1"/>
    <col min="519" max="519" width="7.42578125" style="684" customWidth="1"/>
    <col min="520" max="520" width="23.28515625" style="684" customWidth="1"/>
    <col min="521" max="521" width="10.140625" style="684" customWidth="1"/>
    <col min="522" max="522" width="7.42578125" style="684" customWidth="1"/>
    <col min="523" max="768" width="9.140625" style="684"/>
    <col min="769" max="769" width="8.140625" style="684" customWidth="1"/>
    <col min="770" max="770" width="8.42578125" style="684" customWidth="1"/>
    <col min="771" max="771" width="14.140625" style="684" customWidth="1"/>
    <col min="772" max="772" width="10.42578125" style="684" customWidth="1"/>
    <col min="773" max="773" width="8.85546875" style="684" customWidth="1"/>
    <col min="774" max="774" width="12.5703125" style="684" customWidth="1"/>
    <col min="775" max="775" width="7.42578125" style="684" customWidth="1"/>
    <col min="776" max="776" width="23.28515625" style="684" customWidth="1"/>
    <col min="777" max="777" width="10.140625" style="684" customWidth="1"/>
    <col min="778" max="778" width="7.42578125" style="684" customWidth="1"/>
    <col min="779" max="1024" width="9.140625" style="684"/>
    <col min="1025" max="1025" width="8.140625" style="684" customWidth="1"/>
    <col min="1026" max="1026" width="8.42578125" style="684" customWidth="1"/>
    <col min="1027" max="1027" width="14.140625" style="684" customWidth="1"/>
    <col min="1028" max="1028" width="10.42578125" style="684" customWidth="1"/>
    <col min="1029" max="1029" width="8.85546875" style="684" customWidth="1"/>
    <col min="1030" max="1030" width="12.5703125" style="684" customWidth="1"/>
    <col min="1031" max="1031" width="7.42578125" style="684" customWidth="1"/>
    <col min="1032" max="1032" width="23.28515625" style="684" customWidth="1"/>
    <col min="1033" max="1033" width="10.140625" style="684" customWidth="1"/>
    <col min="1034" max="1034" width="7.42578125" style="684" customWidth="1"/>
    <col min="1035" max="1280" width="9.140625" style="684"/>
    <col min="1281" max="1281" width="8.140625" style="684" customWidth="1"/>
    <col min="1282" max="1282" width="8.42578125" style="684" customWidth="1"/>
    <col min="1283" max="1283" width="14.140625" style="684" customWidth="1"/>
    <col min="1284" max="1284" width="10.42578125" style="684" customWidth="1"/>
    <col min="1285" max="1285" width="8.85546875" style="684" customWidth="1"/>
    <col min="1286" max="1286" width="12.5703125" style="684" customWidth="1"/>
    <col min="1287" max="1287" width="7.42578125" style="684" customWidth="1"/>
    <col min="1288" max="1288" width="23.28515625" style="684" customWidth="1"/>
    <col min="1289" max="1289" width="10.140625" style="684" customWidth="1"/>
    <col min="1290" max="1290" width="7.42578125" style="684" customWidth="1"/>
    <col min="1291" max="1536" width="9.140625" style="684"/>
    <col min="1537" max="1537" width="8.140625" style="684" customWidth="1"/>
    <col min="1538" max="1538" width="8.42578125" style="684" customWidth="1"/>
    <col min="1539" max="1539" width="14.140625" style="684" customWidth="1"/>
    <col min="1540" max="1540" width="10.42578125" style="684" customWidth="1"/>
    <col min="1541" max="1541" width="8.85546875" style="684" customWidth="1"/>
    <col min="1542" max="1542" width="12.5703125" style="684" customWidth="1"/>
    <col min="1543" max="1543" width="7.42578125" style="684" customWidth="1"/>
    <col min="1544" max="1544" width="23.28515625" style="684" customWidth="1"/>
    <col min="1545" max="1545" width="10.140625" style="684" customWidth="1"/>
    <col min="1546" max="1546" width="7.42578125" style="684" customWidth="1"/>
    <col min="1547" max="1792" width="9.140625" style="684"/>
    <col min="1793" max="1793" width="8.140625" style="684" customWidth="1"/>
    <col min="1794" max="1794" width="8.42578125" style="684" customWidth="1"/>
    <col min="1795" max="1795" width="14.140625" style="684" customWidth="1"/>
    <col min="1796" max="1796" width="10.42578125" style="684" customWidth="1"/>
    <col min="1797" max="1797" width="8.85546875" style="684" customWidth="1"/>
    <col min="1798" max="1798" width="12.5703125" style="684" customWidth="1"/>
    <col min="1799" max="1799" width="7.42578125" style="684" customWidth="1"/>
    <col min="1800" max="1800" width="23.28515625" style="684" customWidth="1"/>
    <col min="1801" max="1801" width="10.140625" style="684" customWidth="1"/>
    <col min="1802" max="1802" width="7.42578125" style="684" customWidth="1"/>
    <col min="1803" max="2048" width="9.140625" style="684"/>
    <col min="2049" max="2049" width="8.140625" style="684" customWidth="1"/>
    <col min="2050" max="2050" width="8.42578125" style="684" customWidth="1"/>
    <col min="2051" max="2051" width="14.140625" style="684" customWidth="1"/>
    <col min="2052" max="2052" width="10.42578125" style="684" customWidth="1"/>
    <col min="2053" max="2053" width="8.85546875" style="684" customWidth="1"/>
    <col min="2054" max="2054" width="12.5703125" style="684" customWidth="1"/>
    <col min="2055" max="2055" width="7.42578125" style="684" customWidth="1"/>
    <col min="2056" max="2056" width="23.28515625" style="684" customWidth="1"/>
    <col min="2057" max="2057" width="10.140625" style="684" customWidth="1"/>
    <col min="2058" max="2058" width="7.42578125" style="684" customWidth="1"/>
    <col min="2059" max="2304" width="9.140625" style="684"/>
    <col min="2305" max="2305" width="8.140625" style="684" customWidth="1"/>
    <col min="2306" max="2306" width="8.42578125" style="684" customWidth="1"/>
    <col min="2307" max="2307" width="14.140625" style="684" customWidth="1"/>
    <col min="2308" max="2308" width="10.42578125" style="684" customWidth="1"/>
    <col min="2309" max="2309" width="8.85546875" style="684" customWidth="1"/>
    <col min="2310" max="2310" width="12.5703125" style="684" customWidth="1"/>
    <col min="2311" max="2311" width="7.42578125" style="684" customWidth="1"/>
    <col min="2312" max="2312" width="23.28515625" style="684" customWidth="1"/>
    <col min="2313" max="2313" width="10.140625" style="684" customWidth="1"/>
    <col min="2314" max="2314" width="7.42578125" style="684" customWidth="1"/>
    <col min="2315" max="2560" width="9.140625" style="684"/>
    <col min="2561" max="2561" width="8.140625" style="684" customWidth="1"/>
    <col min="2562" max="2562" width="8.42578125" style="684" customWidth="1"/>
    <col min="2563" max="2563" width="14.140625" style="684" customWidth="1"/>
    <col min="2564" max="2564" width="10.42578125" style="684" customWidth="1"/>
    <col min="2565" max="2565" width="8.85546875" style="684" customWidth="1"/>
    <col min="2566" max="2566" width="12.5703125" style="684" customWidth="1"/>
    <col min="2567" max="2567" width="7.42578125" style="684" customWidth="1"/>
    <col min="2568" max="2568" width="23.28515625" style="684" customWidth="1"/>
    <col min="2569" max="2569" width="10.140625" style="684" customWidth="1"/>
    <col min="2570" max="2570" width="7.42578125" style="684" customWidth="1"/>
    <col min="2571" max="2816" width="9.140625" style="684"/>
    <col min="2817" max="2817" width="8.140625" style="684" customWidth="1"/>
    <col min="2818" max="2818" width="8.42578125" style="684" customWidth="1"/>
    <col min="2819" max="2819" width="14.140625" style="684" customWidth="1"/>
    <col min="2820" max="2820" width="10.42578125" style="684" customWidth="1"/>
    <col min="2821" max="2821" width="8.85546875" style="684" customWidth="1"/>
    <col min="2822" max="2822" width="12.5703125" style="684" customWidth="1"/>
    <col min="2823" max="2823" width="7.42578125" style="684" customWidth="1"/>
    <col min="2824" max="2824" width="23.28515625" style="684" customWidth="1"/>
    <col min="2825" max="2825" width="10.140625" style="684" customWidth="1"/>
    <col min="2826" max="2826" width="7.42578125" style="684" customWidth="1"/>
    <col min="2827" max="3072" width="9.140625" style="684"/>
    <col min="3073" max="3073" width="8.140625" style="684" customWidth="1"/>
    <col min="3074" max="3074" width="8.42578125" style="684" customWidth="1"/>
    <col min="3075" max="3075" width="14.140625" style="684" customWidth="1"/>
    <col min="3076" max="3076" width="10.42578125" style="684" customWidth="1"/>
    <col min="3077" max="3077" width="8.85546875" style="684" customWidth="1"/>
    <col min="3078" max="3078" width="12.5703125" style="684" customWidth="1"/>
    <col min="3079" max="3079" width="7.42578125" style="684" customWidth="1"/>
    <col min="3080" max="3080" width="23.28515625" style="684" customWidth="1"/>
    <col min="3081" max="3081" width="10.140625" style="684" customWidth="1"/>
    <col min="3082" max="3082" width="7.42578125" style="684" customWidth="1"/>
    <col min="3083" max="3328" width="9.140625" style="684"/>
    <col min="3329" max="3329" width="8.140625" style="684" customWidth="1"/>
    <col min="3330" max="3330" width="8.42578125" style="684" customWidth="1"/>
    <col min="3331" max="3331" width="14.140625" style="684" customWidth="1"/>
    <col min="3332" max="3332" width="10.42578125" style="684" customWidth="1"/>
    <col min="3333" max="3333" width="8.85546875" style="684" customWidth="1"/>
    <col min="3334" max="3334" width="12.5703125" style="684" customWidth="1"/>
    <col min="3335" max="3335" width="7.42578125" style="684" customWidth="1"/>
    <col min="3336" max="3336" width="23.28515625" style="684" customWidth="1"/>
    <col min="3337" max="3337" width="10.140625" style="684" customWidth="1"/>
    <col min="3338" max="3338" width="7.42578125" style="684" customWidth="1"/>
    <col min="3339" max="3584" width="9.140625" style="684"/>
    <col min="3585" max="3585" width="8.140625" style="684" customWidth="1"/>
    <col min="3586" max="3586" width="8.42578125" style="684" customWidth="1"/>
    <col min="3587" max="3587" width="14.140625" style="684" customWidth="1"/>
    <col min="3588" max="3588" width="10.42578125" style="684" customWidth="1"/>
    <col min="3589" max="3589" width="8.85546875" style="684" customWidth="1"/>
    <col min="3590" max="3590" width="12.5703125" style="684" customWidth="1"/>
    <col min="3591" max="3591" width="7.42578125" style="684" customWidth="1"/>
    <col min="3592" max="3592" width="23.28515625" style="684" customWidth="1"/>
    <col min="3593" max="3593" width="10.140625" style="684" customWidth="1"/>
    <col min="3594" max="3594" width="7.42578125" style="684" customWidth="1"/>
    <col min="3595" max="3840" width="9.140625" style="684"/>
    <col min="3841" max="3841" width="8.140625" style="684" customWidth="1"/>
    <col min="3842" max="3842" width="8.42578125" style="684" customWidth="1"/>
    <col min="3843" max="3843" width="14.140625" style="684" customWidth="1"/>
    <col min="3844" max="3844" width="10.42578125" style="684" customWidth="1"/>
    <col min="3845" max="3845" width="8.85546875" style="684" customWidth="1"/>
    <col min="3846" max="3846" width="12.5703125" style="684" customWidth="1"/>
    <col min="3847" max="3847" width="7.42578125" style="684" customWidth="1"/>
    <col min="3848" max="3848" width="23.28515625" style="684" customWidth="1"/>
    <col min="3849" max="3849" width="10.140625" style="684" customWidth="1"/>
    <col min="3850" max="3850" width="7.42578125" style="684" customWidth="1"/>
    <col min="3851" max="4096" width="9.140625" style="684"/>
    <col min="4097" max="4097" width="8.140625" style="684" customWidth="1"/>
    <col min="4098" max="4098" width="8.42578125" style="684" customWidth="1"/>
    <col min="4099" max="4099" width="14.140625" style="684" customWidth="1"/>
    <col min="4100" max="4100" width="10.42578125" style="684" customWidth="1"/>
    <col min="4101" max="4101" width="8.85546875" style="684" customWidth="1"/>
    <col min="4102" max="4102" width="12.5703125" style="684" customWidth="1"/>
    <col min="4103" max="4103" width="7.42578125" style="684" customWidth="1"/>
    <col min="4104" max="4104" width="23.28515625" style="684" customWidth="1"/>
    <col min="4105" max="4105" width="10.140625" style="684" customWidth="1"/>
    <col min="4106" max="4106" width="7.42578125" style="684" customWidth="1"/>
    <col min="4107" max="4352" width="9.140625" style="684"/>
    <col min="4353" max="4353" width="8.140625" style="684" customWidth="1"/>
    <col min="4354" max="4354" width="8.42578125" style="684" customWidth="1"/>
    <col min="4355" max="4355" width="14.140625" style="684" customWidth="1"/>
    <col min="4356" max="4356" width="10.42578125" style="684" customWidth="1"/>
    <col min="4357" max="4357" width="8.85546875" style="684" customWidth="1"/>
    <col min="4358" max="4358" width="12.5703125" style="684" customWidth="1"/>
    <col min="4359" max="4359" width="7.42578125" style="684" customWidth="1"/>
    <col min="4360" max="4360" width="23.28515625" style="684" customWidth="1"/>
    <col min="4361" max="4361" width="10.140625" style="684" customWidth="1"/>
    <col min="4362" max="4362" width="7.42578125" style="684" customWidth="1"/>
    <col min="4363" max="4608" width="9.140625" style="684"/>
    <col min="4609" max="4609" width="8.140625" style="684" customWidth="1"/>
    <col min="4610" max="4610" width="8.42578125" style="684" customWidth="1"/>
    <col min="4611" max="4611" width="14.140625" style="684" customWidth="1"/>
    <col min="4612" max="4612" width="10.42578125" style="684" customWidth="1"/>
    <col min="4613" max="4613" width="8.85546875" style="684" customWidth="1"/>
    <col min="4614" max="4614" width="12.5703125" style="684" customWidth="1"/>
    <col min="4615" max="4615" width="7.42578125" style="684" customWidth="1"/>
    <col min="4616" max="4616" width="23.28515625" style="684" customWidth="1"/>
    <col min="4617" max="4617" width="10.140625" style="684" customWidth="1"/>
    <col min="4618" max="4618" width="7.42578125" style="684" customWidth="1"/>
    <col min="4619" max="4864" width="9.140625" style="684"/>
    <col min="4865" max="4865" width="8.140625" style="684" customWidth="1"/>
    <col min="4866" max="4866" width="8.42578125" style="684" customWidth="1"/>
    <col min="4867" max="4867" width="14.140625" style="684" customWidth="1"/>
    <col min="4868" max="4868" width="10.42578125" style="684" customWidth="1"/>
    <col min="4869" max="4869" width="8.85546875" style="684" customWidth="1"/>
    <col min="4870" max="4870" width="12.5703125" style="684" customWidth="1"/>
    <col min="4871" max="4871" width="7.42578125" style="684" customWidth="1"/>
    <col min="4872" max="4872" width="23.28515625" style="684" customWidth="1"/>
    <col min="4873" max="4873" width="10.140625" style="684" customWidth="1"/>
    <col min="4874" max="4874" width="7.42578125" style="684" customWidth="1"/>
    <col min="4875" max="5120" width="9.140625" style="684"/>
    <col min="5121" max="5121" width="8.140625" style="684" customWidth="1"/>
    <col min="5122" max="5122" width="8.42578125" style="684" customWidth="1"/>
    <col min="5123" max="5123" width="14.140625" style="684" customWidth="1"/>
    <col min="5124" max="5124" width="10.42578125" style="684" customWidth="1"/>
    <col min="5125" max="5125" width="8.85546875" style="684" customWidth="1"/>
    <col min="5126" max="5126" width="12.5703125" style="684" customWidth="1"/>
    <col min="5127" max="5127" width="7.42578125" style="684" customWidth="1"/>
    <col min="5128" max="5128" width="23.28515625" style="684" customWidth="1"/>
    <col min="5129" max="5129" width="10.140625" style="684" customWidth="1"/>
    <col min="5130" max="5130" width="7.42578125" style="684" customWidth="1"/>
    <col min="5131" max="5376" width="9.140625" style="684"/>
    <col min="5377" max="5377" width="8.140625" style="684" customWidth="1"/>
    <col min="5378" max="5378" width="8.42578125" style="684" customWidth="1"/>
    <col min="5379" max="5379" width="14.140625" style="684" customWidth="1"/>
    <col min="5380" max="5380" width="10.42578125" style="684" customWidth="1"/>
    <col min="5381" max="5381" width="8.85546875" style="684" customWidth="1"/>
    <col min="5382" max="5382" width="12.5703125" style="684" customWidth="1"/>
    <col min="5383" max="5383" width="7.42578125" style="684" customWidth="1"/>
    <col min="5384" max="5384" width="23.28515625" style="684" customWidth="1"/>
    <col min="5385" max="5385" width="10.140625" style="684" customWidth="1"/>
    <col min="5386" max="5386" width="7.42578125" style="684" customWidth="1"/>
    <col min="5387" max="5632" width="9.140625" style="684"/>
    <col min="5633" max="5633" width="8.140625" style="684" customWidth="1"/>
    <col min="5634" max="5634" width="8.42578125" style="684" customWidth="1"/>
    <col min="5635" max="5635" width="14.140625" style="684" customWidth="1"/>
    <col min="5636" max="5636" width="10.42578125" style="684" customWidth="1"/>
    <col min="5637" max="5637" width="8.85546875" style="684" customWidth="1"/>
    <col min="5638" max="5638" width="12.5703125" style="684" customWidth="1"/>
    <col min="5639" max="5639" width="7.42578125" style="684" customWidth="1"/>
    <col min="5640" max="5640" width="23.28515625" style="684" customWidth="1"/>
    <col min="5641" max="5641" width="10.140625" style="684" customWidth="1"/>
    <col min="5642" max="5642" width="7.42578125" style="684" customWidth="1"/>
    <col min="5643" max="5888" width="9.140625" style="684"/>
    <col min="5889" max="5889" width="8.140625" style="684" customWidth="1"/>
    <col min="5890" max="5890" width="8.42578125" style="684" customWidth="1"/>
    <col min="5891" max="5891" width="14.140625" style="684" customWidth="1"/>
    <col min="5892" max="5892" width="10.42578125" style="684" customWidth="1"/>
    <col min="5893" max="5893" width="8.85546875" style="684" customWidth="1"/>
    <col min="5894" max="5894" width="12.5703125" style="684" customWidth="1"/>
    <col min="5895" max="5895" width="7.42578125" style="684" customWidth="1"/>
    <col min="5896" max="5896" width="23.28515625" style="684" customWidth="1"/>
    <col min="5897" max="5897" width="10.140625" style="684" customWidth="1"/>
    <col min="5898" max="5898" width="7.42578125" style="684" customWidth="1"/>
    <col min="5899" max="6144" width="9.140625" style="684"/>
    <col min="6145" max="6145" width="8.140625" style="684" customWidth="1"/>
    <col min="6146" max="6146" width="8.42578125" style="684" customWidth="1"/>
    <col min="6147" max="6147" width="14.140625" style="684" customWidth="1"/>
    <col min="6148" max="6148" width="10.42578125" style="684" customWidth="1"/>
    <col min="6149" max="6149" width="8.85546875" style="684" customWidth="1"/>
    <col min="6150" max="6150" width="12.5703125" style="684" customWidth="1"/>
    <col min="6151" max="6151" width="7.42578125" style="684" customWidth="1"/>
    <col min="6152" max="6152" width="23.28515625" style="684" customWidth="1"/>
    <col min="6153" max="6153" width="10.140625" style="684" customWidth="1"/>
    <col min="6154" max="6154" width="7.42578125" style="684" customWidth="1"/>
    <col min="6155" max="6400" width="9.140625" style="684"/>
    <col min="6401" max="6401" width="8.140625" style="684" customWidth="1"/>
    <col min="6402" max="6402" width="8.42578125" style="684" customWidth="1"/>
    <col min="6403" max="6403" width="14.140625" style="684" customWidth="1"/>
    <col min="6404" max="6404" width="10.42578125" style="684" customWidth="1"/>
    <col min="6405" max="6405" width="8.85546875" style="684" customWidth="1"/>
    <col min="6406" max="6406" width="12.5703125" style="684" customWidth="1"/>
    <col min="6407" max="6407" width="7.42578125" style="684" customWidth="1"/>
    <col min="6408" max="6408" width="23.28515625" style="684" customWidth="1"/>
    <col min="6409" max="6409" width="10.140625" style="684" customWidth="1"/>
    <col min="6410" max="6410" width="7.42578125" style="684" customWidth="1"/>
    <col min="6411" max="6656" width="9.140625" style="684"/>
    <col min="6657" max="6657" width="8.140625" style="684" customWidth="1"/>
    <col min="6658" max="6658" width="8.42578125" style="684" customWidth="1"/>
    <col min="6659" max="6659" width="14.140625" style="684" customWidth="1"/>
    <col min="6660" max="6660" width="10.42578125" style="684" customWidth="1"/>
    <col min="6661" max="6661" width="8.85546875" style="684" customWidth="1"/>
    <col min="6662" max="6662" width="12.5703125" style="684" customWidth="1"/>
    <col min="6663" max="6663" width="7.42578125" style="684" customWidth="1"/>
    <col min="6664" max="6664" width="23.28515625" style="684" customWidth="1"/>
    <col min="6665" max="6665" width="10.140625" style="684" customWidth="1"/>
    <col min="6666" max="6666" width="7.42578125" style="684" customWidth="1"/>
    <col min="6667" max="6912" width="9.140625" style="684"/>
    <col min="6913" max="6913" width="8.140625" style="684" customWidth="1"/>
    <col min="6914" max="6914" width="8.42578125" style="684" customWidth="1"/>
    <col min="6915" max="6915" width="14.140625" style="684" customWidth="1"/>
    <col min="6916" max="6916" width="10.42578125" style="684" customWidth="1"/>
    <col min="6917" max="6917" width="8.85546875" style="684" customWidth="1"/>
    <col min="6918" max="6918" width="12.5703125" style="684" customWidth="1"/>
    <col min="6919" max="6919" width="7.42578125" style="684" customWidth="1"/>
    <col min="6920" max="6920" width="23.28515625" style="684" customWidth="1"/>
    <col min="6921" max="6921" width="10.140625" style="684" customWidth="1"/>
    <col min="6922" max="6922" width="7.42578125" style="684" customWidth="1"/>
    <col min="6923" max="7168" width="9.140625" style="684"/>
    <col min="7169" max="7169" width="8.140625" style="684" customWidth="1"/>
    <col min="7170" max="7170" width="8.42578125" style="684" customWidth="1"/>
    <col min="7171" max="7171" width="14.140625" style="684" customWidth="1"/>
    <col min="7172" max="7172" width="10.42578125" style="684" customWidth="1"/>
    <col min="7173" max="7173" width="8.85546875" style="684" customWidth="1"/>
    <col min="7174" max="7174" width="12.5703125" style="684" customWidth="1"/>
    <col min="7175" max="7175" width="7.42578125" style="684" customWidth="1"/>
    <col min="7176" max="7176" width="23.28515625" style="684" customWidth="1"/>
    <col min="7177" max="7177" width="10.140625" style="684" customWidth="1"/>
    <col min="7178" max="7178" width="7.42578125" style="684" customWidth="1"/>
    <col min="7179" max="7424" width="9.140625" style="684"/>
    <col min="7425" max="7425" width="8.140625" style="684" customWidth="1"/>
    <col min="7426" max="7426" width="8.42578125" style="684" customWidth="1"/>
    <col min="7427" max="7427" width="14.140625" style="684" customWidth="1"/>
    <col min="7428" max="7428" width="10.42578125" style="684" customWidth="1"/>
    <col min="7429" max="7429" width="8.85546875" style="684" customWidth="1"/>
    <col min="7430" max="7430" width="12.5703125" style="684" customWidth="1"/>
    <col min="7431" max="7431" width="7.42578125" style="684" customWidth="1"/>
    <col min="7432" max="7432" width="23.28515625" style="684" customWidth="1"/>
    <col min="7433" max="7433" width="10.140625" style="684" customWidth="1"/>
    <col min="7434" max="7434" width="7.42578125" style="684" customWidth="1"/>
    <col min="7435" max="7680" width="9.140625" style="684"/>
    <col min="7681" max="7681" width="8.140625" style="684" customWidth="1"/>
    <col min="7682" max="7682" width="8.42578125" style="684" customWidth="1"/>
    <col min="7683" max="7683" width="14.140625" style="684" customWidth="1"/>
    <col min="7684" max="7684" width="10.42578125" style="684" customWidth="1"/>
    <col min="7685" max="7685" width="8.85546875" style="684" customWidth="1"/>
    <col min="7686" max="7686" width="12.5703125" style="684" customWidth="1"/>
    <col min="7687" max="7687" width="7.42578125" style="684" customWidth="1"/>
    <col min="7688" max="7688" width="23.28515625" style="684" customWidth="1"/>
    <col min="7689" max="7689" width="10.140625" style="684" customWidth="1"/>
    <col min="7690" max="7690" width="7.42578125" style="684" customWidth="1"/>
    <col min="7691" max="7936" width="9.140625" style="684"/>
    <col min="7937" max="7937" width="8.140625" style="684" customWidth="1"/>
    <col min="7938" max="7938" width="8.42578125" style="684" customWidth="1"/>
    <col min="7939" max="7939" width="14.140625" style="684" customWidth="1"/>
    <col min="7940" max="7940" width="10.42578125" style="684" customWidth="1"/>
    <col min="7941" max="7941" width="8.85546875" style="684" customWidth="1"/>
    <col min="7942" max="7942" width="12.5703125" style="684" customWidth="1"/>
    <col min="7943" max="7943" width="7.42578125" style="684" customWidth="1"/>
    <col min="7944" max="7944" width="23.28515625" style="684" customWidth="1"/>
    <col min="7945" max="7945" width="10.140625" style="684" customWidth="1"/>
    <col min="7946" max="7946" width="7.42578125" style="684" customWidth="1"/>
    <col min="7947" max="8192" width="9.140625" style="684"/>
    <col min="8193" max="8193" width="8.140625" style="684" customWidth="1"/>
    <col min="8194" max="8194" width="8.42578125" style="684" customWidth="1"/>
    <col min="8195" max="8195" width="14.140625" style="684" customWidth="1"/>
    <col min="8196" max="8196" width="10.42578125" style="684" customWidth="1"/>
    <col min="8197" max="8197" width="8.85546875" style="684" customWidth="1"/>
    <col min="8198" max="8198" width="12.5703125" style="684" customWidth="1"/>
    <col min="8199" max="8199" width="7.42578125" style="684" customWidth="1"/>
    <col min="8200" max="8200" width="23.28515625" style="684" customWidth="1"/>
    <col min="8201" max="8201" width="10.140625" style="684" customWidth="1"/>
    <col min="8202" max="8202" width="7.42578125" style="684" customWidth="1"/>
    <col min="8203" max="8448" width="9.140625" style="684"/>
    <col min="8449" max="8449" width="8.140625" style="684" customWidth="1"/>
    <col min="8450" max="8450" width="8.42578125" style="684" customWidth="1"/>
    <col min="8451" max="8451" width="14.140625" style="684" customWidth="1"/>
    <col min="8452" max="8452" width="10.42578125" style="684" customWidth="1"/>
    <col min="8453" max="8453" width="8.85546875" style="684" customWidth="1"/>
    <col min="8454" max="8454" width="12.5703125" style="684" customWidth="1"/>
    <col min="8455" max="8455" width="7.42578125" style="684" customWidth="1"/>
    <col min="8456" max="8456" width="23.28515625" style="684" customWidth="1"/>
    <col min="8457" max="8457" width="10.140625" style="684" customWidth="1"/>
    <col min="8458" max="8458" width="7.42578125" style="684" customWidth="1"/>
    <col min="8459" max="8704" width="9.140625" style="684"/>
    <col min="8705" max="8705" width="8.140625" style="684" customWidth="1"/>
    <col min="8706" max="8706" width="8.42578125" style="684" customWidth="1"/>
    <col min="8707" max="8707" width="14.140625" style="684" customWidth="1"/>
    <col min="8708" max="8708" width="10.42578125" style="684" customWidth="1"/>
    <col min="8709" max="8709" width="8.85546875" style="684" customWidth="1"/>
    <col min="8710" max="8710" width="12.5703125" style="684" customWidth="1"/>
    <col min="8711" max="8711" width="7.42578125" style="684" customWidth="1"/>
    <col min="8712" max="8712" width="23.28515625" style="684" customWidth="1"/>
    <col min="8713" max="8713" width="10.140625" style="684" customWidth="1"/>
    <col min="8714" max="8714" width="7.42578125" style="684" customWidth="1"/>
    <col min="8715" max="8960" width="9.140625" style="684"/>
    <col min="8961" max="8961" width="8.140625" style="684" customWidth="1"/>
    <col min="8962" max="8962" width="8.42578125" style="684" customWidth="1"/>
    <col min="8963" max="8963" width="14.140625" style="684" customWidth="1"/>
    <col min="8964" max="8964" width="10.42578125" style="684" customWidth="1"/>
    <col min="8965" max="8965" width="8.85546875" style="684" customWidth="1"/>
    <col min="8966" max="8966" width="12.5703125" style="684" customWidth="1"/>
    <col min="8967" max="8967" width="7.42578125" style="684" customWidth="1"/>
    <col min="8968" max="8968" width="23.28515625" style="684" customWidth="1"/>
    <col min="8969" max="8969" width="10.140625" style="684" customWidth="1"/>
    <col min="8970" max="8970" width="7.42578125" style="684" customWidth="1"/>
    <col min="8971" max="9216" width="9.140625" style="684"/>
    <col min="9217" max="9217" width="8.140625" style="684" customWidth="1"/>
    <col min="9218" max="9218" width="8.42578125" style="684" customWidth="1"/>
    <col min="9219" max="9219" width="14.140625" style="684" customWidth="1"/>
    <col min="9220" max="9220" width="10.42578125" style="684" customWidth="1"/>
    <col min="9221" max="9221" width="8.85546875" style="684" customWidth="1"/>
    <col min="9222" max="9222" width="12.5703125" style="684" customWidth="1"/>
    <col min="9223" max="9223" width="7.42578125" style="684" customWidth="1"/>
    <col min="9224" max="9224" width="23.28515625" style="684" customWidth="1"/>
    <col min="9225" max="9225" width="10.140625" style="684" customWidth="1"/>
    <col min="9226" max="9226" width="7.42578125" style="684" customWidth="1"/>
    <col min="9227" max="9472" width="9.140625" style="684"/>
    <col min="9473" max="9473" width="8.140625" style="684" customWidth="1"/>
    <col min="9474" max="9474" width="8.42578125" style="684" customWidth="1"/>
    <col min="9475" max="9475" width="14.140625" style="684" customWidth="1"/>
    <col min="9476" max="9476" width="10.42578125" style="684" customWidth="1"/>
    <col min="9477" max="9477" width="8.85546875" style="684" customWidth="1"/>
    <col min="9478" max="9478" width="12.5703125" style="684" customWidth="1"/>
    <col min="9479" max="9479" width="7.42578125" style="684" customWidth="1"/>
    <col min="9480" max="9480" width="23.28515625" style="684" customWidth="1"/>
    <col min="9481" max="9481" width="10.140625" style="684" customWidth="1"/>
    <col min="9482" max="9482" width="7.42578125" style="684" customWidth="1"/>
    <col min="9483" max="9728" width="9.140625" style="684"/>
    <col min="9729" max="9729" width="8.140625" style="684" customWidth="1"/>
    <col min="9730" max="9730" width="8.42578125" style="684" customWidth="1"/>
    <col min="9731" max="9731" width="14.140625" style="684" customWidth="1"/>
    <col min="9732" max="9732" width="10.42578125" style="684" customWidth="1"/>
    <col min="9733" max="9733" width="8.85546875" style="684" customWidth="1"/>
    <col min="9734" max="9734" width="12.5703125" style="684" customWidth="1"/>
    <col min="9735" max="9735" width="7.42578125" style="684" customWidth="1"/>
    <col min="9736" max="9736" width="23.28515625" style="684" customWidth="1"/>
    <col min="9737" max="9737" width="10.140625" style="684" customWidth="1"/>
    <col min="9738" max="9738" width="7.42578125" style="684" customWidth="1"/>
    <col min="9739" max="9984" width="9.140625" style="684"/>
    <col min="9985" max="9985" width="8.140625" style="684" customWidth="1"/>
    <col min="9986" max="9986" width="8.42578125" style="684" customWidth="1"/>
    <col min="9987" max="9987" width="14.140625" style="684" customWidth="1"/>
    <col min="9988" max="9988" width="10.42578125" style="684" customWidth="1"/>
    <col min="9989" max="9989" width="8.85546875" style="684" customWidth="1"/>
    <col min="9990" max="9990" width="12.5703125" style="684" customWidth="1"/>
    <col min="9991" max="9991" width="7.42578125" style="684" customWidth="1"/>
    <col min="9992" max="9992" width="23.28515625" style="684" customWidth="1"/>
    <col min="9993" max="9993" width="10.140625" style="684" customWidth="1"/>
    <col min="9994" max="9994" width="7.42578125" style="684" customWidth="1"/>
    <col min="9995" max="10240" width="9.140625" style="684"/>
    <col min="10241" max="10241" width="8.140625" style="684" customWidth="1"/>
    <col min="10242" max="10242" width="8.42578125" style="684" customWidth="1"/>
    <col min="10243" max="10243" width="14.140625" style="684" customWidth="1"/>
    <col min="10244" max="10244" width="10.42578125" style="684" customWidth="1"/>
    <col min="10245" max="10245" width="8.85546875" style="684" customWidth="1"/>
    <col min="10246" max="10246" width="12.5703125" style="684" customWidth="1"/>
    <col min="10247" max="10247" width="7.42578125" style="684" customWidth="1"/>
    <col min="10248" max="10248" width="23.28515625" style="684" customWidth="1"/>
    <col min="10249" max="10249" width="10.140625" style="684" customWidth="1"/>
    <col min="10250" max="10250" width="7.42578125" style="684" customWidth="1"/>
    <col min="10251" max="10496" width="9.140625" style="684"/>
    <col min="10497" max="10497" width="8.140625" style="684" customWidth="1"/>
    <col min="10498" max="10498" width="8.42578125" style="684" customWidth="1"/>
    <col min="10499" max="10499" width="14.140625" style="684" customWidth="1"/>
    <col min="10500" max="10500" width="10.42578125" style="684" customWidth="1"/>
    <col min="10501" max="10501" width="8.85546875" style="684" customWidth="1"/>
    <col min="10502" max="10502" width="12.5703125" style="684" customWidth="1"/>
    <col min="10503" max="10503" width="7.42578125" style="684" customWidth="1"/>
    <col min="10504" max="10504" width="23.28515625" style="684" customWidth="1"/>
    <col min="10505" max="10505" width="10.140625" style="684" customWidth="1"/>
    <col min="10506" max="10506" width="7.42578125" style="684" customWidth="1"/>
    <col min="10507" max="10752" width="9.140625" style="684"/>
    <col min="10753" max="10753" width="8.140625" style="684" customWidth="1"/>
    <col min="10754" max="10754" width="8.42578125" style="684" customWidth="1"/>
    <col min="10755" max="10755" width="14.140625" style="684" customWidth="1"/>
    <col min="10756" max="10756" width="10.42578125" style="684" customWidth="1"/>
    <col min="10757" max="10757" width="8.85546875" style="684" customWidth="1"/>
    <col min="10758" max="10758" width="12.5703125" style="684" customWidth="1"/>
    <col min="10759" max="10759" width="7.42578125" style="684" customWidth="1"/>
    <col min="10760" max="10760" width="23.28515625" style="684" customWidth="1"/>
    <col min="10761" max="10761" width="10.140625" style="684" customWidth="1"/>
    <col min="10762" max="10762" width="7.42578125" style="684" customWidth="1"/>
    <col min="10763" max="11008" width="9.140625" style="684"/>
    <col min="11009" max="11009" width="8.140625" style="684" customWidth="1"/>
    <col min="11010" max="11010" width="8.42578125" style="684" customWidth="1"/>
    <col min="11011" max="11011" width="14.140625" style="684" customWidth="1"/>
    <col min="11012" max="11012" width="10.42578125" style="684" customWidth="1"/>
    <col min="11013" max="11013" width="8.85546875" style="684" customWidth="1"/>
    <col min="11014" max="11014" width="12.5703125" style="684" customWidth="1"/>
    <col min="11015" max="11015" width="7.42578125" style="684" customWidth="1"/>
    <col min="11016" max="11016" width="23.28515625" style="684" customWidth="1"/>
    <col min="11017" max="11017" width="10.140625" style="684" customWidth="1"/>
    <col min="11018" max="11018" width="7.42578125" style="684" customWidth="1"/>
    <col min="11019" max="11264" width="9.140625" style="684"/>
    <col min="11265" max="11265" width="8.140625" style="684" customWidth="1"/>
    <col min="11266" max="11266" width="8.42578125" style="684" customWidth="1"/>
    <col min="11267" max="11267" width="14.140625" style="684" customWidth="1"/>
    <col min="11268" max="11268" width="10.42578125" style="684" customWidth="1"/>
    <col min="11269" max="11269" width="8.85546875" style="684" customWidth="1"/>
    <col min="11270" max="11270" width="12.5703125" style="684" customWidth="1"/>
    <col min="11271" max="11271" width="7.42578125" style="684" customWidth="1"/>
    <col min="11272" max="11272" width="23.28515625" style="684" customWidth="1"/>
    <col min="11273" max="11273" width="10.140625" style="684" customWidth="1"/>
    <col min="11274" max="11274" width="7.42578125" style="684" customWidth="1"/>
    <col min="11275" max="11520" width="9.140625" style="684"/>
    <col min="11521" max="11521" width="8.140625" style="684" customWidth="1"/>
    <col min="11522" max="11522" width="8.42578125" style="684" customWidth="1"/>
    <col min="11523" max="11523" width="14.140625" style="684" customWidth="1"/>
    <col min="11524" max="11524" width="10.42578125" style="684" customWidth="1"/>
    <col min="11525" max="11525" width="8.85546875" style="684" customWidth="1"/>
    <col min="11526" max="11526" width="12.5703125" style="684" customWidth="1"/>
    <col min="11527" max="11527" width="7.42578125" style="684" customWidth="1"/>
    <col min="11528" max="11528" width="23.28515625" style="684" customWidth="1"/>
    <col min="11529" max="11529" width="10.140625" style="684" customWidth="1"/>
    <col min="11530" max="11530" width="7.42578125" style="684" customWidth="1"/>
    <col min="11531" max="11776" width="9.140625" style="684"/>
    <col min="11777" max="11777" width="8.140625" style="684" customWidth="1"/>
    <col min="11778" max="11778" width="8.42578125" style="684" customWidth="1"/>
    <col min="11779" max="11779" width="14.140625" style="684" customWidth="1"/>
    <col min="11780" max="11780" width="10.42578125" style="684" customWidth="1"/>
    <col min="11781" max="11781" width="8.85546875" style="684" customWidth="1"/>
    <col min="11782" max="11782" width="12.5703125" style="684" customWidth="1"/>
    <col min="11783" max="11783" width="7.42578125" style="684" customWidth="1"/>
    <col min="11784" max="11784" width="23.28515625" style="684" customWidth="1"/>
    <col min="11785" max="11785" width="10.140625" style="684" customWidth="1"/>
    <col min="11786" max="11786" width="7.42578125" style="684" customWidth="1"/>
    <col min="11787" max="12032" width="9.140625" style="684"/>
    <col min="12033" max="12033" width="8.140625" style="684" customWidth="1"/>
    <col min="12034" max="12034" width="8.42578125" style="684" customWidth="1"/>
    <col min="12035" max="12035" width="14.140625" style="684" customWidth="1"/>
    <col min="12036" max="12036" width="10.42578125" style="684" customWidth="1"/>
    <col min="12037" max="12037" width="8.85546875" style="684" customWidth="1"/>
    <col min="12038" max="12038" width="12.5703125" style="684" customWidth="1"/>
    <col min="12039" max="12039" width="7.42578125" style="684" customWidth="1"/>
    <col min="12040" max="12040" width="23.28515625" style="684" customWidth="1"/>
    <col min="12041" max="12041" width="10.140625" style="684" customWidth="1"/>
    <col min="12042" max="12042" width="7.42578125" style="684" customWidth="1"/>
    <col min="12043" max="12288" width="9.140625" style="684"/>
    <col min="12289" max="12289" width="8.140625" style="684" customWidth="1"/>
    <col min="12290" max="12290" width="8.42578125" style="684" customWidth="1"/>
    <col min="12291" max="12291" width="14.140625" style="684" customWidth="1"/>
    <col min="12292" max="12292" width="10.42578125" style="684" customWidth="1"/>
    <col min="12293" max="12293" width="8.85546875" style="684" customWidth="1"/>
    <col min="12294" max="12294" width="12.5703125" style="684" customWidth="1"/>
    <col min="12295" max="12295" width="7.42578125" style="684" customWidth="1"/>
    <col min="12296" max="12296" width="23.28515625" style="684" customWidth="1"/>
    <col min="12297" max="12297" width="10.140625" style="684" customWidth="1"/>
    <col min="12298" max="12298" width="7.42578125" style="684" customWidth="1"/>
    <col min="12299" max="12544" width="9.140625" style="684"/>
    <col min="12545" max="12545" width="8.140625" style="684" customWidth="1"/>
    <col min="12546" max="12546" width="8.42578125" style="684" customWidth="1"/>
    <col min="12547" max="12547" width="14.140625" style="684" customWidth="1"/>
    <col min="12548" max="12548" width="10.42578125" style="684" customWidth="1"/>
    <col min="12549" max="12549" width="8.85546875" style="684" customWidth="1"/>
    <col min="12550" max="12550" width="12.5703125" style="684" customWidth="1"/>
    <col min="12551" max="12551" width="7.42578125" style="684" customWidth="1"/>
    <col min="12552" max="12552" width="23.28515625" style="684" customWidth="1"/>
    <col min="12553" max="12553" width="10.140625" style="684" customWidth="1"/>
    <col min="12554" max="12554" width="7.42578125" style="684" customWidth="1"/>
    <col min="12555" max="12800" width="9.140625" style="684"/>
    <col min="12801" max="12801" width="8.140625" style="684" customWidth="1"/>
    <col min="12802" max="12802" width="8.42578125" style="684" customWidth="1"/>
    <col min="12803" max="12803" width="14.140625" style="684" customWidth="1"/>
    <col min="12804" max="12804" width="10.42578125" style="684" customWidth="1"/>
    <col min="12805" max="12805" width="8.85546875" style="684" customWidth="1"/>
    <col min="12806" max="12806" width="12.5703125" style="684" customWidth="1"/>
    <col min="12807" max="12807" width="7.42578125" style="684" customWidth="1"/>
    <col min="12808" max="12808" width="23.28515625" style="684" customWidth="1"/>
    <col min="12809" max="12809" width="10.140625" style="684" customWidth="1"/>
    <col min="12810" max="12810" width="7.42578125" style="684" customWidth="1"/>
    <col min="12811" max="13056" width="9.140625" style="684"/>
    <col min="13057" max="13057" width="8.140625" style="684" customWidth="1"/>
    <col min="13058" max="13058" width="8.42578125" style="684" customWidth="1"/>
    <col min="13059" max="13059" width="14.140625" style="684" customWidth="1"/>
    <col min="13060" max="13060" width="10.42578125" style="684" customWidth="1"/>
    <col min="13061" max="13061" width="8.85546875" style="684" customWidth="1"/>
    <col min="13062" max="13062" width="12.5703125" style="684" customWidth="1"/>
    <col min="13063" max="13063" width="7.42578125" style="684" customWidth="1"/>
    <col min="13064" max="13064" width="23.28515625" style="684" customWidth="1"/>
    <col min="13065" max="13065" width="10.140625" style="684" customWidth="1"/>
    <col min="13066" max="13066" width="7.42578125" style="684" customWidth="1"/>
    <col min="13067" max="13312" width="9.140625" style="684"/>
    <col min="13313" max="13313" width="8.140625" style="684" customWidth="1"/>
    <col min="13314" max="13314" width="8.42578125" style="684" customWidth="1"/>
    <col min="13315" max="13315" width="14.140625" style="684" customWidth="1"/>
    <col min="13316" max="13316" width="10.42578125" style="684" customWidth="1"/>
    <col min="13317" max="13317" width="8.85546875" style="684" customWidth="1"/>
    <col min="13318" max="13318" width="12.5703125" style="684" customWidth="1"/>
    <col min="13319" max="13319" width="7.42578125" style="684" customWidth="1"/>
    <col min="13320" max="13320" width="23.28515625" style="684" customWidth="1"/>
    <col min="13321" max="13321" width="10.140625" style="684" customWidth="1"/>
    <col min="13322" max="13322" width="7.42578125" style="684" customWidth="1"/>
    <col min="13323" max="13568" width="9.140625" style="684"/>
    <col min="13569" max="13569" width="8.140625" style="684" customWidth="1"/>
    <col min="13570" max="13570" width="8.42578125" style="684" customWidth="1"/>
    <col min="13571" max="13571" width="14.140625" style="684" customWidth="1"/>
    <col min="13572" max="13572" width="10.42578125" style="684" customWidth="1"/>
    <col min="13573" max="13573" width="8.85546875" style="684" customWidth="1"/>
    <col min="13574" max="13574" width="12.5703125" style="684" customWidth="1"/>
    <col min="13575" max="13575" width="7.42578125" style="684" customWidth="1"/>
    <col min="13576" max="13576" width="23.28515625" style="684" customWidth="1"/>
    <col min="13577" max="13577" width="10.140625" style="684" customWidth="1"/>
    <col min="13578" max="13578" width="7.42578125" style="684" customWidth="1"/>
    <col min="13579" max="13824" width="9.140625" style="684"/>
    <col min="13825" max="13825" width="8.140625" style="684" customWidth="1"/>
    <col min="13826" max="13826" width="8.42578125" style="684" customWidth="1"/>
    <col min="13827" max="13827" width="14.140625" style="684" customWidth="1"/>
    <col min="13828" max="13828" width="10.42578125" style="684" customWidth="1"/>
    <col min="13829" max="13829" width="8.85546875" style="684" customWidth="1"/>
    <col min="13830" max="13830" width="12.5703125" style="684" customWidth="1"/>
    <col min="13831" max="13831" width="7.42578125" style="684" customWidth="1"/>
    <col min="13832" max="13832" width="23.28515625" style="684" customWidth="1"/>
    <col min="13833" max="13833" width="10.140625" style="684" customWidth="1"/>
    <col min="13834" max="13834" width="7.42578125" style="684" customWidth="1"/>
    <col min="13835" max="14080" width="9.140625" style="684"/>
    <col min="14081" max="14081" width="8.140625" style="684" customWidth="1"/>
    <col min="14082" max="14082" width="8.42578125" style="684" customWidth="1"/>
    <col min="14083" max="14083" width="14.140625" style="684" customWidth="1"/>
    <col min="14084" max="14084" width="10.42578125" style="684" customWidth="1"/>
    <col min="14085" max="14085" width="8.85546875" style="684" customWidth="1"/>
    <col min="14086" max="14086" width="12.5703125" style="684" customWidth="1"/>
    <col min="14087" max="14087" width="7.42578125" style="684" customWidth="1"/>
    <col min="14088" max="14088" width="23.28515625" style="684" customWidth="1"/>
    <col min="14089" max="14089" width="10.140625" style="684" customWidth="1"/>
    <col min="14090" max="14090" width="7.42578125" style="684" customWidth="1"/>
    <col min="14091" max="14336" width="9.140625" style="684"/>
    <col min="14337" max="14337" width="8.140625" style="684" customWidth="1"/>
    <col min="14338" max="14338" width="8.42578125" style="684" customWidth="1"/>
    <col min="14339" max="14339" width="14.140625" style="684" customWidth="1"/>
    <col min="14340" max="14340" width="10.42578125" style="684" customWidth="1"/>
    <col min="14341" max="14341" width="8.85546875" style="684" customWidth="1"/>
    <col min="14342" max="14342" width="12.5703125" style="684" customWidth="1"/>
    <col min="14343" max="14343" width="7.42578125" style="684" customWidth="1"/>
    <col min="14344" max="14344" width="23.28515625" style="684" customWidth="1"/>
    <col min="14345" max="14345" width="10.140625" style="684" customWidth="1"/>
    <col min="14346" max="14346" width="7.42578125" style="684" customWidth="1"/>
    <col min="14347" max="14592" width="9.140625" style="684"/>
    <col min="14593" max="14593" width="8.140625" style="684" customWidth="1"/>
    <col min="14594" max="14594" width="8.42578125" style="684" customWidth="1"/>
    <col min="14595" max="14595" width="14.140625" style="684" customWidth="1"/>
    <col min="14596" max="14596" width="10.42578125" style="684" customWidth="1"/>
    <col min="14597" max="14597" width="8.85546875" style="684" customWidth="1"/>
    <col min="14598" max="14598" width="12.5703125" style="684" customWidth="1"/>
    <col min="14599" max="14599" width="7.42578125" style="684" customWidth="1"/>
    <col min="14600" max="14600" width="23.28515625" style="684" customWidth="1"/>
    <col min="14601" max="14601" width="10.140625" style="684" customWidth="1"/>
    <col min="14602" max="14602" width="7.42578125" style="684" customWidth="1"/>
    <col min="14603" max="14848" width="9.140625" style="684"/>
    <col min="14849" max="14849" width="8.140625" style="684" customWidth="1"/>
    <col min="14850" max="14850" width="8.42578125" style="684" customWidth="1"/>
    <col min="14851" max="14851" width="14.140625" style="684" customWidth="1"/>
    <col min="14852" max="14852" width="10.42578125" style="684" customWidth="1"/>
    <col min="14853" max="14853" width="8.85546875" style="684" customWidth="1"/>
    <col min="14854" max="14854" width="12.5703125" style="684" customWidth="1"/>
    <col min="14855" max="14855" width="7.42578125" style="684" customWidth="1"/>
    <col min="14856" max="14856" width="23.28515625" style="684" customWidth="1"/>
    <col min="14857" max="14857" width="10.140625" style="684" customWidth="1"/>
    <col min="14858" max="14858" width="7.42578125" style="684" customWidth="1"/>
    <col min="14859" max="15104" width="9.140625" style="684"/>
    <col min="15105" max="15105" width="8.140625" style="684" customWidth="1"/>
    <col min="15106" max="15106" width="8.42578125" style="684" customWidth="1"/>
    <col min="15107" max="15107" width="14.140625" style="684" customWidth="1"/>
    <col min="15108" max="15108" width="10.42578125" style="684" customWidth="1"/>
    <col min="15109" max="15109" width="8.85546875" style="684" customWidth="1"/>
    <col min="15110" max="15110" width="12.5703125" style="684" customWidth="1"/>
    <col min="15111" max="15111" width="7.42578125" style="684" customWidth="1"/>
    <col min="15112" max="15112" width="23.28515625" style="684" customWidth="1"/>
    <col min="15113" max="15113" width="10.140625" style="684" customWidth="1"/>
    <col min="15114" max="15114" width="7.42578125" style="684" customWidth="1"/>
    <col min="15115" max="15360" width="9.140625" style="684"/>
    <col min="15361" max="15361" width="8.140625" style="684" customWidth="1"/>
    <col min="15362" max="15362" width="8.42578125" style="684" customWidth="1"/>
    <col min="15363" max="15363" width="14.140625" style="684" customWidth="1"/>
    <col min="15364" max="15364" width="10.42578125" style="684" customWidth="1"/>
    <col min="15365" max="15365" width="8.85546875" style="684" customWidth="1"/>
    <col min="15366" max="15366" width="12.5703125" style="684" customWidth="1"/>
    <col min="15367" max="15367" width="7.42578125" style="684" customWidth="1"/>
    <col min="15368" max="15368" width="23.28515625" style="684" customWidth="1"/>
    <col min="15369" max="15369" width="10.140625" style="684" customWidth="1"/>
    <col min="15370" max="15370" width="7.42578125" style="684" customWidth="1"/>
    <col min="15371" max="15616" width="9.140625" style="684"/>
    <col min="15617" max="15617" width="8.140625" style="684" customWidth="1"/>
    <col min="15618" max="15618" width="8.42578125" style="684" customWidth="1"/>
    <col min="15619" max="15619" width="14.140625" style="684" customWidth="1"/>
    <col min="15620" max="15620" width="10.42578125" style="684" customWidth="1"/>
    <col min="15621" max="15621" width="8.85546875" style="684" customWidth="1"/>
    <col min="15622" max="15622" width="12.5703125" style="684" customWidth="1"/>
    <col min="15623" max="15623" width="7.42578125" style="684" customWidth="1"/>
    <col min="15624" max="15624" width="23.28515625" style="684" customWidth="1"/>
    <col min="15625" max="15625" width="10.140625" style="684" customWidth="1"/>
    <col min="15626" max="15626" width="7.42578125" style="684" customWidth="1"/>
    <col min="15627" max="15872" width="9.140625" style="684"/>
    <col min="15873" max="15873" width="8.140625" style="684" customWidth="1"/>
    <col min="15874" max="15874" width="8.42578125" style="684" customWidth="1"/>
    <col min="15875" max="15875" width="14.140625" style="684" customWidth="1"/>
    <col min="15876" max="15876" width="10.42578125" style="684" customWidth="1"/>
    <col min="15877" max="15877" width="8.85546875" style="684" customWidth="1"/>
    <col min="15878" max="15878" width="12.5703125" style="684" customWidth="1"/>
    <col min="15879" max="15879" width="7.42578125" style="684" customWidth="1"/>
    <col min="15880" max="15880" width="23.28515625" style="684" customWidth="1"/>
    <col min="15881" max="15881" width="10.140625" style="684" customWidth="1"/>
    <col min="15882" max="15882" width="7.42578125" style="684" customWidth="1"/>
    <col min="15883" max="16128" width="9.140625" style="684"/>
    <col min="16129" max="16129" width="8.140625" style="684" customWidth="1"/>
    <col min="16130" max="16130" width="8.42578125" style="684" customWidth="1"/>
    <col min="16131" max="16131" width="14.140625" style="684" customWidth="1"/>
    <col min="16132" max="16132" width="10.42578125" style="684" customWidth="1"/>
    <col min="16133" max="16133" width="8.85546875" style="684" customWidth="1"/>
    <col min="16134" max="16134" width="12.5703125" style="684" customWidth="1"/>
    <col min="16135" max="16135" width="7.42578125" style="684" customWidth="1"/>
    <col min="16136" max="16136" width="23.28515625" style="684" customWidth="1"/>
    <col min="16137" max="16137" width="10.140625" style="684" customWidth="1"/>
    <col min="16138" max="16138" width="7.42578125" style="684" customWidth="1"/>
    <col min="16139" max="16384" width="9.140625" style="684"/>
  </cols>
  <sheetData>
    <row r="1" spans="1:11" ht="9.75" customHeight="1">
      <c r="A1" s="680"/>
      <c r="B1" s="681" t="s">
        <v>5676</v>
      </c>
      <c r="C1" s="682"/>
      <c r="D1" s="683"/>
      <c r="E1" s="683"/>
      <c r="F1" s="683"/>
      <c r="G1" s="683"/>
      <c r="H1" s="683"/>
      <c r="I1" s="683"/>
      <c r="J1" s="683"/>
      <c r="K1" s="683"/>
    </row>
    <row r="2" spans="1:11" ht="50.1" customHeight="1">
      <c r="A2" s="685" t="s">
        <v>5677</v>
      </c>
      <c r="B2" s="686" t="s">
        <v>2105</v>
      </c>
      <c r="C2" s="687" t="s">
        <v>2106</v>
      </c>
      <c r="D2" s="686" t="s">
        <v>2107</v>
      </c>
      <c r="E2" s="686" t="s">
        <v>2108</v>
      </c>
      <c r="F2" s="686" t="s">
        <v>67</v>
      </c>
      <c r="G2" s="686" t="s">
        <v>57</v>
      </c>
      <c r="H2" s="686" t="s">
        <v>2743</v>
      </c>
      <c r="I2" s="686" t="s">
        <v>2109</v>
      </c>
      <c r="J2" s="686" t="s">
        <v>2110</v>
      </c>
      <c r="K2" s="686" t="s">
        <v>7</v>
      </c>
    </row>
    <row r="3" spans="1:11" ht="50.1" customHeight="1">
      <c r="A3" s="688" t="s">
        <v>9</v>
      </c>
      <c r="B3" s="689" t="s">
        <v>5674</v>
      </c>
      <c r="C3" s="690">
        <v>4.1666666666666666E-3</v>
      </c>
      <c r="D3" s="689" t="s">
        <v>5674</v>
      </c>
      <c r="E3" s="690">
        <v>0.16458333333333333</v>
      </c>
      <c r="F3" s="689" t="s">
        <v>2951</v>
      </c>
      <c r="G3" s="689" t="s">
        <v>124</v>
      </c>
      <c r="H3" s="689" t="s">
        <v>3356</v>
      </c>
      <c r="I3" s="689" t="s">
        <v>100</v>
      </c>
      <c r="J3" s="689" t="s">
        <v>3055</v>
      </c>
      <c r="K3" s="689" t="s">
        <v>3055</v>
      </c>
    </row>
    <row r="4" spans="1:11" ht="50.1" customHeight="1">
      <c r="A4" s="688" t="s">
        <v>9</v>
      </c>
      <c r="B4" s="689" t="s">
        <v>5674</v>
      </c>
      <c r="C4" s="690">
        <v>0.41319444444444442</v>
      </c>
      <c r="D4" s="689" t="s">
        <v>5674</v>
      </c>
      <c r="E4" s="690">
        <v>0.4375</v>
      </c>
      <c r="F4" s="689" t="s">
        <v>3616</v>
      </c>
      <c r="G4" s="689" t="s">
        <v>124</v>
      </c>
      <c r="H4" s="689" t="s">
        <v>3387</v>
      </c>
      <c r="I4" s="689" t="s">
        <v>2764</v>
      </c>
      <c r="J4" s="689" t="s">
        <v>3055</v>
      </c>
      <c r="K4" s="689" t="s">
        <v>3055</v>
      </c>
    </row>
    <row r="5" spans="1:11" ht="50.1" customHeight="1">
      <c r="A5" s="688" t="s">
        <v>9</v>
      </c>
      <c r="B5" s="689" t="s">
        <v>5674</v>
      </c>
      <c r="C5" s="690">
        <v>0.61597222222222225</v>
      </c>
      <c r="D5" s="689" t="s">
        <v>5674</v>
      </c>
      <c r="E5" s="690">
        <v>0.70138888888888884</v>
      </c>
      <c r="F5" s="689" t="s">
        <v>5012</v>
      </c>
      <c r="G5" s="689" t="s">
        <v>63</v>
      </c>
      <c r="H5" s="689" t="s">
        <v>2910</v>
      </c>
      <c r="I5" s="689" t="s">
        <v>100</v>
      </c>
      <c r="J5" s="689" t="s">
        <v>4136</v>
      </c>
      <c r="K5" s="689" t="s">
        <v>5678</v>
      </c>
    </row>
    <row r="6" spans="1:11" ht="50.1" customHeight="1">
      <c r="A6" s="688" t="s">
        <v>9</v>
      </c>
      <c r="B6" s="689" t="s">
        <v>5679</v>
      </c>
      <c r="C6" s="690">
        <v>0.67499999999999993</v>
      </c>
      <c r="D6" s="689" t="s">
        <v>5673</v>
      </c>
      <c r="E6" s="690">
        <v>0.39583333333333331</v>
      </c>
      <c r="F6" s="689" t="s">
        <v>4054</v>
      </c>
      <c r="G6" s="689" t="s">
        <v>1352</v>
      </c>
      <c r="H6" s="689" t="s">
        <v>3356</v>
      </c>
      <c r="I6" s="689" t="s">
        <v>100</v>
      </c>
      <c r="J6" s="689" t="s">
        <v>3055</v>
      </c>
      <c r="K6" s="689" t="s">
        <v>3055</v>
      </c>
    </row>
    <row r="7" spans="1:11" ht="50.1" customHeight="1">
      <c r="A7" s="688" t="s">
        <v>9</v>
      </c>
      <c r="B7" s="689" t="s">
        <v>5679</v>
      </c>
      <c r="C7" s="690">
        <v>0.1361111111111111</v>
      </c>
      <c r="D7" s="689" t="s">
        <v>5679</v>
      </c>
      <c r="E7" s="690">
        <v>0.69861111111111107</v>
      </c>
      <c r="F7" s="689" t="s">
        <v>4796</v>
      </c>
      <c r="G7" s="689" t="s">
        <v>124</v>
      </c>
      <c r="H7" s="689" t="s">
        <v>5137</v>
      </c>
      <c r="I7" s="689" t="s">
        <v>100</v>
      </c>
      <c r="J7" s="689" t="s">
        <v>5680</v>
      </c>
      <c r="K7" s="689" t="s">
        <v>3055</v>
      </c>
    </row>
    <row r="8" spans="1:11" ht="50.1" customHeight="1">
      <c r="A8" s="688" t="s">
        <v>9</v>
      </c>
      <c r="B8" s="689" t="s">
        <v>5679</v>
      </c>
      <c r="C8" s="690">
        <v>0.76527777777777783</v>
      </c>
      <c r="D8" s="689" t="s">
        <v>5679</v>
      </c>
      <c r="E8" s="690">
        <v>0.93541666666666667</v>
      </c>
      <c r="F8" s="689" t="s">
        <v>5681</v>
      </c>
      <c r="G8" s="689" t="s">
        <v>63</v>
      </c>
      <c r="H8" s="689" t="s">
        <v>3411</v>
      </c>
      <c r="I8" s="689" t="s">
        <v>22</v>
      </c>
      <c r="J8" s="689" t="s">
        <v>3787</v>
      </c>
      <c r="K8" s="689" t="s">
        <v>5682</v>
      </c>
    </row>
    <row r="9" spans="1:11" ht="50.1" customHeight="1">
      <c r="A9" s="688" t="s">
        <v>9</v>
      </c>
      <c r="B9" s="689" t="s">
        <v>5673</v>
      </c>
      <c r="C9" s="690">
        <v>0.48958333333333331</v>
      </c>
      <c r="D9" s="689" t="s">
        <v>5673</v>
      </c>
      <c r="E9" s="690">
        <v>0.5</v>
      </c>
      <c r="F9" s="689" t="s">
        <v>4489</v>
      </c>
      <c r="G9" s="689" t="s">
        <v>3143</v>
      </c>
      <c r="H9" s="689" t="s">
        <v>3356</v>
      </c>
      <c r="I9" s="689" t="s">
        <v>100</v>
      </c>
      <c r="J9" s="689" t="s">
        <v>3055</v>
      </c>
      <c r="K9" s="689" t="s">
        <v>3055</v>
      </c>
    </row>
    <row r="10" spans="1:11" ht="50.1" customHeight="1">
      <c r="A10" s="688" t="s">
        <v>9</v>
      </c>
      <c r="B10" s="689" t="s">
        <v>5683</v>
      </c>
      <c r="C10" s="690">
        <v>0.34652777777777777</v>
      </c>
      <c r="D10" s="689" t="s">
        <v>5683</v>
      </c>
      <c r="E10" s="690">
        <v>0.34722222222222227</v>
      </c>
      <c r="F10" s="689" t="s">
        <v>5684</v>
      </c>
      <c r="G10" s="689" t="s">
        <v>63</v>
      </c>
      <c r="H10" s="689" t="s">
        <v>2839</v>
      </c>
      <c r="I10" s="689" t="s">
        <v>2483</v>
      </c>
      <c r="J10" s="689" t="s">
        <v>4858</v>
      </c>
      <c r="K10" s="689" t="s">
        <v>5685</v>
      </c>
    </row>
    <row r="11" spans="1:11" ht="50.1" customHeight="1">
      <c r="A11" s="688" t="s">
        <v>9</v>
      </c>
      <c r="B11" s="689" t="s">
        <v>5683</v>
      </c>
      <c r="C11" s="690">
        <v>0.3125</v>
      </c>
      <c r="D11" s="689" t="s">
        <v>5683</v>
      </c>
      <c r="E11" s="690">
        <v>0.39583333333333331</v>
      </c>
      <c r="F11" s="689" t="s">
        <v>4709</v>
      </c>
      <c r="G11" s="689" t="s">
        <v>124</v>
      </c>
      <c r="H11" s="689" t="s">
        <v>3402</v>
      </c>
      <c r="I11" s="689" t="s">
        <v>2118</v>
      </c>
      <c r="J11" s="689" t="s">
        <v>3055</v>
      </c>
      <c r="K11" s="689" t="s">
        <v>3055</v>
      </c>
    </row>
    <row r="12" spans="1:11" ht="50.1" customHeight="1">
      <c r="A12" s="688" t="s">
        <v>9</v>
      </c>
      <c r="B12" s="689" t="s">
        <v>5686</v>
      </c>
      <c r="C12" s="690">
        <v>0.39583333333333331</v>
      </c>
      <c r="D12" s="689" t="s">
        <v>5686</v>
      </c>
      <c r="E12" s="690">
        <v>0.47916666666666669</v>
      </c>
      <c r="F12" s="689" t="s">
        <v>5687</v>
      </c>
      <c r="G12" s="689" t="s">
        <v>3143</v>
      </c>
      <c r="H12" s="689" t="s">
        <v>3402</v>
      </c>
      <c r="I12" s="689" t="s">
        <v>2118</v>
      </c>
      <c r="J12" s="689" t="s">
        <v>45</v>
      </c>
      <c r="K12" s="689" t="s">
        <v>45</v>
      </c>
    </row>
    <row r="13" spans="1:11" ht="50.1" customHeight="1">
      <c r="A13" s="688" t="s">
        <v>9</v>
      </c>
      <c r="B13" s="689" t="s">
        <v>5688</v>
      </c>
      <c r="C13" s="690">
        <v>0.91666666666666663</v>
      </c>
      <c r="D13" s="689" t="s">
        <v>5689</v>
      </c>
      <c r="E13" s="690">
        <v>0.875</v>
      </c>
      <c r="F13" s="689" t="s">
        <v>3616</v>
      </c>
      <c r="G13" s="689" t="s">
        <v>124</v>
      </c>
      <c r="H13" s="689" t="s">
        <v>2753</v>
      </c>
      <c r="I13" s="689" t="s">
        <v>22</v>
      </c>
      <c r="J13" s="689" t="s">
        <v>5690</v>
      </c>
      <c r="K13" s="689" t="s">
        <v>5691</v>
      </c>
    </row>
    <row r="14" spans="1:11" ht="50.1" customHeight="1">
      <c r="A14" s="688" t="s">
        <v>9</v>
      </c>
      <c r="B14" s="689" t="s">
        <v>5688</v>
      </c>
      <c r="C14" s="690">
        <v>0.98888888888888893</v>
      </c>
      <c r="D14" s="689" t="s">
        <v>5689</v>
      </c>
      <c r="E14" s="690">
        <v>0.10347222222222223</v>
      </c>
      <c r="F14" s="689" t="s">
        <v>5692</v>
      </c>
      <c r="G14" s="689" t="s">
        <v>1352</v>
      </c>
      <c r="H14" s="689" t="s">
        <v>3411</v>
      </c>
      <c r="I14" s="689" t="s">
        <v>2483</v>
      </c>
      <c r="J14" s="689" t="s">
        <v>3787</v>
      </c>
      <c r="K14" s="689" t="s">
        <v>5693</v>
      </c>
    </row>
    <row r="15" spans="1:11" ht="50.1" customHeight="1">
      <c r="A15" s="688" t="s">
        <v>9</v>
      </c>
      <c r="B15" s="689" t="s">
        <v>5689</v>
      </c>
      <c r="C15" s="690">
        <v>0.77777777777777779</v>
      </c>
      <c r="D15" s="689" t="s">
        <v>5689</v>
      </c>
      <c r="E15" s="690">
        <v>0.78749999999999998</v>
      </c>
      <c r="F15" s="689" t="s">
        <v>5694</v>
      </c>
      <c r="G15" s="689" t="s">
        <v>1352</v>
      </c>
      <c r="H15" s="689" t="s">
        <v>3356</v>
      </c>
      <c r="I15" s="689" t="s">
        <v>100</v>
      </c>
      <c r="J15" s="689" t="s">
        <v>3055</v>
      </c>
      <c r="K15" s="689" t="s">
        <v>3055</v>
      </c>
    </row>
    <row r="16" spans="1:11" ht="50.1" customHeight="1">
      <c r="A16" s="688" t="s">
        <v>9</v>
      </c>
      <c r="B16" s="689" t="s">
        <v>5695</v>
      </c>
      <c r="C16" s="690">
        <v>0.41666666666666669</v>
      </c>
      <c r="D16" s="689" t="s">
        <v>5696</v>
      </c>
      <c r="E16" s="690" t="s">
        <v>45</v>
      </c>
      <c r="F16" s="689" t="s">
        <v>3616</v>
      </c>
      <c r="G16" s="689" t="s">
        <v>124</v>
      </c>
      <c r="H16" s="689" t="s">
        <v>3402</v>
      </c>
      <c r="I16" s="689" t="s">
        <v>2118</v>
      </c>
      <c r="J16" s="689" t="s">
        <v>3055</v>
      </c>
      <c r="K16" s="689" t="s">
        <v>3055</v>
      </c>
    </row>
    <row r="17" spans="1:11" ht="50.1" customHeight="1">
      <c r="A17" s="688" t="s">
        <v>9</v>
      </c>
      <c r="B17" s="689" t="s">
        <v>5695</v>
      </c>
      <c r="C17" s="690">
        <v>0.58333333333333337</v>
      </c>
      <c r="D17" s="689" t="s">
        <v>5697</v>
      </c>
      <c r="E17" s="690">
        <v>0.125</v>
      </c>
      <c r="F17" s="689" t="s">
        <v>3273</v>
      </c>
      <c r="G17" s="689" t="s">
        <v>63</v>
      </c>
      <c r="H17" s="689" t="s">
        <v>2753</v>
      </c>
      <c r="I17" s="689" t="s">
        <v>22</v>
      </c>
      <c r="J17" s="689" t="s">
        <v>5698</v>
      </c>
      <c r="K17" s="689" t="s">
        <v>5699</v>
      </c>
    </row>
    <row r="18" spans="1:11" ht="50.1" customHeight="1">
      <c r="A18" s="688" t="s">
        <v>9</v>
      </c>
      <c r="B18" s="689" t="s">
        <v>5695</v>
      </c>
      <c r="C18" s="690">
        <v>0.49861111111111112</v>
      </c>
      <c r="D18" s="689" t="s">
        <v>5695</v>
      </c>
      <c r="E18" s="690">
        <v>0.52083333333333337</v>
      </c>
      <c r="F18" s="689" t="s">
        <v>2801</v>
      </c>
      <c r="G18" s="689" t="s">
        <v>124</v>
      </c>
      <c r="H18" s="689" t="s">
        <v>3356</v>
      </c>
      <c r="I18" s="689" t="s">
        <v>100</v>
      </c>
      <c r="J18" s="689" t="s">
        <v>45</v>
      </c>
      <c r="K18" s="689" t="s">
        <v>45</v>
      </c>
    </row>
    <row r="19" spans="1:11" ht="50.1" customHeight="1">
      <c r="A19" s="688" t="s">
        <v>9</v>
      </c>
      <c r="B19" s="689" t="s">
        <v>5697</v>
      </c>
      <c r="C19" s="690">
        <v>0</v>
      </c>
      <c r="D19" s="689" t="s">
        <v>5697</v>
      </c>
      <c r="E19" s="690">
        <v>4.1666666666666664E-2</v>
      </c>
      <c r="F19" s="689" t="s">
        <v>5516</v>
      </c>
      <c r="G19" s="689" t="s">
        <v>1352</v>
      </c>
      <c r="H19" s="689" t="s">
        <v>3402</v>
      </c>
      <c r="I19" s="689" t="s">
        <v>2118</v>
      </c>
      <c r="J19" s="689" t="s">
        <v>3055</v>
      </c>
      <c r="K19" s="689" t="s">
        <v>3055</v>
      </c>
    </row>
    <row r="20" spans="1:11" ht="50.1" customHeight="1">
      <c r="A20" s="688" t="s">
        <v>9</v>
      </c>
      <c r="B20" s="689" t="s">
        <v>5700</v>
      </c>
      <c r="C20" s="690">
        <v>0.45833333333333331</v>
      </c>
      <c r="D20" s="689" t="s">
        <v>5700</v>
      </c>
      <c r="E20" s="690">
        <v>0.54166666666666663</v>
      </c>
      <c r="F20" s="689" t="s">
        <v>5701</v>
      </c>
      <c r="G20" s="689" t="s">
        <v>63</v>
      </c>
      <c r="H20" s="689" t="s">
        <v>3402</v>
      </c>
      <c r="I20" s="689" t="s">
        <v>2118</v>
      </c>
      <c r="J20" s="689" t="s">
        <v>45</v>
      </c>
      <c r="K20" s="689" t="s">
        <v>45</v>
      </c>
    </row>
    <row r="21" spans="1:11" ht="50.1" customHeight="1">
      <c r="A21" s="688" t="s">
        <v>9</v>
      </c>
      <c r="B21" s="689" t="s">
        <v>5702</v>
      </c>
      <c r="C21" s="690">
        <v>0.44791666666666669</v>
      </c>
      <c r="D21" s="689" t="s">
        <v>45</v>
      </c>
      <c r="E21" s="690" t="s">
        <v>45</v>
      </c>
      <c r="F21" s="689" t="s">
        <v>5703</v>
      </c>
      <c r="G21" s="689" t="s">
        <v>3143</v>
      </c>
      <c r="H21" s="689" t="s">
        <v>3356</v>
      </c>
      <c r="I21" s="689" t="s">
        <v>100</v>
      </c>
      <c r="J21" s="689" t="s">
        <v>45</v>
      </c>
      <c r="K21" s="689" t="s">
        <v>3055</v>
      </c>
    </row>
    <row r="22" spans="1:11" ht="50.1" customHeight="1">
      <c r="A22" s="688" t="s">
        <v>9</v>
      </c>
      <c r="B22" s="689" t="s">
        <v>5704</v>
      </c>
      <c r="C22" s="690">
        <v>0.2951388888888889</v>
      </c>
      <c r="D22" s="689" t="s">
        <v>5705</v>
      </c>
      <c r="E22" s="690">
        <v>0.72013888888888899</v>
      </c>
      <c r="F22" s="689" t="s">
        <v>3521</v>
      </c>
      <c r="G22" s="689" t="s">
        <v>61</v>
      </c>
      <c r="H22" s="689" t="s">
        <v>2753</v>
      </c>
      <c r="I22" s="689" t="s">
        <v>22</v>
      </c>
      <c r="J22" s="689" t="s">
        <v>45</v>
      </c>
      <c r="K22" s="689" t="s">
        <v>5706</v>
      </c>
    </row>
    <row r="23" spans="1:11" ht="50.1" customHeight="1">
      <c r="A23" s="688" t="s">
        <v>9</v>
      </c>
      <c r="B23" s="689" t="s">
        <v>5704</v>
      </c>
      <c r="C23" s="690">
        <v>0.70833333333333337</v>
      </c>
      <c r="D23" s="689" t="s">
        <v>45</v>
      </c>
      <c r="E23" s="690" t="s">
        <v>45</v>
      </c>
      <c r="F23" s="689" t="s">
        <v>3616</v>
      </c>
      <c r="G23" s="689" t="s">
        <v>124</v>
      </c>
      <c r="H23" s="689" t="s">
        <v>3402</v>
      </c>
      <c r="I23" s="689" t="s">
        <v>2118</v>
      </c>
      <c r="J23" s="689" t="s">
        <v>45</v>
      </c>
      <c r="K23" s="689" t="s">
        <v>45</v>
      </c>
    </row>
    <row r="24" spans="1:11" ht="50.1" customHeight="1">
      <c r="A24" s="688" t="s">
        <v>9</v>
      </c>
      <c r="B24" s="689" t="s">
        <v>5704</v>
      </c>
      <c r="C24" s="690">
        <v>0.38958333333333334</v>
      </c>
      <c r="D24" s="689" t="s">
        <v>45</v>
      </c>
      <c r="E24" s="690" t="s">
        <v>45</v>
      </c>
      <c r="F24" s="689" t="s">
        <v>3616</v>
      </c>
      <c r="G24" s="689" t="s">
        <v>124</v>
      </c>
      <c r="H24" s="689" t="s">
        <v>3402</v>
      </c>
      <c r="I24" s="689" t="s">
        <v>2118</v>
      </c>
      <c r="J24" s="689" t="s">
        <v>45</v>
      </c>
      <c r="K24" s="689" t="s">
        <v>45</v>
      </c>
    </row>
    <row r="25" spans="1:11" ht="50.1" customHeight="1">
      <c r="A25" s="688" t="s">
        <v>9</v>
      </c>
      <c r="B25" s="689" t="s">
        <v>5705</v>
      </c>
      <c r="C25" s="690">
        <v>0.58333333333333337</v>
      </c>
      <c r="D25" s="689" t="s">
        <v>5705</v>
      </c>
      <c r="E25" s="690">
        <v>0.625</v>
      </c>
      <c r="F25" s="689" t="s">
        <v>2866</v>
      </c>
      <c r="G25" s="689" t="s">
        <v>63</v>
      </c>
      <c r="H25" s="689" t="s">
        <v>3356</v>
      </c>
      <c r="I25" s="689" t="s">
        <v>100</v>
      </c>
      <c r="J25" s="689" t="s">
        <v>3055</v>
      </c>
      <c r="K25" s="689" t="s">
        <v>3055</v>
      </c>
    </row>
    <row r="26" spans="1:11" ht="50.1" customHeight="1">
      <c r="A26" s="688" t="s">
        <v>9</v>
      </c>
      <c r="B26" s="689" t="s">
        <v>5705</v>
      </c>
      <c r="C26" s="690">
        <v>0.71527777777777779</v>
      </c>
      <c r="D26" s="689" t="s">
        <v>5705</v>
      </c>
      <c r="E26" s="690">
        <v>0.72222222222222221</v>
      </c>
      <c r="F26" s="689" t="s">
        <v>5547</v>
      </c>
      <c r="G26" s="689" t="s">
        <v>61</v>
      </c>
      <c r="H26" s="689" t="s">
        <v>3402</v>
      </c>
      <c r="I26" s="689" t="s">
        <v>2118</v>
      </c>
      <c r="J26" s="689" t="s">
        <v>3055</v>
      </c>
      <c r="K26" s="689" t="s">
        <v>3055</v>
      </c>
    </row>
    <row r="27" spans="1:11" ht="50.1" customHeight="1">
      <c r="A27" s="688" t="s">
        <v>9</v>
      </c>
      <c r="B27" s="689" t="s">
        <v>5705</v>
      </c>
      <c r="C27" s="690">
        <v>0.64236111111111105</v>
      </c>
      <c r="D27" s="689" t="s">
        <v>5707</v>
      </c>
      <c r="E27" s="690">
        <v>0.84722222222222221</v>
      </c>
      <c r="F27" s="689" t="s">
        <v>2809</v>
      </c>
      <c r="G27" s="689" t="s">
        <v>1352</v>
      </c>
      <c r="H27" s="689" t="s">
        <v>2753</v>
      </c>
      <c r="I27" s="689" t="s">
        <v>22</v>
      </c>
      <c r="J27" s="689" t="s">
        <v>45</v>
      </c>
      <c r="K27" s="689" t="s">
        <v>5708</v>
      </c>
    </row>
    <row r="28" spans="1:11" ht="50.1" customHeight="1">
      <c r="A28" s="688" t="s">
        <v>9</v>
      </c>
      <c r="B28" s="689" t="s">
        <v>5709</v>
      </c>
      <c r="C28" s="690">
        <v>0.9375</v>
      </c>
      <c r="D28" s="689" t="s">
        <v>5707</v>
      </c>
      <c r="E28" s="690">
        <v>6.9444444444444447E-4</v>
      </c>
      <c r="F28" s="689" t="s">
        <v>5469</v>
      </c>
      <c r="G28" s="689" t="s">
        <v>124</v>
      </c>
      <c r="H28" s="689" t="s">
        <v>2910</v>
      </c>
      <c r="I28" s="689" t="s">
        <v>100</v>
      </c>
      <c r="J28" s="689" t="s">
        <v>3055</v>
      </c>
      <c r="K28" s="689" t="s">
        <v>3055</v>
      </c>
    </row>
    <row r="29" spans="1:11" ht="50.1" customHeight="1">
      <c r="A29" s="688" t="s">
        <v>9</v>
      </c>
      <c r="B29" s="689" t="s">
        <v>5709</v>
      </c>
      <c r="C29" s="690">
        <v>0.6645833333333333</v>
      </c>
      <c r="D29" s="689" t="s">
        <v>5709</v>
      </c>
      <c r="E29" s="690">
        <v>0.73472222222222217</v>
      </c>
      <c r="F29" s="689" t="s">
        <v>4185</v>
      </c>
      <c r="G29" s="689" t="s">
        <v>1352</v>
      </c>
      <c r="H29" s="689" t="s">
        <v>3402</v>
      </c>
      <c r="I29" s="689" t="s">
        <v>2118</v>
      </c>
      <c r="J29" s="689" t="s">
        <v>3055</v>
      </c>
      <c r="K29" s="689" t="s">
        <v>3055</v>
      </c>
    </row>
    <row r="30" spans="1:11" ht="50.1" customHeight="1">
      <c r="A30" s="688" t="s">
        <v>9</v>
      </c>
      <c r="B30" s="689" t="s">
        <v>5709</v>
      </c>
      <c r="C30" s="690">
        <v>0.14583333333333334</v>
      </c>
      <c r="D30" s="689" t="s">
        <v>5709</v>
      </c>
      <c r="E30" s="690">
        <v>0.54166666666666663</v>
      </c>
      <c r="F30" s="689" t="s">
        <v>5710</v>
      </c>
      <c r="G30" s="689" t="s">
        <v>63</v>
      </c>
      <c r="H30" s="689" t="s">
        <v>2753</v>
      </c>
      <c r="I30" s="689" t="s">
        <v>22</v>
      </c>
      <c r="J30" s="689" t="s">
        <v>45</v>
      </c>
      <c r="K30" s="689" t="s">
        <v>5711</v>
      </c>
    </row>
    <row r="31" spans="1:11" ht="50.1" customHeight="1">
      <c r="A31" s="688" t="s">
        <v>9</v>
      </c>
      <c r="B31" s="689" t="s">
        <v>5707</v>
      </c>
      <c r="C31" s="690">
        <v>0.29166666666666669</v>
      </c>
      <c r="D31" s="689" t="s">
        <v>5707</v>
      </c>
      <c r="E31" s="690">
        <v>0.61527777777777781</v>
      </c>
      <c r="F31" s="689" t="s">
        <v>2801</v>
      </c>
      <c r="G31" s="689" t="s">
        <v>124</v>
      </c>
      <c r="H31" s="689" t="s">
        <v>3356</v>
      </c>
      <c r="I31" s="689" t="s">
        <v>100</v>
      </c>
      <c r="J31" s="689" t="s">
        <v>3055</v>
      </c>
      <c r="K31" s="689" t="s">
        <v>3055</v>
      </c>
    </row>
    <row r="32" spans="1:11" ht="50.1" customHeight="1">
      <c r="A32" s="688" t="s">
        <v>9</v>
      </c>
      <c r="B32" s="689" t="s">
        <v>5712</v>
      </c>
      <c r="C32" s="690">
        <v>0.16666666666666666</v>
      </c>
      <c r="D32" s="689" t="s">
        <v>5712</v>
      </c>
      <c r="E32" s="690">
        <v>0.20833333333333334</v>
      </c>
      <c r="F32" s="689" t="s">
        <v>5713</v>
      </c>
      <c r="G32" s="689" t="s">
        <v>5174</v>
      </c>
      <c r="H32" s="689" t="s">
        <v>3356</v>
      </c>
      <c r="I32" s="689" t="s">
        <v>2118</v>
      </c>
      <c r="J32" s="689" t="s">
        <v>3055</v>
      </c>
      <c r="K32" s="689" t="s">
        <v>3055</v>
      </c>
    </row>
    <row r="33" spans="1:11" ht="50.1" customHeight="1">
      <c r="A33" s="688" t="s">
        <v>9</v>
      </c>
      <c r="B33" s="689" t="s">
        <v>5714</v>
      </c>
      <c r="C33" s="690">
        <v>0.34652777777777777</v>
      </c>
      <c r="D33" s="689" t="s">
        <v>5714</v>
      </c>
      <c r="E33" s="690">
        <v>0.46319444444444446</v>
      </c>
      <c r="F33" s="689" t="s">
        <v>3354</v>
      </c>
      <c r="G33" s="689" t="s">
        <v>63</v>
      </c>
      <c r="H33" s="689" t="s">
        <v>3387</v>
      </c>
      <c r="I33" s="689" t="s">
        <v>2764</v>
      </c>
      <c r="J33" s="689" t="s">
        <v>3055</v>
      </c>
      <c r="K33" s="689" t="s">
        <v>3055</v>
      </c>
    </row>
    <row r="34" spans="1:11" ht="50.1" customHeight="1">
      <c r="A34" s="688" t="s">
        <v>9</v>
      </c>
      <c r="B34" s="689" t="s">
        <v>5715</v>
      </c>
      <c r="C34" s="690">
        <v>0.4375</v>
      </c>
      <c r="D34" s="689" t="s">
        <v>45</v>
      </c>
      <c r="E34" s="690" t="s">
        <v>45</v>
      </c>
      <c r="F34" s="689" t="s">
        <v>3738</v>
      </c>
      <c r="G34" s="689" t="s">
        <v>674</v>
      </c>
      <c r="H34" s="689" t="s">
        <v>3874</v>
      </c>
      <c r="I34" s="689" t="s">
        <v>2118</v>
      </c>
      <c r="J34" s="689" t="s">
        <v>45</v>
      </c>
      <c r="K34" s="689" t="s">
        <v>45</v>
      </c>
    </row>
    <row r="35" spans="1:11" ht="50.1" customHeight="1">
      <c r="A35" s="688" t="s">
        <v>9</v>
      </c>
      <c r="B35" s="689" t="s">
        <v>5716</v>
      </c>
      <c r="C35" s="690">
        <v>0.34375</v>
      </c>
      <c r="D35" s="689" t="s">
        <v>5717</v>
      </c>
      <c r="E35" s="690">
        <v>0.70833333333333337</v>
      </c>
      <c r="F35" s="689" t="s">
        <v>5718</v>
      </c>
      <c r="G35" s="689" t="s">
        <v>1352</v>
      </c>
      <c r="H35" s="689" t="s">
        <v>2753</v>
      </c>
      <c r="I35" s="689" t="s">
        <v>22</v>
      </c>
      <c r="J35" s="689" t="s">
        <v>45</v>
      </c>
      <c r="K35" s="689" t="s">
        <v>5719</v>
      </c>
    </row>
    <row r="36" spans="1:11" ht="50.1" customHeight="1">
      <c r="A36" s="688" t="s">
        <v>17</v>
      </c>
      <c r="B36" s="689" t="s">
        <v>5720</v>
      </c>
      <c r="C36" s="690">
        <v>0.20833333333333334</v>
      </c>
      <c r="D36" s="689" t="s">
        <v>5721</v>
      </c>
      <c r="E36" s="690">
        <v>0.94374999999999998</v>
      </c>
      <c r="F36" s="689" t="s">
        <v>3591</v>
      </c>
      <c r="G36" s="689" t="s">
        <v>1352</v>
      </c>
      <c r="H36" s="689" t="s">
        <v>2753</v>
      </c>
      <c r="I36" s="689" t="s">
        <v>22</v>
      </c>
      <c r="J36" s="689" t="s">
        <v>5722</v>
      </c>
      <c r="K36" s="689" t="s">
        <v>5723</v>
      </c>
    </row>
    <row r="37" spans="1:11" ht="50.1" customHeight="1">
      <c r="A37" s="688" t="s">
        <v>17</v>
      </c>
      <c r="B37" s="689" t="s">
        <v>5724</v>
      </c>
      <c r="C37" s="690">
        <v>0.92152777777777783</v>
      </c>
      <c r="D37" s="689" t="s">
        <v>5725</v>
      </c>
      <c r="E37" s="690">
        <v>0.67222222222222217</v>
      </c>
      <c r="F37" s="689" t="s">
        <v>2900</v>
      </c>
      <c r="G37" s="689" t="s">
        <v>124</v>
      </c>
      <c r="H37" s="689" t="s">
        <v>3356</v>
      </c>
      <c r="I37" s="689" t="s">
        <v>100</v>
      </c>
      <c r="J37" s="689" t="s">
        <v>3055</v>
      </c>
      <c r="K37" s="689" t="s">
        <v>3055</v>
      </c>
    </row>
    <row r="38" spans="1:11" ht="50.1" customHeight="1">
      <c r="A38" s="688" t="s">
        <v>17</v>
      </c>
      <c r="B38" s="689" t="s">
        <v>5724</v>
      </c>
      <c r="C38" s="690">
        <v>0.45833333333333331</v>
      </c>
      <c r="D38" s="689" t="s">
        <v>45</v>
      </c>
      <c r="E38" s="690" t="s">
        <v>45</v>
      </c>
      <c r="F38" s="689" t="s">
        <v>5196</v>
      </c>
      <c r="G38" s="689" t="s">
        <v>3143</v>
      </c>
      <c r="H38" s="689" t="s">
        <v>3402</v>
      </c>
      <c r="I38" s="689" t="s">
        <v>2118</v>
      </c>
      <c r="J38" s="689" t="s">
        <v>3055</v>
      </c>
      <c r="K38" s="689" t="s">
        <v>3055</v>
      </c>
    </row>
    <row r="39" spans="1:11" ht="50.1" customHeight="1">
      <c r="A39" s="688" t="s">
        <v>17</v>
      </c>
      <c r="B39" s="689" t="s">
        <v>5724</v>
      </c>
      <c r="C39" s="690">
        <v>0.34375</v>
      </c>
      <c r="D39" s="689" t="s">
        <v>5724</v>
      </c>
      <c r="E39" s="690">
        <v>0.82291666666666663</v>
      </c>
      <c r="F39" s="689" t="s">
        <v>5726</v>
      </c>
      <c r="G39" s="689" t="s">
        <v>63</v>
      </c>
      <c r="H39" s="689" t="s">
        <v>2753</v>
      </c>
      <c r="I39" s="689" t="s">
        <v>22</v>
      </c>
      <c r="J39" s="689" t="s">
        <v>45</v>
      </c>
      <c r="K39" s="689" t="s">
        <v>5727</v>
      </c>
    </row>
    <row r="40" spans="1:11" ht="50.1" customHeight="1">
      <c r="A40" s="688" t="s">
        <v>17</v>
      </c>
      <c r="B40" s="689" t="s">
        <v>5724</v>
      </c>
      <c r="C40" s="690">
        <v>0.60902777777777783</v>
      </c>
      <c r="D40" s="689" t="s">
        <v>5724</v>
      </c>
      <c r="E40" s="690">
        <v>0.61597222222222225</v>
      </c>
      <c r="F40" s="689" t="s">
        <v>5728</v>
      </c>
      <c r="G40" s="689" t="s">
        <v>3143</v>
      </c>
      <c r="H40" s="689" t="s">
        <v>3402</v>
      </c>
      <c r="I40" s="689" t="s">
        <v>2118</v>
      </c>
      <c r="J40" s="689" t="s">
        <v>3055</v>
      </c>
      <c r="K40" s="689" t="s">
        <v>3055</v>
      </c>
    </row>
    <row r="41" spans="1:11" ht="50.1" customHeight="1">
      <c r="A41" s="688" t="s">
        <v>17</v>
      </c>
      <c r="B41" s="689" t="s">
        <v>5725</v>
      </c>
      <c r="C41" s="690">
        <v>0.66666666666666663</v>
      </c>
      <c r="D41" s="689" t="s">
        <v>5725</v>
      </c>
      <c r="E41" s="690">
        <v>0.69791666666666663</v>
      </c>
      <c r="F41" s="689" t="s">
        <v>5729</v>
      </c>
      <c r="G41" s="689" t="s">
        <v>124</v>
      </c>
      <c r="H41" s="689" t="s">
        <v>2910</v>
      </c>
      <c r="I41" s="689" t="s">
        <v>100</v>
      </c>
      <c r="J41" s="689" t="s">
        <v>3055</v>
      </c>
      <c r="K41" s="689" t="s">
        <v>3055</v>
      </c>
    </row>
    <row r="42" spans="1:11" ht="50.1" customHeight="1">
      <c r="A42" s="688" t="s">
        <v>17</v>
      </c>
      <c r="B42" s="689" t="s">
        <v>5721</v>
      </c>
      <c r="C42" s="690">
        <v>0.4680555555555555</v>
      </c>
      <c r="D42" s="689" t="s">
        <v>5721</v>
      </c>
      <c r="E42" s="690">
        <v>0.53819444444444442</v>
      </c>
      <c r="F42" s="689" t="s">
        <v>5730</v>
      </c>
      <c r="G42" s="689" t="s">
        <v>3143</v>
      </c>
      <c r="H42" s="689" t="s">
        <v>2910</v>
      </c>
      <c r="I42" s="689" t="s">
        <v>100</v>
      </c>
      <c r="J42" s="689" t="s">
        <v>3944</v>
      </c>
      <c r="K42" s="689" t="s">
        <v>45</v>
      </c>
    </row>
    <row r="43" spans="1:11" ht="50.1" customHeight="1">
      <c r="A43" s="688" t="s">
        <v>17</v>
      </c>
      <c r="B43" s="689" t="s">
        <v>5717</v>
      </c>
      <c r="C43" s="690">
        <v>0.71250000000000002</v>
      </c>
      <c r="D43" s="689" t="s">
        <v>5717</v>
      </c>
      <c r="E43" s="690">
        <v>0.72986111111111107</v>
      </c>
      <c r="F43" s="689" t="s">
        <v>3470</v>
      </c>
      <c r="G43" s="689" t="s">
        <v>63</v>
      </c>
      <c r="H43" s="689" t="s">
        <v>3387</v>
      </c>
      <c r="I43" s="689" t="s">
        <v>2764</v>
      </c>
      <c r="J43" s="689" t="s">
        <v>3055</v>
      </c>
      <c r="K43" s="689" t="s">
        <v>3055</v>
      </c>
    </row>
    <row r="44" spans="1:11" ht="50.1" customHeight="1">
      <c r="A44" s="688" t="s">
        <v>17</v>
      </c>
      <c r="B44" s="689" t="s">
        <v>5717</v>
      </c>
      <c r="C44" s="690">
        <v>0.41666666666666669</v>
      </c>
      <c r="D44" s="689" t="s">
        <v>5717</v>
      </c>
      <c r="E44" s="690">
        <v>0.41805555555555557</v>
      </c>
      <c r="F44" s="689" t="s">
        <v>3252</v>
      </c>
      <c r="G44" s="689" t="s">
        <v>3143</v>
      </c>
      <c r="H44" s="689" t="s">
        <v>3402</v>
      </c>
      <c r="I44" s="689" t="s">
        <v>2118</v>
      </c>
      <c r="J44" s="689" t="s">
        <v>3055</v>
      </c>
      <c r="K44" s="689" t="s">
        <v>3055</v>
      </c>
    </row>
    <row r="45" spans="1:11" ht="50.1" customHeight="1">
      <c r="A45" s="688" t="s">
        <v>17</v>
      </c>
      <c r="B45" s="689" t="s">
        <v>5731</v>
      </c>
      <c r="C45" s="690">
        <v>0.56527777777777777</v>
      </c>
      <c r="D45" s="689" t="s">
        <v>5731</v>
      </c>
      <c r="E45" s="690">
        <v>0.58750000000000002</v>
      </c>
      <c r="F45" s="689" t="s">
        <v>5732</v>
      </c>
      <c r="G45" s="689" t="s">
        <v>674</v>
      </c>
      <c r="H45" s="689" t="s">
        <v>3447</v>
      </c>
      <c r="I45" s="689" t="s">
        <v>2764</v>
      </c>
      <c r="J45" s="689" t="s">
        <v>3055</v>
      </c>
      <c r="K45" s="689" t="s">
        <v>3055</v>
      </c>
    </row>
    <row r="46" spans="1:11" ht="50.1" customHeight="1">
      <c r="A46" s="688" t="s">
        <v>17</v>
      </c>
      <c r="B46" s="689" t="s">
        <v>5731</v>
      </c>
      <c r="C46" s="690">
        <v>0.26041666666666669</v>
      </c>
      <c r="D46" s="689" t="s">
        <v>5731</v>
      </c>
      <c r="E46" s="690">
        <v>0.2638888888888889</v>
      </c>
      <c r="F46" s="689" t="s">
        <v>5240</v>
      </c>
      <c r="G46" s="689" t="s">
        <v>63</v>
      </c>
      <c r="H46" s="689" t="s">
        <v>3402</v>
      </c>
      <c r="I46" s="689" t="s">
        <v>2118</v>
      </c>
      <c r="J46" s="689" t="s">
        <v>3055</v>
      </c>
      <c r="K46" s="689" t="s">
        <v>3055</v>
      </c>
    </row>
    <row r="47" spans="1:11" ht="50.1" customHeight="1">
      <c r="A47" s="688" t="s">
        <v>17</v>
      </c>
      <c r="B47" s="689" t="s">
        <v>5731</v>
      </c>
      <c r="C47" s="690">
        <v>0.35416666666666669</v>
      </c>
      <c r="D47" s="689" t="s">
        <v>45</v>
      </c>
      <c r="E47" s="690" t="s">
        <v>45</v>
      </c>
      <c r="F47" s="689" t="s">
        <v>5547</v>
      </c>
      <c r="G47" s="689" t="s">
        <v>61</v>
      </c>
      <c r="H47" s="689" t="s">
        <v>3402</v>
      </c>
      <c r="I47" s="689" t="s">
        <v>2118</v>
      </c>
      <c r="J47" s="689" t="s">
        <v>3055</v>
      </c>
      <c r="K47" s="689" t="s">
        <v>3055</v>
      </c>
    </row>
    <row r="48" spans="1:11" ht="50.1" customHeight="1">
      <c r="A48" s="688" t="s">
        <v>17</v>
      </c>
      <c r="B48" s="689" t="s">
        <v>5733</v>
      </c>
      <c r="C48" s="690">
        <v>0.5625</v>
      </c>
      <c r="D48" s="689" t="s">
        <v>5733</v>
      </c>
      <c r="E48" s="690">
        <v>0.58333333333333337</v>
      </c>
      <c r="F48" s="689" t="s">
        <v>5734</v>
      </c>
      <c r="G48" s="689" t="s">
        <v>3143</v>
      </c>
      <c r="H48" s="689" t="s">
        <v>3402</v>
      </c>
      <c r="I48" s="689" t="s">
        <v>2118</v>
      </c>
      <c r="J48" s="689" t="s">
        <v>3055</v>
      </c>
      <c r="K48" s="689" t="s">
        <v>3055</v>
      </c>
    </row>
    <row r="49" spans="1:11" ht="50.1" customHeight="1">
      <c r="A49" s="688" t="s">
        <v>17</v>
      </c>
      <c r="B49" s="689" t="s">
        <v>5735</v>
      </c>
      <c r="C49" s="690">
        <v>0.47013888888888888</v>
      </c>
      <c r="D49" s="689" t="s">
        <v>5735</v>
      </c>
      <c r="E49" s="690">
        <v>0.76388888888888884</v>
      </c>
      <c r="F49" s="689" t="s">
        <v>5736</v>
      </c>
      <c r="G49" s="689" t="s">
        <v>1352</v>
      </c>
      <c r="H49" s="689" t="s">
        <v>3411</v>
      </c>
      <c r="I49" s="689" t="s">
        <v>2483</v>
      </c>
      <c r="J49" s="689" t="s">
        <v>3055</v>
      </c>
      <c r="K49" s="689" t="s">
        <v>3055</v>
      </c>
    </row>
    <row r="50" spans="1:11" ht="50.1" customHeight="1">
      <c r="A50" s="688" t="s">
        <v>17</v>
      </c>
      <c r="B50" s="689" t="s">
        <v>5737</v>
      </c>
      <c r="C50" s="690">
        <v>0.90972222222222221</v>
      </c>
      <c r="D50" s="689" t="s">
        <v>5738</v>
      </c>
      <c r="E50" s="690">
        <v>9.9999999999999992E-2</v>
      </c>
      <c r="F50" s="689" t="s">
        <v>4355</v>
      </c>
      <c r="G50" s="689" t="s">
        <v>124</v>
      </c>
      <c r="H50" s="689" t="s">
        <v>2910</v>
      </c>
      <c r="I50" s="689" t="s">
        <v>2118</v>
      </c>
      <c r="J50" s="689" t="s">
        <v>3055</v>
      </c>
      <c r="K50" s="689" t="s">
        <v>3055</v>
      </c>
    </row>
    <row r="51" spans="1:11" ht="50.1" customHeight="1">
      <c r="A51" s="688" t="s">
        <v>17</v>
      </c>
      <c r="B51" s="689" t="s">
        <v>5737</v>
      </c>
      <c r="C51" s="690">
        <v>0.22708333333333333</v>
      </c>
      <c r="D51" s="689" t="s">
        <v>5737</v>
      </c>
      <c r="E51" s="690">
        <v>0.625</v>
      </c>
      <c r="F51" s="689" t="s">
        <v>5739</v>
      </c>
      <c r="G51" s="689" t="s">
        <v>674</v>
      </c>
      <c r="H51" s="689" t="s">
        <v>3356</v>
      </c>
      <c r="I51" s="689" t="s">
        <v>100</v>
      </c>
      <c r="J51" s="689" t="s">
        <v>3055</v>
      </c>
      <c r="K51" s="689" t="s">
        <v>3055</v>
      </c>
    </row>
    <row r="52" spans="1:11" ht="50.1" customHeight="1">
      <c r="A52" s="688" t="s">
        <v>17</v>
      </c>
      <c r="B52" s="689" t="s">
        <v>5740</v>
      </c>
      <c r="C52" s="690">
        <v>0.60069444444444442</v>
      </c>
      <c r="D52" s="689" t="s">
        <v>5740</v>
      </c>
      <c r="E52" s="690">
        <v>0.60416666666666663</v>
      </c>
      <c r="F52" s="689" t="s">
        <v>5741</v>
      </c>
      <c r="G52" s="689" t="s">
        <v>63</v>
      </c>
      <c r="H52" s="689" t="s">
        <v>3402</v>
      </c>
      <c r="I52" s="689" t="s">
        <v>2118</v>
      </c>
      <c r="J52" s="689" t="s">
        <v>3055</v>
      </c>
      <c r="K52" s="689" t="s">
        <v>3055</v>
      </c>
    </row>
    <row r="53" spans="1:11" ht="50.1" customHeight="1">
      <c r="A53" s="688" t="s">
        <v>17</v>
      </c>
      <c r="B53" s="689" t="s">
        <v>5742</v>
      </c>
      <c r="C53" s="690">
        <v>0</v>
      </c>
      <c r="D53" s="689" t="s">
        <v>5742</v>
      </c>
      <c r="E53" s="690">
        <v>3.472222222222222E-3</v>
      </c>
      <c r="F53" s="689" t="s">
        <v>4736</v>
      </c>
      <c r="G53" s="689" t="s">
        <v>674</v>
      </c>
      <c r="H53" s="689" t="s">
        <v>3402</v>
      </c>
      <c r="I53" s="689" t="s">
        <v>2118</v>
      </c>
      <c r="J53" s="689" t="s">
        <v>3055</v>
      </c>
      <c r="K53" s="689" t="s">
        <v>3055</v>
      </c>
    </row>
    <row r="54" spans="1:11" ht="50.1" customHeight="1">
      <c r="A54" s="688" t="s">
        <v>17</v>
      </c>
      <c r="B54" s="689" t="s">
        <v>5743</v>
      </c>
      <c r="C54" s="690">
        <v>0.34583333333333338</v>
      </c>
      <c r="D54" s="689" t="s">
        <v>5743</v>
      </c>
      <c r="E54" s="690">
        <v>0.51041666666666663</v>
      </c>
      <c r="F54" s="689" t="s">
        <v>2951</v>
      </c>
      <c r="G54" s="689" t="s">
        <v>124</v>
      </c>
      <c r="H54" s="689" t="s">
        <v>3356</v>
      </c>
      <c r="I54" s="689" t="s">
        <v>100</v>
      </c>
      <c r="J54" s="689" t="s">
        <v>3055</v>
      </c>
      <c r="K54" s="689" t="s">
        <v>3055</v>
      </c>
    </row>
    <row r="55" spans="1:11" ht="50.1" customHeight="1">
      <c r="A55" s="688" t="s">
        <v>17</v>
      </c>
      <c r="B55" s="689" t="s">
        <v>5744</v>
      </c>
      <c r="C55" s="690">
        <v>0.40625</v>
      </c>
      <c r="D55" s="689" t="s">
        <v>45</v>
      </c>
      <c r="E55" s="690" t="s">
        <v>45</v>
      </c>
      <c r="F55" s="689" t="s">
        <v>4185</v>
      </c>
      <c r="G55" s="689" t="s">
        <v>1352</v>
      </c>
      <c r="H55" s="689" t="s">
        <v>2944</v>
      </c>
      <c r="I55" s="689" t="s">
        <v>2952</v>
      </c>
      <c r="J55" s="689" t="s">
        <v>3055</v>
      </c>
      <c r="K55" s="689" t="s">
        <v>3055</v>
      </c>
    </row>
    <row r="56" spans="1:11" ht="50.1" customHeight="1">
      <c r="A56" s="688" t="s">
        <v>17</v>
      </c>
      <c r="B56" s="689" t="s">
        <v>5744</v>
      </c>
      <c r="C56" s="690">
        <v>0.22708333333333333</v>
      </c>
      <c r="D56" s="689" t="s">
        <v>5744</v>
      </c>
      <c r="E56" s="690">
        <v>0.27847222222222223</v>
      </c>
      <c r="F56" s="689" t="s">
        <v>3470</v>
      </c>
      <c r="G56" s="689" t="s">
        <v>63</v>
      </c>
      <c r="H56" s="689" t="s">
        <v>3411</v>
      </c>
      <c r="I56" s="689" t="s">
        <v>2483</v>
      </c>
      <c r="J56" s="689" t="s">
        <v>3055</v>
      </c>
      <c r="K56" s="689" t="s">
        <v>3055</v>
      </c>
    </row>
    <row r="57" spans="1:11" ht="50.1" customHeight="1">
      <c r="A57" s="688" t="s">
        <v>17</v>
      </c>
      <c r="B57" s="689" t="s">
        <v>5744</v>
      </c>
      <c r="C57" s="690">
        <v>0.55138888888888882</v>
      </c>
      <c r="D57" s="689" t="s">
        <v>5744</v>
      </c>
      <c r="E57" s="690">
        <v>0.60833333333333328</v>
      </c>
      <c r="F57" s="689" t="s">
        <v>5745</v>
      </c>
      <c r="G57" s="689" t="s">
        <v>63</v>
      </c>
      <c r="H57" s="689" t="s">
        <v>2910</v>
      </c>
      <c r="I57" s="689" t="s">
        <v>5075</v>
      </c>
      <c r="J57" s="689" t="s">
        <v>45</v>
      </c>
      <c r="K57" s="689" t="s">
        <v>5746</v>
      </c>
    </row>
    <row r="58" spans="1:11" ht="50.1" customHeight="1">
      <c r="A58" s="688" t="s">
        <v>17</v>
      </c>
      <c r="B58" s="689" t="s">
        <v>5747</v>
      </c>
      <c r="C58" s="690">
        <v>0.77847222222222223</v>
      </c>
      <c r="D58" s="689" t="s">
        <v>5748</v>
      </c>
      <c r="E58" s="690">
        <v>0.67499999999999993</v>
      </c>
      <c r="F58" s="689" t="s">
        <v>5749</v>
      </c>
      <c r="G58" s="689" t="s">
        <v>3143</v>
      </c>
      <c r="H58" s="689" t="s">
        <v>2753</v>
      </c>
      <c r="I58" s="689" t="s">
        <v>22</v>
      </c>
      <c r="J58" s="689" t="s">
        <v>45</v>
      </c>
      <c r="K58" s="689" t="s">
        <v>5750</v>
      </c>
    </row>
    <row r="59" spans="1:11" ht="50.1" customHeight="1">
      <c r="A59" s="688" t="s">
        <v>17</v>
      </c>
      <c r="B59" s="689" t="s">
        <v>5747</v>
      </c>
      <c r="C59" s="690">
        <v>0.77083333333333337</v>
      </c>
      <c r="D59" s="689" t="s">
        <v>45</v>
      </c>
      <c r="E59" s="690" t="s">
        <v>45</v>
      </c>
      <c r="F59" s="689" t="s">
        <v>3307</v>
      </c>
      <c r="G59" s="689" t="s">
        <v>3143</v>
      </c>
      <c r="H59" s="689" t="s">
        <v>2753</v>
      </c>
      <c r="I59" s="689" t="s">
        <v>22</v>
      </c>
      <c r="J59" s="689" t="s">
        <v>5751</v>
      </c>
      <c r="K59" s="689" t="s">
        <v>5752</v>
      </c>
    </row>
    <row r="60" spans="1:11" ht="50.1" customHeight="1">
      <c r="A60" s="688" t="s">
        <v>17</v>
      </c>
      <c r="B60" s="689" t="s">
        <v>5747</v>
      </c>
      <c r="C60" s="690">
        <v>0.66666666666666663</v>
      </c>
      <c r="D60" s="689" t="s">
        <v>5747</v>
      </c>
      <c r="E60" s="690">
        <v>0.66736111111111107</v>
      </c>
      <c r="F60" s="689" t="s">
        <v>5267</v>
      </c>
      <c r="G60" s="689" t="s">
        <v>674</v>
      </c>
      <c r="H60" s="689" t="s">
        <v>3402</v>
      </c>
      <c r="I60" s="689" t="s">
        <v>2118</v>
      </c>
      <c r="J60" s="689" t="s">
        <v>3055</v>
      </c>
      <c r="K60" s="689" t="s">
        <v>3055</v>
      </c>
    </row>
    <row r="61" spans="1:11" ht="50.1" customHeight="1">
      <c r="A61" s="688" t="s">
        <v>17</v>
      </c>
      <c r="B61" s="689" t="s">
        <v>5753</v>
      </c>
      <c r="C61" s="690">
        <v>0.1875</v>
      </c>
      <c r="D61" s="689" t="s">
        <v>5753</v>
      </c>
      <c r="E61" s="690">
        <v>0.54166666666666663</v>
      </c>
      <c r="F61" s="689" t="s">
        <v>5754</v>
      </c>
      <c r="G61" s="689" t="s">
        <v>674</v>
      </c>
      <c r="H61" s="689" t="s">
        <v>2753</v>
      </c>
      <c r="I61" s="689" t="s">
        <v>22</v>
      </c>
      <c r="J61" s="689" t="s">
        <v>3407</v>
      </c>
      <c r="K61" s="689" t="s">
        <v>3295</v>
      </c>
    </row>
    <row r="62" spans="1:11" ht="50.1" customHeight="1">
      <c r="A62" s="688" t="s">
        <v>17</v>
      </c>
      <c r="B62" s="689" t="s">
        <v>5753</v>
      </c>
      <c r="C62" s="690">
        <v>0.36805555555555558</v>
      </c>
      <c r="D62" s="689" t="s">
        <v>5753</v>
      </c>
      <c r="E62" s="690">
        <v>0.52638888888888891</v>
      </c>
      <c r="F62" s="689" t="s">
        <v>3645</v>
      </c>
      <c r="G62" s="689" t="s">
        <v>124</v>
      </c>
      <c r="H62" s="689" t="s">
        <v>2780</v>
      </c>
      <c r="I62" s="689" t="s">
        <v>2764</v>
      </c>
      <c r="J62" s="689" t="s">
        <v>3055</v>
      </c>
      <c r="K62" s="689" t="s">
        <v>3055</v>
      </c>
    </row>
    <row r="63" spans="1:11" ht="50.1" customHeight="1">
      <c r="A63" s="688" t="s">
        <v>17</v>
      </c>
      <c r="B63" s="689" t="s">
        <v>5755</v>
      </c>
      <c r="C63" s="690">
        <v>0.52013888888888882</v>
      </c>
      <c r="D63" s="689" t="s">
        <v>5755</v>
      </c>
      <c r="E63" s="690">
        <v>0.53125</v>
      </c>
      <c r="F63" s="689" t="s">
        <v>5756</v>
      </c>
      <c r="G63" s="689" t="s">
        <v>63</v>
      </c>
      <c r="H63" s="689" t="s">
        <v>3402</v>
      </c>
      <c r="I63" s="689" t="s">
        <v>2118</v>
      </c>
      <c r="J63" s="689" t="s">
        <v>3055</v>
      </c>
      <c r="K63" s="689" t="s">
        <v>3055</v>
      </c>
    </row>
    <row r="64" spans="1:11" ht="50.1" customHeight="1">
      <c r="A64" s="688" t="s">
        <v>17</v>
      </c>
      <c r="B64" s="689" t="s">
        <v>5748</v>
      </c>
      <c r="C64" s="690">
        <v>5.5555555555555558E-3</v>
      </c>
      <c r="D64" s="689" t="s">
        <v>5757</v>
      </c>
      <c r="E64" s="690">
        <v>0.75555555555555554</v>
      </c>
      <c r="F64" s="689" t="s">
        <v>2967</v>
      </c>
      <c r="G64" s="689" t="s">
        <v>124</v>
      </c>
      <c r="H64" s="689" t="s">
        <v>2753</v>
      </c>
      <c r="I64" s="689" t="s">
        <v>22</v>
      </c>
      <c r="J64" s="689" t="s">
        <v>45</v>
      </c>
      <c r="K64" s="689" t="s">
        <v>5758</v>
      </c>
    </row>
    <row r="65" spans="1:11" ht="50.1" customHeight="1">
      <c r="A65" s="688" t="s">
        <v>17</v>
      </c>
      <c r="B65" s="689" t="s">
        <v>5757</v>
      </c>
      <c r="C65" s="690">
        <v>0.58888888888888891</v>
      </c>
      <c r="D65" s="689" t="s">
        <v>5757</v>
      </c>
      <c r="E65" s="690">
        <v>0.63402777777777775</v>
      </c>
      <c r="F65" s="689" t="s">
        <v>2928</v>
      </c>
      <c r="G65" s="689" t="s">
        <v>63</v>
      </c>
      <c r="H65" s="689" t="s">
        <v>2910</v>
      </c>
      <c r="I65" s="689" t="s">
        <v>5075</v>
      </c>
      <c r="J65" s="689" t="s">
        <v>45</v>
      </c>
      <c r="K65" s="689" t="s">
        <v>45</v>
      </c>
    </row>
    <row r="66" spans="1:11" ht="50.1" customHeight="1">
      <c r="A66" s="688" t="s">
        <v>17</v>
      </c>
      <c r="B66" s="689" t="s">
        <v>5759</v>
      </c>
      <c r="C66" s="690">
        <v>0.55902777777777779</v>
      </c>
      <c r="D66" s="689" t="s">
        <v>5759</v>
      </c>
      <c r="E66" s="690">
        <v>0.99930555555555556</v>
      </c>
      <c r="F66" s="689" t="s">
        <v>5760</v>
      </c>
      <c r="G66" s="689" t="s">
        <v>3143</v>
      </c>
      <c r="H66" s="689" t="s">
        <v>2753</v>
      </c>
      <c r="I66" s="689" t="s">
        <v>22</v>
      </c>
      <c r="J66" s="689" t="s">
        <v>45</v>
      </c>
      <c r="K66" s="689" t="s">
        <v>4538</v>
      </c>
    </row>
    <row r="67" spans="1:11" ht="50.1" customHeight="1">
      <c r="A67" s="688" t="s">
        <v>17</v>
      </c>
      <c r="B67" s="689" t="s">
        <v>5761</v>
      </c>
      <c r="C67" s="690">
        <v>0.33333333333333331</v>
      </c>
      <c r="D67" s="689" t="s">
        <v>5761</v>
      </c>
      <c r="E67" s="690">
        <v>0.35416666666666669</v>
      </c>
      <c r="F67" s="689" t="s">
        <v>5762</v>
      </c>
      <c r="G67" s="689" t="s">
        <v>674</v>
      </c>
      <c r="H67" s="689" t="s">
        <v>2910</v>
      </c>
      <c r="I67" s="689" t="s">
        <v>100</v>
      </c>
      <c r="J67" s="689" t="s">
        <v>4232</v>
      </c>
      <c r="K67" s="689" t="s">
        <v>3055</v>
      </c>
    </row>
    <row r="68" spans="1:11" ht="50.1" customHeight="1">
      <c r="A68" s="688" t="s">
        <v>20</v>
      </c>
      <c r="B68" s="689" t="s">
        <v>5763</v>
      </c>
      <c r="C68" s="690">
        <v>0</v>
      </c>
      <c r="D68" s="689" t="s">
        <v>5763</v>
      </c>
      <c r="E68" s="690">
        <v>2.8472222222222222E-2</v>
      </c>
      <c r="F68" s="689" t="s">
        <v>4774</v>
      </c>
      <c r="G68" s="689" t="s">
        <v>674</v>
      </c>
      <c r="H68" s="689" t="s">
        <v>3387</v>
      </c>
      <c r="I68" s="689" t="s">
        <v>2764</v>
      </c>
      <c r="J68" s="689" t="s">
        <v>3055</v>
      </c>
      <c r="K68" s="689" t="s">
        <v>3055</v>
      </c>
    </row>
    <row r="69" spans="1:11" ht="50.1" customHeight="1">
      <c r="A69" s="688" t="s">
        <v>20</v>
      </c>
      <c r="B69" s="689" t="s">
        <v>5764</v>
      </c>
      <c r="C69" s="690">
        <v>0.79166666666666663</v>
      </c>
      <c r="D69" s="689" t="s">
        <v>5765</v>
      </c>
      <c r="E69" s="690">
        <v>0.95833333333333337</v>
      </c>
      <c r="F69" s="689" t="s">
        <v>5766</v>
      </c>
      <c r="G69" s="689" t="s">
        <v>1352</v>
      </c>
      <c r="H69" s="689" t="s">
        <v>2753</v>
      </c>
      <c r="I69" s="689" t="s">
        <v>22</v>
      </c>
      <c r="J69" s="689" t="s">
        <v>45</v>
      </c>
      <c r="K69" s="689" t="s">
        <v>5767</v>
      </c>
    </row>
    <row r="70" spans="1:11" ht="50.1" customHeight="1">
      <c r="A70" s="688" t="s">
        <v>20</v>
      </c>
      <c r="B70" s="689" t="s">
        <v>5768</v>
      </c>
      <c r="C70" s="690">
        <v>0.57291666666666663</v>
      </c>
      <c r="D70" s="689" t="s">
        <v>5768</v>
      </c>
      <c r="E70" s="690">
        <v>0.57638888888888895</v>
      </c>
      <c r="F70" s="689" t="s">
        <v>4928</v>
      </c>
      <c r="G70" s="689" t="s">
        <v>5174</v>
      </c>
      <c r="H70" s="689" t="s">
        <v>3402</v>
      </c>
      <c r="I70" s="689" t="s">
        <v>2118</v>
      </c>
      <c r="J70" s="689" t="s">
        <v>3055</v>
      </c>
      <c r="K70" s="689" t="s">
        <v>3055</v>
      </c>
    </row>
    <row r="71" spans="1:11" ht="50.1" customHeight="1">
      <c r="A71" s="688" t="s">
        <v>20</v>
      </c>
      <c r="B71" s="689" t="s">
        <v>5768</v>
      </c>
      <c r="C71" s="690">
        <v>0.40625</v>
      </c>
      <c r="D71" s="689" t="s">
        <v>5768</v>
      </c>
      <c r="E71" s="690">
        <v>0.40972222222222227</v>
      </c>
      <c r="F71" s="689" t="s">
        <v>3116</v>
      </c>
      <c r="G71" s="689" t="s">
        <v>63</v>
      </c>
      <c r="H71" s="689" t="s">
        <v>3411</v>
      </c>
      <c r="I71" s="689" t="s">
        <v>2764</v>
      </c>
      <c r="J71" s="689" t="s">
        <v>3228</v>
      </c>
      <c r="K71" s="689" t="s">
        <v>5769</v>
      </c>
    </row>
    <row r="72" spans="1:11" ht="50.1" customHeight="1">
      <c r="A72" s="688" t="s">
        <v>20</v>
      </c>
      <c r="B72" s="689" t="s">
        <v>5768</v>
      </c>
      <c r="C72" s="690">
        <v>0.33333333333333331</v>
      </c>
      <c r="D72" s="689" t="s">
        <v>5768</v>
      </c>
      <c r="E72" s="690">
        <v>0.33402777777777781</v>
      </c>
      <c r="F72" s="689" t="s">
        <v>5770</v>
      </c>
      <c r="G72" s="689" t="s">
        <v>1352</v>
      </c>
      <c r="H72" s="689" t="s">
        <v>3356</v>
      </c>
      <c r="I72" s="689" t="s">
        <v>2118</v>
      </c>
      <c r="J72" s="689" t="s">
        <v>3055</v>
      </c>
      <c r="K72" s="689" t="s">
        <v>3055</v>
      </c>
    </row>
    <row r="73" spans="1:11" ht="50.1" customHeight="1">
      <c r="A73" s="688" t="s">
        <v>20</v>
      </c>
      <c r="B73" s="689" t="s">
        <v>5768</v>
      </c>
      <c r="C73" s="690">
        <v>0.65277777777777779</v>
      </c>
      <c r="D73" s="689" t="s">
        <v>45</v>
      </c>
      <c r="E73" s="690" t="s">
        <v>45</v>
      </c>
      <c r="F73" s="689" t="s">
        <v>5771</v>
      </c>
      <c r="G73" s="689" t="s">
        <v>63</v>
      </c>
      <c r="H73" s="689" t="s">
        <v>2753</v>
      </c>
      <c r="I73" s="689" t="s">
        <v>22</v>
      </c>
      <c r="J73" s="689" t="s">
        <v>45</v>
      </c>
      <c r="K73" s="689" t="s">
        <v>5772</v>
      </c>
    </row>
    <row r="74" spans="1:11" ht="50.1" customHeight="1">
      <c r="A74" s="688" t="s">
        <v>20</v>
      </c>
      <c r="B74" s="689" t="s">
        <v>5768</v>
      </c>
      <c r="C74" s="690">
        <v>0.81111111111111101</v>
      </c>
      <c r="D74" s="689" t="s">
        <v>5768</v>
      </c>
      <c r="E74" s="690">
        <v>0.87083333333333324</v>
      </c>
      <c r="F74" s="689" t="s">
        <v>4048</v>
      </c>
      <c r="G74" s="689" t="s">
        <v>3143</v>
      </c>
      <c r="H74" s="689" t="s">
        <v>2753</v>
      </c>
      <c r="I74" s="689" t="s">
        <v>22</v>
      </c>
      <c r="J74" s="689" t="s">
        <v>45</v>
      </c>
      <c r="K74" s="689" t="s">
        <v>5773</v>
      </c>
    </row>
    <row r="75" spans="1:11" ht="50.1" customHeight="1">
      <c r="A75" s="688" t="s">
        <v>20</v>
      </c>
      <c r="B75" s="689" t="s">
        <v>5768</v>
      </c>
      <c r="C75" s="690">
        <v>0.58333333333333337</v>
      </c>
      <c r="D75" s="689" t="s">
        <v>5765</v>
      </c>
      <c r="E75" s="690">
        <v>0.16666666666666666</v>
      </c>
      <c r="F75" s="689" t="s">
        <v>4241</v>
      </c>
      <c r="G75" s="689" t="s">
        <v>63</v>
      </c>
      <c r="H75" s="689" t="s">
        <v>2753</v>
      </c>
      <c r="I75" s="689" t="s">
        <v>22</v>
      </c>
      <c r="J75" s="689" t="s">
        <v>45</v>
      </c>
      <c r="K75" s="689" t="s">
        <v>3073</v>
      </c>
    </row>
    <row r="76" spans="1:11" ht="50.1" customHeight="1">
      <c r="A76" s="688" t="s">
        <v>20</v>
      </c>
      <c r="B76" s="689" t="s">
        <v>5768</v>
      </c>
      <c r="C76" s="690">
        <v>0.74305555555555547</v>
      </c>
      <c r="D76" s="689" t="s">
        <v>5774</v>
      </c>
      <c r="E76" s="690">
        <v>0.50069444444444444</v>
      </c>
      <c r="F76" s="689" t="s">
        <v>3307</v>
      </c>
      <c r="G76" s="689" t="s">
        <v>3143</v>
      </c>
      <c r="H76" s="689" t="s">
        <v>2753</v>
      </c>
      <c r="I76" s="689" t="s">
        <v>22</v>
      </c>
      <c r="J76" s="689" t="s">
        <v>3055</v>
      </c>
      <c r="K76" s="689" t="s">
        <v>4744</v>
      </c>
    </row>
    <row r="77" spans="1:11" ht="50.1" customHeight="1">
      <c r="A77" s="688" t="s">
        <v>20</v>
      </c>
      <c r="B77" s="689" t="s">
        <v>5768</v>
      </c>
      <c r="C77" s="690">
        <v>0.53125</v>
      </c>
      <c r="D77" s="689" t="s">
        <v>5768</v>
      </c>
      <c r="E77" s="690">
        <v>0.9458333333333333</v>
      </c>
      <c r="F77" s="689" t="s">
        <v>3167</v>
      </c>
      <c r="G77" s="689" t="s">
        <v>63</v>
      </c>
      <c r="H77" s="689" t="s">
        <v>2753</v>
      </c>
      <c r="I77" s="689" t="s">
        <v>22</v>
      </c>
      <c r="J77" s="689" t="s">
        <v>5775</v>
      </c>
      <c r="K77" s="689" t="s">
        <v>5776</v>
      </c>
    </row>
    <row r="78" spans="1:11" ht="50.1" customHeight="1">
      <c r="A78" s="688" t="s">
        <v>20</v>
      </c>
      <c r="B78" s="689" t="s">
        <v>5768</v>
      </c>
      <c r="C78" s="690">
        <v>0.65277777777777779</v>
      </c>
      <c r="D78" s="689" t="s">
        <v>45</v>
      </c>
      <c r="E78" s="690" t="s">
        <v>45</v>
      </c>
      <c r="F78" s="689" t="s">
        <v>5777</v>
      </c>
      <c r="G78" s="689" t="s">
        <v>63</v>
      </c>
      <c r="H78" s="689" t="s">
        <v>2753</v>
      </c>
      <c r="I78" s="689" t="s">
        <v>22</v>
      </c>
      <c r="J78" s="689" t="s">
        <v>45</v>
      </c>
      <c r="K78" s="689" t="s">
        <v>45</v>
      </c>
    </row>
    <row r="79" spans="1:11" ht="50.1" customHeight="1">
      <c r="A79" s="688" t="s">
        <v>20</v>
      </c>
      <c r="B79" s="689" t="s">
        <v>5765</v>
      </c>
      <c r="C79" s="690">
        <v>0.2951388888888889</v>
      </c>
      <c r="D79" s="689" t="s">
        <v>5765</v>
      </c>
      <c r="E79" s="690">
        <v>0.29583333333333334</v>
      </c>
      <c r="F79" s="689" t="s">
        <v>2866</v>
      </c>
      <c r="G79" s="689" t="s">
        <v>63</v>
      </c>
      <c r="H79" s="689" t="s">
        <v>3379</v>
      </c>
      <c r="I79" s="689" t="s">
        <v>2483</v>
      </c>
      <c r="J79" s="689" t="s">
        <v>5778</v>
      </c>
      <c r="K79" s="689" t="s">
        <v>5779</v>
      </c>
    </row>
    <row r="80" spans="1:11" ht="50.1" customHeight="1">
      <c r="A80" s="688" t="s">
        <v>20</v>
      </c>
      <c r="B80" s="689" t="s">
        <v>5765</v>
      </c>
      <c r="C80" s="690">
        <v>0.2951388888888889</v>
      </c>
      <c r="D80" s="689" t="s">
        <v>5765</v>
      </c>
      <c r="E80" s="690">
        <v>0.29583333333333334</v>
      </c>
      <c r="F80" s="689" t="s">
        <v>2866</v>
      </c>
      <c r="G80" s="689" t="s">
        <v>63</v>
      </c>
      <c r="H80" s="689" t="s">
        <v>3379</v>
      </c>
      <c r="I80" s="689" t="s">
        <v>2483</v>
      </c>
      <c r="J80" s="689" t="s">
        <v>4738</v>
      </c>
      <c r="K80" s="689" t="s">
        <v>45</v>
      </c>
    </row>
    <row r="81" spans="1:11" ht="50.1" customHeight="1">
      <c r="A81" s="688" t="s">
        <v>20</v>
      </c>
      <c r="B81" s="689" t="s">
        <v>5774</v>
      </c>
      <c r="C81" s="690">
        <v>0.8354166666666667</v>
      </c>
      <c r="D81" s="689" t="s">
        <v>5780</v>
      </c>
      <c r="E81" s="690">
        <v>0.65138888888888891</v>
      </c>
      <c r="F81" s="689" t="s">
        <v>5781</v>
      </c>
      <c r="G81" s="689" t="s">
        <v>63</v>
      </c>
      <c r="H81" s="689" t="s">
        <v>3402</v>
      </c>
      <c r="I81" s="689" t="s">
        <v>2118</v>
      </c>
      <c r="J81" s="689" t="s">
        <v>3055</v>
      </c>
      <c r="K81" s="689" t="s">
        <v>3055</v>
      </c>
    </row>
    <row r="82" spans="1:11" ht="50.1" customHeight="1">
      <c r="A82" s="688" t="s">
        <v>20</v>
      </c>
      <c r="B82" s="689" t="s">
        <v>5774</v>
      </c>
      <c r="C82" s="690">
        <v>0.49513888888888885</v>
      </c>
      <c r="D82" s="689" t="s">
        <v>5780</v>
      </c>
      <c r="E82" s="690">
        <v>0.32708333333333334</v>
      </c>
      <c r="F82" s="689" t="s">
        <v>5782</v>
      </c>
      <c r="G82" s="689" t="s">
        <v>3143</v>
      </c>
      <c r="H82" s="689" t="s">
        <v>3356</v>
      </c>
      <c r="I82" s="689" t="s">
        <v>100</v>
      </c>
      <c r="J82" s="689" t="s">
        <v>3055</v>
      </c>
      <c r="K82" s="689" t="s">
        <v>3055</v>
      </c>
    </row>
    <row r="83" spans="1:11" ht="50.1" customHeight="1">
      <c r="A83" s="688" t="s">
        <v>20</v>
      </c>
      <c r="B83" s="689" t="s">
        <v>5780</v>
      </c>
      <c r="C83" s="690">
        <v>0.6791666666666667</v>
      </c>
      <c r="D83" s="689" t="s">
        <v>5780</v>
      </c>
      <c r="E83" s="690">
        <v>0.72916666666666663</v>
      </c>
      <c r="F83" s="689" t="s">
        <v>5783</v>
      </c>
      <c r="G83" s="689" t="s">
        <v>63</v>
      </c>
      <c r="H83" s="689" t="s">
        <v>3356</v>
      </c>
      <c r="I83" s="689" t="s">
        <v>5075</v>
      </c>
      <c r="J83" s="689" t="s">
        <v>3081</v>
      </c>
      <c r="K83" s="689" t="s">
        <v>3055</v>
      </c>
    </row>
    <row r="84" spans="1:11" ht="50.1" customHeight="1">
      <c r="A84" s="688" t="s">
        <v>20</v>
      </c>
      <c r="B84" s="689" t="s">
        <v>5784</v>
      </c>
      <c r="C84" s="690">
        <v>0.45833333333333331</v>
      </c>
      <c r="D84" s="689" t="s">
        <v>5784</v>
      </c>
      <c r="E84" s="690">
        <v>0.65625</v>
      </c>
      <c r="F84" s="689" t="s">
        <v>5785</v>
      </c>
      <c r="G84" s="689" t="s">
        <v>1352</v>
      </c>
      <c r="H84" s="689" t="s">
        <v>3402</v>
      </c>
      <c r="I84" s="689" t="s">
        <v>100</v>
      </c>
      <c r="J84" s="689" t="s">
        <v>3055</v>
      </c>
      <c r="K84" s="689" t="s">
        <v>3055</v>
      </c>
    </row>
    <row r="85" spans="1:11" ht="50.1" customHeight="1">
      <c r="A85" s="688" t="s">
        <v>20</v>
      </c>
      <c r="B85" s="689" t="s">
        <v>5784</v>
      </c>
      <c r="C85" s="690">
        <v>0.43472222222222223</v>
      </c>
      <c r="D85" s="689" t="s">
        <v>5784</v>
      </c>
      <c r="E85" s="690">
        <v>0.61249999999999993</v>
      </c>
      <c r="F85" s="689" t="s">
        <v>2909</v>
      </c>
      <c r="G85" s="689" t="s">
        <v>1352</v>
      </c>
      <c r="H85" s="689" t="s">
        <v>3402</v>
      </c>
      <c r="I85" s="689" t="s">
        <v>100</v>
      </c>
      <c r="J85" s="689" t="s">
        <v>3055</v>
      </c>
      <c r="K85" s="689" t="s">
        <v>3055</v>
      </c>
    </row>
    <row r="86" spans="1:11" ht="50.1" customHeight="1">
      <c r="A86" s="688" t="s">
        <v>20</v>
      </c>
      <c r="B86" s="689" t="s">
        <v>5786</v>
      </c>
      <c r="C86" s="690">
        <v>1.3888888888888889E-3</v>
      </c>
      <c r="D86" s="689" t="s">
        <v>45</v>
      </c>
      <c r="E86" s="690" t="s">
        <v>45</v>
      </c>
      <c r="F86" s="689" t="s">
        <v>5555</v>
      </c>
      <c r="G86" s="689" t="s">
        <v>1352</v>
      </c>
      <c r="H86" s="689" t="s">
        <v>3356</v>
      </c>
      <c r="I86" s="689" t="s">
        <v>100</v>
      </c>
      <c r="J86" s="689" t="s">
        <v>3055</v>
      </c>
      <c r="K86" s="689" t="s">
        <v>3055</v>
      </c>
    </row>
    <row r="87" spans="1:11" ht="50.1" customHeight="1">
      <c r="A87" s="688" t="s">
        <v>20</v>
      </c>
      <c r="B87" s="689" t="s">
        <v>5786</v>
      </c>
      <c r="C87" s="690">
        <v>4.1666666666666664E-2</v>
      </c>
      <c r="D87" s="689" t="s">
        <v>5786</v>
      </c>
      <c r="E87" s="690">
        <v>8.3333333333333329E-2</v>
      </c>
      <c r="F87" s="689" t="s">
        <v>4245</v>
      </c>
      <c r="G87" s="689" t="s">
        <v>3143</v>
      </c>
      <c r="H87" s="689" t="s">
        <v>3356</v>
      </c>
      <c r="I87" s="689" t="s">
        <v>100</v>
      </c>
      <c r="J87" s="689" t="s">
        <v>3055</v>
      </c>
      <c r="K87" s="689" t="s">
        <v>3055</v>
      </c>
    </row>
    <row r="88" spans="1:11" ht="50.1" customHeight="1">
      <c r="A88" s="688" t="s">
        <v>20</v>
      </c>
      <c r="B88" s="689" t="s">
        <v>5787</v>
      </c>
      <c r="C88" s="690">
        <v>0.75</v>
      </c>
      <c r="D88" s="689" t="s">
        <v>5788</v>
      </c>
      <c r="E88" s="690">
        <v>0.75</v>
      </c>
      <c r="F88" s="689" t="s">
        <v>5789</v>
      </c>
      <c r="G88" s="689" t="s">
        <v>4935</v>
      </c>
      <c r="H88" s="689" t="s">
        <v>2753</v>
      </c>
      <c r="I88" s="689" t="s">
        <v>22</v>
      </c>
      <c r="J88" s="689" t="s">
        <v>5790</v>
      </c>
      <c r="K88" s="689" t="s">
        <v>3462</v>
      </c>
    </row>
    <row r="89" spans="1:11" ht="50.1" customHeight="1">
      <c r="A89" s="688" t="s">
        <v>20</v>
      </c>
      <c r="B89" s="689" t="s">
        <v>5788</v>
      </c>
      <c r="C89" s="690">
        <v>0.19999999999999998</v>
      </c>
      <c r="D89" s="689" t="s">
        <v>5788</v>
      </c>
      <c r="E89" s="690">
        <v>0.54652777777777783</v>
      </c>
      <c r="F89" s="689" t="s">
        <v>5791</v>
      </c>
      <c r="G89" s="689" t="s">
        <v>1352</v>
      </c>
      <c r="H89" s="689" t="s">
        <v>3411</v>
      </c>
      <c r="I89" s="689" t="s">
        <v>2764</v>
      </c>
      <c r="J89" s="689" t="s">
        <v>3055</v>
      </c>
      <c r="K89" s="689" t="s">
        <v>3055</v>
      </c>
    </row>
    <row r="90" spans="1:11" ht="50.1" customHeight="1">
      <c r="A90" s="688" t="s">
        <v>20</v>
      </c>
      <c r="B90" s="689" t="s">
        <v>5788</v>
      </c>
      <c r="C90" s="690">
        <v>0.33333333333333331</v>
      </c>
      <c r="D90" s="689" t="s">
        <v>5788</v>
      </c>
      <c r="E90" s="690">
        <v>0.37222222222222223</v>
      </c>
      <c r="F90" s="689" t="s">
        <v>2847</v>
      </c>
      <c r="G90" s="689" t="s">
        <v>124</v>
      </c>
      <c r="H90" s="689" t="s">
        <v>3356</v>
      </c>
      <c r="I90" s="689" t="s">
        <v>100</v>
      </c>
      <c r="J90" s="689" t="s">
        <v>3055</v>
      </c>
      <c r="K90" s="689" t="s">
        <v>3055</v>
      </c>
    </row>
    <row r="91" spans="1:11" ht="50.1" customHeight="1">
      <c r="A91" s="688" t="s">
        <v>20</v>
      </c>
      <c r="B91" s="689" t="s">
        <v>5792</v>
      </c>
      <c r="C91" s="690">
        <v>0.33333333333333331</v>
      </c>
      <c r="D91" s="689" t="s">
        <v>5793</v>
      </c>
      <c r="E91" s="690">
        <v>0.34722222222222227</v>
      </c>
      <c r="F91" s="689" t="s">
        <v>5794</v>
      </c>
      <c r="G91" s="689" t="s">
        <v>61</v>
      </c>
      <c r="H91" s="689" t="s">
        <v>2753</v>
      </c>
      <c r="I91" s="689" t="s">
        <v>22</v>
      </c>
      <c r="J91" s="689" t="s">
        <v>45</v>
      </c>
      <c r="K91" s="689" t="s">
        <v>5795</v>
      </c>
    </row>
    <row r="92" spans="1:11" ht="50.1" customHeight="1">
      <c r="A92" s="688" t="s">
        <v>20</v>
      </c>
      <c r="B92" s="689" t="s">
        <v>5792</v>
      </c>
      <c r="C92" s="690">
        <v>0.3923611111111111</v>
      </c>
      <c r="D92" s="689" t="s">
        <v>5796</v>
      </c>
      <c r="E92" s="690">
        <v>0.625</v>
      </c>
      <c r="F92" s="689" t="s">
        <v>2868</v>
      </c>
      <c r="G92" s="689" t="s">
        <v>61</v>
      </c>
      <c r="H92" s="689" t="s">
        <v>2753</v>
      </c>
      <c r="I92" s="689" t="s">
        <v>22</v>
      </c>
      <c r="J92" s="689" t="s">
        <v>45</v>
      </c>
      <c r="K92" s="689" t="s">
        <v>45</v>
      </c>
    </row>
    <row r="93" spans="1:11" ht="50.1" customHeight="1">
      <c r="A93" s="688" t="s">
        <v>20</v>
      </c>
      <c r="B93" s="689" t="s">
        <v>5793</v>
      </c>
      <c r="C93" s="690">
        <v>0.44027777777777777</v>
      </c>
      <c r="D93" s="689" t="s">
        <v>5793</v>
      </c>
      <c r="E93" s="690">
        <v>0.60138888888888886</v>
      </c>
      <c r="F93" s="689" t="s">
        <v>2909</v>
      </c>
      <c r="G93" s="689" t="s">
        <v>1352</v>
      </c>
      <c r="H93" s="689" t="s">
        <v>3402</v>
      </c>
      <c r="I93" s="689" t="s">
        <v>2118</v>
      </c>
      <c r="J93" s="689" t="s">
        <v>3055</v>
      </c>
      <c r="K93" s="689" t="s">
        <v>3055</v>
      </c>
    </row>
    <row r="94" spans="1:11" ht="50.1" customHeight="1">
      <c r="A94" s="688" t="s">
        <v>20</v>
      </c>
      <c r="B94" s="689" t="s">
        <v>5797</v>
      </c>
      <c r="C94" s="690">
        <v>0.23958333333333334</v>
      </c>
      <c r="D94" s="689" t="s">
        <v>5797</v>
      </c>
      <c r="E94" s="690">
        <v>0.24027777777777778</v>
      </c>
      <c r="F94" s="689" t="s">
        <v>5798</v>
      </c>
      <c r="G94" s="689" t="s">
        <v>3143</v>
      </c>
      <c r="H94" s="689" t="s">
        <v>3402</v>
      </c>
      <c r="I94" s="689" t="s">
        <v>2118</v>
      </c>
      <c r="J94" s="689" t="s">
        <v>5799</v>
      </c>
      <c r="K94" s="689" t="s">
        <v>3055</v>
      </c>
    </row>
    <row r="95" spans="1:11" ht="50.1" customHeight="1">
      <c r="A95" s="688" t="s">
        <v>20</v>
      </c>
      <c r="B95" s="689" t="s">
        <v>5800</v>
      </c>
      <c r="C95" s="690">
        <v>0.72152777777777777</v>
      </c>
      <c r="D95" s="689" t="s">
        <v>5800</v>
      </c>
      <c r="E95" s="690">
        <v>0.75416666666666676</v>
      </c>
      <c r="F95" s="689" t="s">
        <v>2801</v>
      </c>
      <c r="G95" s="689" t="s">
        <v>124</v>
      </c>
      <c r="H95" s="689" t="s">
        <v>3387</v>
      </c>
      <c r="I95" s="689" t="s">
        <v>2952</v>
      </c>
      <c r="J95" s="689" t="s">
        <v>3055</v>
      </c>
      <c r="K95" s="689" t="s">
        <v>3055</v>
      </c>
    </row>
    <row r="96" spans="1:11" ht="50.1" customHeight="1">
      <c r="A96" s="688" t="s">
        <v>20</v>
      </c>
      <c r="B96" s="689" t="s">
        <v>5800</v>
      </c>
      <c r="C96" s="690">
        <v>0.48402777777777778</v>
      </c>
      <c r="D96" s="689" t="s">
        <v>5800</v>
      </c>
      <c r="E96" s="690">
        <v>0.48472222222222222</v>
      </c>
      <c r="F96" s="689" t="s">
        <v>5770</v>
      </c>
      <c r="G96" s="689" t="s">
        <v>1352</v>
      </c>
      <c r="H96" s="689" t="s">
        <v>3356</v>
      </c>
      <c r="I96" s="689" t="s">
        <v>100</v>
      </c>
      <c r="J96" s="689" t="s">
        <v>3055</v>
      </c>
      <c r="K96" s="689" t="s">
        <v>3055</v>
      </c>
    </row>
    <row r="97" spans="1:11" ht="50.1" customHeight="1">
      <c r="A97" s="688" t="s">
        <v>20</v>
      </c>
      <c r="B97" s="689" t="s">
        <v>5800</v>
      </c>
      <c r="C97" s="690">
        <v>2.7083333333333334E-2</v>
      </c>
      <c r="D97" s="689" t="s">
        <v>5800</v>
      </c>
      <c r="E97" s="690">
        <v>2.7777777777777776E-2</v>
      </c>
      <c r="F97" s="689" t="s">
        <v>2817</v>
      </c>
      <c r="G97" s="689" t="s">
        <v>124</v>
      </c>
      <c r="H97" s="689" t="s">
        <v>2910</v>
      </c>
      <c r="I97" s="689" t="s">
        <v>5075</v>
      </c>
      <c r="J97" s="689" t="s">
        <v>4951</v>
      </c>
      <c r="K97" s="689" t="s">
        <v>5801</v>
      </c>
    </row>
    <row r="98" spans="1:11" ht="50.1" customHeight="1">
      <c r="A98" s="688" t="s">
        <v>20</v>
      </c>
      <c r="B98" s="689" t="s">
        <v>5802</v>
      </c>
      <c r="C98" s="690">
        <v>0.67569444444444438</v>
      </c>
      <c r="D98" s="689" t="s">
        <v>5803</v>
      </c>
      <c r="E98" s="690">
        <v>0.77083333333333337</v>
      </c>
      <c r="F98" s="689" t="s">
        <v>3307</v>
      </c>
      <c r="G98" s="689" t="s">
        <v>3143</v>
      </c>
      <c r="H98" s="689" t="s">
        <v>2753</v>
      </c>
      <c r="I98" s="689" t="s">
        <v>22</v>
      </c>
      <c r="J98" s="689" t="s">
        <v>5804</v>
      </c>
      <c r="K98" s="689" t="s">
        <v>5805</v>
      </c>
    </row>
    <row r="99" spans="1:11" ht="50.1" customHeight="1">
      <c r="A99" s="688" t="s">
        <v>20</v>
      </c>
      <c r="B99" s="689" t="s">
        <v>5802</v>
      </c>
      <c r="C99" s="690">
        <v>0.67499999999999993</v>
      </c>
      <c r="D99" s="689" t="s">
        <v>45</v>
      </c>
      <c r="E99" s="690" t="s">
        <v>45</v>
      </c>
      <c r="F99" s="689" t="s">
        <v>5806</v>
      </c>
      <c r="G99" s="689" t="s">
        <v>3143</v>
      </c>
      <c r="H99" s="689" t="s">
        <v>2753</v>
      </c>
      <c r="I99" s="689" t="s">
        <v>22</v>
      </c>
      <c r="J99" s="689" t="s">
        <v>45</v>
      </c>
      <c r="K99" s="689" t="s">
        <v>5807</v>
      </c>
    </row>
    <row r="100" spans="1:11" ht="50.1" customHeight="1">
      <c r="A100" s="688" t="s">
        <v>20</v>
      </c>
      <c r="B100" s="689" t="s">
        <v>5808</v>
      </c>
      <c r="C100" s="690">
        <v>0.53611111111111109</v>
      </c>
      <c r="D100" s="689" t="s">
        <v>5808</v>
      </c>
      <c r="E100" s="690">
        <v>0.57916666666666672</v>
      </c>
      <c r="F100" s="689" t="s">
        <v>5809</v>
      </c>
      <c r="G100" s="689" t="s">
        <v>251</v>
      </c>
      <c r="H100" s="689" t="s">
        <v>3402</v>
      </c>
      <c r="I100" s="689" t="s">
        <v>100</v>
      </c>
      <c r="J100" s="689" t="s">
        <v>5568</v>
      </c>
      <c r="K100" s="689" t="s">
        <v>45</v>
      </c>
    </row>
    <row r="101" spans="1:11" ht="50.1" customHeight="1">
      <c r="A101" s="688" t="s">
        <v>20</v>
      </c>
      <c r="B101" s="691">
        <v>45013</v>
      </c>
      <c r="C101" s="690">
        <v>0.75208333333333333</v>
      </c>
      <c r="D101" s="689" t="s">
        <v>5810</v>
      </c>
      <c r="E101" s="690">
        <v>0.83888888888888891</v>
      </c>
      <c r="F101" s="689" t="s">
        <v>4185</v>
      </c>
      <c r="G101" s="689" t="s">
        <v>1352</v>
      </c>
      <c r="H101" s="689" t="s">
        <v>3402</v>
      </c>
      <c r="I101" s="689" t="s">
        <v>2118</v>
      </c>
      <c r="J101" s="689" t="s">
        <v>3055</v>
      </c>
      <c r="K101" s="689" t="s">
        <v>3055</v>
      </c>
    </row>
    <row r="102" spans="1:11" ht="50.1" customHeight="1">
      <c r="A102" s="688" t="s">
        <v>20</v>
      </c>
      <c r="B102" s="689" t="s">
        <v>5810</v>
      </c>
      <c r="C102" s="690">
        <v>0.22361111111111109</v>
      </c>
      <c r="D102" s="689" t="s">
        <v>5810</v>
      </c>
      <c r="E102" s="690">
        <v>0.28958333333333336</v>
      </c>
      <c r="F102" s="689" t="s">
        <v>5089</v>
      </c>
      <c r="G102" s="689" t="s">
        <v>1352</v>
      </c>
      <c r="H102" s="689" t="s">
        <v>3447</v>
      </c>
      <c r="I102" s="689" t="s">
        <v>2764</v>
      </c>
      <c r="J102" s="689" t="s">
        <v>3055</v>
      </c>
      <c r="K102" s="689" t="s">
        <v>3055</v>
      </c>
    </row>
    <row r="103" spans="1:11" ht="50.1" customHeight="1">
      <c r="A103" s="688" t="s">
        <v>20</v>
      </c>
      <c r="B103" s="689" t="s">
        <v>5810</v>
      </c>
      <c r="C103" s="690">
        <v>0.4201388888888889</v>
      </c>
      <c r="D103" s="689" t="s">
        <v>45</v>
      </c>
      <c r="E103" s="690" t="s">
        <v>45</v>
      </c>
      <c r="F103" s="689" t="s">
        <v>5811</v>
      </c>
      <c r="G103" s="689" t="s">
        <v>1352</v>
      </c>
      <c r="H103" s="689" t="s">
        <v>2910</v>
      </c>
      <c r="I103" s="689" t="s">
        <v>100</v>
      </c>
      <c r="J103" s="689" t="s">
        <v>3055</v>
      </c>
      <c r="K103" s="689" t="s">
        <v>3055</v>
      </c>
    </row>
    <row r="104" spans="1:11" ht="50.1" customHeight="1">
      <c r="A104" s="688" t="s">
        <v>20</v>
      </c>
      <c r="B104" s="689" t="s">
        <v>5812</v>
      </c>
      <c r="C104" s="690">
        <v>0.22638888888888889</v>
      </c>
      <c r="D104" s="689" t="s">
        <v>5812</v>
      </c>
      <c r="E104" s="690">
        <v>0.30763888888888891</v>
      </c>
      <c r="F104" s="689" t="s">
        <v>5813</v>
      </c>
      <c r="G104" s="689" t="s">
        <v>674</v>
      </c>
      <c r="H104" s="689" t="s">
        <v>3411</v>
      </c>
      <c r="I104" s="689" t="s">
        <v>2764</v>
      </c>
      <c r="J104" s="689" t="s">
        <v>3055</v>
      </c>
      <c r="K104" s="689" t="s">
        <v>3055</v>
      </c>
    </row>
    <row r="105" spans="1:11" ht="50.1" customHeight="1">
      <c r="A105" s="688" t="s">
        <v>20</v>
      </c>
      <c r="B105" s="689" t="s">
        <v>5812</v>
      </c>
      <c r="C105" s="690">
        <v>0.73402777777777783</v>
      </c>
      <c r="D105" s="689" t="s">
        <v>5812</v>
      </c>
      <c r="E105" s="690">
        <v>0.80208333333333337</v>
      </c>
      <c r="F105" s="689" t="s">
        <v>3876</v>
      </c>
      <c r="G105" s="689" t="s">
        <v>5814</v>
      </c>
      <c r="H105" s="689" t="s">
        <v>3387</v>
      </c>
      <c r="I105" s="689" t="s">
        <v>2764</v>
      </c>
      <c r="J105" s="689" t="s">
        <v>3055</v>
      </c>
      <c r="K105" s="689" t="s">
        <v>3055</v>
      </c>
    </row>
    <row r="106" spans="1:11" ht="50.1" customHeight="1">
      <c r="A106" s="688" t="s">
        <v>20</v>
      </c>
      <c r="B106" s="689" t="s">
        <v>5815</v>
      </c>
      <c r="C106" s="690">
        <v>0.3840277777777778</v>
      </c>
      <c r="D106" s="689" t="s">
        <v>5815</v>
      </c>
      <c r="E106" s="690">
        <v>0.38541666666666669</v>
      </c>
      <c r="F106" s="689" t="s">
        <v>5469</v>
      </c>
      <c r="G106" s="689" t="s">
        <v>124</v>
      </c>
      <c r="H106" s="689" t="s">
        <v>3356</v>
      </c>
      <c r="I106" s="689" t="s">
        <v>100</v>
      </c>
      <c r="J106" s="689" t="s">
        <v>3055</v>
      </c>
      <c r="K106" s="689" t="s">
        <v>3055</v>
      </c>
    </row>
    <row r="107" spans="1:11" ht="50.1" customHeight="1">
      <c r="A107" s="688" t="s">
        <v>20</v>
      </c>
      <c r="B107" s="689" t="s">
        <v>5815</v>
      </c>
      <c r="C107" s="690">
        <v>0.76944444444444438</v>
      </c>
      <c r="D107" s="689" t="s">
        <v>5815</v>
      </c>
      <c r="E107" s="690">
        <v>0.92569444444444438</v>
      </c>
      <c r="F107" s="689" t="s">
        <v>3645</v>
      </c>
      <c r="G107" s="689" t="s">
        <v>124</v>
      </c>
      <c r="H107" s="689" t="s">
        <v>2839</v>
      </c>
      <c r="I107" s="689" t="s">
        <v>2483</v>
      </c>
      <c r="J107" s="689" t="s">
        <v>4058</v>
      </c>
      <c r="K107" s="689" t="s">
        <v>45</v>
      </c>
    </row>
    <row r="108" spans="1:11" ht="50.1" customHeight="1">
      <c r="A108" s="688" t="s">
        <v>20</v>
      </c>
      <c r="B108" s="689" t="s">
        <v>5815</v>
      </c>
      <c r="C108" s="690">
        <v>0.40277777777777773</v>
      </c>
      <c r="D108" s="689" t="s">
        <v>5815</v>
      </c>
      <c r="E108" s="690">
        <v>0.41666666666666669</v>
      </c>
      <c r="F108" s="689" t="s">
        <v>3354</v>
      </c>
      <c r="G108" s="689" t="s">
        <v>63</v>
      </c>
      <c r="H108" s="689" t="s">
        <v>3356</v>
      </c>
      <c r="I108" s="689" t="s">
        <v>100</v>
      </c>
      <c r="J108" s="689" t="s">
        <v>3055</v>
      </c>
      <c r="K108" s="689" t="s">
        <v>3055</v>
      </c>
    </row>
    <row r="109" spans="1:11" ht="50.1" customHeight="1">
      <c r="A109" s="688" t="s">
        <v>20</v>
      </c>
      <c r="B109" s="689" t="s">
        <v>5815</v>
      </c>
      <c r="C109" s="690">
        <v>0.80625000000000002</v>
      </c>
      <c r="D109" s="689" t="s">
        <v>45</v>
      </c>
      <c r="E109" s="690" t="s">
        <v>45</v>
      </c>
      <c r="F109" s="689" t="s">
        <v>3645</v>
      </c>
      <c r="G109" s="689" t="s">
        <v>124</v>
      </c>
      <c r="H109" s="689" t="s">
        <v>2839</v>
      </c>
      <c r="I109" s="689" t="s">
        <v>2483</v>
      </c>
      <c r="J109" s="689" t="s">
        <v>45</v>
      </c>
      <c r="K109" s="689" t="s">
        <v>45</v>
      </c>
    </row>
    <row r="110" spans="1:11" ht="50.1" customHeight="1">
      <c r="A110" s="688" t="s">
        <v>20</v>
      </c>
      <c r="B110" s="689" t="s">
        <v>5815</v>
      </c>
      <c r="C110" s="690">
        <v>0.20833333333333334</v>
      </c>
      <c r="D110" s="689" t="s">
        <v>5815</v>
      </c>
      <c r="E110" s="690">
        <v>0.59722222222222221</v>
      </c>
      <c r="F110" s="689" t="s">
        <v>5816</v>
      </c>
      <c r="G110" s="689" t="s">
        <v>3143</v>
      </c>
      <c r="H110" s="689" t="s">
        <v>3356</v>
      </c>
      <c r="I110" s="689" t="s">
        <v>100</v>
      </c>
      <c r="J110" s="689" t="s">
        <v>5817</v>
      </c>
      <c r="K110" s="689" t="s">
        <v>3055</v>
      </c>
    </row>
    <row r="111" spans="1:11" ht="50.1" customHeight="1">
      <c r="A111" s="688" t="s">
        <v>20</v>
      </c>
      <c r="B111" s="689" t="s">
        <v>5818</v>
      </c>
      <c r="C111" s="690">
        <v>0.75</v>
      </c>
      <c r="D111" s="689" t="s">
        <v>5818</v>
      </c>
      <c r="E111" s="690">
        <v>0.86458333333333337</v>
      </c>
      <c r="F111" s="689" t="s">
        <v>3405</v>
      </c>
      <c r="G111" s="689" t="s">
        <v>63</v>
      </c>
      <c r="H111" s="689" t="s">
        <v>2753</v>
      </c>
      <c r="I111" s="689" t="s">
        <v>22</v>
      </c>
      <c r="J111" s="689" t="s">
        <v>45</v>
      </c>
      <c r="K111" s="689" t="s">
        <v>5819</v>
      </c>
    </row>
    <row r="112" spans="1:11" ht="50.1" customHeight="1">
      <c r="A112" s="688" t="s">
        <v>20</v>
      </c>
      <c r="B112" s="689" t="s">
        <v>5818</v>
      </c>
      <c r="C112" s="690">
        <v>0.95833333333333337</v>
      </c>
      <c r="D112" s="689" t="s">
        <v>5820</v>
      </c>
      <c r="E112" s="690">
        <v>0.67708333333333337</v>
      </c>
      <c r="F112" s="689" t="s">
        <v>5821</v>
      </c>
      <c r="G112" s="689" t="s">
        <v>674</v>
      </c>
      <c r="H112" s="689" t="s">
        <v>2753</v>
      </c>
      <c r="I112" s="689" t="s">
        <v>22</v>
      </c>
      <c r="J112" s="689" t="s">
        <v>45</v>
      </c>
      <c r="K112" s="689" t="s">
        <v>5004</v>
      </c>
    </row>
    <row r="113" spans="1:11" ht="50.1" customHeight="1">
      <c r="A113" s="688" t="s">
        <v>20</v>
      </c>
      <c r="B113" s="689" t="s">
        <v>5818</v>
      </c>
      <c r="C113" s="690">
        <v>0.86736111111111114</v>
      </c>
      <c r="D113" s="689" t="s">
        <v>45</v>
      </c>
      <c r="E113" s="690" t="s">
        <v>45</v>
      </c>
      <c r="F113" s="689" t="s">
        <v>3461</v>
      </c>
      <c r="G113" s="689" t="s">
        <v>5822</v>
      </c>
      <c r="H113" s="689" t="s">
        <v>2753</v>
      </c>
      <c r="I113" s="689" t="s">
        <v>22</v>
      </c>
      <c r="J113" s="689" t="s">
        <v>45</v>
      </c>
      <c r="K113" s="689" t="s">
        <v>4986</v>
      </c>
    </row>
    <row r="114" spans="1:11" ht="50.1" customHeight="1">
      <c r="A114" s="688" t="s">
        <v>23</v>
      </c>
      <c r="B114" s="689" t="s">
        <v>5820</v>
      </c>
      <c r="C114" s="690">
        <v>0.58333333333333337</v>
      </c>
      <c r="D114" s="689" t="s">
        <v>5823</v>
      </c>
      <c r="E114" s="690">
        <v>0.44930555555555557</v>
      </c>
      <c r="F114" s="689" t="s">
        <v>5806</v>
      </c>
      <c r="G114" s="689" t="s">
        <v>4903</v>
      </c>
      <c r="H114" s="689" t="s">
        <v>2753</v>
      </c>
      <c r="I114" s="689" t="s">
        <v>22</v>
      </c>
      <c r="J114" s="689" t="s">
        <v>45</v>
      </c>
      <c r="K114" s="689" t="s">
        <v>5824</v>
      </c>
    </row>
    <row r="115" spans="1:11" ht="50.1" customHeight="1">
      <c r="A115" s="688" t="s">
        <v>23</v>
      </c>
      <c r="B115" s="689" t="s">
        <v>5823</v>
      </c>
      <c r="C115" s="690">
        <v>0.50416666666666665</v>
      </c>
      <c r="D115" s="689" t="s">
        <v>5823</v>
      </c>
      <c r="E115" s="690">
        <v>0.53749999999999998</v>
      </c>
      <c r="F115" s="689" t="s">
        <v>5825</v>
      </c>
      <c r="G115" s="689" t="s">
        <v>63</v>
      </c>
      <c r="H115" s="689" t="s">
        <v>3402</v>
      </c>
      <c r="I115" s="689" t="s">
        <v>5075</v>
      </c>
      <c r="J115" s="689" t="s">
        <v>3055</v>
      </c>
      <c r="K115" s="689" t="s">
        <v>3055</v>
      </c>
    </row>
    <row r="116" spans="1:11" ht="50.1" customHeight="1">
      <c r="A116" s="688" t="s">
        <v>23</v>
      </c>
      <c r="B116" s="689" t="s">
        <v>5823</v>
      </c>
      <c r="C116" s="690">
        <v>0.78472222222222221</v>
      </c>
      <c r="D116" s="689" t="s">
        <v>5823</v>
      </c>
      <c r="E116" s="690">
        <v>0.80972222222222223</v>
      </c>
      <c r="F116" s="689" t="s">
        <v>5826</v>
      </c>
      <c r="G116" s="689" t="s">
        <v>5309</v>
      </c>
      <c r="H116" s="689" t="s">
        <v>3387</v>
      </c>
      <c r="I116" s="689" t="s">
        <v>2483</v>
      </c>
      <c r="J116" s="689" t="s">
        <v>45</v>
      </c>
      <c r="K116" s="689" t="s">
        <v>3055</v>
      </c>
    </row>
    <row r="117" spans="1:11" ht="50.1" customHeight="1">
      <c r="A117" s="688" t="s">
        <v>23</v>
      </c>
      <c r="B117" s="689" t="s">
        <v>5827</v>
      </c>
      <c r="C117" s="690">
        <v>0.1875</v>
      </c>
      <c r="D117" s="689" t="s">
        <v>5827</v>
      </c>
      <c r="E117" s="690">
        <v>0.21180555555555555</v>
      </c>
      <c r="F117" s="689" t="s">
        <v>4185</v>
      </c>
      <c r="G117" s="689" t="s">
        <v>1352</v>
      </c>
      <c r="H117" s="689" t="s">
        <v>3402</v>
      </c>
      <c r="I117" s="689" t="s">
        <v>2118</v>
      </c>
      <c r="J117" s="689" t="s">
        <v>3055</v>
      </c>
      <c r="K117" s="689" t="s">
        <v>3055</v>
      </c>
    </row>
    <row r="118" spans="1:11" ht="50.1" customHeight="1">
      <c r="A118" s="688" t="s">
        <v>23</v>
      </c>
      <c r="B118" s="689" t="s">
        <v>5828</v>
      </c>
      <c r="C118" s="690">
        <v>0.34097222222222223</v>
      </c>
      <c r="D118" s="689" t="s">
        <v>45</v>
      </c>
      <c r="E118" s="690" t="s">
        <v>45</v>
      </c>
      <c r="F118" s="689" t="s">
        <v>4048</v>
      </c>
      <c r="G118" s="689" t="s">
        <v>3143</v>
      </c>
      <c r="H118" s="689" t="s">
        <v>3356</v>
      </c>
      <c r="I118" s="689" t="s">
        <v>100</v>
      </c>
      <c r="J118" s="689" t="s">
        <v>3055</v>
      </c>
      <c r="K118" s="689" t="s">
        <v>3055</v>
      </c>
    </row>
    <row r="119" spans="1:11" ht="50.1" customHeight="1">
      <c r="A119" s="688" t="s">
        <v>23</v>
      </c>
      <c r="B119" s="689" t="s">
        <v>5829</v>
      </c>
      <c r="C119" s="690">
        <v>0.22916666666666666</v>
      </c>
      <c r="D119" s="689" t="s">
        <v>45</v>
      </c>
      <c r="E119" s="690" t="s">
        <v>45</v>
      </c>
      <c r="F119" s="689" t="s">
        <v>5745</v>
      </c>
      <c r="G119" s="689" t="s">
        <v>63</v>
      </c>
      <c r="H119" s="689" t="s">
        <v>5830</v>
      </c>
      <c r="I119" s="689" t="s">
        <v>2952</v>
      </c>
      <c r="J119" s="689" t="s">
        <v>3055</v>
      </c>
      <c r="K119" s="689" t="s">
        <v>3055</v>
      </c>
    </row>
    <row r="120" spans="1:11" ht="50.1" customHeight="1">
      <c r="A120" s="688" t="s">
        <v>23</v>
      </c>
      <c r="B120" s="689" t="s">
        <v>5831</v>
      </c>
      <c r="C120" s="690">
        <v>0.6875</v>
      </c>
      <c r="D120" s="689" t="s">
        <v>5831</v>
      </c>
      <c r="E120" s="690">
        <v>0.72083333333333333</v>
      </c>
      <c r="F120" s="689" t="s">
        <v>5832</v>
      </c>
      <c r="G120" s="689" t="s">
        <v>1352</v>
      </c>
      <c r="H120" s="689" t="s">
        <v>3447</v>
      </c>
      <c r="I120" s="689" t="s">
        <v>2764</v>
      </c>
      <c r="J120" s="689" t="s">
        <v>3055</v>
      </c>
      <c r="K120" s="689" t="s">
        <v>3055</v>
      </c>
    </row>
    <row r="121" spans="1:11" ht="50.1" customHeight="1">
      <c r="A121" s="688" t="s">
        <v>23</v>
      </c>
      <c r="B121" s="689" t="s">
        <v>5833</v>
      </c>
      <c r="C121" s="690">
        <v>0.3034722222222222</v>
      </c>
      <c r="D121" s="689" t="s">
        <v>5833</v>
      </c>
      <c r="E121" s="690">
        <v>0.58333333333333337</v>
      </c>
      <c r="F121" s="689" t="s">
        <v>3853</v>
      </c>
      <c r="G121" s="689" t="s">
        <v>1352</v>
      </c>
      <c r="H121" s="689" t="s">
        <v>3356</v>
      </c>
      <c r="I121" s="689" t="s">
        <v>2118</v>
      </c>
      <c r="J121" s="689" t="s">
        <v>45</v>
      </c>
      <c r="K121" s="689" t="s">
        <v>5834</v>
      </c>
    </row>
    <row r="122" spans="1:11" ht="50.1" customHeight="1">
      <c r="A122" s="688" t="s">
        <v>23</v>
      </c>
      <c r="B122" s="689" t="s">
        <v>5835</v>
      </c>
      <c r="C122" s="690">
        <v>0.22916666666666666</v>
      </c>
      <c r="D122" s="689" t="s">
        <v>5835</v>
      </c>
      <c r="E122" s="690">
        <v>0.58333333333333337</v>
      </c>
      <c r="F122" s="689" t="s">
        <v>3182</v>
      </c>
      <c r="G122" s="689" t="s">
        <v>63</v>
      </c>
      <c r="H122" s="689" t="s">
        <v>3356</v>
      </c>
      <c r="I122" s="689" t="s">
        <v>2118</v>
      </c>
      <c r="J122" s="689" t="s">
        <v>3055</v>
      </c>
      <c r="K122" s="689" t="s">
        <v>3055</v>
      </c>
    </row>
    <row r="123" spans="1:11" ht="50.1" customHeight="1">
      <c r="A123" s="688" t="s">
        <v>23</v>
      </c>
      <c r="B123" s="689" t="s">
        <v>5835</v>
      </c>
      <c r="C123" s="690">
        <v>0.51180555555555551</v>
      </c>
      <c r="D123" s="689" t="s">
        <v>5835</v>
      </c>
      <c r="E123" s="690">
        <v>0.71666666666666667</v>
      </c>
      <c r="F123" s="689" t="s">
        <v>5836</v>
      </c>
      <c r="G123" s="689" t="s">
        <v>63</v>
      </c>
      <c r="H123" s="689" t="s">
        <v>3356</v>
      </c>
      <c r="I123" s="689" t="s">
        <v>5075</v>
      </c>
      <c r="J123" s="689" t="s">
        <v>5837</v>
      </c>
      <c r="K123" s="689" t="s">
        <v>3643</v>
      </c>
    </row>
    <row r="124" spans="1:11" ht="50.1" customHeight="1">
      <c r="A124" s="688" t="s">
        <v>23</v>
      </c>
      <c r="B124" s="689" t="s">
        <v>5838</v>
      </c>
      <c r="C124" s="690">
        <v>0.33333333333333331</v>
      </c>
      <c r="D124" s="689" t="s">
        <v>5838</v>
      </c>
      <c r="E124" s="690">
        <v>0.33402777777777781</v>
      </c>
      <c r="F124" s="689" t="s">
        <v>3591</v>
      </c>
      <c r="G124" s="689" t="s">
        <v>1352</v>
      </c>
      <c r="H124" s="689" t="s">
        <v>3356</v>
      </c>
      <c r="I124" s="689" t="s">
        <v>5075</v>
      </c>
      <c r="J124" s="689" t="s">
        <v>3055</v>
      </c>
      <c r="K124" s="689" t="s">
        <v>3055</v>
      </c>
    </row>
    <row r="125" spans="1:11" ht="50.1" customHeight="1">
      <c r="A125" s="688" t="s">
        <v>23</v>
      </c>
      <c r="B125" s="689" t="s">
        <v>5838</v>
      </c>
      <c r="C125" s="690">
        <v>0.15347222222222223</v>
      </c>
      <c r="D125" s="689" t="s">
        <v>5838</v>
      </c>
      <c r="E125" s="690">
        <v>0.16666666666666666</v>
      </c>
      <c r="F125" s="689" t="s">
        <v>2801</v>
      </c>
      <c r="G125" s="689" t="s">
        <v>124</v>
      </c>
      <c r="H125" s="689" t="s">
        <v>3356</v>
      </c>
      <c r="I125" s="689" t="s">
        <v>100</v>
      </c>
      <c r="J125" s="689" t="s">
        <v>3055</v>
      </c>
      <c r="K125" s="689" t="s">
        <v>3055</v>
      </c>
    </row>
    <row r="126" spans="1:11" ht="50.1" customHeight="1">
      <c r="A126" s="688" t="s">
        <v>23</v>
      </c>
      <c r="B126" s="689" t="s">
        <v>5838</v>
      </c>
      <c r="C126" s="690">
        <v>0.44166666666666665</v>
      </c>
      <c r="D126" s="689" t="s">
        <v>5839</v>
      </c>
      <c r="E126" s="690">
        <v>0.46388888888888885</v>
      </c>
      <c r="F126" s="689" t="s">
        <v>5840</v>
      </c>
      <c r="G126" s="689" t="s">
        <v>674</v>
      </c>
      <c r="H126" s="689" t="s">
        <v>3411</v>
      </c>
      <c r="I126" s="689" t="s">
        <v>2764</v>
      </c>
      <c r="J126" s="689" t="s">
        <v>3497</v>
      </c>
      <c r="K126" s="689" t="s">
        <v>3081</v>
      </c>
    </row>
    <row r="127" spans="1:11" ht="50.1" customHeight="1">
      <c r="A127" s="688" t="s">
        <v>23</v>
      </c>
      <c r="B127" s="689" t="s">
        <v>5839</v>
      </c>
      <c r="C127" s="690">
        <v>0.63541666666666663</v>
      </c>
      <c r="D127" s="689" t="s">
        <v>5839</v>
      </c>
      <c r="E127" s="690">
        <v>0.66597222222222219</v>
      </c>
      <c r="F127" s="689" t="s">
        <v>2813</v>
      </c>
      <c r="G127" s="689" t="s">
        <v>124</v>
      </c>
      <c r="H127" s="689" t="s">
        <v>3356</v>
      </c>
      <c r="I127" s="689" t="s">
        <v>100</v>
      </c>
      <c r="J127" s="689" t="s">
        <v>3055</v>
      </c>
      <c r="K127" s="689" t="s">
        <v>3055</v>
      </c>
    </row>
    <row r="128" spans="1:11" ht="50.1" customHeight="1">
      <c r="A128" s="688" t="s">
        <v>23</v>
      </c>
      <c r="B128" s="689" t="s">
        <v>5839</v>
      </c>
      <c r="C128" s="690">
        <v>0.96736111111111101</v>
      </c>
      <c r="D128" s="689" t="s">
        <v>5841</v>
      </c>
      <c r="E128" s="690">
        <v>0.72499999999999998</v>
      </c>
      <c r="F128" s="689" t="s">
        <v>3184</v>
      </c>
      <c r="G128" s="689" t="s">
        <v>1352</v>
      </c>
      <c r="H128" s="689" t="s">
        <v>2839</v>
      </c>
      <c r="I128" s="689" t="s">
        <v>2483</v>
      </c>
      <c r="J128" s="689" t="s">
        <v>45</v>
      </c>
      <c r="K128" s="689" t="s">
        <v>45</v>
      </c>
    </row>
    <row r="129" spans="1:11" ht="50.1" customHeight="1">
      <c r="A129" s="688" t="s">
        <v>23</v>
      </c>
      <c r="B129" s="689" t="s">
        <v>5842</v>
      </c>
      <c r="C129" s="690">
        <v>0.25138888888888888</v>
      </c>
      <c r="D129" s="689" t="s">
        <v>45</v>
      </c>
      <c r="E129" s="690" t="s">
        <v>45</v>
      </c>
      <c r="F129" s="689" t="s">
        <v>2945</v>
      </c>
      <c r="G129" s="689" t="s">
        <v>124</v>
      </c>
      <c r="H129" s="689" t="s">
        <v>2780</v>
      </c>
      <c r="I129" s="689" t="s">
        <v>2764</v>
      </c>
      <c r="J129" s="689" t="s">
        <v>3055</v>
      </c>
      <c r="K129" s="689" t="s">
        <v>3055</v>
      </c>
    </row>
    <row r="130" spans="1:11" ht="50.1" customHeight="1">
      <c r="A130" s="688" t="s">
        <v>23</v>
      </c>
      <c r="B130" s="689" t="s">
        <v>5843</v>
      </c>
      <c r="C130" s="690">
        <v>0.39027777777777778</v>
      </c>
      <c r="D130" s="689" t="s">
        <v>5844</v>
      </c>
      <c r="E130" s="690">
        <v>0.74236111111111114</v>
      </c>
      <c r="F130" s="689" t="s">
        <v>5845</v>
      </c>
      <c r="G130" s="689" t="s">
        <v>124</v>
      </c>
      <c r="H130" s="689" t="s">
        <v>3356</v>
      </c>
      <c r="I130" s="689" t="s">
        <v>2764</v>
      </c>
      <c r="J130" s="689" t="s">
        <v>3889</v>
      </c>
      <c r="K130" s="689" t="s">
        <v>45</v>
      </c>
    </row>
    <row r="131" spans="1:11" ht="50.1" customHeight="1">
      <c r="A131" s="688" t="s">
        <v>23</v>
      </c>
      <c r="B131" s="689" t="s">
        <v>5846</v>
      </c>
      <c r="C131" s="690">
        <v>0.43958333333333338</v>
      </c>
      <c r="D131" s="689" t="s">
        <v>5846</v>
      </c>
      <c r="E131" s="690">
        <v>0.65486111111111112</v>
      </c>
      <c r="F131" s="689" t="s">
        <v>3424</v>
      </c>
      <c r="G131" s="689" t="s">
        <v>124</v>
      </c>
      <c r="H131" s="689" t="s">
        <v>2910</v>
      </c>
      <c r="I131" s="689" t="s">
        <v>2764</v>
      </c>
      <c r="J131" s="689" t="s">
        <v>3055</v>
      </c>
      <c r="K131" s="689" t="s">
        <v>3055</v>
      </c>
    </row>
    <row r="132" spans="1:11" ht="50.1" customHeight="1">
      <c r="A132" s="688" t="s">
        <v>23</v>
      </c>
      <c r="B132" s="689" t="s">
        <v>5847</v>
      </c>
      <c r="C132" s="690">
        <v>0.52152777777777781</v>
      </c>
      <c r="D132" s="689" t="s">
        <v>5847</v>
      </c>
      <c r="E132" s="690">
        <v>0.59375</v>
      </c>
      <c r="F132" s="689" t="s">
        <v>5848</v>
      </c>
      <c r="G132" s="689" t="s">
        <v>124</v>
      </c>
      <c r="H132" s="689" t="s">
        <v>3356</v>
      </c>
      <c r="I132" s="689" t="s">
        <v>100</v>
      </c>
      <c r="J132" s="689" t="s">
        <v>3055</v>
      </c>
      <c r="K132" s="689" t="s">
        <v>3055</v>
      </c>
    </row>
    <row r="133" spans="1:11" ht="50.1" customHeight="1">
      <c r="A133" s="688" t="s">
        <v>23</v>
      </c>
      <c r="B133" s="689" t="s">
        <v>5849</v>
      </c>
      <c r="C133" s="690">
        <v>0.45833333333333331</v>
      </c>
      <c r="D133" s="689" t="s">
        <v>5849</v>
      </c>
      <c r="E133" s="690">
        <v>0.4680555555555555</v>
      </c>
      <c r="F133" s="689" t="s">
        <v>5850</v>
      </c>
      <c r="G133" s="689" t="s">
        <v>1352</v>
      </c>
      <c r="H133" s="689" t="s">
        <v>3402</v>
      </c>
      <c r="I133" s="689" t="s">
        <v>100</v>
      </c>
      <c r="J133" s="689" t="s">
        <v>3055</v>
      </c>
      <c r="K133" s="689" t="s">
        <v>3055</v>
      </c>
    </row>
    <row r="134" spans="1:11" ht="50.1" customHeight="1">
      <c r="A134" s="688" t="s">
        <v>23</v>
      </c>
      <c r="B134" s="689" t="s">
        <v>5849</v>
      </c>
      <c r="C134" s="690">
        <v>0.1673611111111111</v>
      </c>
      <c r="D134" s="689" t="s">
        <v>5851</v>
      </c>
      <c r="E134" s="690">
        <v>0.51944444444444449</v>
      </c>
      <c r="F134" s="689" t="s">
        <v>2819</v>
      </c>
      <c r="G134" s="689" t="s">
        <v>124</v>
      </c>
      <c r="H134" s="689" t="s">
        <v>3356</v>
      </c>
      <c r="I134" s="689" t="s">
        <v>100</v>
      </c>
      <c r="J134" s="689" t="s">
        <v>3055</v>
      </c>
      <c r="K134" s="689" t="s">
        <v>3055</v>
      </c>
    </row>
    <row r="135" spans="1:11" ht="50.1" customHeight="1">
      <c r="A135" s="688" t="s">
        <v>23</v>
      </c>
      <c r="B135" s="689" t="s">
        <v>5852</v>
      </c>
      <c r="C135" s="690">
        <v>0</v>
      </c>
      <c r="D135" s="689" t="s">
        <v>5852</v>
      </c>
      <c r="E135" s="690">
        <v>0.83333333333333337</v>
      </c>
      <c r="F135" s="689" t="s">
        <v>5853</v>
      </c>
      <c r="G135" s="689" t="s">
        <v>1352</v>
      </c>
      <c r="H135" s="689" t="s">
        <v>2753</v>
      </c>
      <c r="I135" s="689" t="s">
        <v>22</v>
      </c>
      <c r="J135" s="689" t="s">
        <v>45</v>
      </c>
      <c r="K135" s="689" t="s">
        <v>5854</v>
      </c>
    </row>
    <row r="136" spans="1:11" ht="50.1" customHeight="1">
      <c r="A136" s="692" t="s">
        <v>103</v>
      </c>
      <c r="B136" s="693">
        <v>45047</v>
      </c>
      <c r="C136" s="694">
        <v>0.21944444444444444</v>
      </c>
      <c r="D136" s="693">
        <v>45047</v>
      </c>
      <c r="E136" s="694">
        <v>0.39652777777777781</v>
      </c>
      <c r="F136" s="695" t="s">
        <v>4158</v>
      </c>
      <c r="G136" s="695" t="s">
        <v>61</v>
      </c>
      <c r="H136" s="695" t="s">
        <v>2753</v>
      </c>
      <c r="I136" s="695" t="s">
        <v>22</v>
      </c>
      <c r="J136" s="695" t="s">
        <v>45</v>
      </c>
      <c r="K136" s="695">
        <v>54000</v>
      </c>
    </row>
    <row r="137" spans="1:11" ht="50.1" customHeight="1">
      <c r="A137" s="696" t="s">
        <v>103</v>
      </c>
      <c r="B137" s="693">
        <v>45048</v>
      </c>
      <c r="C137" s="694">
        <v>0.41666666666666669</v>
      </c>
      <c r="D137" s="693">
        <v>45048</v>
      </c>
      <c r="E137" s="694">
        <v>0.41736111111111113</v>
      </c>
      <c r="F137" s="695" t="s">
        <v>2919</v>
      </c>
      <c r="G137" s="695" t="s">
        <v>1352</v>
      </c>
      <c r="H137" s="695" t="s">
        <v>3356</v>
      </c>
      <c r="I137" s="695" t="s">
        <v>5075</v>
      </c>
      <c r="J137" s="695">
        <v>0</v>
      </c>
      <c r="K137" s="695">
        <v>0</v>
      </c>
    </row>
    <row r="138" spans="1:11" ht="50.1" customHeight="1">
      <c r="A138" s="696" t="s">
        <v>103</v>
      </c>
      <c r="B138" s="693">
        <v>45048</v>
      </c>
      <c r="C138" s="694">
        <v>0.47847222222222219</v>
      </c>
      <c r="D138" s="693">
        <v>45048</v>
      </c>
      <c r="E138" s="694">
        <v>0.65</v>
      </c>
      <c r="F138" s="695" t="s">
        <v>4048</v>
      </c>
      <c r="G138" s="695" t="s">
        <v>4903</v>
      </c>
      <c r="H138" s="695" t="s">
        <v>3356</v>
      </c>
      <c r="I138" s="695" t="s">
        <v>2118</v>
      </c>
      <c r="J138" s="695">
        <v>0</v>
      </c>
      <c r="K138" s="695">
        <v>0</v>
      </c>
    </row>
    <row r="139" spans="1:11" ht="50.1" customHeight="1">
      <c r="A139" s="696" t="s">
        <v>103</v>
      </c>
      <c r="B139" s="693">
        <v>45050</v>
      </c>
      <c r="C139" s="694">
        <v>0.75</v>
      </c>
      <c r="D139" s="697">
        <v>45050</v>
      </c>
      <c r="E139" s="694">
        <v>0.75069444444444444</v>
      </c>
      <c r="F139" s="695" t="s">
        <v>5855</v>
      </c>
      <c r="G139" s="695" t="s">
        <v>1352</v>
      </c>
      <c r="H139" s="695" t="s">
        <v>3356</v>
      </c>
      <c r="I139" s="695" t="s">
        <v>100</v>
      </c>
      <c r="J139" s="695">
        <v>0</v>
      </c>
      <c r="K139" s="695">
        <v>0</v>
      </c>
    </row>
    <row r="140" spans="1:11" ht="50.1" customHeight="1">
      <c r="A140" s="696" t="s">
        <v>103</v>
      </c>
      <c r="B140" s="693">
        <v>45057</v>
      </c>
      <c r="C140" s="694">
        <v>1.0416666666666666E-2</v>
      </c>
      <c r="D140" s="698">
        <v>45064</v>
      </c>
      <c r="E140" s="694">
        <v>0.39374999999999999</v>
      </c>
      <c r="F140" s="699" t="s">
        <v>4125</v>
      </c>
      <c r="G140" s="699" t="s">
        <v>5856</v>
      </c>
      <c r="H140" s="695" t="s">
        <v>2910</v>
      </c>
      <c r="I140" s="699" t="s">
        <v>2118</v>
      </c>
      <c r="J140" s="699" t="s">
        <v>45</v>
      </c>
      <c r="K140" s="699">
        <v>378</v>
      </c>
    </row>
    <row r="141" spans="1:11" ht="50.1" customHeight="1">
      <c r="A141" s="696" t="s">
        <v>103</v>
      </c>
      <c r="B141" s="693">
        <v>45057</v>
      </c>
      <c r="C141" s="694">
        <v>0.5</v>
      </c>
      <c r="D141" s="693">
        <v>45057</v>
      </c>
      <c r="E141" s="694">
        <v>0.50069444444444444</v>
      </c>
      <c r="F141" s="695" t="s">
        <v>5770</v>
      </c>
      <c r="G141" s="695" t="s">
        <v>1352</v>
      </c>
      <c r="H141" s="695" t="s">
        <v>3356</v>
      </c>
      <c r="I141" s="695" t="s">
        <v>100</v>
      </c>
      <c r="J141" s="695">
        <v>0</v>
      </c>
      <c r="K141" s="695">
        <v>0</v>
      </c>
    </row>
    <row r="142" spans="1:11" ht="50.1" customHeight="1">
      <c r="A142" s="696" t="s">
        <v>103</v>
      </c>
      <c r="B142" s="693">
        <v>45058</v>
      </c>
      <c r="C142" s="694">
        <v>0.54166666666666663</v>
      </c>
      <c r="D142" s="693">
        <v>45058</v>
      </c>
      <c r="E142" s="694">
        <v>0.95833333333333337</v>
      </c>
      <c r="F142" s="695" t="s">
        <v>5622</v>
      </c>
      <c r="G142" s="695" t="s">
        <v>63</v>
      </c>
      <c r="H142" s="695" t="s">
        <v>3356</v>
      </c>
      <c r="I142" s="695" t="s">
        <v>100</v>
      </c>
      <c r="J142" s="695">
        <v>0</v>
      </c>
      <c r="K142" s="695">
        <v>0</v>
      </c>
    </row>
    <row r="143" spans="1:11" ht="50.1" customHeight="1">
      <c r="A143" s="696" t="s">
        <v>103</v>
      </c>
      <c r="B143" s="693">
        <v>45058</v>
      </c>
      <c r="C143" s="694">
        <v>0.48819444444444443</v>
      </c>
      <c r="D143" s="693">
        <v>45058</v>
      </c>
      <c r="E143" s="694">
        <v>0.5</v>
      </c>
      <c r="F143" s="695" t="s">
        <v>3719</v>
      </c>
      <c r="G143" s="695" t="s">
        <v>61</v>
      </c>
      <c r="H143" s="695" t="s">
        <v>3874</v>
      </c>
      <c r="I143" s="695" t="s">
        <v>2118</v>
      </c>
      <c r="J143" s="695">
        <v>0</v>
      </c>
      <c r="K143" s="695">
        <v>0</v>
      </c>
    </row>
    <row r="144" spans="1:11" ht="50.1" customHeight="1">
      <c r="A144" s="696" t="s">
        <v>103</v>
      </c>
      <c r="B144" s="693">
        <v>45059</v>
      </c>
      <c r="C144" s="694">
        <v>0.30902777777777779</v>
      </c>
      <c r="D144" s="693">
        <v>45059</v>
      </c>
      <c r="E144" s="694">
        <v>0.50694444444444442</v>
      </c>
      <c r="F144" s="695" t="s">
        <v>3838</v>
      </c>
      <c r="G144" s="695" t="s">
        <v>674</v>
      </c>
      <c r="H144" s="695" t="s">
        <v>2910</v>
      </c>
      <c r="I144" s="695" t="s">
        <v>5075</v>
      </c>
      <c r="J144" s="695">
        <v>8</v>
      </c>
      <c r="K144" s="695">
        <v>327</v>
      </c>
    </row>
    <row r="145" spans="1:11" ht="50.1" customHeight="1">
      <c r="A145" s="696" t="s">
        <v>103</v>
      </c>
      <c r="B145" s="693">
        <v>45059</v>
      </c>
      <c r="C145" s="694">
        <v>0.26874999999999999</v>
      </c>
      <c r="D145" s="697">
        <v>45059</v>
      </c>
      <c r="E145" s="694">
        <v>0.64374999999999993</v>
      </c>
      <c r="F145" s="695" t="s">
        <v>3838</v>
      </c>
      <c r="G145" s="695" t="s">
        <v>674</v>
      </c>
      <c r="H145" s="695" t="s">
        <v>3356</v>
      </c>
      <c r="I145" s="695" t="s">
        <v>5075</v>
      </c>
      <c r="J145" s="695">
        <v>64</v>
      </c>
      <c r="K145" s="695">
        <v>2</v>
      </c>
    </row>
    <row r="146" spans="1:11" ht="50.1" customHeight="1">
      <c r="A146" s="696" t="s">
        <v>103</v>
      </c>
      <c r="B146" s="693">
        <v>45059</v>
      </c>
      <c r="C146" s="694">
        <v>0.22708333333333333</v>
      </c>
      <c r="D146" s="693" t="s">
        <v>45</v>
      </c>
      <c r="E146" s="694" t="s">
        <v>45</v>
      </c>
      <c r="F146" s="695" t="s">
        <v>3838</v>
      </c>
      <c r="G146" s="695" t="s">
        <v>674</v>
      </c>
      <c r="H146" s="695" t="s">
        <v>3356</v>
      </c>
      <c r="I146" s="695" t="s">
        <v>5075</v>
      </c>
      <c r="J146" s="695">
        <v>166</v>
      </c>
      <c r="K146" s="695">
        <v>327</v>
      </c>
    </row>
    <row r="147" spans="1:11" ht="50.1" customHeight="1">
      <c r="A147" s="696" t="s">
        <v>103</v>
      </c>
      <c r="B147" s="693">
        <v>45062</v>
      </c>
      <c r="C147" s="694">
        <v>0.61458333333333337</v>
      </c>
      <c r="D147" s="693">
        <v>45062</v>
      </c>
      <c r="E147" s="694">
        <v>0.63194444444444442</v>
      </c>
      <c r="F147" s="695" t="s">
        <v>2947</v>
      </c>
      <c r="G147" s="695" t="s">
        <v>124</v>
      </c>
      <c r="H147" s="695" t="s">
        <v>2910</v>
      </c>
      <c r="I147" s="695" t="s">
        <v>2118</v>
      </c>
      <c r="J147" s="695">
        <v>0</v>
      </c>
      <c r="K147" s="695">
        <v>0</v>
      </c>
    </row>
    <row r="148" spans="1:11" ht="50.1" customHeight="1">
      <c r="A148" s="696" t="s">
        <v>103</v>
      </c>
      <c r="B148" s="693">
        <v>45067</v>
      </c>
      <c r="C148" s="694">
        <v>0.64583333333333337</v>
      </c>
      <c r="D148" s="697">
        <v>45067</v>
      </c>
      <c r="E148" s="694">
        <v>0.65277777777777779</v>
      </c>
      <c r="F148" s="695" t="s">
        <v>5857</v>
      </c>
      <c r="G148" s="695" t="s">
        <v>124</v>
      </c>
      <c r="H148" s="695" t="s">
        <v>3402</v>
      </c>
      <c r="I148" s="695" t="s">
        <v>2118</v>
      </c>
      <c r="J148" s="695">
        <v>0</v>
      </c>
      <c r="K148" s="695">
        <v>0</v>
      </c>
    </row>
    <row r="149" spans="1:11" ht="50.1" customHeight="1">
      <c r="A149" s="696" t="s">
        <v>103</v>
      </c>
      <c r="B149" s="693">
        <v>45068</v>
      </c>
      <c r="C149" s="694">
        <v>0.65208333333333335</v>
      </c>
      <c r="D149" s="697">
        <v>45068</v>
      </c>
      <c r="E149" s="694">
        <v>0.75</v>
      </c>
      <c r="F149" s="695" t="s">
        <v>5056</v>
      </c>
      <c r="G149" s="695" t="s">
        <v>63</v>
      </c>
      <c r="H149" s="695" t="s">
        <v>3411</v>
      </c>
      <c r="I149" s="695" t="s">
        <v>22</v>
      </c>
      <c r="J149" s="695">
        <v>0</v>
      </c>
      <c r="K149" s="695">
        <v>0</v>
      </c>
    </row>
    <row r="150" spans="1:11" ht="50.1" customHeight="1">
      <c r="A150" s="696" t="s">
        <v>103</v>
      </c>
      <c r="B150" s="693">
        <v>45069</v>
      </c>
      <c r="C150" s="694">
        <v>0.58333333333333337</v>
      </c>
      <c r="D150" s="693" t="s">
        <v>45</v>
      </c>
      <c r="E150" s="694" t="s">
        <v>45</v>
      </c>
      <c r="F150" s="695" t="s">
        <v>3931</v>
      </c>
      <c r="G150" s="695" t="s">
        <v>674</v>
      </c>
      <c r="H150" s="695" t="s">
        <v>3356</v>
      </c>
      <c r="I150" s="695" t="s">
        <v>100</v>
      </c>
      <c r="J150" s="695">
        <v>0</v>
      </c>
      <c r="K150" s="695">
        <v>0</v>
      </c>
    </row>
    <row r="151" spans="1:11" ht="50.1" customHeight="1">
      <c r="A151" s="696" t="s">
        <v>103</v>
      </c>
      <c r="B151" s="693">
        <v>45070</v>
      </c>
      <c r="C151" s="694">
        <v>0.32291666666666669</v>
      </c>
      <c r="D151" s="698">
        <v>45070</v>
      </c>
      <c r="E151" s="694">
        <v>0.78611111111111109</v>
      </c>
      <c r="F151" s="695" t="s">
        <v>3931</v>
      </c>
      <c r="G151" s="695" t="s">
        <v>674</v>
      </c>
      <c r="H151" s="695" t="s">
        <v>3411</v>
      </c>
      <c r="I151" s="695" t="s">
        <v>2483</v>
      </c>
      <c r="J151" s="695">
        <v>0</v>
      </c>
      <c r="K151" s="695">
        <v>0</v>
      </c>
    </row>
    <row r="152" spans="1:11" ht="50.1" customHeight="1">
      <c r="A152" s="696" t="s">
        <v>103</v>
      </c>
      <c r="B152" s="693">
        <v>45070</v>
      </c>
      <c r="C152" s="694">
        <v>0.38611111111111113</v>
      </c>
      <c r="D152" s="693" t="s">
        <v>45</v>
      </c>
      <c r="E152" s="694" t="s">
        <v>45</v>
      </c>
      <c r="F152" s="695" t="s">
        <v>5131</v>
      </c>
      <c r="G152" s="695" t="s">
        <v>674</v>
      </c>
      <c r="H152" s="695" t="s">
        <v>5858</v>
      </c>
      <c r="I152" s="695" t="s">
        <v>2764</v>
      </c>
      <c r="J152" s="695">
        <v>2200</v>
      </c>
      <c r="K152" s="695" t="s">
        <v>45</v>
      </c>
    </row>
    <row r="153" spans="1:11" ht="50.1" customHeight="1">
      <c r="A153" s="696" t="s">
        <v>103</v>
      </c>
      <c r="B153" s="693">
        <v>45072</v>
      </c>
      <c r="C153" s="694">
        <v>0.32013888888888892</v>
      </c>
      <c r="D153" s="698">
        <v>45072</v>
      </c>
      <c r="E153" s="694">
        <v>0.59652777777777777</v>
      </c>
      <c r="F153" s="695" t="s">
        <v>5859</v>
      </c>
      <c r="G153" s="695" t="s">
        <v>63</v>
      </c>
      <c r="H153" s="695" t="s">
        <v>3356</v>
      </c>
      <c r="I153" s="695" t="s">
        <v>100</v>
      </c>
      <c r="J153" s="695">
        <v>0</v>
      </c>
      <c r="K153" s="695">
        <v>0</v>
      </c>
    </row>
    <row r="154" spans="1:11" ht="50.1" customHeight="1">
      <c r="A154" s="696" t="s">
        <v>103</v>
      </c>
      <c r="B154" s="693">
        <v>45074</v>
      </c>
      <c r="C154" s="694">
        <v>0.38541666666666669</v>
      </c>
      <c r="D154" s="693">
        <v>45074</v>
      </c>
      <c r="E154" s="694">
        <v>0.38611111111111113</v>
      </c>
      <c r="F154" s="695" t="s">
        <v>5860</v>
      </c>
      <c r="G154" s="695" t="s">
        <v>63</v>
      </c>
      <c r="H154" s="695" t="s">
        <v>3356</v>
      </c>
      <c r="I154" s="695" t="s">
        <v>5075</v>
      </c>
      <c r="J154" s="695">
        <v>0</v>
      </c>
      <c r="K154" s="695">
        <v>0</v>
      </c>
    </row>
    <row r="155" spans="1:11" ht="50.1" customHeight="1">
      <c r="A155" s="696" t="s">
        <v>103</v>
      </c>
      <c r="B155" s="693">
        <v>45076</v>
      </c>
      <c r="C155" s="694">
        <v>0.33333333333333331</v>
      </c>
      <c r="D155" s="693">
        <v>45076</v>
      </c>
      <c r="E155" s="694">
        <v>0.33402777777777781</v>
      </c>
      <c r="F155" s="695" t="s">
        <v>3758</v>
      </c>
      <c r="G155" s="695" t="s">
        <v>61</v>
      </c>
      <c r="H155" s="695" t="s">
        <v>3874</v>
      </c>
      <c r="I155" s="695" t="s">
        <v>5075</v>
      </c>
      <c r="J155" s="695">
        <v>0</v>
      </c>
      <c r="K155" s="695">
        <v>0</v>
      </c>
    </row>
    <row r="156" spans="1:11" ht="50.1" customHeight="1">
      <c r="A156" s="696" t="s">
        <v>103</v>
      </c>
      <c r="B156" s="693">
        <v>45077</v>
      </c>
      <c r="C156" s="694">
        <v>0.45833333333333331</v>
      </c>
      <c r="D156" s="693">
        <v>45077</v>
      </c>
      <c r="E156" s="694">
        <v>0.9916666666666667</v>
      </c>
      <c r="F156" s="695" t="s">
        <v>3182</v>
      </c>
      <c r="G156" s="695" t="s">
        <v>63</v>
      </c>
      <c r="H156" s="695" t="s">
        <v>3611</v>
      </c>
      <c r="I156" s="695" t="s">
        <v>2764</v>
      </c>
      <c r="J156" s="695">
        <v>0</v>
      </c>
      <c r="K156" s="695">
        <v>0</v>
      </c>
    </row>
    <row r="157" spans="1:11" ht="50.1" customHeight="1">
      <c r="A157" s="696" t="s">
        <v>123</v>
      </c>
      <c r="B157" s="693">
        <v>45102</v>
      </c>
      <c r="C157" s="694">
        <v>0.28125</v>
      </c>
      <c r="D157" s="693" t="s">
        <v>45</v>
      </c>
      <c r="E157" s="697" t="s">
        <v>45</v>
      </c>
      <c r="F157" s="695" t="s">
        <v>2650</v>
      </c>
      <c r="G157" s="695" t="s">
        <v>63</v>
      </c>
      <c r="H157" s="695" t="s">
        <v>2753</v>
      </c>
      <c r="I157" s="695" t="s">
        <v>5861</v>
      </c>
      <c r="J157" s="695" t="s">
        <v>45</v>
      </c>
      <c r="K157" s="695">
        <v>120000</v>
      </c>
    </row>
    <row r="158" spans="1:11" ht="50.1" customHeight="1">
      <c r="A158" s="696" t="s">
        <v>123</v>
      </c>
      <c r="B158" s="693">
        <v>45101</v>
      </c>
      <c r="C158" s="694">
        <v>0.76180555555555562</v>
      </c>
      <c r="D158" s="693">
        <v>45101</v>
      </c>
      <c r="E158" s="694">
        <v>0.97569444444444453</v>
      </c>
      <c r="F158" s="695" t="s">
        <v>1833</v>
      </c>
      <c r="G158" s="695" t="s">
        <v>3143</v>
      </c>
      <c r="H158" s="695" t="s">
        <v>5862</v>
      </c>
      <c r="I158" s="695" t="s">
        <v>5863</v>
      </c>
      <c r="J158" s="695">
        <v>5</v>
      </c>
      <c r="K158" s="695">
        <v>5200</v>
      </c>
    </row>
    <row r="159" spans="1:11" ht="50.1" customHeight="1">
      <c r="A159" s="696" t="s">
        <v>123</v>
      </c>
      <c r="B159" s="693">
        <v>45102</v>
      </c>
      <c r="C159" s="694">
        <v>0.72916666666666663</v>
      </c>
      <c r="D159" s="693">
        <v>45103</v>
      </c>
      <c r="E159" s="694">
        <v>0.64652777777777781</v>
      </c>
      <c r="F159" s="695" t="s">
        <v>5864</v>
      </c>
      <c r="G159" s="695" t="s">
        <v>63</v>
      </c>
      <c r="H159" s="695" t="s">
        <v>2753</v>
      </c>
      <c r="I159" s="695" t="s">
        <v>5861</v>
      </c>
      <c r="J159" s="695" t="s">
        <v>45</v>
      </c>
      <c r="K159" s="695" t="s">
        <v>45</v>
      </c>
    </row>
    <row r="160" spans="1:11" ht="50.1" customHeight="1">
      <c r="A160" s="696" t="s">
        <v>123</v>
      </c>
      <c r="B160" s="693">
        <v>45102</v>
      </c>
      <c r="C160" s="694">
        <v>0.16666666666666666</v>
      </c>
      <c r="D160" s="693" t="s">
        <v>45</v>
      </c>
      <c r="E160" s="697" t="s">
        <v>45</v>
      </c>
      <c r="F160" s="695" t="s">
        <v>5865</v>
      </c>
      <c r="G160" s="695" t="s">
        <v>4935</v>
      </c>
      <c r="H160" s="695" t="s">
        <v>2753</v>
      </c>
      <c r="I160" s="695" t="s">
        <v>5861</v>
      </c>
      <c r="J160" s="695">
        <v>175</v>
      </c>
      <c r="K160" s="695">
        <v>70000</v>
      </c>
    </row>
    <row r="161" spans="1:11" ht="50.1" customHeight="1">
      <c r="A161" s="696" t="s">
        <v>123</v>
      </c>
      <c r="B161" s="693">
        <v>45102</v>
      </c>
      <c r="C161" s="694">
        <v>0.79166666666666663</v>
      </c>
      <c r="D161" s="693" t="s">
        <v>45</v>
      </c>
      <c r="E161" s="697" t="s">
        <v>45</v>
      </c>
      <c r="F161" s="695" t="s">
        <v>1833</v>
      </c>
      <c r="G161" s="695" t="s">
        <v>3143</v>
      </c>
      <c r="H161" s="695" t="s">
        <v>3451</v>
      </c>
      <c r="I161" s="695" t="s">
        <v>5861</v>
      </c>
      <c r="J161" s="695" t="s">
        <v>45</v>
      </c>
      <c r="K161" s="695" t="s">
        <v>45</v>
      </c>
    </row>
    <row r="162" spans="1:11" ht="50.1" customHeight="1">
      <c r="A162" s="696" t="s">
        <v>123</v>
      </c>
      <c r="B162" s="693">
        <v>45104</v>
      </c>
      <c r="C162" s="694">
        <v>0.57152777777777775</v>
      </c>
      <c r="D162" s="693">
        <v>45104</v>
      </c>
      <c r="E162" s="694">
        <v>0.57222222222222219</v>
      </c>
      <c r="F162" s="695" t="s">
        <v>18</v>
      </c>
      <c r="G162" s="695" t="s">
        <v>124</v>
      </c>
      <c r="H162" s="695" t="s">
        <v>3356</v>
      </c>
      <c r="I162" s="695" t="s">
        <v>5866</v>
      </c>
      <c r="J162" s="695">
        <v>0</v>
      </c>
      <c r="K162" s="695">
        <v>0</v>
      </c>
    </row>
    <row r="163" spans="1:11" ht="50.1" customHeight="1">
      <c r="A163" s="696" t="s">
        <v>123</v>
      </c>
      <c r="B163" s="693">
        <v>45102</v>
      </c>
      <c r="C163" s="694">
        <v>0.8125</v>
      </c>
      <c r="D163" s="693">
        <v>45103</v>
      </c>
      <c r="E163" s="694">
        <v>0.73958333333333337</v>
      </c>
      <c r="F163" s="695" t="s">
        <v>5867</v>
      </c>
      <c r="G163" s="695" t="s">
        <v>63</v>
      </c>
      <c r="H163" s="695" t="s">
        <v>2753</v>
      </c>
      <c r="I163" s="695" t="s">
        <v>5861</v>
      </c>
      <c r="J163" s="695" t="s">
        <v>45</v>
      </c>
      <c r="K163" s="695">
        <v>64732</v>
      </c>
    </row>
    <row r="164" spans="1:11" ht="50.1" customHeight="1">
      <c r="A164" s="696" t="s">
        <v>123</v>
      </c>
      <c r="B164" s="693">
        <v>45104</v>
      </c>
      <c r="C164" s="694">
        <v>0.73402777777777783</v>
      </c>
      <c r="D164" s="693">
        <v>45104</v>
      </c>
      <c r="E164" s="694">
        <v>0.89583333333333337</v>
      </c>
      <c r="F164" s="695" t="s">
        <v>5868</v>
      </c>
      <c r="G164" s="695" t="s">
        <v>124</v>
      </c>
      <c r="H164" s="695" t="s">
        <v>3411</v>
      </c>
      <c r="I164" s="695" t="s">
        <v>5869</v>
      </c>
      <c r="J164" s="695">
        <v>0</v>
      </c>
      <c r="K164" s="695">
        <v>0</v>
      </c>
    </row>
    <row r="165" spans="1:11" ht="50.1" customHeight="1">
      <c r="A165" s="696" t="s">
        <v>123</v>
      </c>
      <c r="B165" s="693">
        <v>45106</v>
      </c>
      <c r="C165" s="694">
        <v>0.65416666666666667</v>
      </c>
      <c r="D165" s="693" t="s">
        <v>45</v>
      </c>
      <c r="E165" s="694" t="s">
        <v>45</v>
      </c>
      <c r="F165" s="695" t="s">
        <v>1470</v>
      </c>
      <c r="G165" s="695" t="s">
        <v>3143</v>
      </c>
      <c r="H165" s="695" t="s">
        <v>3451</v>
      </c>
      <c r="I165" s="695" t="s">
        <v>5861</v>
      </c>
      <c r="J165" s="695" t="s">
        <v>45</v>
      </c>
      <c r="K165" s="695">
        <v>140000</v>
      </c>
    </row>
    <row r="166" spans="1:11" ht="50.1" customHeight="1">
      <c r="A166" s="696" t="s">
        <v>123</v>
      </c>
      <c r="B166" s="693">
        <v>45105</v>
      </c>
      <c r="C166" s="694">
        <v>0.45902777777777781</v>
      </c>
      <c r="D166" s="693">
        <v>45105</v>
      </c>
      <c r="E166" s="694">
        <v>0.4604166666666667</v>
      </c>
      <c r="F166" s="695" t="s">
        <v>361</v>
      </c>
      <c r="G166" s="695" t="s">
        <v>63</v>
      </c>
      <c r="H166" s="695" t="s">
        <v>3356</v>
      </c>
      <c r="I166" s="695" t="s">
        <v>5863</v>
      </c>
      <c r="J166" s="695">
        <v>0</v>
      </c>
      <c r="K166" s="695">
        <v>0</v>
      </c>
    </row>
    <row r="167" spans="1:11" ht="50.1" customHeight="1">
      <c r="A167" s="696" t="s">
        <v>123</v>
      </c>
      <c r="B167" s="693">
        <v>45099</v>
      </c>
      <c r="C167" s="694">
        <v>0.10416666666666667</v>
      </c>
      <c r="D167" s="693">
        <v>45099</v>
      </c>
      <c r="E167" s="694">
        <v>0.10972222222222222</v>
      </c>
      <c r="F167" s="695" t="s">
        <v>1577</v>
      </c>
      <c r="G167" s="695" t="s">
        <v>63</v>
      </c>
      <c r="H167" s="695" t="s">
        <v>3411</v>
      </c>
      <c r="I167" s="695" t="s">
        <v>5870</v>
      </c>
      <c r="J167" s="695">
        <v>17</v>
      </c>
      <c r="K167" s="695">
        <v>6242</v>
      </c>
    </row>
    <row r="168" spans="1:11" ht="50.1" customHeight="1">
      <c r="A168" s="696" t="s">
        <v>123</v>
      </c>
      <c r="B168" s="693">
        <v>45097</v>
      </c>
      <c r="C168" s="694">
        <v>0.7416666666666667</v>
      </c>
      <c r="D168" s="693">
        <v>45097</v>
      </c>
      <c r="E168" s="694">
        <v>0.86944444444444446</v>
      </c>
      <c r="F168" s="695" t="s">
        <v>1577</v>
      </c>
      <c r="G168" s="695" t="s">
        <v>63</v>
      </c>
      <c r="H168" s="695" t="s">
        <v>3411</v>
      </c>
      <c r="I168" s="695" t="s">
        <v>5870</v>
      </c>
      <c r="J168" s="695">
        <v>0</v>
      </c>
      <c r="K168" s="695">
        <v>0</v>
      </c>
    </row>
    <row r="169" spans="1:11" ht="50.1" customHeight="1">
      <c r="A169" s="696" t="s">
        <v>123</v>
      </c>
      <c r="B169" s="693">
        <v>45107</v>
      </c>
      <c r="C169" s="694">
        <v>0.50902777777777775</v>
      </c>
      <c r="D169" s="693" t="s">
        <v>45</v>
      </c>
      <c r="E169" s="694" t="s">
        <v>45</v>
      </c>
      <c r="F169" s="695" t="s">
        <v>1579</v>
      </c>
      <c r="G169" s="695" t="s">
        <v>61</v>
      </c>
      <c r="H169" s="695" t="s">
        <v>3387</v>
      </c>
      <c r="I169" s="695" t="s">
        <v>5871</v>
      </c>
      <c r="J169" s="695">
        <v>0</v>
      </c>
      <c r="K169" s="695">
        <v>0</v>
      </c>
    </row>
    <row r="170" spans="1:11" ht="36">
      <c r="A170" s="692" t="s">
        <v>26</v>
      </c>
      <c r="B170" s="693">
        <v>45108</v>
      </c>
      <c r="C170" s="694">
        <v>0.62361111111111112</v>
      </c>
      <c r="D170" s="693">
        <v>45108</v>
      </c>
      <c r="E170" s="694">
        <v>0.71319444444444446</v>
      </c>
      <c r="F170" s="695" t="s">
        <v>3461</v>
      </c>
      <c r="G170" s="695" t="s">
        <v>5174</v>
      </c>
      <c r="H170" s="695" t="s">
        <v>3387</v>
      </c>
      <c r="I170" s="695" t="s">
        <v>5887</v>
      </c>
      <c r="J170" s="695">
        <v>0</v>
      </c>
      <c r="K170" s="695">
        <v>0</v>
      </c>
    </row>
    <row r="171" spans="1:11" ht="54">
      <c r="A171" s="696" t="s">
        <v>26</v>
      </c>
      <c r="B171" s="693">
        <v>45113</v>
      </c>
      <c r="C171" s="694">
        <v>0.37638888888888888</v>
      </c>
      <c r="D171" s="693">
        <v>45113</v>
      </c>
      <c r="E171" s="694">
        <v>0.45069444444444445</v>
      </c>
      <c r="F171" s="695" t="s">
        <v>4402</v>
      </c>
      <c r="G171" s="695" t="s">
        <v>1352</v>
      </c>
      <c r="H171" s="695" t="s">
        <v>3411</v>
      </c>
      <c r="I171" s="695" t="s">
        <v>5888</v>
      </c>
      <c r="J171" s="695" t="s">
        <v>45</v>
      </c>
      <c r="K171" s="695" t="s">
        <v>45</v>
      </c>
    </row>
    <row r="172" spans="1:11" ht="63">
      <c r="A172" s="692" t="s">
        <v>26</v>
      </c>
      <c r="B172" s="693">
        <v>45113</v>
      </c>
      <c r="C172" s="694">
        <v>0.56805555555555554</v>
      </c>
      <c r="D172" s="693">
        <v>45113</v>
      </c>
      <c r="E172" s="694">
        <v>0.62777777777777777</v>
      </c>
      <c r="F172" s="695" t="s">
        <v>5889</v>
      </c>
      <c r="G172" s="695" t="s">
        <v>674</v>
      </c>
      <c r="H172" s="695" t="s">
        <v>3402</v>
      </c>
      <c r="I172" s="695" t="s">
        <v>5890</v>
      </c>
      <c r="J172" s="695">
        <v>0</v>
      </c>
      <c r="K172" s="695">
        <v>0</v>
      </c>
    </row>
    <row r="173" spans="1:11" ht="36">
      <c r="A173" s="696" t="s">
        <v>26</v>
      </c>
      <c r="B173" s="693">
        <v>45113</v>
      </c>
      <c r="C173" s="694">
        <v>0.79236111111111107</v>
      </c>
      <c r="D173" s="697">
        <v>45113</v>
      </c>
      <c r="E173" s="700">
        <v>0.88263888888888886</v>
      </c>
      <c r="F173" s="695" t="s">
        <v>3470</v>
      </c>
      <c r="G173" s="695" t="s">
        <v>63</v>
      </c>
      <c r="H173" s="695" t="s">
        <v>3387</v>
      </c>
      <c r="I173" s="695" t="s">
        <v>5887</v>
      </c>
      <c r="J173" s="695">
        <v>0</v>
      </c>
      <c r="K173" s="695">
        <v>0</v>
      </c>
    </row>
    <row r="174" spans="1:11" ht="27">
      <c r="A174" s="692" t="s">
        <v>26</v>
      </c>
      <c r="B174" s="693">
        <v>45114</v>
      </c>
      <c r="C174" s="694">
        <v>0.29166666666666669</v>
      </c>
      <c r="D174" s="698">
        <v>45114</v>
      </c>
      <c r="E174" s="694">
        <v>0.33333333333333331</v>
      </c>
      <c r="F174" s="699" t="s">
        <v>4355</v>
      </c>
      <c r="G174" s="699" t="s">
        <v>124</v>
      </c>
      <c r="H174" s="695" t="s">
        <v>3356</v>
      </c>
      <c r="I174" s="699" t="s">
        <v>5866</v>
      </c>
      <c r="J174" s="699">
        <v>0</v>
      </c>
      <c r="K174" s="699">
        <v>0</v>
      </c>
    </row>
    <row r="175" spans="1:11" ht="54">
      <c r="A175" s="696" t="s">
        <v>26</v>
      </c>
      <c r="B175" s="693">
        <v>45114</v>
      </c>
      <c r="C175" s="694">
        <v>0.73819444444444438</v>
      </c>
      <c r="D175" s="693">
        <v>45118</v>
      </c>
      <c r="E175" s="694">
        <v>0.56041666666666667</v>
      </c>
      <c r="F175" s="695" t="s">
        <v>5891</v>
      </c>
      <c r="G175" s="695" t="s">
        <v>1352</v>
      </c>
      <c r="H175" s="695" t="s">
        <v>3411</v>
      </c>
      <c r="I175" s="695" t="s">
        <v>5861</v>
      </c>
      <c r="J175" s="695">
        <v>0</v>
      </c>
      <c r="K175" s="695">
        <v>0</v>
      </c>
    </row>
    <row r="176" spans="1:11" ht="27">
      <c r="A176" s="692" t="s">
        <v>26</v>
      </c>
      <c r="B176" s="693">
        <v>45116</v>
      </c>
      <c r="C176" s="694">
        <v>6.1111111111111116E-2</v>
      </c>
      <c r="D176" s="693">
        <v>45119</v>
      </c>
      <c r="E176" s="694">
        <v>0.9375</v>
      </c>
      <c r="F176" s="695" t="s">
        <v>3712</v>
      </c>
      <c r="G176" s="695" t="s">
        <v>124</v>
      </c>
      <c r="H176" s="695" t="s">
        <v>3356</v>
      </c>
      <c r="I176" s="695" t="s">
        <v>5863</v>
      </c>
      <c r="J176" s="695">
        <v>0</v>
      </c>
      <c r="K176" s="695">
        <v>0</v>
      </c>
    </row>
    <row r="177" spans="1:11" ht="27">
      <c r="A177" s="696" t="s">
        <v>26</v>
      </c>
      <c r="B177" s="693">
        <v>45116</v>
      </c>
      <c r="C177" s="694">
        <v>6.1111111111111116E-2</v>
      </c>
      <c r="D177" s="693" t="s">
        <v>45</v>
      </c>
      <c r="E177" s="694" t="s">
        <v>45</v>
      </c>
      <c r="F177" s="695" t="s">
        <v>3712</v>
      </c>
      <c r="G177" s="695" t="s">
        <v>124</v>
      </c>
      <c r="H177" s="695" t="s">
        <v>3356</v>
      </c>
      <c r="I177" s="695" t="s">
        <v>5863</v>
      </c>
      <c r="J177" s="695">
        <v>0</v>
      </c>
      <c r="K177" s="695">
        <v>0</v>
      </c>
    </row>
    <row r="178" spans="1:11" ht="54">
      <c r="A178" s="692" t="s">
        <v>26</v>
      </c>
      <c r="B178" s="693">
        <v>45117</v>
      </c>
      <c r="C178" s="694">
        <v>0.14722222222222223</v>
      </c>
      <c r="D178" s="693">
        <v>45117</v>
      </c>
      <c r="E178" s="694">
        <v>0.7402777777777777</v>
      </c>
      <c r="F178" s="695" t="s">
        <v>4402</v>
      </c>
      <c r="G178" s="695" t="s">
        <v>1352</v>
      </c>
      <c r="H178" s="695" t="s">
        <v>3411</v>
      </c>
      <c r="I178" s="695" t="s">
        <v>5870</v>
      </c>
      <c r="J178" s="695">
        <v>0</v>
      </c>
      <c r="K178" s="695">
        <v>0</v>
      </c>
    </row>
    <row r="179" spans="1:11" ht="18">
      <c r="A179" s="696" t="s">
        <v>26</v>
      </c>
      <c r="B179" s="693">
        <v>45121</v>
      </c>
      <c r="C179" s="694">
        <v>0.625</v>
      </c>
      <c r="D179" s="697" t="s">
        <v>45</v>
      </c>
      <c r="E179" s="694" t="s">
        <v>45</v>
      </c>
      <c r="F179" s="695" t="s">
        <v>4614</v>
      </c>
      <c r="G179" s="695" t="s">
        <v>63</v>
      </c>
      <c r="H179" s="695" t="s">
        <v>3451</v>
      </c>
      <c r="I179" s="695" t="s">
        <v>5861</v>
      </c>
      <c r="J179" s="695" t="s">
        <v>45</v>
      </c>
      <c r="K179" s="695">
        <v>163156</v>
      </c>
    </row>
    <row r="180" spans="1:11" ht="27">
      <c r="A180" s="692" t="s">
        <v>26</v>
      </c>
      <c r="B180" s="693">
        <v>45123</v>
      </c>
      <c r="C180" s="694">
        <v>0.4368055555555555</v>
      </c>
      <c r="D180" s="693">
        <v>45123</v>
      </c>
      <c r="E180" s="694">
        <v>0.45555555555555555</v>
      </c>
      <c r="F180" s="695" t="s">
        <v>3616</v>
      </c>
      <c r="G180" s="695" t="s">
        <v>124</v>
      </c>
      <c r="H180" s="695" t="s">
        <v>3356</v>
      </c>
      <c r="I180" s="695" t="s">
        <v>5866</v>
      </c>
      <c r="J180" s="695">
        <v>0</v>
      </c>
      <c r="K180" s="695">
        <v>0</v>
      </c>
    </row>
    <row r="181" spans="1:11" ht="27">
      <c r="A181" s="696" t="s">
        <v>26</v>
      </c>
      <c r="B181" s="693">
        <v>45124</v>
      </c>
      <c r="C181" s="694">
        <v>0.4069444444444445</v>
      </c>
      <c r="D181" s="693">
        <v>45124</v>
      </c>
      <c r="E181" s="694">
        <v>0.45833333333333331</v>
      </c>
      <c r="F181" s="695" t="s">
        <v>3719</v>
      </c>
      <c r="G181" s="695" t="s">
        <v>61</v>
      </c>
      <c r="H181" s="695" t="s">
        <v>3356</v>
      </c>
      <c r="I181" s="695" t="s">
        <v>5866</v>
      </c>
      <c r="J181" s="695">
        <v>0</v>
      </c>
      <c r="K181" s="695">
        <v>642</v>
      </c>
    </row>
    <row r="182" spans="1:11" ht="36">
      <c r="A182" s="692" t="s">
        <v>26</v>
      </c>
      <c r="B182" s="693">
        <v>45125</v>
      </c>
      <c r="C182" s="694">
        <v>0.74305555555555547</v>
      </c>
      <c r="D182" s="697">
        <v>45132</v>
      </c>
      <c r="E182" s="694">
        <v>0.58333333333333337</v>
      </c>
      <c r="F182" s="695" t="s">
        <v>2935</v>
      </c>
      <c r="G182" s="695" t="s">
        <v>63</v>
      </c>
      <c r="H182" s="695" t="s">
        <v>3910</v>
      </c>
      <c r="I182" s="695" t="s">
        <v>5861</v>
      </c>
      <c r="J182" s="695">
        <v>1200</v>
      </c>
      <c r="K182" s="695">
        <v>216000</v>
      </c>
    </row>
    <row r="183" spans="1:11" ht="63">
      <c r="A183" s="696" t="s">
        <v>26</v>
      </c>
      <c r="B183" s="693">
        <v>45125</v>
      </c>
      <c r="C183" s="694">
        <v>0.5625</v>
      </c>
      <c r="D183" s="697">
        <v>45125</v>
      </c>
      <c r="E183" s="694">
        <v>0.60416666666666663</v>
      </c>
      <c r="F183" s="695" t="s">
        <v>2864</v>
      </c>
      <c r="G183" s="695" t="s">
        <v>63</v>
      </c>
      <c r="H183" s="695" t="s">
        <v>3402</v>
      </c>
      <c r="I183" s="695" t="s">
        <v>5890</v>
      </c>
      <c r="J183" s="695">
        <v>0</v>
      </c>
      <c r="K183" s="695">
        <v>0</v>
      </c>
    </row>
    <row r="184" spans="1:11" ht="27">
      <c r="A184" s="692" t="s">
        <v>26</v>
      </c>
      <c r="B184" s="693">
        <v>45127</v>
      </c>
      <c r="C184" s="694">
        <v>0.4201388888888889</v>
      </c>
      <c r="D184" s="693">
        <v>45127</v>
      </c>
      <c r="E184" s="694">
        <v>0.42083333333333334</v>
      </c>
      <c r="F184" s="695" t="s">
        <v>5054</v>
      </c>
      <c r="G184" s="695" t="s">
        <v>63</v>
      </c>
      <c r="H184" s="695" t="s">
        <v>3356</v>
      </c>
      <c r="I184" s="695" t="s">
        <v>5866</v>
      </c>
      <c r="J184" s="695">
        <v>0</v>
      </c>
      <c r="K184" s="695">
        <v>0</v>
      </c>
    </row>
    <row r="185" spans="1:11" ht="18">
      <c r="A185" s="696" t="s">
        <v>26</v>
      </c>
      <c r="B185" s="693">
        <v>45127</v>
      </c>
      <c r="C185" s="694">
        <v>0.64583333333333337</v>
      </c>
      <c r="D185" s="698">
        <v>45128</v>
      </c>
      <c r="E185" s="694">
        <v>0.5</v>
      </c>
      <c r="F185" s="695" t="s">
        <v>3307</v>
      </c>
      <c r="G185" s="695" t="s">
        <v>3143</v>
      </c>
      <c r="H185" s="695" t="s">
        <v>3451</v>
      </c>
      <c r="I185" s="695" t="s">
        <v>5861</v>
      </c>
      <c r="J185" s="695" t="s">
        <v>45</v>
      </c>
      <c r="K185" s="695">
        <v>90354</v>
      </c>
    </row>
    <row r="186" spans="1:11" ht="18">
      <c r="A186" s="692" t="s">
        <v>26</v>
      </c>
      <c r="B186" s="693">
        <v>45127</v>
      </c>
      <c r="C186" s="694">
        <v>0.6875</v>
      </c>
      <c r="D186" s="693">
        <v>45129</v>
      </c>
      <c r="E186" s="694">
        <v>0.51180555555555551</v>
      </c>
      <c r="F186" s="695" t="s">
        <v>2904</v>
      </c>
      <c r="G186" s="695" t="s">
        <v>63</v>
      </c>
      <c r="H186" s="695" t="s">
        <v>3451</v>
      </c>
      <c r="I186" s="695" t="s">
        <v>5861</v>
      </c>
      <c r="J186" s="695">
        <v>640</v>
      </c>
      <c r="K186" s="695">
        <v>35257</v>
      </c>
    </row>
    <row r="187" spans="1:11" ht="54">
      <c r="A187" s="696" t="s">
        <v>26</v>
      </c>
      <c r="B187" s="693">
        <v>45129</v>
      </c>
      <c r="C187" s="694">
        <v>0.61944444444444446</v>
      </c>
      <c r="D187" s="698">
        <v>45129</v>
      </c>
      <c r="E187" s="701">
        <v>0.62013888888888891</v>
      </c>
      <c r="F187" s="695" t="s">
        <v>5892</v>
      </c>
      <c r="G187" s="695" t="s">
        <v>63</v>
      </c>
      <c r="H187" s="695" t="s">
        <v>3411</v>
      </c>
      <c r="I187" s="695" t="s">
        <v>5887</v>
      </c>
      <c r="J187" s="695">
        <v>130</v>
      </c>
      <c r="K187" s="695">
        <v>32781</v>
      </c>
    </row>
    <row r="188" spans="1:11" ht="45">
      <c r="A188" s="692" t="s">
        <v>26</v>
      </c>
      <c r="B188" s="693">
        <v>45132</v>
      </c>
      <c r="C188" s="694">
        <v>0.78611111111111109</v>
      </c>
      <c r="D188" s="693">
        <v>45132</v>
      </c>
      <c r="E188" s="694">
        <v>0.79166666666666663</v>
      </c>
      <c r="F188" s="695" t="s">
        <v>2935</v>
      </c>
      <c r="G188" s="695" t="s">
        <v>63</v>
      </c>
      <c r="H188" s="695" t="s">
        <v>3910</v>
      </c>
      <c r="I188" s="695" t="s">
        <v>5893</v>
      </c>
      <c r="J188" s="695">
        <v>820</v>
      </c>
      <c r="K188" s="695" t="s">
        <v>45</v>
      </c>
    </row>
    <row r="189" spans="1:11" ht="54">
      <c r="A189" s="696" t="s">
        <v>26</v>
      </c>
      <c r="B189" s="693">
        <v>45133</v>
      </c>
      <c r="C189" s="694">
        <v>0.61875000000000002</v>
      </c>
      <c r="D189" s="693">
        <v>45133</v>
      </c>
      <c r="E189" s="701">
        <v>0.72430555555555554</v>
      </c>
      <c r="F189" s="695" t="s">
        <v>5894</v>
      </c>
      <c r="G189" s="695" t="s">
        <v>3143</v>
      </c>
      <c r="H189" s="695" t="s">
        <v>3451</v>
      </c>
      <c r="I189" s="695" t="s">
        <v>5861</v>
      </c>
      <c r="J189" s="695" t="s">
        <v>45</v>
      </c>
      <c r="K189" s="695">
        <v>246000</v>
      </c>
    </row>
    <row r="190" spans="1:11" ht="45">
      <c r="A190" s="692" t="s">
        <v>26</v>
      </c>
      <c r="B190" s="693">
        <v>45133</v>
      </c>
      <c r="C190" s="694">
        <v>0.56319444444444444</v>
      </c>
      <c r="D190" s="693">
        <v>45133</v>
      </c>
      <c r="E190" s="694">
        <v>0.58333333333333337</v>
      </c>
      <c r="F190" s="695" t="s">
        <v>5895</v>
      </c>
      <c r="G190" s="695" t="s">
        <v>124</v>
      </c>
      <c r="H190" s="695" t="s">
        <v>3463</v>
      </c>
      <c r="I190" s="695" t="s">
        <v>5896</v>
      </c>
      <c r="J190" s="695">
        <v>0</v>
      </c>
      <c r="K190" s="695">
        <v>0</v>
      </c>
    </row>
    <row r="191" spans="1:11" ht="54">
      <c r="A191" s="696" t="s">
        <v>26</v>
      </c>
      <c r="B191" s="693">
        <v>45135</v>
      </c>
      <c r="C191" s="694">
        <v>1.0416666666666666E-2</v>
      </c>
      <c r="D191" s="693">
        <v>45135</v>
      </c>
      <c r="E191" s="701">
        <v>0.21249999999999999</v>
      </c>
      <c r="F191" s="695" t="s">
        <v>3890</v>
      </c>
      <c r="G191" s="695" t="s">
        <v>63</v>
      </c>
      <c r="H191" s="695" t="s">
        <v>3411</v>
      </c>
      <c r="I191" s="695" t="s">
        <v>5897</v>
      </c>
      <c r="J191" s="695">
        <v>0</v>
      </c>
      <c r="K191" s="695">
        <v>0</v>
      </c>
    </row>
    <row r="192" spans="1:11" ht="45">
      <c r="A192" s="692" t="s">
        <v>26</v>
      </c>
      <c r="B192" s="693">
        <v>45135</v>
      </c>
      <c r="C192" s="694">
        <v>0.51111111111111118</v>
      </c>
      <c r="D192" s="693">
        <v>45135</v>
      </c>
      <c r="E192" s="694">
        <v>0.51180555555555551</v>
      </c>
      <c r="F192" s="695" t="s">
        <v>2801</v>
      </c>
      <c r="G192" s="695" t="s">
        <v>124</v>
      </c>
      <c r="H192" s="695" t="s">
        <v>3463</v>
      </c>
      <c r="I192" s="695" t="s">
        <v>5898</v>
      </c>
      <c r="J192" s="695">
        <v>0</v>
      </c>
      <c r="K192" s="695">
        <v>0</v>
      </c>
    </row>
    <row r="193" spans="1:11" ht="99">
      <c r="A193" s="696" t="s">
        <v>26</v>
      </c>
      <c r="B193" s="693">
        <v>45135</v>
      </c>
      <c r="C193" s="694">
        <v>0.95694444444444438</v>
      </c>
      <c r="D193" s="693">
        <v>45136</v>
      </c>
      <c r="E193" s="697" t="s">
        <v>45</v>
      </c>
      <c r="F193" s="695" t="s">
        <v>5899</v>
      </c>
      <c r="G193" s="695" t="s">
        <v>4935</v>
      </c>
      <c r="H193" s="695" t="s">
        <v>3451</v>
      </c>
      <c r="I193" s="695" t="s">
        <v>5861</v>
      </c>
      <c r="J193" s="695">
        <v>213</v>
      </c>
      <c r="K193" s="695">
        <v>85000</v>
      </c>
    </row>
    <row r="194" spans="1:11" ht="54">
      <c r="A194" s="692" t="s">
        <v>26</v>
      </c>
      <c r="B194" s="693">
        <v>45135</v>
      </c>
      <c r="C194" s="694">
        <v>0.875</v>
      </c>
      <c r="D194" s="693">
        <v>45137</v>
      </c>
      <c r="E194" s="701">
        <v>0.41666666666666669</v>
      </c>
      <c r="F194" s="695" t="s">
        <v>5900</v>
      </c>
      <c r="G194" s="695" t="s">
        <v>4935</v>
      </c>
      <c r="H194" s="695" t="s">
        <v>3451</v>
      </c>
      <c r="I194" s="695" t="s">
        <v>5861</v>
      </c>
      <c r="J194" s="695" t="s">
        <v>45</v>
      </c>
      <c r="K194" s="695">
        <v>122921</v>
      </c>
    </row>
    <row r="195" spans="1:11" ht="18">
      <c r="A195" s="696" t="s">
        <v>26</v>
      </c>
      <c r="B195" s="693">
        <v>45135</v>
      </c>
      <c r="C195" s="694">
        <v>0.75</v>
      </c>
      <c r="D195" s="693">
        <v>45137</v>
      </c>
      <c r="E195" s="694">
        <v>0.32291666666666669</v>
      </c>
      <c r="F195" s="695" t="s">
        <v>4713</v>
      </c>
      <c r="G195" s="695" t="s">
        <v>3143</v>
      </c>
      <c r="H195" s="695" t="s">
        <v>3451</v>
      </c>
      <c r="I195" s="695" t="s">
        <v>5861</v>
      </c>
      <c r="J195" s="695" t="s">
        <v>45</v>
      </c>
      <c r="K195" s="695">
        <v>52098</v>
      </c>
    </row>
    <row r="196" spans="1:11" ht="18">
      <c r="A196" s="692" t="s">
        <v>26</v>
      </c>
      <c r="B196" s="693">
        <v>45135</v>
      </c>
      <c r="C196" s="694">
        <v>0.875</v>
      </c>
      <c r="D196" s="693" t="s">
        <v>45</v>
      </c>
      <c r="E196" s="694" t="s">
        <v>45</v>
      </c>
      <c r="F196" s="695" t="s">
        <v>5901</v>
      </c>
      <c r="G196" s="695" t="s">
        <v>3143</v>
      </c>
      <c r="H196" s="695" t="s">
        <v>3451</v>
      </c>
      <c r="I196" s="695" t="s">
        <v>5861</v>
      </c>
      <c r="J196" s="695" t="s">
        <v>45</v>
      </c>
      <c r="K196" s="695">
        <v>61000</v>
      </c>
    </row>
    <row r="197" spans="1:11" ht="45">
      <c r="A197" s="696" t="s">
        <v>26</v>
      </c>
      <c r="B197" s="693">
        <v>45135</v>
      </c>
      <c r="C197" s="694">
        <v>0.51111111111111118</v>
      </c>
      <c r="D197" s="693">
        <v>45135</v>
      </c>
      <c r="E197" s="694">
        <v>0.51180555555555551</v>
      </c>
      <c r="F197" s="695" t="s">
        <v>5017</v>
      </c>
      <c r="G197" s="695" t="s">
        <v>124</v>
      </c>
      <c r="H197" s="695" t="s">
        <v>3463</v>
      </c>
      <c r="I197" s="695" t="s">
        <v>5902</v>
      </c>
      <c r="J197" s="695">
        <v>0</v>
      </c>
      <c r="K197" s="695">
        <v>0</v>
      </c>
    </row>
    <row r="198" spans="1:11" ht="18">
      <c r="A198" s="692" t="s">
        <v>26</v>
      </c>
      <c r="B198" s="693">
        <v>45136</v>
      </c>
      <c r="C198" s="694">
        <v>0.66666666666666663</v>
      </c>
      <c r="D198" s="693">
        <v>45139</v>
      </c>
      <c r="E198" s="700">
        <v>0.29166666666666669</v>
      </c>
      <c r="F198" s="695" t="s">
        <v>3252</v>
      </c>
      <c r="G198" s="695" t="s">
        <v>3143</v>
      </c>
      <c r="H198" s="695" t="s">
        <v>3451</v>
      </c>
      <c r="I198" s="695" t="s">
        <v>5861</v>
      </c>
      <c r="J198" s="695" t="s">
        <v>45</v>
      </c>
      <c r="K198" s="695">
        <v>53630</v>
      </c>
    </row>
    <row r="199" spans="1:11" ht="27">
      <c r="A199" s="696" t="s">
        <v>26</v>
      </c>
      <c r="B199" s="693">
        <v>45136</v>
      </c>
      <c r="C199" s="694">
        <v>0.68402777777777779</v>
      </c>
      <c r="D199" s="693">
        <v>45136</v>
      </c>
      <c r="E199" s="694">
        <v>0.68611111111111101</v>
      </c>
      <c r="F199" s="695" t="s">
        <v>5605</v>
      </c>
      <c r="G199" s="695" t="s">
        <v>3143</v>
      </c>
      <c r="H199" s="695" t="s">
        <v>3451</v>
      </c>
      <c r="I199" s="695" t="s">
        <v>5861</v>
      </c>
      <c r="J199" s="695" t="s">
        <v>45</v>
      </c>
      <c r="K199" s="695">
        <v>54158</v>
      </c>
    </row>
    <row r="200" spans="1:11" ht="126">
      <c r="A200" s="692" t="s">
        <v>26</v>
      </c>
      <c r="B200" s="693">
        <v>45136</v>
      </c>
      <c r="C200" s="694">
        <v>0.66666666666666663</v>
      </c>
      <c r="D200" s="693">
        <v>45136</v>
      </c>
      <c r="E200" s="700">
        <v>0.66736111111111107</v>
      </c>
      <c r="F200" s="695" t="s">
        <v>5903</v>
      </c>
      <c r="G200" s="695" t="s">
        <v>61</v>
      </c>
      <c r="H200" s="695" t="s">
        <v>5904</v>
      </c>
      <c r="I200" s="695" t="s">
        <v>5905</v>
      </c>
      <c r="J200" s="695">
        <v>0</v>
      </c>
      <c r="K200" s="695">
        <v>0</v>
      </c>
    </row>
    <row r="201" spans="1:11" ht="18">
      <c r="A201" s="696" t="s">
        <v>26</v>
      </c>
      <c r="B201" s="693">
        <v>45137</v>
      </c>
      <c r="C201" s="694">
        <v>0.85416666666666663</v>
      </c>
      <c r="D201" s="693" t="s">
        <v>45</v>
      </c>
      <c r="E201" s="694" t="s">
        <v>45</v>
      </c>
      <c r="F201" s="695" t="s">
        <v>4614</v>
      </c>
      <c r="G201" s="695" t="s">
        <v>5906</v>
      </c>
      <c r="H201" s="695" t="s">
        <v>3451</v>
      </c>
      <c r="I201" s="695" t="s">
        <v>5861</v>
      </c>
      <c r="J201" s="695" t="s">
        <v>45</v>
      </c>
      <c r="K201" s="695">
        <v>72173</v>
      </c>
    </row>
    <row r="202" spans="1:11" ht="36">
      <c r="A202" s="692" t="s">
        <v>32</v>
      </c>
      <c r="B202" s="693"/>
      <c r="C202" s="694">
        <v>0.62361111111111112</v>
      </c>
      <c r="D202" s="693">
        <v>45108</v>
      </c>
      <c r="E202" s="694">
        <v>0.71319444444444446</v>
      </c>
      <c r="F202" s="695" t="s">
        <v>3461</v>
      </c>
      <c r="G202" s="695" t="s">
        <v>5174</v>
      </c>
      <c r="H202" s="695" t="s">
        <v>3387</v>
      </c>
      <c r="I202" s="695" t="s">
        <v>5887</v>
      </c>
      <c r="J202" s="695">
        <v>0</v>
      </c>
      <c r="K202" s="695">
        <v>0</v>
      </c>
    </row>
    <row r="203" spans="1:11" ht="54">
      <c r="A203" s="692" t="s">
        <v>32</v>
      </c>
      <c r="B203" s="693"/>
      <c r="C203" s="694">
        <v>0.37638888888888888</v>
      </c>
      <c r="D203" s="693">
        <v>45113</v>
      </c>
      <c r="E203" s="694">
        <v>0.45069444444444445</v>
      </c>
      <c r="F203" s="695" t="s">
        <v>4402</v>
      </c>
      <c r="G203" s="695" t="s">
        <v>1352</v>
      </c>
      <c r="H203" s="695" t="s">
        <v>3411</v>
      </c>
      <c r="I203" s="695" t="s">
        <v>5888</v>
      </c>
      <c r="J203" s="695" t="s">
        <v>45</v>
      </c>
      <c r="K203" s="695" t="s">
        <v>45</v>
      </c>
    </row>
    <row r="204" spans="1:11" ht="63">
      <c r="A204" s="692" t="s">
        <v>32</v>
      </c>
      <c r="B204" s="693"/>
      <c r="C204" s="694">
        <v>0.56805555555555554</v>
      </c>
      <c r="D204" s="693">
        <v>45113</v>
      </c>
      <c r="E204" s="694">
        <v>0.62777777777777777</v>
      </c>
      <c r="F204" s="695" t="s">
        <v>5889</v>
      </c>
      <c r="G204" s="695" t="s">
        <v>674</v>
      </c>
      <c r="H204" s="695" t="s">
        <v>3402</v>
      </c>
      <c r="I204" s="695" t="s">
        <v>5890</v>
      </c>
      <c r="J204" s="695">
        <v>0</v>
      </c>
      <c r="K204" s="695">
        <v>0</v>
      </c>
    </row>
    <row r="205" spans="1:11" ht="36">
      <c r="A205" s="692" t="s">
        <v>32</v>
      </c>
      <c r="B205" s="693"/>
      <c r="C205" s="694">
        <v>0.79236111111111107</v>
      </c>
      <c r="D205" s="697">
        <v>45113</v>
      </c>
      <c r="E205" s="700">
        <v>0.88263888888888886</v>
      </c>
      <c r="F205" s="695" t="s">
        <v>3470</v>
      </c>
      <c r="G205" s="695" t="s">
        <v>63</v>
      </c>
      <c r="H205" s="695" t="s">
        <v>3387</v>
      </c>
      <c r="I205" s="695" t="s">
        <v>5887</v>
      </c>
      <c r="J205" s="695">
        <v>0</v>
      </c>
      <c r="K205" s="695">
        <v>0</v>
      </c>
    </row>
    <row r="206" spans="1:11" ht="27">
      <c r="A206" s="692" t="s">
        <v>32</v>
      </c>
      <c r="B206" s="693"/>
      <c r="C206" s="694">
        <v>0.29166666666666669</v>
      </c>
      <c r="D206" s="698">
        <v>45114</v>
      </c>
      <c r="E206" s="694">
        <v>0.33333333333333331</v>
      </c>
      <c r="F206" s="699" t="s">
        <v>4355</v>
      </c>
      <c r="G206" s="699" t="s">
        <v>124</v>
      </c>
      <c r="H206" s="695" t="s">
        <v>3356</v>
      </c>
      <c r="I206" s="699" t="s">
        <v>5866</v>
      </c>
      <c r="J206" s="699">
        <v>0</v>
      </c>
      <c r="K206" s="699">
        <v>0</v>
      </c>
    </row>
    <row r="207" spans="1:11" ht="54">
      <c r="A207" s="692" t="s">
        <v>32</v>
      </c>
      <c r="B207" s="693"/>
      <c r="C207" s="694">
        <v>0.73819444444444438</v>
      </c>
      <c r="D207" s="693">
        <v>45118</v>
      </c>
      <c r="E207" s="694">
        <v>0.56041666666666667</v>
      </c>
      <c r="F207" s="695" t="s">
        <v>5891</v>
      </c>
      <c r="G207" s="695" t="s">
        <v>1352</v>
      </c>
      <c r="H207" s="695" t="s">
        <v>3411</v>
      </c>
      <c r="I207" s="695" t="s">
        <v>5861</v>
      </c>
      <c r="J207" s="695">
        <v>0</v>
      </c>
      <c r="K207" s="695">
        <v>0</v>
      </c>
    </row>
    <row r="208" spans="1:11" ht="27">
      <c r="A208" s="692" t="s">
        <v>32</v>
      </c>
      <c r="B208" s="693"/>
      <c r="C208" s="694">
        <v>6.1111111111111116E-2</v>
      </c>
      <c r="D208" s="693">
        <v>45119</v>
      </c>
      <c r="E208" s="694">
        <v>0.9375</v>
      </c>
      <c r="F208" s="695" t="s">
        <v>3712</v>
      </c>
      <c r="G208" s="695" t="s">
        <v>124</v>
      </c>
      <c r="H208" s="695" t="s">
        <v>3356</v>
      </c>
      <c r="I208" s="695" t="s">
        <v>5863</v>
      </c>
      <c r="J208" s="695">
        <v>0</v>
      </c>
      <c r="K208" s="695">
        <v>0</v>
      </c>
    </row>
    <row r="209" spans="1:11" ht="27">
      <c r="A209" s="692" t="s">
        <v>32</v>
      </c>
      <c r="B209" s="693"/>
      <c r="C209" s="694">
        <v>6.1111111111111116E-2</v>
      </c>
      <c r="D209" s="693" t="s">
        <v>45</v>
      </c>
      <c r="E209" s="694" t="s">
        <v>45</v>
      </c>
      <c r="F209" s="695" t="s">
        <v>3712</v>
      </c>
      <c r="G209" s="695" t="s">
        <v>124</v>
      </c>
      <c r="H209" s="695" t="s">
        <v>3356</v>
      </c>
      <c r="I209" s="695" t="s">
        <v>5863</v>
      </c>
      <c r="J209" s="695">
        <v>0</v>
      </c>
      <c r="K209" s="695">
        <v>0</v>
      </c>
    </row>
    <row r="210" spans="1:11" ht="54">
      <c r="A210" s="692" t="s">
        <v>32</v>
      </c>
      <c r="B210" s="693"/>
      <c r="C210" s="694">
        <v>0.14722222222222223</v>
      </c>
      <c r="D210" s="693">
        <v>45117</v>
      </c>
      <c r="E210" s="694">
        <v>0.7402777777777777</v>
      </c>
      <c r="F210" s="695" t="s">
        <v>4402</v>
      </c>
      <c r="G210" s="695" t="s">
        <v>1352</v>
      </c>
      <c r="H210" s="695" t="s">
        <v>3411</v>
      </c>
      <c r="I210" s="695" t="s">
        <v>5870</v>
      </c>
      <c r="J210" s="695">
        <v>0</v>
      </c>
      <c r="K210" s="695">
        <v>0</v>
      </c>
    </row>
    <row r="211" spans="1:11" ht="18">
      <c r="A211" s="692" t="s">
        <v>32</v>
      </c>
      <c r="B211" s="693"/>
      <c r="C211" s="694">
        <v>0.625</v>
      </c>
      <c r="D211" s="697" t="s">
        <v>45</v>
      </c>
      <c r="E211" s="694" t="s">
        <v>45</v>
      </c>
      <c r="F211" s="695" t="s">
        <v>4614</v>
      </c>
      <c r="G211" s="695" t="s">
        <v>63</v>
      </c>
      <c r="H211" s="695" t="s">
        <v>3451</v>
      </c>
      <c r="I211" s="695" t="s">
        <v>5861</v>
      </c>
      <c r="J211" s="695" t="s">
        <v>45</v>
      </c>
      <c r="K211" s="695">
        <v>163156</v>
      </c>
    </row>
    <row r="212" spans="1:11" ht="27">
      <c r="A212" s="692" t="s">
        <v>32</v>
      </c>
      <c r="B212" s="693"/>
      <c r="C212" s="694">
        <v>0.4368055555555555</v>
      </c>
      <c r="D212" s="693">
        <v>45123</v>
      </c>
      <c r="E212" s="694">
        <v>0.45555555555555555</v>
      </c>
      <c r="F212" s="695" t="s">
        <v>3616</v>
      </c>
      <c r="G212" s="695" t="s">
        <v>124</v>
      </c>
      <c r="H212" s="695" t="s">
        <v>3356</v>
      </c>
      <c r="I212" s="695" t="s">
        <v>5866</v>
      </c>
      <c r="J212" s="695">
        <v>0</v>
      </c>
      <c r="K212" s="695">
        <v>0</v>
      </c>
    </row>
    <row r="213" spans="1:11" ht="27">
      <c r="A213" s="692" t="s">
        <v>32</v>
      </c>
      <c r="B213" s="693"/>
      <c r="C213" s="694">
        <v>0.4069444444444445</v>
      </c>
      <c r="D213" s="693">
        <v>45124</v>
      </c>
      <c r="E213" s="694">
        <v>0.45833333333333331</v>
      </c>
      <c r="F213" s="695" t="s">
        <v>3719</v>
      </c>
      <c r="G213" s="695" t="s">
        <v>61</v>
      </c>
      <c r="H213" s="695" t="s">
        <v>3356</v>
      </c>
      <c r="I213" s="695" t="s">
        <v>5866</v>
      </c>
      <c r="J213" s="695">
        <v>0</v>
      </c>
      <c r="K213" s="695">
        <v>642</v>
      </c>
    </row>
    <row r="214" spans="1:11" ht="36">
      <c r="A214" s="692" t="s">
        <v>32</v>
      </c>
      <c r="B214" s="693"/>
      <c r="C214" s="694">
        <v>0.74305555555555547</v>
      </c>
      <c r="D214" s="697">
        <v>45132</v>
      </c>
      <c r="E214" s="694">
        <v>0.58333333333333337</v>
      </c>
      <c r="F214" s="695" t="s">
        <v>2935</v>
      </c>
      <c r="G214" s="695" t="s">
        <v>63</v>
      </c>
      <c r="H214" s="695" t="s">
        <v>3910</v>
      </c>
      <c r="I214" s="695" t="s">
        <v>5861</v>
      </c>
      <c r="J214" s="695">
        <v>1200</v>
      </c>
      <c r="K214" s="695">
        <v>216000</v>
      </c>
    </row>
    <row r="215" spans="1:11" ht="63">
      <c r="A215" s="692" t="s">
        <v>32</v>
      </c>
      <c r="B215" s="693"/>
      <c r="C215" s="694">
        <v>0.5625</v>
      </c>
      <c r="D215" s="697">
        <v>45125</v>
      </c>
      <c r="E215" s="694">
        <v>0.60416666666666663</v>
      </c>
      <c r="F215" s="695" t="s">
        <v>2864</v>
      </c>
      <c r="G215" s="695" t="s">
        <v>63</v>
      </c>
      <c r="H215" s="695" t="s">
        <v>3402</v>
      </c>
      <c r="I215" s="695" t="s">
        <v>5890</v>
      </c>
      <c r="J215" s="695">
        <v>0</v>
      </c>
      <c r="K215" s="695">
        <v>0</v>
      </c>
    </row>
    <row r="216" spans="1:11" ht="27">
      <c r="A216" s="692" t="s">
        <v>32</v>
      </c>
      <c r="B216" s="693"/>
      <c r="C216" s="694">
        <v>0.4201388888888889</v>
      </c>
      <c r="D216" s="693">
        <v>45127</v>
      </c>
      <c r="E216" s="694">
        <v>0.42083333333333334</v>
      </c>
      <c r="F216" s="695" t="s">
        <v>5054</v>
      </c>
      <c r="G216" s="695" t="s">
        <v>63</v>
      </c>
      <c r="H216" s="695" t="s">
        <v>3356</v>
      </c>
      <c r="I216" s="695" t="s">
        <v>5866</v>
      </c>
      <c r="J216" s="695">
        <v>0</v>
      </c>
      <c r="K216" s="695">
        <v>0</v>
      </c>
    </row>
    <row r="217" spans="1:11" ht="18">
      <c r="A217" s="692" t="s">
        <v>32</v>
      </c>
      <c r="B217" s="693"/>
      <c r="C217" s="694">
        <v>0.64583333333333337</v>
      </c>
      <c r="D217" s="698">
        <v>45128</v>
      </c>
      <c r="E217" s="694">
        <v>0.5</v>
      </c>
      <c r="F217" s="695" t="s">
        <v>3307</v>
      </c>
      <c r="G217" s="695" t="s">
        <v>3143</v>
      </c>
      <c r="H217" s="695" t="s">
        <v>3451</v>
      </c>
      <c r="I217" s="695" t="s">
        <v>5861</v>
      </c>
      <c r="J217" s="695" t="s">
        <v>45</v>
      </c>
      <c r="K217" s="695">
        <v>90354</v>
      </c>
    </row>
    <row r="218" spans="1:11" ht="18">
      <c r="A218" s="692" t="s">
        <v>32</v>
      </c>
      <c r="B218" s="693"/>
      <c r="C218" s="694">
        <v>0.6875</v>
      </c>
      <c r="D218" s="693">
        <v>45129</v>
      </c>
      <c r="E218" s="694">
        <v>0.51180555555555551</v>
      </c>
      <c r="F218" s="695" t="s">
        <v>2904</v>
      </c>
      <c r="G218" s="695" t="s">
        <v>63</v>
      </c>
      <c r="H218" s="695" t="s">
        <v>3451</v>
      </c>
      <c r="I218" s="695" t="s">
        <v>5861</v>
      </c>
      <c r="J218" s="695">
        <v>640</v>
      </c>
      <c r="K218" s="695">
        <v>35257</v>
      </c>
    </row>
    <row r="219" spans="1:11" ht="54">
      <c r="A219" s="692" t="s">
        <v>32</v>
      </c>
      <c r="B219" s="693"/>
      <c r="C219" s="694">
        <v>0.61944444444444446</v>
      </c>
      <c r="D219" s="698">
        <v>45129</v>
      </c>
      <c r="E219" s="701">
        <v>0.62013888888888891</v>
      </c>
      <c r="F219" s="695" t="s">
        <v>5892</v>
      </c>
      <c r="G219" s="695" t="s">
        <v>63</v>
      </c>
      <c r="H219" s="695" t="s">
        <v>3411</v>
      </c>
      <c r="I219" s="695" t="s">
        <v>5887</v>
      </c>
      <c r="J219" s="695">
        <v>130</v>
      </c>
      <c r="K219" s="695">
        <v>32781</v>
      </c>
    </row>
    <row r="220" spans="1:11" ht="45">
      <c r="A220" s="692" t="s">
        <v>32</v>
      </c>
      <c r="B220" s="693"/>
      <c r="C220" s="694">
        <v>0.78611111111111109</v>
      </c>
      <c r="D220" s="693">
        <v>45132</v>
      </c>
      <c r="E220" s="694">
        <v>0.79166666666666663</v>
      </c>
      <c r="F220" s="695" t="s">
        <v>2935</v>
      </c>
      <c r="G220" s="695" t="s">
        <v>63</v>
      </c>
      <c r="H220" s="695" t="s">
        <v>3910</v>
      </c>
      <c r="I220" s="695" t="s">
        <v>5893</v>
      </c>
      <c r="J220" s="695">
        <v>820</v>
      </c>
      <c r="K220" s="695" t="s">
        <v>45</v>
      </c>
    </row>
    <row r="221" spans="1:11" ht="54">
      <c r="A221" s="692" t="s">
        <v>32</v>
      </c>
      <c r="B221" s="693"/>
      <c r="C221" s="694">
        <v>0.61875000000000002</v>
      </c>
      <c r="D221" s="693">
        <v>45133</v>
      </c>
      <c r="E221" s="701">
        <v>0.72430555555555554</v>
      </c>
      <c r="F221" s="695" t="s">
        <v>5894</v>
      </c>
      <c r="G221" s="695" t="s">
        <v>3143</v>
      </c>
      <c r="H221" s="695" t="s">
        <v>3451</v>
      </c>
      <c r="I221" s="695" t="s">
        <v>5861</v>
      </c>
      <c r="J221" s="695" t="s">
        <v>45</v>
      </c>
      <c r="K221" s="695">
        <v>246000</v>
      </c>
    </row>
    <row r="222" spans="1:11" ht="45">
      <c r="A222" s="692" t="s">
        <v>32</v>
      </c>
      <c r="B222" s="693"/>
      <c r="C222" s="694">
        <v>0.56319444444444444</v>
      </c>
      <c r="D222" s="693">
        <v>45133</v>
      </c>
      <c r="E222" s="694">
        <v>0.58333333333333337</v>
      </c>
      <c r="F222" s="695" t="s">
        <v>5895</v>
      </c>
      <c r="G222" s="695" t="s">
        <v>124</v>
      </c>
      <c r="H222" s="695" t="s">
        <v>3463</v>
      </c>
      <c r="I222" s="695" t="s">
        <v>5896</v>
      </c>
      <c r="J222" s="695">
        <v>0</v>
      </c>
      <c r="K222" s="695">
        <v>0</v>
      </c>
    </row>
    <row r="223" spans="1:11" ht="54">
      <c r="A223" s="692" t="s">
        <v>32</v>
      </c>
      <c r="B223" s="693"/>
      <c r="C223" s="694">
        <v>1.0416666666666666E-2</v>
      </c>
      <c r="D223" s="693">
        <v>45135</v>
      </c>
      <c r="E223" s="701">
        <v>0.21249999999999999</v>
      </c>
      <c r="F223" s="695" t="s">
        <v>3890</v>
      </c>
      <c r="G223" s="695" t="s">
        <v>63</v>
      </c>
      <c r="H223" s="695" t="s">
        <v>3411</v>
      </c>
      <c r="I223" s="695" t="s">
        <v>5897</v>
      </c>
      <c r="J223" s="695">
        <v>0</v>
      </c>
      <c r="K223" s="695">
        <v>0</v>
      </c>
    </row>
    <row r="224" spans="1:11" ht="45">
      <c r="A224" s="692" t="s">
        <v>32</v>
      </c>
      <c r="B224" s="693"/>
      <c r="C224" s="694">
        <v>0.51111111111111118</v>
      </c>
      <c r="D224" s="693">
        <v>45135</v>
      </c>
      <c r="E224" s="694">
        <v>0.51180555555555551</v>
      </c>
      <c r="F224" s="695" t="s">
        <v>2801</v>
      </c>
      <c r="G224" s="695" t="s">
        <v>124</v>
      </c>
      <c r="H224" s="695" t="s">
        <v>3463</v>
      </c>
      <c r="I224" s="695" t="s">
        <v>5898</v>
      </c>
      <c r="J224" s="695">
        <v>0</v>
      </c>
      <c r="K224" s="695">
        <v>0</v>
      </c>
    </row>
    <row r="225" spans="1:11" ht="99">
      <c r="A225" s="692" t="s">
        <v>32</v>
      </c>
      <c r="B225" s="693"/>
      <c r="C225" s="694">
        <v>0.95694444444444438</v>
      </c>
      <c r="D225" s="693">
        <v>45136</v>
      </c>
      <c r="E225" s="697" t="s">
        <v>45</v>
      </c>
      <c r="F225" s="695" t="s">
        <v>5899</v>
      </c>
      <c r="G225" s="695" t="s">
        <v>4935</v>
      </c>
      <c r="H225" s="695" t="s">
        <v>3451</v>
      </c>
      <c r="I225" s="695" t="s">
        <v>5861</v>
      </c>
      <c r="J225" s="695">
        <v>213</v>
      </c>
      <c r="K225" s="695">
        <v>85000</v>
      </c>
    </row>
    <row r="226" spans="1:11" ht="54">
      <c r="A226" s="692" t="s">
        <v>32</v>
      </c>
      <c r="B226" s="693"/>
      <c r="C226" s="694">
        <v>0.875</v>
      </c>
      <c r="D226" s="693">
        <v>45137</v>
      </c>
      <c r="E226" s="701">
        <v>0.41666666666666669</v>
      </c>
      <c r="F226" s="695" t="s">
        <v>5900</v>
      </c>
      <c r="G226" s="695" t="s">
        <v>4935</v>
      </c>
      <c r="H226" s="695" t="s">
        <v>3451</v>
      </c>
      <c r="I226" s="695" t="s">
        <v>5861</v>
      </c>
      <c r="J226" s="695" t="s">
        <v>45</v>
      </c>
      <c r="K226" s="695">
        <v>122921</v>
      </c>
    </row>
    <row r="227" spans="1:11" ht="18">
      <c r="A227" s="692" t="s">
        <v>32</v>
      </c>
      <c r="B227" s="693"/>
      <c r="C227" s="694">
        <v>0.75</v>
      </c>
      <c r="D227" s="693">
        <v>45137</v>
      </c>
      <c r="E227" s="694">
        <v>0.32291666666666669</v>
      </c>
      <c r="F227" s="695" t="s">
        <v>4713</v>
      </c>
      <c r="G227" s="695" t="s">
        <v>3143</v>
      </c>
      <c r="H227" s="695" t="s">
        <v>3451</v>
      </c>
      <c r="I227" s="695" t="s">
        <v>5861</v>
      </c>
      <c r="J227" s="695" t="s">
        <v>45</v>
      </c>
      <c r="K227" s="695">
        <v>52098</v>
      </c>
    </row>
    <row r="228" spans="1:11" ht="18">
      <c r="A228" s="692" t="s">
        <v>32</v>
      </c>
      <c r="B228" s="693"/>
      <c r="C228" s="694">
        <v>0.875</v>
      </c>
      <c r="D228" s="693" t="s">
        <v>45</v>
      </c>
      <c r="E228" s="694" t="s">
        <v>45</v>
      </c>
      <c r="F228" s="695" t="s">
        <v>5901</v>
      </c>
      <c r="G228" s="695" t="s">
        <v>3143</v>
      </c>
      <c r="H228" s="695" t="s">
        <v>3451</v>
      </c>
      <c r="I228" s="695" t="s">
        <v>5861</v>
      </c>
      <c r="J228" s="695" t="s">
        <v>45</v>
      </c>
      <c r="K228" s="695">
        <v>61000</v>
      </c>
    </row>
    <row r="229" spans="1:11" ht="45">
      <c r="A229" s="692" t="s">
        <v>32</v>
      </c>
      <c r="B229" s="693"/>
      <c r="C229" s="694">
        <v>0.51111111111111118</v>
      </c>
      <c r="D229" s="693">
        <v>45135</v>
      </c>
      <c r="E229" s="694">
        <v>0.51180555555555551</v>
      </c>
      <c r="F229" s="695" t="s">
        <v>5017</v>
      </c>
      <c r="G229" s="695" t="s">
        <v>124</v>
      </c>
      <c r="H229" s="695" t="s">
        <v>3463</v>
      </c>
      <c r="I229" s="695" t="s">
        <v>5902</v>
      </c>
      <c r="J229" s="695">
        <v>0</v>
      </c>
      <c r="K229" s="695">
        <v>0</v>
      </c>
    </row>
    <row r="230" spans="1:11" ht="18">
      <c r="A230" s="692" t="s">
        <v>32</v>
      </c>
      <c r="B230" s="693"/>
      <c r="C230" s="694">
        <v>0.66666666666666663</v>
      </c>
      <c r="D230" s="693">
        <v>45139</v>
      </c>
      <c r="E230" s="700">
        <v>0.29166666666666669</v>
      </c>
      <c r="F230" s="695" t="s">
        <v>3252</v>
      </c>
      <c r="G230" s="695" t="s">
        <v>3143</v>
      </c>
      <c r="H230" s="695" t="s">
        <v>3451</v>
      </c>
      <c r="I230" s="695" t="s">
        <v>5861</v>
      </c>
      <c r="J230" s="695" t="s">
        <v>45</v>
      </c>
      <c r="K230" s="695">
        <v>53630</v>
      </c>
    </row>
    <row r="231" spans="1:11" ht="27">
      <c r="A231" s="692" t="s">
        <v>32</v>
      </c>
      <c r="B231" s="693"/>
      <c r="C231" s="694">
        <v>0.68402777777777779</v>
      </c>
      <c r="D231" s="693">
        <v>45136</v>
      </c>
      <c r="E231" s="694">
        <v>0.68611111111111101</v>
      </c>
      <c r="F231" s="695" t="s">
        <v>5605</v>
      </c>
      <c r="G231" s="695" t="s">
        <v>3143</v>
      </c>
      <c r="H231" s="695" t="s">
        <v>3451</v>
      </c>
      <c r="I231" s="695" t="s">
        <v>5861</v>
      </c>
      <c r="J231" s="695" t="s">
        <v>45</v>
      </c>
      <c r="K231" s="695">
        <v>54158</v>
      </c>
    </row>
    <row r="232" spans="1:11" ht="126">
      <c r="A232" s="692" t="s">
        <v>32</v>
      </c>
      <c r="B232" s="693"/>
      <c r="C232" s="694">
        <v>0.66666666666666663</v>
      </c>
      <c r="D232" s="693">
        <v>45136</v>
      </c>
      <c r="E232" s="700">
        <v>0.66736111111111107</v>
      </c>
      <c r="F232" s="695" t="s">
        <v>5903</v>
      </c>
      <c r="G232" s="695" t="s">
        <v>61</v>
      </c>
      <c r="H232" s="695" t="s">
        <v>5904</v>
      </c>
      <c r="I232" s="695" t="s">
        <v>5905</v>
      </c>
      <c r="J232" s="695">
        <v>0</v>
      </c>
      <c r="K232" s="695">
        <v>0</v>
      </c>
    </row>
    <row r="233" spans="1:11" ht="18">
      <c r="A233" s="692" t="s">
        <v>32</v>
      </c>
      <c r="B233" s="693"/>
      <c r="C233" s="694">
        <v>0.85416666666666663</v>
      </c>
      <c r="D233" s="693" t="s">
        <v>45</v>
      </c>
      <c r="E233" s="694" t="s">
        <v>45</v>
      </c>
      <c r="F233" s="695" t="s">
        <v>4614</v>
      </c>
      <c r="G233" s="695" t="s">
        <v>5906</v>
      </c>
      <c r="H233" s="695" t="s">
        <v>3451</v>
      </c>
      <c r="I233" s="695" t="s">
        <v>5861</v>
      </c>
      <c r="J233" s="695" t="s">
        <v>45</v>
      </c>
      <c r="K233" s="695">
        <v>72173</v>
      </c>
    </row>
    <row r="234" spans="1:11" ht="54">
      <c r="A234" s="702" t="s">
        <v>219</v>
      </c>
      <c r="B234" s="703">
        <v>45198</v>
      </c>
      <c r="C234" s="704">
        <v>0.9277777777777777</v>
      </c>
      <c r="D234" s="703" t="s">
        <v>5907</v>
      </c>
      <c r="E234" s="704">
        <v>0.9291666666666667</v>
      </c>
      <c r="F234" s="705" t="s">
        <v>2894</v>
      </c>
      <c r="G234" s="705" t="s">
        <v>124</v>
      </c>
      <c r="H234" s="705" t="s">
        <v>2839</v>
      </c>
      <c r="I234" s="705" t="s">
        <v>5861</v>
      </c>
      <c r="J234" s="705">
        <v>18</v>
      </c>
      <c r="K234" s="705">
        <v>9082</v>
      </c>
    </row>
    <row r="235" spans="1:11" ht="54">
      <c r="A235" s="706" t="s">
        <v>219</v>
      </c>
      <c r="B235" s="703" t="s">
        <v>5907</v>
      </c>
      <c r="C235" s="704">
        <v>0.99236111111111114</v>
      </c>
      <c r="D235" s="703" t="s">
        <v>5908</v>
      </c>
      <c r="E235" s="704">
        <v>0.13194444444444445</v>
      </c>
      <c r="F235" s="705" t="s">
        <v>5909</v>
      </c>
      <c r="G235" s="705" t="s">
        <v>5910</v>
      </c>
      <c r="H235" s="705" t="s">
        <v>5911</v>
      </c>
      <c r="I235" s="705" t="s">
        <v>5861</v>
      </c>
      <c r="J235" s="705">
        <v>0</v>
      </c>
      <c r="K235" s="705">
        <v>0</v>
      </c>
    </row>
    <row r="236" spans="1:11" ht="36">
      <c r="A236" s="702" t="s">
        <v>219</v>
      </c>
      <c r="B236" s="703" t="s">
        <v>5907</v>
      </c>
      <c r="C236" s="704">
        <v>0.47986111111111113</v>
      </c>
      <c r="D236" s="703" t="s">
        <v>5907</v>
      </c>
      <c r="E236" s="704">
        <v>0.50486111111111109</v>
      </c>
      <c r="F236" s="705" t="s">
        <v>3245</v>
      </c>
      <c r="G236" s="705" t="s">
        <v>3143</v>
      </c>
      <c r="H236" s="705" t="s">
        <v>3387</v>
      </c>
      <c r="I236" s="705" t="s">
        <v>5887</v>
      </c>
      <c r="J236" s="705">
        <v>0</v>
      </c>
      <c r="K236" s="705">
        <v>0</v>
      </c>
    </row>
    <row r="237" spans="1:11" ht="36">
      <c r="A237" s="706" t="s">
        <v>219</v>
      </c>
      <c r="B237" s="703" t="s">
        <v>5912</v>
      </c>
      <c r="C237" s="704">
        <v>0.54583333333333328</v>
      </c>
      <c r="D237" s="707" t="s">
        <v>5912</v>
      </c>
      <c r="E237" s="708">
        <v>0.6875</v>
      </c>
      <c r="F237" s="705" t="s">
        <v>2795</v>
      </c>
      <c r="G237" s="705" t="s">
        <v>61</v>
      </c>
      <c r="H237" s="705" t="s">
        <v>3387</v>
      </c>
      <c r="I237" s="705" t="s">
        <v>5887</v>
      </c>
      <c r="J237" s="705">
        <v>0</v>
      </c>
      <c r="K237" s="705">
        <v>0</v>
      </c>
    </row>
    <row r="238" spans="1:11" ht="54">
      <c r="A238" s="702" t="s">
        <v>219</v>
      </c>
      <c r="B238" s="703" t="s">
        <v>5913</v>
      </c>
      <c r="C238" s="704">
        <v>0.21666666666666667</v>
      </c>
      <c r="D238" s="709" t="s">
        <v>5913</v>
      </c>
      <c r="E238" s="704">
        <v>0.27847222222222223</v>
      </c>
      <c r="F238" s="683" t="s">
        <v>5914</v>
      </c>
      <c r="G238" s="683" t="s">
        <v>63</v>
      </c>
      <c r="H238" s="705" t="s">
        <v>5911</v>
      </c>
      <c r="I238" s="683" t="s">
        <v>5870</v>
      </c>
      <c r="J238" s="683">
        <v>103</v>
      </c>
      <c r="K238" s="683">
        <v>23380</v>
      </c>
    </row>
    <row r="239" spans="1:11" ht="36">
      <c r="A239" s="706" t="s">
        <v>219</v>
      </c>
      <c r="B239" s="703" t="s">
        <v>5907</v>
      </c>
      <c r="C239" s="704">
        <v>0.27083333333333331</v>
      </c>
      <c r="D239" s="703" t="s">
        <v>5907</v>
      </c>
      <c r="E239" s="704">
        <v>0.29236111111111113</v>
      </c>
      <c r="F239" s="705" t="s">
        <v>3245</v>
      </c>
      <c r="G239" s="705" t="s">
        <v>3143</v>
      </c>
      <c r="H239" s="705" t="s">
        <v>3387</v>
      </c>
      <c r="I239" s="705" t="s">
        <v>5887</v>
      </c>
      <c r="J239" s="705">
        <v>0</v>
      </c>
      <c r="K239" s="705">
        <v>0</v>
      </c>
    </row>
    <row r="240" spans="1:11" ht="36">
      <c r="A240" s="702" t="s">
        <v>219</v>
      </c>
      <c r="B240" s="703" t="s">
        <v>5912</v>
      </c>
      <c r="C240" s="704">
        <v>0.54583333333333328</v>
      </c>
      <c r="D240" s="703" t="s">
        <v>5912</v>
      </c>
      <c r="E240" s="704">
        <v>0.6875</v>
      </c>
      <c r="F240" s="705" t="s">
        <v>2795</v>
      </c>
      <c r="G240" s="705" t="s">
        <v>61</v>
      </c>
      <c r="H240" s="705" t="s">
        <v>3387</v>
      </c>
      <c r="I240" s="705" t="s">
        <v>5887</v>
      </c>
      <c r="J240" s="705">
        <v>0</v>
      </c>
      <c r="K240" s="705">
        <v>0</v>
      </c>
    </row>
    <row r="241" spans="1:11" ht="72">
      <c r="A241" s="706" t="s">
        <v>219</v>
      </c>
      <c r="B241" s="703" t="s">
        <v>5915</v>
      </c>
      <c r="C241" s="704">
        <v>0.98888888888888893</v>
      </c>
      <c r="D241" s="703" t="s">
        <v>5916</v>
      </c>
      <c r="E241" s="704">
        <v>0.86458333333333337</v>
      </c>
      <c r="F241" s="705" t="s">
        <v>5917</v>
      </c>
      <c r="G241" s="705" t="s">
        <v>1352</v>
      </c>
      <c r="H241" s="705" t="s">
        <v>2753</v>
      </c>
      <c r="I241" s="705" t="s">
        <v>5861</v>
      </c>
      <c r="J241" s="705" t="s">
        <v>45</v>
      </c>
      <c r="K241" s="705">
        <v>130000</v>
      </c>
    </row>
    <row r="242" spans="1:11" ht="63">
      <c r="A242" s="706" t="s">
        <v>219</v>
      </c>
      <c r="B242" s="703" t="s">
        <v>5918</v>
      </c>
      <c r="C242" s="704">
        <v>0.37013888888888885</v>
      </c>
      <c r="D242" s="707" t="s">
        <v>5918</v>
      </c>
      <c r="E242" s="704">
        <v>0.43472222222222223</v>
      </c>
      <c r="F242" s="705" t="s">
        <v>4185</v>
      </c>
      <c r="G242" s="705" t="s">
        <v>1352</v>
      </c>
      <c r="H242" s="705" t="s">
        <v>3402</v>
      </c>
      <c r="I242" s="705" t="s">
        <v>5890</v>
      </c>
      <c r="J242" s="705">
        <v>0</v>
      </c>
      <c r="K242" s="705">
        <v>0</v>
      </c>
    </row>
    <row r="243" spans="1:11" ht="54">
      <c r="A243" s="706" t="s">
        <v>219</v>
      </c>
      <c r="B243" s="703" t="s">
        <v>5919</v>
      </c>
      <c r="C243" s="704">
        <v>0.52847222222222223</v>
      </c>
      <c r="D243" s="703" t="s">
        <v>5919</v>
      </c>
      <c r="E243" s="704">
        <v>0.97569444444444453</v>
      </c>
      <c r="F243" s="705" t="s">
        <v>3693</v>
      </c>
      <c r="G243" s="705" t="s">
        <v>674</v>
      </c>
      <c r="H243" s="705" t="s">
        <v>5920</v>
      </c>
      <c r="I243" s="705" t="s">
        <v>5871</v>
      </c>
      <c r="J243" s="705">
        <v>51</v>
      </c>
      <c r="K243" s="705" t="s">
        <v>45</v>
      </c>
    </row>
    <row r="244" spans="1:11" ht="27">
      <c r="A244" s="706" t="s">
        <v>219</v>
      </c>
      <c r="B244" s="703" t="s">
        <v>5921</v>
      </c>
      <c r="C244" s="704">
        <v>4.0972222222222222E-2</v>
      </c>
      <c r="D244" s="707" t="s">
        <v>5921</v>
      </c>
      <c r="E244" s="704">
        <v>0.41597222222222219</v>
      </c>
      <c r="F244" s="705" t="s">
        <v>3178</v>
      </c>
      <c r="G244" s="705" t="s">
        <v>61</v>
      </c>
      <c r="H244" s="705" t="s">
        <v>3356</v>
      </c>
      <c r="I244" s="705" t="s">
        <v>5866</v>
      </c>
      <c r="J244" s="705">
        <v>0</v>
      </c>
      <c r="K244" s="705">
        <v>0</v>
      </c>
    </row>
    <row r="245" spans="1:11" ht="63">
      <c r="A245" s="702" t="s">
        <v>219</v>
      </c>
      <c r="B245" s="703" t="s">
        <v>5922</v>
      </c>
      <c r="C245" s="704">
        <v>0.6875</v>
      </c>
      <c r="D245" s="703" t="s">
        <v>5922</v>
      </c>
      <c r="E245" s="704">
        <v>0.70833333333333337</v>
      </c>
      <c r="F245" s="705" t="s">
        <v>5923</v>
      </c>
      <c r="G245" s="705" t="s">
        <v>63</v>
      </c>
      <c r="H245" s="705" t="s">
        <v>3402</v>
      </c>
      <c r="I245" s="705" t="s">
        <v>5890</v>
      </c>
      <c r="J245" s="705">
        <v>0</v>
      </c>
      <c r="K245" s="705">
        <v>0</v>
      </c>
    </row>
    <row r="246" spans="1:11" ht="45">
      <c r="A246" s="706" t="s">
        <v>219</v>
      </c>
      <c r="B246" s="703" t="s">
        <v>5921</v>
      </c>
      <c r="C246" s="704">
        <v>0.44097222222222227</v>
      </c>
      <c r="D246" s="709" t="s">
        <v>5924</v>
      </c>
      <c r="E246" s="704">
        <v>4.1666666666666664E-2</v>
      </c>
      <c r="F246" s="705" t="s">
        <v>5925</v>
      </c>
      <c r="G246" s="705" t="s">
        <v>61</v>
      </c>
      <c r="H246" s="705" t="s">
        <v>2753</v>
      </c>
      <c r="I246" s="705" t="s">
        <v>5861</v>
      </c>
      <c r="J246" s="705" t="s">
        <v>45</v>
      </c>
      <c r="K246" s="705">
        <v>75000</v>
      </c>
    </row>
    <row r="247" spans="1:11" ht="27">
      <c r="A247" s="702" t="s">
        <v>219</v>
      </c>
      <c r="B247" s="703" t="s">
        <v>5926</v>
      </c>
      <c r="C247" s="704">
        <v>0.38541666666666669</v>
      </c>
      <c r="D247" s="703" t="s">
        <v>5926</v>
      </c>
      <c r="E247" s="704">
        <v>0.76111111111111107</v>
      </c>
      <c r="F247" s="705" t="s">
        <v>4798</v>
      </c>
      <c r="G247" s="705" t="s">
        <v>1352</v>
      </c>
      <c r="H247" s="705" t="s">
        <v>3356</v>
      </c>
      <c r="I247" s="705" t="s">
        <v>5927</v>
      </c>
      <c r="J247" s="705">
        <v>0</v>
      </c>
      <c r="K247" s="705">
        <v>0</v>
      </c>
    </row>
    <row r="248" spans="1:11" ht="27">
      <c r="A248" s="706" t="s">
        <v>219</v>
      </c>
      <c r="B248" s="703" t="s">
        <v>5928</v>
      </c>
      <c r="C248" s="704">
        <v>0.98888888888888893</v>
      </c>
      <c r="D248" s="703" t="s">
        <v>5929</v>
      </c>
      <c r="E248" s="710">
        <v>0.79166666666666663</v>
      </c>
      <c r="F248" s="705" t="s">
        <v>5930</v>
      </c>
      <c r="G248" s="705" t="s">
        <v>1352</v>
      </c>
      <c r="H248" s="705" t="s">
        <v>2753</v>
      </c>
      <c r="I248" s="705" t="s">
        <v>5861</v>
      </c>
      <c r="J248" s="705" t="s">
        <v>45</v>
      </c>
      <c r="K248" s="705">
        <v>190000</v>
      </c>
    </row>
    <row r="249" spans="1:11" ht="27">
      <c r="A249" s="702" t="s">
        <v>219</v>
      </c>
      <c r="B249" s="703" t="s">
        <v>5928</v>
      </c>
      <c r="C249" s="704">
        <v>0.27083333333333331</v>
      </c>
      <c r="D249" s="703" t="s">
        <v>5928</v>
      </c>
      <c r="E249" s="704">
        <v>0.375</v>
      </c>
      <c r="F249" s="705" t="s">
        <v>2801</v>
      </c>
      <c r="G249" s="705" t="s">
        <v>124</v>
      </c>
      <c r="H249" s="705" t="s">
        <v>3356</v>
      </c>
      <c r="I249" s="705" t="s">
        <v>5866</v>
      </c>
      <c r="J249" s="705">
        <v>0</v>
      </c>
      <c r="K249" s="705">
        <v>0</v>
      </c>
    </row>
    <row r="250" spans="1:11" ht="27">
      <c r="A250" s="706" t="s">
        <v>219</v>
      </c>
      <c r="B250" s="703" t="s">
        <v>5928</v>
      </c>
      <c r="C250" s="704">
        <v>0.75416666666666676</v>
      </c>
      <c r="D250" s="703" t="s">
        <v>5928</v>
      </c>
      <c r="E250" s="710">
        <v>0.78541666666666676</v>
      </c>
      <c r="F250" s="705" t="s">
        <v>5566</v>
      </c>
      <c r="G250" s="705" t="s">
        <v>61</v>
      </c>
      <c r="H250" s="705" t="s">
        <v>3447</v>
      </c>
      <c r="I250" s="705" t="s">
        <v>5887</v>
      </c>
      <c r="J250" s="705">
        <v>0</v>
      </c>
      <c r="K250" s="705">
        <v>0</v>
      </c>
    </row>
    <row r="251" spans="1:11" ht="45">
      <c r="A251" s="702" t="s">
        <v>219</v>
      </c>
      <c r="B251" s="703" t="s">
        <v>5928</v>
      </c>
      <c r="C251" s="704">
        <v>0.63541666666666663</v>
      </c>
      <c r="D251" s="703" t="s">
        <v>5931</v>
      </c>
      <c r="E251" s="704">
        <v>0.92013888888888884</v>
      </c>
      <c r="F251" s="705" t="s">
        <v>5925</v>
      </c>
      <c r="G251" s="705" t="s">
        <v>61</v>
      </c>
      <c r="H251" s="705" t="s">
        <v>2753</v>
      </c>
      <c r="I251" s="705" t="s">
        <v>5861</v>
      </c>
      <c r="J251" s="705" t="s">
        <v>45</v>
      </c>
      <c r="K251" s="705">
        <v>114000</v>
      </c>
    </row>
    <row r="252" spans="1:11" ht="63">
      <c r="A252" s="706" t="s">
        <v>219</v>
      </c>
      <c r="B252" s="703" t="s">
        <v>5931</v>
      </c>
      <c r="C252" s="704">
        <v>0.4381944444444445</v>
      </c>
      <c r="D252" s="703" t="s">
        <v>5931</v>
      </c>
      <c r="E252" s="711">
        <v>0.45208333333333334</v>
      </c>
      <c r="F252" s="705" t="s">
        <v>5547</v>
      </c>
      <c r="G252" s="705" t="s">
        <v>61</v>
      </c>
      <c r="H252" s="705" t="s">
        <v>3402</v>
      </c>
      <c r="I252" s="705" t="s">
        <v>5890</v>
      </c>
      <c r="J252" s="705">
        <v>0</v>
      </c>
      <c r="K252" s="705">
        <v>0</v>
      </c>
    </row>
    <row r="253" spans="1:11" ht="63">
      <c r="A253" s="702" t="s">
        <v>219</v>
      </c>
      <c r="B253" s="703" t="s">
        <v>5932</v>
      </c>
      <c r="C253" s="704">
        <v>0.54166666666666663</v>
      </c>
      <c r="D253" s="703" t="s">
        <v>5932</v>
      </c>
      <c r="E253" s="704">
        <v>0.55208333333333337</v>
      </c>
      <c r="F253" s="705" t="s">
        <v>5516</v>
      </c>
      <c r="G253" s="705" t="s">
        <v>1352</v>
      </c>
      <c r="H253" s="705" t="s">
        <v>3402</v>
      </c>
      <c r="I253" s="705" t="s">
        <v>5890</v>
      </c>
      <c r="J253" s="705">
        <v>0</v>
      </c>
      <c r="K253" s="705">
        <v>0</v>
      </c>
    </row>
    <row r="254" spans="1:11" ht="27">
      <c r="A254" s="706" t="s">
        <v>219</v>
      </c>
      <c r="B254" s="703" t="s">
        <v>5928</v>
      </c>
      <c r="C254" s="704">
        <v>0.27083333333333331</v>
      </c>
      <c r="D254" s="703" t="s">
        <v>5928</v>
      </c>
      <c r="E254" s="704">
        <v>0.375</v>
      </c>
      <c r="F254" s="705" t="s">
        <v>2801</v>
      </c>
      <c r="G254" s="705" t="s">
        <v>124</v>
      </c>
      <c r="H254" s="705" t="s">
        <v>3356</v>
      </c>
      <c r="I254" s="705" t="s">
        <v>5866</v>
      </c>
      <c r="J254" s="705">
        <v>0</v>
      </c>
      <c r="K254" s="705">
        <v>0</v>
      </c>
    </row>
    <row r="255" spans="1:11" ht="36">
      <c r="A255" s="702" t="s">
        <v>219</v>
      </c>
      <c r="B255" s="703" t="s">
        <v>5932</v>
      </c>
      <c r="C255" s="704">
        <v>0.44791666666666669</v>
      </c>
      <c r="D255" s="703" t="s">
        <v>5932</v>
      </c>
      <c r="E255" s="708">
        <v>0.875</v>
      </c>
      <c r="F255" s="705" t="s">
        <v>2919</v>
      </c>
      <c r="G255" s="705" t="s">
        <v>1352</v>
      </c>
      <c r="H255" s="705" t="s">
        <v>3415</v>
      </c>
      <c r="I255" s="705" t="s">
        <v>5933</v>
      </c>
      <c r="J255" s="705" t="s">
        <v>45</v>
      </c>
      <c r="K255" s="705" t="s">
        <v>45</v>
      </c>
    </row>
    <row r="256" spans="1:11" ht="36">
      <c r="A256" s="702" t="s">
        <v>219</v>
      </c>
      <c r="B256" s="703" t="s">
        <v>5934</v>
      </c>
      <c r="C256" s="704">
        <v>0.6875</v>
      </c>
      <c r="D256" s="703" t="s">
        <v>5934</v>
      </c>
      <c r="E256" s="708">
        <v>0.875</v>
      </c>
      <c r="F256" s="705" t="s">
        <v>2919</v>
      </c>
      <c r="G256" s="705" t="s">
        <v>1352</v>
      </c>
      <c r="H256" s="705" t="s">
        <v>3415</v>
      </c>
      <c r="I256" s="705" t="s">
        <v>5933</v>
      </c>
      <c r="J256" s="705" t="s">
        <v>45</v>
      </c>
      <c r="K256" s="705" t="s">
        <v>45</v>
      </c>
    </row>
    <row r="257" spans="1:11" ht="27">
      <c r="A257" s="706" t="s">
        <v>219</v>
      </c>
      <c r="B257" s="712" t="s">
        <v>5934</v>
      </c>
      <c r="C257" s="713">
        <v>0</v>
      </c>
      <c r="D257" s="712" t="s">
        <v>2768</v>
      </c>
      <c r="E257" s="712" t="s">
        <v>2768</v>
      </c>
      <c r="F257" s="712" t="s">
        <v>5935</v>
      </c>
      <c r="G257" s="712" t="s">
        <v>3143</v>
      </c>
      <c r="H257" s="705" t="s">
        <v>3356</v>
      </c>
      <c r="I257" s="712" t="s">
        <v>5936</v>
      </c>
      <c r="J257" s="712" t="s">
        <v>45</v>
      </c>
      <c r="K257" s="712">
        <v>0</v>
      </c>
    </row>
    <row r="258" spans="1:11" ht="36">
      <c r="A258" s="706" t="s">
        <v>219</v>
      </c>
      <c r="B258" s="712" t="s">
        <v>5937</v>
      </c>
      <c r="C258" s="713">
        <v>6.805555555555555E-2</v>
      </c>
      <c r="D258" s="712" t="s">
        <v>5937</v>
      </c>
      <c r="E258" s="713">
        <v>0.23541666666666669</v>
      </c>
      <c r="F258" s="712" t="s">
        <v>4818</v>
      </c>
      <c r="G258" s="712" t="s">
        <v>61</v>
      </c>
      <c r="H258" s="705" t="s">
        <v>3387</v>
      </c>
      <c r="I258" s="712" t="s">
        <v>5887</v>
      </c>
      <c r="J258" s="712">
        <v>0</v>
      </c>
      <c r="K258" s="712">
        <v>0</v>
      </c>
    </row>
    <row r="259" spans="1:11" ht="36">
      <c r="A259" s="714" t="s">
        <v>5938</v>
      </c>
      <c r="B259" s="703" t="s">
        <v>5939</v>
      </c>
      <c r="C259" s="704">
        <v>3.8194444444444441E-2</v>
      </c>
      <c r="D259" s="703" t="s">
        <v>5939</v>
      </c>
      <c r="E259" s="704">
        <v>5.0694444444444452E-2</v>
      </c>
      <c r="F259" s="705" t="s">
        <v>5940</v>
      </c>
      <c r="G259" s="695" t="s">
        <v>63</v>
      </c>
      <c r="H259" s="705" t="s">
        <v>3356</v>
      </c>
      <c r="I259" s="705" t="s">
        <v>5941</v>
      </c>
      <c r="J259" s="715" t="s">
        <v>45</v>
      </c>
      <c r="K259" s="715" t="s">
        <v>45</v>
      </c>
    </row>
    <row r="260" spans="1:11" ht="63">
      <c r="A260" s="716" t="s">
        <v>5938</v>
      </c>
      <c r="B260" s="703" t="s">
        <v>5939</v>
      </c>
      <c r="C260" s="704">
        <v>0.66666666666666663</v>
      </c>
      <c r="D260" s="703" t="s">
        <v>5939</v>
      </c>
      <c r="E260" s="704">
        <v>0.78472222222222221</v>
      </c>
      <c r="F260" s="705" t="s">
        <v>2832</v>
      </c>
      <c r="G260" s="695" t="s">
        <v>63</v>
      </c>
      <c r="H260" s="705" t="s">
        <v>3402</v>
      </c>
      <c r="I260" s="705" t="s">
        <v>5890</v>
      </c>
      <c r="J260" s="715" t="s">
        <v>45</v>
      </c>
      <c r="K260" s="715" t="s">
        <v>45</v>
      </c>
    </row>
    <row r="261" spans="1:11" ht="36">
      <c r="A261" s="714" t="s">
        <v>35</v>
      </c>
      <c r="B261" s="703" t="s">
        <v>5939</v>
      </c>
      <c r="C261" s="704">
        <v>0.98888888888888893</v>
      </c>
      <c r="D261" s="703" t="s">
        <v>5942</v>
      </c>
      <c r="E261" s="704">
        <v>1.4583333333333332E-2</v>
      </c>
      <c r="F261" s="705" t="s">
        <v>3245</v>
      </c>
      <c r="G261" s="695" t="s">
        <v>3143</v>
      </c>
      <c r="H261" s="705" t="s">
        <v>3387</v>
      </c>
      <c r="I261" s="705" t="s">
        <v>5871</v>
      </c>
      <c r="J261" s="715">
        <v>0</v>
      </c>
      <c r="K261" s="715">
        <v>0</v>
      </c>
    </row>
    <row r="262" spans="1:11" ht="18">
      <c r="A262" s="716" t="s">
        <v>35</v>
      </c>
      <c r="B262" s="703" t="s">
        <v>5942</v>
      </c>
      <c r="C262" s="704">
        <v>0.91736111111111107</v>
      </c>
      <c r="D262" s="707" t="s">
        <v>5943</v>
      </c>
      <c r="E262" s="717">
        <v>0.17708333333333334</v>
      </c>
      <c r="F262" s="705" t="s">
        <v>2919</v>
      </c>
      <c r="G262" s="695" t="s">
        <v>5880</v>
      </c>
      <c r="H262" s="705" t="s">
        <v>2753</v>
      </c>
      <c r="I262" s="705" t="s">
        <v>5861</v>
      </c>
      <c r="J262" s="715" t="s">
        <v>45</v>
      </c>
      <c r="K262" s="715">
        <v>153000</v>
      </c>
    </row>
    <row r="263" spans="1:11" ht="54">
      <c r="A263" s="716" t="s">
        <v>35</v>
      </c>
      <c r="B263" s="703" t="s">
        <v>5944</v>
      </c>
      <c r="C263" s="704">
        <v>0.77638888888888891</v>
      </c>
      <c r="D263" s="703" t="s">
        <v>5944</v>
      </c>
      <c r="E263" s="704">
        <v>0.79305555555555562</v>
      </c>
      <c r="F263" s="705" t="s">
        <v>5945</v>
      </c>
      <c r="G263" s="695" t="s">
        <v>5946</v>
      </c>
      <c r="H263" s="705" t="s">
        <v>3411</v>
      </c>
      <c r="I263" s="705" t="s">
        <v>5887</v>
      </c>
      <c r="J263" s="705">
        <v>0</v>
      </c>
      <c r="K263" s="705">
        <v>0</v>
      </c>
    </row>
    <row r="264" spans="1:11" ht="63">
      <c r="A264" s="714" t="s">
        <v>35</v>
      </c>
      <c r="B264" s="703" t="s">
        <v>5943</v>
      </c>
      <c r="C264" s="704">
        <v>0.1125</v>
      </c>
      <c r="D264" s="703" t="s">
        <v>5943</v>
      </c>
      <c r="E264" s="704">
        <v>0.13402777777777777</v>
      </c>
      <c r="F264" s="705" t="s">
        <v>4185</v>
      </c>
      <c r="G264" s="695" t="s">
        <v>5880</v>
      </c>
      <c r="H264" s="705" t="s">
        <v>3402</v>
      </c>
      <c r="I264" s="705" t="s">
        <v>5890</v>
      </c>
      <c r="J264" s="705">
        <v>0</v>
      </c>
      <c r="K264" s="705">
        <v>0</v>
      </c>
    </row>
    <row r="265" spans="1:11" ht="27">
      <c r="A265" s="714" t="s">
        <v>35</v>
      </c>
      <c r="B265" s="703" t="s">
        <v>5947</v>
      </c>
      <c r="C265" s="704">
        <v>0.33611111111111108</v>
      </c>
      <c r="D265" s="707" t="s">
        <v>5948</v>
      </c>
      <c r="E265" s="704">
        <v>0.10555555555555556</v>
      </c>
      <c r="F265" s="705" t="s">
        <v>2833</v>
      </c>
      <c r="G265" s="695" t="s">
        <v>3143</v>
      </c>
      <c r="H265" s="705" t="s">
        <v>3356</v>
      </c>
      <c r="I265" s="705" t="s">
        <v>5949</v>
      </c>
      <c r="J265" s="705">
        <v>0</v>
      </c>
      <c r="K265" s="705">
        <v>0</v>
      </c>
    </row>
    <row r="266" spans="1:11" ht="27">
      <c r="A266" s="716" t="s">
        <v>35</v>
      </c>
      <c r="B266" s="703" t="s">
        <v>5947</v>
      </c>
      <c r="C266" s="704">
        <v>0.58611111111111114</v>
      </c>
      <c r="D266" s="703" t="s">
        <v>2768</v>
      </c>
      <c r="E266" s="703" t="s">
        <v>2768</v>
      </c>
      <c r="F266" s="705" t="s">
        <v>3338</v>
      </c>
      <c r="G266" s="695" t="s">
        <v>124</v>
      </c>
      <c r="H266" s="705" t="s">
        <v>3356</v>
      </c>
      <c r="I266" s="705" t="s">
        <v>5950</v>
      </c>
      <c r="J266" s="705">
        <v>0</v>
      </c>
      <c r="K266" s="705">
        <v>0</v>
      </c>
    </row>
    <row r="267" spans="1:11" ht="27">
      <c r="A267" s="714" t="s">
        <v>35</v>
      </c>
      <c r="B267" s="703" t="s">
        <v>5947</v>
      </c>
      <c r="C267" s="704">
        <v>0.36736111111111108</v>
      </c>
      <c r="D267" s="707" t="s">
        <v>5948</v>
      </c>
      <c r="E267" s="704">
        <v>0.10555555555555556</v>
      </c>
      <c r="F267" s="705" t="s">
        <v>5951</v>
      </c>
      <c r="G267" s="695" t="s">
        <v>3143</v>
      </c>
      <c r="H267" s="705" t="s">
        <v>3356</v>
      </c>
      <c r="I267" s="705" t="s">
        <v>5890</v>
      </c>
      <c r="J267" s="715" t="s">
        <v>45</v>
      </c>
      <c r="K267" s="715" t="s">
        <v>45</v>
      </c>
    </row>
    <row r="268" spans="1:11" ht="63">
      <c r="A268" s="716" t="s">
        <v>35</v>
      </c>
      <c r="B268" s="703" t="s">
        <v>5952</v>
      </c>
      <c r="C268" s="704">
        <v>0.60902777777777783</v>
      </c>
      <c r="D268" s="703" t="s">
        <v>5952</v>
      </c>
      <c r="E268" s="704">
        <v>0.65069444444444446</v>
      </c>
      <c r="F268" s="705" t="s">
        <v>5953</v>
      </c>
      <c r="G268" s="695" t="s">
        <v>3143</v>
      </c>
      <c r="H268" s="705" t="s">
        <v>3402</v>
      </c>
      <c r="I268" s="705" t="s">
        <v>5890</v>
      </c>
      <c r="J268" s="715" t="s">
        <v>45</v>
      </c>
      <c r="K268" s="715" t="s">
        <v>45</v>
      </c>
    </row>
    <row r="269" spans="1:11" ht="27">
      <c r="A269" s="714" t="s">
        <v>35</v>
      </c>
      <c r="B269" s="703" t="s">
        <v>5952</v>
      </c>
      <c r="C269" s="704">
        <v>0.51250000000000007</v>
      </c>
      <c r="D269" s="709" t="s">
        <v>5952</v>
      </c>
      <c r="E269" s="704">
        <v>0.5131944444444444</v>
      </c>
      <c r="F269" s="705" t="s">
        <v>3591</v>
      </c>
      <c r="G269" s="695" t="s">
        <v>5880</v>
      </c>
      <c r="H269" s="705" t="s">
        <v>3356</v>
      </c>
      <c r="I269" s="705" t="s">
        <v>5954</v>
      </c>
      <c r="J269" s="705">
        <v>0</v>
      </c>
      <c r="K269" s="705">
        <v>0</v>
      </c>
    </row>
    <row r="270" spans="1:11" ht="63">
      <c r="A270" s="716" t="s">
        <v>35</v>
      </c>
      <c r="B270" s="703" t="s">
        <v>5952</v>
      </c>
      <c r="C270" s="704">
        <v>0.60902777777777783</v>
      </c>
      <c r="D270" s="703" t="s">
        <v>5952</v>
      </c>
      <c r="E270" s="704">
        <v>0.65069444444444446</v>
      </c>
      <c r="F270" s="705" t="s">
        <v>5953</v>
      </c>
      <c r="G270" s="695" t="s">
        <v>3143</v>
      </c>
      <c r="H270" s="705" t="s">
        <v>3402</v>
      </c>
      <c r="I270" s="705" t="s">
        <v>5890</v>
      </c>
      <c r="J270" s="715" t="s">
        <v>45</v>
      </c>
      <c r="K270" s="715" t="s">
        <v>45</v>
      </c>
    </row>
    <row r="271" spans="1:11" ht="27">
      <c r="A271" s="714" t="s">
        <v>35</v>
      </c>
      <c r="B271" s="703" t="s">
        <v>5955</v>
      </c>
      <c r="C271" s="704">
        <v>0.2986111111111111</v>
      </c>
      <c r="D271" s="703" t="s">
        <v>2768</v>
      </c>
      <c r="E271" s="703" t="s">
        <v>2768</v>
      </c>
      <c r="F271" s="705" t="s">
        <v>3967</v>
      </c>
      <c r="G271" s="695" t="s">
        <v>124</v>
      </c>
      <c r="H271" s="705" t="s">
        <v>3356</v>
      </c>
      <c r="I271" s="705" t="s">
        <v>5956</v>
      </c>
      <c r="J271" s="715" t="s">
        <v>45</v>
      </c>
      <c r="K271" s="715" t="s">
        <v>45</v>
      </c>
    </row>
    <row r="272" spans="1:11" ht="27">
      <c r="A272" s="716" t="s">
        <v>35</v>
      </c>
      <c r="B272" s="703" t="s">
        <v>5955</v>
      </c>
      <c r="C272" s="704">
        <v>0.53263888888888888</v>
      </c>
      <c r="D272" s="703" t="s">
        <v>5957</v>
      </c>
      <c r="E272" s="704">
        <v>0.40486111111111112</v>
      </c>
      <c r="F272" s="705" t="s">
        <v>3809</v>
      </c>
      <c r="G272" s="695" t="s">
        <v>674</v>
      </c>
      <c r="H272" s="705" t="s">
        <v>3356</v>
      </c>
      <c r="I272" s="705" t="s">
        <v>5950</v>
      </c>
      <c r="J272" s="705">
        <v>0</v>
      </c>
      <c r="K272" s="705">
        <v>0</v>
      </c>
    </row>
    <row r="273" spans="1:11" ht="54">
      <c r="A273" s="714" t="s">
        <v>35</v>
      </c>
      <c r="B273" s="703" t="s">
        <v>5958</v>
      </c>
      <c r="C273" s="704">
        <v>0.30277777777777776</v>
      </c>
      <c r="D273" s="703" t="s">
        <v>5958</v>
      </c>
      <c r="E273" s="717">
        <v>0.53611111111111109</v>
      </c>
      <c r="F273" s="705" t="s">
        <v>3616</v>
      </c>
      <c r="G273" s="695" t="s">
        <v>124</v>
      </c>
      <c r="H273" s="705" t="s">
        <v>3411</v>
      </c>
      <c r="I273" s="705" t="s">
        <v>5887</v>
      </c>
      <c r="J273" s="705">
        <v>72</v>
      </c>
      <c r="K273" s="705">
        <v>6</v>
      </c>
    </row>
    <row r="274" spans="1:11" ht="27">
      <c r="A274" s="714" t="s">
        <v>35</v>
      </c>
      <c r="B274" s="703" t="s">
        <v>5959</v>
      </c>
      <c r="C274" s="704">
        <v>0.44305555555555554</v>
      </c>
      <c r="D274" s="703" t="s">
        <v>5960</v>
      </c>
      <c r="E274" s="717">
        <v>0.75</v>
      </c>
      <c r="F274" s="705" t="s">
        <v>3470</v>
      </c>
      <c r="G274" s="695" t="s">
        <v>63</v>
      </c>
      <c r="H274" s="705" t="s">
        <v>3447</v>
      </c>
      <c r="I274" s="705" t="s">
        <v>5871</v>
      </c>
      <c r="J274" s="705">
        <v>0</v>
      </c>
      <c r="K274" s="705">
        <v>0</v>
      </c>
    </row>
    <row r="275" spans="1:11" ht="54">
      <c r="A275" s="714" t="s">
        <v>35</v>
      </c>
      <c r="B275" s="703" t="s">
        <v>5960</v>
      </c>
      <c r="C275" s="704">
        <v>0.4375</v>
      </c>
      <c r="D275" s="703" t="s">
        <v>5960</v>
      </c>
      <c r="E275" s="704">
        <v>0.45277777777777778</v>
      </c>
      <c r="F275" s="705" t="s">
        <v>5961</v>
      </c>
      <c r="G275" s="695" t="s">
        <v>5880</v>
      </c>
      <c r="H275" s="705" t="s">
        <v>3411</v>
      </c>
      <c r="I275" s="705" t="s">
        <v>5887</v>
      </c>
      <c r="J275" s="705">
        <v>0</v>
      </c>
      <c r="K275" s="705">
        <v>0</v>
      </c>
    </row>
    <row r="276" spans="1:11" ht="54">
      <c r="A276" s="716" t="s">
        <v>35</v>
      </c>
      <c r="B276" s="703" t="s">
        <v>5960</v>
      </c>
      <c r="C276" s="704">
        <v>0.46527777777777773</v>
      </c>
      <c r="D276" s="703" t="s">
        <v>2768</v>
      </c>
      <c r="E276" s="703" t="s">
        <v>2768</v>
      </c>
      <c r="F276" s="705" t="s">
        <v>5962</v>
      </c>
      <c r="G276" s="695" t="s">
        <v>674</v>
      </c>
      <c r="H276" s="705" t="s">
        <v>3411</v>
      </c>
      <c r="I276" s="705" t="s">
        <v>5871</v>
      </c>
      <c r="J276" s="705">
        <v>0</v>
      </c>
      <c r="K276" s="705">
        <v>0</v>
      </c>
    </row>
    <row r="277" spans="1:11" ht="63">
      <c r="A277" s="714" t="s">
        <v>35</v>
      </c>
      <c r="B277" s="703" t="s">
        <v>5960</v>
      </c>
      <c r="C277" s="704">
        <v>0.40277777777777773</v>
      </c>
      <c r="D277" s="703" t="s">
        <v>5960</v>
      </c>
      <c r="E277" s="717">
        <v>0.40625</v>
      </c>
      <c r="F277" s="705" t="s">
        <v>5798</v>
      </c>
      <c r="G277" s="695" t="s">
        <v>3143</v>
      </c>
      <c r="H277" s="705" t="s">
        <v>3402</v>
      </c>
      <c r="I277" s="705" t="s">
        <v>5890</v>
      </c>
      <c r="J277" s="705">
        <v>0</v>
      </c>
      <c r="K277" s="705">
        <v>0</v>
      </c>
    </row>
    <row r="278" spans="1:11" ht="27">
      <c r="A278" s="714" t="s">
        <v>35</v>
      </c>
      <c r="B278" s="705" t="s">
        <v>5963</v>
      </c>
      <c r="C278" s="704">
        <v>0.33611111111111108</v>
      </c>
      <c r="D278" s="705" t="s">
        <v>5963</v>
      </c>
      <c r="E278" s="704">
        <v>0.33680555555555558</v>
      </c>
      <c r="F278" s="705" t="s">
        <v>5964</v>
      </c>
      <c r="G278" s="695" t="s">
        <v>5880</v>
      </c>
      <c r="H278" s="705" t="s">
        <v>3356</v>
      </c>
      <c r="I278" s="705" t="s">
        <v>5866</v>
      </c>
      <c r="J278" s="705">
        <v>0</v>
      </c>
      <c r="K278" s="705">
        <v>0</v>
      </c>
    </row>
    <row r="279" spans="1:11" ht="63">
      <c r="A279" s="716" t="s">
        <v>35</v>
      </c>
      <c r="B279" s="705" t="s">
        <v>5965</v>
      </c>
      <c r="C279" s="704">
        <v>9.0277777777777776E-2</v>
      </c>
      <c r="D279" s="705" t="s">
        <v>5966</v>
      </c>
      <c r="E279" s="704">
        <v>0.70833333333333337</v>
      </c>
      <c r="F279" s="705" t="s">
        <v>3598</v>
      </c>
      <c r="G279" s="695" t="s">
        <v>124</v>
      </c>
      <c r="H279" s="705" t="s">
        <v>3402</v>
      </c>
      <c r="I279" s="705" t="s">
        <v>5967</v>
      </c>
      <c r="J279" s="705">
        <v>0</v>
      </c>
      <c r="K279" s="705">
        <v>0</v>
      </c>
    </row>
    <row r="280" spans="1:11" ht="36">
      <c r="A280" s="714" t="s">
        <v>35</v>
      </c>
      <c r="B280" s="705" t="s">
        <v>5968</v>
      </c>
      <c r="C280" s="704">
        <v>0.98541666666666661</v>
      </c>
      <c r="D280" s="705" t="s">
        <v>5969</v>
      </c>
      <c r="E280" s="704">
        <v>0.7993055555555556</v>
      </c>
      <c r="F280" s="705" t="s">
        <v>5970</v>
      </c>
      <c r="G280" s="718" t="s">
        <v>5880</v>
      </c>
      <c r="H280" s="705" t="s">
        <v>3356</v>
      </c>
      <c r="I280" s="705" t="s">
        <v>5971</v>
      </c>
      <c r="J280" s="705">
        <v>0</v>
      </c>
      <c r="K280" s="705">
        <v>0</v>
      </c>
    </row>
    <row r="281" spans="1:11" ht="54">
      <c r="A281" s="716" t="s">
        <v>35</v>
      </c>
      <c r="B281" s="705" t="s">
        <v>5972</v>
      </c>
      <c r="C281" s="704">
        <v>0.47291666666666665</v>
      </c>
      <c r="D281" s="705" t="s">
        <v>5972</v>
      </c>
      <c r="E281" s="704">
        <v>0.47361111111111115</v>
      </c>
      <c r="F281" s="705" t="s">
        <v>4383</v>
      </c>
      <c r="G281" s="718" t="s">
        <v>674</v>
      </c>
      <c r="H281" s="705" t="s">
        <v>3411</v>
      </c>
      <c r="I281" s="705" t="s">
        <v>5870</v>
      </c>
      <c r="J281" s="715" t="s">
        <v>45</v>
      </c>
      <c r="K281" s="705">
        <v>26</v>
      </c>
    </row>
    <row r="282" spans="1:11" ht="63">
      <c r="A282" s="714" t="s">
        <v>35</v>
      </c>
      <c r="B282" s="705" t="s">
        <v>5972</v>
      </c>
      <c r="C282" s="704">
        <v>0.4201388888888889</v>
      </c>
      <c r="D282" s="705" t="s">
        <v>5972</v>
      </c>
      <c r="E282" s="704">
        <v>0.43055555555555558</v>
      </c>
      <c r="F282" s="705" t="s">
        <v>4928</v>
      </c>
      <c r="G282" s="719" t="s">
        <v>5880</v>
      </c>
      <c r="H282" s="705" t="s">
        <v>3402</v>
      </c>
      <c r="I282" s="705" t="s">
        <v>5890</v>
      </c>
      <c r="J282" s="705">
        <v>0</v>
      </c>
      <c r="K282" s="705">
        <v>0</v>
      </c>
    </row>
    <row r="283" spans="1:11" ht="54">
      <c r="A283" s="716" t="s">
        <v>35</v>
      </c>
      <c r="B283" s="705" t="s">
        <v>5972</v>
      </c>
      <c r="C283" s="704">
        <v>0.52847222222222223</v>
      </c>
      <c r="D283" s="705" t="s">
        <v>5972</v>
      </c>
      <c r="E283" s="704">
        <v>0.58402777777777781</v>
      </c>
      <c r="F283" s="705" t="s">
        <v>5973</v>
      </c>
      <c r="G283" s="719" t="s">
        <v>63</v>
      </c>
      <c r="H283" s="705" t="s">
        <v>3411</v>
      </c>
      <c r="I283" s="705" t="s">
        <v>5887</v>
      </c>
      <c r="J283" s="705">
        <v>140</v>
      </c>
      <c r="K283" s="705">
        <v>0</v>
      </c>
    </row>
    <row r="284" spans="1:11" ht="63">
      <c r="A284" s="714" t="s">
        <v>35</v>
      </c>
      <c r="B284" s="705" t="s">
        <v>5972</v>
      </c>
      <c r="C284" s="704">
        <v>0.4201388888888889</v>
      </c>
      <c r="D284" s="705" t="s">
        <v>5972</v>
      </c>
      <c r="E284" s="704">
        <v>0.43055555555555558</v>
      </c>
      <c r="F284" s="705" t="s">
        <v>4928</v>
      </c>
      <c r="G284" s="719" t="s">
        <v>124</v>
      </c>
      <c r="H284" s="705" t="s">
        <v>3402</v>
      </c>
      <c r="I284" s="705" t="s">
        <v>5890</v>
      </c>
      <c r="J284" s="705">
        <v>0</v>
      </c>
      <c r="K284" s="705">
        <v>0</v>
      </c>
    </row>
    <row r="285" spans="1:11" ht="63">
      <c r="A285" s="716" t="s">
        <v>35</v>
      </c>
      <c r="B285" s="705" t="s">
        <v>5969</v>
      </c>
      <c r="C285" s="704">
        <v>0.16666666666666666</v>
      </c>
      <c r="D285" s="705" t="s">
        <v>5974</v>
      </c>
      <c r="E285" s="704">
        <v>0.66666666666666663</v>
      </c>
      <c r="F285" s="705" t="s">
        <v>4430</v>
      </c>
      <c r="G285" s="719" t="s">
        <v>124</v>
      </c>
      <c r="H285" s="705" t="s">
        <v>3402</v>
      </c>
      <c r="I285" s="705" t="s">
        <v>5890</v>
      </c>
      <c r="J285" s="705">
        <v>0</v>
      </c>
      <c r="K285" s="705">
        <v>0</v>
      </c>
    </row>
    <row r="286" spans="1:11" ht="27">
      <c r="A286" s="714" t="s">
        <v>38</v>
      </c>
      <c r="B286" s="703">
        <v>45231</v>
      </c>
      <c r="C286" s="704">
        <v>0.60902777777777783</v>
      </c>
      <c r="D286" s="703" t="s">
        <v>45</v>
      </c>
      <c r="E286" s="704" t="s">
        <v>45</v>
      </c>
      <c r="F286" s="705" t="s">
        <v>4185</v>
      </c>
      <c r="G286" s="695" t="s">
        <v>5880</v>
      </c>
      <c r="H286" s="705" t="s">
        <v>3356</v>
      </c>
      <c r="I286" s="705" t="s">
        <v>5927</v>
      </c>
      <c r="J286" s="715" t="e">
        <f>[1]MyTable!N284</f>
        <v>#REF!</v>
      </c>
      <c r="K286" s="715" t="e">
        <f>[1]MyTable!O284</f>
        <v>#REF!</v>
      </c>
    </row>
    <row r="287" spans="1:11" ht="63">
      <c r="A287" s="714" t="s">
        <v>38</v>
      </c>
      <c r="B287" s="705" t="s">
        <v>5975</v>
      </c>
      <c r="C287" s="704">
        <v>0.83333333333333337</v>
      </c>
      <c r="D287" s="705" t="s">
        <v>5975</v>
      </c>
      <c r="E287" s="704">
        <v>0.83750000000000002</v>
      </c>
      <c r="F287" s="705" t="s">
        <v>5976</v>
      </c>
      <c r="G287" s="705" t="s">
        <v>63</v>
      </c>
      <c r="H287" s="705" t="s">
        <v>3402</v>
      </c>
      <c r="I287" s="705" t="s">
        <v>5890</v>
      </c>
      <c r="J287" s="705" t="e">
        <f>[1]MyTable!N312</f>
        <v>#REF!</v>
      </c>
      <c r="K287" s="705" t="e">
        <f>[1]MyTable!O312</f>
        <v>#REF!</v>
      </c>
    </row>
    <row r="288" spans="1:11" ht="45">
      <c r="A288" s="714" t="s">
        <v>38</v>
      </c>
      <c r="B288" s="705" t="s">
        <v>5975</v>
      </c>
      <c r="C288" s="704">
        <v>0.46527777777777773</v>
      </c>
      <c r="D288" s="705" t="s">
        <v>5975</v>
      </c>
      <c r="E288" s="704">
        <v>0.47222222222222227</v>
      </c>
      <c r="F288" s="705" t="s">
        <v>5977</v>
      </c>
      <c r="G288" s="705" t="s">
        <v>124</v>
      </c>
      <c r="H288" s="705" t="s">
        <v>2910</v>
      </c>
      <c r="I288" s="705" t="s">
        <v>5978</v>
      </c>
      <c r="J288" s="705" t="e">
        <f>[1]MyTable!N313</f>
        <v>#REF!</v>
      </c>
      <c r="K288" s="705" t="e">
        <f>[1]MyTable!O313</f>
        <v>#REF!</v>
      </c>
    </row>
    <row r="289" spans="1:11" ht="27">
      <c r="A289" s="714" t="s">
        <v>38</v>
      </c>
      <c r="B289" s="705" t="s">
        <v>5979</v>
      </c>
      <c r="C289" s="704">
        <v>0.66666666666666663</v>
      </c>
      <c r="D289" s="705" t="s">
        <v>5979</v>
      </c>
      <c r="E289" s="704">
        <v>0.70833333333333337</v>
      </c>
      <c r="F289" s="705" t="s">
        <v>3405</v>
      </c>
      <c r="G289" s="719" t="s">
        <v>124</v>
      </c>
      <c r="H289" s="705" t="s">
        <v>3356</v>
      </c>
      <c r="I289" s="705" t="s">
        <v>5949</v>
      </c>
      <c r="J289" s="705" t="e">
        <f>[1]MyTable!N310</f>
        <v>#REF!</v>
      </c>
      <c r="K289" s="705" t="e">
        <f>[1]MyTable!O310</f>
        <v>#REF!</v>
      </c>
    </row>
    <row r="290" spans="1:11" ht="27">
      <c r="A290" s="714" t="s">
        <v>38</v>
      </c>
      <c r="B290" s="703" t="s">
        <v>5980</v>
      </c>
      <c r="C290" s="704">
        <v>0.56597222222222221</v>
      </c>
      <c r="D290" s="703">
        <v>45239</v>
      </c>
      <c r="E290" s="704">
        <v>0.60763888888888895</v>
      </c>
      <c r="F290" s="705" t="s">
        <v>5981</v>
      </c>
      <c r="G290" s="695" t="s">
        <v>5982</v>
      </c>
      <c r="H290" s="705" t="s">
        <v>3447</v>
      </c>
      <c r="I290" s="705" t="s">
        <v>5887</v>
      </c>
      <c r="J290" s="715" t="e">
        <f>[1]MyTable!N293</f>
        <v>#REF!</v>
      </c>
      <c r="K290" s="715" t="e">
        <f>[1]MyTable!O293</f>
        <v>#REF!</v>
      </c>
    </row>
    <row r="291" spans="1:11" ht="45">
      <c r="A291" s="714" t="s">
        <v>38</v>
      </c>
      <c r="B291" s="705" t="s">
        <v>5980</v>
      </c>
      <c r="C291" s="704">
        <v>0.125</v>
      </c>
      <c r="D291" s="705" t="s">
        <v>5980</v>
      </c>
      <c r="E291" s="704">
        <v>0.13541666666666666</v>
      </c>
      <c r="F291" s="705" t="s">
        <v>3397</v>
      </c>
      <c r="G291" s="718" t="s">
        <v>124</v>
      </c>
      <c r="H291" s="705" t="s">
        <v>2910</v>
      </c>
      <c r="I291" s="705" t="s">
        <v>5950</v>
      </c>
      <c r="J291" s="705" t="e">
        <f>[1]MyTable!N305</f>
        <v>#REF!</v>
      </c>
      <c r="K291" s="705" t="e">
        <f>[1]MyTable!O305</f>
        <v>#REF!</v>
      </c>
    </row>
    <row r="292" spans="1:11" ht="45">
      <c r="A292" s="714" t="s">
        <v>38</v>
      </c>
      <c r="B292" s="705" t="s">
        <v>5983</v>
      </c>
      <c r="C292" s="704">
        <v>0.75694444444444453</v>
      </c>
      <c r="D292" s="705" t="s">
        <v>5983</v>
      </c>
      <c r="E292" s="704">
        <v>0.83194444444444438</v>
      </c>
      <c r="F292" s="705" t="s">
        <v>3965</v>
      </c>
      <c r="G292" s="695" t="s">
        <v>3143</v>
      </c>
      <c r="H292" s="705" t="s">
        <v>2910</v>
      </c>
      <c r="I292" s="705" t="s">
        <v>5890</v>
      </c>
      <c r="J292" s="705" t="e">
        <f>[1]MyTable!N304</f>
        <v>#REF!</v>
      </c>
      <c r="K292" s="705" t="e">
        <f>[1]MyTable!O304</f>
        <v>#REF!</v>
      </c>
    </row>
    <row r="293" spans="1:11" ht="63">
      <c r="A293" s="714" t="s">
        <v>38</v>
      </c>
      <c r="B293" s="705" t="s">
        <v>5983</v>
      </c>
      <c r="C293" s="704">
        <v>0.75694444444444453</v>
      </c>
      <c r="D293" s="705" t="s">
        <v>5983</v>
      </c>
      <c r="E293" s="704">
        <v>0.83194444444444438</v>
      </c>
      <c r="F293" s="705" t="s">
        <v>3215</v>
      </c>
      <c r="G293" s="718" t="s">
        <v>3143</v>
      </c>
      <c r="H293" s="705" t="s">
        <v>3402</v>
      </c>
      <c r="I293" s="705" t="s">
        <v>5890</v>
      </c>
      <c r="J293" s="715" t="e">
        <f>[1]MyTable!N306</f>
        <v>#REF!</v>
      </c>
      <c r="K293" s="705" t="e">
        <f>[1]MyTable!O306</f>
        <v>#REF!</v>
      </c>
    </row>
    <row r="294" spans="1:11" ht="63">
      <c r="A294" s="714" t="s">
        <v>38</v>
      </c>
      <c r="B294" s="705" t="s">
        <v>5983</v>
      </c>
      <c r="C294" s="704">
        <v>0.33333333333333331</v>
      </c>
      <c r="D294" s="705" t="s">
        <v>5983</v>
      </c>
      <c r="E294" s="704">
        <v>0.33402777777777781</v>
      </c>
      <c r="F294" s="705" t="s">
        <v>4430</v>
      </c>
      <c r="G294" s="719" t="s">
        <v>124</v>
      </c>
      <c r="H294" s="705" t="s">
        <v>3402</v>
      </c>
      <c r="I294" s="705" t="s">
        <v>5941</v>
      </c>
      <c r="J294" s="705" t="e">
        <f>[1]MyTable!N308</f>
        <v>#REF!</v>
      </c>
      <c r="K294" s="705" t="e">
        <f>[1]MyTable!O308</f>
        <v>#REF!</v>
      </c>
    </row>
    <row r="295" spans="1:11" ht="45">
      <c r="A295" s="714" t="s">
        <v>38</v>
      </c>
      <c r="B295" s="705" t="s">
        <v>5984</v>
      </c>
      <c r="C295" s="704">
        <v>3.125E-2</v>
      </c>
      <c r="D295" s="705" t="s">
        <v>5984</v>
      </c>
      <c r="E295" s="704">
        <v>4.9305555555555554E-2</v>
      </c>
      <c r="F295" s="705" t="s">
        <v>3600</v>
      </c>
      <c r="G295" s="719" t="s">
        <v>124</v>
      </c>
      <c r="H295" s="705" t="s">
        <v>2910</v>
      </c>
      <c r="I295" s="705" t="s">
        <v>5866</v>
      </c>
      <c r="J295" s="705" t="e">
        <f>[1]MyTable!N307</f>
        <v>#REF!</v>
      </c>
      <c r="K295" s="705" t="e">
        <f>[1]MyTable!O307</f>
        <v>#REF!</v>
      </c>
    </row>
    <row r="296" spans="1:11" ht="27">
      <c r="A296" s="714" t="s">
        <v>38</v>
      </c>
      <c r="B296" s="703" t="s">
        <v>5985</v>
      </c>
      <c r="C296" s="704">
        <v>0.28125</v>
      </c>
      <c r="D296" s="703" t="s">
        <v>5985</v>
      </c>
      <c r="E296" s="717">
        <v>0.3743055555555555</v>
      </c>
      <c r="F296" s="705" t="s">
        <v>2801</v>
      </c>
      <c r="G296" s="695" t="s">
        <v>124</v>
      </c>
      <c r="H296" s="705" t="s">
        <v>3356</v>
      </c>
      <c r="I296" s="705" t="s">
        <v>5887</v>
      </c>
      <c r="J296" s="705" t="e">
        <f>[1]MyTable!N302</f>
        <v>#REF!</v>
      </c>
      <c r="K296" s="705" t="e">
        <f>[1]MyTable!O302</f>
        <v>#REF!</v>
      </c>
    </row>
    <row r="297" spans="1:11" ht="54">
      <c r="A297" s="714" t="s">
        <v>38</v>
      </c>
      <c r="B297" s="705" t="s">
        <v>5986</v>
      </c>
      <c r="C297" s="704">
        <v>0.6777777777777777</v>
      </c>
      <c r="D297" s="705" t="s">
        <v>5986</v>
      </c>
      <c r="E297" s="704">
        <v>0.69166666666666676</v>
      </c>
      <c r="F297" s="705" t="s">
        <v>4057</v>
      </c>
      <c r="G297" s="695" t="s">
        <v>674</v>
      </c>
      <c r="H297" s="705" t="s">
        <v>3411</v>
      </c>
      <c r="I297" s="705" t="s">
        <v>5887</v>
      </c>
      <c r="J297" s="705" t="e">
        <f>[1]MyTable!N303</f>
        <v>#REF!</v>
      </c>
      <c r="K297" s="705" t="e">
        <f>[1]MyTable!O303</f>
        <v>#REF!</v>
      </c>
    </row>
    <row r="298" spans="1:11" ht="27">
      <c r="A298" s="714" t="s">
        <v>38</v>
      </c>
      <c r="B298" s="703" t="s">
        <v>5987</v>
      </c>
      <c r="C298" s="704">
        <v>0.83333333333333337</v>
      </c>
      <c r="D298" s="703" t="s">
        <v>5988</v>
      </c>
      <c r="E298" s="704">
        <v>0.85416666666666663</v>
      </c>
      <c r="F298" s="705" t="s">
        <v>2920</v>
      </c>
      <c r="G298" s="695" t="s">
        <v>124</v>
      </c>
      <c r="H298" s="705" t="s">
        <v>2780</v>
      </c>
      <c r="I298" s="705" t="s">
        <v>5989</v>
      </c>
      <c r="J298" s="705" t="e">
        <f>[1]MyTable!N300</f>
        <v>#REF!</v>
      </c>
      <c r="K298" s="705" t="e">
        <f>[1]MyTable!O300</f>
        <v>#REF!</v>
      </c>
    </row>
    <row r="299" spans="1:11" ht="27">
      <c r="A299" s="714" t="s">
        <v>38</v>
      </c>
      <c r="B299" s="703" t="s">
        <v>5988</v>
      </c>
      <c r="C299" s="704">
        <v>0.13749999999999998</v>
      </c>
      <c r="D299" s="703" t="s">
        <v>45</v>
      </c>
      <c r="E299" s="703" t="s">
        <v>45</v>
      </c>
      <c r="F299" s="705" t="s">
        <v>5990</v>
      </c>
      <c r="G299" s="695" t="s">
        <v>63</v>
      </c>
      <c r="H299" s="705" t="s">
        <v>2753</v>
      </c>
      <c r="I299" s="705" t="s">
        <v>5861</v>
      </c>
      <c r="J299" s="705" t="e">
        <f>[1]MyTable!N291</f>
        <v>#REF!</v>
      </c>
      <c r="K299" s="705" t="e">
        <f>[1]MyTable!O291</f>
        <v>#REF!</v>
      </c>
    </row>
    <row r="300" spans="1:11" ht="63">
      <c r="A300" s="714" t="s">
        <v>38</v>
      </c>
      <c r="B300" s="703" t="s">
        <v>5991</v>
      </c>
      <c r="C300" s="704">
        <v>7.1527777777777787E-2</v>
      </c>
      <c r="D300" s="707" t="s">
        <v>5991</v>
      </c>
      <c r="E300" s="704">
        <v>0.14791666666666667</v>
      </c>
      <c r="F300" s="705" t="s">
        <v>3338</v>
      </c>
      <c r="G300" s="695" t="s">
        <v>124</v>
      </c>
      <c r="H300" s="705" t="s">
        <v>3402</v>
      </c>
      <c r="I300" s="705" t="s">
        <v>5887</v>
      </c>
      <c r="J300" s="715" t="e">
        <f>[1]MyTable!N292</f>
        <v>#REF!</v>
      </c>
      <c r="K300" s="715" t="e">
        <f>[1]MyTable!O292</f>
        <v>#REF!</v>
      </c>
    </row>
    <row r="301" spans="1:11" ht="27">
      <c r="A301" s="714" t="s">
        <v>38</v>
      </c>
      <c r="B301" s="703" t="s">
        <v>5991</v>
      </c>
      <c r="C301" s="704">
        <v>0.6875</v>
      </c>
      <c r="D301" s="703">
        <v>45247</v>
      </c>
      <c r="E301" s="704" t="s">
        <v>5992</v>
      </c>
      <c r="F301" s="705" t="s">
        <v>4185</v>
      </c>
      <c r="G301" s="695" t="s">
        <v>5880</v>
      </c>
      <c r="H301" s="705" t="s">
        <v>3356</v>
      </c>
      <c r="I301" s="705" t="s">
        <v>5871</v>
      </c>
      <c r="J301" s="715" t="e">
        <f>[1]MyTable!N295</f>
        <v>#REF!</v>
      </c>
      <c r="K301" s="715" t="e">
        <f>[1]MyTable!O295</f>
        <v>#REF!</v>
      </c>
    </row>
    <row r="302" spans="1:11" ht="54">
      <c r="A302" s="714" t="s">
        <v>38</v>
      </c>
      <c r="B302" s="703" t="s">
        <v>5991</v>
      </c>
      <c r="C302" s="704">
        <v>0.17152777777777775</v>
      </c>
      <c r="D302" s="703" t="s">
        <v>5991</v>
      </c>
      <c r="E302" s="704">
        <v>0.18124999999999999</v>
      </c>
      <c r="F302" s="705" t="s">
        <v>5993</v>
      </c>
      <c r="G302" s="695" t="s">
        <v>124</v>
      </c>
      <c r="H302" s="705" t="s">
        <v>3411</v>
      </c>
      <c r="I302" s="705" t="s">
        <v>5887</v>
      </c>
      <c r="J302" s="705" t="e">
        <f>[1]MyTable!N297</f>
        <v>#REF!</v>
      </c>
      <c r="K302" s="705" t="e">
        <f>[1]MyTable!O297</f>
        <v>#REF!</v>
      </c>
    </row>
    <row r="303" spans="1:11" ht="27">
      <c r="A303" s="714" t="s">
        <v>38</v>
      </c>
      <c r="B303" s="703" t="s">
        <v>5994</v>
      </c>
      <c r="C303" s="704">
        <v>0.19375000000000001</v>
      </c>
      <c r="D303" s="709" t="s">
        <v>45</v>
      </c>
      <c r="E303" s="704" t="s">
        <v>45</v>
      </c>
      <c r="F303" s="705" t="s">
        <v>5964</v>
      </c>
      <c r="G303" s="695" t="s">
        <v>124</v>
      </c>
      <c r="H303" s="705" t="s">
        <v>3356</v>
      </c>
      <c r="I303" s="705" t="s">
        <v>5866</v>
      </c>
      <c r="J303" s="705" t="e">
        <f>[1]MyTable!N294</f>
        <v>#REF!</v>
      </c>
      <c r="K303" s="705" t="e">
        <f>[1]MyTable!O294</f>
        <v>#REF!</v>
      </c>
    </row>
    <row r="304" spans="1:11" ht="63">
      <c r="A304" s="714" t="s">
        <v>38</v>
      </c>
      <c r="B304" s="703" t="s">
        <v>5994</v>
      </c>
      <c r="C304" s="704">
        <v>0.58333333333333337</v>
      </c>
      <c r="D304" s="703" t="s">
        <v>5994</v>
      </c>
      <c r="E304" s="717">
        <v>0.59027777777777779</v>
      </c>
      <c r="F304" s="705" t="s">
        <v>5923</v>
      </c>
      <c r="G304" s="695" t="s">
        <v>63</v>
      </c>
      <c r="H304" s="705" t="s">
        <v>3402</v>
      </c>
      <c r="I304" s="705" t="s">
        <v>5890</v>
      </c>
      <c r="J304" s="705" t="e">
        <f>[1]MyTable!N298</f>
        <v>#REF!</v>
      </c>
      <c r="K304" s="705" t="e">
        <f>[1]MyTable!O298</f>
        <v>#REF!</v>
      </c>
    </row>
    <row r="305" spans="1:11" ht="63">
      <c r="A305" s="714" t="s">
        <v>38</v>
      </c>
      <c r="B305" s="703" t="s">
        <v>5994</v>
      </c>
      <c r="C305" s="704">
        <v>0.125</v>
      </c>
      <c r="D305" s="703" t="s">
        <v>5994</v>
      </c>
      <c r="E305" s="717">
        <v>0.14583333333333334</v>
      </c>
      <c r="F305" s="705" t="s">
        <v>3885</v>
      </c>
      <c r="G305" s="695" t="s">
        <v>3143</v>
      </c>
      <c r="H305" s="705" t="s">
        <v>3402</v>
      </c>
      <c r="I305" s="705" t="s">
        <v>5978</v>
      </c>
      <c r="J305" s="705" t="e">
        <f>[1]MyTable!N299</f>
        <v>#REF!</v>
      </c>
      <c r="K305" s="705" t="e">
        <f>[1]MyTable!O299</f>
        <v>#REF!</v>
      </c>
    </row>
    <row r="306" spans="1:11" ht="63">
      <c r="A306" s="714" t="s">
        <v>38</v>
      </c>
      <c r="B306" s="703" t="s">
        <v>5995</v>
      </c>
      <c r="C306" s="704">
        <v>0</v>
      </c>
      <c r="D306" s="703">
        <v>45250</v>
      </c>
      <c r="E306" s="720">
        <v>8.3333333333333329E-2</v>
      </c>
      <c r="F306" s="705" t="s">
        <v>4430</v>
      </c>
      <c r="G306" s="695" t="s">
        <v>124</v>
      </c>
      <c r="H306" s="705" t="s">
        <v>3402</v>
      </c>
      <c r="I306" s="705" t="s">
        <v>5996</v>
      </c>
      <c r="J306" s="715" t="e">
        <f>[1]MyTable!N296</f>
        <v>#REF!</v>
      </c>
      <c r="K306" s="715" t="e">
        <f>[1]MyTable!O296</f>
        <v>#REF!</v>
      </c>
    </row>
    <row r="307" spans="1:11" ht="27">
      <c r="A307" s="714" t="s">
        <v>38</v>
      </c>
      <c r="B307" s="703" t="s">
        <v>5997</v>
      </c>
      <c r="C307" s="704">
        <v>0.39513888888888887</v>
      </c>
      <c r="D307" s="703" t="s">
        <v>5997</v>
      </c>
      <c r="E307" s="704">
        <v>0.39583333333333331</v>
      </c>
      <c r="F307" s="705" t="s">
        <v>5964</v>
      </c>
      <c r="G307" s="695" t="s">
        <v>124</v>
      </c>
      <c r="H307" s="705" t="s">
        <v>3356</v>
      </c>
      <c r="I307" s="705" t="s">
        <v>5978</v>
      </c>
      <c r="J307" s="715" t="e">
        <f>[1]MyTable!N285</f>
        <v>#REF!</v>
      </c>
      <c r="K307" s="715" t="e">
        <f>[1]MyTable!O285</f>
        <v>#REF!</v>
      </c>
    </row>
    <row r="308" spans="1:11" ht="36">
      <c r="A308" s="714" t="s">
        <v>38</v>
      </c>
      <c r="B308" s="703" t="s">
        <v>5998</v>
      </c>
      <c r="C308" s="704">
        <v>0.43055555555555558</v>
      </c>
      <c r="D308" s="707" t="s">
        <v>45</v>
      </c>
      <c r="E308" s="717" t="s">
        <v>45</v>
      </c>
      <c r="F308" s="705" t="s">
        <v>2849</v>
      </c>
      <c r="G308" s="695" t="s">
        <v>124</v>
      </c>
      <c r="H308" s="705" t="s">
        <v>5999</v>
      </c>
      <c r="I308" s="705" t="s">
        <v>5871</v>
      </c>
      <c r="J308" s="715" t="e">
        <f>[1]MyTable!N287</f>
        <v>#REF!</v>
      </c>
      <c r="K308" s="715" t="e">
        <f>[1]MyTable!O287</f>
        <v>#REF!</v>
      </c>
    </row>
    <row r="309" spans="1:11" ht="27">
      <c r="A309" s="714" t="s">
        <v>38</v>
      </c>
      <c r="B309" s="703" t="s">
        <v>6000</v>
      </c>
      <c r="C309" s="704">
        <v>4.1666666666666664E-2</v>
      </c>
      <c r="D309" s="703" t="s">
        <v>6000</v>
      </c>
      <c r="E309" s="704">
        <v>8.3333333333333329E-2</v>
      </c>
      <c r="F309" s="705" t="s">
        <v>6001</v>
      </c>
      <c r="G309" s="695" t="s">
        <v>124</v>
      </c>
      <c r="H309" s="705" t="s">
        <v>3356</v>
      </c>
      <c r="I309" s="705" t="s">
        <v>6002</v>
      </c>
      <c r="J309" s="715" t="e">
        <f>[1]MyTable!N286</f>
        <v>#REF!</v>
      </c>
      <c r="K309" s="715" t="e">
        <f>[1]MyTable!O286</f>
        <v>#REF!</v>
      </c>
    </row>
    <row r="310" spans="1:11" ht="45">
      <c r="A310" s="714" t="s">
        <v>38</v>
      </c>
      <c r="B310" s="703" t="s">
        <v>6003</v>
      </c>
      <c r="C310" s="704">
        <v>0.25</v>
      </c>
      <c r="D310" s="703" t="s">
        <v>6003</v>
      </c>
      <c r="E310" s="704">
        <v>0.54166666666666663</v>
      </c>
      <c r="F310" s="705" t="s">
        <v>5925</v>
      </c>
      <c r="G310" s="695" t="s">
        <v>61</v>
      </c>
      <c r="H310" s="705" t="s">
        <v>2753</v>
      </c>
      <c r="I310" s="705" t="s">
        <v>5861</v>
      </c>
      <c r="J310" s="715" t="e">
        <f>[1]MyTable!N288</f>
        <v>#REF!</v>
      </c>
      <c r="K310" s="715" t="e">
        <f>[1]MyTable!O288</f>
        <v>#REF!</v>
      </c>
    </row>
    <row r="311" spans="1:11" ht="54">
      <c r="A311" s="714" t="s">
        <v>38</v>
      </c>
      <c r="B311" s="703" t="s">
        <v>6003</v>
      </c>
      <c r="C311" s="704">
        <v>0.49513888888888885</v>
      </c>
      <c r="D311" s="703" t="s">
        <v>6003</v>
      </c>
      <c r="E311" s="704">
        <v>0.57847222222222217</v>
      </c>
      <c r="F311" s="705" t="s">
        <v>2900</v>
      </c>
      <c r="G311" s="695" t="s">
        <v>124</v>
      </c>
      <c r="H311" s="705" t="s">
        <v>3411</v>
      </c>
      <c r="I311" s="705" t="s">
        <v>5887</v>
      </c>
      <c r="J311" s="705" t="e">
        <f>[1]MyTable!N289</f>
        <v>#REF!</v>
      </c>
      <c r="K311" s="705" t="e">
        <f>[1]MyTable!O289</f>
        <v>#REF!</v>
      </c>
    </row>
    <row r="312" spans="1:11" ht="45">
      <c r="A312" s="714" t="s">
        <v>38</v>
      </c>
      <c r="B312" s="703" t="s">
        <v>6004</v>
      </c>
      <c r="C312" s="704">
        <v>0.375</v>
      </c>
      <c r="D312" s="707" t="s">
        <v>45</v>
      </c>
      <c r="E312" s="704" t="s">
        <v>45</v>
      </c>
      <c r="F312" s="705" t="s">
        <v>6005</v>
      </c>
      <c r="G312" s="695" t="s">
        <v>5880</v>
      </c>
      <c r="H312" s="705" t="s">
        <v>3356</v>
      </c>
      <c r="I312" s="705" t="s">
        <v>6006</v>
      </c>
      <c r="J312" s="705" t="e">
        <f>[1]MyTable!N290</f>
        <v>#REF!</v>
      </c>
      <c r="K312" s="705" t="e">
        <f>[1]MyTable!O290</f>
        <v>#REF!</v>
      </c>
    </row>
    <row r="313" spans="1:11" ht="27">
      <c r="A313" s="714" t="s">
        <v>47</v>
      </c>
      <c r="B313" s="703">
        <v>45261</v>
      </c>
      <c r="C313" s="704">
        <v>0.43611111111111112</v>
      </c>
      <c r="D313" s="703">
        <v>45261</v>
      </c>
      <c r="E313" s="704">
        <v>0.4368055555555555</v>
      </c>
      <c r="F313" s="705" t="s">
        <v>6007</v>
      </c>
      <c r="G313" s="695" t="s">
        <v>124</v>
      </c>
      <c r="H313" s="695" t="s">
        <v>3356</v>
      </c>
      <c r="I313" s="695" t="s">
        <v>5950</v>
      </c>
      <c r="J313" s="721">
        <v>0</v>
      </c>
      <c r="K313" s="721">
        <v>0</v>
      </c>
    </row>
    <row r="314" spans="1:11" ht="36">
      <c r="A314" s="714" t="s">
        <v>47</v>
      </c>
      <c r="B314" s="703">
        <v>45262</v>
      </c>
      <c r="C314" s="722">
        <v>0.42152777777777778</v>
      </c>
      <c r="D314" s="703">
        <v>45262</v>
      </c>
      <c r="E314" s="723">
        <v>0.44444444444444442</v>
      </c>
      <c r="F314" s="705" t="s">
        <v>6008</v>
      </c>
      <c r="G314" s="695" t="s">
        <v>63</v>
      </c>
      <c r="H314" s="695" t="s">
        <v>3387</v>
      </c>
      <c r="I314" s="695" t="s">
        <v>5887</v>
      </c>
      <c r="J314" s="695">
        <v>0</v>
      </c>
      <c r="K314" s="695">
        <v>0</v>
      </c>
    </row>
    <row r="315" spans="1:11" ht="27">
      <c r="A315" s="714" t="s">
        <v>47</v>
      </c>
      <c r="B315" s="703">
        <v>45263</v>
      </c>
      <c r="C315" s="722">
        <v>0.18541666666666667</v>
      </c>
      <c r="D315" s="705" t="s">
        <v>5871</v>
      </c>
      <c r="E315" s="704" t="s">
        <v>5871</v>
      </c>
      <c r="F315" s="705" t="s">
        <v>6009</v>
      </c>
      <c r="G315" s="695" t="s">
        <v>124</v>
      </c>
      <c r="H315" s="695" t="s">
        <v>3356</v>
      </c>
      <c r="I315" s="695" t="s">
        <v>5950</v>
      </c>
      <c r="J315" s="695">
        <v>0</v>
      </c>
      <c r="K315" s="695">
        <v>0</v>
      </c>
    </row>
    <row r="316" spans="1:11" ht="27">
      <c r="A316" s="714" t="s">
        <v>47</v>
      </c>
      <c r="B316" s="703">
        <v>45263</v>
      </c>
      <c r="C316" s="704">
        <v>0.18541666666666667</v>
      </c>
      <c r="D316" s="703">
        <v>45267</v>
      </c>
      <c r="E316" s="723">
        <v>0.75</v>
      </c>
      <c r="F316" s="705" t="s">
        <v>6010</v>
      </c>
      <c r="G316" s="719" t="s">
        <v>124</v>
      </c>
      <c r="H316" s="695" t="s">
        <v>3356</v>
      </c>
      <c r="I316" s="695" t="s">
        <v>5950</v>
      </c>
      <c r="J316" s="695">
        <v>0</v>
      </c>
      <c r="K316" s="695">
        <v>0</v>
      </c>
    </row>
    <row r="317" spans="1:11" ht="27">
      <c r="A317" s="714" t="s">
        <v>47</v>
      </c>
      <c r="B317" s="703">
        <v>45264</v>
      </c>
      <c r="C317" s="704">
        <v>0</v>
      </c>
      <c r="D317" s="703" t="s">
        <v>5871</v>
      </c>
      <c r="E317" s="704" t="s">
        <v>5871</v>
      </c>
      <c r="F317" s="705" t="s">
        <v>6011</v>
      </c>
      <c r="G317" s="695" t="s">
        <v>124</v>
      </c>
      <c r="H317" s="695" t="s">
        <v>3356</v>
      </c>
      <c r="I317" s="695" t="s">
        <v>5950</v>
      </c>
      <c r="J317" s="721">
        <v>0</v>
      </c>
      <c r="K317" s="721">
        <v>0</v>
      </c>
    </row>
    <row r="318" spans="1:11" ht="54">
      <c r="A318" s="714" t="s">
        <v>47</v>
      </c>
      <c r="B318" s="703">
        <v>45264</v>
      </c>
      <c r="C318" s="704">
        <v>0.43263888888888885</v>
      </c>
      <c r="D318" s="703">
        <v>45264</v>
      </c>
      <c r="E318" s="704">
        <v>0.57361111111111118</v>
      </c>
      <c r="F318" s="705" t="s">
        <v>6012</v>
      </c>
      <c r="G318" s="718" t="s">
        <v>63</v>
      </c>
      <c r="H318" s="695" t="s">
        <v>5099</v>
      </c>
      <c r="I318" s="695" t="s">
        <v>6013</v>
      </c>
      <c r="J318" s="695">
        <v>0</v>
      </c>
      <c r="K318" s="695">
        <v>0</v>
      </c>
    </row>
    <row r="319" spans="1:11" ht="63">
      <c r="A319" s="714" t="s">
        <v>47</v>
      </c>
      <c r="B319" s="703">
        <v>45265</v>
      </c>
      <c r="C319" s="704">
        <v>0.96597222222222223</v>
      </c>
      <c r="D319" s="703">
        <v>45266</v>
      </c>
      <c r="E319" s="704">
        <v>8.3333333333333332E-3</v>
      </c>
      <c r="F319" s="705" t="s">
        <v>6014</v>
      </c>
      <c r="G319" s="695" t="s">
        <v>3143</v>
      </c>
      <c r="H319" s="695" t="s">
        <v>6015</v>
      </c>
      <c r="I319" s="695" t="s">
        <v>5950</v>
      </c>
      <c r="J319" s="695">
        <v>0</v>
      </c>
      <c r="K319" s="695">
        <v>0</v>
      </c>
    </row>
    <row r="320" spans="1:11" ht="27">
      <c r="A320" s="714" t="s">
        <v>47</v>
      </c>
      <c r="B320" s="703">
        <v>45267</v>
      </c>
      <c r="C320" s="704">
        <v>0.41111111111111115</v>
      </c>
      <c r="D320" s="703">
        <v>45267</v>
      </c>
      <c r="E320" s="704">
        <v>0.41180555555555554</v>
      </c>
      <c r="F320" s="705" t="s">
        <v>6016</v>
      </c>
      <c r="G320" s="718" t="s">
        <v>63</v>
      </c>
      <c r="H320" s="695" t="s">
        <v>3356</v>
      </c>
      <c r="I320" s="695" t="s">
        <v>5949</v>
      </c>
      <c r="J320" s="721">
        <v>0</v>
      </c>
      <c r="K320" s="695">
        <v>0</v>
      </c>
    </row>
    <row r="321" spans="1:11" ht="36">
      <c r="A321" s="714" t="s">
        <v>47</v>
      </c>
      <c r="B321" s="703">
        <v>45267</v>
      </c>
      <c r="C321" s="704">
        <v>0.4368055555555555</v>
      </c>
      <c r="D321" s="703">
        <v>45267</v>
      </c>
      <c r="E321" s="704">
        <v>0.54513888888888895</v>
      </c>
      <c r="F321" s="705" t="s">
        <v>6017</v>
      </c>
      <c r="G321" s="719" t="s">
        <v>61</v>
      </c>
      <c r="H321" s="695" t="s">
        <v>3387</v>
      </c>
      <c r="I321" s="695" t="s">
        <v>5887</v>
      </c>
      <c r="J321" s="695">
        <v>0</v>
      </c>
      <c r="K321" s="695">
        <v>0</v>
      </c>
    </row>
    <row r="322" spans="1:11" ht="63">
      <c r="A322" s="714" t="s">
        <v>47</v>
      </c>
      <c r="B322" s="703">
        <v>45269</v>
      </c>
      <c r="C322" s="704">
        <v>0.46388888888888885</v>
      </c>
      <c r="D322" s="703">
        <v>45269</v>
      </c>
      <c r="E322" s="704">
        <v>0.46666666666666662</v>
      </c>
      <c r="F322" s="705" t="s">
        <v>6018</v>
      </c>
      <c r="G322" s="719" t="s">
        <v>4935</v>
      </c>
      <c r="H322" s="695" t="s">
        <v>3402</v>
      </c>
      <c r="I322" s="695" t="s">
        <v>5890</v>
      </c>
      <c r="J322" s="695">
        <v>0</v>
      </c>
      <c r="K322" s="695">
        <v>0</v>
      </c>
    </row>
    <row r="323" spans="1:11" ht="72">
      <c r="A323" s="714" t="s">
        <v>47</v>
      </c>
      <c r="B323" s="703">
        <v>45271</v>
      </c>
      <c r="C323" s="704">
        <v>0</v>
      </c>
      <c r="D323" s="703">
        <v>45271</v>
      </c>
      <c r="E323" s="717">
        <v>0.5</v>
      </c>
      <c r="F323" s="705" t="s">
        <v>6019</v>
      </c>
      <c r="G323" s="695" t="s">
        <v>124</v>
      </c>
      <c r="H323" s="695" t="s">
        <v>3874</v>
      </c>
      <c r="I323" s="695" t="s">
        <v>6020</v>
      </c>
      <c r="J323" s="695">
        <v>0</v>
      </c>
      <c r="K323" s="695">
        <v>0</v>
      </c>
    </row>
    <row r="324" spans="1:11" ht="27">
      <c r="A324" s="714" t="s">
        <v>47</v>
      </c>
      <c r="B324" s="703">
        <v>45271</v>
      </c>
      <c r="C324" s="704">
        <v>0.58611111111111114</v>
      </c>
      <c r="D324" s="703">
        <v>45272</v>
      </c>
      <c r="E324" s="704">
        <v>0.60763888888888895</v>
      </c>
      <c r="F324" s="705" t="s">
        <v>6021</v>
      </c>
      <c r="G324" s="719" t="s">
        <v>124</v>
      </c>
      <c r="H324" s="695" t="s">
        <v>3356</v>
      </c>
      <c r="I324" s="695" t="s">
        <v>5866</v>
      </c>
      <c r="J324" s="695">
        <v>0</v>
      </c>
      <c r="K324" s="695">
        <v>0</v>
      </c>
    </row>
    <row r="325" spans="1:11" ht="27">
      <c r="A325" s="714" t="s">
        <v>47</v>
      </c>
      <c r="B325" s="703">
        <v>45271</v>
      </c>
      <c r="C325" s="704">
        <v>0.58611111111111114</v>
      </c>
      <c r="D325" s="703">
        <v>45272</v>
      </c>
      <c r="E325" s="704">
        <v>0.60763888888888895</v>
      </c>
      <c r="F325" s="705" t="s">
        <v>6021</v>
      </c>
      <c r="G325" s="695" t="s">
        <v>124</v>
      </c>
      <c r="H325" s="695" t="s">
        <v>3356</v>
      </c>
      <c r="I325" s="695" t="s">
        <v>5866</v>
      </c>
      <c r="J325" s="695">
        <v>0</v>
      </c>
      <c r="K325" s="695">
        <v>0</v>
      </c>
    </row>
    <row r="326" spans="1:11" ht="27">
      <c r="A326" s="714" t="s">
        <v>47</v>
      </c>
      <c r="B326" s="703">
        <v>45272</v>
      </c>
      <c r="C326" s="704">
        <v>0.51388888888888895</v>
      </c>
      <c r="D326" s="703">
        <v>45272</v>
      </c>
      <c r="E326" s="723">
        <v>0.51458333333333328</v>
      </c>
      <c r="F326" s="705" t="s">
        <v>6022</v>
      </c>
      <c r="G326" s="695" t="s">
        <v>6023</v>
      </c>
      <c r="H326" s="695" t="s">
        <v>3356</v>
      </c>
      <c r="I326" s="695" t="s">
        <v>5887</v>
      </c>
      <c r="J326" s="695">
        <v>0</v>
      </c>
      <c r="K326" s="695">
        <v>0</v>
      </c>
    </row>
    <row r="327" spans="1:11" ht="27">
      <c r="A327" s="714" t="s">
        <v>47</v>
      </c>
      <c r="B327" s="703">
        <v>45272</v>
      </c>
      <c r="C327" s="704">
        <v>0.39583333333333331</v>
      </c>
      <c r="D327" s="707">
        <v>45273</v>
      </c>
      <c r="E327" s="704">
        <v>0.20972222222222223</v>
      </c>
      <c r="F327" s="705" t="s">
        <v>6024</v>
      </c>
      <c r="G327" s="721" t="s">
        <v>6023</v>
      </c>
      <c r="H327" s="695" t="s">
        <v>3356</v>
      </c>
      <c r="I327" s="695" t="s">
        <v>5866</v>
      </c>
      <c r="J327" s="721">
        <v>0</v>
      </c>
      <c r="K327" s="721">
        <v>0</v>
      </c>
    </row>
    <row r="328" spans="1:11" ht="27">
      <c r="A328" s="714" t="s">
        <v>47</v>
      </c>
      <c r="B328" s="703">
        <v>45272</v>
      </c>
      <c r="C328" s="704">
        <v>0.51388888888888895</v>
      </c>
      <c r="D328" s="703">
        <v>45272</v>
      </c>
      <c r="E328" s="705" t="s">
        <v>6025</v>
      </c>
      <c r="F328" s="705" t="s">
        <v>6022</v>
      </c>
      <c r="G328" s="695" t="s">
        <v>6023</v>
      </c>
      <c r="H328" s="695" t="s">
        <v>3356</v>
      </c>
      <c r="I328" s="695" t="s">
        <v>5887</v>
      </c>
      <c r="J328" s="721">
        <v>0</v>
      </c>
      <c r="K328" s="721">
        <v>0</v>
      </c>
    </row>
    <row r="329" spans="1:11" ht="54">
      <c r="A329" s="714" t="s">
        <v>47</v>
      </c>
      <c r="B329" s="703">
        <v>45274</v>
      </c>
      <c r="C329" s="704">
        <v>0.44791666666666669</v>
      </c>
      <c r="D329" s="703">
        <v>45274</v>
      </c>
      <c r="E329" s="704">
        <v>0.46249999999999997</v>
      </c>
      <c r="F329" s="705" t="s">
        <v>6026</v>
      </c>
      <c r="G329" s="721" t="s">
        <v>124</v>
      </c>
      <c r="H329" s="695" t="s">
        <v>3411</v>
      </c>
      <c r="I329" s="695" t="s">
        <v>5871</v>
      </c>
      <c r="J329" s="695">
        <v>20</v>
      </c>
      <c r="K329" s="695">
        <v>1</v>
      </c>
    </row>
    <row r="330" spans="1:11" ht="54">
      <c r="A330" s="714" t="s">
        <v>47</v>
      </c>
      <c r="B330" s="703">
        <v>45274</v>
      </c>
      <c r="C330" s="704">
        <v>0.99583333333333324</v>
      </c>
      <c r="D330" s="709" t="s">
        <v>5871</v>
      </c>
      <c r="E330" s="704" t="s">
        <v>5871</v>
      </c>
      <c r="F330" s="705" t="s">
        <v>6027</v>
      </c>
      <c r="G330" s="695" t="s">
        <v>6028</v>
      </c>
      <c r="H330" s="695" t="s">
        <v>3411</v>
      </c>
      <c r="I330" s="695" t="s">
        <v>5869</v>
      </c>
      <c r="J330" s="695">
        <v>0</v>
      </c>
      <c r="K330" s="695">
        <v>0</v>
      </c>
    </row>
    <row r="331" spans="1:11" ht="45">
      <c r="A331" s="714" t="s">
        <v>47</v>
      </c>
      <c r="B331" s="703">
        <v>45275</v>
      </c>
      <c r="C331" s="704">
        <v>0.53194444444444444</v>
      </c>
      <c r="D331" s="703">
        <v>45275</v>
      </c>
      <c r="E331" s="717">
        <v>0.66666666666666663</v>
      </c>
      <c r="F331" s="705" t="s">
        <v>6029</v>
      </c>
      <c r="G331" s="695" t="s">
        <v>3143</v>
      </c>
      <c r="H331" s="695" t="s">
        <v>2910</v>
      </c>
      <c r="I331" s="695" t="s">
        <v>6006</v>
      </c>
      <c r="J331" s="695" t="s">
        <v>45</v>
      </c>
      <c r="K331" s="695" t="s">
        <v>45</v>
      </c>
    </row>
    <row r="332" spans="1:11" ht="45">
      <c r="A332" s="714" t="s">
        <v>47</v>
      </c>
      <c r="B332" s="703">
        <v>45275</v>
      </c>
      <c r="C332" s="704">
        <v>0.53194444444444444</v>
      </c>
      <c r="D332" s="703">
        <v>45275</v>
      </c>
      <c r="E332" s="723">
        <v>0.66666666666666663</v>
      </c>
      <c r="F332" s="705" t="s">
        <v>6029</v>
      </c>
      <c r="G332" s="695" t="s">
        <v>3143</v>
      </c>
      <c r="H332" s="695" t="s">
        <v>2910</v>
      </c>
      <c r="I332" s="695" t="s">
        <v>6006</v>
      </c>
      <c r="J332" s="695" t="s">
        <v>45</v>
      </c>
      <c r="K332" s="695" t="s">
        <v>45</v>
      </c>
    </row>
    <row r="333" spans="1:11" ht="27">
      <c r="A333" s="714" t="s">
        <v>47</v>
      </c>
      <c r="B333" s="703">
        <v>45275</v>
      </c>
      <c r="C333" s="704">
        <v>0.57847222222222217</v>
      </c>
      <c r="D333" s="703">
        <v>45275</v>
      </c>
      <c r="E333" s="720">
        <v>0.59513888888888888</v>
      </c>
      <c r="F333" s="705" t="s">
        <v>6030</v>
      </c>
      <c r="G333" s="721" t="s">
        <v>255</v>
      </c>
      <c r="H333" s="695" t="s">
        <v>6031</v>
      </c>
      <c r="I333" s="695" t="s">
        <v>6032</v>
      </c>
      <c r="J333" s="721">
        <v>120</v>
      </c>
      <c r="K333" s="721">
        <v>126197</v>
      </c>
    </row>
    <row r="334" spans="1:11" ht="36">
      <c r="A334" s="714" t="s">
        <v>47</v>
      </c>
      <c r="B334" s="703">
        <v>45276</v>
      </c>
      <c r="C334" s="704">
        <v>8.6805555555555566E-2</v>
      </c>
      <c r="D334" s="703">
        <v>45276</v>
      </c>
      <c r="E334" s="704">
        <v>0.10347222222222223</v>
      </c>
      <c r="F334" s="705" t="s">
        <v>6030</v>
      </c>
      <c r="G334" s="721" t="s">
        <v>255</v>
      </c>
      <c r="H334" s="695" t="s">
        <v>3379</v>
      </c>
      <c r="I334" s="695" t="s">
        <v>6032</v>
      </c>
      <c r="J334" s="721" t="s">
        <v>45</v>
      </c>
      <c r="K334" s="721" t="s">
        <v>45</v>
      </c>
    </row>
    <row r="335" spans="1:11" ht="36">
      <c r="A335" s="714" t="s">
        <v>47</v>
      </c>
      <c r="B335" s="703">
        <v>45276</v>
      </c>
      <c r="C335" s="704">
        <v>8.6805555555555566E-2</v>
      </c>
      <c r="D335" s="707">
        <v>45276</v>
      </c>
      <c r="E335" s="717">
        <v>0.10347222222222223</v>
      </c>
      <c r="F335" s="705" t="s">
        <v>6030</v>
      </c>
      <c r="G335" s="695" t="s">
        <v>255</v>
      </c>
      <c r="H335" s="695" t="s">
        <v>3379</v>
      </c>
      <c r="I335" s="695" t="s">
        <v>6032</v>
      </c>
      <c r="J335" s="721">
        <v>220</v>
      </c>
      <c r="K335" s="721">
        <v>230330</v>
      </c>
    </row>
    <row r="336" spans="1:11" ht="27">
      <c r="A336" s="714" t="s">
        <v>47</v>
      </c>
      <c r="B336" s="703">
        <v>45277</v>
      </c>
      <c r="C336" s="704">
        <v>0.44861111111111113</v>
      </c>
      <c r="D336" s="703">
        <v>45277</v>
      </c>
      <c r="E336" s="704">
        <v>0.45624999999999999</v>
      </c>
      <c r="F336" s="705" t="s">
        <v>6030</v>
      </c>
      <c r="G336" s="721" t="s">
        <v>255</v>
      </c>
      <c r="H336" s="695" t="s">
        <v>6031</v>
      </c>
      <c r="I336" s="695" t="s">
        <v>6032</v>
      </c>
      <c r="J336" s="721">
        <v>126</v>
      </c>
      <c r="K336" s="721" t="s">
        <v>45</v>
      </c>
    </row>
    <row r="337" spans="1:11" ht="27">
      <c r="A337" s="714" t="s">
        <v>47</v>
      </c>
      <c r="B337" s="703">
        <v>45277</v>
      </c>
      <c r="C337" s="704">
        <v>0.44861111111111113</v>
      </c>
      <c r="D337" s="703">
        <v>45277</v>
      </c>
      <c r="E337" s="704">
        <v>0.45624999999999999</v>
      </c>
      <c r="F337" s="705" t="s">
        <v>6030</v>
      </c>
      <c r="G337" s="721" t="s">
        <v>255</v>
      </c>
      <c r="H337" s="695" t="s">
        <v>6031</v>
      </c>
      <c r="I337" s="695" t="s">
        <v>6032</v>
      </c>
      <c r="J337" s="721">
        <v>80</v>
      </c>
      <c r="K337" s="721">
        <v>127585</v>
      </c>
    </row>
    <row r="338" spans="1:11" ht="27">
      <c r="A338" s="714" t="s">
        <v>47</v>
      </c>
      <c r="B338" s="703">
        <v>45278</v>
      </c>
      <c r="C338" s="704">
        <v>0.5493055555555556</v>
      </c>
      <c r="D338" s="703">
        <v>45278</v>
      </c>
      <c r="E338" s="704">
        <v>0.55763888888888891</v>
      </c>
      <c r="F338" s="705" t="s">
        <v>6030</v>
      </c>
      <c r="G338" s="721" t="s">
        <v>255</v>
      </c>
      <c r="H338" s="695" t="s">
        <v>6031</v>
      </c>
      <c r="I338" s="695" t="s">
        <v>6032</v>
      </c>
      <c r="J338" s="695">
        <v>115</v>
      </c>
      <c r="K338" s="695">
        <v>170316</v>
      </c>
    </row>
    <row r="339" spans="1:11" ht="18">
      <c r="A339" s="714" t="s">
        <v>47</v>
      </c>
      <c r="B339" s="703">
        <v>45278</v>
      </c>
      <c r="C339" s="704">
        <v>0.23958333333333334</v>
      </c>
      <c r="D339" s="707" t="s">
        <v>5871</v>
      </c>
      <c r="E339" s="704" t="s">
        <v>5871</v>
      </c>
      <c r="F339" s="705" t="s">
        <v>6033</v>
      </c>
      <c r="G339" s="695" t="s">
        <v>124</v>
      </c>
      <c r="H339" s="695" t="s">
        <v>2753</v>
      </c>
      <c r="I339" s="695" t="s">
        <v>5861</v>
      </c>
      <c r="J339" s="695" t="s">
        <v>45</v>
      </c>
      <c r="K339" s="695">
        <v>730000</v>
      </c>
    </row>
    <row r="340" spans="1:11" ht="54">
      <c r="A340" s="714" t="s">
        <v>47</v>
      </c>
      <c r="B340" s="724">
        <v>45278</v>
      </c>
      <c r="C340" s="725">
        <v>0.4548611111111111</v>
      </c>
      <c r="D340" s="724">
        <v>45278</v>
      </c>
      <c r="E340" s="725">
        <v>0.48680555555555555</v>
      </c>
      <c r="F340" s="705" t="s">
        <v>6034</v>
      </c>
      <c r="G340" s="695" t="s">
        <v>3143</v>
      </c>
      <c r="H340" s="695" t="s">
        <v>3411</v>
      </c>
      <c r="I340" s="695" t="s">
        <v>5887</v>
      </c>
      <c r="J340" s="695">
        <v>0</v>
      </c>
      <c r="K340" s="695">
        <v>0</v>
      </c>
    </row>
    <row r="341" spans="1:11" ht="27">
      <c r="A341" s="714" t="s">
        <v>47</v>
      </c>
      <c r="B341" s="724">
        <v>45279</v>
      </c>
      <c r="C341" s="725">
        <v>2.8472222222222222E-2</v>
      </c>
      <c r="D341" s="724">
        <v>45279</v>
      </c>
      <c r="E341" s="725">
        <v>3.2638888888888891E-2</v>
      </c>
      <c r="F341" s="705" t="s">
        <v>6030</v>
      </c>
      <c r="G341" s="695" t="s">
        <v>255</v>
      </c>
      <c r="H341" s="695" t="s">
        <v>6031</v>
      </c>
      <c r="I341" s="695" t="s">
        <v>6032</v>
      </c>
      <c r="J341" s="695">
        <v>77</v>
      </c>
      <c r="K341" s="695">
        <v>50204</v>
      </c>
    </row>
    <row r="342" spans="1:11" ht="36">
      <c r="A342" s="714" t="s">
        <v>47</v>
      </c>
      <c r="B342" s="724">
        <v>45282</v>
      </c>
      <c r="C342" s="725">
        <v>0.57986111111111105</v>
      </c>
      <c r="D342" s="724">
        <v>45282</v>
      </c>
      <c r="E342" s="725">
        <v>0.61458333333333337</v>
      </c>
      <c r="F342" s="705" t="s">
        <v>6035</v>
      </c>
      <c r="G342" s="721" t="s">
        <v>124</v>
      </c>
      <c r="H342" s="695" t="s">
        <v>3387</v>
      </c>
      <c r="I342" s="695" t="s">
        <v>5871</v>
      </c>
      <c r="J342" s="695">
        <v>0</v>
      </c>
      <c r="K342" s="695">
        <v>0</v>
      </c>
    </row>
    <row r="343" spans="1:11" ht="27">
      <c r="A343" s="714" t="s">
        <v>47</v>
      </c>
      <c r="B343" s="724">
        <v>45283</v>
      </c>
      <c r="C343" s="725">
        <v>2.9861111111111113E-2</v>
      </c>
      <c r="D343" s="724">
        <v>45283</v>
      </c>
      <c r="E343" s="725">
        <v>3.3333333333333333E-2</v>
      </c>
      <c r="F343" s="705" t="s">
        <v>6030</v>
      </c>
      <c r="G343" s="721" t="s">
        <v>255</v>
      </c>
      <c r="H343" s="695" t="s">
        <v>6031</v>
      </c>
      <c r="I343" s="695" t="s">
        <v>6032</v>
      </c>
      <c r="J343" s="695">
        <v>65</v>
      </c>
      <c r="K343" s="695">
        <v>37850</v>
      </c>
    </row>
    <row r="344" spans="1:11" ht="27">
      <c r="A344" s="714" t="s">
        <v>47</v>
      </c>
      <c r="B344" s="724">
        <v>45284</v>
      </c>
      <c r="C344" s="725">
        <v>8.819444444444445E-2</v>
      </c>
      <c r="D344" s="724">
        <v>45284</v>
      </c>
      <c r="E344" s="725">
        <v>0.56874999999999998</v>
      </c>
      <c r="F344" s="705" t="s">
        <v>6012</v>
      </c>
      <c r="G344" s="695" t="s">
        <v>63</v>
      </c>
      <c r="H344" s="695" t="s">
        <v>3356</v>
      </c>
      <c r="I344" s="695" t="s">
        <v>5866</v>
      </c>
      <c r="J344" s="695">
        <v>0</v>
      </c>
      <c r="K344" s="695">
        <v>0</v>
      </c>
    </row>
    <row r="345" spans="1:11" ht="27">
      <c r="A345" s="714" t="s">
        <v>47</v>
      </c>
      <c r="B345" s="724">
        <v>45285</v>
      </c>
      <c r="C345" s="725">
        <v>0.8305555555555556</v>
      </c>
      <c r="D345" s="724">
        <v>45285</v>
      </c>
      <c r="E345" s="725">
        <v>0.8340277777777777</v>
      </c>
      <c r="F345" s="705" t="s">
        <v>6030</v>
      </c>
      <c r="G345" s="695" t="s">
        <v>255</v>
      </c>
      <c r="H345" s="695" t="s">
        <v>6031</v>
      </c>
      <c r="I345" s="695" t="s">
        <v>6032</v>
      </c>
      <c r="J345" s="695">
        <v>105</v>
      </c>
      <c r="K345" s="695">
        <v>36100</v>
      </c>
    </row>
    <row r="346" spans="1:11" ht="27">
      <c r="A346" s="714" t="s">
        <v>47</v>
      </c>
      <c r="B346" s="724">
        <v>45285</v>
      </c>
      <c r="C346" s="725">
        <v>0.3576388888888889</v>
      </c>
      <c r="D346" s="724">
        <v>45285</v>
      </c>
      <c r="E346" s="725">
        <v>0.625</v>
      </c>
      <c r="F346" s="705" t="s">
        <v>6027</v>
      </c>
      <c r="G346" s="695" t="s">
        <v>61</v>
      </c>
      <c r="H346" s="695" t="s">
        <v>3351</v>
      </c>
      <c r="I346" s="695" t="s">
        <v>5887</v>
      </c>
      <c r="J346" s="695">
        <v>0</v>
      </c>
      <c r="K346" s="695">
        <v>0</v>
      </c>
    </row>
    <row r="347" spans="1:11" ht="54">
      <c r="A347" s="714" t="s">
        <v>47</v>
      </c>
      <c r="B347" s="724">
        <v>45287</v>
      </c>
      <c r="C347" s="725">
        <v>0.61388888888888882</v>
      </c>
      <c r="D347" s="724">
        <v>45288</v>
      </c>
      <c r="E347" s="725">
        <v>0.1763888888888889</v>
      </c>
      <c r="F347" s="705" t="s">
        <v>6036</v>
      </c>
      <c r="G347" s="695" t="s">
        <v>674</v>
      </c>
      <c r="H347" s="695" t="s">
        <v>2839</v>
      </c>
      <c r="I347" s="695" t="s">
        <v>5861</v>
      </c>
      <c r="J347" s="695">
        <v>14</v>
      </c>
      <c r="K347" s="695">
        <v>8000</v>
      </c>
    </row>
    <row r="348" spans="1:11" ht="45">
      <c r="A348" s="714" t="s">
        <v>47</v>
      </c>
      <c r="B348" s="724">
        <v>45287</v>
      </c>
      <c r="C348" s="725">
        <v>0.46597222222222223</v>
      </c>
      <c r="D348" s="724">
        <v>45287</v>
      </c>
      <c r="E348" s="725">
        <v>0.46666666666666662</v>
      </c>
      <c r="F348" s="705" t="s">
        <v>6007</v>
      </c>
      <c r="G348" s="695" t="s">
        <v>124</v>
      </c>
      <c r="H348" s="695" t="s">
        <v>2910</v>
      </c>
      <c r="I348" s="695" t="s">
        <v>6037</v>
      </c>
      <c r="J348" s="695">
        <v>0</v>
      </c>
      <c r="K348" s="695">
        <v>0</v>
      </c>
    </row>
    <row r="349" spans="1:11" ht="63">
      <c r="A349" s="714" t="s">
        <v>47</v>
      </c>
      <c r="B349" s="724">
        <v>45290</v>
      </c>
      <c r="C349" s="725">
        <v>0.875</v>
      </c>
      <c r="D349" s="724">
        <v>45290</v>
      </c>
      <c r="E349" s="725">
        <v>0.92708333333333337</v>
      </c>
      <c r="F349" s="705" t="s">
        <v>6038</v>
      </c>
      <c r="G349" s="695" t="s">
        <v>3143</v>
      </c>
      <c r="H349" s="695" t="s">
        <v>3402</v>
      </c>
      <c r="I349" s="695" t="s">
        <v>5890</v>
      </c>
      <c r="J349" s="695" t="s">
        <v>45</v>
      </c>
      <c r="K349" s="695" t="s">
        <v>45</v>
      </c>
    </row>
    <row r="350" spans="1:11" ht="63">
      <c r="A350" s="714" t="s">
        <v>47</v>
      </c>
      <c r="B350" s="724">
        <v>45290</v>
      </c>
      <c r="C350" s="725">
        <v>0.20833333333333334</v>
      </c>
      <c r="D350" s="724">
        <v>45290</v>
      </c>
      <c r="E350" s="725">
        <v>0.28333333333333333</v>
      </c>
      <c r="F350" s="705" t="s">
        <v>6039</v>
      </c>
      <c r="G350" s="695" t="s">
        <v>6023</v>
      </c>
      <c r="H350" s="695" t="s">
        <v>3402</v>
      </c>
      <c r="I350" s="695" t="s">
        <v>5890</v>
      </c>
      <c r="J350" s="695">
        <v>0</v>
      </c>
      <c r="K350" s="695">
        <v>0</v>
      </c>
    </row>
    <row r="351" spans="1:11">
      <c r="A351" s="714"/>
    </row>
    <row r="352" spans="1:11">
      <c r="A352" s="714"/>
    </row>
    <row r="353" spans="1:1">
      <c r="A353" s="714"/>
    </row>
    <row r="354" spans="1:1">
      <c r="A354" s="714"/>
    </row>
    <row r="355" spans="1:1">
      <c r="A355" s="714"/>
    </row>
    <row r="356" spans="1:1">
      <c r="A356" s="714"/>
    </row>
    <row r="357" spans="1:1">
      <c r="A357" s="714"/>
    </row>
    <row r="358" spans="1:1">
      <c r="A358" s="714"/>
    </row>
    <row r="359" spans="1:1">
      <c r="A359" s="714"/>
    </row>
    <row r="360" spans="1:1">
      <c r="A360" s="714"/>
    </row>
    <row r="361" spans="1:1">
      <c r="A361" s="714"/>
    </row>
    <row r="362" spans="1:1">
      <c r="A362" s="714"/>
    </row>
    <row r="363" spans="1:1">
      <c r="A363" s="714"/>
    </row>
    <row r="364" spans="1:1">
      <c r="A364" s="714"/>
    </row>
    <row r="365" spans="1:1">
      <c r="A365" s="714"/>
    </row>
    <row r="366" spans="1:1">
      <c r="A366" s="714"/>
    </row>
    <row r="367" spans="1:1">
      <c r="A367" s="714"/>
    </row>
    <row r="368" spans="1:1">
      <c r="A368" s="714"/>
    </row>
    <row r="369" spans="1:1">
      <c r="A369" s="714"/>
    </row>
    <row r="370" spans="1:1">
      <c r="A370" s="714"/>
    </row>
    <row r="371" spans="1:1">
      <c r="A371" s="714"/>
    </row>
    <row r="372" spans="1:1">
      <c r="A372" s="714"/>
    </row>
  </sheetData>
  <autoFilter ref="A2:K2" xr:uid="{A9C58B36-78E3-4BA1-A400-F06B122F127E}"/>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13031-DE0A-4738-9688-1709BBCEF58A}">
  <sheetPr>
    <tabColor theme="6"/>
  </sheetPr>
  <dimension ref="C2:O3274"/>
  <sheetViews>
    <sheetView topLeftCell="B1" zoomScaleNormal="100" workbookViewId="0">
      <pane ySplit="2" topLeftCell="A3" activePane="bottomLeft" state="frozen"/>
      <selection pane="bottomLeft" activeCell="D2" sqref="D2"/>
    </sheetView>
  </sheetViews>
  <sheetFormatPr defaultRowHeight="12.75"/>
  <cols>
    <col min="1" max="1" width="5.7109375" customWidth="1"/>
    <col min="2" max="2" width="3.7109375" customWidth="1"/>
    <col min="3" max="3" width="12" bestFit="1" customWidth="1"/>
    <col min="4" max="4" width="36.140625" bestFit="1" customWidth="1"/>
    <col min="5" max="5" width="36.28515625" style="532" bestFit="1" customWidth="1"/>
    <col min="6" max="6" width="38.42578125" bestFit="1" customWidth="1"/>
    <col min="7" max="7" width="38.5703125" bestFit="1" customWidth="1"/>
    <col min="8" max="8" width="27.7109375" bestFit="1" customWidth="1"/>
    <col min="9" max="9" width="28.85546875" bestFit="1" customWidth="1"/>
    <col min="10" max="10" width="26" bestFit="1" customWidth="1"/>
    <col min="11" max="11" width="23.7109375" bestFit="1" customWidth="1"/>
    <col min="12" max="12" width="39.7109375" bestFit="1" customWidth="1"/>
    <col min="13" max="13" width="58.5703125" bestFit="1" customWidth="1"/>
  </cols>
  <sheetData>
    <row r="2" spans="3:15" s="776" customFormat="1" ht="25.5">
      <c r="C2" s="774" t="s">
        <v>5872</v>
      </c>
      <c r="D2" s="774" t="s">
        <v>2105</v>
      </c>
      <c r="E2" s="775" t="s">
        <v>2106</v>
      </c>
      <c r="F2" s="774" t="s">
        <v>2107</v>
      </c>
      <c r="G2" s="774" t="s">
        <v>2108</v>
      </c>
      <c r="H2" s="774" t="s">
        <v>67</v>
      </c>
      <c r="I2" s="774" t="s">
        <v>57</v>
      </c>
      <c r="J2" s="774" t="s">
        <v>2743</v>
      </c>
      <c r="K2" s="774" t="s">
        <v>2109</v>
      </c>
      <c r="L2" s="774" t="s">
        <v>2110</v>
      </c>
      <c r="M2" s="774" t="s">
        <v>7</v>
      </c>
    </row>
    <row r="3" spans="3:15" ht="31.5" customHeight="1">
      <c r="C3" s="728">
        <v>2010</v>
      </c>
      <c r="D3" s="729">
        <v>40184</v>
      </c>
      <c r="E3" s="730" t="s">
        <v>267</v>
      </c>
      <c r="F3" s="731">
        <v>40186</v>
      </c>
      <c r="G3" s="730">
        <v>0.75</v>
      </c>
      <c r="H3" s="558" t="s">
        <v>133</v>
      </c>
      <c r="I3" s="558" t="s">
        <v>1841</v>
      </c>
      <c r="J3" s="589" t="s">
        <v>255</v>
      </c>
      <c r="K3" s="558" t="s">
        <v>962</v>
      </c>
      <c r="L3" s="589" t="s">
        <v>255</v>
      </c>
      <c r="M3" s="589" t="s">
        <v>255</v>
      </c>
    </row>
    <row r="4" spans="3:15" ht="15.75">
      <c r="C4" s="728">
        <v>2010</v>
      </c>
      <c r="D4" s="729">
        <v>40189</v>
      </c>
      <c r="E4" s="730" t="s">
        <v>1844</v>
      </c>
      <c r="F4" s="731">
        <v>40189</v>
      </c>
      <c r="G4" s="730">
        <v>0.41458333333333336</v>
      </c>
      <c r="H4" s="558" t="s">
        <v>1845</v>
      </c>
      <c r="I4" s="558" t="s">
        <v>1843</v>
      </c>
      <c r="J4" s="589" t="s">
        <v>255</v>
      </c>
      <c r="K4" s="558" t="s">
        <v>1846</v>
      </c>
      <c r="L4" s="589" t="s">
        <v>255</v>
      </c>
      <c r="M4" s="589" t="s">
        <v>255</v>
      </c>
    </row>
    <row r="5" spans="3:15" ht="15.75">
      <c r="C5" s="728">
        <v>2010</v>
      </c>
      <c r="D5" s="729">
        <v>40196</v>
      </c>
      <c r="E5" s="730" t="s">
        <v>683</v>
      </c>
      <c r="F5" s="731">
        <v>40206</v>
      </c>
      <c r="G5" s="730">
        <v>0.33333333333333331</v>
      </c>
      <c r="H5" s="558" t="s">
        <v>39</v>
      </c>
      <c r="I5" s="558" t="s">
        <v>251</v>
      </c>
      <c r="J5" s="589" t="s">
        <v>255</v>
      </c>
      <c r="K5" s="558" t="s">
        <v>362</v>
      </c>
      <c r="L5" s="589">
        <v>290</v>
      </c>
      <c r="M5" s="590">
        <v>1700000</v>
      </c>
      <c r="N5" s="732"/>
      <c r="O5" s="732"/>
    </row>
    <row r="6" spans="3:15" ht="15.75">
      <c r="C6" s="728">
        <v>2010</v>
      </c>
      <c r="D6" s="729">
        <v>40197</v>
      </c>
      <c r="E6" s="730" t="s">
        <v>274</v>
      </c>
      <c r="F6" s="731">
        <v>40197</v>
      </c>
      <c r="G6" s="730">
        <v>0.51666666666666672</v>
      </c>
      <c r="H6" s="558" t="s">
        <v>1849</v>
      </c>
      <c r="I6" s="558" t="s">
        <v>251</v>
      </c>
      <c r="J6" s="589" t="s">
        <v>255</v>
      </c>
      <c r="K6" s="558" t="s">
        <v>362</v>
      </c>
      <c r="L6" s="589">
        <v>300</v>
      </c>
      <c r="M6" s="590">
        <v>30000</v>
      </c>
    </row>
    <row r="7" spans="3:15" ht="15.75">
      <c r="C7" s="728">
        <v>2010</v>
      </c>
      <c r="D7" s="729">
        <v>40197</v>
      </c>
      <c r="E7" s="730" t="s">
        <v>392</v>
      </c>
      <c r="F7" s="731">
        <v>40198</v>
      </c>
      <c r="G7" s="730">
        <v>0.625</v>
      </c>
      <c r="H7" s="558" t="s">
        <v>1852</v>
      </c>
      <c r="I7" s="558" t="s">
        <v>1851</v>
      </c>
      <c r="J7" s="589" t="s">
        <v>255</v>
      </c>
      <c r="K7" s="558" t="s">
        <v>362</v>
      </c>
      <c r="L7" s="590">
        <v>2650</v>
      </c>
      <c r="M7" s="590">
        <v>50000</v>
      </c>
    </row>
    <row r="8" spans="3:15" ht="15.75">
      <c r="C8" s="728">
        <v>2010</v>
      </c>
      <c r="D8" s="729">
        <v>40198</v>
      </c>
      <c r="E8" s="730" t="s">
        <v>129</v>
      </c>
      <c r="F8" s="731">
        <v>40202</v>
      </c>
      <c r="G8" s="730">
        <v>0.75694444444444442</v>
      </c>
      <c r="H8" s="558" t="s">
        <v>1106</v>
      </c>
      <c r="I8" s="558" t="s">
        <v>251</v>
      </c>
      <c r="J8" s="589" t="s">
        <v>255</v>
      </c>
      <c r="K8" s="558" t="s">
        <v>362</v>
      </c>
      <c r="L8" s="589" t="s">
        <v>255</v>
      </c>
      <c r="M8" s="590">
        <v>147223</v>
      </c>
    </row>
    <row r="9" spans="3:15" ht="15.75">
      <c r="C9" s="728">
        <v>2010</v>
      </c>
      <c r="D9" s="729">
        <v>40206</v>
      </c>
      <c r="E9" s="730" t="s">
        <v>424</v>
      </c>
      <c r="F9" s="731">
        <v>40211</v>
      </c>
      <c r="G9" s="730">
        <v>0.5</v>
      </c>
      <c r="H9" s="558" t="s">
        <v>10</v>
      </c>
      <c r="I9" s="558" t="s">
        <v>1855</v>
      </c>
      <c r="J9" s="589" t="s">
        <v>255</v>
      </c>
      <c r="K9" s="558" t="s">
        <v>11</v>
      </c>
      <c r="L9" s="589" t="s">
        <v>255</v>
      </c>
      <c r="M9" s="590">
        <v>68705</v>
      </c>
    </row>
    <row r="10" spans="3:15" ht="15.75">
      <c r="C10" s="728">
        <v>2010</v>
      </c>
      <c r="D10" s="729">
        <v>40210</v>
      </c>
      <c r="E10" s="730" t="s">
        <v>1858</v>
      </c>
      <c r="F10" s="731">
        <v>40210</v>
      </c>
      <c r="G10" s="730">
        <v>0.70833333333333337</v>
      </c>
      <c r="H10" s="558" t="s">
        <v>10</v>
      </c>
      <c r="I10" s="558" t="s">
        <v>1857</v>
      </c>
      <c r="J10" s="589" t="s">
        <v>255</v>
      </c>
      <c r="K10" s="558" t="s">
        <v>1859</v>
      </c>
      <c r="L10" s="589">
        <v>30</v>
      </c>
      <c r="M10" s="589">
        <v>0</v>
      </c>
    </row>
    <row r="11" spans="3:15" ht="15.75">
      <c r="C11" s="728">
        <v>2010</v>
      </c>
      <c r="D11" s="729">
        <v>40214</v>
      </c>
      <c r="E11" s="730" t="s">
        <v>328</v>
      </c>
      <c r="F11" s="731">
        <v>40222</v>
      </c>
      <c r="G11" s="730">
        <v>0.66666666666666663</v>
      </c>
      <c r="H11" s="558" t="s">
        <v>1862</v>
      </c>
      <c r="I11" s="558" t="s">
        <v>1861</v>
      </c>
      <c r="J11" s="589" t="s">
        <v>255</v>
      </c>
      <c r="K11" s="558" t="s">
        <v>40</v>
      </c>
      <c r="L11" s="589" t="s">
        <v>255</v>
      </c>
      <c r="M11" s="590">
        <v>221000</v>
      </c>
    </row>
    <row r="12" spans="3:15" ht="15.75">
      <c r="C12" s="728">
        <v>2010</v>
      </c>
      <c r="D12" s="729">
        <v>40214</v>
      </c>
      <c r="E12" s="730" t="s">
        <v>1864</v>
      </c>
      <c r="F12" s="731">
        <v>40216</v>
      </c>
      <c r="G12" s="730">
        <v>0.70833333333333337</v>
      </c>
      <c r="H12" s="558" t="s">
        <v>369</v>
      </c>
      <c r="I12" s="558" t="s">
        <v>333</v>
      </c>
      <c r="J12" s="589" t="s">
        <v>255</v>
      </c>
      <c r="K12" s="558" t="s">
        <v>40</v>
      </c>
      <c r="L12" s="589">
        <v>500</v>
      </c>
      <c r="M12" s="590">
        <v>74000</v>
      </c>
    </row>
    <row r="13" spans="3:15" ht="15.75">
      <c r="C13" s="728">
        <v>2010</v>
      </c>
      <c r="D13" s="729">
        <v>40214</v>
      </c>
      <c r="E13" s="730" t="s">
        <v>81</v>
      </c>
      <c r="F13" s="731">
        <v>40221</v>
      </c>
      <c r="G13" s="730">
        <v>0.65694444444444444</v>
      </c>
      <c r="H13" s="558" t="s">
        <v>1865</v>
      </c>
      <c r="I13" s="558" t="s">
        <v>1861</v>
      </c>
      <c r="J13" s="589" t="s">
        <v>255</v>
      </c>
      <c r="K13" s="558" t="s">
        <v>40</v>
      </c>
      <c r="L13" s="589" t="s">
        <v>255</v>
      </c>
      <c r="M13" s="590">
        <v>97651</v>
      </c>
    </row>
    <row r="14" spans="3:15" ht="15.75">
      <c r="C14" s="728">
        <v>2010</v>
      </c>
      <c r="D14" s="729">
        <v>40214</v>
      </c>
      <c r="E14" s="730" t="s">
        <v>1867</v>
      </c>
      <c r="F14" s="731">
        <v>40221</v>
      </c>
      <c r="G14" s="730">
        <v>0.5</v>
      </c>
      <c r="H14" s="558" t="s">
        <v>1868</v>
      </c>
      <c r="I14" s="558" t="s">
        <v>1861</v>
      </c>
      <c r="J14" s="589" t="s">
        <v>255</v>
      </c>
      <c r="K14" s="558" t="s">
        <v>40</v>
      </c>
      <c r="L14" s="589" t="s">
        <v>255</v>
      </c>
      <c r="M14" s="590">
        <v>57000</v>
      </c>
    </row>
    <row r="15" spans="3:15" ht="15.75">
      <c r="C15" s="728">
        <v>2010</v>
      </c>
      <c r="D15" s="729">
        <v>40214</v>
      </c>
      <c r="E15" s="730" t="s">
        <v>1870</v>
      </c>
      <c r="F15" s="731">
        <v>40216</v>
      </c>
      <c r="G15" s="730">
        <v>0.10972222222222222</v>
      </c>
      <c r="H15" s="558" t="s">
        <v>1871</v>
      </c>
      <c r="I15" s="558" t="s">
        <v>1869</v>
      </c>
      <c r="J15" s="589" t="s">
        <v>255</v>
      </c>
      <c r="K15" s="558" t="s">
        <v>40</v>
      </c>
      <c r="L15" s="589" t="s">
        <v>255</v>
      </c>
      <c r="M15" s="590">
        <v>102225</v>
      </c>
    </row>
    <row r="16" spans="3:15" ht="15.75">
      <c r="C16" s="728">
        <v>2010</v>
      </c>
      <c r="D16" s="729">
        <v>40215</v>
      </c>
      <c r="E16" s="730" t="s">
        <v>1675</v>
      </c>
      <c r="F16" s="731">
        <v>40216</v>
      </c>
      <c r="G16" s="730">
        <v>0.29166666666666669</v>
      </c>
      <c r="H16" s="558" t="s">
        <v>1873</v>
      </c>
      <c r="I16" s="558" t="s">
        <v>333</v>
      </c>
      <c r="J16" s="589" t="s">
        <v>255</v>
      </c>
      <c r="K16" s="558" t="s">
        <v>40</v>
      </c>
      <c r="L16" s="589">
        <v>600</v>
      </c>
      <c r="M16" s="590">
        <v>104736</v>
      </c>
    </row>
    <row r="17" spans="3:13" ht="15.75">
      <c r="C17" s="728">
        <v>2010</v>
      </c>
      <c r="D17" s="729">
        <v>40215</v>
      </c>
      <c r="E17" s="730" t="s">
        <v>500</v>
      </c>
      <c r="F17" s="731">
        <v>40215</v>
      </c>
      <c r="G17" s="730">
        <v>0.375</v>
      </c>
      <c r="H17" s="558" t="s">
        <v>1875</v>
      </c>
      <c r="I17" s="558" t="s">
        <v>1861</v>
      </c>
      <c r="J17" s="589" t="s">
        <v>255</v>
      </c>
      <c r="K17" s="558" t="s">
        <v>40</v>
      </c>
      <c r="L17" s="589" t="s">
        <v>255</v>
      </c>
      <c r="M17" s="590">
        <v>58491</v>
      </c>
    </row>
    <row r="18" spans="3:13" ht="15.75">
      <c r="C18" s="728">
        <v>2010</v>
      </c>
      <c r="D18" s="729">
        <v>40218</v>
      </c>
      <c r="E18" s="730" t="s">
        <v>267</v>
      </c>
      <c r="F18" s="731">
        <v>40223</v>
      </c>
      <c r="G18" s="730">
        <v>0.66666666666666663</v>
      </c>
      <c r="H18" s="558" t="s">
        <v>1877</v>
      </c>
      <c r="I18" s="558" t="s">
        <v>1869</v>
      </c>
      <c r="J18" s="589" t="s">
        <v>255</v>
      </c>
      <c r="K18" s="558" t="s">
        <v>40</v>
      </c>
      <c r="L18" s="589" t="s">
        <v>255</v>
      </c>
      <c r="M18" s="590">
        <v>223000</v>
      </c>
    </row>
    <row r="19" spans="3:13" ht="15.75">
      <c r="C19" s="728">
        <v>2010</v>
      </c>
      <c r="D19" s="729">
        <v>40220</v>
      </c>
      <c r="E19" s="730" t="s">
        <v>424</v>
      </c>
      <c r="F19" s="731">
        <v>40224</v>
      </c>
      <c r="G19" s="730">
        <v>0.875</v>
      </c>
      <c r="H19" s="558" t="s">
        <v>1879</v>
      </c>
      <c r="I19" s="558" t="s">
        <v>1878</v>
      </c>
      <c r="J19" s="589" t="s">
        <v>255</v>
      </c>
      <c r="K19" s="558" t="s">
        <v>40</v>
      </c>
      <c r="L19" s="589" t="s">
        <v>255</v>
      </c>
      <c r="M19" s="590">
        <v>500000</v>
      </c>
    </row>
    <row r="20" spans="3:13" ht="15.75">
      <c r="C20" s="728">
        <v>2010</v>
      </c>
      <c r="D20" s="729">
        <v>40221</v>
      </c>
      <c r="E20" s="730" t="s">
        <v>364</v>
      </c>
      <c r="F20" s="731">
        <v>40221</v>
      </c>
      <c r="G20" s="730">
        <v>0.70833333333333337</v>
      </c>
      <c r="H20" s="558" t="s">
        <v>1881</v>
      </c>
      <c r="I20" s="558" t="s">
        <v>1855</v>
      </c>
      <c r="J20" s="589" t="s">
        <v>255</v>
      </c>
      <c r="K20" s="558" t="s">
        <v>40</v>
      </c>
      <c r="L20" s="589" t="s">
        <v>255</v>
      </c>
      <c r="M20" s="590">
        <v>52999</v>
      </c>
    </row>
    <row r="21" spans="3:13" ht="15.75">
      <c r="C21" s="728">
        <v>2010</v>
      </c>
      <c r="D21" s="729">
        <v>40223</v>
      </c>
      <c r="E21" s="730" t="s">
        <v>334</v>
      </c>
      <c r="F21" s="731">
        <v>40223</v>
      </c>
      <c r="G21" s="730">
        <v>0.5</v>
      </c>
      <c r="H21" s="558" t="s">
        <v>1883</v>
      </c>
      <c r="I21" s="558" t="s">
        <v>1861</v>
      </c>
      <c r="J21" s="589" t="s">
        <v>255</v>
      </c>
      <c r="K21" s="558" t="s">
        <v>40</v>
      </c>
      <c r="L21" s="589">
        <v>900</v>
      </c>
      <c r="M21" s="590">
        <v>190000</v>
      </c>
    </row>
    <row r="22" spans="3:13" ht="15.75">
      <c r="C22" s="728">
        <v>2010</v>
      </c>
      <c r="D22" s="729">
        <v>40228</v>
      </c>
      <c r="E22" s="730" t="s">
        <v>722</v>
      </c>
      <c r="F22" s="731">
        <v>40229</v>
      </c>
      <c r="G22" s="730">
        <v>0.1673611111111111</v>
      </c>
      <c r="H22" s="558" t="s">
        <v>1884</v>
      </c>
      <c r="I22" s="558" t="s">
        <v>251</v>
      </c>
      <c r="J22" s="589" t="s">
        <v>255</v>
      </c>
      <c r="K22" s="558" t="s">
        <v>1885</v>
      </c>
      <c r="L22" s="590">
        <v>1000</v>
      </c>
      <c r="M22" s="589" t="s">
        <v>255</v>
      </c>
    </row>
    <row r="23" spans="3:13" ht="15.75">
      <c r="C23" s="728">
        <v>2010</v>
      </c>
      <c r="D23" s="729">
        <v>40232</v>
      </c>
      <c r="E23" s="730" t="s">
        <v>1285</v>
      </c>
      <c r="F23" s="731">
        <v>40234</v>
      </c>
      <c r="G23" s="730">
        <v>0.66666666666666663</v>
      </c>
      <c r="H23" s="558" t="s">
        <v>89</v>
      </c>
      <c r="I23" s="558" t="s">
        <v>1887</v>
      </c>
      <c r="J23" s="589" t="s">
        <v>255</v>
      </c>
      <c r="K23" s="558" t="s">
        <v>40</v>
      </c>
      <c r="L23" s="589" t="s">
        <v>255</v>
      </c>
      <c r="M23" s="590">
        <v>150000</v>
      </c>
    </row>
    <row r="24" spans="3:13" ht="15.75">
      <c r="C24" s="728">
        <v>2010</v>
      </c>
      <c r="D24" s="729">
        <v>40234</v>
      </c>
      <c r="E24" s="730" t="s">
        <v>1038</v>
      </c>
      <c r="F24" s="731">
        <v>40235</v>
      </c>
      <c r="G24" s="730">
        <v>0.875</v>
      </c>
      <c r="H24" s="558" t="s">
        <v>1889</v>
      </c>
      <c r="I24" s="558" t="s">
        <v>1887</v>
      </c>
      <c r="J24" s="589" t="s">
        <v>255</v>
      </c>
      <c r="K24" s="558" t="s">
        <v>40</v>
      </c>
      <c r="L24" s="589" t="s">
        <v>255</v>
      </c>
      <c r="M24" s="590">
        <v>65000</v>
      </c>
    </row>
    <row r="25" spans="3:13" ht="15.75">
      <c r="C25" s="728">
        <v>2010</v>
      </c>
      <c r="D25" s="729">
        <v>40234</v>
      </c>
      <c r="E25" s="730" t="s">
        <v>104</v>
      </c>
      <c r="F25" s="731">
        <v>40239</v>
      </c>
      <c r="G25" s="730">
        <v>0.79166666666666663</v>
      </c>
      <c r="H25" s="558" t="s">
        <v>1892</v>
      </c>
      <c r="I25" s="558" t="s">
        <v>1891</v>
      </c>
      <c r="J25" s="589" t="s">
        <v>255</v>
      </c>
      <c r="K25" s="558" t="s">
        <v>40</v>
      </c>
      <c r="L25" s="589" t="s">
        <v>255</v>
      </c>
      <c r="M25" s="590">
        <v>55000</v>
      </c>
    </row>
    <row r="26" spans="3:13" ht="15.75">
      <c r="C26" s="728">
        <v>2010</v>
      </c>
      <c r="D26" s="729">
        <v>40234</v>
      </c>
      <c r="E26" s="730" t="s">
        <v>1894</v>
      </c>
      <c r="F26" s="731">
        <v>40238</v>
      </c>
      <c r="G26" s="730">
        <v>0.69444444444444442</v>
      </c>
      <c r="H26" s="558" t="s">
        <v>1895</v>
      </c>
      <c r="I26" s="558" t="s">
        <v>1887</v>
      </c>
      <c r="J26" s="589" t="s">
        <v>255</v>
      </c>
      <c r="K26" s="558" t="s">
        <v>40</v>
      </c>
      <c r="L26" s="589">
        <v>510</v>
      </c>
      <c r="M26" s="590">
        <v>509606</v>
      </c>
    </row>
    <row r="27" spans="3:13" ht="15.75">
      <c r="C27" s="728">
        <v>2010</v>
      </c>
      <c r="D27" s="729">
        <v>40250</v>
      </c>
      <c r="E27" s="730" t="s">
        <v>534</v>
      </c>
      <c r="F27" s="731">
        <v>40253</v>
      </c>
      <c r="G27" s="730">
        <v>0.77777777777777779</v>
      </c>
      <c r="H27" s="558" t="s">
        <v>1897</v>
      </c>
      <c r="I27" s="558" t="s">
        <v>1861</v>
      </c>
      <c r="J27" s="589" t="s">
        <v>255</v>
      </c>
      <c r="K27" s="558" t="s">
        <v>1898</v>
      </c>
      <c r="L27" s="589" t="s">
        <v>255</v>
      </c>
      <c r="M27" s="590">
        <v>177528</v>
      </c>
    </row>
    <row r="28" spans="3:13" ht="15.75">
      <c r="C28" s="728">
        <v>2010</v>
      </c>
      <c r="D28" s="729">
        <v>40250</v>
      </c>
      <c r="E28" s="730" t="s">
        <v>424</v>
      </c>
      <c r="F28" s="731">
        <v>40252</v>
      </c>
      <c r="G28" s="730">
        <v>0.83680555555555558</v>
      </c>
      <c r="H28" s="558" t="s">
        <v>1579</v>
      </c>
      <c r="I28" s="558" t="s">
        <v>1887</v>
      </c>
      <c r="J28" s="589" t="s">
        <v>255</v>
      </c>
      <c r="K28" s="558" t="s">
        <v>1790</v>
      </c>
      <c r="L28" s="589">
        <v>50</v>
      </c>
      <c r="M28" s="590">
        <v>50246</v>
      </c>
    </row>
    <row r="29" spans="3:13" ht="15.75">
      <c r="C29" s="728">
        <v>2010</v>
      </c>
      <c r="D29" s="729">
        <v>40250</v>
      </c>
      <c r="E29" s="730" t="s">
        <v>328</v>
      </c>
      <c r="F29" s="731">
        <v>40254</v>
      </c>
      <c r="G29" s="730">
        <v>0.66666666666666663</v>
      </c>
      <c r="H29" s="558" t="s">
        <v>1901</v>
      </c>
      <c r="I29" s="558" t="s">
        <v>1887</v>
      </c>
      <c r="J29" s="589" t="s">
        <v>255</v>
      </c>
      <c r="K29" s="558" t="s">
        <v>1790</v>
      </c>
      <c r="L29" s="589" t="s">
        <v>255</v>
      </c>
      <c r="M29" s="590">
        <v>153000</v>
      </c>
    </row>
    <row r="30" spans="3:13" ht="15.75">
      <c r="C30" s="728">
        <v>2010</v>
      </c>
      <c r="D30" s="729">
        <v>40250</v>
      </c>
      <c r="E30" s="730" t="s">
        <v>212</v>
      </c>
      <c r="F30" s="731">
        <v>40253</v>
      </c>
      <c r="G30" s="730">
        <v>0</v>
      </c>
      <c r="H30" s="558" t="s">
        <v>1903</v>
      </c>
      <c r="I30" s="558" t="s">
        <v>1861</v>
      </c>
      <c r="J30" s="589" t="s">
        <v>255</v>
      </c>
      <c r="K30" s="558" t="s">
        <v>1904</v>
      </c>
      <c r="L30" s="589" t="s">
        <v>255</v>
      </c>
      <c r="M30" s="590">
        <v>180000</v>
      </c>
    </row>
    <row r="31" spans="3:13" ht="15.75">
      <c r="C31" s="728">
        <v>2010</v>
      </c>
      <c r="D31" s="729">
        <v>40250</v>
      </c>
      <c r="E31" s="730" t="s">
        <v>267</v>
      </c>
      <c r="F31" s="731">
        <v>40257</v>
      </c>
      <c r="G31" s="730">
        <v>0.54097222222222219</v>
      </c>
      <c r="H31" s="558" t="s">
        <v>1906</v>
      </c>
      <c r="I31" s="558" t="s">
        <v>1861</v>
      </c>
      <c r="J31" s="589" t="s">
        <v>255</v>
      </c>
      <c r="K31" s="558" t="s">
        <v>1790</v>
      </c>
      <c r="L31" s="589">
        <v>100</v>
      </c>
      <c r="M31" s="590">
        <v>360000</v>
      </c>
    </row>
    <row r="32" spans="3:13" ht="15.75">
      <c r="C32" s="728">
        <v>2010</v>
      </c>
      <c r="D32" s="729">
        <v>40250</v>
      </c>
      <c r="E32" s="730" t="s">
        <v>267</v>
      </c>
      <c r="F32" s="731">
        <v>40257</v>
      </c>
      <c r="G32" s="730">
        <v>0.375</v>
      </c>
      <c r="H32" s="558" t="s">
        <v>1908</v>
      </c>
      <c r="I32" s="558" t="s">
        <v>1887</v>
      </c>
      <c r="J32" s="589" t="s">
        <v>255</v>
      </c>
      <c r="K32" s="558" t="s">
        <v>1790</v>
      </c>
      <c r="L32" s="589" t="s">
        <v>255</v>
      </c>
      <c r="M32" s="590">
        <v>173000</v>
      </c>
    </row>
    <row r="33" spans="3:13" ht="15.75">
      <c r="C33" s="728">
        <v>2010</v>
      </c>
      <c r="D33" s="729">
        <v>40268</v>
      </c>
      <c r="E33" s="730" t="s">
        <v>1910</v>
      </c>
      <c r="F33" s="731">
        <v>40269</v>
      </c>
      <c r="G33" s="730">
        <v>3.8194444444444448E-2</v>
      </c>
      <c r="H33" s="558" t="s">
        <v>1852</v>
      </c>
      <c r="I33" s="558" t="s">
        <v>251</v>
      </c>
      <c r="J33" s="589" t="s">
        <v>255</v>
      </c>
      <c r="K33" s="558" t="s">
        <v>973</v>
      </c>
      <c r="L33" s="589">
        <v>324</v>
      </c>
      <c r="M33" s="590">
        <v>290000</v>
      </c>
    </row>
    <row r="34" spans="3:13" ht="15.75">
      <c r="C34" s="728">
        <v>2010</v>
      </c>
      <c r="D34" s="729">
        <v>40268</v>
      </c>
      <c r="E34" s="730" t="s">
        <v>1910</v>
      </c>
      <c r="F34" s="731">
        <v>40269</v>
      </c>
      <c r="G34" s="730">
        <v>2.6388888888888889E-2</v>
      </c>
      <c r="H34" s="558" t="s">
        <v>1912</v>
      </c>
      <c r="I34" s="558" t="s">
        <v>251</v>
      </c>
      <c r="J34" s="589" t="s">
        <v>255</v>
      </c>
      <c r="K34" s="558" t="s">
        <v>973</v>
      </c>
      <c r="L34" s="589">
        <v>324</v>
      </c>
      <c r="M34" s="589" t="s">
        <v>255</v>
      </c>
    </row>
    <row r="35" spans="3:13" ht="16.5" thickBot="1">
      <c r="C35" s="728">
        <v>2010</v>
      </c>
      <c r="D35" s="729">
        <v>40284</v>
      </c>
      <c r="E35" s="730" t="s">
        <v>170</v>
      </c>
      <c r="F35" s="731">
        <v>40286</v>
      </c>
      <c r="G35" s="730">
        <v>0.70833333333333337</v>
      </c>
      <c r="H35" s="559" t="s">
        <v>1868</v>
      </c>
      <c r="I35" s="559" t="s">
        <v>1861</v>
      </c>
      <c r="J35" s="589" t="s">
        <v>255</v>
      </c>
      <c r="K35" s="559" t="s">
        <v>106</v>
      </c>
      <c r="L35" s="591">
        <v>15</v>
      </c>
      <c r="M35" s="630">
        <v>120000</v>
      </c>
    </row>
    <row r="36" spans="3:13" ht="16.5" thickTop="1">
      <c r="C36" s="728">
        <v>2010</v>
      </c>
      <c r="D36" s="729">
        <v>40289</v>
      </c>
      <c r="E36" s="730" t="s">
        <v>1002</v>
      </c>
      <c r="F36" s="731">
        <v>40289</v>
      </c>
      <c r="G36" s="730">
        <v>0.83333333333333337</v>
      </c>
      <c r="H36" s="558" t="s">
        <v>1914</v>
      </c>
      <c r="I36" s="558" t="s">
        <v>333</v>
      </c>
      <c r="J36" s="589" t="s">
        <v>255</v>
      </c>
      <c r="K36" s="558" t="s">
        <v>1915</v>
      </c>
      <c r="L36" s="589" t="s">
        <v>255</v>
      </c>
      <c r="M36" s="589" t="s">
        <v>255</v>
      </c>
    </row>
    <row r="37" spans="3:13" ht="15.75">
      <c r="C37" s="728">
        <v>2010</v>
      </c>
      <c r="D37" s="729">
        <v>40295</v>
      </c>
      <c r="E37" s="730" t="s">
        <v>897</v>
      </c>
      <c r="F37" s="731">
        <v>40295</v>
      </c>
      <c r="G37" s="730">
        <v>0.62152777777777779</v>
      </c>
      <c r="H37" s="558" t="s">
        <v>1917</v>
      </c>
      <c r="I37" s="558" t="s">
        <v>333</v>
      </c>
      <c r="J37" s="589" t="s">
        <v>255</v>
      </c>
      <c r="K37" s="558" t="s">
        <v>1806</v>
      </c>
      <c r="L37" s="589" t="s">
        <v>255</v>
      </c>
      <c r="M37" s="590">
        <v>29376</v>
      </c>
    </row>
    <row r="38" spans="3:13" ht="15.75">
      <c r="C38" s="728">
        <v>2010</v>
      </c>
      <c r="D38" s="729">
        <v>40300</v>
      </c>
      <c r="E38" s="730" t="s">
        <v>1919</v>
      </c>
      <c r="F38" s="731">
        <v>40307</v>
      </c>
      <c r="G38" s="730">
        <v>0.8125</v>
      </c>
      <c r="H38" s="558" t="s">
        <v>1920</v>
      </c>
      <c r="I38" s="558" t="s">
        <v>333</v>
      </c>
      <c r="J38" s="589" t="s">
        <v>255</v>
      </c>
      <c r="K38" s="558" t="s">
        <v>381</v>
      </c>
      <c r="L38" s="589" t="s">
        <v>255</v>
      </c>
      <c r="M38" s="590">
        <v>50500</v>
      </c>
    </row>
    <row r="39" spans="3:13" ht="15.75">
      <c r="C39" s="728">
        <v>2010</v>
      </c>
      <c r="D39" s="729">
        <v>40316</v>
      </c>
      <c r="E39" s="730" t="s">
        <v>1319</v>
      </c>
      <c r="F39" s="731">
        <v>40316</v>
      </c>
      <c r="G39" s="730">
        <v>0.94861111111111107</v>
      </c>
      <c r="H39" s="558" t="s">
        <v>1922</v>
      </c>
      <c r="I39" s="558" t="s">
        <v>124</v>
      </c>
      <c r="J39" s="589" t="s">
        <v>255</v>
      </c>
      <c r="K39" s="558" t="s">
        <v>1923</v>
      </c>
      <c r="L39" s="589">
        <v>318</v>
      </c>
      <c r="M39" s="589" t="s">
        <v>255</v>
      </c>
    </row>
    <row r="40" spans="3:13" ht="15.75">
      <c r="C40" s="728">
        <v>2010</v>
      </c>
      <c r="D40" s="729">
        <v>40324</v>
      </c>
      <c r="E40" s="730" t="s">
        <v>229</v>
      </c>
      <c r="F40" s="731">
        <v>40324</v>
      </c>
      <c r="G40" s="730">
        <v>0.625</v>
      </c>
      <c r="H40" s="558" t="s">
        <v>1926</v>
      </c>
      <c r="I40" s="558" t="s">
        <v>1925</v>
      </c>
      <c r="J40" s="589" t="s">
        <v>255</v>
      </c>
      <c r="K40" s="558" t="s">
        <v>1927</v>
      </c>
      <c r="L40" s="589" t="s">
        <v>255</v>
      </c>
      <c r="M40" s="589" t="s">
        <v>255</v>
      </c>
    </row>
    <row r="41" spans="3:13" ht="15.75">
      <c r="C41" s="728">
        <v>2010</v>
      </c>
      <c r="D41" s="729">
        <v>40330</v>
      </c>
      <c r="E41" s="730" t="s">
        <v>1531</v>
      </c>
      <c r="F41" s="731">
        <v>40347</v>
      </c>
      <c r="G41" s="730">
        <v>2.0833333333333332E-2</v>
      </c>
      <c r="H41" s="558" t="s">
        <v>1929</v>
      </c>
      <c r="I41" s="558" t="s">
        <v>1861</v>
      </c>
      <c r="J41" s="589" t="s">
        <v>255</v>
      </c>
      <c r="K41" s="558" t="s">
        <v>1930</v>
      </c>
      <c r="L41" s="589">
        <v>500</v>
      </c>
      <c r="M41" s="589">
        <v>1</v>
      </c>
    </row>
    <row r="42" spans="3:13" ht="15.75">
      <c r="C42" s="728">
        <v>2010</v>
      </c>
      <c r="D42" s="729">
        <v>40331</v>
      </c>
      <c r="E42" s="730" t="s">
        <v>1779</v>
      </c>
      <c r="F42" s="731">
        <v>40333</v>
      </c>
      <c r="G42" s="730">
        <v>0.33333333333333331</v>
      </c>
      <c r="H42" s="558" t="s">
        <v>1932</v>
      </c>
      <c r="I42" s="558" t="s">
        <v>1878</v>
      </c>
      <c r="J42" s="589" t="s">
        <v>255</v>
      </c>
      <c r="K42" s="558" t="s">
        <v>22</v>
      </c>
      <c r="L42" s="589" t="s">
        <v>255</v>
      </c>
      <c r="M42" s="590">
        <v>126000</v>
      </c>
    </row>
    <row r="43" spans="3:13" ht="15.75">
      <c r="C43" s="728">
        <v>2010</v>
      </c>
      <c r="D43" s="729">
        <v>40335</v>
      </c>
      <c r="E43" s="730" t="s">
        <v>1623</v>
      </c>
      <c r="F43" s="731">
        <v>40335</v>
      </c>
      <c r="G43" s="730">
        <v>0.2326388888888889</v>
      </c>
      <c r="H43" s="558" t="s">
        <v>141</v>
      </c>
      <c r="I43" s="558" t="s">
        <v>251</v>
      </c>
      <c r="J43" s="589" t="s">
        <v>255</v>
      </c>
      <c r="K43" s="558" t="s">
        <v>1359</v>
      </c>
      <c r="L43" s="589">
        <v>3</v>
      </c>
      <c r="M43" s="590">
        <v>2650</v>
      </c>
    </row>
    <row r="44" spans="3:13" ht="15.75">
      <c r="C44" s="728">
        <v>2010</v>
      </c>
      <c r="D44" s="729">
        <v>40336</v>
      </c>
      <c r="E44" s="730" t="s">
        <v>1935</v>
      </c>
      <c r="F44" s="731">
        <v>40337</v>
      </c>
      <c r="G44" s="730">
        <v>4.1666666666666664E-2</v>
      </c>
      <c r="H44" s="558" t="s">
        <v>1936</v>
      </c>
      <c r="I44" s="558" t="s">
        <v>251</v>
      </c>
      <c r="J44" s="589" t="s">
        <v>255</v>
      </c>
      <c r="K44" s="558" t="s">
        <v>1930</v>
      </c>
      <c r="L44" s="589">
        <v>300</v>
      </c>
      <c r="M44" s="590">
        <v>31000</v>
      </c>
    </row>
    <row r="45" spans="3:13" ht="15.75">
      <c r="C45" s="728">
        <v>2010</v>
      </c>
      <c r="D45" s="729">
        <v>40337</v>
      </c>
      <c r="E45" s="730" t="s">
        <v>91</v>
      </c>
      <c r="F45" s="731">
        <v>40337</v>
      </c>
      <c r="G45" s="730">
        <v>0.70833333333333337</v>
      </c>
      <c r="H45" s="558" t="s">
        <v>1938</v>
      </c>
      <c r="I45" s="558" t="s">
        <v>1878</v>
      </c>
      <c r="J45" s="589" t="s">
        <v>255</v>
      </c>
      <c r="K45" s="558" t="s">
        <v>381</v>
      </c>
      <c r="L45" s="589" t="s">
        <v>255</v>
      </c>
      <c r="M45" s="590">
        <v>79741</v>
      </c>
    </row>
    <row r="46" spans="3:13" ht="15.75">
      <c r="C46" s="728">
        <v>2010</v>
      </c>
      <c r="D46" s="729">
        <v>40338</v>
      </c>
      <c r="E46" s="730" t="s">
        <v>1940</v>
      </c>
      <c r="F46" s="731">
        <v>40338</v>
      </c>
      <c r="G46" s="730">
        <v>0.625</v>
      </c>
      <c r="H46" s="558" t="s">
        <v>1941</v>
      </c>
      <c r="I46" s="558" t="s">
        <v>333</v>
      </c>
      <c r="J46" s="589" t="s">
        <v>255</v>
      </c>
      <c r="K46" s="558" t="s">
        <v>1806</v>
      </c>
      <c r="L46" s="589" t="s">
        <v>255</v>
      </c>
      <c r="M46" s="590">
        <v>4196</v>
      </c>
    </row>
    <row r="47" spans="3:13" ht="15.75">
      <c r="C47" s="728">
        <v>2010</v>
      </c>
      <c r="D47" s="729">
        <v>40345</v>
      </c>
      <c r="E47" s="730" t="s">
        <v>1943</v>
      </c>
      <c r="F47" s="731">
        <v>40345</v>
      </c>
      <c r="G47" s="730">
        <v>0.48055555555555557</v>
      </c>
      <c r="H47" s="558" t="s">
        <v>1944</v>
      </c>
      <c r="I47" s="558" t="s">
        <v>1887</v>
      </c>
      <c r="J47" s="589" t="s">
        <v>255</v>
      </c>
      <c r="K47" s="558" t="s">
        <v>1945</v>
      </c>
      <c r="L47" s="589" t="s">
        <v>255</v>
      </c>
      <c r="M47" s="589" t="s">
        <v>255</v>
      </c>
    </row>
    <row r="48" spans="3:13" ht="15.75">
      <c r="C48" s="728">
        <v>2010</v>
      </c>
      <c r="D48" s="729">
        <v>40346</v>
      </c>
      <c r="E48" s="730" t="s">
        <v>1211</v>
      </c>
      <c r="F48" s="731">
        <v>40346</v>
      </c>
      <c r="G48" s="730">
        <v>0.74097222222222225</v>
      </c>
      <c r="H48" s="558" t="s">
        <v>1947</v>
      </c>
      <c r="I48" s="558" t="s">
        <v>1857</v>
      </c>
      <c r="J48" s="589" t="s">
        <v>255</v>
      </c>
      <c r="K48" s="558" t="s">
        <v>1173</v>
      </c>
      <c r="L48" s="589" t="s">
        <v>255</v>
      </c>
      <c r="M48" s="589" t="s">
        <v>255</v>
      </c>
    </row>
    <row r="49" spans="3:13" ht="15.75">
      <c r="C49" s="728">
        <v>2010</v>
      </c>
      <c r="D49" s="729">
        <v>40346</v>
      </c>
      <c r="E49" s="730" t="s">
        <v>1366</v>
      </c>
      <c r="F49" s="731">
        <v>40346</v>
      </c>
      <c r="G49" s="730">
        <v>0.72013888888888888</v>
      </c>
      <c r="H49" s="558" t="s">
        <v>1949</v>
      </c>
      <c r="I49" s="558" t="s">
        <v>333</v>
      </c>
      <c r="J49" s="589" t="s">
        <v>255</v>
      </c>
      <c r="K49" s="558" t="s">
        <v>1173</v>
      </c>
      <c r="L49" s="589" t="s">
        <v>255</v>
      </c>
      <c r="M49" s="589" t="s">
        <v>255</v>
      </c>
    </row>
    <row r="50" spans="3:13" ht="15.75">
      <c r="C50" s="728">
        <v>2010</v>
      </c>
      <c r="D50" s="729">
        <v>40346</v>
      </c>
      <c r="E50" s="730" t="s">
        <v>1366</v>
      </c>
      <c r="F50" s="731">
        <v>40346</v>
      </c>
      <c r="G50" s="730">
        <v>0.69444444444444442</v>
      </c>
      <c r="H50" s="558" t="s">
        <v>1949</v>
      </c>
      <c r="I50" s="558" t="s">
        <v>333</v>
      </c>
      <c r="J50" s="589" t="s">
        <v>255</v>
      </c>
      <c r="K50" s="558" t="s">
        <v>1173</v>
      </c>
      <c r="L50" s="589" t="s">
        <v>255</v>
      </c>
      <c r="M50" s="589" t="s">
        <v>255</v>
      </c>
    </row>
    <row r="51" spans="3:13" ht="15.75">
      <c r="C51" s="728">
        <v>2010</v>
      </c>
      <c r="D51" s="729">
        <v>40346</v>
      </c>
      <c r="E51" s="730" t="s">
        <v>1366</v>
      </c>
      <c r="F51" s="731">
        <v>40346</v>
      </c>
      <c r="G51" s="730">
        <v>0.69444444444444442</v>
      </c>
      <c r="H51" s="558" t="s">
        <v>1952</v>
      </c>
      <c r="I51" s="558" t="s">
        <v>1857</v>
      </c>
      <c r="J51" s="589" t="s">
        <v>255</v>
      </c>
      <c r="K51" s="558" t="s">
        <v>1173</v>
      </c>
      <c r="L51" s="589" t="s">
        <v>255</v>
      </c>
      <c r="M51" s="589" t="s">
        <v>255</v>
      </c>
    </row>
    <row r="52" spans="3:13" ht="15.75">
      <c r="C52" s="728">
        <v>2010</v>
      </c>
      <c r="D52" s="729">
        <v>40346</v>
      </c>
      <c r="E52" s="730" t="s">
        <v>1954</v>
      </c>
      <c r="F52" s="731">
        <v>40346</v>
      </c>
      <c r="G52" s="730">
        <v>0.4597222222222222</v>
      </c>
      <c r="H52" s="558" t="s">
        <v>1955</v>
      </c>
      <c r="I52" s="558" t="s">
        <v>1953</v>
      </c>
      <c r="J52" s="589" t="s">
        <v>255</v>
      </c>
      <c r="K52" s="558" t="s">
        <v>1223</v>
      </c>
      <c r="L52" s="589" t="s">
        <v>255</v>
      </c>
      <c r="M52" s="589" t="s">
        <v>255</v>
      </c>
    </row>
    <row r="53" spans="3:13" ht="15.75">
      <c r="C53" s="728">
        <v>2010</v>
      </c>
      <c r="D53" s="729">
        <v>40347</v>
      </c>
      <c r="E53" s="730" t="s">
        <v>397</v>
      </c>
      <c r="F53" s="731">
        <v>40349</v>
      </c>
      <c r="G53" s="730">
        <v>2.0833333333333332E-2</v>
      </c>
      <c r="H53" s="558" t="s">
        <v>1434</v>
      </c>
      <c r="I53" s="558" t="s">
        <v>1861</v>
      </c>
      <c r="J53" s="589" t="s">
        <v>255</v>
      </c>
      <c r="K53" s="558" t="s">
        <v>381</v>
      </c>
      <c r="L53" s="589" t="s">
        <v>255</v>
      </c>
      <c r="M53" s="590">
        <v>94345</v>
      </c>
    </row>
    <row r="54" spans="3:13" ht="15.75">
      <c r="C54" s="728">
        <v>2010</v>
      </c>
      <c r="D54" s="729">
        <v>40347</v>
      </c>
      <c r="E54" s="730" t="s">
        <v>212</v>
      </c>
      <c r="F54" s="731">
        <v>40349</v>
      </c>
      <c r="G54" s="730">
        <v>0.54166666666666663</v>
      </c>
      <c r="H54" s="558" t="s">
        <v>1958</v>
      </c>
      <c r="I54" s="558" t="s">
        <v>1861</v>
      </c>
      <c r="J54" s="589" t="s">
        <v>255</v>
      </c>
      <c r="K54" s="558" t="s">
        <v>22</v>
      </c>
      <c r="L54" s="589" t="s">
        <v>255</v>
      </c>
      <c r="M54" s="590">
        <v>400000</v>
      </c>
    </row>
    <row r="55" spans="3:13" ht="15.75">
      <c r="C55" s="728">
        <v>2010</v>
      </c>
      <c r="D55" s="729">
        <v>40347</v>
      </c>
      <c r="E55" s="730" t="s">
        <v>81</v>
      </c>
      <c r="F55" s="731">
        <v>40348</v>
      </c>
      <c r="G55" s="730">
        <v>0.20833333333333334</v>
      </c>
      <c r="H55" s="558" t="s">
        <v>1960</v>
      </c>
      <c r="I55" s="558" t="s">
        <v>1861</v>
      </c>
      <c r="J55" s="589" t="s">
        <v>255</v>
      </c>
      <c r="K55" s="558" t="s">
        <v>381</v>
      </c>
      <c r="L55" s="589" t="s">
        <v>255</v>
      </c>
      <c r="M55" s="590">
        <v>100000</v>
      </c>
    </row>
    <row r="56" spans="3:13" ht="15.75">
      <c r="C56" s="728">
        <v>2010</v>
      </c>
      <c r="D56" s="729">
        <v>40347</v>
      </c>
      <c r="E56" s="730" t="s">
        <v>109</v>
      </c>
      <c r="F56" s="731">
        <v>40350</v>
      </c>
      <c r="G56" s="730">
        <v>0.44791666666666669</v>
      </c>
      <c r="H56" s="558" t="s">
        <v>1962</v>
      </c>
      <c r="I56" s="558" t="s">
        <v>1861</v>
      </c>
      <c r="J56" s="589" t="s">
        <v>255</v>
      </c>
      <c r="K56" s="558" t="s">
        <v>22</v>
      </c>
      <c r="L56" s="589" t="s">
        <v>255</v>
      </c>
      <c r="M56" s="590">
        <v>79000</v>
      </c>
    </row>
    <row r="57" spans="3:13" ht="15.75">
      <c r="C57" s="728">
        <v>2010</v>
      </c>
      <c r="D57" s="729">
        <v>40347</v>
      </c>
      <c r="E57" s="730" t="s">
        <v>109</v>
      </c>
      <c r="F57" s="731">
        <v>40351</v>
      </c>
      <c r="G57" s="730">
        <v>0.8125</v>
      </c>
      <c r="H57" s="558" t="s">
        <v>1964</v>
      </c>
      <c r="I57" s="558" t="s">
        <v>1861</v>
      </c>
      <c r="J57" s="589" t="s">
        <v>255</v>
      </c>
      <c r="K57" s="558" t="s">
        <v>22</v>
      </c>
      <c r="L57" s="589" t="s">
        <v>255</v>
      </c>
      <c r="M57" s="590">
        <v>150000</v>
      </c>
    </row>
    <row r="58" spans="3:13" ht="15.75">
      <c r="C58" s="728">
        <v>2010</v>
      </c>
      <c r="D58" s="729">
        <v>40350</v>
      </c>
      <c r="E58" s="730" t="s">
        <v>1133</v>
      </c>
      <c r="F58" s="731">
        <v>40351</v>
      </c>
      <c r="G58" s="730">
        <v>0.85486111111111107</v>
      </c>
      <c r="H58" s="558" t="s">
        <v>1966</v>
      </c>
      <c r="I58" s="558" t="s">
        <v>1861</v>
      </c>
      <c r="J58" s="589" t="s">
        <v>255</v>
      </c>
      <c r="K58" s="558" t="s">
        <v>381</v>
      </c>
      <c r="L58" s="589">
        <v>400</v>
      </c>
      <c r="M58" s="590">
        <v>50636</v>
      </c>
    </row>
    <row r="59" spans="3:13" ht="15.75">
      <c r="C59" s="728">
        <v>2010</v>
      </c>
      <c r="D59" s="729">
        <v>40351</v>
      </c>
      <c r="E59" s="730" t="s">
        <v>1968</v>
      </c>
      <c r="F59" s="731">
        <v>40351</v>
      </c>
      <c r="G59" s="730">
        <v>0.79166666666666663</v>
      </c>
      <c r="H59" s="558" t="s">
        <v>1969</v>
      </c>
      <c r="I59" s="558" t="s">
        <v>333</v>
      </c>
      <c r="J59" s="589" t="s">
        <v>255</v>
      </c>
      <c r="K59" s="558" t="s">
        <v>1970</v>
      </c>
      <c r="L59" s="589">
        <v>84</v>
      </c>
      <c r="M59" s="590">
        <v>25159</v>
      </c>
    </row>
    <row r="60" spans="3:13" ht="15.75">
      <c r="C60" s="728">
        <v>2010</v>
      </c>
      <c r="D60" s="729">
        <v>40352</v>
      </c>
      <c r="E60" s="730" t="s">
        <v>104</v>
      </c>
      <c r="F60" s="731">
        <v>40354</v>
      </c>
      <c r="G60" s="730">
        <v>0.56944444444444442</v>
      </c>
      <c r="H60" s="558" t="s">
        <v>1958</v>
      </c>
      <c r="I60" s="558" t="s">
        <v>1861</v>
      </c>
      <c r="J60" s="589" t="s">
        <v>255</v>
      </c>
      <c r="K60" s="558" t="s">
        <v>22</v>
      </c>
      <c r="L60" s="589" t="s">
        <v>255</v>
      </c>
      <c r="M60" s="590">
        <v>300000</v>
      </c>
    </row>
    <row r="61" spans="3:13" ht="15.75">
      <c r="C61" s="728">
        <v>2010</v>
      </c>
      <c r="D61" s="729">
        <v>40352</v>
      </c>
      <c r="E61" s="730" t="s">
        <v>1008</v>
      </c>
      <c r="F61" s="731">
        <v>40353</v>
      </c>
      <c r="G61" s="730">
        <v>9.7916666666666666E-2</v>
      </c>
      <c r="H61" s="558" t="s">
        <v>1434</v>
      </c>
      <c r="I61" s="558" t="s">
        <v>1861</v>
      </c>
      <c r="J61" s="589" t="s">
        <v>255</v>
      </c>
      <c r="K61" s="558" t="s">
        <v>381</v>
      </c>
      <c r="L61" s="589" t="s">
        <v>255</v>
      </c>
      <c r="M61" s="590">
        <v>53000</v>
      </c>
    </row>
    <row r="62" spans="3:13" ht="15.75">
      <c r="C62" s="728">
        <v>2010</v>
      </c>
      <c r="D62" s="729">
        <v>40353</v>
      </c>
      <c r="E62" s="730" t="s">
        <v>328</v>
      </c>
      <c r="F62" s="731">
        <v>40358</v>
      </c>
      <c r="G62" s="730">
        <v>0.5</v>
      </c>
      <c r="H62" s="558" t="s">
        <v>1974</v>
      </c>
      <c r="I62" s="558" t="s">
        <v>1861</v>
      </c>
      <c r="J62" s="589" t="s">
        <v>255</v>
      </c>
      <c r="K62" s="558" t="s">
        <v>381</v>
      </c>
      <c r="L62" s="589" t="s">
        <v>255</v>
      </c>
      <c r="M62" s="590">
        <v>150000</v>
      </c>
    </row>
    <row r="63" spans="3:13" ht="15.75">
      <c r="C63" s="728">
        <v>2010</v>
      </c>
      <c r="D63" s="729">
        <v>40353</v>
      </c>
      <c r="E63" s="730" t="s">
        <v>397</v>
      </c>
      <c r="F63" s="731">
        <v>40358</v>
      </c>
      <c r="G63" s="730">
        <v>0.99930555555555556</v>
      </c>
      <c r="H63" s="558" t="s">
        <v>1877</v>
      </c>
      <c r="I63" s="558" t="s">
        <v>1861</v>
      </c>
      <c r="J63" s="589" t="s">
        <v>255</v>
      </c>
      <c r="K63" s="558" t="s">
        <v>381</v>
      </c>
      <c r="L63" s="589" t="s">
        <v>255</v>
      </c>
      <c r="M63" s="590">
        <v>355000</v>
      </c>
    </row>
    <row r="64" spans="3:13" ht="15.75">
      <c r="C64" s="728">
        <v>2010</v>
      </c>
      <c r="D64" s="729">
        <v>40354</v>
      </c>
      <c r="E64" s="730" t="s">
        <v>1977</v>
      </c>
      <c r="F64" s="731">
        <v>40355</v>
      </c>
      <c r="G64" s="730">
        <v>6.805555555555555E-2</v>
      </c>
      <c r="H64" s="558" t="s">
        <v>141</v>
      </c>
      <c r="I64" s="558" t="s">
        <v>251</v>
      </c>
      <c r="J64" s="589" t="s">
        <v>255</v>
      </c>
      <c r="K64" s="558" t="s">
        <v>1223</v>
      </c>
      <c r="L64" s="589" t="s">
        <v>255</v>
      </c>
      <c r="M64" s="589" t="s">
        <v>255</v>
      </c>
    </row>
    <row r="65" spans="3:13" ht="15.75">
      <c r="C65" s="728">
        <v>2010</v>
      </c>
      <c r="D65" s="729">
        <v>40365</v>
      </c>
      <c r="E65" s="730" t="s">
        <v>1979</v>
      </c>
      <c r="F65" s="731">
        <v>40365</v>
      </c>
      <c r="G65" s="730">
        <v>0.19236111111111112</v>
      </c>
      <c r="H65" s="558" t="s">
        <v>1980</v>
      </c>
      <c r="I65" s="558" t="s">
        <v>1861</v>
      </c>
      <c r="J65" s="589" t="s">
        <v>255</v>
      </c>
      <c r="K65" s="558" t="s">
        <v>1981</v>
      </c>
      <c r="L65" s="589">
        <v>95</v>
      </c>
      <c r="M65" s="590">
        <v>18400</v>
      </c>
    </row>
    <row r="66" spans="3:13" ht="15.75">
      <c r="C66" s="728">
        <v>2010</v>
      </c>
      <c r="D66" s="729">
        <v>40366</v>
      </c>
      <c r="E66" s="730" t="s">
        <v>1983</v>
      </c>
      <c r="F66" s="731">
        <v>40366</v>
      </c>
      <c r="G66" s="730">
        <v>0.93680555555555556</v>
      </c>
      <c r="H66" s="558" t="s">
        <v>1984</v>
      </c>
      <c r="I66" s="558" t="s">
        <v>1861</v>
      </c>
      <c r="J66" s="589" t="s">
        <v>255</v>
      </c>
      <c r="K66" s="558" t="s">
        <v>1985</v>
      </c>
      <c r="L66" s="589" t="s">
        <v>255</v>
      </c>
      <c r="M66" s="590">
        <v>43903</v>
      </c>
    </row>
    <row r="67" spans="3:13" ht="15.75">
      <c r="C67" s="728">
        <v>2010</v>
      </c>
      <c r="D67" s="729">
        <v>40374</v>
      </c>
      <c r="E67" s="730" t="s">
        <v>81</v>
      </c>
      <c r="F67" s="731">
        <v>40378</v>
      </c>
      <c r="G67" s="730">
        <v>0.97916666666666663</v>
      </c>
      <c r="H67" s="558" t="s">
        <v>268</v>
      </c>
      <c r="I67" s="558" t="s">
        <v>1861</v>
      </c>
      <c r="J67" s="589" t="s">
        <v>255</v>
      </c>
      <c r="K67" s="558" t="s">
        <v>22</v>
      </c>
      <c r="L67" s="589">
        <v>540</v>
      </c>
      <c r="M67" s="590">
        <v>127534</v>
      </c>
    </row>
    <row r="68" spans="3:13" ht="15.75">
      <c r="C68" s="728">
        <v>2010</v>
      </c>
      <c r="D68" s="729">
        <v>40376</v>
      </c>
      <c r="E68" s="730" t="s">
        <v>722</v>
      </c>
      <c r="F68" s="731">
        <v>40378</v>
      </c>
      <c r="G68" s="730">
        <v>0.91666666666666663</v>
      </c>
      <c r="H68" s="558" t="s">
        <v>675</v>
      </c>
      <c r="I68" s="558" t="s">
        <v>1953</v>
      </c>
      <c r="J68" s="589" t="s">
        <v>255</v>
      </c>
      <c r="K68" s="558" t="s">
        <v>1988</v>
      </c>
      <c r="L68" s="589" t="s">
        <v>255</v>
      </c>
      <c r="M68" s="590">
        <v>63000</v>
      </c>
    </row>
    <row r="69" spans="3:13" ht="15.75">
      <c r="C69" s="728">
        <v>2010</v>
      </c>
      <c r="D69" s="729">
        <v>40380</v>
      </c>
      <c r="E69" s="730" t="s">
        <v>1990</v>
      </c>
      <c r="F69" s="731">
        <v>40380</v>
      </c>
      <c r="G69" s="730">
        <v>0.83333333333333337</v>
      </c>
      <c r="H69" s="558" t="s">
        <v>1579</v>
      </c>
      <c r="I69" s="558" t="s">
        <v>1887</v>
      </c>
      <c r="J69" s="589" t="s">
        <v>255</v>
      </c>
      <c r="K69" s="558" t="s">
        <v>381</v>
      </c>
      <c r="L69" s="589" t="s">
        <v>255</v>
      </c>
      <c r="M69" s="590">
        <v>50100</v>
      </c>
    </row>
    <row r="70" spans="3:13" ht="15.75">
      <c r="C70" s="728">
        <v>2010</v>
      </c>
      <c r="D70" s="729">
        <v>40382</v>
      </c>
      <c r="E70" s="730" t="s">
        <v>334</v>
      </c>
      <c r="F70" s="731">
        <v>40383</v>
      </c>
      <c r="G70" s="730">
        <v>0.99652777777777779</v>
      </c>
      <c r="H70" s="558" t="s">
        <v>1992</v>
      </c>
      <c r="I70" s="558" t="s">
        <v>251</v>
      </c>
      <c r="J70" s="589" t="s">
        <v>255</v>
      </c>
      <c r="K70" s="558" t="s">
        <v>962</v>
      </c>
      <c r="L70" s="592">
        <v>40702</v>
      </c>
      <c r="M70" s="589" t="s">
        <v>255</v>
      </c>
    </row>
    <row r="71" spans="3:13" ht="16.5" thickBot="1">
      <c r="C71" s="728">
        <v>2010</v>
      </c>
      <c r="D71" s="729">
        <v>40382</v>
      </c>
      <c r="E71" s="730" t="s">
        <v>1053</v>
      </c>
      <c r="F71" s="731">
        <v>40385</v>
      </c>
      <c r="G71" s="730">
        <v>0.77083333333333337</v>
      </c>
      <c r="H71" s="559" t="s">
        <v>268</v>
      </c>
      <c r="I71" s="559" t="s">
        <v>1861</v>
      </c>
      <c r="J71" s="589" t="s">
        <v>255</v>
      </c>
      <c r="K71" s="559" t="s">
        <v>22</v>
      </c>
      <c r="L71" s="591">
        <v>400</v>
      </c>
      <c r="M71" s="630">
        <v>82000</v>
      </c>
    </row>
    <row r="72" spans="3:13" ht="16.5" thickTop="1">
      <c r="C72" s="728">
        <v>2010</v>
      </c>
      <c r="D72" s="729">
        <v>40384</v>
      </c>
      <c r="E72" s="730" t="s">
        <v>1996</v>
      </c>
      <c r="F72" s="731">
        <v>40389</v>
      </c>
      <c r="G72" s="730">
        <v>0.97916666666666663</v>
      </c>
      <c r="H72" s="558" t="s">
        <v>1997</v>
      </c>
      <c r="I72" s="558" t="s">
        <v>1861</v>
      </c>
      <c r="J72" s="589" t="s">
        <v>255</v>
      </c>
      <c r="K72" s="558" t="s">
        <v>22</v>
      </c>
      <c r="L72" s="589" t="s">
        <v>255</v>
      </c>
      <c r="M72" s="590">
        <v>297700</v>
      </c>
    </row>
    <row r="73" spans="3:13" ht="15.75">
      <c r="C73" s="728">
        <v>2010</v>
      </c>
      <c r="D73" s="729">
        <v>40384</v>
      </c>
      <c r="E73" s="730" t="s">
        <v>1999</v>
      </c>
      <c r="F73" s="731">
        <v>40386</v>
      </c>
      <c r="G73" s="730">
        <v>0.75</v>
      </c>
      <c r="H73" s="558" t="s">
        <v>916</v>
      </c>
      <c r="I73" s="558" t="s">
        <v>1861</v>
      </c>
      <c r="J73" s="589" t="s">
        <v>255</v>
      </c>
      <c r="K73" s="558" t="s">
        <v>22</v>
      </c>
      <c r="L73" s="589">
        <v>480</v>
      </c>
      <c r="M73" s="590">
        <v>124000</v>
      </c>
    </row>
    <row r="74" spans="3:13" ht="15.75">
      <c r="C74" s="728">
        <v>2010</v>
      </c>
      <c r="D74" s="729">
        <v>40384</v>
      </c>
      <c r="E74" s="730" t="s">
        <v>209</v>
      </c>
      <c r="F74" s="731">
        <v>40384</v>
      </c>
      <c r="G74" s="730">
        <v>0.83750000000000002</v>
      </c>
      <c r="H74" s="558" t="s">
        <v>923</v>
      </c>
      <c r="I74" s="558" t="s">
        <v>333</v>
      </c>
      <c r="J74" s="589" t="s">
        <v>255</v>
      </c>
      <c r="K74" s="558" t="s">
        <v>22</v>
      </c>
      <c r="L74" s="589" t="s">
        <v>2001</v>
      </c>
      <c r="M74" s="590">
        <v>81000</v>
      </c>
    </row>
    <row r="75" spans="3:13" ht="15.75">
      <c r="C75" s="728">
        <v>2010</v>
      </c>
      <c r="D75" s="729">
        <v>40388</v>
      </c>
      <c r="E75" s="730" t="s">
        <v>2003</v>
      </c>
      <c r="F75" s="731">
        <v>40388</v>
      </c>
      <c r="G75" s="730">
        <v>0.83819444444444446</v>
      </c>
      <c r="H75" s="558" t="s">
        <v>2004</v>
      </c>
      <c r="I75" s="558" t="s">
        <v>333</v>
      </c>
      <c r="J75" s="589" t="s">
        <v>255</v>
      </c>
      <c r="K75" s="558" t="s">
        <v>381</v>
      </c>
      <c r="L75" s="589" t="s">
        <v>255</v>
      </c>
      <c r="M75" s="590">
        <v>55000</v>
      </c>
    </row>
    <row r="76" spans="3:13" ht="15.75">
      <c r="C76" s="728">
        <v>2010</v>
      </c>
      <c r="D76" s="729">
        <v>40388</v>
      </c>
      <c r="E76" s="730" t="s">
        <v>922</v>
      </c>
      <c r="F76" s="731">
        <v>40388</v>
      </c>
      <c r="G76" s="730">
        <v>0.80972222222222223</v>
      </c>
      <c r="H76" s="558" t="s">
        <v>703</v>
      </c>
      <c r="I76" s="558" t="s">
        <v>251</v>
      </c>
      <c r="J76" s="589" t="s">
        <v>255</v>
      </c>
      <c r="K76" s="558" t="s">
        <v>2006</v>
      </c>
      <c r="L76" s="589">
        <v>522</v>
      </c>
      <c r="M76" s="589" t="s">
        <v>255</v>
      </c>
    </row>
    <row r="77" spans="3:13" ht="15.75">
      <c r="C77" s="728">
        <v>2010</v>
      </c>
      <c r="D77" s="729">
        <v>40388</v>
      </c>
      <c r="E77" s="730" t="s">
        <v>922</v>
      </c>
      <c r="F77" s="731">
        <v>40388</v>
      </c>
      <c r="G77" s="730">
        <v>0.80972222222222223</v>
      </c>
      <c r="H77" s="558" t="s">
        <v>703</v>
      </c>
      <c r="I77" s="558" t="s">
        <v>251</v>
      </c>
      <c r="J77" s="589" t="s">
        <v>255</v>
      </c>
      <c r="K77" s="558" t="s">
        <v>2006</v>
      </c>
      <c r="L77" s="589">
        <v>522</v>
      </c>
      <c r="M77" s="589" t="s">
        <v>255</v>
      </c>
    </row>
    <row r="78" spans="3:13" ht="15.75">
      <c r="C78" s="728">
        <v>2010</v>
      </c>
      <c r="D78" s="729">
        <v>40392</v>
      </c>
      <c r="E78" s="730" t="s">
        <v>424</v>
      </c>
      <c r="F78" s="731">
        <v>40392</v>
      </c>
      <c r="G78" s="730">
        <v>0.95833333333333337</v>
      </c>
      <c r="H78" s="558" t="s">
        <v>1922</v>
      </c>
      <c r="I78" s="558" t="s">
        <v>251</v>
      </c>
      <c r="J78" s="589" t="s">
        <v>255</v>
      </c>
      <c r="K78" s="558" t="s">
        <v>2008</v>
      </c>
      <c r="L78" s="589" t="s">
        <v>255</v>
      </c>
      <c r="M78" s="589" t="s">
        <v>255</v>
      </c>
    </row>
    <row r="79" spans="3:13" ht="15.75">
      <c r="C79" s="728">
        <v>2010</v>
      </c>
      <c r="D79" s="729">
        <v>40392</v>
      </c>
      <c r="E79" s="730" t="s">
        <v>1179</v>
      </c>
      <c r="F79" s="731">
        <v>40394</v>
      </c>
      <c r="G79" s="730">
        <v>0.45833333333333331</v>
      </c>
      <c r="H79" s="558" t="s">
        <v>1949</v>
      </c>
      <c r="I79" s="558" t="s">
        <v>333</v>
      </c>
      <c r="J79" s="589" t="s">
        <v>255</v>
      </c>
      <c r="K79" s="558" t="s">
        <v>962</v>
      </c>
      <c r="L79" s="589" t="s">
        <v>255</v>
      </c>
      <c r="M79" s="589" t="s">
        <v>255</v>
      </c>
    </row>
    <row r="80" spans="3:13" ht="15.75">
      <c r="C80" s="728">
        <v>2010</v>
      </c>
      <c r="D80" s="729">
        <v>40392</v>
      </c>
      <c r="E80" s="730" t="s">
        <v>1179</v>
      </c>
      <c r="F80" s="731">
        <v>40394</v>
      </c>
      <c r="G80" s="730">
        <v>0.45833333333333331</v>
      </c>
      <c r="H80" s="558" t="s">
        <v>1949</v>
      </c>
      <c r="I80" s="558" t="s">
        <v>333</v>
      </c>
      <c r="J80" s="589" t="s">
        <v>255</v>
      </c>
      <c r="K80" s="558" t="s">
        <v>962</v>
      </c>
      <c r="L80" s="589" t="s">
        <v>255</v>
      </c>
      <c r="M80" s="589" t="s">
        <v>255</v>
      </c>
    </row>
    <row r="81" spans="3:13" ht="15.75">
      <c r="C81" s="728">
        <v>2010</v>
      </c>
      <c r="D81" s="729">
        <v>40392</v>
      </c>
      <c r="E81" s="730" t="s">
        <v>1179</v>
      </c>
      <c r="F81" s="731">
        <v>40394</v>
      </c>
      <c r="G81" s="730">
        <v>0.45833333333333331</v>
      </c>
      <c r="H81" s="558" t="s">
        <v>1952</v>
      </c>
      <c r="I81" s="558" t="s">
        <v>333</v>
      </c>
      <c r="J81" s="589" t="s">
        <v>255</v>
      </c>
      <c r="K81" s="558" t="s">
        <v>962</v>
      </c>
      <c r="L81" s="589" t="s">
        <v>255</v>
      </c>
      <c r="M81" s="589" t="s">
        <v>255</v>
      </c>
    </row>
    <row r="82" spans="3:13" ht="15.75">
      <c r="C82" s="728">
        <v>2010</v>
      </c>
      <c r="D82" s="729">
        <v>40392</v>
      </c>
      <c r="E82" s="730" t="s">
        <v>1179</v>
      </c>
      <c r="F82" s="731">
        <v>40394</v>
      </c>
      <c r="G82" s="730">
        <v>0.45833333333333331</v>
      </c>
      <c r="H82" s="558" t="s">
        <v>1949</v>
      </c>
      <c r="I82" s="558" t="s">
        <v>1857</v>
      </c>
      <c r="J82" s="589" t="s">
        <v>255</v>
      </c>
      <c r="K82" s="558" t="s">
        <v>962</v>
      </c>
      <c r="L82" s="589" t="s">
        <v>255</v>
      </c>
      <c r="M82" s="589" t="s">
        <v>255</v>
      </c>
    </row>
    <row r="83" spans="3:13" ht="15.75">
      <c r="C83" s="728">
        <v>2010</v>
      </c>
      <c r="D83" s="729">
        <v>40394</v>
      </c>
      <c r="E83" s="730" t="s">
        <v>424</v>
      </c>
      <c r="F83" s="731">
        <v>40394</v>
      </c>
      <c r="G83" s="730">
        <v>0.91666666666666663</v>
      </c>
      <c r="H83" s="558" t="s">
        <v>2011</v>
      </c>
      <c r="I83" s="558" t="s">
        <v>1857</v>
      </c>
      <c r="J83" s="589" t="s">
        <v>255</v>
      </c>
      <c r="K83" s="558" t="s">
        <v>962</v>
      </c>
      <c r="L83" s="589" t="s">
        <v>255</v>
      </c>
      <c r="M83" s="589" t="s">
        <v>255</v>
      </c>
    </row>
    <row r="84" spans="3:13" ht="15.75">
      <c r="C84" s="728">
        <v>2010</v>
      </c>
      <c r="D84" s="729">
        <v>40394</v>
      </c>
      <c r="E84" s="730" t="s">
        <v>2013</v>
      </c>
      <c r="F84" s="731">
        <v>40397</v>
      </c>
      <c r="G84" s="730">
        <v>0</v>
      </c>
      <c r="H84" s="558" t="s">
        <v>2014</v>
      </c>
      <c r="I84" s="558" t="s">
        <v>1861</v>
      </c>
      <c r="J84" s="589" t="s">
        <v>255</v>
      </c>
      <c r="K84" s="558" t="s">
        <v>381</v>
      </c>
      <c r="L84" s="589">
        <v>60</v>
      </c>
      <c r="M84" s="590">
        <v>11186</v>
      </c>
    </row>
    <row r="85" spans="3:13" ht="15.75">
      <c r="C85" s="728">
        <v>2010</v>
      </c>
      <c r="D85" s="729">
        <v>40394</v>
      </c>
      <c r="E85" s="730" t="s">
        <v>104</v>
      </c>
      <c r="F85" s="731">
        <v>40396</v>
      </c>
      <c r="G85" s="730">
        <v>0.16666666666666666</v>
      </c>
      <c r="H85" s="558" t="s">
        <v>2016</v>
      </c>
      <c r="I85" s="558" t="s">
        <v>1861</v>
      </c>
      <c r="J85" s="589" t="s">
        <v>255</v>
      </c>
      <c r="K85" s="558" t="s">
        <v>22</v>
      </c>
      <c r="L85" s="589" t="s">
        <v>255</v>
      </c>
      <c r="M85" s="590">
        <v>37000</v>
      </c>
    </row>
    <row r="86" spans="3:13" ht="15.75">
      <c r="C86" s="728">
        <v>2010</v>
      </c>
      <c r="D86" s="729">
        <v>40395</v>
      </c>
      <c r="E86" s="730" t="s">
        <v>397</v>
      </c>
      <c r="F86" s="731">
        <v>40395</v>
      </c>
      <c r="G86" s="730">
        <v>0.91666666666666663</v>
      </c>
      <c r="H86" s="558" t="s">
        <v>2018</v>
      </c>
      <c r="I86" s="558" t="s">
        <v>1861</v>
      </c>
      <c r="J86" s="589" t="s">
        <v>255</v>
      </c>
      <c r="K86" s="558" t="s">
        <v>381</v>
      </c>
      <c r="L86" s="589" t="s">
        <v>255</v>
      </c>
      <c r="M86" s="590">
        <v>76729</v>
      </c>
    </row>
    <row r="87" spans="3:13" ht="15.75">
      <c r="C87" s="728">
        <v>2010</v>
      </c>
      <c r="D87" s="729">
        <v>40395</v>
      </c>
      <c r="E87" s="730" t="s">
        <v>2020</v>
      </c>
      <c r="F87" s="731">
        <v>40398</v>
      </c>
      <c r="G87" s="730">
        <v>0</v>
      </c>
      <c r="H87" s="558" t="s">
        <v>923</v>
      </c>
      <c r="I87" s="558" t="s">
        <v>1861</v>
      </c>
      <c r="J87" s="589" t="s">
        <v>255</v>
      </c>
      <c r="K87" s="558" t="s">
        <v>381</v>
      </c>
      <c r="L87" s="589" t="s">
        <v>255</v>
      </c>
      <c r="M87" s="590">
        <v>145157</v>
      </c>
    </row>
    <row r="88" spans="3:13" ht="15.75">
      <c r="C88" s="728">
        <v>2010</v>
      </c>
      <c r="D88" s="729">
        <v>40399</v>
      </c>
      <c r="E88" s="730" t="s">
        <v>424</v>
      </c>
      <c r="F88" s="731">
        <v>40406</v>
      </c>
      <c r="G88" s="730">
        <v>0.5</v>
      </c>
      <c r="H88" s="558" t="s">
        <v>89</v>
      </c>
      <c r="I88" s="558" t="s">
        <v>1861</v>
      </c>
      <c r="J88" s="589" t="s">
        <v>255</v>
      </c>
      <c r="K88" s="558" t="s">
        <v>2022</v>
      </c>
      <c r="L88" s="589" t="s">
        <v>255</v>
      </c>
      <c r="M88" s="589" t="s">
        <v>255</v>
      </c>
    </row>
    <row r="89" spans="3:13" ht="15.75">
      <c r="C89" s="728">
        <v>2010</v>
      </c>
      <c r="D89" s="729">
        <v>40401</v>
      </c>
      <c r="E89" s="730" t="s">
        <v>2024</v>
      </c>
      <c r="F89" s="731">
        <v>40401</v>
      </c>
      <c r="G89" s="730">
        <v>0.5083333333333333</v>
      </c>
      <c r="H89" s="558" t="s">
        <v>160</v>
      </c>
      <c r="I89" s="558" t="s">
        <v>1861</v>
      </c>
      <c r="J89" s="589" t="s">
        <v>255</v>
      </c>
      <c r="K89" s="558" t="s">
        <v>22</v>
      </c>
      <c r="L89" s="589" t="s">
        <v>255</v>
      </c>
      <c r="M89" s="590">
        <v>57000</v>
      </c>
    </row>
    <row r="90" spans="3:13" ht="15.75">
      <c r="C90" s="728">
        <v>2010</v>
      </c>
      <c r="D90" s="729">
        <v>40402</v>
      </c>
      <c r="E90" s="730" t="s">
        <v>2026</v>
      </c>
      <c r="F90" s="731">
        <v>40402</v>
      </c>
      <c r="G90" s="730">
        <v>0.875</v>
      </c>
      <c r="H90" s="558" t="s">
        <v>2018</v>
      </c>
      <c r="I90" s="558" t="s">
        <v>1861</v>
      </c>
      <c r="J90" s="589" t="s">
        <v>255</v>
      </c>
      <c r="K90" s="558" t="s">
        <v>22</v>
      </c>
      <c r="L90" s="589" t="s">
        <v>255</v>
      </c>
      <c r="M90" s="590">
        <v>101003</v>
      </c>
    </row>
    <row r="91" spans="3:13" ht="15.75">
      <c r="C91" s="728">
        <v>2010</v>
      </c>
      <c r="D91" s="729">
        <v>40402</v>
      </c>
      <c r="E91" s="730" t="s">
        <v>2028</v>
      </c>
      <c r="F91" s="731">
        <v>40402</v>
      </c>
      <c r="G91" s="730">
        <v>0.45833333333333331</v>
      </c>
      <c r="H91" s="558" t="s">
        <v>2029</v>
      </c>
      <c r="I91" s="558" t="s">
        <v>1857</v>
      </c>
      <c r="J91" s="589" t="s">
        <v>255</v>
      </c>
      <c r="K91" s="558" t="s">
        <v>962</v>
      </c>
      <c r="L91" s="589">
        <v>65</v>
      </c>
      <c r="M91" s="589" t="s">
        <v>255</v>
      </c>
    </row>
    <row r="92" spans="3:13" ht="15.75">
      <c r="C92" s="728">
        <v>2010</v>
      </c>
      <c r="D92" s="729">
        <v>40402</v>
      </c>
      <c r="E92" s="730" t="s">
        <v>1144</v>
      </c>
      <c r="F92" s="731">
        <v>40402</v>
      </c>
      <c r="G92" s="730">
        <v>0.92361111111111116</v>
      </c>
      <c r="H92" s="558" t="s">
        <v>2031</v>
      </c>
      <c r="I92" s="558" t="s">
        <v>1953</v>
      </c>
      <c r="J92" s="589" t="s">
        <v>255</v>
      </c>
      <c r="K92" s="558" t="s">
        <v>962</v>
      </c>
      <c r="L92" s="589">
        <v>30</v>
      </c>
      <c r="M92" s="590">
        <v>7600</v>
      </c>
    </row>
    <row r="93" spans="3:13" ht="15.75">
      <c r="C93" s="728">
        <v>2010</v>
      </c>
      <c r="D93" s="729">
        <v>40409</v>
      </c>
      <c r="E93" s="730" t="s">
        <v>267</v>
      </c>
      <c r="F93" s="731">
        <v>40413</v>
      </c>
      <c r="G93" s="730">
        <v>0.64583333333333337</v>
      </c>
      <c r="H93" s="558" t="s">
        <v>268</v>
      </c>
      <c r="I93" s="558" t="s">
        <v>1861</v>
      </c>
      <c r="J93" s="589" t="s">
        <v>255</v>
      </c>
      <c r="K93" s="558" t="s">
        <v>22</v>
      </c>
      <c r="L93" s="589">
        <v>340</v>
      </c>
      <c r="M93" s="590">
        <v>80000</v>
      </c>
    </row>
    <row r="94" spans="3:13" ht="15.75">
      <c r="C94" s="728">
        <v>2010</v>
      </c>
      <c r="D94" s="729">
        <v>40413</v>
      </c>
      <c r="E94" s="730" t="s">
        <v>716</v>
      </c>
      <c r="F94" s="731">
        <v>40414</v>
      </c>
      <c r="G94" s="730">
        <v>0.39583333333333331</v>
      </c>
      <c r="H94" s="558" t="s">
        <v>1098</v>
      </c>
      <c r="I94" s="558" t="s">
        <v>1878</v>
      </c>
      <c r="J94" s="589" t="s">
        <v>255</v>
      </c>
      <c r="K94" s="558" t="s">
        <v>22</v>
      </c>
      <c r="L94" s="589">
        <v>746</v>
      </c>
      <c r="M94" s="590">
        <v>81586</v>
      </c>
    </row>
    <row r="95" spans="3:13" ht="15.75">
      <c r="C95" s="728">
        <v>2010</v>
      </c>
      <c r="D95" s="729">
        <v>40422</v>
      </c>
      <c r="E95" s="730" t="s">
        <v>2035</v>
      </c>
      <c r="F95" s="731">
        <v>40422</v>
      </c>
      <c r="G95" s="730">
        <v>0.53055555555555556</v>
      </c>
      <c r="H95" s="558" t="s">
        <v>2036</v>
      </c>
      <c r="I95" s="558" t="s">
        <v>251</v>
      </c>
      <c r="J95" s="589" t="s">
        <v>255</v>
      </c>
      <c r="K95" s="558" t="s">
        <v>2037</v>
      </c>
      <c r="L95" s="589">
        <v>31</v>
      </c>
      <c r="M95" s="590">
        <v>15000</v>
      </c>
    </row>
    <row r="96" spans="3:13" ht="15.75">
      <c r="C96" s="728">
        <v>2010</v>
      </c>
      <c r="D96" s="729">
        <v>40428</v>
      </c>
      <c r="E96" s="730" t="s">
        <v>1363</v>
      </c>
      <c r="F96" s="731">
        <v>40429</v>
      </c>
      <c r="G96" s="730">
        <v>6.0416666666666667E-2</v>
      </c>
      <c r="H96" s="558" t="s">
        <v>1763</v>
      </c>
      <c r="I96" s="558" t="s">
        <v>1878</v>
      </c>
      <c r="J96" s="589" t="s">
        <v>255</v>
      </c>
      <c r="K96" s="558" t="s">
        <v>1256</v>
      </c>
      <c r="L96" s="589" t="s">
        <v>255</v>
      </c>
      <c r="M96" s="590">
        <v>340350</v>
      </c>
    </row>
    <row r="97" spans="3:13" ht="15.75">
      <c r="C97" s="728">
        <v>2010</v>
      </c>
      <c r="D97" s="729">
        <v>40441</v>
      </c>
      <c r="E97" s="730" t="s">
        <v>104</v>
      </c>
      <c r="F97" s="731">
        <v>40441</v>
      </c>
      <c r="G97" s="730">
        <v>0.72916666666666663</v>
      </c>
      <c r="H97" s="558" t="s">
        <v>2040</v>
      </c>
      <c r="I97" s="558" t="s">
        <v>333</v>
      </c>
      <c r="J97" s="589" t="s">
        <v>255</v>
      </c>
      <c r="K97" s="558" t="s">
        <v>2041</v>
      </c>
      <c r="L97" s="589" t="s">
        <v>255</v>
      </c>
      <c r="M97" s="589" t="s">
        <v>255</v>
      </c>
    </row>
    <row r="98" spans="3:13" ht="15.75">
      <c r="C98" s="728">
        <v>2010</v>
      </c>
      <c r="D98" s="729">
        <v>40442</v>
      </c>
      <c r="E98" s="730" t="s">
        <v>2043</v>
      </c>
      <c r="F98" s="731">
        <v>40443</v>
      </c>
      <c r="G98" s="730">
        <v>0.60416666666666663</v>
      </c>
      <c r="H98" s="558" t="s">
        <v>2044</v>
      </c>
      <c r="I98" s="558" t="s">
        <v>1861</v>
      </c>
      <c r="J98" s="589" t="s">
        <v>255</v>
      </c>
      <c r="K98" s="558" t="s">
        <v>381</v>
      </c>
      <c r="L98" s="589" t="s">
        <v>255</v>
      </c>
      <c r="M98" s="590">
        <v>138000</v>
      </c>
    </row>
    <row r="99" spans="3:13" ht="15.75">
      <c r="C99" s="728">
        <v>2010</v>
      </c>
      <c r="D99" s="729">
        <v>40443</v>
      </c>
      <c r="E99" s="730" t="s">
        <v>2046</v>
      </c>
      <c r="F99" s="731">
        <v>40443</v>
      </c>
      <c r="G99" s="730">
        <v>0.95833333333333337</v>
      </c>
      <c r="H99" s="558" t="s">
        <v>2047</v>
      </c>
      <c r="I99" s="558" t="s">
        <v>251</v>
      </c>
      <c r="J99" s="589" t="s">
        <v>255</v>
      </c>
      <c r="K99" s="558" t="s">
        <v>1930</v>
      </c>
      <c r="L99" s="589">
        <v>526</v>
      </c>
      <c r="M99" s="589" t="s">
        <v>255</v>
      </c>
    </row>
    <row r="100" spans="3:13" ht="15.75">
      <c r="C100" s="728">
        <v>2010</v>
      </c>
      <c r="D100" s="729">
        <v>40443</v>
      </c>
      <c r="E100" s="730" t="s">
        <v>2049</v>
      </c>
      <c r="F100" s="731">
        <v>40447</v>
      </c>
      <c r="G100" s="730">
        <v>0</v>
      </c>
      <c r="H100" s="558" t="s">
        <v>2050</v>
      </c>
      <c r="I100" s="558" t="s">
        <v>1861</v>
      </c>
      <c r="J100" s="589" t="s">
        <v>255</v>
      </c>
      <c r="K100" s="558" t="s">
        <v>381</v>
      </c>
      <c r="L100" s="589">
        <v>156</v>
      </c>
      <c r="M100" s="590">
        <v>52000</v>
      </c>
    </row>
    <row r="101" spans="3:13" ht="15.75">
      <c r="C101" s="728">
        <v>2010</v>
      </c>
      <c r="D101" s="729">
        <v>40443</v>
      </c>
      <c r="E101" s="730" t="s">
        <v>2052</v>
      </c>
      <c r="F101" s="731">
        <v>40445</v>
      </c>
      <c r="G101" s="730">
        <v>0.97916666666666663</v>
      </c>
      <c r="H101" s="558" t="s">
        <v>1562</v>
      </c>
      <c r="I101" s="558" t="s">
        <v>1861</v>
      </c>
      <c r="J101" s="589" t="s">
        <v>255</v>
      </c>
      <c r="K101" s="558" t="s">
        <v>381</v>
      </c>
      <c r="L101" s="589">
        <v>389</v>
      </c>
      <c r="M101" s="590">
        <v>82861</v>
      </c>
    </row>
    <row r="102" spans="3:13" ht="15.75">
      <c r="C102" s="728">
        <v>2010</v>
      </c>
      <c r="D102" s="729">
        <v>40448</v>
      </c>
      <c r="E102" s="730" t="s">
        <v>136</v>
      </c>
      <c r="F102" s="731">
        <v>40448</v>
      </c>
      <c r="G102" s="730">
        <v>0.7583333333333333</v>
      </c>
      <c r="H102" s="558" t="s">
        <v>393</v>
      </c>
      <c r="I102" s="558" t="s">
        <v>251</v>
      </c>
      <c r="J102" s="589" t="s">
        <v>255</v>
      </c>
      <c r="K102" s="558" t="s">
        <v>2054</v>
      </c>
      <c r="L102" s="589">
        <v>595</v>
      </c>
      <c r="M102" s="589" t="s">
        <v>255</v>
      </c>
    </row>
    <row r="103" spans="3:13" ht="15.75">
      <c r="C103" s="728">
        <v>2010</v>
      </c>
      <c r="D103" s="729">
        <v>40456</v>
      </c>
      <c r="E103" s="730" t="s">
        <v>1534</v>
      </c>
      <c r="F103" s="731">
        <v>40458</v>
      </c>
      <c r="G103" s="730">
        <v>0.25</v>
      </c>
      <c r="H103" s="558" t="s">
        <v>1106</v>
      </c>
      <c r="I103" s="558" t="s">
        <v>251</v>
      </c>
      <c r="J103" s="589" t="s">
        <v>255</v>
      </c>
      <c r="K103" s="558" t="s">
        <v>2056</v>
      </c>
      <c r="L103" s="589" t="s">
        <v>255</v>
      </c>
      <c r="M103" s="590">
        <v>73514</v>
      </c>
    </row>
    <row r="104" spans="3:13" ht="15.75">
      <c r="C104" s="728">
        <v>2010</v>
      </c>
      <c r="D104" s="729">
        <v>40477</v>
      </c>
      <c r="E104" s="730" t="s">
        <v>147</v>
      </c>
      <c r="F104" s="731">
        <v>40479</v>
      </c>
      <c r="G104" s="730">
        <v>0.45833333333333331</v>
      </c>
      <c r="H104" s="558" t="s">
        <v>156</v>
      </c>
      <c r="I104" s="558" t="s">
        <v>1861</v>
      </c>
      <c r="J104" s="589" t="s">
        <v>255</v>
      </c>
      <c r="K104" s="558" t="s">
        <v>381</v>
      </c>
      <c r="L104" s="589" t="s">
        <v>255</v>
      </c>
      <c r="M104" s="590">
        <v>192106</v>
      </c>
    </row>
    <row r="105" spans="3:13" ht="15.75">
      <c r="C105" s="728">
        <v>2010</v>
      </c>
      <c r="D105" s="729">
        <v>40477</v>
      </c>
      <c r="E105" s="730" t="s">
        <v>109</v>
      </c>
      <c r="F105" s="731">
        <v>40479</v>
      </c>
      <c r="G105" s="730">
        <v>0.91666666666666663</v>
      </c>
      <c r="H105" s="558" t="s">
        <v>675</v>
      </c>
      <c r="I105" s="558" t="s">
        <v>1953</v>
      </c>
      <c r="J105" s="589" t="s">
        <v>255</v>
      </c>
      <c r="K105" s="558" t="s">
        <v>264</v>
      </c>
      <c r="L105" s="589" t="s">
        <v>255</v>
      </c>
      <c r="M105" s="590">
        <v>70000</v>
      </c>
    </row>
    <row r="106" spans="3:13" ht="16.5" thickBot="1">
      <c r="C106" s="728">
        <v>2010</v>
      </c>
      <c r="D106" s="729">
        <v>40478</v>
      </c>
      <c r="E106" s="730" t="s">
        <v>159</v>
      </c>
      <c r="F106" s="731">
        <v>40478</v>
      </c>
      <c r="G106" s="730">
        <v>0.5</v>
      </c>
      <c r="H106" s="559" t="s">
        <v>2060</v>
      </c>
      <c r="I106" s="559" t="s">
        <v>1953</v>
      </c>
      <c r="J106" s="589" t="s">
        <v>255</v>
      </c>
      <c r="K106" s="559" t="s">
        <v>264</v>
      </c>
      <c r="L106" s="591" t="s">
        <v>255</v>
      </c>
      <c r="M106" s="630">
        <v>63000</v>
      </c>
    </row>
    <row r="107" spans="3:13" ht="16.5" thickTop="1">
      <c r="C107" s="728">
        <v>2010</v>
      </c>
      <c r="D107" s="729">
        <v>40478</v>
      </c>
      <c r="E107" s="730" t="s">
        <v>500</v>
      </c>
      <c r="F107" s="731">
        <v>40480</v>
      </c>
      <c r="G107" s="730">
        <v>0.29166666666666669</v>
      </c>
      <c r="H107" s="558" t="s">
        <v>2062</v>
      </c>
      <c r="I107" s="558" t="s">
        <v>1861</v>
      </c>
      <c r="J107" s="589" t="s">
        <v>255</v>
      </c>
      <c r="K107" s="558" t="s">
        <v>264</v>
      </c>
      <c r="L107" s="589">
        <v>240</v>
      </c>
      <c r="M107" s="590">
        <v>285000</v>
      </c>
    </row>
    <row r="108" spans="3:13" ht="15.75">
      <c r="C108" s="728">
        <v>2010</v>
      </c>
      <c r="D108" s="729">
        <v>40478</v>
      </c>
      <c r="E108" s="730" t="s">
        <v>104</v>
      </c>
      <c r="F108" s="731">
        <v>40480</v>
      </c>
      <c r="G108" s="730">
        <v>0.16666666666666666</v>
      </c>
      <c r="H108" s="558" t="s">
        <v>156</v>
      </c>
      <c r="I108" s="558" t="s">
        <v>1861</v>
      </c>
      <c r="J108" s="589" t="s">
        <v>255</v>
      </c>
      <c r="K108" s="558" t="s">
        <v>264</v>
      </c>
      <c r="L108" s="589" t="s">
        <v>255</v>
      </c>
      <c r="M108" s="590">
        <v>127000</v>
      </c>
    </row>
    <row r="109" spans="3:13" ht="15.75">
      <c r="C109" s="728">
        <v>2010</v>
      </c>
      <c r="D109" s="729">
        <v>40478</v>
      </c>
      <c r="E109" s="730" t="s">
        <v>2065</v>
      </c>
      <c r="F109" s="731">
        <v>40478</v>
      </c>
      <c r="G109" s="730">
        <v>0.7270833333333333</v>
      </c>
      <c r="H109" s="558" t="s">
        <v>141</v>
      </c>
      <c r="I109" s="558" t="s">
        <v>251</v>
      </c>
      <c r="J109" s="589" t="s">
        <v>255</v>
      </c>
      <c r="K109" s="558" t="s">
        <v>2066</v>
      </c>
      <c r="L109" s="589">
        <v>16</v>
      </c>
      <c r="M109" s="590">
        <v>2674</v>
      </c>
    </row>
    <row r="110" spans="3:13" ht="15.75">
      <c r="C110" s="728">
        <v>2010</v>
      </c>
      <c r="D110" s="729">
        <v>40482</v>
      </c>
      <c r="E110" s="730" t="s">
        <v>2068</v>
      </c>
      <c r="F110" s="731">
        <v>40483</v>
      </c>
      <c r="G110" s="730">
        <v>7.2916666666666671E-2</v>
      </c>
      <c r="H110" s="558" t="s">
        <v>2047</v>
      </c>
      <c r="I110" s="558" t="s">
        <v>251</v>
      </c>
      <c r="J110" s="589" t="s">
        <v>255</v>
      </c>
      <c r="K110" s="558" t="s">
        <v>2069</v>
      </c>
      <c r="L110" s="589">
        <v>500</v>
      </c>
      <c r="M110" s="589" t="s">
        <v>255</v>
      </c>
    </row>
    <row r="111" spans="3:13" ht="15.75">
      <c r="C111" s="728">
        <v>2010</v>
      </c>
      <c r="D111" s="729">
        <v>40486</v>
      </c>
      <c r="E111" s="730" t="s">
        <v>2071</v>
      </c>
      <c r="F111" s="731">
        <v>40486</v>
      </c>
      <c r="G111" s="730">
        <v>0.44930555555555557</v>
      </c>
      <c r="H111" s="558" t="s">
        <v>2072</v>
      </c>
      <c r="I111" s="558" t="s">
        <v>251</v>
      </c>
      <c r="J111" s="589" t="s">
        <v>255</v>
      </c>
      <c r="K111" s="558" t="s">
        <v>2073</v>
      </c>
      <c r="L111" s="589" t="s">
        <v>255</v>
      </c>
      <c r="M111" s="589" t="s">
        <v>255</v>
      </c>
    </row>
    <row r="112" spans="3:13" ht="15.75">
      <c r="C112" s="728">
        <v>2010</v>
      </c>
      <c r="D112" s="729">
        <v>40488</v>
      </c>
      <c r="E112" s="730" t="s">
        <v>2075</v>
      </c>
      <c r="F112" s="731">
        <v>40488</v>
      </c>
      <c r="G112" s="730">
        <v>0.75555555555555554</v>
      </c>
      <c r="H112" s="558" t="s">
        <v>141</v>
      </c>
      <c r="I112" s="558" t="s">
        <v>251</v>
      </c>
      <c r="J112" s="589" t="s">
        <v>255</v>
      </c>
      <c r="K112" s="558" t="s">
        <v>2076</v>
      </c>
      <c r="L112" s="589">
        <v>20</v>
      </c>
      <c r="M112" s="589">
        <v>4</v>
      </c>
    </row>
    <row r="113" spans="3:13" ht="15.75">
      <c r="C113" s="728">
        <v>2010</v>
      </c>
      <c r="D113" s="729">
        <v>40490</v>
      </c>
      <c r="E113" s="730" t="s">
        <v>2078</v>
      </c>
      <c r="F113" s="731">
        <v>40490</v>
      </c>
      <c r="G113" s="730">
        <v>0.75</v>
      </c>
      <c r="H113" s="558" t="s">
        <v>2079</v>
      </c>
      <c r="I113" s="558" t="s">
        <v>1887</v>
      </c>
      <c r="J113" s="589" t="s">
        <v>255</v>
      </c>
      <c r="K113" s="558" t="s">
        <v>2080</v>
      </c>
      <c r="L113" s="589" t="s">
        <v>255</v>
      </c>
      <c r="M113" s="590">
        <v>60863</v>
      </c>
    </row>
    <row r="114" spans="3:13" ht="15.75">
      <c r="C114" s="728">
        <v>2010</v>
      </c>
      <c r="D114" s="729">
        <v>40495</v>
      </c>
      <c r="E114" s="730" t="s">
        <v>328</v>
      </c>
      <c r="F114" s="731">
        <v>40496</v>
      </c>
      <c r="G114" s="730">
        <v>0.91666666666666663</v>
      </c>
      <c r="H114" s="558" t="s">
        <v>675</v>
      </c>
      <c r="I114" s="558" t="s">
        <v>1953</v>
      </c>
      <c r="J114" s="589" t="s">
        <v>255</v>
      </c>
      <c r="K114" s="558" t="s">
        <v>40</v>
      </c>
      <c r="L114" s="589" t="s">
        <v>255</v>
      </c>
      <c r="M114" s="590">
        <v>60000</v>
      </c>
    </row>
    <row r="115" spans="3:13" ht="15.75">
      <c r="C115" s="728">
        <v>2010</v>
      </c>
      <c r="D115" s="729">
        <v>40497</v>
      </c>
      <c r="E115" s="730" t="s">
        <v>815</v>
      </c>
      <c r="F115" s="731">
        <v>40498</v>
      </c>
      <c r="G115" s="730">
        <v>9.3055555555555558E-2</v>
      </c>
      <c r="H115" s="558" t="s">
        <v>2083</v>
      </c>
      <c r="I115" s="558" t="s">
        <v>251</v>
      </c>
      <c r="J115" s="589" t="s">
        <v>255</v>
      </c>
      <c r="K115" s="558" t="s">
        <v>264</v>
      </c>
      <c r="L115" s="589">
        <v>391</v>
      </c>
      <c r="M115" s="590">
        <v>149256</v>
      </c>
    </row>
    <row r="116" spans="3:13" ht="15.75">
      <c r="C116" s="728">
        <v>2010</v>
      </c>
      <c r="D116" s="729">
        <v>40503</v>
      </c>
      <c r="E116" s="730" t="s">
        <v>2085</v>
      </c>
      <c r="F116" s="731">
        <v>40506</v>
      </c>
      <c r="G116" s="730">
        <v>0.69861111111111107</v>
      </c>
      <c r="H116" s="558" t="s">
        <v>39</v>
      </c>
      <c r="I116" s="558" t="s">
        <v>251</v>
      </c>
      <c r="J116" s="589" t="s">
        <v>255</v>
      </c>
      <c r="K116" s="558" t="s">
        <v>40</v>
      </c>
      <c r="L116" s="589">
        <v>75</v>
      </c>
      <c r="M116" s="590">
        <v>60000</v>
      </c>
    </row>
    <row r="117" spans="3:13" ht="15.75">
      <c r="C117" s="728">
        <v>2010</v>
      </c>
      <c r="D117" s="729">
        <v>40504</v>
      </c>
      <c r="E117" s="730" t="s">
        <v>815</v>
      </c>
      <c r="F117" s="731">
        <v>40506</v>
      </c>
      <c r="G117" s="730">
        <v>0.83333333333333337</v>
      </c>
      <c r="H117" s="558" t="s">
        <v>2087</v>
      </c>
      <c r="I117" s="558" t="s">
        <v>251</v>
      </c>
      <c r="J117" s="589" t="s">
        <v>255</v>
      </c>
      <c r="K117" s="558" t="s">
        <v>40</v>
      </c>
      <c r="L117" s="589">
        <v>420</v>
      </c>
      <c r="M117" s="590">
        <v>123535</v>
      </c>
    </row>
    <row r="118" spans="3:13" ht="15.75">
      <c r="C118" s="728">
        <v>2010</v>
      </c>
      <c r="D118" s="729">
        <v>40505</v>
      </c>
      <c r="E118" s="730" t="s">
        <v>1242</v>
      </c>
      <c r="F118" s="731">
        <v>40505</v>
      </c>
      <c r="G118" s="730">
        <v>0.7583333333333333</v>
      </c>
      <c r="H118" s="558" t="s">
        <v>141</v>
      </c>
      <c r="I118" s="558" t="s">
        <v>251</v>
      </c>
      <c r="J118" s="589" t="s">
        <v>255</v>
      </c>
      <c r="K118" s="558" t="s">
        <v>2076</v>
      </c>
      <c r="L118" s="589">
        <v>22</v>
      </c>
      <c r="M118" s="590">
        <v>7077</v>
      </c>
    </row>
    <row r="119" spans="3:13" ht="15.75">
      <c r="C119" s="728">
        <v>2010</v>
      </c>
      <c r="D119" s="729">
        <v>40515</v>
      </c>
      <c r="E119" s="730" t="s">
        <v>2090</v>
      </c>
      <c r="F119" s="731">
        <v>40516</v>
      </c>
      <c r="G119" s="730">
        <v>8.3333333333333329E-2</v>
      </c>
      <c r="H119" s="558" t="s">
        <v>18</v>
      </c>
      <c r="I119" s="558" t="s">
        <v>251</v>
      </c>
      <c r="J119" s="589" t="s">
        <v>255</v>
      </c>
      <c r="K119" s="558" t="s">
        <v>2076</v>
      </c>
      <c r="L119" s="589">
        <v>22</v>
      </c>
      <c r="M119" s="590">
        <v>7077</v>
      </c>
    </row>
    <row r="120" spans="3:13" ht="15.75">
      <c r="C120" s="728">
        <v>2010</v>
      </c>
      <c r="D120" s="729">
        <v>40524</v>
      </c>
      <c r="E120" s="730" t="s">
        <v>465</v>
      </c>
      <c r="F120" s="731">
        <v>40527</v>
      </c>
      <c r="G120" s="730">
        <v>0.58333333333333337</v>
      </c>
      <c r="H120" s="558" t="s">
        <v>268</v>
      </c>
      <c r="I120" s="558" t="s">
        <v>1861</v>
      </c>
      <c r="J120" s="589" t="s">
        <v>255</v>
      </c>
      <c r="K120" s="558" t="s">
        <v>22</v>
      </c>
      <c r="L120" s="589">
        <v>210</v>
      </c>
      <c r="M120" s="590">
        <v>60175</v>
      </c>
    </row>
    <row r="121" spans="3:13" ht="15.75">
      <c r="C121" s="728">
        <v>2010</v>
      </c>
      <c r="D121" s="729">
        <v>40526</v>
      </c>
      <c r="E121" s="730" t="s">
        <v>2093</v>
      </c>
      <c r="F121" s="731">
        <v>40526</v>
      </c>
      <c r="G121" s="730">
        <v>0.30902777777777779</v>
      </c>
      <c r="H121" s="558" t="s">
        <v>18</v>
      </c>
      <c r="I121" s="558" t="s">
        <v>251</v>
      </c>
      <c r="J121" s="589" t="s">
        <v>255</v>
      </c>
      <c r="K121" s="558" t="s">
        <v>2076</v>
      </c>
      <c r="L121" s="589">
        <v>9</v>
      </c>
      <c r="M121" s="590">
        <v>6635</v>
      </c>
    </row>
    <row r="122" spans="3:13" ht="15.75">
      <c r="C122" s="728">
        <v>2010</v>
      </c>
      <c r="D122" s="729">
        <v>40526</v>
      </c>
      <c r="E122" s="730" t="s">
        <v>2095</v>
      </c>
      <c r="F122" s="731">
        <v>40527</v>
      </c>
      <c r="G122" s="730">
        <v>0.375</v>
      </c>
      <c r="H122" s="558" t="s">
        <v>703</v>
      </c>
      <c r="I122" s="558" t="s">
        <v>251</v>
      </c>
      <c r="J122" s="589" t="s">
        <v>255</v>
      </c>
      <c r="K122" s="558" t="s">
        <v>2096</v>
      </c>
      <c r="L122" s="589">
        <v>464</v>
      </c>
      <c r="M122" s="589" t="s">
        <v>255</v>
      </c>
    </row>
    <row r="123" spans="3:13" ht="15.75">
      <c r="C123" s="728">
        <v>2010</v>
      </c>
      <c r="D123" s="729">
        <v>40530</v>
      </c>
      <c r="E123" s="730" t="s">
        <v>364</v>
      </c>
      <c r="F123" s="731">
        <v>40531</v>
      </c>
      <c r="G123" s="730">
        <v>0.91666666666666663</v>
      </c>
      <c r="H123" s="558" t="s">
        <v>2098</v>
      </c>
      <c r="I123" s="558" t="s">
        <v>251</v>
      </c>
      <c r="J123" s="589" t="s">
        <v>255</v>
      </c>
      <c r="K123" s="558" t="s">
        <v>22</v>
      </c>
      <c r="L123" s="589">
        <v>184</v>
      </c>
      <c r="M123" s="590">
        <v>92090</v>
      </c>
    </row>
    <row r="124" spans="3:13" ht="15.75">
      <c r="C124" s="728">
        <v>2010</v>
      </c>
      <c r="D124" s="729">
        <v>40538</v>
      </c>
      <c r="E124" s="730" t="s">
        <v>1319</v>
      </c>
      <c r="F124" s="731">
        <v>40538</v>
      </c>
      <c r="G124" s="730">
        <v>0.67708333333333337</v>
      </c>
      <c r="H124" s="558" t="s">
        <v>2100</v>
      </c>
      <c r="I124" s="558" t="s">
        <v>333</v>
      </c>
      <c r="J124" s="589" t="s">
        <v>255</v>
      </c>
      <c r="K124" s="558" t="s">
        <v>22</v>
      </c>
      <c r="L124" s="589" t="s">
        <v>255</v>
      </c>
      <c r="M124" s="590">
        <v>42000</v>
      </c>
    </row>
    <row r="125" spans="3:13" ht="16.5" thickBot="1">
      <c r="C125" s="728">
        <v>2010</v>
      </c>
      <c r="D125" s="729">
        <v>40542</v>
      </c>
      <c r="E125" s="730" t="s">
        <v>71</v>
      </c>
      <c r="F125" s="731">
        <v>40190</v>
      </c>
      <c r="G125" s="730">
        <v>0.25</v>
      </c>
      <c r="H125" s="560" t="s">
        <v>30</v>
      </c>
      <c r="I125" s="560" t="s">
        <v>1861</v>
      </c>
      <c r="J125" s="589" t="s">
        <v>255</v>
      </c>
      <c r="K125" s="560" t="s">
        <v>1138</v>
      </c>
      <c r="L125" s="593">
        <v>300</v>
      </c>
      <c r="M125" s="593" t="s">
        <v>255</v>
      </c>
    </row>
    <row r="126" spans="3:13" ht="19.5">
      <c r="C126">
        <v>2011</v>
      </c>
      <c r="D126" s="729">
        <v>40554</v>
      </c>
      <c r="E126" s="730">
        <v>0.96388888888888891</v>
      </c>
      <c r="F126" s="731">
        <v>40554</v>
      </c>
      <c r="G126" s="730">
        <v>0.96388888888888891</v>
      </c>
      <c r="H126" s="586" t="s">
        <v>2111</v>
      </c>
      <c r="I126" s="561" t="s">
        <v>61</v>
      </c>
      <c r="J126" s="589" t="s">
        <v>255</v>
      </c>
      <c r="K126" s="586" t="s">
        <v>2112</v>
      </c>
      <c r="L126" s="530">
        <v>0</v>
      </c>
      <c r="M126" s="531">
        <v>0</v>
      </c>
    </row>
    <row r="127" spans="3:13" ht="19.5">
      <c r="C127">
        <v>2011</v>
      </c>
      <c r="D127" s="729">
        <v>40555</v>
      </c>
      <c r="E127" s="730">
        <v>0.25</v>
      </c>
      <c r="F127" s="731">
        <v>40555</v>
      </c>
      <c r="G127" s="730">
        <v>0.58333333333333337</v>
      </c>
      <c r="H127" s="586" t="s">
        <v>2113</v>
      </c>
      <c r="I127" s="561" t="s">
        <v>61</v>
      </c>
      <c r="J127" s="589" t="s">
        <v>255</v>
      </c>
      <c r="K127" s="586" t="s">
        <v>40</v>
      </c>
      <c r="L127" s="530" t="s">
        <v>255</v>
      </c>
      <c r="M127" s="531">
        <v>80000</v>
      </c>
    </row>
    <row r="128" spans="3:13" ht="19.5">
      <c r="C128">
        <v>2011</v>
      </c>
      <c r="D128" s="729">
        <v>40556</v>
      </c>
      <c r="E128" s="730">
        <v>0.30624999999999997</v>
      </c>
      <c r="F128" s="731">
        <v>40556</v>
      </c>
      <c r="G128" s="730">
        <v>0.34236111111111112</v>
      </c>
      <c r="H128" s="586" t="s">
        <v>2114</v>
      </c>
      <c r="I128" s="561" t="s">
        <v>301</v>
      </c>
      <c r="J128" s="589" t="s">
        <v>255</v>
      </c>
      <c r="K128" s="586" t="s">
        <v>1885</v>
      </c>
      <c r="L128" s="530">
        <v>150</v>
      </c>
      <c r="M128" s="531">
        <v>20900</v>
      </c>
    </row>
    <row r="129" spans="3:13" ht="19.5">
      <c r="C129">
        <v>2011</v>
      </c>
      <c r="D129" s="729">
        <v>40561</v>
      </c>
      <c r="E129" s="730">
        <v>0.58333333333333337</v>
      </c>
      <c r="F129" s="731">
        <v>40561</v>
      </c>
      <c r="G129" s="730">
        <v>0.58333333333333337</v>
      </c>
      <c r="H129" s="586" t="s">
        <v>2115</v>
      </c>
      <c r="I129" s="561" t="s">
        <v>61</v>
      </c>
      <c r="J129" s="589" t="s">
        <v>255</v>
      </c>
      <c r="K129" s="586" t="s">
        <v>100</v>
      </c>
      <c r="L129" s="530">
        <v>0</v>
      </c>
      <c r="M129" s="531">
        <v>0</v>
      </c>
    </row>
    <row r="130" spans="3:13" ht="19.5">
      <c r="C130">
        <v>2011</v>
      </c>
      <c r="D130" s="729">
        <v>40566</v>
      </c>
      <c r="E130" s="730">
        <v>0.29166666666666669</v>
      </c>
      <c r="F130" s="731">
        <v>40566</v>
      </c>
      <c r="G130" s="730">
        <v>0.54166666666666663</v>
      </c>
      <c r="H130" s="586" t="s">
        <v>2116</v>
      </c>
      <c r="I130" s="561" t="s">
        <v>124</v>
      </c>
      <c r="J130" s="589" t="s">
        <v>255</v>
      </c>
      <c r="K130" s="586" t="s">
        <v>100</v>
      </c>
      <c r="L130" s="530">
        <v>0</v>
      </c>
      <c r="M130" s="531">
        <v>0</v>
      </c>
    </row>
    <row r="131" spans="3:13" ht="19.5">
      <c r="C131">
        <v>2011</v>
      </c>
      <c r="D131" s="729">
        <v>40567</v>
      </c>
      <c r="E131" s="730">
        <v>0.55555555555555558</v>
      </c>
      <c r="F131" s="731">
        <v>40567</v>
      </c>
      <c r="G131" s="730">
        <v>0.5625</v>
      </c>
      <c r="H131" s="586" t="s">
        <v>2117</v>
      </c>
      <c r="I131" s="561" t="s">
        <v>124</v>
      </c>
      <c r="J131" s="589" t="s">
        <v>255</v>
      </c>
      <c r="K131" s="586" t="s">
        <v>2118</v>
      </c>
      <c r="L131" s="530">
        <v>0</v>
      </c>
      <c r="M131" s="531">
        <v>0</v>
      </c>
    </row>
    <row r="132" spans="3:13" ht="19.5">
      <c r="C132">
        <v>2011</v>
      </c>
      <c r="D132" s="729">
        <v>40568</v>
      </c>
      <c r="E132" s="730">
        <v>0.14097222222222222</v>
      </c>
      <c r="F132" s="731">
        <v>40568</v>
      </c>
      <c r="G132" s="730">
        <v>0.45833333333333331</v>
      </c>
      <c r="H132" s="586" t="s">
        <v>2119</v>
      </c>
      <c r="I132" s="561" t="s">
        <v>826</v>
      </c>
      <c r="J132" s="589" t="s">
        <v>255</v>
      </c>
      <c r="K132" s="586" t="s">
        <v>100</v>
      </c>
      <c r="L132" s="530">
        <v>0</v>
      </c>
      <c r="M132" s="531">
        <v>0</v>
      </c>
    </row>
    <row r="133" spans="3:13" ht="19.5">
      <c r="C133">
        <v>2011</v>
      </c>
      <c r="D133" s="729">
        <v>40569</v>
      </c>
      <c r="E133" s="730">
        <v>0.3923611111111111</v>
      </c>
      <c r="F133" s="731">
        <v>40570</v>
      </c>
      <c r="G133" s="730">
        <v>0.70833333333333337</v>
      </c>
      <c r="H133" s="586" t="s">
        <v>2120</v>
      </c>
      <c r="I133" s="561" t="s">
        <v>124</v>
      </c>
      <c r="J133" s="589" t="s">
        <v>255</v>
      </c>
      <c r="K133" s="586" t="s">
        <v>2121</v>
      </c>
      <c r="L133" s="530">
        <v>0</v>
      </c>
      <c r="M133" s="531">
        <v>0</v>
      </c>
    </row>
    <row r="134" spans="3:13" ht="19.5">
      <c r="C134">
        <v>2011</v>
      </c>
      <c r="D134" s="729">
        <v>40569</v>
      </c>
      <c r="E134" s="730">
        <v>0.3979166666666667</v>
      </c>
      <c r="F134" s="731">
        <v>40570</v>
      </c>
      <c r="G134" s="730">
        <v>0.62708333333333333</v>
      </c>
      <c r="H134" s="586" t="s">
        <v>1833</v>
      </c>
      <c r="I134" s="561" t="s">
        <v>826</v>
      </c>
      <c r="J134" s="589" t="s">
        <v>255</v>
      </c>
      <c r="K134" s="586" t="s">
        <v>100</v>
      </c>
      <c r="L134" s="530">
        <v>0</v>
      </c>
      <c r="M134" s="531">
        <v>0</v>
      </c>
    </row>
    <row r="135" spans="3:13" ht="19.5">
      <c r="C135">
        <v>2011</v>
      </c>
      <c r="D135" s="729">
        <v>40569</v>
      </c>
      <c r="E135" s="730">
        <v>0.70833333333333337</v>
      </c>
      <c r="F135" s="731">
        <v>40574</v>
      </c>
      <c r="G135" s="730">
        <v>0.33333333333333331</v>
      </c>
      <c r="H135" s="586" t="s">
        <v>2122</v>
      </c>
      <c r="I135" s="561" t="s">
        <v>826</v>
      </c>
      <c r="J135" s="589" t="s">
        <v>255</v>
      </c>
      <c r="K135" s="586" t="s">
        <v>40</v>
      </c>
      <c r="L135" s="530" t="s">
        <v>255</v>
      </c>
      <c r="M135" s="531">
        <v>210000</v>
      </c>
    </row>
    <row r="136" spans="3:13" ht="19.5">
      <c r="C136">
        <v>2011</v>
      </c>
      <c r="D136" s="729">
        <v>40569</v>
      </c>
      <c r="E136" s="730">
        <v>0.76944444444444438</v>
      </c>
      <c r="F136" s="731">
        <v>40572</v>
      </c>
      <c r="G136" s="730">
        <v>0.70833333333333337</v>
      </c>
      <c r="H136" s="586" t="s">
        <v>2123</v>
      </c>
      <c r="I136" s="561" t="s">
        <v>826</v>
      </c>
      <c r="J136" s="589" t="s">
        <v>255</v>
      </c>
      <c r="K136" s="586" t="s">
        <v>40</v>
      </c>
      <c r="L136" s="530" t="s">
        <v>255</v>
      </c>
      <c r="M136" s="531">
        <v>234326</v>
      </c>
    </row>
    <row r="137" spans="3:13" ht="19.5">
      <c r="C137">
        <v>2011</v>
      </c>
      <c r="D137" s="729">
        <v>40569</v>
      </c>
      <c r="E137" s="730">
        <v>0.82152777777777775</v>
      </c>
      <c r="F137" s="731">
        <v>40570</v>
      </c>
      <c r="G137" s="730">
        <v>0.76250000000000007</v>
      </c>
      <c r="H137" s="586" t="s">
        <v>923</v>
      </c>
      <c r="I137" s="561" t="s">
        <v>63</v>
      </c>
      <c r="J137" s="589" t="s">
        <v>255</v>
      </c>
      <c r="K137" s="586" t="s">
        <v>40</v>
      </c>
      <c r="L137" s="530">
        <v>600</v>
      </c>
      <c r="M137" s="531">
        <v>150084</v>
      </c>
    </row>
    <row r="138" spans="3:13" ht="19.5">
      <c r="C138">
        <v>2011</v>
      </c>
      <c r="D138" s="729">
        <v>40570</v>
      </c>
      <c r="E138" s="730">
        <v>0.39583333333333331</v>
      </c>
      <c r="F138" s="731">
        <v>40570</v>
      </c>
      <c r="G138" s="730">
        <v>0.39583333333333331</v>
      </c>
      <c r="H138" s="586" t="s">
        <v>2124</v>
      </c>
      <c r="I138" s="561" t="s">
        <v>826</v>
      </c>
      <c r="J138" s="589" t="s">
        <v>255</v>
      </c>
      <c r="K138" s="586" t="s">
        <v>100</v>
      </c>
      <c r="L138" s="530">
        <v>0</v>
      </c>
      <c r="M138" s="531">
        <v>0</v>
      </c>
    </row>
    <row r="139" spans="3:13" ht="19.5">
      <c r="C139">
        <v>2011</v>
      </c>
      <c r="D139" s="729">
        <v>40570</v>
      </c>
      <c r="E139" s="730">
        <v>0.70833333333333337</v>
      </c>
      <c r="F139" s="731">
        <v>40573</v>
      </c>
      <c r="G139" s="730">
        <v>0.20833333333333334</v>
      </c>
      <c r="H139" s="586" t="s">
        <v>2125</v>
      </c>
      <c r="I139" s="561" t="s">
        <v>61</v>
      </c>
      <c r="J139" s="589" t="s">
        <v>255</v>
      </c>
      <c r="K139" s="586" t="s">
        <v>2126</v>
      </c>
      <c r="L139" s="530">
        <v>108</v>
      </c>
      <c r="M139" s="531" t="s">
        <v>255</v>
      </c>
    </row>
    <row r="140" spans="3:13" ht="19.5">
      <c r="C140">
        <v>2011</v>
      </c>
      <c r="D140" s="729">
        <v>40574</v>
      </c>
      <c r="E140" s="730">
        <v>0.91666666666666663</v>
      </c>
      <c r="F140" s="731">
        <v>40577</v>
      </c>
      <c r="G140" s="730">
        <v>0.5</v>
      </c>
      <c r="H140" s="586" t="s">
        <v>2127</v>
      </c>
      <c r="I140" s="561" t="s">
        <v>826</v>
      </c>
      <c r="J140" s="589" t="s">
        <v>255</v>
      </c>
      <c r="K140" s="586" t="s">
        <v>11</v>
      </c>
      <c r="L140" s="530">
        <v>996</v>
      </c>
      <c r="M140" s="531">
        <v>272880</v>
      </c>
    </row>
    <row r="141" spans="3:13" ht="19.5">
      <c r="C141">
        <v>2011</v>
      </c>
      <c r="D141" s="729">
        <v>40575</v>
      </c>
      <c r="E141" s="730">
        <v>0.625</v>
      </c>
      <c r="F141" s="731">
        <v>40577</v>
      </c>
      <c r="G141" s="730">
        <v>0.5</v>
      </c>
      <c r="H141" s="594" t="s">
        <v>2129</v>
      </c>
      <c r="I141" s="562" t="s">
        <v>826</v>
      </c>
      <c r="J141" s="589" t="s">
        <v>255</v>
      </c>
      <c r="K141" s="594" t="s">
        <v>40</v>
      </c>
      <c r="L141" s="594" t="s">
        <v>2130</v>
      </c>
      <c r="M141" s="631">
        <v>158013</v>
      </c>
    </row>
    <row r="142" spans="3:13" ht="19.5">
      <c r="C142">
        <v>2011</v>
      </c>
      <c r="D142" s="729">
        <v>40575</v>
      </c>
      <c r="E142" s="730">
        <v>0.875</v>
      </c>
      <c r="F142" s="731">
        <v>40576</v>
      </c>
      <c r="G142" s="730">
        <v>0.58333333333333337</v>
      </c>
      <c r="H142" s="594" t="s">
        <v>156</v>
      </c>
      <c r="I142" s="562" t="s">
        <v>826</v>
      </c>
      <c r="J142" s="589" t="s">
        <v>255</v>
      </c>
      <c r="K142" s="594" t="s">
        <v>40</v>
      </c>
      <c r="L142" s="594" t="s">
        <v>2130</v>
      </c>
      <c r="M142" s="631">
        <v>190000</v>
      </c>
    </row>
    <row r="143" spans="3:13" ht="19.5">
      <c r="C143">
        <v>2011</v>
      </c>
      <c r="D143" s="729">
        <v>40576</v>
      </c>
      <c r="E143" s="730">
        <v>0.125</v>
      </c>
      <c r="F143" s="731">
        <v>40578</v>
      </c>
      <c r="G143" s="730">
        <v>0.99930555555555556</v>
      </c>
      <c r="H143" s="594" t="s">
        <v>2131</v>
      </c>
      <c r="I143" s="562" t="s">
        <v>826</v>
      </c>
      <c r="J143" s="589" t="s">
        <v>255</v>
      </c>
      <c r="K143" s="594" t="s">
        <v>40</v>
      </c>
      <c r="L143" s="594" t="s">
        <v>2130</v>
      </c>
      <c r="M143" s="631">
        <v>213000</v>
      </c>
    </row>
    <row r="144" spans="3:13" ht="19.5">
      <c r="C144">
        <v>2011</v>
      </c>
      <c r="D144" s="729">
        <v>40576</v>
      </c>
      <c r="E144" s="730">
        <v>0.23819444444444446</v>
      </c>
      <c r="F144" s="731">
        <v>40577</v>
      </c>
      <c r="G144" s="730">
        <v>0.41666666666666669</v>
      </c>
      <c r="H144" s="594" t="s">
        <v>166</v>
      </c>
      <c r="I144" s="562" t="s">
        <v>1352</v>
      </c>
      <c r="J144" s="589" t="s">
        <v>255</v>
      </c>
      <c r="K144" s="594" t="s">
        <v>2132</v>
      </c>
      <c r="L144" s="595">
        <v>4000</v>
      </c>
      <c r="M144" s="631">
        <v>1069730</v>
      </c>
    </row>
    <row r="145" spans="3:13" ht="19.5">
      <c r="C145">
        <v>2011</v>
      </c>
      <c r="D145" s="729">
        <v>40576</v>
      </c>
      <c r="E145" s="730">
        <v>0.26527777777777778</v>
      </c>
      <c r="F145" s="731">
        <v>40576</v>
      </c>
      <c r="G145" s="730">
        <v>0.4145833333333333</v>
      </c>
      <c r="H145" s="594" t="s">
        <v>2133</v>
      </c>
      <c r="I145" s="562" t="s">
        <v>124</v>
      </c>
      <c r="J145" s="589" t="s">
        <v>255</v>
      </c>
      <c r="K145" s="594" t="s">
        <v>2132</v>
      </c>
      <c r="L145" s="595">
        <v>3963</v>
      </c>
      <c r="M145" s="631">
        <v>69000</v>
      </c>
    </row>
    <row r="146" spans="3:13" ht="19.5">
      <c r="C146">
        <v>2011</v>
      </c>
      <c r="D146" s="729">
        <v>40576</v>
      </c>
      <c r="E146" s="730">
        <v>0.30833333333333335</v>
      </c>
      <c r="F146" s="731">
        <v>40576</v>
      </c>
      <c r="G146" s="730">
        <v>0.93263888888888891</v>
      </c>
      <c r="H146" s="594" t="s">
        <v>2134</v>
      </c>
      <c r="I146" s="562" t="s">
        <v>124</v>
      </c>
      <c r="J146" s="589" t="s">
        <v>255</v>
      </c>
      <c r="K146" s="594" t="s">
        <v>2132</v>
      </c>
      <c r="L146" s="594">
        <v>280</v>
      </c>
      <c r="M146" s="631">
        <v>178000</v>
      </c>
    </row>
    <row r="147" spans="3:13" ht="19.5">
      <c r="C147">
        <v>2011</v>
      </c>
      <c r="D147" s="729">
        <v>40576</v>
      </c>
      <c r="E147" s="730">
        <v>0.70833333333333337</v>
      </c>
      <c r="F147" s="731">
        <v>40577</v>
      </c>
      <c r="G147" s="730">
        <v>0.91666666666666663</v>
      </c>
      <c r="H147" s="594" t="s">
        <v>2135</v>
      </c>
      <c r="I147" s="562" t="s">
        <v>58</v>
      </c>
      <c r="J147" s="589" t="s">
        <v>255</v>
      </c>
      <c r="K147" s="594" t="s">
        <v>2136</v>
      </c>
      <c r="L147" s="594" t="s">
        <v>2130</v>
      </c>
      <c r="M147" s="632" t="s">
        <v>2130</v>
      </c>
    </row>
    <row r="148" spans="3:13" ht="19.5">
      <c r="C148">
        <v>2011</v>
      </c>
      <c r="D148" s="729">
        <v>40577</v>
      </c>
      <c r="E148" s="730">
        <v>0.625</v>
      </c>
      <c r="F148" s="731">
        <v>40578</v>
      </c>
      <c r="G148" s="730">
        <v>0.5</v>
      </c>
      <c r="H148" s="594" t="s">
        <v>2137</v>
      </c>
      <c r="I148" s="562" t="s">
        <v>124</v>
      </c>
      <c r="J148" s="589" t="s">
        <v>255</v>
      </c>
      <c r="K148" s="594" t="s">
        <v>2136</v>
      </c>
      <c r="L148" s="594" t="s">
        <v>255</v>
      </c>
      <c r="M148" s="632" t="s">
        <v>2130</v>
      </c>
    </row>
    <row r="149" spans="3:13" ht="19.5">
      <c r="C149">
        <v>2011</v>
      </c>
      <c r="D149" s="729">
        <v>40577</v>
      </c>
      <c r="E149" s="730">
        <v>0.60416666666666663</v>
      </c>
      <c r="F149" s="731">
        <v>40577</v>
      </c>
      <c r="G149" s="730">
        <v>0.60416666666666663</v>
      </c>
      <c r="H149" s="594" t="s">
        <v>2138</v>
      </c>
      <c r="I149" s="562" t="s">
        <v>826</v>
      </c>
      <c r="J149" s="589" t="s">
        <v>255</v>
      </c>
      <c r="K149" s="594" t="s">
        <v>2139</v>
      </c>
      <c r="L149" s="594" t="s">
        <v>255</v>
      </c>
      <c r="M149" s="632">
        <v>0</v>
      </c>
    </row>
    <row r="150" spans="3:13" ht="19.5">
      <c r="C150">
        <v>2011</v>
      </c>
      <c r="D150" s="729">
        <v>40577</v>
      </c>
      <c r="E150" s="730">
        <v>0.9194444444444444</v>
      </c>
      <c r="F150" s="731">
        <v>40578</v>
      </c>
      <c r="G150" s="730">
        <v>0.52222222222222225</v>
      </c>
      <c r="H150" s="594" t="s">
        <v>166</v>
      </c>
      <c r="I150" s="562" t="s">
        <v>1352</v>
      </c>
      <c r="J150" s="589" t="s">
        <v>255</v>
      </c>
      <c r="K150" s="594" t="s">
        <v>2132</v>
      </c>
      <c r="L150" s="594">
        <v>400</v>
      </c>
      <c r="M150" s="631">
        <v>86013</v>
      </c>
    </row>
    <row r="151" spans="3:13" ht="19.5">
      <c r="C151">
        <v>2011</v>
      </c>
      <c r="D151" s="729">
        <v>40583</v>
      </c>
      <c r="E151" s="730">
        <v>0.15625</v>
      </c>
      <c r="F151" s="731">
        <v>40583</v>
      </c>
      <c r="G151" s="730">
        <v>0.3833333333333333</v>
      </c>
      <c r="H151" s="594" t="s">
        <v>2140</v>
      </c>
      <c r="I151" s="562" t="s">
        <v>1352</v>
      </c>
      <c r="J151" s="589" t="s">
        <v>255</v>
      </c>
      <c r="K151" s="594" t="s">
        <v>40</v>
      </c>
      <c r="L151" s="594">
        <v>399</v>
      </c>
      <c r="M151" s="631">
        <v>60000</v>
      </c>
    </row>
    <row r="152" spans="3:13" ht="19.5">
      <c r="C152">
        <v>2011</v>
      </c>
      <c r="D152" s="729">
        <v>40583</v>
      </c>
      <c r="E152" s="730">
        <v>0.62083333333333335</v>
      </c>
      <c r="F152" s="731">
        <v>40583</v>
      </c>
      <c r="G152" s="730">
        <v>0.70833333333333337</v>
      </c>
      <c r="H152" s="594" t="s">
        <v>2141</v>
      </c>
      <c r="I152" s="562" t="s">
        <v>124</v>
      </c>
      <c r="J152" s="589" t="s">
        <v>255</v>
      </c>
      <c r="K152" s="594" t="s">
        <v>100</v>
      </c>
      <c r="L152" s="594">
        <v>0</v>
      </c>
      <c r="M152" s="632">
        <v>0</v>
      </c>
    </row>
    <row r="153" spans="3:13" ht="19.5">
      <c r="C153">
        <v>2011</v>
      </c>
      <c r="D153" s="729">
        <v>40583</v>
      </c>
      <c r="E153" s="730">
        <v>0.6875</v>
      </c>
      <c r="F153" s="731">
        <v>40584</v>
      </c>
      <c r="G153" s="730">
        <v>0.5229166666666667</v>
      </c>
      <c r="H153" s="594" t="s">
        <v>166</v>
      </c>
      <c r="I153" s="562" t="s">
        <v>1352</v>
      </c>
      <c r="J153" s="589" t="s">
        <v>255</v>
      </c>
      <c r="K153" s="594" t="s">
        <v>2142</v>
      </c>
      <c r="L153" s="594" t="s">
        <v>255</v>
      </c>
      <c r="M153" s="632" t="s">
        <v>255</v>
      </c>
    </row>
    <row r="154" spans="3:13" ht="19.5">
      <c r="C154">
        <v>2011</v>
      </c>
      <c r="D154" s="729">
        <v>40584</v>
      </c>
      <c r="E154" s="730">
        <v>0.54166666666666663</v>
      </c>
      <c r="F154" s="731">
        <v>40584</v>
      </c>
      <c r="G154" s="730">
        <v>0.54166666666666663</v>
      </c>
      <c r="H154" s="594" t="s">
        <v>2143</v>
      </c>
      <c r="I154" s="562" t="s">
        <v>124</v>
      </c>
      <c r="J154" s="589" t="s">
        <v>255</v>
      </c>
      <c r="K154" s="594" t="s">
        <v>100</v>
      </c>
      <c r="L154" s="594">
        <v>0</v>
      </c>
      <c r="M154" s="632">
        <v>0</v>
      </c>
    </row>
    <row r="155" spans="3:13" ht="19.5">
      <c r="C155">
        <v>2011</v>
      </c>
      <c r="D155" s="729">
        <v>40591</v>
      </c>
      <c r="E155" s="730">
        <v>5.9027777777777783E-2</v>
      </c>
      <c r="F155" s="731">
        <v>40593</v>
      </c>
      <c r="G155" s="730">
        <v>0.42569444444444443</v>
      </c>
      <c r="H155" s="594" t="s">
        <v>39</v>
      </c>
      <c r="I155" s="562" t="s">
        <v>124</v>
      </c>
      <c r="J155" s="589" t="s">
        <v>255</v>
      </c>
      <c r="K155" s="594" t="s">
        <v>1096</v>
      </c>
      <c r="L155" s="594">
        <v>91</v>
      </c>
      <c r="M155" s="631">
        <v>80000</v>
      </c>
    </row>
    <row r="156" spans="3:13" ht="19.5">
      <c r="C156">
        <v>2011</v>
      </c>
      <c r="D156" s="729">
        <v>40591</v>
      </c>
      <c r="E156" s="730">
        <v>0.54166666666666663</v>
      </c>
      <c r="F156" s="731">
        <v>40597</v>
      </c>
      <c r="G156" s="730">
        <v>0.70347222222222217</v>
      </c>
      <c r="H156" s="594" t="s">
        <v>2144</v>
      </c>
      <c r="I156" s="562" t="s">
        <v>124</v>
      </c>
      <c r="J156" s="589" t="s">
        <v>255</v>
      </c>
      <c r="K156" s="594" t="s">
        <v>2139</v>
      </c>
      <c r="L156" s="594">
        <v>0</v>
      </c>
      <c r="M156" s="632">
        <v>0</v>
      </c>
    </row>
    <row r="157" spans="3:13" ht="19.5">
      <c r="C157">
        <v>2011</v>
      </c>
      <c r="D157" s="729">
        <v>40593</v>
      </c>
      <c r="E157" s="730">
        <v>0.52083333333333337</v>
      </c>
      <c r="F157" s="731">
        <v>40594</v>
      </c>
      <c r="G157" s="730">
        <v>0.16666666666666666</v>
      </c>
      <c r="H157" s="594" t="s">
        <v>2131</v>
      </c>
      <c r="I157" s="562" t="s">
        <v>826</v>
      </c>
      <c r="J157" s="589" t="s">
        <v>255</v>
      </c>
      <c r="K157" s="594" t="s">
        <v>1096</v>
      </c>
      <c r="L157" s="594" t="s">
        <v>2130</v>
      </c>
      <c r="M157" s="632">
        <v>118000</v>
      </c>
    </row>
    <row r="158" spans="3:13" ht="19.5">
      <c r="C158">
        <v>2011</v>
      </c>
      <c r="D158" s="729">
        <v>40593</v>
      </c>
      <c r="E158" s="730">
        <v>0.69027777777777777</v>
      </c>
      <c r="F158" s="731">
        <v>40593</v>
      </c>
      <c r="G158" s="730">
        <v>0.69027777777777777</v>
      </c>
      <c r="H158" s="594" t="s">
        <v>2145</v>
      </c>
      <c r="I158" s="562" t="s">
        <v>826</v>
      </c>
      <c r="J158" s="589" t="s">
        <v>255</v>
      </c>
      <c r="K158" s="594" t="s">
        <v>100</v>
      </c>
      <c r="L158" s="594">
        <v>0</v>
      </c>
      <c r="M158" s="632">
        <v>0</v>
      </c>
    </row>
    <row r="159" spans="3:13" ht="19.5">
      <c r="C159">
        <v>2011</v>
      </c>
      <c r="D159" s="729">
        <v>40594</v>
      </c>
      <c r="E159" s="730">
        <v>0.66666666666666663</v>
      </c>
      <c r="F159" s="731">
        <v>40597</v>
      </c>
      <c r="G159" s="730">
        <v>0.66666666666666663</v>
      </c>
      <c r="H159" s="594" t="s">
        <v>2146</v>
      </c>
      <c r="I159" s="562" t="s">
        <v>826</v>
      </c>
      <c r="J159" s="589" t="s">
        <v>255</v>
      </c>
      <c r="K159" s="594" t="s">
        <v>40</v>
      </c>
      <c r="L159" s="594">
        <v>262</v>
      </c>
      <c r="M159" s="631">
        <v>160000</v>
      </c>
    </row>
    <row r="160" spans="3:13" ht="19.5">
      <c r="C160">
        <v>2011</v>
      </c>
      <c r="D160" s="729">
        <v>40598</v>
      </c>
      <c r="E160" s="730">
        <v>0.70208333333333339</v>
      </c>
      <c r="F160" s="731">
        <v>40598</v>
      </c>
      <c r="G160" s="730">
        <v>0.70416666666666661</v>
      </c>
      <c r="H160" s="594" t="s">
        <v>48</v>
      </c>
      <c r="I160" s="562" t="s">
        <v>58</v>
      </c>
      <c r="J160" s="589" t="s">
        <v>255</v>
      </c>
      <c r="K160" s="594" t="s">
        <v>2037</v>
      </c>
      <c r="L160" s="594">
        <v>4</v>
      </c>
      <c r="M160" s="632" t="s">
        <v>2130</v>
      </c>
    </row>
    <row r="161" spans="3:13" ht="19.5">
      <c r="C161">
        <v>2011</v>
      </c>
      <c r="D161" s="729">
        <v>40599</v>
      </c>
      <c r="E161" s="730">
        <v>0.63888888888888895</v>
      </c>
      <c r="F161" s="731">
        <v>40599</v>
      </c>
      <c r="G161" s="730">
        <v>0.75</v>
      </c>
      <c r="H161" s="594" t="s">
        <v>2004</v>
      </c>
      <c r="I161" s="562" t="s">
        <v>63</v>
      </c>
      <c r="J161" s="589" t="s">
        <v>255</v>
      </c>
      <c r="K161" s="594" t="s">
        <v>22</v>
      </c>
      <c r="L161" s="594" t="s">
        <v>2130</v>
      </c>
      <c r="M161" s="632">
        <v>50000</v>
      </c>
    </row>
    <row r="162" spans="3:13" ht="19.5">
      <c r="C162">
        <v>2011</v>
      </c>
      <c r="D162" s="729">
        <v>40599</v>
      </c>
      <c r="E162" s="730">
        <v>0.64097222222222217</v>
      </c>
      <c r="F162" s="731">
        <v>40601</v>
      </c>
      <c r="G162" s="730">
        <v>0.75</v>
      </c>
      <c r="H162" s="594" t="s">
        <v>2123</v>
      </c>
      <c r="I162" s="562" t="s">
        <v>826</v>
      </c>
      <c r="J162" s="589" t="s">
        <v>255</v>
      </c>
      <c r="K162" s="594" t="s">
        <v>22</v>
      </c>
      <c r="L162" s="594" t="s">
        <v>2130</v>
      </c>
      <c r="M162" s="632">
        <v>93000</v>
      </c>
    </row>
    <row r="163" spans="3:13" ht="19.5">
      <c r="C163">
        <v>2011</v>
      </c>
      <c r="D163" s="729">
        <v>40599</v>
      </c>
      <c r="E163" s="730">
        <v>0.33333333333333331</v>
      </c>
      <c r="F163" s="731">
        <v>40602</v>
      </c>
      <c r="G163" s="730">
        <v>0.72916666666666663</v>
      </c>
      <c r="H163" s="594" t="s">
        <v>39</v>
      </c>
      <c r="I163" s="562" t="s">
        <v>124</v>
      </c>
      <c r="J163" s="589" t="s">
        <v>255</v>
      </c>
      <c r="K163" s="594" t="s">
        <v>40</v>
      </c>
      <c r="L163" s="594">
        <v>91</v>
      </c>
      <c r="M163" s="631">
        <v>80000</v>
      </c>
    </row>
    <row r="164" spans="3:13" ht="19.5">
      <c r="C164">
        <v>2011</v>
      </c>
      <c r="D164" s="729">
        <v>40599</v>
      </c>
      <c r="E164" s="730">
        <v>0.4375</v>
      </c>
      <c r="F164" s="731">
        <v>40599</v>
      </c>
      <c r="G164" s="730">
        <v>0.44791666666666669</v>
      </c>
      <c r="H164" s="594" t="s">
        <v>2147</v>
      </c>
      <c r="I164" s="562" t="s">
        <v>124</v>
      </c>
      <c r="J164" s="589" t="s">
        <v>255</v>
      </c>
      <c r="K164" s="594" t="s">
        <v>100</v>
      </c>
      <c r="L164" s="594">
        <v>0</v>
      </c>
      <c r="M164" s="632">
        <v>0</v>
      </c>
    </row>
    <row r="165" spans="3:13" ht="19.5">
      <c r="C165">
        <v>2011</v>
      </c>
      <c r="D165" s="729">
        <v>40603</v>
      </c>
      <c r="E165" s="730">
        <v>0.33333333333333331</v>
      </c>
      <c r="F165" s="731">
        <v>40607</v>
      </c>
      <c r="G165" s="730">
        <v>0.39583333333333331</v>
      </c>
      <c r="H165" s="537" t="s">
        <v>2148</v>
      </c>
      <c r="I165" s="563" t="s">
        <v>61</v>
      </c>
      <c r="J165" s="589" t="s">
        <v>255</v>
      </c>
      <c r="K165" s="537" t="s">
        <v>2126</v>
      </c>
      <c r="L165" s="537">
        <v>675</v>
      </c>
      <c r="M165" s="633" t="s">
        <v>2130</v>
      </c>
    </row>
    <row r="166" spans="3:13" ht="19.5">
      <c r="C166">
        <v>2011</v>
      </c>
      <c r="D166" s="729">
        <v>40608</v>
      </c>
      <c r="E166" s="730">
        <v>0.12083333333333333</v>
      </c>
      <c r="F166" s="731">
        <v>40610</v>
      </c>
      <c r="G166" s="730">
        <v>0.33333333333333331</v>
      </c>
      <c r="H166" s="537" t="s">
        <v>2149</v>
      </c>
      <c r="I166" s="563" t="s">
        <v>124</v>
      </c>
      <c r="J166" s="589" t="s">
        <v>255</v>
      </c>
      <c r="K166" s="537" t="s">
        <v>100</v>
      </c>
      <c r="L166" s="537" t="s">
        <v>2130</v>
      </c>
      <c r="M166" s="540">
        <v>0</v>
      </c>
    </row>
    <row r="167" spans="3:13" ht="19.5">
      <c r="C167">
        <v>2011</v>
      </c>
      <c r="D167" s="729">
        <v>40610</v>
      </c>
      <c r="E167" s="730">
        <v>0.33333333333333331</v>
      </c>
      <c r="F167" s="731">
        <v>36968</v>
      </c>
      <c r="G167" s="730">
        <v>0.375</v>
      </c>
      <c r="H167" s="537" t="s">
        <v>2148</v>
      </c>
      <c r="I167" s="563" t="s">
        <v>61</v>
      </c>
      <c r="J167" s="589" t="s">
        <v>255</v>
      </c>
      <c r="K167" s="537" t="s">
        <v>2126</v>
      </c>
      <c r="L167" s="537">
        <v>676</v>
      </c>
      <c r="M167" s="633" t="s">
        <v>2130</v>
      </c>
    </row>
    <row r="168" spans="3:13" ht="19.5">
      <c r="C168">
        <v>2011</v>
      </c>
      <c r="D168" s="729">
        <v>40612</v>
      </c>
      <c r="E168" s="730">
        <v>0.50208333333333333</v>
      </c>
      <c r="F168" s="731">
        <v>40613</v>
      </c>
      <c r="G168" s="730">
        <v>0.25</v>
      </c>
      <c r="H168" s="537" t="s">
        <v>166</v>
      </c>
      <c r="I168" s="563" t="s">
        <v>1352</v>
      </c>
      <c r="J168" s="589" t="s">
        <v>255</v>
      </c>
      <c r="K168" s="537" t="s">
        <v>2150</v>
      </c>
      <c r="L168" s="537" t="s">
        <v>255</v>
      </c>
      <c r="M168" s="633" t="s">
        <v>255</v>
      </c>
    </row>
    <row r="169" spans="3:13" ht="19.5">
      <c r="C169">
        <v>2011</v>
      </c>
      <c r="D169" s="729">
        <v>40613</v>
      </c>
      <c r="E169" s="730">
        <v>0.29305555555555557</v>
      </c>
      <c r="F169" s="731">
        <v>40613</v>
      </c>
      <c r="G169" s="730">
        <v>0.38541666666666669</v>
      </c>
      <c r="H169" s="537" t="s">
        <v>2151</v>
      </c>
      <c r="I169" s="563" t="s">
        <v>124</v>
      </c>
      <c r="J169" s="589" t="s">
        <v>255</v>
      </c>
      <c r="K169" s="537" t="s">
        <v>2132</v>
      </c>
      <c r="L169" s="537">
        <v>15</v>
      </c>
      <c r="M169" s="633">
        <v>6800</v>
      </c>
    </row>
    <row r="170" spans="3:13" ht="19.5">
      <c r="C170">
        <v>2011</v>
      </c>
      <c r="D170" s="729">
        <v>40615</v>
      </c>
      <c r="E170" s="730">
        <v>0.59722222222222221</v>
      </c>
      <c r="F170" s="731">
        <v>40616</v>
      </c>
      <c r="G170" s="730">
        <v>0.65694444444444444</v>
      </c>
      <c r="H170" s="537" t="s">
        <v>2152</v>
      </c>
      <c r="I170" s="563" t="s">
        <v>124</v>
      </c>
      <c r="J170" s="589" t="s">
        <v>255</v>
      </c>
      <c r="K170" s="537" t="s">
        <v>22</v>
      </c>
      <c r="L170" s="537" t="s">
        <v>2130</v>
      </c>
      <c r="M170" s="633">
        <v>9000</v>
      </c>
    </row>
    <row r="171" spans="3:13" ht="19.5">
      <c r="C171">
        <v>2011</v>
      </c>
      <c r="D171" s="729">
        <v>40616</v>
      </c>
      <c r="E171" s="730">
        <v>0.3125</v>
      </c>
      <c r="F171" s="731">
        <v>40616</v>
      </c>
      <c r="G171" s="730">
        <v>0.70486111111111116</v>
      </c>
      <c r="H171" s="537" t="s">
        <v>2153</v>
      </c>
      <c r="I171" s="563" t="s">
        <v>826</v>
      </c>
      <c r="J171" s="589" t="s">
        <v>255</v>
      </c>
      <c r="K171" s="537" t="s">
        <v>2139</v>
      </c>
      <c r="L171" s="537" t="s">
        <v>255</v>
      </c>
      <c r="M171" s="633" t="s">
        <v>255</v>
      </c>
    </row>
    <row r="172" spans="3:13" ht="19.5">
      <c r="C172">
        <v>2011</v>
      </c>
      <c r="D172" s="729">
        <v>40617</v>
      </c>
      <c r="E172" s="730">
        <v>0.75</v>
      </c>
      <c r="F172" s="731">
        <v>40617</v>
      </c>
      <c r="G172" s="730">
        <v>0.80138888888888893</v>
      </c>
      <c r="H172" s="537" t="s">
        <v>2154</v>
      </c>
      <c r="I172" s="563" t="s">
        <v>1352</v>
      </c>
      <c r="J172" s="589" t="s">
        <v>255</v>
      </c>
      <c r="K172" s="537" t="s">
        <v>2150</v>
      </c>
      <c r="L172" s="537" t="s">
        <v>255</v>
      </c>
      <c r="M172" s="633" t="s">
        <v>255</v>
      </c>
    </row>
    <row r="173" spans="3:13" ht="19.5">
      <c r="C173">
        <v>2011</v>
      </c>
      <c r="D173" s="729">
        <v>40619</v>
      </c>
      <c r="E173" s="730">
        <v>0.31944444444444448</v>
      </c>
      <c r="F173" s="731">
        <v>40619</v>
      </c>
      <c r="G173" s="730">
        <v>0.45833333333333331</v>
      </c>
      <c r="H173" s="537" t="s">
        <v>2155</v>
      </c>
      <c r="I173" s="563" t="s">
        <v>61</v>
      </c>
      <c r="J173" s="589" t="s">
        <v>255</v>
      </c>
      <c r="K173" s="537" t="s">
        <v>100</v>
      </c>
      <c r="L173" s="537" t="s">
        <v>255</v>
      </c>
      <c r="M173" s="633" t="s">
        <v>255</v>
      </c>
    </row>
    <row r="174" spans="3:13" ht="19.5">
      <c r="C174">
        <v>2011</v>
      </c>
      <c r="D174" s="729">
        <v>40620</v>
      </c>
      <c r="E174" s="730">
        <v>0.41250000000000003</v>
      </c>
      <c r="F174" s="731">
        <v>40620</v>
      </c>
      <c r="G174" s="730">
        <v>0.64861111111111114</v>
      </c>
      <c r="H174" s="537" t="s">
        <v>2156</v>
      </c>
      <c r="I174" s="563" t="s">
        <v>826</v>
      </c>
      <c r="J174" s="589" t="s">
        <v>255</v>
      </c>
      <c r="K174" s="537" t="s">
        <v>100</v>
      </c>
      <c r="L174" s="537" t="s">
        <v>255</v>
      </c>
      <c r="M174" s="633" t="s">
        <v>255</v>
      </c>
    </row>
    <row r="175" spans="3:13" ht="19.5">
      <c r="C175">
        <v>2011</v>
      </c>
      <c r="D175" s="729">
        <v>40621</v>
      </c>
      <c r="E175" s="730">
        <v>0.99722222222222223</v>
      </c>
      <c r="F175" s="731">
        <v>40626</v>
      </c>
      <c r="G175" s="730">
        <v>0.79861111111111116</v>
      </c>
      <c r="H175" s="537" t="s">
        <v>39</v>
      </c>
      <c r="I175" s="563" t="s">
        <v>124</v>
      </c>
      <c r="J175" s="589" t="s">
        <v>255</v>
      </c>
      <c r="K175" s="537" t="s">
        <v>1096</v>
      </c>
      <c r="L175" s="537">
        <v>91</v>
      </c>
      <c r="M175" s="633">
        <v>128000</v>
      </c>
    </row>
    <row r="176" spans="3:13" ht="19.5">
      <c r="C176">
        <v>2011</v>
      </c>
      <c r="D176" s="729">
        <v>40622</v>
      </c>
      <c r="E176" s="730">
        <v>0.4055555555555555</v>
      </c>
      <c r="F176" s="731">
        <v>40623</v>
      </c>
      <c r="G176" s="730">
        <v>0.41666666666666669</v>
      </c>
      <c r="H176" s="537" t="s">
        <v>2157</v>
      </c>
      <c r="I176" s="563" t="s">
        <v>124</v>
      </c>
      <c r="J176" s="589" t="s">
        <v>255</v>
      </c>
      <c r="K176" s="537" t="s">
        <v>1096</v>
      </c>
      <c r="L176" s="537" t="s">
        <v>2130</v>
      </c>
      <c r="M176" s="633">
        <v>79000</v>
      </c>
    </row>
    <row r="177" spans="3:13" ht="19.5">
      <c r="C177">
        <v>2011</v>
      </c>
      <c r="D177" s="729">
        <v>40623</v>
      </c>
      <c r="E177" s="730">
        <v>0.52430555555555558</v>
      </c>
      <c r="F177" s="731">
        <v>40623</v>
      </c>
      <c r="G177" s="730">
        <v>0.61458333333333337</v>
      </c>
      <c r="H177" s="537" t="s">
        <v>703</v>
      </c>
      <c r="I177" s="563" t="s">
        <v>124</v>
      </c>
      <c r="J177" s="589" t="s">
        <v>255</v>
      </c>
      <c r="K177" s="537" t="s">
        <v>1096</v>
      </c>
      <c r="L177" s="537">
        <v>150</v>
      </c>
      <c r="M177" s="633">
        <v>54332</v>
      </c>
    </row>
    <row r="178" spans="3:13" ht="19.5">
      <c r="C178">
        <v>2011</v>
      </c>
      <c r="D178" s="729">
        <v>40623</v>
      </c>
      <c r="E178" s="730">
        <v>3.9583333333333331E-2</v>
      </c>
      <c r="F178" s="731">
        <v>40623</v>
      </c>
      <c r="G178" s="730">
        <v>0.10347222222222223</v>
      </c>
      <c r="H178" s="537" t="s">
        <v>2155</v>
      </c>
      <c r="I178" s="563" t="s">
        <v>61</v>
      </c>
      <c r="J178" s="589" t="s">
        <v>255</v>
      </c>
      <c r="K178" s="537" t="s">
        <v>100</v>
      </c>
      <c r="L178" s="537" t="s">
        <v>255</v>
      </c>
      <c r="M178" s="633" t="s">
        <v>255</v>
      </c>
    </row>
    <row r="179" spans="3:13" ht="19.5">
      <c r="C179">
        <v>2011</v>
      </c>
      <c r="D179" s="729">
        <v>40625</v>
      </c>
      <c r="E179" s="730">
        <v>0.77083333333333337</v>
      </c>
      <c r="F179" s="731">
        <v>40626</v>
      </c>
      <c r="G179" s="730">
        <v>0.20486111111111113</v>
      </c>
      <c r="H179" s="537" t="s">
        <v>2158</v>
      </c>
      <c r="I179" s="563" t="s">
        <v>826</v>
      </c>
      <c r="J179" s="589" t="s">
        <v>255</v>
      </c>
      <c r="K179" s="537" t="s">
        <v>1096</v>
      </c>
      <c r="L179" s="537" t="s">
        <v>2130</v>
      </c>
      <c r="M179" s="633">
        <v>60596</v>
      </c>
    </row>
    <row r="180" spans="3:13" ht="19.5">
      <c r="C180">
        <v>2011</v>
      </c>
      <c r="D180" s="729">
        <v>40629</v>
      </c>
      <c r="E180" s="730">
        <v>0.56041666666666667</v>
      </c>
      <c r="F180" s="731">
        <v>40629</v>
      </c>
      <c r="G180" s="730">
        <v>0.70833333333333337</v>
      </c>
      <c r="H180" s="537" t="s">
        <v>2159</v>
      </c>
      <c r="I180" s="563" t="s">
        <v>124</v>
      </c>
      <c r="J180" s="589" t="s">
        <v>255</v>
      </c>
      <c r="K180" s="733" t="s">
        <v>2160</v>
      </c>
      <c r="L180" s="537">
        <v>295</v>
      </c>
      <c r="M180" s="633">
        <v>165000</v>
      </c>
    </row>
    <row r="181" spans="3:13" ht="19.5">
      <c r="C181">
        <v>2011</v>
      </c>
      <c r="D181" s="729">
        <v>40633</v>
      </c>
      <c r="E181" s="730">
        <v>0.60416666666666663</v>
      </c>
      <c r="F181" s="731">
        <v>40634</v>
      </c>
      <c r="G181" s="730">
        <v>0.99930555555555556</v>
      </c>
      <c r="H181" s="537" t="s">
        <v>2161</v>
      </c>
      <c r="I181" s="563" t="s">
        <v>301</v>
      </c>
      <c r="J181" s="589" t="s">
        <v>255</v>
      </c>
      <c r="K181" s="537" t="s">
        <v>22</v>
      </c>
      <c r="L181" s="537" t="s">
        <v>2130</v>
      </c>
      <c r="M181" s="633">
        <v>50000</v>
      </c>
    </row>
    <row r="182" spans="3:13" ht="19.5">
      <c r="C182">
        <v>2011</v>
      </c>
      <c r="D182" s="729">
        <v>40633</v>
      </c>
      <c r="E182" s="730">
        <v>0.47916666666666669</v>
      </c>
      <c r="F182" s="731">
        <v>40633</v>
      </c>
      <c r="G182" s="730">
        <v>0.85416666666666663</v>
      </c>
      <c r="H182" s="537" t="s">
        <v>2162</v>
      </c>
      <c r="I182" s="563" t="s">
        <v>301</v>
      </c>
      <c r="J182" s="589" t="s">
        <v>255</v>
      </c>
      <c r="K182" s="537" t="s">
        <v>22</v>
      </c>
      <c r="L182" s="537">
        <v>206</v>
      </c>
      <c r="M182" s="633">
        <v>87000</v>
      </c>
    </row>
    <row r="183" spans="3:13" ht="19.5">
      <c r="C183">
        <v>2011</v>
      </c>
      <c r="D183" s="729">
        <v>40636</v>
      </c>
      <c r="E183" s="730">
        <v>0.84930555555555554</v>
      </c>
      <c r="F183" s="731">
        <v>40638</v>
      </c>
      <c r="G183" s="730">
        <v>0.625</v>
      </c>
      <c r="H183" s="537" t="s">
        <v>45</v>
      </c>
      <c r="I183" s="563" t="s">
        <v>63</v>
      </c>
      <c r="J183" s="589" t="s">
        <v>255</v>
      </c>
      <c r="K183" s="537" t="s">
        <v>2139</v>
      </c>
      <c r="L183" s="543">
        <v>0</v>
      </c>
      <c r="M183" s="633">
        <v>0</v>
      </c>
    </row>
    <row r="184" spans="3:13" ht="19.5">
      <c r="C184">
        <v>2011</v>
      </c>
      <c r="D184" s="729">
        <v>40637</v>
      </c>
      <c r="E184" s="730">
        <v>0.4909722222222222</v>
      </c>
      <c r="F184" s="731">
        <v>40641</v>
      </c>
      <c r="G184" s="730">
        <v>6.9444444444444447E-4</v>
      </c>
      <c r="H184" s="537" t="s">
        <v>2163</v>
      </c>
      <c r="I184" s="563" t="s">
        <v>63</v>
      </c>
      <c r="J184" s="589" t="s">
        <v>255</v>
      </c>
      <c r="K184" s="537" t="s">
        <v>22</v>
      </c>
      <c r="L184" s="543">
        <v>359</v>
      </c>
      <c r="M184" s="633">
        <v>63000</v>
      </c>
    </row>
    <row r="185" spans="3:13" ht="19.5">
      <c r="C185">
        <v>2011</v>
      </c>
      <c r="D185" s="729">
        <v>40637</v>
      </c>
      <c r="E185" s="730">
        <v>0.54166666666666663</v>
      </c>
      <c r="F185" s="731">
        <v>40638</v>
      </c>
      <c r="G185" s="730">
        <v>0</v>
      </c>
      <c r="H185" s="537" t="s">
        <v>2164</v>
      </c>
      <c r="I185" s="563" t="s">
        <v>63</v>
      </c>
      <c r="J185" s="589" t="s">
        <v>255</v>
      </c>
      <c r="K185" s="537" t="s">
        <v>22</v>
      </c>
      <c r="L185" s="543">
        <v>300</v>
      </c>
      <c r="M185" s="633">
        <v>63000</v>
      </c>
    </row>
    <row r="186" spans="3:13" ht="19.5">
      <c r="C186">
        <v>2011</v>
      </c>
      <c r="D186" s="729">
        <v>40637</v>
      </c>
      <c r="E186" s="730">
        <v>0.58333333333333337</v>
      </c>
      <c r="F186" s="731">
        <v>40641</v>
      </c>
      <c r="G186" s="730">
        <v>6.9444444444444447E-4</v>
      </c>
      <c r="H186" s="537" t="s">
        <v>2165</v>
      </c>
      <c r="I186" s="563" t="s">
        <v>63</v>
      </c>
      <c r="J186" s="589" t="s">
        <v>255</v>
      </c>
      <c r="K186" s="537" t="s">
        <v>22</v>
      </c>
      <c r="L186" s="543">
        <v>300</v>
      </c>
      <c r="M186" s="633">
        <v>73000</v>
      </c>
    </row>
    <row r="187" spans="3:13" ht="19.5">
      <c r="C187">
        <v>2011</v>
      </c>
      <c r="D187" s="729">
        <v>40637</v>
      </c>
      <c r="E187" s="730">
        <v>0.79166666666666663</v>
      </c>
      <c r="F187" s="731">
        <v>40638</v>
      </c>
      <c r="G187" s="730">
        <v>0.83333333333333337</v>
      </c>
      <c r="H187" s="537" t="s">
        <v>2166</v>
      </c>
      <c r="I187" s="563" t="s">
        <v>63</v>
      </c>
      <c r="J187" s="589" t="s">
        <v>255</v>
      </c>
      <c r="K187" s="537" t="s">
        <v>22</v>
      </c>
      <c r="L187" s="543" t="s">
        <v>2130</v>
      </c>
      <c r="M187" s="633">
        <v>74645</v>
      </c>
    </row>
    <row r="188" spans="3:13" ht="19.5">
      <c r="C188">
        <v>2011</v>
      </c>
      <c r="D188" s="729">
        <v>40637</v>
      </c>
      <c r="E188" s="730">
        <v>0.79166666666666663</v>
      </c>
      <c r="F188" s="731">
        <v>40638</v>
      </c>
      <c r="G188" s="730">
        <v>0.5</v>
      </c>
      <c r="H188" s="537" t="s">
        <v>2167</v>
      </c>
      <c r="I188" s="563" t="s">
        <v>826</v>
      </c>
      <c r="J188" s="589" t="s">
        <v>255</v>
      </c>
      <c r="K188" s="537" t="s">
        <v>22</v>
      </c>
      <c r="L188" s="543" t="s">
        <v>2130</v>
      </c>
      <c r="M188" s="633">
        <v>52920</v>
      </c>
    </row>
    <row r="189" spans="3:13" ht="19.5">
      <c r="C189">
        <v>2011</v>
      </c>
      <c r="D189" s="729">
        <v>40637</v>
      </c>
      <c r="E189" s="730">
        <v>0.875</v>
      </c>
      <c r="F189" s="731">
        <v>40638</v>
      </c>
      <c r="G189" s="730">
        <v>0.97916666666666663</v>
      </c>
      <c r="H189" s="537" t="s">
        <v>2168</v>
      </c>
      <c r="I189" s="563" t="s">
        <v>63</v>
      </c>
      <c r="J189" s="589" t="s">
        <v>255</v>
      </c>
      <c r="K189" s="537" t="s">
        <v>22</v>
      </c>
      <c r="L189" s="543">
        <v>674</v>
      </c>
      <c r="M189" s="633">
        <v>303434</v>
      </c>
    </row>
    <row r="190" spans="3:13" ht="19.5">
      <c r="C190">
        <v>2011</v>
      </c>
      <c r="D190" s="729">
        <v>40638</v>
      </c>
      <c r="E190" s="730">
        <v>8.3333333333333329E-2</v>
      </c>
      <c r="F190" s="731">
        <v>40640</v>
      </c>
      <c r="G190" s="730">
        <v>0.95833333333333337</v>
      </c>
      <c r="H190" s="537" t="s">
        <v>2169</v>
      </c>
      <c r="I190" s="563" t="s">
        <v>63</v>
      </c>
      <c r="J190" s="589" t="s">
        <v>255</v>
      </c>
      <c r="K190" s="537" t="s">
        <v>22</v>
      </c>
      <c r="L190" s="543">
        <v>1200</v>
      </c>
      <c r="M190" s="633">
        <v>256000</v>
      </c>
    </row>
    <row r="191" spans="3:13" ht="19.5">
      <c r="C191">
        <v>2011</v>
      </c>
      <c r="D191" s="729">
        <v>40639</v>
      </c>
      <c r="E191" s="730">
        <v>0.4513888888888889</v>
      </c>
      <c r="F191" s="731">
        <v>40639</v>
      </c>
      <c r="G191" s="730">
        <v>0.4513888888888889</v>
      </c>
      <c r="H191" s="537" t="s">
        <v>2170</v>
      </c>
      <c r="I191" s="563" t="s">
        <v>826</v>
      </c>
      <c r="J191" s="589" t="s">
        <v>255</v>
      </c>
      <c r="K191" s="537" t="s">
        <v>100</v>
      </c>
      <c r="L191" s="543">
        <v>0</v>
      </c>
      <c r="M191" s="633">
        <v>0</v>
      </c>
    </row>
    <row r="192" spans="3:13" ht="19.5">
      <c r="C192">
        <v>2011</v>
      </c>
      <c r="D192" s="729">
        <v>40644</v>
      </c>
      <c r="E192" s="730">
        <v>0.73611111111111116</v>
      </c>
      <c r="F192" s="731">
        <v>40644</v>
      </c>
      <c r="G192" s="730">
        <v>0.74375000000000002</v>
      </c>
      <c r="H192" s="537" t="s">
        <v>2147</v>
      </c>
      <c r="I192" s="563" t="s">
        <v>124</v>
      </c>
      <c r="J192" s="589" t="s">
        <v>255</v>
      </c>
      <c r="K192" s="537" t="s">
        <v>2118</v>
      </c>
      <c r="L192" s="543">
        <v>0</v>
      </c>
      <c r="M192" s="633">
        <v>0</v>
      </c>
    </row>
    <row r="193" spans="3:13" ht="19.5">
      <c r="C193">
        <v>2011</v>
      </c>
      <c r="D193" s="729">
        <v>40649</v>
      </c>
      <c r="E193" s="730">
        <v>0.59444444444444444</v>
      </c>
      <c r="F193" s="731">
        <v>40650</v>
      </c>
      <c r="G193" s="730">
        <v>0.6875</v>
      </c>
      <c r="H193" s="537" t="s">
        <v>2171</v>
      </c>
      <c r="I193" s="563" t="s">
        <v>63</v>
      </c>
      <c r="J193" s="589" t="s">
        <v>255</v>
      </c>
      <c r="K193" s="537" t="s">
        <v>22</v>
      </c>
      <c r="L193" s="543" t="s">
        <v>2130</v>
      </c>
      <c r="M193" s="633">
        <v>220000</v>
      </c>
    </row>
    <row r="194" spans="3:13" ht="19.5">
      <c r="C194">
        <v>2011</v>
      </c>
      <c r="D194" s="729">
        <v>40652</v>
      </c>
      <c r="E194" s="730">
        <v>0.83333333333333337</v>
      </c>
      <c r="F194" s="731">
        <v>40652</v>
      </c>
      <c r="G194" s="730">
        <v>0.91666666666666663</v>
      </c>
      <c r="H194" s="537" t="s">
        <v>33</v>
      </c>
      <c r="I194" s="563" t="s">
        <v>63</v>
      </c>
      <c r="J194" s="589" t="s">
        <v>255</v>
      </c>
      <c r="K194" s="537" t="s">
        <v>22</v>
      </c>
      <c r="L194" s="543" t="s">
        <v>2130</v>
      </c>
      <c r="M194" s="633">
        <v>80000</v>
      </c>
    </row>
    <row r="195" spans="3:13" ht="19.5">
      <c r="C195">
        <v>2011</v>
      </c>
      <c r="D195" s="729">
        <v>40652</v>
      </c>
      <c r="E195" s="730">
        <v>0.58402777777777781</v>
      </c>
      <c r="F195" s="731">
        <v>40652</v>
      </c>
      <c r="G195" s="730">
        <v>0.6694444444444444</v>
      </c>
      <c r="H195" s="537" t="s">
        <v>2172</v>
      </c>
      <c r="I195" s="563" t="s">
        <v>124</v>
      </c>
      <c r="J195" s="589" t="s">
        <v>255</v>
      </c>
      <c r="K195" s="537" t="s">
        <v>100</v>
      </c>
      <c r="L195" s="543">
        <v>0</v>
      </c>
      <c r="M195" s="633">
        <v>0</v>
      </c>
    </row>
    <row r="196" spans="3:13" ht="19.5">
      <c r="C196">
        <v>2011</v>
      </c>
      <c r="D196" s="729">
        <v>40652</v>
      </c>
      <c r="E196" s="730">
        <v>0.9472222222222223</v>
      </c>
      <c r="F196" s="731">
        <v>40653</v>
      </c>
      <c r="G196" s="730">
        <v>8.3333333333333329E-2</v>
      </c>
      <c r="H196" s="537" t="s">
        <v>2163</v>
      </c>
      <c r="I196" s="563" t="s">
        <v>63</v>
      </c>
      <c r="J196" s="589" t="s">
        <v>255</v>
      </c>
      <c r="K196" s="537" t="s">
        <v>22</v>
      </c>
      <c r="L196" s="543">
        <v>100</v>
      </c>
      <c r="M196" s="633">
        <v>64000</v>
      </c>
    </row>
    <row r="197" spans="3:13" ht="19.5">
      <c r="C197">
        <v>2011</v>
      </c>
      <c r="D197" s="729">
        <v>40652</v>
      </c>
      <c r="E197" s="730">
        <v>0.95972222222222225</v>
      </c>
      <c r="F197" s="731">
        <v>40654</v>
      </c>
      <c r="G197" s="730">
        <v>0.73055555555555562</v>
      </c>
      <c r="H197" s="537" t="s">
        <v>2163</v>
      </c>
      <c r="I197" s="563" t="s">
        <v>63</v>
      </c>
      <c r="J197" s="589" t="s">
        <v>255</v>
      </c>
      <c r="K197" s="537" t="s">
        <v>22</v>
      </c>
      <c r="L197" s="543">
        <v>300</v>
      </c>
      <c r="M197" s="633">
        <v>105000</v>
      </c>
    </row>
    <row r="198" spans="3:13" ht="19.5">
      <c r="C198">
        <v>2011</v>
      </c>
      <c r="D198" s="729">
        <v>40652</v>
      </c>
      <c r="E198" s="730">
        <v>0.96736111111111101</v>
      </c>
      <c r="F198" s="731">
        <v>40653</v>
      </c>
      <c r="G198" s="730">
        <v>0.80138888888888893</v>
      </c>
      <c r="H198" s="537" t="s">
        <v>2173</v>
      </c>
      <c r="I198" s="563" t="s">
        <v>63</v>
      </c>
      <c r="J198" s="589" t="s">
        <v>255</v>
      </c>
      <c r="K198" s="537" t="s">
        <v>22</v>
      </c>
      <c r="L198" s="543">
        <v>22</v>
      </c>
      <c r="M198" s="633" t="s">
        <v>2130</v>
      </c>
    </row>
    <row r="199" spans="3:13" ht="19.5">
      <c r="C199">
        <v>2011</v>
      </c>
      <c r="D199" s="729">
        <v>40653</v>
      </c>
      <c r="E199" s="730">
        <v>8.3333333333333329E-2</v>
      </c>
      <c r="F199" s="731">
        <v>40654</v>
      </c>
      <c r="G199" s="730">
        <v>0.5</v>
      </c>
      <c r="H199" s="537" t="s">
        <v>2174</v>
      </c>
      <c r="I199" s="563" t="s">
        <v>826</v>
      </c>
      <c r="J199" s="589" t="s">
        <v>255</v>
      </c>
      <c r="K199" s="537" t="s">
        <v>2175</v>
      </c>
      <c r="L199" s="543" t="s">
        <v>2130</v>
      </c>
      <c r="M199" s="633">
        <v>165711</v>
      </c>
    </row>
    <row r="200" spans="3:13" ht="19.5">
      <c r="C200">
        <v>2011</v>
      </c>
      <c r="D200" s="729">
        <v>40653</v>
      </c>
      <c r="E200" s="730">
        <v>0.33819444444444446</v>
      </c>
      <c r="F200" s="731">
        <v>40653</v>
      </c>
      <c r="G200" s="730">
        <v>0.3430555555555555</v>
      </c>
      <c r="H200" s="537" t="s">
        <v>1722</v>
      </c>
      <c r="I200" s="563" t="s">
        <v>63</v>
      </c>
      <c r="J200" s="589" t="s">
        <v>255</v>
      </c>
      <c r="K200" s="537" t="s">
        <v>2176</v>
      </c>
      <c r="L200" s="543">
        <v>33</v>
      </c>
      <c r="M200" s="633">
        <v>11000</v>
      </c>
    </row>
    <row r="201" spans="3:13" ht="19.5">
      <c r="C201">
        <v>2011</v>
      </c>
      <c r="D201" s="729">
        <v>40654</v>
      </c>
      <c r="E201" s="730">
        <v>0.30208333333333331</v>
      </c>
      <c r="F201" s="731">
        <v>40654</v>
      </c>
      <c r="G201" s="730">
        <v>0.70138888888888884</v>
      </c>
      <c r="H201" s="537" t="s">
        <v>2177</v>
      </c>
      <c r="I201" s="563" t="s">
        <v>124</v>
      </c>
      <c r="J201" s="589" t="s">
        <v>255</v>
      </c>
      <c r="K201" s="537" t="s">
        <v>100</v>
      </c>
      <c r="L201" s="543">
        <v>0</v>
      </c>
      <c r="M201" s="633">
        <v>0</v>
      </c>
    </row>
    <row r="202" spans="3:13" ht="19.5">
      <c r="C202">
        <v>2011</v>
      </c>
      <c r="D202" s="729">
        <v>40654</v>
      </c>
      <c r="E202" s="730">
        <v>0.79166666666666663</v>
      </c>
      <c r="F202" s="731">
        <v>40662</v>
      </c>
      <c r="G202" s="730">
        <v>0.79513888888888884</v>
      </c>
      <c r="H202" s="537" t="s">
        <v>2178</v>
      </c>
      <c r="I202" s="563" t="s">
        <v>826</v>
      </c>
      <c r="J202" s="589" t="s">
        <v>255</v>
      </c>
      <c r="K202" s="537" t="s">
        <v>2118</v>
      </c>
      <c r="L202" s="543" t="s">
        <v>2130</v>
      </c>
      <c r="M202" s="633" t="s">
        <v>2130</v>
      </c>
    </row>
    <row r="203" spans="3:13" ht="19.5">
      <c r="C203">
        <v>2011</v>
      </c>
      <c r="D203" s="729">
        <v>40655</v>
      </c>
      <c r="E203" s="730">
        <v>0.875</v>
      </c>
      <c r="F203" s="731">
        <v>40655</v>
      </c>
      <c r="G203" s="730">
        <v>0.95833333333333337</v>
      </c>
      <c r="H203" s="537" t="s">
        <v>2179</v>
      </c>
      <c r="I203" s="563" t="s">
        <v>63</v>
      </c>
      <c r="J203" s="589" t="s">
        <v>255</v>
      </c>
      <c r="K203" s="537" t="s">
        <v>22</v>
      </c>
      <c r="L203" s="543">
        <v>0</v>
      </c>
      <c r="M203" s="633">
        <v>55000</v>
      </c>
    </row>
    <row r="204" spans="3:13" ht="19.5">
      <c r="C204">
        <v>2011</v>
      </c>
      <c r="D204" s="729">
        <v>40658</v>
      </c>
      <c r="E204" s="730">
        <v>0.68958333333333333</v>
      </c>
      <c r="F204" s="731">
        <v>40658</v>
      </c>
      <c r="G204" s="730">
        <v>0.72152777777777777</v>
      </c>
      <c r="H204" s="537" t="s">
        <v>2180</v>
      </c>
      <c r="I204" s="563" t="s">
        <v>63</v>
      </c>
      <c r="J204" s="589" t="s">
        <v>255</v>
      </c>
      <c r="K204" s="537" t="s">
        <v>2176</v>
      </c>
      <c r="L204" s="543">
        <v>140</v>
      </c>
      <c r="M204" s="633" t="s">
        <v>2130</v>
      </c>
    </row>
    <row r="205" spans="3:13" ht="19.5">
      <c r="C205">
        <v>2011</v>
      </c>
      <c r="D205" s="729">
        <v>40658</v>
      </c>
      <c r="E205" s="730">
        <v>0.72916666666666663</v>
      </c>
      <c r="F205" s="731">
        <v>40660</v>
      </c>
      <c r="G205" s="730">
        <v>0.75</v>
      </c>
      <c r="H205" s="537" t="s">
        <v>2181</v>
      </c>
      <c r="I205" s="563" t="s">
        <v>58</v>
      </c>
      <c r="J205" s="589" t="s">
        <v>255</v>
      </c>
      <c r="K205" s="537" t="s">
        <v>22</v>
      </c>
      <c r="L205" s="543" t="s">
        <v>2130</v>
      </c>
      <c r="M205" s="633">
        <v>141700</v>
      </c>
    </row>
    <row r="206" spans="3:13" ht="19.5">
      <c r="C206">
        <v>2011</v>
      </c>
      <c r="D206" s="729">
        <v>40659</v>
      </c>
      <c r="E206" s="730">
        <v>0.24236111111111111</v>
      </c>
      <c r="F206" s="731">
        <v>40660</v>
      </c>
      <c r="G206" s="730">
        <v>0.41597222222222219</v>
      </c>
      <c r="H206" s="537" t="s">
        <v>1949</v>
      </c>
      <c r="I206" s="563" t="s">
        <v>58</v>
      </c>
      <c r="J206" s="589" t="s">
        <v>255</v>
      </c>
      <c r="K206" s="537" t="s">
        <v>22</v>
      </c>
      <c r="L206" s="543">
        <v>120</v>
      </c>
      <c r="M206" s="633" t="s">
        <v>2130</v>
      </c>
    </row>
    <row r="207" spans="3:13" ht="19.5">
      <c r="C207">
        <v>2011</v>
      </c>
      <c r="D207" s="729">
        <v>40659</v>
      </c>
      <c r="E207" s="730">
        <v>0.41041666666666665</v>
      </c>
      <c r="F207" s="731">
        <v>40661</v>
      </c>
      <c r="G207" s="730">
        <v>0.41041666666666665</v>
      </c>
      <c r="H207" s="537" t="s">
        <v>2182</v>
      </c>
      <c r="I207" s="563" t="s">
        <v>63</v>
      </c>
      <c r="J207" s="589" t="s">
        <v>255</v>
      </c>
      <c r="K207" s="537" t="s">
        <v>22</v>
      </c>
      <c r="L207" s="543" t="s">
        <v>2130</v>
      </c>
      <c r="M207" s="633">
        <v>55000</v>
      </c>
    </row>
    <row r="208" spans="3:13" ht="19.5">
      <c r="C208">
        <v>2011</v>
      </c>
      <c r="D208" s="729">
        <v>40659</v>
      </c>
      <c r="E208" s="730">
        <v>0.5444444444444444</v>
      </c>
      <c r="F208" s="731">
        <v>40659</v>
      </c>
      <c r="G208" s="730">
        <v>0.58333333333333337</v>
      </c>
      <c r="H208" s="537" t="s">
        <v>2147</v>
      </c>
      <c r="I208" s="563" t="s">
        <v>124</v>
      </c>
      <c r="J208" s="589" t="s">
        <v>255</v>
      </c>
      <c r="K208" s="537" t="s">
        <v>100</v>
      </c>
      <c r="L208" s="543">
        <v>0</v>
      </c>
      <c r="M208" s="633">
        <v>0</v>
      </c>
    </row>
    <row r="209" spans="3:13" ht="19.5">
      <c r="C209">
        <v>2011</v>
      </c>
      <c r="D209" s="729">
        <v>40659</v>
      </c>
      <c r="E209" s="730">
        <v>0.7597222222222223</v>
      </c>
      <c r="F209" s="731">
        <v>40661</v>
      </c>
      <c r="G209" s="730">
        <v>0.70833333333333337</v>
      </c>
      <c r="H209" s="537" t="s">
        <v>2183</v>
      </c>
      <c r="I209" s="563" t="s">
        <v>58</v>
      </c>
      <c r="J209" s="589" t="s">
        <v>255</v>
      </c>
      <c r="K209" s="537" t="s">
        <v>22</v>
      </c>
      <c r="L209" s="543">
        <v>50</v>
      </c>
      <c r="M209" s="633">
        <v>13000</v>
      </c>
    </row>
    <row r="210" spans="3:13" ht="19.5">
      <c r="C210">
        <v>2011</v>
      </c>
      <c r="D210" s="729">
        <v>40660</v>
      </c>
      <c r="E210" s="730">
        <v>0.33333333333333331</v>
      </c>
      <c r="F210" s="731">
        <v>40665</v>
      </c>
      <c r="G210" s="730">
        <v>0.66875000000000007</v>
      </c>
      <c r="H210" s="537" t="s">
        <v>2168</v>
      </c>
      <c r="I210" s="563" t="s">
        <v>63</v>
      </c>
      <c r="J210" s="589" t="s">
        <v>255</v>
      </c>
      <c r="K210" s="537" t="s">
        <v>22</v>
      </c>
      <c r="L210" s="543">
        <v>1422</v>
      </c>
      <c r="M210" s="633">
        <v>426640</v>
      </c>
    </row>
    <row r="211" spans="3:13" ht="19.5">
      <c r="C211">
        <v>2011</v>
      </c>
      <c r="D211" s="729">
        <v>40660</v>
      </c>
      <c r="E211" s="730">
        <v>0.41666666666666669</v>
      </c>
      <c r="F211" s="731">
        <v>40662</v>
      </c>
      <c r="G211" s="730">
        <v>0.68680555555555556</v>
      </c>
      <c r="H211" s="537" t="s">
        <v>2182</v>
      </c>
      <c r="I211" s="563" t="s">
        <v>63</v>
      </c>
      <c r="J211" s="589" t="s">
        <v>255</v>
      </c>
      <c r="K211" s="537" t="s">
        <v>22</v>
      </c>
      <c r="L211" s="543" t="s">
        <v>2130</v>
      </c>
      <c r="M211" s="633">
        <v>612000</v>
      </c>
    </row>
    <row r="212" spans="3:13" ht="19.5">
      <c r="C212">
        <v>2011</v>
      </c>
      <c r="D212" s="729">
        <v>40660</v>
      </c>
      <c r="E212" s="730">
        <v>0.91666666666666663</v>
      </c>
      <c r="F212" s="731">
        <v>40661</v>
      </c>
      <c r="G212" s="730">
        <v>0.41666666666666669</v>
      </c>
      <c r="H212" s="537" t="s">
        <v>2184</v>
      </c>
      <c r="I212" s="563" t="s">
        <v>63</v>
      </c>
      <c r="J212" s="589" t="s">
        <v>255</v>
      </c>
      <c r="K212" s="537" t="s">
        <v>22</v>
      </c>
      <c r="L212" s="543">
        <v>0</v>
      </c>
      <c r="M212" s="633">
        <v>69000</v>
      </c>
    </row>
    <row r="213" spans="3:13" ht="19.5">
      <c r="C213">
        <v>2011</v>
      </c>
      <c r="D213" s="729">
        <v>40661</v>
      </c>
      <c r="E213" s="730">
        <v>0.20833333333333334</v>
      </c>
      <c r="F213" s="731">
        <v>40663</v>
      </c>
      <c r="G213" s="730">
        <v>0.77083333333333337</v>
      </c>
      <c r="H213" s="537" t="s">
        <v>2185</v>
      </c>
      <c r="I213" s="563" t="s">
        <v>826</v>
      </c>
      <c r="J213" s="589" t="s">
        <v>255</v>
      </c>
      <c r="K213" s="537" t="s">
        <v>22</v>
      </c>
      <c r="L213" s="543" t="s">
        <v>2130</v>
      </c>
      <c r="M213" s="633">
        <v>86000</v>
      </c>
    </row>
    <row r="214" spans="3:13" ht="19.5">
      <c r="C214">
        <v>2011</v>
      </c>
      <c r="D214" s="729">
        <v>40661</v>
      </c>
      <c r="E214" s="730">
        <v>0.67291666666666661</v>
      </c>
      <c r="F214" s="731">
        <v>40661</v>
      </c>
      <c r="G214" s="730">
        <v>0.67361111111111116</v>
      </c>
      <c r="H214" s="537" t="s">
        <v>137</v>
      </c>
      <c r="I214" s="563" t="s">
        <v>124</v>
      </c>
      <c r="J214" s="589" t="s">
        <v>255</v>
      </c>
      <c r="K214" s="537" t="s">
        <v>2176</v>
      </c>
      <c r="L214" s="543">
        <v>960</v>
      </c>
      <c r="M214" s="633" t="s">
        <v>2130</v>
      </c>
    </row>
    <row r="215" spans="3:13" ht="19.5">
      <c r="C215">
        <v>2011</v>
      </c>
      <c r="D215" s="729">
        <v>40665</v>
      </c>
      <c r="E215" s="730">
        <v>0.71250000000000002</v>
      </c>
      <c r="F215" s="731">
        <v>40665</v>
      </c>
      <c r="G215" s="730">
        <v>0.83333333333333337</v>
      </c>
      <c r="H215" s="537" t="s">
        <v>2186</v>
      </c>
      <c r="I215" s="563" t="s">
        <v>255</v>
      </c>
      <c r="J215" s="589" t="s">
        <v>255</v>
      </c>
      <c r="K215" s="537" t="s">
        <v>22</v>
      </c>
      <c r="L215" s="537">
        <v>220</v>
      </c>
      <c r="M215" s="633">
        <v>62000</v>
      </c>
    </row>
    <row r="216" spans="3:13" ht="19.5">
      <c r="C216">
        <v>2011</v>
      </c>
      <c r="D216" s="729">
        <v>40665</v>
      </c>
      <c r="E216" s="730">
        <v>0.58333333333333337</v>
      </c>
      <c r="F216" s="731">
        <v>40665</v>
      </c>
      <c r="G216" s="730">
        <v>0.58333333333333337</v>
      </c>
      <c r="H216" s="537" t="s">
        <v>2187</v>
      </c>
      <c r="I216" s="563" t="s">
        <v>61</v>
      </c>
      <c r="J216" s="589" t="s">
        <v>255</v>
      </c>
      <c r="K216" s="537" t="s">
        <v>2150</v>
      </c>
      <c r="L216" s="537">
        <v>0</v>
      </c>
      <c r="M216" s="633">
        <v>0</v>
      </c>
    </row>
    <row r="217" spans="3:13" ht="19.5">
      <c r="C217">
        <v>2011</v>
      </c>
      <c r="D217" s="729">
        <v>40665</v>
      </c>
      <c r="E217" s="730">
        <v>0.36944444444444446</v>
      </c>
      <c r="F217" s="731">
        <v>40665</v>
      </c>
      <c r="G217" s="730">
        <v>0.44861111111111113</v>
      </c>
      <c r="H217" s="537" t="s">
        <v>2188</v>
      </c>
      <c r="I217" s="563" t="s">
        <v>124</v>
      </c>
      <c r="J217" s="589" t="s">
        <v>255</v>
      </c>
      <c r="K217" s="537" t="s">
        <v>100</v>
      </c>
      <c r="L217" s="543">
        <v>0</v>
      </c>
      <c r="M217" s="633">
        <v>0</v>
      </c>
    </row>
    <row r="218" spans="3:13" ht="19.5">
      <c r="C218">
        <v>2011</v>
      </c>
      <c r="D218" s="729">
        <v>40666</v>
      </c>
      <c r="E218" s="730">
        <v>0.5</v>
      </c>
      <c r="F218" s="731">
        <v>40668</v>
      </c>
      <c r="G218" s="730">
        <v>0.5</v>
      </c>
      <c r="H218" s="537" t="s">
        <v>2189</v>
      </c>
      <c r="I218" s="563" t="s">
        <v>61</v>
      </c>
      <c r="J218" s="589" t="s">
        <v>255</v>
      </c>
      <c r="K218" s="537" t="s">
        <v>2150</v>
      </c>
      <c r="L218" s="537">
        <v>0</v>
      </c>
      <c r="M218" s="633">
        <v>0</v>
      </c>
    </row>
    <row r="219" spans="3:13" ht="19.5">
      <c r="C219">
        <v>2011</v>
      </c>
      <c r="D219" s="729">
        <v>40667</v>
      </c>
      <c r="E219" s="730">
        <v>0.54722222222222217</v>
      </c>
      <c r="F219" s="731">
        <v>40667</v>
      </c>
      <c r="G219" s="730">
        <v>0.55902777777777779</v>
      </c>
      <c r="H219" s="537" t="s">
        <v>2123</v>
      </c>
      <c r="I219" s="563" t="s">
        <v>826</v>
      </c>
      <c r="J219" s="589" t="s">
        <v>255</v>
      </c>
      <c r="K219" s="537" t="s">
        <v>2150</v>
      </c>
      <c r="L219" s="537">
        <v>0</v>
      </c>
      <c r="M219" s="633">
        <v>0</v>
      </c>
    </row>
    <row r="220" spans="3:13" ht="19.5">
      <c r="C220">
        <v>2011</v>
      </c>
      <c r="D220" s="729">
        <v>40667</v>
      </c>
      <c r="E220" s="730">
        <v>0.51388888888888895</v>
      </c>
      <c r="F220" s="731">
        <v>40667</v>
      </c>
      <c r="G220" s="730">
        <v>0.65277777777777779</v>
      </c>
      <c r="H220" s="537" t="s">
        <v>1833</v>
      </c>
      <c r="I220" s="563" t="s">
        <v>826</v>
      </c>
      <c r="J220" s="589" t="s">
        <v>255</v>
      </c>
      <c r="K220" s="537" t="s">
        <v>2190</v>
      </c>
      <c r="L220" s="543">
        <v>0</v>
      </c>
      <c r="M220" s="633">
        <v>0</v>
      </c>
    </row>
    <row r="221" spans="3:13" ht="19.5">
      <c r="C221">
        <v>2011</v>
      </c>
      <c r="D221" s="729">
        <v>40668</v>
      </c>
      <c r="E221" s="730">
        <v>0.38541666666666669</v>
      </c>
      <c r="F221" s="731">
        <v>40668</v>
      </c>
      <c r="G221" s="730">
        <v>0.38541666666666669</v>
      </c>
      <c r="H221" s="537" t="s">
        <v>1115</v>
      </c>
      <c r="I221" s="563" t="s">
        <v>61</v>
      </c>
      <c r="J221" s="589" t="s">
        <v>255</v>
      </c>
      <c r="K221" s="537" t="s">
        <v>100</v>
      </c>
      <c r="L221" s="543">
        <v>0</v>
      </c>
      <c r="M221" s="633">
        <v>0</v>
      </c>
    </row>
    <row r="222" spans="3:13" ht="19.5">
      <c r="C222">
        <v>2011</v>
      </c>
      <c r="D222" s="729">
        <v>40669</v>
      </c>
      <c r="E222" s="730">
        <v>0.28888888888888892</v>
      </c>
      <c r="F222" s="731">
        <v>40669</v>
      </c>
      <c r="G222" s="730">
        <v>0.4375</v>
      </c>
      <c r="H222" s="537" t="s">
        <v>2191</v>
      </c>
      <c r="I222" s="563" t="s">
        <v>124</v>
      </c>
      <c r="J222" s="589" t="s">
        <v>255</v>
      </c>
      <c r="K222" s="537" t="s">
        <v>100</v>
      </c>
      <c r="L222" s="596">
        <v>0</v>
      </c>
      <c r="M222" s="633">
        <v>0</v>
      </c>
    </row>
    <row r="223" spans="3:13" ht="19.5">
      <c r="C223">
        <v>2011</v>
      </c>
      <c r="D223" s="729">
        <v>40671</v>
      </c>
      <c r="E223" s="730">
        <v>0.81597222222222221</v>
      </c>
      <c r="F223" s="731">
        <v>40671</v>
      </c>
      <c r="G223" s="730">
        <v>0.81597222222222221</v>
      </c>
      <c r="H223" s="537" t="s">
        <v>30</v>
      </c>
      <c r="I223" s="563" t="s">
        <v>61</v>
      </c>
      <c r="J223" s="589" t="s">
        <v>255</v>
      </c>
      <c r="K223" s="537" t="s">
        <v>100</v>
      </c>
      <c r="L223" s="597" t="s">
        <v>2130</v>
      </c>
      <c r="M223" s="633">
        <v>0</v>
      </c>
    </row>
    <row r="224" spans="3:13" ht="19.5">
      <c r="C224">
        <v>2011</v>
      </c>
      <c r="D224" s="729">
        <v>40672</v>
      </c>
      <c r="E224" s="730">
        <v>0.5493055555555556</v>
      </c>
      <c r="F224" s="731">
        <v>40672</v>
      </c>
      <c r="G224" s="730">
        <v>0.5493055555555556</v>
      </c>
      <c r="H224" s="537" t="s">
        <v>2192</v>
      </c>
      <c r="I224" s="563" t="s">
        <v>61</v>
      </c>
      <c r="J224" s="589" t="s">
        <v>255</v>
      </c>
      <c r="K224" s="537" t="s">
        <v>100</v>
      </c>
      <c r="L224" s="596">
        <v>0</v>
      </c>
      <c r="M224" s="633">
        <v>0</v>
      </c>
    </row>
    <row r="225" spans="3:13" ht="19.5">
      <c r="C225">
        <v>2011</v>
      </c>
      <c r="D225" s="729">
        <v>40672</v>
      </c>
      <c r="E225" s="730">
        <v>0.17222222222222225</v>
      </c>
      <c r="F225" s="731">
        <v>40672</v>
      </c>
      <c r="G225" s="730">
        <v>0.27777777777777779</v>
      </c>
      <c r="H225" s="537" t="s">
        <v>2193</v>
      </c>
      <c r="I225" s="563" t="s">
        <v>826</v>
      </c>
      <c r="J225" s="589" t="s">
        <v>255</v>
      </c>
      <c r="K225" s="537" t="s">
        <v>2150</v>
      </c>
      <c r="L225" s="537">
        <v>630</v>
      </c>
      <c r="M225" s="633" t="s">
        <v>2130</v>
      </c>
    </row>
    <row r="226" spans="3:13" ht="19.5">
      <c r="C226">
        <v>2011</v>
      </c>
      <c r="D226" s="729">
        <v>40673</v>
      </c>
      <c r="E226" s="730">
        <v>0.93125000000000002</v>
      </c>
      <c r="F226" s="731">
        <v>40674</v>
      </c>
      <c r="G226" s="730">
        <v>0.60069444444444442</v>
      </c>
      <c r="H226" s="537" t="s">
        <v>2167</v>
      </c>
      <c r="I226" s="563" t="s">
        <v>826</v>
      </c>
      <c r="J226" s="589" t="s">
        <v>255</v>
      </c>
      <c r="K226" s="537" t="s">
        <v>22</v>
      </c>
      <c r="L226" s="597" t="s">
        <v>2130</v>
      </c>
      <c r="M226" s="633">
        <v>58000</v>
      </c>
    </row>
    <row r="227" spans="3:13" ht="19.5">
      <c r="C227">
        <v>2011</v>
      </c>
      <c r="D227" s="729">
        <v>40673</v>
      </c>
      <c r="E227" s="730">
        <v>0.57291666666666663</v>
      </c>
      <c r="F227" s="731">
        <v>40673</v>
      </c>
      <c r="G227" s="730">
        <v>0.625</v>
      </c>
      <c r="H227" s="537" t="s">
        <v>1115</v>
      </c>
      <c r="I227" s="563" t="s">
        <v>61</v>
      </c>
      <c r="J227" s="589" t="s">
        <v>255</v>
      </c>
      <c r="K227" s="537" t="s">
        <v>100</v>
      </c>
      <c r="L227" s="596">
        <v>0</v>
      </c>
      <c r="M227" s="633">
        <v>0</v>
      </c>
    </row>
    <row r="228" spans="3:13" ht="19.5">
      <c r="C228">
        <v>2011</v>
      </c>
      <c r="D228" s="729">
        <v>40673</v>
      </c>
      <c r="E228" s="730">
        <v>0.1423611111111111</v>
      </c>
      <c r="F228" s="731">
        <v>40674</v>
      </c>
      <c r="G228" s="730">
        <v>0.59027777777777779</v>
      </c>
      <c r="H228" s="537" t="s">
        <v>2194</v>
      </c>
      <c r="I228" s="563" t="s">
        <v>826</v>
      </c>
      <c r="J228" s="589" t="s">
        <v>255</v>
      </c>
      <c r="K228" s="537" t="s">
        <v>2195</v>
      </c>
      <c r="L228" s="537">
        <v>585</v>
      </c>
      <c r="M228" s="633">
        <v>78213</v>
      </c>
    </row>
    <row r="229" spans="3:13" ht="19.5">
      <c r="C229">
        <v>2011</v>
      </c>
      <c r="D229" s="729">
        <v>40674</v>
      </c>
      <c r="E229" s="730">
        <v>0.66319444444444442</v>
      </c>
      <c r="F229" s="731">
        <v>40675</v>
      </c>
      <c r="G229" s="730">
        <v>0.58124999999999993</v>
      </c>
      <c r="H229" s="537" t="s">
        <v>2196</v>
      </c>
      <c r="I229" s="563" t="s">
        <v>674</v>
      </c>
      <c r="J229" s="589" t="s">
        <v>255</v>
      </c>
      <c r="K229" s="537" t="s">
        <v>100</v>
      </c>
      <c r="L229" s="537">
        <v>0</v>
      </c>
      <c r="M229" s="633">
        <v>0</v>
      </c>
    </row>
    <row r="230" spans="3:13" ht="19.5">
      <c r="C230">
        <v>2011</v>
      </c>
      <c r="D230" s="729">
        <v>40674</v>
      </c>
      <c r="E230" s="730">
        <v>0.56597222222222221</v>
      </c>
      <c r="F230" s="731">
        <v>40674</v>
      </c>
      <c r="G230" s="730">
        <v>0.56597222222222221</v>
      </c>
      <c r="H230" s="537" t="s">
        <v>2197</v>
      </c>
      <c r="I230" s="563" t="s">
        <v>124</v>
      </c>
      <c r="J230" s="589" t="s">
        <v>255</v>
      </c>
      <c r="K230" s="537" t="s">
        <v>100</v>
      </c>
      <c r="L230" s="543">
        <v>0</v>
      </c>
      <c r="M230" s="633">
        <v>0</v>
      </c>
    </row>
    <row r="231" spans="3:13" ht="19.5">
      <c r="C231">
        <v>2011</v>
      </c>
      <c r="D231" s="729">
        <v>40674</v>
      </c>
      <c r="E231" s="730">
        <v>0.45833333333333331</v>
      </c>
      <c r="F231" s="731">
        <v>40674</v>
      </c>
      <c r="G231" s="730">
        <v>0.47916666666666669</v>
      </c>
      <c r="H231" s="537" t="s">
        <v>2198</v>
      </c>
      <c r="I231" s="563" t="s">
        <v>61</v>
      </c>
      <c r="J231" s="589" t="s">
        <v>255</v>
      </c>
      <c r="K231" s="537" t="s">
        <v>100</v>
      </c>
      <c r="L231" s="543">
        <v>0</v>
      </c>
      <c r="M231" s="633">
        <v>0</v>
      </c>
    </row>
    <row r="232" spans="3:13" ht="19.5">
      <c r="C232">
        <v>2011</v>
      </c>
      <c r="D232" s="729">
        <v>40674</v>
      </c>
      <c r="E232" s="730">
        <v>1.0416666666666666E-2</v>
      </c>
      <c r="F232" s="731">
        <v>40674</v>
      </c>
      <c r="G232" s="730">
        <v>0.72222222222222221</v>
      </c>
      <c r="H232" s="537" t="s">
        <v>2199</v>
      </c>
      <c r="I232" s="563" t="s">
        <v>63</v>
      </c>
      <c r="J232" s="589" t="s">
        <v>255</v>
      </c>
      <c r="K232" s="537" t="s">
        <v>22</v>
      </c>
      <c r="L232" s="537">
        <v>300</v>
      </c>
      <c r="M232" s="633">
        <v>71000</v>
      </c>
    </row>
    <row r="233" spans="3:13" ht="19.5">
      <c r="C233">
        <v>2011</v>
      </c>
      <c r="D233" s="729">
        <v>40676</v>
      </c>
      <c r="E233" s="730">
        <v>0.25</v>
      </c>
      <c r="F233" s="731">
        <v>40676</v>
      </c>
      <c r="G233" s="730">
        <v>0.25</v>
      </c>
      <c r="H233" s="537" t="s">
        <v>2200</v>
      </c>
      <c r="I233" s="563" t="s">
        <v>124</v>
      </c>
      <c r="J233" s="589" t="s">
        <v>255</v>
      </c>
      <c r="K233" s="537" t="s">
        <v>100</v>
      </c>
      <c r="L233" s="543">
        <v>0</v>
      </c>
      <c r="M233" s="633">
        <v>0</v>
      </c>
    </row>
    <row r="234" spans="3:13" ht="19.5">
      <c r="C234">
        <v>2011</v>
      </c>
      <c r="D234" s="729">
        <v>40684</v>
      </c>
      <c r="E234" s="730">
        <v>0.70833333333333337</v>
      </c>
      <c r="F234" s="731">
        <v>40685</v>
      </c>
      <c r="G234" s="730">
        <v>0.77361111111111114</v>
      </c>
      <c r="H234" s="537" t="s">
        <v>2201</v>
      </c>
      <c r="I234" s="563" t="s">
        <v>124</v>
      </c>
      <c r="J234" s="589" t="s">
        <v>255</v>
      </c>
      <c r="K234" s="537" t="s">
        <v>2202</v>
      </c>
      <c r="L234" s="537">
        <v>56</v>
      </c>
      <c r="M234" s="633" t="s">
        <v>2130</v>
      </c>
    </row>
    <row r="235" spans="3:13" ht="19.5">
      <c r="C235">
        <v>2011</v>
      </c>
      <c r="D235" s="729">
        <v>40685</v>
      </c>
      <c r="E235" s="730">
        <v>0.71458333333333324</v>
      </c>
      <c r="F235" s="731">
        <v>40694</v>
      </c>
      <c r="G235" s="730">
        <v>0.50069444444444444</v>
      </c>
      <c r="H235" s="537" t="s">
        <v>2203</v>
      </c>
      <c r="I235" s="563" t="s">
        <v>58</v>
      </c>
      <c r="J235" s="589" t="s">
        <v>255</v>
      </c>
      <c r="K235" s="537" t="s">
        <v>22</v>
      </c>
      <c r="L235" s="537">
        <v>200</v>
      </c>
      <c r="M235" s="633">
        <v>20000</v>
      </c>
    </row>
    <row r="236" spans="3:13" ht="19.5">
      <c r="C236">
        <v>2011</v>
      </c>
      <c r="D236" s="729">
        <v>40686</v>
      </c>
      <c r="E236" s="730">
        <v>0.69791666666666663</v>
      </c>
      <c r="F236" s="731">
        <v>40688</v>
      </c>
      <c r="G236" s="730">
        <v>0.99930555555555556</v>
      </c>
      <c r="H236" s="537" t="s">
        <v>2204</v>
      </c>
      <c r="I236" s="563" t="s">
        <v>826</v>
      </c>
      <c r="J236" s="589" t="s">
        <v>255</v>
      </c>
      <c r="K236" s="537" t="s">
        <v>22</v>
      </c>
      <c r="L236" s="543">
        <v>1024</v>
      </c>
      <c r="M236" s="633">
        <v>215387</v>
      </c>
    </row>
    <row r="237" spans="3:13" ht="19.5">
      <c r="C237">
        <v>2011</v>
      </c>
      <c r="D237" s="729">
        <v>40686</v>
      </c>
      <c r="E237" s="730">
        <v>0.52083333333333337</v>
      </c>
      <c r="F237" s="731">
        <v>40688</v>
      </c>
      <c r="G237" s="730">
        <v>0.52083333333333337</v>
      </c>
      <c r="H237" s="537" t="s">
        <v>2205</v>
      </c>
      <c r="I237" s="563" t="s">
        <v>63</v>
      </c>
      <c r="J237" s="589" t="s">
        <v>255</v>
      </c>
      <c r="K237" s="537" t="s">
        <v>22</v>
      </c>
      <c r="L237" s="543" t="s">
        <v>2130</v>
      </c>
      <c r="M237" s="633">
        <v>70000</v>
      </c>
    </row>
    <row r="238" spans="3:13" ht="19.5">
      <c r="C238">
        <v>2011</v>
      </c>
      <c r="D238" s="729">
        <v>40687</v>
      </c>
      <c r="E238" s="730">
        <v>0.69791666666666663</v>
      </c>
      <c r="F238" s="731">
        <v>40689</v>
      </c>
      <c r="G238" s="730">
        <v>0.70833333333333337</v>
      </c>
      <c r="H238" s="537" t="s">
        <v>2206</v>
      </c>
      <c r="I238" s="563" t="s">
        <v>58</v>
      </c>
      <c r="J238" s="589" t="s">
        <v>255</v>
      </c>
      <c r="K238" s="537" t="s">
        <v>22</v>
      </c>
      <c r="L238" s="543" t="s">
        <v>2130</v>
      </c>
      <c r="M238" s="633">
        <v>54000</v>
      </c>
    </row>
    <row r="239" spans="3:13" ht="19.5">
      <c r="C239">
        <v>2011</v>
      </c>
      <c r="D239" s="729">
        <v>40687</v>
      </c>
      <c r="E239" s="730">
        <v>0.69097222222222221</v>
      </c>
      <c r="F239" s="731">
        <v>40688</v>
      </c>
      <c r="G239" s="730">
        <v>0.52777777777777779</v>
      </c>
      <c r="H239" s="537" t="s">
        <v>2207</v>
      </c>
      <c r="I239" s="563" t="s">
        <v>63</v>
      </c>
      <c r="J239" s="589" t="s">
        <v>255</v>
      </c>
      <c r="K239" s="537" t="s">
        <v>22</v>
      </c>
      <c r="L239" s="537">
        <v>790</v>
      </c>
      <c r="M239" s="633">
        <v>175000</v>
      </c>
    </row>
    <row r="240" spans="3:13" ht="19.5">
      <c r="C240">
        <v>2011</v>
      </c>
      <c r="D240" s="729">
        <v>40687</v>
      </c>
      <c r="E240" s="730">
        <v>0.375</v>
      </c>
      <c r="F240" s="731">
        <v>40688</v>
      </c>
      <c r="G240" s="730">
        <v>0.38194444444444442</v>
      </c>
      <c r="H240" s="537" t="s">
        <v>478</v>
      </c>
      <c r="I240" s="563" t="s">
        <v>826</v>
      </c>
      <c r="J240" s="589" t="s">
        <v>255</v>
      </c>
      <c r="K240" s="537" t="s">
        <v>2202</v>
      </c>
      <c r="L240" s="537">
        <v>0</v>
      </c>
      <c r="M240" s="633">
        <v>0</v>
      </c>
    </row>
    <row r="241" spans="3:13" ht="19.5">
      <c r="C241">
        <v>2011</v>
      </c>
      <c r="D241" s="729">
        <v>40688</v>
      </c>
      <c r="E241" s="730">
        <v>0.92638888888888893</v>
      </c>
      <c r="F241" s="731">
        <v>40691</v>
      </c>
      <c r="G241" s="730">
        <v>0.45833333333333331</v>
      </c>
      <c r="H241" s="537" t="s">
        <v>2208</v>
      </c>
      <c r="I241" s="563" t="s">
        <v>826</v>
      </c>
      <c r="J241" s="589" t="s">
        <v>255</v>
      </c>
      <c r="K241" s="537" t="s">
        <v>22</v>
      </c>
      <c r="L241" s="543">
        <v>200</v>
      </c>
      <c r="M241" s="633">
        <v>141000</v>
      </c>
    </row>
    <row r="242" spans="3:13" ht="19.5">
      <c r="C242">
        <v>2011</v>
      </c>
      <c r="D242" s="729">
        <v>40689</v>
      </c>
      <c r="E242" s="730">
        <v>0.8305555555555556</v>
      </c>
      <c r="F242" s="731">
        <v>40690</v>
      </c>
      <c r="G242" s="730">
        <v>0.75</v>
      </c>
      <c r="H242" s="537" t="s">
        <v>2209</v>
      </c>
      <c r="I242" s="563" t="s">
        <v>826</v>
      </c>
      <c r="J242" s="589" t="s">
        <v>255</v>
      </c>
      <c r="K242" s="537" t="s">
        <v>22</v>
      </c>
      <c r="L242" s="543">
        <v>150</v>
      </c>
      <c r="M242" s="633">
        <v>120001</v>
      </c>
    </row>
    <row r="243" spans="3:13" ht="19.5">
      <c r="C243">
        <v>2011</v>
      </c>
      <c r="D243" s="729">
        <v>40689</v>
      </c>
      <c r="E243" s="730">
        <v>0.77083333333333337</v>
      </c>
      <c r="F243" s="731">
        <v>40691</v>
      </c>
      <c r="G243" s="730">
        <v>0.19722222222222222</v>
      </c>
      <c r="H243" s="537" t="s">
        <v>2210</v>
      </c>
      <c r="I243" s="563" t="s">
        <v>63</v>
      </c>
      <c r="J243" s="589" t="s">
        <v>255</v>
      </c>
      <c r="K243" s="537" t="s">
        <v>22</v>
      </c>
      <c r="L243" s="543">
        <v>729</v>
      </c>
      <c r="M243" s="633">
        <v>218783</v>
      </c>
    </row>
    <row r="244" spans="3:13" ht="19.5">
      <c r="C244">
        <v>2011</v>
      </c>
      <c r="D244" s="729">
        <v>40689</v>
      </c>
      <c r="E244" s="730">
        <v>4.1666666666666664E-2</v>
      </c>
      <c r="F244" s="731">
        <v>40689</v>
      </c>
      <c r="G244" s="730">
        <v>0.25</v>
      </c>
      <c r="H244" s="537" t="s">
        <v>2211</v>
      </c>
      <c r="I244" s="563" t="s">
        <v>63</v>
      </c>
      <c r="J244" s="589" t="s">
        <v>255</v>
      </c>
      <c r="K244" s="537" t="s">
        <v>2212</v>
      </c>
      <c r="L244" s="543">
        <v>30</v>
      </c>
      <c r="M244" s="633">
        <v>10000</v>
      </c>
    </row>
    <row r="245" spans="3:13" ht="19.5">
      <c r="C245">
        <v>2011</v>
      </c>
      <c r="D245" s="729">
        <v>40692</v>
      </c>
      <c r="E245" s="730">
        <v>0.77083333333333337</v>
      </c>
      <c r="F245" s="731">
        <v>40694</v>
      </c>
      <c r="G245" s="730">
        <v>0.91666666666666663</v>
      </c>
      <c r="H245" s="537" t="s">
        <v>2213</v>
      </c>
      <c r="I245" s="563" t="s">
        <v>826</v>
      </c>
      <c r="J245" s="589" t="s">
        <v>255</v>
      </c>
      <c r="K245" s="537" t="s">
        <v>22</v>
      </c>
      <c r="L245" s="543">
        <v>250</v>
      </c>
      <c r="M245" s="633">
        <v>113000</v>
      </c>
    </row>
    <row r="246" spans="3:13" ht="19.5">
      <c r="C246">
        <v>2011</v>
      </c>
      <c r="D246" s="729">
        <v>40696</v>
      </c>
      <c r="E246" s="730">
        <v>0.98958333333333337</v>
      </c>
      <c r="F246" s="731">
        <v>40698</v>
      </c>
      <c r="G246" s="730">
        <v>0.66666666666666663</v>
      </c>
      <c r="H246" s="734" t="s">
        <v>2214</v>
      </c>
      <c r="I246" s="561" t="s">
        <v>63</v>
      </c>
      <c r="J246" s="589" t="s">
        <v>255</v>
      </c>
      <c r="K246" s="734" t="s">
        <v>22</v>
      </c>
      <c r="L246" s="598">
        <v>0</v>
      </c>
      <c r="M246" s="634">
        <v>50465</v>
      </c>
    </row>
    <row r="247" spans="3:13" ht="19.5">
      <c r="C247">
        <v>2011</v>
      </c>
      <c r="D247" s="729">
        <v>40698</v>
      </c>
      <c r="E247" s="730">
        <v>5.347222222222222E-2</v>
      </c>
      <c r="F247" s="731">
        <v>40698</v>
      </c>
      <c r="G247" s="730">
        <v>0.1423611111111111</v>
      </c>
      <c r="H247" s="537" t="s">
        <v>2215</v>
      </c>
      <c r="I247" s="563" t="s">
        <v>124</v>
      </c>
      <c r="J247" s="589" t="s">
        <v>255</v>
      </c>
      <c r="K247" s="537" t="s">
        <v>100</v>
      </c>
      <c r="L247" s="543" t="s">
        <v>2130</v>
      </c>
      <c r="M247" s="633">
        <v>420</v>
      </c>
    </row>
    <row r="248" spans="3:13" ht="19.5">
      <c r="C248">
        <v>2011</v>
      </c>
      <c r="D248" s="729">
        <v>40699</v>
      </c>
      <c r="E248" s="730">
        <v>0.22916666666666666</v>
      </c>
      <c r="F248" s="731">
        <v>40700</v>
      </c>
      <c r="G248" s="730">
        <v>6.25E-2</v>
      </c>
      <c r="H248" s="537" t="s">
        <v>2216</v>
      </c>
      <c r="I248" s="563" t="s">
        <v>1352</v>
      </c>
      <c r="J248" s="589" t="s">
        <v>255</v>
      </c>
      <c r="K248" s="537" t="s">
        <v>106</v>
      </c>
      <c r="L248" s="543">
        <v>473</v>
      </c>
      <c r="M248" s="633">
        <v>78000</v>
      </c>
    </row>
    <row r="249" spans="3:13" ht="19.5">
      <c r="C249">
        <v>2011</v>
      </c>
      <c r="D249" s="729">
        <v>40699</v>
      </c>
      <c r="E249" s="730">
        <v>0.83472222222222225</v>
      </c>
      <c r="F249" s="731">
        <v>40699</v>
      </c>
      <c r="G249" s="730">
        <v>0.87152777777777779</v>
      </c>
      <c r="H249" s="537" t="s">
        <v>2217</v>
      </c>
      <c r="I249" s="563" t="s">
        <v>124</v>
      </c>
      <c r="J249" s="589" t="s">
        <v>255</v>
      </c>
      <c r="K249" s="537" t="s">
        <v>2037</v>
      </c>
      <c r="L249" s="543">
        <v>10</v>
      </c>
      <c r="M249" s="633">
        <v>5314</v>
      </c>
    </row>
    <row r="250" spans="3:13" ht="19.5">
      <c r="C250">
        <v>2011</v>
      </c>
      <c r="D250" s="729">
        <v>40700</v>
      </c>
      <c r="E250" s="730">
        <v>9.0277777777777787E-3</v>
      </c>
      <c r="F250" s="731">
        <v>40700</v>
      </c>
      <c r="G250" s="730">
        <v>0.13541666666666666</v>
      </c>
      <c r="H250" s="537" t="s">
        <v>2218</v>
      </c>
      <c r="I250" s="563" t="s">
        <v>58</v>
      </c>
      <c r="J250" s="589" t="s">
        <v>255</v>
      </c>
      <c r="K250" s="537" t="s">
        <v>2219</v>
      </c>
      <c r="L250" s="543">
        <v>450</v>
      </c>
      <c r="M250" s="633">
        <v>162000</v>
      </c>
    </row>
    <row r="251" spans="3:13" ht="19.5">
      <c r="C251">
        <v>2011</v>
      </c>
      <c r="D251" s="729">
        <v>40700</v>
      </c>
      <c r="E251" s="730">
        <v>0.625</v>
      </c>
      <c r="F251" s="731">
        <v>40702</v>
      </c>
      <c r="G251" s="730">
        <v>0.625</v>
      </c>
      <c r="H251" s="537" t="s">
        <v>2220</v>
      </c>
      <c r="I251" s="563" t="s">
        <v>58</v>
      </c>
      <c r="J251" s="589" t="s">
        <v>255</v>
      </c>
      <c r="K251" s="537" t="s">
        <v>2221</v>
      </c>
      <c r="L251" s="543" t="s">
        <v>2130</v>
      </c>
      <c r="M251" s="633">
        <v>13000</v>
      </c>
    </row>
    <row r="252" spans="3:13" ht="19.5">
      <c r="C252">
        <v>2011</v>
      </c>
      <c r="D252" s="729">
        <v>40701</v>
      </c>
      <c r="E252" s="730">
        <v>0.58333333333333337</v>
      </c>
      <c r="F252" s="731">
        <v>40702</v>
      </c>
      <c r="G252" s="730">
        <v>0.25</v>
      </c>
      <c r="H252" s="537" t="s">
        <v>160</v>
      </c>
      <c r="I252" s="563" t="s">
        <v>826</v>
      </c>
      <c r="J252" s="589" t="s">
        <v>255</v>
      </c>
      <c r="K252" s="537" t="s">
        <v>22</v>
      </c>
      <c r="L252" s="543" t="s">
        <v>2130</v>
      </c>
      <c r="M252" s="633">
        <v>52747</v>
      </c>
    </row>
    <row r="253" spans="3:13" ht="19.5">
      <c r="C253">
        <v>2011</v>
      </c>
      <c r="D253" s="729">
        <v>40702</v>
      </c>
      <c r="E253" s="730">
        <v>0.54027777777777775</v>
      </c>
      <c r="F253" s="731">
        <v>40702</v>
      </c>
      <c r="G253" s="730">
        <v>0.54027777777777775</v>
      </c>
      <c r="H253" s="537" t="s">
        <v>2222</v>
      </c>
      <c r="I253" s="563" t="s">
        <v>124</v>
      </c>
      <c r="J253" s="589" t="s">
        <v>255</v>
      </c>
      <c r="K253" s="537" t="s">
        <v>100</v>
      </c>
      <c r="L253" s="543" t="s">
        <v>255</v>
      </c>
      <c r="M253" s="633" t="s">
        <v>255</v>
      </c>
    </row>
    <row r="254" spans="3:13" ht="19.5">
      <c r="C254">
        <v>2011</v>
      </c>
      <c r="D254" s="729">
        <v>40703</v>
      </c>
      <c r="E254" s="730">
        <v>0.1875</v>
      </c>
      <c r="F254" s="731">
        <v>40703</v>
      </c>
      <c r="G254" s="730">
        <v>0.5</v>
      </c>
      <c r="H254" s="537" t="s">
        <v>33</v>
      </c>
      <c r="I254" s="563" t="s">
        <v>826</v>
      </c>
      <c r="J254" s="589" t="s">
        <v>255</v>
      </c>
      <c r="K254" s="537" t="s">
        <v>106</v>
      </c>
      <c r="L254" s="543" t="s">
        <v>2130</v>
      </c>
      <c r="M254" s="633">
        <v>169000</v>
      </c>
    </row>
    <row r="255" spans="3:13" ht="19.5">
      <c r="C255">
        <v>2011</v>
      </c>
      <c r="D255" s="729">
        <v>40703</v>
      </c>
      <c r="E255" s="730">
        <v>0.59375</v>
      </c>
      <c r="F255" s="731">
        <v>40703</v>
      </c>
      <c r="G255" s="730">
        <v>0.59375</v>
      </c>
      <c r="H255" s="537" t="s">
        <v>2223</v>
      </c>
      <c r="I255" s="563" t="s">
        <v>124</v>
      </c>
      <c r="J255" s="589" t="s">
        <v>255</v>
      </c>
      <c r="K255" s="537" t="s">
        <v>2150</v>
      </c>
      <c r="L255" s="543">
        <v>0</v>
      </c>
      <c r="M255" s="633">
        <v>0</v>
      </c>
    </row>
    <row r="256" spans="3:13" ht="19.5">
      <c r="C256">
        <v>2011</v>
      </c>
      <c r="D256" s="729">
        <v>40703</v>
      </c>
      <c r="E256" s="730">
        <v>0.74375000000000002</v>
      </c>
      <c r="F256" s="731">
        <v>40704</v>
      </c>
      <c r="G256" s="730">
        <v>0.5</v>
      </c>
      <c r="H256" s="537" t="s">
        <v>2224</v>
      </c>
      <c r="I256" s="563" t="s">
        <v>61</v>
      </c>
      <c r="J256" s="589" t="s">
        <v>255</v>
      </c>
      <c r="K256" s="537" t="s">
        <v>106</v>
      </c>
      <c r="L256" s="543">
        <v>0</v>
      </c>
      <c r="M256" s="633">
        <v>100000</v>
      </c>
    </row>
    <row r="257" spans="3:13" ht="19.5">
      <c r="C257">
        <v>2011</v>
      </c>
      <c r="D257" s="729">
        <v>40706</v>
      </c>
      <c r="E257" s="730">
        <v>0.79166666666666663</v>
      </c>
      <c r="F257" s="731">
        <v>40706</v>
      </c>
      <c r="G257" s="730">
        <v>0.85416666666666663</v>
      </c>
      <c r="H257" s="537" t="s">
        <v>2004</v>
      </c>
      <c r="I257" s="563" t="s">
        <v>826</v>
      </c>
      <c r="J257" s="589" t="s">
        <v>255</v>
      </c>
      <c r="K257" s="537" t="s">
        <v>106</v>
      </c>
      <c r="L257" s="543">
        <v>250</v>
      </c>
      <c r="M257" s="633">
        <v>56000</v>
      </c>
    </row>
    <row r="258" spans="3:13" ht="19.5">
      <c r="C258">
        <v>2011</v>
      </c>
      <c r="D258" s="729">
        <v>40709</v>
      </c>
      <c r="E258" s="730">
        <v>0.66666666666666663</v>
      </c>
      <c r="F258" s="731">
        <v>40710</v>
      </c>
      <c r="G258" s="730">
        <v>0.27083333333333331</v>
      </c>
      <c r="H258" s="537" t="s">
        <v>2225</v>
      </c>
      <c r="I258" s="563" t="s">
        <v>124</v>
      </c>
      <c r="J258" s="589" t="s">
        <v>255</v>
      </c>
      <c r="K258" s="537" t="s">
        <v>100</v>
      </c>
      <c r="L258" s="543" t="s">
        <v>255</v>
      </c>
      <c r="M258" s="633" t="s">
        <v>255</v>
      </c>
    </row>
    <row r="259" spans="3:13" ht="19.5">
      <c r="C259">
        <v>2011</v>
      </c>
      <c r="D259" s="729">
        <v>40709</v>
      </c>
      <c r="E259" s="730">
        <v>0.80208333333333337</v>
      </c>
      <c r="F259" s="731">
        <v>40710</v>
      </c>
      <c r="G259" s="730">
        <v>0.25</v>
      </c>
      <c r="H259" s="537" t="s">
        <v>361</v>
      </c>
      <c r="I259" s="563" t="s">
        <v>63</v>
      </c>
      <c r="J259" s="589" t="s">
        <v>255</v>
      </c>
      <c r="K259" s="537" t="s">
        <v>106</v>
      </c>
      <c r="L259" s="543">
        <v>563</v>
      </c>
      <c r="M259" s="633">
        <v>169000</v>
      </c>
    </row>
    <row r="260" spans="3:13" ht="19.5">
      <c r="C260">
        <v>2011</v>
      </c>
      <c r="D260" s="729">
        <v>40709</v>
      </c>
      <c r="E260" s="730">
        <v>0.80347222222222225</v>
      </c>
      <c r="F260" s="731">
        <v>40710</v>
      </c>
      <c r="G260" s="730">
        <v>7.2916666666666671E-2</v>
      </c>
      <c r="H260" s="537" t="s">
        <v>76</v>
      </c>
      <c r="I260" s="563" t="s">
        <v>63</v>
      </c>
      <c r="J260" s="589" t="s">
        <v>255</v>
      </c>
      <c r="K260" s="537" t="s">
        <v>106</v>
      </c>
      <c r="L260" s="543">
        <v>300</v>
      </c>
      <c r="M260" s="633">
        <v>70135</v>
      </c>
    </row>
    <row r="261" spans="3:13" ht="19.5">
      <c r="C261">
        <v>2011</v>
      </c>
      <c r="D261" s="729">
        <v>40712</v>
      </c>
      <c r="E261" s="730">
        <v>0.64583333333333337</v>
      </c>
      <c r="F261" s="731">
        <v>40713</v>
      </c>
      <c r="G261" s="730">
        <v>0.65416666666666667</v>
      </c>
      <c r="H261" s="537" t="s">
        <v>2226</v>
      </c>
      <c r="I261" s="563" t="s">
        <v>63</v>
      </c>
      <c r="J261" s="589" t="s">
        <v>255</v>
      </c>
      <c r="K261" s="537" t="s">
        <v>106</v>
      </c>
      <c r="L261" s="543">
        <v>312</v>
      </c>
      <c r="M261" s="633">
        <v>93828</v>
      </c>
    </row>
    <row r="262" spans="3:13" ht="19.5">
      <c r="C262">
        <v>2011</v>
      </c>
      <c r="D262" s="729">
        <v>40712</v>
      </c>
      <c r="E262" s="730">
        <v>0.69791666666666663</v>
      </c>
      <c r="F262" s="731">
        <v>40714</v>
      </c>
      <c r="G262" s="730">
        <v>0.99930555555555556</v>
      </c>
      <c r="H262" s="537" t="s">
        <v>2220</v>
      </c>
      <c r="I262" s="563" t="s">
        <v>58</v>
      </c>
      <c r="J262" s="589" t="s">
        <v>255</v>
      </c>
      <c r="K262" s="537" t="s">
        <v>2221</v>
      </c>
      <c r="L262" s="543" t="s">
        <v>2130</v>
      </c>
      <c r="M262" s="633" t="s">
        <v>2130</v>
      </c>
    </row>
    <row r="263" spans="3:13" ht="19.5">
      <c r="C263">
        <v>2011</v>
      </c>
      <c r="D263" s="729">
        <v>40712</v>
      </c>
      <c r="E263" s="730">
        <v>0.70833333333333337</v>
      </c>
      <c r="F263" s="731">
        <v>40712</v>
      </c>
      <c r="G263" s="730">
        <v>0.8979166666666667</v>
      </c>
      <c r="H263" s="537" t="s">
        <v>2227</v>
      </c>
      <c r="I263" s="563" t="s">
        <v>63</v>
      </c>
      <c r="J263" s="589" t="s">
        <v>255</v>
      </c>
      <c r="K263" s="537" t="s">
        <v>106</v>
      </c>
      <c r="L263" s="543">
        <v>300</v>
      </c>
      <c r="M263" s="633">
        <v>70000</v>
      </c>
    </row>
    <row r="264" spans="3:13" ht="19.5">
      <c r="C264">
        <v>2011</v>
      </c>
      <c r="D264" s="729">
        <v>40714</v>
      </c>
      <c r="E264" s="730">
        <v>0.44166666666666665</v>
      </c>
      <c r="F264" s="731">
        <v>40714</v>
      </c>
      <c r="G264" s="730">
        <v>0.44166666666666665</v>
      </c>
      <c r="H264" s="537" t="s">
        <v>2228</v>
      </c>
      <c r="I264" s="563" t="s">
        <v>124</v>
      </c>
      <c r="J264" s="589" t="s">
        <v>255</v>
      </c>
      <c r="K264" s="537" t="s">
        <v>100</v>
      </c>
      <c r="L264" s="543">
        <v>0</v>
      </c>
      <c r="M264" s="633">
        <v>0</v>
      </c>
    </row>
    <row r="265" spans="3:13" ht="19.5">
      <c r="C265">
        <v>2011</v>
      </c>
      <c r="D265" s="729">
        <v>40715</v>
      </c>
      <c r="E265" s="730">
        <v>0.77083333333333337</v>
      </c>
      <c r="F265" s="731">
        <v>40716</v>
      </c>
      <c r="G265" s="730">
        <v>0.29166666666666669</v>
      </c>
      <c r="H265" s="537" t="s">
        <v>2229</v>
      </c>
      <c r="I265" s="563" t="s">
        <v>826</v>
      </c>
      <c r="J265" s="589" t="s">
        <v>255</v>
      </c>
      <c r="K265" s="537" t="s">
        <v>22</v>
      </c>
      <c r="L265" s="543" t="s">
        <v>2130</v>
      </c>
      <c r="M265" s="633">
        <v>56000</v>
      </c>
    </row>
    <row r="266" spans="3:13" ht="19.5">
      <c r="C266">
        <v>2011</v>
      </c>
      <c r="D266" s="729">
        <v>40715</v>
      </c>
      <c r="E266" s="730">
        <v>0.90625</v>
      </c>
      <c r="F266" s="731">
        <v>40717</v>
      </c>
      <c r="G266" s="730">
        <v>8.3333333333333329E-2</v>
      </c>
      <c r="H266" s="537" t="s">
        <v>33</v>
      </c>
      <c r="I266" s="563" t="s">
        <v>826</v>
      </c>
      <c r="J266" s="589" t="s">
        <v>255</v>
      </c>
      <c r="K266" s="537" t="s">
        <v>106</v>
      </c>
      <c r="L266" s="543" t="s">
        <v>2130</v>
      </c>
      <c r="M266" s="633">
        <v>300000</v>
      </c>
    </row>
    <row r="267" spans="3:13" ht="19.5">
      <c r="C267">
        <v>2011</v>
      </c>
      <c r="D267" s="729">
        <v>40716</v>
      </c>
      <c r="E267" s="730">
        <v>0.4069444444444445</v>
      </c>
      <c r="F267" s="731">
        <v>40716</v>
      </c>
      <c r="G267" s="730">
        <v>0.4069444444444445</v>
      </c>
      <c r="H267" s="537" t="s">
        <v>2230</v>
      </c>
      <c r="I267" s="563" t="s">
        <v>63</v>
      </c>
      <c r="J267" s="589" t="s">
        <v>255</v>
      </c>
      <c r="K267" s="537" t="s">
        <v>22</v>
      </c>
      <c r="L267" s="543" t="s">
        <v>2130</v>
      </c>
      <c r="M267" s="633">
        <v>106300</v>
      </c>
    </row>
    <row r="268" spans="3:13" ht="19.5">
      <c r="C268">
        <v>2011</v>
      </c>
      <c r="D268" s="729">
        <v>40716</v>
      </c>
      <c r="E268" s="730">
        <v>0.79166666666666663</v>
      </c>
      <c r="F268" s="731">
        <v>40717</v>
      </c>
      <c r="G268" s="730">
        <v>4.1666666666666664E-2</v>
      </c>
      <c r="H268" s="537" t="s">
        <v>2231</v>
      </c>
      <c r="I268" s="563" t="s">
        <v>63</v>
      </c>
      <c r="J268" s="589" t="s">
        <v>255</v>
      </c>
      <c r="K268" s="537" t="s">
        <v>106</v>
      </c>
      <c r="L268" s="543">
        <v>316</v>
      </c>
      <c r="M268" s="633">
        <v>75101</v>
      </c>
    </row>
    <row r="269" spans="3:13" ht="19.5">
      <c r="C269">
        <v>2011</v>
      </c>
      <c r="D269" s="729">
        <v>40716</v>
      </c>
      <c r="E269" s="730">
        <v>0.84166666666666667</v>
      </c>
      <c r="F269" s="731">
        <v>40716</v>
      </c>
      <c r="G269" s="730">
        <v>0.84166666666666667</v>
      </c>
      <c r="H269" s="537" t="s">
        <v>2232</v>
      </c>
      <c r="I269" s="563" t="s">
        <v>124</v>
      </c>
      <c r="J269" s="589" t="s">
        <v>255</v>
      </c>
      <c r="K269" s="537" t="s">
        <v>100</v>
      </c>
      <c r="L269" s="543">
        <v>0</v>
      </c>
      <c r="M269" s="633">
        <v>0</v>
      </c>
    </row>
    <row r="270" spans="3:13" ht="19.5">
      <c r="C270">
        <v>2011</v>
      </c>
      <c r="D270" s="729">
        <v>40717</v>
      </c>
      <c r="E270" s="730">
        <v>0.34027777777777773</v>
      </c>
      <c r="F270" s="731">
        <v>40717</v>
      </c>
      <c r="G270" s="730">
        <v>0.375</v>
      </c>
      <c r="H270" s="537" t="s">
        <v>2233</v>
      </c>
      <c r="I270" s="563" t="s">
        <v>61</v>
      </c>
      <c r="J270" s="589" t="s">
        <v>255</v>
      </c>
      <c r="K270" s="537" t="s">
        <v>100</v>
      </c>
      <c r="L270" s="543">
        <v>0</v>
      </c>
      <c r="M270" s="633">
        <v>0</v>
      </c>
    </row>
    <row r="271" spans="3:13" ht="19.5">
      <c r="C271">
        <v>2011</v>
      </c>
      <c r="D271" s="729">
        <v>40718</v>
      </c>
      <c r="E271" s="730">
        <v>0.77083333333333337</v>
      </c>
      <c r="F271" s="731">
        <v>40719</v>
      </c>
      <c r="G271" s="730">
        <v>6.25E-2</v>
      </c>
      <c r="H271" s="537" t="s">
        <v>2234</v>
      </c>
      <c r="I271" s="563" t="s">
        <v>63</v>
      </c>
      <c r="J271" s="589" t="s">
        <v>255</v>
      </c>
      <c r="K271" s="537" t="s">
        <v>106</v>
      </c>
      <c r="L271" s="543">
        <v>340</v>
      </c>
      <c r="M271" s="633">
        <v>102275</v>
      </c>
    </row>
    <row r="272" spans="3:13" ht="19.5">
      <c r="C272">
        <v>2011</v>
      </c>
      <c r="D272" s="729">
        <v>40720</v>
      </c>
      <c r="E272" s="730">
        <v>0.69861111111111107</v>
      </c>
      <c r="F272" s="731">
        <v>40721</v>
      </c>
      <c r="G272" s="730">
        <v>0.33263888888888887</v>
      </c>
      <c r="H272" s="537" t="s">
        <v>2235</v>
      </c>
      <c r="I272" s="563" t="s">
        <v>58</v>
      </c>
      <c r="J272" s="589" t="s">
        <v>255</v>
      </c>
      <c r="K272" s="537" t="s">
        <v>2221</v>
      </c>
      <c r="L272" s="543" t="s">
        <v>2130</v>
      </c>
      <c r="M272" s="633" t="s">
        <v>2130</v>
      </c>
    </row>
    <row r="273" spans="3:13" ht="19.5">
      <c r="C273">
        <v>2011</v>
      </c>
      <c r="D273" s="729">
        <v>40720</v>
      </c>
      <c r="E273" s="730">
        <v>0.75</v>
      </c>
      <c r="F273" s="731">
        <v>40721</v>
      </c>
      <c r="G273" s="730">
        <v>0.54166666666666663</v>
      </c>
      <c r="H273" s="537" t="s">
        <v>2231</v>
      </c>
      <c r="I273" s="563" t="s">
        <v>63</v>
      </c>
      <c r="J273" s="589" t="s">
        <v>255</v>
      </c>
      <c r="K273" s="537" t="s">
        <v>106</v>
      </c>
      <c r="L273" s="543">
        <v>300</v>
      </c>
      <c r="M273" s="633">
        <v>90160</v>
      </c>
    </row>
    <row r="274" spans="3:13" ht="19.5">
      <c r="C274">
        <v>2011</v>
      </c>
      <c r="D274" s="729">
        <v>40721</v>
      </c>
      <c r="E274" s="730">
        <v>0</v>
      </c>
      <c r="F274" s="731">
        <v>40723</v>
      </c>
      <c r="G274" s="730">
        <v>4.1666666666666664E-2</v>
      </c>
      <c r="H274" s="537" t="s">
        <v>2236</v>
      </c>
      <c r="I274" s="563" t="s">
        <v>63</v>
      </c>
      <c r="J274" s="589" t="s">
        <v>255</v>
      </c>
      <c r="K274" s="537" t="s">
        <v>106</v>
      </c>
      <c r="L274" s="543" t="s">
        <v>2130</v>
      </c>
      <c r="M274" s="633">
        <v>80000</v>
      </c>
    </row>
    <row r="275" spans="3:13" ht="19.5">
      <c r="C275">
        <v>2011</v>
      </c>
      <c r="D275" s="729">
        <v>40721</v>
      </c>
      <c r="E275" s="730">
        <v>0.625</v>
      </c>
      <c r="F275" s="731">
        <v>40721</v>
      </c>
      <c r="G275" s="730">
        <v>0.79166666666666663</v>
      </c>
      <c r="H275" s="537" t="s">
        <v>166</v>
      </c>
      <c r="I275" s="563" t="s">
        <v>1352</v>
      </c>
      <c r="J275" s="589" t="s">
        <v>255</v>
      </c>
      <c r="K275" s="537" t="s">
        <v>2221</v>
      </c>
      <c r="L275" s="543">
        <v>0</v>
      </c>
      <c r="M275" s="633">
        <v>0</v>
      </c>
    </row>
    <row r="276" spans="3:13" ht="19.5">
      <c r="C276">
        <v>2011</v>
      </c>
      <c r="D276" s="729">
        <v>40721</v>
      </c>
      <c r="E276" s="730">
        <v>0.78819444444444453</v>
      </c>
      <c r="F276" s="731">
        <v>40721</v>
      </c>
      <c r="G276" s="730">
        <v>0.78819444444444453</v>
      </c>
      <c r="H276" s="537" t="s">
        <v>2237</v>
      </c>
      <c r="I276" s="563" t="s">
        <v>124</v>
      </c>
      <c r="J276" s="589" t="s">
        <v>255</v>
      </c>
      <c r="K276" s="537" t="s">
        <v>100</v>
      </c>
      <c r="L276" s="543" t="s">
        <v>2130</v>
      </c>
      <c r="M276" s="633" t="s">
        <v>2130</v>
      </c>
    </row>
    <row r="277" spans="3:13" ht="19.5">
      <c r="C277">
        <v>2011</v>
      </c>
      <c r="D277" s="729">
        <v>40723</v>
      </c>
      <c r="E277" s="730">
        <v>0.47916666666666669</v>
      </c>
      <c r="F277" s="731">
        <v>40723</v>
      </c>
      <c r="G277" s="730">
        <v>0.75277777777777777</v>
      </c>
      <c r="H277" s="537" t="s">
        <v>2238</v>
      </c>
      <c r="I277" s="563" t="s">
        <v>58</v>
      </c>
      <c r="J277" s="589" t="s">
        <v>255</v>
      </c>
      <c r="K277" s="537" t="s">
        <v>2221</v>
      </c>
      <c r="L277" s="543">
        <v>0</v>
      </c>
      <c r="M277" s="633">
        <v>0</v>
      </c>
    </row>
    <row r="278" spans="3:13" ht="19.5">
      <c r="C278">
        <v>2011</v>
      </c>
      <c r="D278" s="729">
        <v>40724</v>
      </c>
      <c r="E278" s="730">
        <v>0.59097222222222223</v>
      </c>
      <c r="F278" s="731">
        <v>40724</v>
      </c>
      <c r="G278" s="730">
        <v>0.97569444444444453</v>
      </c>
      <c r="H278" s="537" t="s">
        <v>137</v>
      </c>
      <c r="I278" s="563" t="s">
        <v>124</v>
      </c>
      <c r="J278" s="589" t="s">
        <v>255</v>
      </c>
      <c r="K278" s="537" t="s">
        <v>2239</v>
      </c>
      <c r="L278" s="543">
        <v>5299</v>
      </c>
      <c r="M278" s="633">
        <v>160000</v>
      </c>
    </row>
    <row r="279" spans="3:13" ht="19.5">
      <c r="C279">
        <v>2011</v>
      </c>
      <c r="D279" s="729">
        <v>40724</v>
      </c>
      <c r="E279" s="730">
        <v>0.9375</v>
      </c>
      <c r="F279" s="731">
        <v>40725</v>
      </c>
      <c r="G279" s="730">
        <v>0.70833333333333337</v>
      </c>
      <c r="H279" s="537" t="s">
        <v>33</v>
      </c>
      <c r="I279" s="563" t="s">
        <v>826</v>
      </c>
      <c r="J279" s="589" t="s">
        <v>255</v>
      </c>
      <c r="K279" s="537" t="s">
        <v>22</v>
      </c>
      <c r="L279" s="543" t="s">
        <v>2130</v>
      </c>
      <c r="M279" s="633">
        <v>121000</v>
      </c>
    </row>
    <row r="280" spans="3:13" ht="19.5">
      <c r="C280">
        <v>2011</v>
      </c>
      <c r="D280" s="729">
        <v>40724</v>
      </c>
      <c r="E280" s="730">
        <v>0.93819444444444444</v>
      </c>
      <c r="F280" s="731">
        <v>40724</v>
      </c>
      <c r="G280" s="730">
        <v>0.93819444444444444</v>
      </c>
      <c r="H280" s="537" t="s">
        <v>2237</v>
      </c>
      <c r="I280" s="563" t="s">
        <v>124</v>
      </c>
      <c r="J280" s="589" t="s">
        <v>255</v>
      </c>
      <c r="K280" s="537" t="s">
        <v>100</v>
      </c>
      <c r="L280" s="543">
        <v>0</v>
      </c>
      <c r="M280" s="633">
        <v>0</v>
      </c>
    </row>
    <row r="281" spans="3:13" ht="19.5">
      <c r="C281">
        <v>2011</v>
      </c>
      <c r="D281" s="729">
        <v>40725</v>
      </c>
      <c r="E281" s="730">
        <v>0.33333333333333331</v>
      </c>
      <c r="F281" s="731">
        <v>40725</v>
      </c>
      <c r="G281" s="730">
        <v>0.33402777777777781</v>
      </c>
      <c r="H281" s="537" t="s">
        <v>2240</v>
      </c>
      <c r="I281" s="563" t="s">
        <v>61</v>
      </c>
      <c r="J281" s="589" t="s">
        <v>255</v>
      </c>
      <c r="K281" s="543" t="s">
        <v>100</v>
      </c>
      <c r="L281" s="537">
        <v>0</v>
      </c>
      <c r="M281" s="633">
        <v>0</v>
      </c>
    </row>
    <row r="282" spans="3:13" ht="19.5">
      <c r="C282">
        <v>2011</v>
      </c>
      <c r="D282" s="729">
        <v>40725</v>
      </c>
      <c r="E282" s="730">
        <v>0.69305555555555554</v>
      </c>
      <c r="F282" s="731">
        <v>40725</v>
      </c>
      <c r="G282" s="730">
        <v>0.94305555555555554</v>
      </c>
      <c r="H282" s="537" t="s">
        <v>2241</v>
      </c>
      <c r="I282" s="563" t="s">
        <v>826</v>
      </c>
      <c r="J282" s="589" t="s">
        <v>255</v>
      </c>
      <c r="K282" s="537" t="s">
        <v>100</v>
      </c>
      <c r="L282" s="537" t="s">
        <v>255</v>
      </c>
      <c r="M282" s="540">
        <v>0</v>
      </c>
    </row>
    <row r="283" spans="3:13" ht="19.5">
      <c r="C283">
        <v>2011</v>
      </c>
      <c r="D283" s="729">
        <v>40725</v>
      </c>
      <c r="E283" s="730">
        <v>0.70833333333333337</v>
      </c>
      <c r="F283" s="731">
        <v>40727</v>
      </c>
      <c r="G283" s="730">
        <v>0.83333333333333337</v>
      </c>
      <c r="H283" s="537" t="s">
        <v>2242</v>
      </c>
      <c r="I283" s="563" t="s">
        <v>674</v>
      </c>
      <c r="J283" s="589" t="s">
        <v>255</v>
      </c>
      <c r="K283" s="543" t="s">
        <v>22</v>
      </c>
      <c r="L283" s="537" t="s">
        <v>2130</v>
      </c>
      <c r="M283" s="633">
        <v>70000</v>
      </c>
    </row>
    <row r="284" spans="3:13" ht="19.5">
      <c r="C284">
        <v>2011</v>
      </c>
      <c r="D284" s="729">
        <v>40726</v>
      </c>
      <c r="E284" s="730">
        <v>0.84375</v>
      </c>
      <c r="F284" s="731">
        <v>40730</v>
      </c>
      <c r="G284" s="730">
        <v>0.91666666666666663</v>
      </c>
      <c r="H284" s="537" t="s">
        <v>2243</v>
      </c>
      <c r="I284" s="563" t="s">
        <v>826</v>
      </c>
      <c r="J284" s="589" t="s">
        <v>255</v>
      </c>
      <c r="K284" s="543" t="s">
        <v>22</v>
      </c>
      <c r="L284" s="537" t="s">
        <v>2130</v>
      </c>
      <c r="M284" s="633">
        <v>182000</v>
      </c>
    </row>
    <row r="285" spans="3:13" ht="19.5">
      <c r="C285">
        <v>2011</v>
      </c>
      <c r="D285" s="729">
        <v>40728</v>
      </c>
      <c r="E285" s="730">
        <v>0.75</v>
      </c>
      <c r="F285" s="731">
        <v>40728</v>
      </c>
      <c r="G285" s="730">
        <v>0.875</v>
      </c>
      <c r="H285" s="537" t="s">
        <v>2004</v>
      </c>
      <c r="I285" s="563" t="s">
        <v>63</v>
      </c>
      <c r="J285" s="589" t="s">
        <v>255</v>
      </c>
      <c r="K285" s="543" t="s">
        <v>22</v>
      </c>
      <c r="L285" s="537">
        <v>150</v>
      </c>
      <c r="M285" s="633">
        <v>51580</v>
      </c>
    </row>
    <row r="286" spans="3:13" ht="19.5">
      <c r="C286">
        <v>2011</v>
      </c>
      <c r="D286" s="729">
        <v>40729</v>
      </c>
      <c r="E286" s="730">
        <v>0.44444444444444442</v>
      </c>
      <c r="F286" s="731">
        <v>40729</v>
      </c>
      <c r="G286" s="730">
        <v>0.48402777777777778</v>
      </c>
      <c r="H286" s="537" t="s">
        <v>2244</v>
      </c>
      <c r="I286" s="563" t="s">
        <v>124</v>
      </c>
      <c r="J286" s="589" t="s">
        <v>255</v>
      </c>
      <c r="K286" s="543" t="s">
        <v>100</v>
      </c>
      <c r="L286" s="537">
        <v>0</v>
      </c>
      <c r="M286" s="633">
        <v>0</v>
      </c>
    </row>
    <row r="287" spans="3:13" ht="19.5">
      <c r="C287">
        <v>2011</v>
      </c>
      <c r="D287" s="729">
        <v>40730</v>
      </c>
      <c r="E287" s="730">
        <v>0.41041666666666665</v>
      </c>
      <c r="F287" s="731">
        <v>40730</v>
      </c>
      <c r="G287" s="730">
        <v>0.41111111111111115</v>
      </c>
      <c r="H287" s="537" t="s">
        <v>2245</v>
      </c>
      <c r="I287" s="563" t="s">
        <v>61</v>
      </c>
      <c r="J287" s="589" t="s">
        <v>255</v>
      </c>
      <c r="K287" s="543" t="s">
        <v>100</v>
      </c>
      <c r="L287" s="537" t="s">
        <v>255</v>
      </c>
      <c r="M287" s="633" t="s">
        <v>255</v>
      </c>
    </row>
    <row r="288" spans="3:13" ht="19.5">
      <c r="C288">
        <v>2011</v>
      </c>
      <c r="D288" s="729">
        <v>40732</v>
      </c>
      <c r="E288" s="730">
        <v>0.41666666666666669</v>
      </c>
      <c r="F288" s="731">
        <v>40732</v>
      </c>
      <c r="G288" s="730">
        <v>0.41666666666666669</v>
      </c>
      <c r="H288" s="537" t="s">
        <v>2246</v>
      </c>
      <c r="I288" s="563" t="s">
        <v>674</v>
      </c>
      <c r="J288" s="589" t="s">
        <v>255</v>
      </c>
      <c r="K288" s="543" t="s">
        <v>100</v>
      </c>
      <c r="L288" s="537">
        <v>0</v>
      </c>
      <c r="M288" s="633">
        <v>0</v>
      </c>
    </row>
    <row r="289" spans="3:13" ht="19.5">
      <c r="C289">
        <v>2011</v>
      </c>
      <c r="D289" s="729">
        <v>40732</v>
      </c>
      <c r="E289" s="730">
        <v>0.41666666666666669</v>
      </c>
      <c r="F289" s="731">
        <v>40735</v>
      </c>
      <c r="G289" s="730">
        <v>0.375</v>
      </c>
      <c r="H289" s="537" t="s">
        <v>2247</v>
      </c>
      <c r="I289" s="563" t="s">
        <v>826</v>
      </c>
      <c r="J289" s="589" t="s">
        <v>255</v>
      </c>
      <c r="K289" s="543" t="s">
        <v>2139</v>
      </c>
      <c r="L289" s="537" t="s">
        <v>2130</v>
      </c>
      <c r="M289" s="633" t="s">
        <v>2130</v>
      </c>
    </row>
    <row r="290" spans="3:13" ht="19.5">
      <c r="C290">
        <v>2011</v>
      </c>
      <c r="D290" s="729">
        <v>40735</v>
      </c>
      <c r="E290" s="730">
        <v>0.375</v>
      </c>
      <c r="F290" s="731">
        <v>40735</v>
      </c>
      <c r="G290" s="730">
        <v>0.375</v>
      </c>
      <c r="H290" s="537" t="s">
        <v>33</v>
      </c>
      <c r="I290" s="563" t="s">
        <v>826</v>
      </c>
      <c r="J290" s="589" t="s">
        <v>255</v>
      </c>
      <c r="K290" s="543" t="s">
        <v>22</v>
      </c>
      <c r="L290" s="537" t="s">
        <v>2130</v>
      </c>
      <c r="M290" s="633">
        <v>500000</v>
      </c>
    </row>
    <row r="291" spans="3:13" ht="19.5">
      <c r="C291">
        <v>2011</v>
      </c>
      <c r="D291" s="729">
        <v>40735</v>
      </c>
      <c r="E291" s="730">
        <v>0.375</v>
      </c>
      <c r="F291" s="731">
        <v>40735</v>
      </c>
      <c r="G291" s="730">
        <v>0.43402777777777773</v>
      </c>
      <c r="H291" s="537" t="s">
        <v>1833</v>
      </c>
      <c r="I291" s="563" t="s">
        <v>826</v>
      </c>
      <c r="J291" s="589" t="s">
        <v>255</v>
      </c>
      <c r="K291" s="543" t="s">
        <v>22</v>
      </c>
      <c r="L291" s="537">
        <v>254</v>
      </c>
      <c r="M291" s="633">
        <v>103000</v>
      </c>
    </row>
    <row r="292" spans="3:13" ht="19.5">
      <c r="C292">
        <v>2011</v>
      </c>
      <c r="D292" s="729">
        <v>40735</v>
      </c>
      <c r="E292" s="730">
        <v>0.46875</v>
      </c>
      <c r="F292" s="731">
        <v>40736</v>
      </c>
      <c r="G292" s="730">
        <v>0.34375</v>
      </c>
      <c r="H292" s="537" t="s">
        <v>2248</v>
      </c>
      <c r="I292" s="563" t="s">
        <v>826</v>
      </c>
      <c r="J292" s="589" t="s">
        <v>255</v>
      </c>
      <c r="K292" s="543" t="s">
        <v>22</v>
      </c>
      <c r="L292" s="537" t="s">
        <v>2130</v>
      </c>
      <c r="M292" s="633">
        <v>85000</v>
      </c>
    </row>
    <row r="293" spans="3:13" ht="19.5">
      <c r="C293">
        <v>2011</v>
      </c>
      <c r="D293" s="729">
        <v>40735</v>
      </c>
      <c r="E293" s="730">
        <v>0.55069444444444449</v>
      </c>
      <c r="F293" s="731">
        <v>40735</v>
      </c>
      <c r="G293" s="730">
        <v>0.55069444444444449</v>
      </c>
      <c r="H293" s="537" t="s">
        <v>1472</v>
      </c>
      <c r="I293" s="563" t="s">
        <v>826</v>
      </c>
      <c r="J293" s="589" t="s">
        <v>255</v>
      </c>
      <c r="K293" s="543" t="s">
        <v>100</v>
      </c>
      <c r="L293" s="537">
        <v>0</v>
      </c>
      <c r="M293" s="633">
        <v>0</v>
      </c>
    </row>
    <row r="294" spans="3:13" ht="19.5">
      <c r="C294">
        <v>2011</v>
      </c>
      <c r="D294" s="729">
        <v>40735</v>
      </c>
      <c r="E294" s="730">
        <v>0.5625</v>
      </c>
      <c r="F294" s="731">
        <v>40735</v>
      </c>
      <c r="G294" s="730">
        <v>0.5625</v>
      </c>
      <c r="H294" s="537" t="s">
        <v>2079</v>
      </c>
      <c r="I294" s="563" t="s">
        <v>61</v>
      </c>
      <c r="J294" s="589" t="s">
        <v>255</v>
      </c>
      <c r="K294" s="537" t="s">
        <v>100</v>
      </c>
      <c r="L294" s="537" t="s">
        <v>255</v>
      </c>
      <c r="M294" s="540">
        <v>0</v>
      </c>
    </row>
    <row r="295" spans="3:13" ht="19.5">
      <c r="C295">
        <v>2011</v>
      </c>
      <c r="D295" s="729">
        <v>40735</v>
      </c>
      <c r="E295" s="730">
        <v>0.6020833333333333</v>
      </c>
      <c r="F295" s="731">
        <v>40736</v>
      </c>
      <c r="G295" s="730">
        <v>0.65972222222222221</v>
      </c>
      <c r="H295" s="537" t="s">
        <v>2249</v>
      </c>
      <c r="I295" s="563" t="s">
        <v>826</v>
      </c>
      <c r="J295" s="589" t="s">
        <v>255</v>
      </c>
      <c r="K295" s="543" t="s">
        <v>22</v>
      </c>
      <c r="L295" s="537" t="s">
        <v>2130</v>
      </c>
      <c r="M295" s="633">
        <v>120000</v>
      </c>
    </row>
    <row r="296" spans="3:13" ht="19.5">
      <c r="C296">
        <v>2011</v>
      </c>
      <c r="D296" s="729">
        <v>40736</v>
      </c>
      <c r="E296" s="730">
        <v>0.5</v>
      </c>
      <c r="F296" s="731">
        <v>40736</v>
      </c>
      <c r="G296" s="730">
        <v>0.5</v>
      </c>
      <c r="H296" s="537" t="s">
        <v>2079</v>
      </c>
      <c r="I296" s="563" t="s">
        <v>61</v>
      </c>
      <c r="J296" s="589" t="s">
        <v>255</v>
      </c>
      <c r="K296" s="543" t="s">
        <v>100</v>
      </c>
      <c r="L296" s="537" t="s">
        <v>255</v>
      </c>
      <c r="M296" s="633">
        <v>0</v>
      </c>
    </row>
    <row r="297" spans="3:13" ht="19.5">
      <c r="C297">
        <v>2011</v>
      </c>
      <c r="D297" s="729">
        <v>40736</v>
      </c>
      <c r="E297" s="730">
        <v>0.84722222222222221</v>
      </c>
      <c r="F297" s="731">
        <v>40736</v>
      </c>
      <c r="G297" s="730">
        <v>0.89583333333333337</v>
      </c>
      <c r="H297" s="537" t="s">
        <v>18</v>
      </c>
      <c r="I297" s="563" t="s">
        <v>124</v>
      </c>
      <c r="J297" s="589" t="s">
        <v>255</v>
      </c>
      <c r="K297" s="543" t="s">
        <v>2150</v>
      </c>
      <c r="L297" s="537" t="s">
        <v>2130</v>
      </c>
      <c r="M297" s="633" t="s">
        <v>2130</v>
      </c>
    </row>
    <row r="298" spans="3:13" ht="19.5">
      <c r="C298">
        <v>2011</v>
      </c>
      <c r="D298" s="729">
        <v>40737</v>
      </c>
      <c r="E298" s="730">
        <v>0.72152777777777777</v>
      </c>
      <c r="F298" s="731">
        <v>40737</v>
      </c>
      <c r="G298" s="730">
        <v>0.91875000000000007</v>
      </c>
      <c r="H298" s="537" t="s">
        <v>2250</v>
      </c>
      <c r="I298" s="563" t="s">
        <v>124</v>
      </c>
      <c r="J298" s="589" t="s">
        <v>255</v>
      </c>
      <c r="K298" s="543" t="s">
        <v>905</v>
      </c>
      <c r="L298" s="537">
        <v>580</v>
      </c>
      <c r="M298" s="633" t="s">
        <v>255</v>
      </c>
    </row>
    <row r="299" spans="3:13" ht="19.5">
      <c r="C299">
        <v>2011</v>
      </c>
      <c r="D299" s="729">
        <v>40738</v>
      </c>
      <c r="E299" s="730">
        <v>0.45833333333333331</v>
      </c>
      <c r="F299" s="731">
        <v>40738</v>
      </c>
      <c r="G299" s="730">
        <v>0.79166666666666663</v>
      </c>
      <c r="H299" s="537" t="s">
        <v>166</v>
      </c>
      <c r="I299" s="563" t="s">
        <v>1352</v>
      </c>
      <c r="J299" s="589" t="s">
        <v>255</v>
      </c>
      <c r="K299" s="543" t="s">
        <v>2221</v>
      </c>
      <c r="L299" s="537">
        <v>0</v>
      </c>
      <c r="M299" s="633">
        <v>0</v>
      </c>
    </row>
    <row r="300" spans="3:13" ht="19.5">
      <c r="C300">
        <v>2011</v>
      </c>
      <c r="D300" s="729">
        <v>40742</v>
      </c>
      <c r="E300" s="730">
        <v>0.70833333333333337</v>
      </c>
      <c r="F300" s="731">
        <v>40748</v>
      </c>
      <c r="G300" s="730">
        <v>0.5625</v>
      </c>
      <c r="H300" s="537" t="s">
        <v>420</v>
      </c>
      <c r="I300" s="563" t="s">
        <v>826</v>
      </c>
      <c r="J300" s="589" t="s">
        <v>255</v>
      </c>
      <c r="K300" s="543" t="s">
        <v>22</v>
      </c>
      <c r="L300" s="537" t="s">
        <v>255</v>
      </c>
      <c r="M300" s="633">
        <v>197166</v>
      </c>
    </row>
    <row r="301" spans="3:13" ht="19.5">
      <c r="C301">
        <v>2011</v>
      </c>
      <c r="D301" s="729">
        <v>40743</v>
      </c>
      <c r="E301" s="730">
        <v>0.48958333333333331</v>
      </c>
      <c r="F301" s="731">
        <v>40743</v>
      </c>
      <c r="G301" s="730">
        <v>0.625</v>
      </c>
      <c r="H301" s="537" t="s">
        <v>2079</v>
      </c>
      <c r="I301" s="563" t="s">
        <v>61</v>
      </c>
      <c r="J301" s="589" t="s">
        <v>255</v>
      </c>
      <c r="K301" s="543" t="s">
        <v>100</v>
      </c>
      <c r="L301" s="537" t="s">
        <v>255</v>
      </c>
      <c r="M301" s="633" t="s">
        <v>255</v>
      </c>
    </row>
    <row r="302" spans="3:13" ht="19.5">
      <c r="C302">
        <v>2011</v>
      </c>
      <c r="D302" s="729">
        <v>40744</v>
      </c>
      <c r="E302" s="730">
        <v>0.38194444444444442</v>
      </c>
      <c r="F302" s="731">
        <v>40744</v>
      </c>
      <c r="G302" s="730">
        <v>0.6875</v>
      </c>
      <c r="H302" s="537" t="s">
        <v>2251</v>
      </c>
      <c r="I302" s="563" t="s">
        <v>124</v>
      </c>
      <c r="J302" s="589" t="s">
        <v>255</v>
      </c>
      <c r="K302" s="543" t="s">
        <v>100</v>
      </c>
      <c r="L302" s="537" t="s">
        <v>255</v>
      </c>
      <c r="M302" s="633" t="s">
        <v>255</v>
      </c>
    </row>
    <row r="303" spans="3:13" ht="19.5">
      <c r="C303">
        <v>2011</v>
      </c>
      <c r="D303" s="729">
        <v>40745</v>
      </c>
      <c r="E303" s="730">
        <v>0.52222222222222225</v>
      </c>
      <c r="F303" s="731">
        <v>40746</v>
      </c>
      <c r="G303" s="730">
        <v>0.27083333333333331</v>
      </c>
      <c r="H303" s="537" t="s">
        <v>2252</v>
      </c>
      <c r="I303" s="563" t="s">
        <v>826</v>
      </c>
      <c r="J303" s="589" t="s">
        <v>255</v>
      </c>
      <c r="K303" s="543" t="s">
        <v>2221</v>
      </c>
      <c r="L303" s="543">
        <v>8881</v>
      </c>
      <c r="M303" s="633" t="s">
        <v>255</v>
      </c>
    </row>
    <row r="304" spans="3:13" ht="19.5">
      <c r="C304">
        <v>2011</v>
      </c>
      <c r="D304" s="729">
        <v>40745</v>
      </c>
      <c r="E304" s="730">
        <v>0.54166666666666663</v>
      </c>
      <c r="F304" s="731">
        <v>40745</v>
      </c>
      <c r="G304" s="730">
        <v>0.625</v>
      </c>
      <c r="H304" s="537" t="s">
        <v>2253</v>
      </c>
      <c r="I304" s="563" t="s">
        <v>63</v>
      </c>
      <c r="J304" s="589" t="s">
        <v>255</v>
      </c>
      <c r="K304" s="543" t="s">
        <v>2221</v>
      </c>
      <c r="L304" s="537" t="s">
        <v>255</v>
      </c>
      <c r="M304" s="633" t="s">
        <v>255</v>
      </c>
    </row>
    <row r="305" spans="3:13" ht="19.5">
      <c r="C305">
        <v>2011</v>
      </c>
      <c r="D305" s="729">
        <v>40746</v>
      </c>
      <c r="E305" s="730">
        <v>0.45833333333333331</v>
      </c>
      <c r="F305" s="731">
        <v>40746</v>
      </c>
      <c r="G305" s="730">
        <v>0.75</v>
      </c>
      <c r="H305" s="537" t="s">
        <v>2254</v>
      </c>
      <c r="I305" s="563" t="s">
        <v>61</v>
      </c>
      <c r="J305" s="589" t="s">
        <v>255</v>
      </c>
      <c r="K305" s="543" t="s">
        <v>2221</v>
      </c>
      <c r="L305" s="537" t="s">
        <v>255</v>
      </c>
      <c r="M305" s="633" t="s">
        <v>255</v>
      </c>
    </row>
    <row r="306" spans="3:13" ht="19.5">
      <c r="C306">
        <v>2011</v>
      </c>
      <c r="D306" s="729">
        <v>40746</v>
      </c>
      <c r="E306" s="730">
        <v>0.48194444444444445</v>
      </c>
      <c r="F306" s="731">
        <v>40746</v>
      </c>
      <c r="G306" s="730">
        <v>0.72638888888888886</v>
      </c>
      <c r="H306" s="537" t="s">
        <v>160</v>
      </c>
      <c r="I306" s="563" t="s">
        <v>826</v>
      </c>
      <c r="J306" s="589" t="s">
        <v>255</v>
      </c>
      <c r="K306" s="543" t="s">
        <v>905</v>
      </c>
      <c r="L306" s="537">
        <v>206</v>
      </c>
      <c r="M306" s="633">
        <v>23000</v>
      </c>
    </row>
    <row r="307" spans="3:13" ht="19.5">
      <c r="C307">
        <v>2011</v>
      </c>
      <c r="D307" s="729">
        <v>40747</v>
      </c>
      <c r="E307" s="730">
        <v>0.10416666666666667</v>
      </c>
      <c r="F307" s="731">
        <v>40748</v>
      </c>
      <c r="G307" s="730">
        <v>0.375</v>
      </c>
      <c r="H307" s="537" t="s">
        <v>33</v>
      </c>
      <c r="I307" s="563" t="s">
        <v>826</v>
      </c>
      <c r="J307" s="589" t="s">
        <v>255</v>
      </c>
      <c r="K307" s="543" t="s">
        <v>22</v>
      </c>
      <c r="L307" s="537" t="s">
        <v>2130</v>
      </c>
      <c r="M307" s="633">
        <v>169000</v>
      </c>
    </row>
    <row r="308" spans="3:13" ht="19.5">
      <c r="C308">
        <v>2011</v>
      </c>
      <c r="D308" s="729">
        <v>40748</v>
      </c>
      <c r="E308" s="730">
        <v>0.6069444444444444</v>
      </c>
      <c r="F308" s="731">
        <v>40748</v>
      </c>
      <c r="G308" s="730">
        <v>0.65763888888888888</v>
      </c>
      <c r="H308" s="537" t="s">
        <v>2255</v>
      </c>
      <c r="I308" s="563" t="s">
        <v>61</v>
      </c>
      <c r="J308" s="589" t="s">
        <v>255</v>
      </c>
      <c r="K308" s="543" t="s">
        <v>100</v>
      </c>
      <c r="L308" s="537">
        <v>0</v>
      </c>
      <c r="M308" s="633">
        <v>0</v>
      </c>
    </row>
    <row r="309" spans="3:13" ht="19.5">
      <c r="C309">
        <v>2011</v>
      </c>
      <c r="D309" s="729">
        <v>40750</v>
      </c>
      <c r="E309" s="730">
        <v>0.50069444444444444</v>
      </c>
      <c r="F309" s="731">
        <v>40750</v>
      </c>
      <c r="G309" s="730">
        <v>0.50069444444444444</v>
      </c>
      <c r="H309" s="537" t="s">
        <v>2256</v>
      </c>
      <c r="I309" s="563" t="s">
        <v>58</v>
      </c>
      <c r="J309" s="589" t="s">
        <v>255</v>
      </c>
      <c r="K309" s="543" t="s">
        <v>100</v>
      </c>
      <c r="L309" s="537">
        <v>0</v>
      </c>
      <c r="M309" s="633">
        <v>0</v>
      </c>
    </row>
    <row r="310" spans="3:13" ht="19.5">
      <c r="C310">
        <v>2011</v>
      </c>
      <c r="D310" s="729">
        <v>40751</v>
      </c>
      <c r="E310" s="730">
        <v>0.50486111111111109</v>
      </c>
      <c r="F310" s="731">
        <v>40751</v>
      </c>
      <c r="G310" s="730">
        <v>0.50555555555555554</v>
      </c>
      <c r="H310" s="537" t="s">
        <v>2257</v>
      </c>
      <c r="I310" s="563" t="s">
        <v>124</v>
      </c>
      <c r="J310" s="589" t="s">
        <v>255</v>
      </c>
      <c r="K310" s="543" t="s">
        <v>100</v>
      </c>
      <c r="L310" s="537" t="s">
        <v>255</v>
      </c>
      <c r="M310" s="633" t="s">
        <v>255</v>
      </c>
    </row>
    <row r="311" spans="3:13" ht="19.5">
      <c r="C311">
        <v>2011</v>
      </c>
      <c r="D311" s="729">
        <v>40752</v>
      </c>
      <c r="E311" s="730">
        <v>0.30972222222222223</v>
      </c>
      <c r="F311" s="731">
        <v>40753</v>
      </c>
      <c r="G311" s="730">
        <v>0.30972222222222223</v>
      </c>
      <c r="H311" s="537" t="s">
        <v>2258</v>
      </c>
      <c r="I311" s="563" t="s">
        <v>63</v>
      </c>
      <c r="J311" s="589" t="s">
        <v>255</v>
      </c>
      <c r="K311" s="543" t="s">
        <v>2126</v>
      </c>
      <c r="L311" s="537" t="s">
        <v>255</v>
      </c>
      <c r="M311" s="633" t="s">
        <v>255</v>
      </c>
    </row>
    <row r="312" spans="3:13" ht="19.5">
      <c r="C312">
        <v>2011</v>
      </c>
      <c r="D312" s="729">
        <v>40752</v>
      </c>
      <c r="E312" s="730">
        <v>9.7222222222222224E-3</v>
      </c>
      <c r="F312" s="731">
        <v>40753</v>
      </c>
      <c r="G312" s="730">
        <v>0.5</v>
      </c>
      <c r="H312" s="537" t="s">
        <v>2259</v>
      </c>
      <c r="I312" s="563" t="s">
        <v>826</v>
      </c>
      <c r="J312" s="589" t="s">
        <v>255</v>
      </c>
      <c r="K312" s="543" t="s">
        <v>22</v>
      </c>
      <c r="L312" s="537" t="s">
        <v>2130</v>
      </c>
      <c r="M312" s="633">
        <v>201000</v>
      </c>
    </row>
    <row r="313" spans="3:13" ht="19.5">
      <c r="C313">
        <v>2011</v>
      </c>
      <c r="D313" s="729">
        <v>40752</v>
      </c>
      <c r="E313" s="730">
        <v>0.56388888888888888</v>
      </c>
      <c r="F313" s="731">
        <v>40752</v>
      </c>
      <c r="G313" s="730">
        <v>0.56388888888888888</v>
      </c>
      <c r="H313" s="537" t="s">
        <v>2260</v>
      </c>
      <c r="I313" s="563" t="s">
        <v>826</v>
      </c>
      <c r="J313" s="589" t="s">
        <v>255</v>
      </c>
      <c r="K313" s="543" t="s">
        <v>100</v>
      </c>
      <c r="L313" s="537" t="s">
        <v>255</v>
      </c>
      <c r="M313" s="633" t="s">
        <v>255</v>
      </c>
    </row>
    <row r="314" spans="3:13" ht="19.5">
      <c r="C314">
        <v>2011</v>
      </c>
      <c r="D314" s="729">
        <v>40752</v>
      </c>
      <c r="E314" s="730">
        <v>0.80902777777777779</v>
      </c>
      <c r="F314" s="731">
        <v>40752</v>
      </c>
      <c r="G314" s="730">
        <v>0.80902777777777779</v>
      </c>
      <c r="H314" s="537" t="s">
        <v>2261</v>
      </c>
      <c r="I314" s="563" t="s">
        <v>124</v>
      </c>
      <c r="J314" s="589" t="s">
        <v>255</v>
      </c>
      <c r="K314" s="543" t="s">
        <v>100</v>
      </c>
      <c r="L314" s="537" t="s">
        <v>255</v>
      </c>
      <c r="M314" s="633" t="s">
        <v>255</v>
      </c>
    </row>
    <row r="315" spans="3:13" ht="19.5">
      <c r="C315">
        <v>2011</v>
      </c>
      <c r="D315" s="729">
        <v>40753</v>
      </c>
      <c r="E315" s="730">
        <v>0.49027777777777781</v>
      </c>
      <c r="F315" s="731">
        <v>40753</v>
      </c>
      <c r="G315" s="730">
        <v>0.70833333333333337</v>
      </c>
      <c r="H315" s="537" t="s">
        <v>2262</v>
      </c>
      <c r="I315" s="563" t="s">
        <v>124</v>
      </c>
      <c r="J315" s="589" t="s">
        <v>255</v>
      </c>
      <c r="K315" s="543" t="s">
        <v>100</v>
      </c>
      <c r="L315" s="537" t="s">
        <v>255</v>
      </c>
      <c r="M315" s="633" t="s">
        <v>255</v>
      </c>
    </row>
    <row r="316" spans="3:13" ht="19.5">
      <c r="C316">
        <v>2011</v>
      </c>
      <c r="D316" s="729">
        <v>40753</v>
      </c>
      <c r="E316" s="730">
        <v>0.86458333333333337</v>
      </c>
      <c r="F316" s="731">
        <v>40756</v>
      </c>
      <c r="G316" s="730">
        <v>0.18333333333333335</v>
      </c>
      <c r="H316" s="537" t="s">
        <v>1592</v>
      </c>
      <c r="I316" s="563" t="s">
        <v>826</v>
      </c>
      <c r="J316" s="589" t="s">
        <v>255</v>
      </c>
      <c r="K316" s="543" t="s">
        <v>22</v>
      </c>
      <c r="L316" s="537" t="s">
        <v>255</v>
      </c>
      <c r="M316" s="633">
        <v>67900</v>
      </c>
    </row>
    <row r="317" spans="3:13" ht="19.5">
      <c r="C317">
        <v>2011</v>
      </c>
      <c r="D317" s="729">
        <v>40756</v>
      </c>
      <c r="E317" s="730">
        <v>0.625</v>
      </c>
      <c r="F317" s="731">
        <v>40760</v>
      </c>
      <c r="G317" s="730">
        <v>0.79166666666666663</v>
      </c>
      <c r="H317" s="537" t="s">
        <v>166</v>
      </c>
      <c r="I317" s="563" t="s">
        <v>1352</v>
      </c>
      <c r="J317" s="589" t="s">
        <v>255</v>
      </c>
      <c r="K317" s="537" t="s">
        <v>2221</v>
      </c>
      <c r="L317" s="543">
        <v>0</v>
      </c>
      <c r="M317" s="633">
        <v>0</v>
      </c>
    </row>
    <row r="318" spans="3:13" ht="19.5">
      <c r="C318">
        <v>2011</v>
      </c>
      <c r="D318" s="729">
        <v>40756</v>
      </c>
      <c r="E318" s="730">
        <v>0.59583333333333333</v>
      </c>
      <c r="F318" s="731">
        <v>40756</v>
      </c>
      <c r="G318" s="730">
        <v>0.59583333333333333</v>
      </c>
      <c r="H318" s="537" t="s">
        <v>2263</v>
      </c>
      <c r="I318" s="563" t="s">
        <v>124</v>
      </c>
      <c r="J318" s="589" t="s">
        <v>255</v>
      </c>
      <c r="K318" s="537" t="s">
        <v>100</v>
      </c>
      <c r="L318" s="543" t="s">
        <v>255</v>
      </c>
      <c r="M318" s="633" t="s">
        <v>255</v>
      </c>
    </row>
    <row r="319" spans="3:13" ht="19.5">
      <c r="C319">
        <v>2011</v>
      </c>
      <c r="D319" s="729">
        <v>40757</v>
      </c>
      <c r="E319" s="730">
        <v>0.89583333333333337</v>
      </c>
      <c r="F319" s="731">
        <v>40758</v>
      </c>
      <c r="G319" s="730">
        <v>0.79166666666666663</v>
      </c>
      <c r="H319" s="537" t="s">
        <v>2264</v>
      </c>
      <c r="I319" s="563" t="s">
        <v>826</v>
      </c>
      <c r="J319" s="589" t="s">
        <v>255</v>
      </c>
      <c r="K319" s="537" t="s">
        <v>22</v>
      </c>
      <c r="L319" s="543" t="s">
        <v>2130</v>
      </c>
      <c r="M319" s="633">
        <v>71500</v>
      </c>
    </row>
    <row r="320" spans="3:13" ht="19.5">
      <c r="C320">
        <v>2011</v>
      </c>
      <c r="D320" s="729">
        <v>40757</v>
      </c>
      <c r="E320" s="730">
        <v>0.42708333333333331</v>
      </c>
      <c r="F320" s="731">
        <v>40758</v>
      </c>
      <c r="G320" s="730">
        <v>0.38611111111111113</v>
      </c>
      <c r="H320" s="537" t="s">
        <v>10</v>
      </c>
      <c r="I320" s="563" t="s">
        <v>58</v>
      </c>
      <c r="J320" s="589" t="s">
        <v>255</v>
      </c>
      <c r="K320" s="537" t="s">
        <v>2221</v>
      </c>
      <c r="L320" s="543" t="s">
        <v>255</v>
      </c>
      <c r="M320" s="633" t="s">
        <v>255</v>
      </c>
    </row>
    <row r="321" spans="3:13" ht="19.5">
      <c r="C321">
        <v>2011</v>
      </c>
      <c r="D321" s="729">
        <v>40758</v>
      </c>
      <c r="E321" s="730">
        <v>0.41666666666666669</v>
      </c>
      <c r="F321" s="731">
        <v>40774</v>
      </c>
      <c r="G321" s="730">
        <v>0.41666666666666669</v>
      </c>
      <c r="H321" s="537" t="s">
        <v>2148</v>
      </c>
      <c r="I321" s="563" t="s">
        <v>61</v>
      </c>
      <c r="J321" s="589" t="s">
        <v>255</v>
      </c>
      <c r="K321" s="537" t="s">
        <v>2126</v>
      </c>
      <c r="L321" s="543">
        <v>675</v>
      </c>
      <c r="M321" s="633" t="s">
        <v>2130</v>
      </c>
    </row>
    <row r="322" spans="3:13" ht="19.5">
      <c r="C322">
        <v>2011</v>
      </c>
      <c r="D322" s="729">
        <v>40758</v>
      </c>
      <c r="E322" s="730">
        <v>0.6875</v>
      </c>
      <c r="F322" s="731">
        <v>40758</v>
      </c>
      <c r="G322" s="730">
        <v>0.875</v>
      </c>
      <c r="H322" s="537" t="s">
        <v>2265</v>
      </c>
      <c r="I322" s="563" t="s">
        <v>58</v>
      </c>
      <c r="J322" s="589" t="s">
        <v>255</v>
      </c>
      <c r="K322" s="537" t="s">
        <v>2221</v>
      </c>
      <c r="L322" s="543">
        <v>0</v>
      </c>
      <c r="M322" s="633">
        <v>0</v>
      </c>
    </row>
    <row r="323" spans="3:13" ht="19.5">
      <c r="C323">
        <v>2011</v>
      </c>
      <c r="D323" s="729">
        <v>40758</v>
      </c>
      <c r="E323" s="730">
        <v>0.68680555555555556</v>
      </c>
      <c r="F323" s="731">
        <v>40758</v>
      </c>
      <c r="G323" s="730">
        <v>0.98611111111111116</v>
      </c>
      <c r="H323" s="537" t="s">
        <v>2266</v>
      </c>
      <c r="I323" s="563" t="s">
        <v>58</v>
      </c>
      <c r="J323" s="589" t="s">
        <v>255</v>
      </c>
      <c r="K323" s="537" t="s">
        <v>2221</v>
      </c>
      <c r="L323" s="543">
        <v>300</v>
      </c>
      <c r="M323" s="633" t="s">
        <v>255</v>
      </c>
    </row>
    <row r="324" spans="3:13" ht="19.5">
      <c r="C324">
        <v>2011</v>
      </c>
      <c r="D324" s="729">
        <v>40759</v>
      </c>
      <c r="E324" s="730">
        <v>0.4375</v>
      </c>
      <c r="F324" s="731">
        <v>40759</v>
      </c>
      <c r="G324" s="730">
        <v>0.66666666666666663</v>
      </c>
      <c r="H324" s="537" t="s">
        <v>2267</v>
      </c>
      <c r="I324" s="563" t="s">
        <v>58</v>
      </c>
      <c r="J324" s="589" t="s">
        <v>255</v>
      </c>
      <c r="K324" s="537" t="s">
        <v>2221</v>
      </c>
      <c r="L324" s="543" t="s">
        <v>255</v>
      </c>
      <c r="M324" s="633" t="s">
        <v>255</v>
      </c>
    </row>
    <row r="325" spans="3:13" ht="19.5">
      <c r="C325">
        <v>2011</v>
      </c>
      <c r="D325" s="729">
        <v>40763</v>
      </c>
      <c r="E325" s="730">
        <v>0.39583333333333331</v>
      </c>
      <c r="F325" s="731">
        <v>40763</v>
      </c>
      <c r="G325" s="730">
        <v>0.39583333333333331</v>
      </c>
      <c r="H325" s="537" t="s">
        <v>2156</v>
      </c>
      <c r="I325" s="563" t="s">
        <v>826</v>
      </c>
      <c r="J325" s="589" t="s">
        <v>255</v>
      </c>
      <c r="K325" s="537" t="s">
        <v>2150</v>
      </c>
      <c r="L325" s="543">
        <v>0</v>
      </c>
      <c r="M325" s="633">
        <v>0</v>
      </c>
    </row>
    <row r="326" spans="3:13" ht="19.5">
      <c r="C326">
        <v>2011</v>
      </c>
      <c r="D326" s="729">
        <v>40763</v>
      </c>
      <c r="E326" s="730">
        <v>0.87361111111111101</v>
      </c>
      <c r="F326" s="731">
        <v>40765</v>
      </c>
      <c r="G326" s="730">
        <v>0.6875</v>
      </c>
      <c r="H326" s="537" t="s">
        <v>2268</v>
      </c>
      <c r="I326" s="563" t="s">
        <v>58</v>
      </c>
      <c r="J326" s="589" t="s">
        <v>255</v>
      </c>
      <c r="K326" s="537" t="s">
        <v>22</v>
      </c>
      <c r="L326" s="543" t="s">
        <v>255</v>
      </c>
      <c r="M326" s="633">
        <v>54000</v>
      </c>
    </row>
    <row r="327" spans="3:13" ht="19.5">
      <c r="C327">
        <v>2011</v>
      </c>
      <c r="D327" s="729">
        <v>40763</v>
      </c>
      <c r="E327" s="730">
        <v>0.81666666666666676</v>
      </c>
      <c r="F327" s="731">
        <v>40764</v>
      </c>
      <c r="G327" s="730">
        <v>0.5</v>
      </c>
      <c r="H327" s="537" t="s">
        <v>10</v>
      </c>
      <c r="I327" s="563" t="s">
        <v>58</v>
      </c>
      <c r="J327" s="589" t="s">
        <v>255</v>
      </c>
      <c r="K327" s="537" t="s">
        <v>2037</v>
      </c>
      <c r="L327" s="543">
        <v>92</v>
      </c>
      <c r="M327" s="633">
        <v>14500</v>
      </c>
    </row>
    <row r="328" spans="3:13" ht="19.5">
      <c r="C328">
        <v>2011</v>
      </c>
      <c r="D328" s="729">
        <v>40763</v>
      </c>
      <c r="E328" s="730">
        <v>0.39930555555555558</v>
      </c>
      <c r="F328" s="731">
        <v>40763</v>
      </c>
      <c r="G328" s="730">
        <v>0.66666666666666663</v>
      </c>
      <c r="H328" s="537" t="s">
        <v>2228</v>
      </c>
      <c r="I328" s="563" t="s">
        <v>124</v>
      </c>
      <c r="J328" s="589" t="s">
        <v>255</v>
      </c>
      <c r="K328" s="537" t="s">
        <v>100</v>
      </c>
      <c r="L328" s="543" t="s">
        <v>255</v>
      </c>
      <c r="M328" s="633" t="s">
        <v>255</v>
      </c>
    </row>
    <row r="329" spans="3:13" ht="19.5">
      <c r="C329">
        <v>2011</v>
      </c>
      <c r="D329" s="729">
        <v>40764</v>
      </c>
      <c r="E329" s="730">
        <v>0.43472222222222223</v>
      </c>
      <c r="F329" s="731">
        <v>40764</v>
      </c>
      <c r="G329" s="730">
        <v>0.70833333333333337</v>
      </c>
      <c r="H329" s="537" t="s">
        <v>2269</v>
      </c>
      <c r="I329" s="563" t="s">
        <v>124</v>
      </c>
      <c r="J329" s="589" t="s">
        <v>255</v>
      </c>
      <c r="K329" s="537" t="s">
        <v>100</v>
      </c>
      <c r="L329" s="543" t="s">
        <v>255</v>
      </c>
      <c r="M329" s="633" t="s">
        <v>255</v>
      </c>
    </row>
    <row r="330" spans="3:13" ht="19.5">
      <c r="C330">
        <v>2011</v>
      </c>
      <c r="D330" s="729">
        <v>40768</v>
      </c>
      <c r="E330" s="730">
        <v>0.69513888888888886</v>
      </c>
      <c r="F330" s="731">
        <v>40769</v>
      </c>
      <c r="G330" s="730">
        <v>0.79166666666666663</v>
      </c>
      <c r="H330" s="537" t="s">
        <v>2270</v>
      </c>
      <c r="I330" s="563" t="s">
        <v>63</v>
      </c>
      <c r="J330" s="589" t="s">
        <v>255</v>
      </c>
      <c r="K330" s="537" t="s">
        <v>22</v>
      </c>
      <c r="L330" s="543" t="s">
        <v>2130</v>
      </c>
      <c r="M330" s="633">
        <v>181700</v>
      </c>
    </row>
    <row r="331" spans="3:13" ht="19.5">
      <c r="C331">
        <v>2011</v>
      </c>
      <c r="D331" s="729">
        <v>40770</v>
      </c>
      <c r="E331" s="730">
        <v>8.6805555555555566E-2</v>
      </c>
      <c r="F331" s="731">
        <v>40770</v>
      </c>
      <c r="G331" s="730">
        <v>0.15277777777777776</v>
      </c>
      <c r="H331" s="537" t="s">
        <v>1320</v>
      </c>
      <c r="I331" s="563" t="s">
        <v>124</v>
      </c>
      <c r="J331" s="589" t="s">
        <v>255</v>
      </c>
      <c r="K331" s="537" t="s">
        <v>100</v>
      </c>
      <c r="L331" s="543">
        <v>0</v>
      </c>
      <c r="M331" s="633">
        <v>0</v>
      </c>
    </row>
    <row r="332" spans="3:13" ht="19.5">
      <c r="C332">
        <v>2011</v>
      </c>
      <c r="D332" s="729">
        <v>40773</v>
      </c>
      <c r="E332" s="730">
        <v>0.41041666666666665</v>
      </c>
      <c r="F332" s="731">
        <v>40773</v>
      </c>
      <c r="G332" s="730">
        <v>0.66666666666666663</v>
      </c>
      <c r="H332" s="537" t="s">
        <v>2228</v>
      </c>
      <c r="I332" s="563" t="s">
        <v>124</v>
      </c>
      <c r="J332" s="589" t="s">
        <v>255</v>
      </c>
      <c r="K332" s="537" t="s">
        <v>2150</v>
      </c>
      <c r="L332" s="543" t="s">
        <v>255</v>
      </c>
      <c r="M332" s="633" t="s">
        <v>255</v>
      </c>
    </row>
    <row r="333" spans="3:13" ht="19.5">
      <c r="C333">
        <v>2011</v>
      </c>
      <c r="D333" s="729">
        <v>40775</v>
      </c>
      <c r="E333" s="730">
        <v>0.73749999999999993</v>
      </c>
      <c r="F333" s="731">
        <v>40778</v>
      </c>
      <c r="G333" s="730">
        <v>0.83333333333333337</v>
      </c>
      <c r="H333" s="537" t="s">
        <v>268</v>
      </c>
      <c r="I333" s="563" t="s">
        <v>826</v>
      </c>
      <c r="J333" s="589" t="s">
        <v>255</v>
      </c>
      <c r="K333" s="537" t="s">
        <v>22</v>
      </c>
      <c r="L333" s="543">
        <v>254</v>
      </c>
      <c r="M333" s="633">
        <v>65000</v>
      </c>
    </row>
    <row r="334" spans="3:13" ht="19.5">
      <c r="C334">
        <v>2011</v>
      </c>
      <c r="D334" s="729">
        <v>40776</v>
      </c>
      <c r="E334" s="730">
        <v>0.94791666666666663</v>
      </c>
      <c r="F334" s="731">
        <v>40778</v>
      </c>
      <c r="G334" s="730">
        <v>0.94791666666666663</v>
      </c>
      <c r="H334" s="537" t="s">
        <v>2271</v>
      </c>
      <c r="I334" s="563" t="s">
        <v>255</v>
      </c>
      <c r="J334" s="589" t="s">
        <v>255</v>
      </c>
      <c r="K334" s="537" t="s">
        <v>22</v>
      </c>
      <c r="L334" s="543">
        <v>2200</v>
      </c>
      <c r="M334" s="633">
        <v>931000</v>
      </c>
    </row>
    <row r="335" spans="3:13" ht="19.5">
      <c r="C335">
        <v>2011</v>
      </c>
      <c r="D335" s="729">
        <v>40777</v>
      </c>
      <c r="E335" s="730">
        <v>0.4201388888888889</v>
      </c>
      <c r="F335" s="731">
        <v>40777</v>
      </c>
      <c r="G335" s="730">
        <v>0.66666666666666663</v>
      </c>
      <c r="H335" s="537" t="s">
        <v>2228</v>
      </c>
      <c r="I335" s="563" t="s">
        <v>124</v>
      </c>
      <c r="J335" s="589" t="s">
        <v>255</v>
      </c>
      <c r="K335" s="537" t="s">
        <v>2150</v>
      </c>
      <c r="L335" s="543" t="s">
        <v>255</v>
      </c>
      <c r="M335" s="633" t="s">
        <v>255</v>
      </c>
    </row>
    <row r="336" spans="3:13" ht="19.5">
      <c r="C336">
        <v>2011</v>
      </c>
      <c r="D336" s="729">
        <v>40778</v>
      </c>
      <c r="E336" s="730">
        <v>0.57708333333333328</v>
      </c>
      <c r="F336" s="731">
        <v>40778</v>
      </c>
      <c r="G336" s="730">
        <v>0.57708333333333328</v>
      </c>
      <c r="H336" s="537" t="s">
        <v>2004</v>
      </c>
      <c r="I336" s="563" t="s">
        <v>826</v>
      </c>
      <c r="J336" s="589" t="s">
        <v>255</v>
      </c>
      <c r="K336" s="586" t="s">
        <v>313</v>
      </c>
      <c r="L336" s="543">
        <v>0</v>
      </c>
      <c r="M336" s="633">
        <v>0</v>
      </c>
    </row>
    <row r="337" spans="3:13" ht="19.5">
      <c r="C337">
        <v>2011</v>
      </c>
      <c r="D337" s="729">
        <v>40778</v>
      </c>
      <c r="E337" s="730">
        <v>0.4375</v>
      </c>
      <c r="F337" s="731">
        <v>40778</v>
      </c>
      <c r="G337" s="730">
        <v>0.70416666666666661</v>
      </c>
      <c r="H337" s="537" t="s">
        <v>2272</v>
      </c>
      <c r="I337" s="563" t="s">
        <v>58</v>
      </c>
      <c r="J337" s="589" t="s">
        <v>255</v>
      </c>
      <c r="K337" s="537" t="s">
        <v>2221</v>
      </c>
      <c r="L337" s="543">
        <v>0</v>
      </c>
      <c r="M337" s="633">
        <v>0</v>
      </c>
    </row>
    <row r="338" spans="3:13" ht="19.5">
      <c r="C338">
        <v>2011</v>
      </c>
      <c r="D338" s="729">
        <v>40778</v>
      </c>
      <c r="E338" s="730">
        <v>0.65486111111111112</v>
      </c>
      <c r="F338" s="731">
        <v>40778</v>
      </c>
      <c r="G338" s="730">
        <v>0.79166666666666663</v>
      </c>
      <c r="H338" s="537" t="s">
        <v>166</v>
      </c>
      <c r="I338" s="563" t="s">
        <v>1352</v>
      </c>
      <c r="J338" s="589" t="s">
        <v>255</v>
      </c>
      <c r="K338" s="537" t="s">
        <v>2221</v>
      </c>
      <c r="L338" s="543">
        <v>0</v>
      </c>
      <c r="M338" s="633">
        <v>0</v>
      </c>
    </row>
    <row r="339" spans="3:13" ht="19.5">
      <c r="C339">
        <v>2011</v>
      </c>
      <c r="D339" s="729">
        <v>40779</v>
      </c>
      <c r="E339" s="730">
        <v>0.55555555555555558</v>
      </c>
      <c r="F339" s="731">
        <v>40784</v>
      </c>
      <c r="G339" s="730">
        <v>0.79166666666666663</v>
      </c>
      <c r="H339" s="537" t="s">
        <v>166</v>
      </c>
      <c r="I339" s="563" t="s">
        <v>1352</v>
      </c>
      <c r="J339" s="589" t="s">
        <v>255</v>
      </c>
      <c r="K339" s="537" t="s">
        <v>2221</v>
      </c>
      <c r="L339" s="543">
        <v>0</v>
      </c>
      <c r="M339" s="633">
        <v>0</v>
      </c>
    </row>
    <row r="340" spans="3:13" ht="19.5">
      <c r="C340">
        <v>2011</v>
      </c>
      <c r="D340" s="729">
        <v>40779</v>
      </c>
      <c r="E340" s="730">
        <v>0.32291666666666669</v>
      </c>
      <c r="F340" s="731">
        <v>40780</v>
      </c>
      <c r="G340" s="730">
        <v>0.25</v>
      </c>
      <c r="H340" s="537" t="s">
        <v>2273</v>
      </c>
      <c r="I340" s="563" t="s">
        <v>1352</v>
      </c>
      <c r="J340" s="589" t="s">
        <v>255</v>
      </c>
      <c r="K340" s="537" t="s">
        <v>22</v>
      </c>
      <c r="L340" s="543">
        <v>485</v>
      </c>
      <c r="M340" s="633">
        <v>79000</v>
      </c>
    </row>
    <row r="341" spans="3:13" ht="19.5">
      <c r="C341">
        <v>2011</v>
      </c>
      <c r="D341" s="729">
        <v>40779</v>
      </c>
      <c r="E341" s="730">
        <v>0.61875000000000002</v>
      </c>
      <c r="F341" s="731">
        <v>40779</v>
      </c>
      <c r="G341" s="730">
        <v>0.91666666666666663</v>
      </c>
      <c r="H341" s="537" t="s">
        <v>2274</v>
      </c>
      <c r="I341" s="561" t="s">
        <v>58</v>
      </c>
      <c r="J341" s="589" t="s">
        <v>255</v>
      </c>
      <c r="K341" s="537" t="s">
        <v>22</v>
      </c>
      <c r="L341" s="543" t="s">
        <v>255</v>
      </c>
      <c r="M341" s="633">
        <v>53064</v>
      </c>
    </row>
    <row r="342" spans="3:13" ht="19.5">
      <c r="C342">
        <v>2011</v>
      </c>
      <c r="D342" s="729">
        <v>40780</v>
      </c>
      <c r="E342" s="730">
        <v>6.9444444444444447E-4</v>
      </c>
      <c r="F342" s="731">
        <v>40780</v>
      </c>
      <c r="G342" s="730">
        <v>6.9444444444444447E-4</v>
      </c>
      <c r="H342" s="537" t="s">
        <v>2079</v>
      </c>
      <c r="I342" s="563" t="s">
        <v>61</v>
      </c>
      <c r="J342" s="589" t="s">
        <v>255</v>
      </c>
      <c r="K342" s="537" t="s">
        <v>2150</v>
      </c>
      <c r="L342" s="543">
        <v>0</v>
      </c>
      <c r="M342" s="633">
        <v>0</v>
      </c>
    </row>
    <row r="343" spans="3:13" ht="19.5">
      <c r="C343">
        <v>2011</v>
      </c>
      <c r="D343" s="729">
        <v>40780</v>
      </c>
      <c r="E343" s="730">
        <v>2.0833333333333332E-2</v>
      </c>
      <c r="F343" s="731">
        <v>40783</v>
      </c>
      <c r="G343" s="730">
        <v>0.83333333333333337</v>
      </c>
      <c r="H343" s="537" t="s">
        <v>2185</v>
      </c>
      <c r="I343" s="563" t="s">
        <v>826</v>
      </c>
      <c r="J343" s="589" t="s">
        <v>255</v>
      </c>
      <c r="K343" s="537" t="s">
        <v>22</v>
      </c>
      <c r="L343" s="543" t="s">
        <v>255</v>
      </c>
      <c r="M343" s="633">
        <v>107833</v>
      </c>
    </row>
    <row r="344" spans="3:13" ht="19.5">
      <c r="C344">
        <v>2011</v>
      </c>
      <c r="D344" s="729">
        <v>40781</v>
      </c>
      <c r="E344" s="730">
        <v>2.0833333333333332E-2</v>
      </c>
      <c r="F344" s="731">
        <v>40783</v>
      </c>
      <c r="G344" s="730">
        <v>2.0833333333333332E-2</v>
      </c>
      <c r="H344" s="537" t="s">
        <v>171</v>
      </c>
      <c r="I344" s="563" t="s">
        <v>826</v>
      </c>
      <c r="J344" s="589" t="s">
        <v>255</v>
      </c>
      <c r="K344" s="537" t="s">
        <v>22</v>
      </c>
      <c r="L344" s="543" t="s">
        <v>255</v>
      </c>
      <c r="M344" s="633">
        <v>200717</v>
      </c>
    </row>
    <row r="345" spans="3:13" ht="19.5">
      <c r="C345">
        <v>2011</v>
      </c>
      <c r="D345" s="729">
        <v>40782</v>
      </c>
      <c r="E345" s="730">
        <v>0.96180555555555547</v>
      </c>
      <c r="F345" s="731">
        <v>64891</v>
      </c>
      <c r="G345" s="730">
        <v>0.64583333333333337</v>
      </c>
      <c r="H345" s="537" t="s">
        <v>2275</v>
      </c>
      <c r="I345" s="563" t="s">
        <v>826</v>
      </c>
      <c r="J345" s="589" t="s">
        <v>255</v>
      </c>
      <c r="K345" s="537" t="s">
        <v>22</v>
      </c>
      <c r="L345" s="543" t="s">
        <v>255</v>
      </c>
      <c r="M345" s="633">
        <v>220000</v>
      </c>
    </row>
    <row r="346" spans="3:13" ht="19.5">
      <c r="C346">
        <v>2011</v>
      </c>
      <c r="D346" s="729">
        <v>40782</v>
      </c>
      <c r="E346" s="730">
        <v>0.95833333333333337</v>
      </c>
      <c r="F346" s="731">
        <v>40784</v>
      </c>
      <c r="G346" s="730">
        <v>0.33333333333333331</v>
      </c>
      <c r="H346" s="537" t="s">
        <v>2123</v>
      </c>
      <c r="I346" s="563" t="s">
        <v>826</v>
      </c>
      <c r="J346" s="589" t="s">
        <v>255</v>
      </c>
      <c r="K346" s="537" t="s">
        <v>22</v>
      </c>
      <c r="L346" s="543" t="s">
        <v>2130</v>
      </c>
      <c r="M346" s="633">
        <v>108000</v>
      </c>
    </row>
    <row r="347" spans="3:13" ht="19.5">
      <c r="C347">
        <v>2011</v>
      </c>
      <c r="D347" s="729">
        <v>40782</v>
      </c>
      <c r="E347" s="730">
        <v>0.91666666666666663</v>
      </c>
      <c r="F347" s="731">
        <v>40784</v>
      </c>
      <c r="G347" s="730">
        <v>0.66666666666666663</v>
      </c>
      <c r="H347" s="537" t="s">
        <v>2276</v>
      </c>
      <c r="I347" s="563" t="s">
        <v>826</v>
      </c>
      <c r="J347" s="589" t="s">
        <v>255</v>
      </c>
      <c r="K347" s="537" t="s">
        <v>22</v>
      </c>
      <c r="L347" s="537">
        <v>320</v>
      </c>
      <c r="M347" s="633">
        <v>140000</v>
      </c>
    </row>
    <row r="348" spans="3:13" ht="19.5">
      <c r="C348">
        <v>2011</v>
      </c>
      <c r="D348" s="729">
        <v>40782</v>
      </c>
      <c r="E348" s="730">
        <v>0.91666666666666663</v>
      </c>
      <c r="F348" s="731">
        <v>40784</v>
      </c>
      <c r="G348" s="730">
        <v>0.91666666666666663</v>
      </c>
      <c r="H348" s="537" t="s">
        <v>171</v>
      </c>
      <c r="I348" s="563" t="s">
        <v>826</v>
      </c>
      <c r="J348" s="589" t="s">
        <v>255</v>
      </c>
      <c r="K348" s="537" t="s">
        <v>22</v>
      </c>
      <c r="L348" s="543" t="s">
        <v>255</v>
      </c>
      <c r="M348" s="633">
        <v>264000</v>
      </c>
    </row>
    <row r="349" spans="3:13" ht="19.5">
      <c r="C349">
        <v>2011</v>
      </c>
      <c r="D349" s="729">
        <v>40782</v>
      </c>
      <c r="E349" s="730">
        <v>0.85416666666666663</v>
      </c>
      <c r="F349" s="731">
        <v>40790</v>
      </c>
      <c r="G349" s="730">
        <v>0.97916666666666663</v>
      </c>
      <c r="H349" s="537" t="s">
        <v>2123</v>
      </c>
      <c r="I349" s="563" t="s">
        <v>826</v>
      </c>
      <c r="J349" s="589" t="s">
        <v>255</v>
      </c>
      <c r="K349" s="537" t="s">
        <v>22</v>
      </c>
      <c r="L349" s="543">
        <v>1114</v>
      </c>
      <c r="M349" s="633">
        <v>760113</v>
      </c>
    </row>
    <row r="350" spans="3:13" ht="19.5">
      <c r="C350">
        <v>2011</v>
      </c>
      <c r="D350" s="729">
        <v>40782</v>
      </c>
      <c r="E350" s="730">
        <v>0.54166666666666663</v>
      </c>
      <c r="F350" s="731">
        <v>40784</v>
      </c>
      <c r="G350" s="730">
        <v>0.54166666666666663</v>
      </c>
      <c r="H350" s="537" t="s">
        <v>2277</v>
      </c>
      <c r="I350" s="563" t="s">
        <v>826</v>
      </c>
      <c r="J350" s="589" t="s">
        <v>255</v>
      </c>
      <c r="K350" s="537" t="s">
        <v>22</v>
      </c>
      <c r="L350" s="543" t="s">
        <v>255</v>
      </c>
      <c r="M350" s="633">
        <v>165000</v>
      </c>
    </row>
    <row r="351" spans="3:13" ht="19.5">
      <c r="C351">
        <v>2011</v>
      </c>
      <c r="D351" s="729">
        <v>40782</v>
      </c>
      <c r="E351" s="730">
        <v>0.79166666666666663</v>
      </c>
      <c r="F351" s="731">
        <v>40784</v>
      </c>
      <c r="G351" s="730">
        <v>0.56319444444444444</v>
      </c>
      <c r="H351" s="537" t="s">
        <v>230</v>
      </c>
      <c r="I351" s="563" t="s">
        <v>63</v>
      </c>
      <c r="J351" s="589" t="s">
        <v>255</v>
      </c>
      <c r="K351" s="537" t="s">
        <v>22</v>
      </c>
      <c r="L351" s="537">
        <v>200</v>
      </c>
      <c r="M351" s="633">
        <v>136000</v>
      </c>
    </row>
    <row r="352" spans="3:13" ht="19.5">
      <c r="C352">
        <v>2011</v>
      </c>
      <c r="D352" s="729">
        <v>40782</v>
      </c>
      <c r="E352" s="730">
        <v>0.43958333333333338</v>
      </c>
      <c r="F352" s="731">
        <v>40784</v>
      </c>
      <c r="G352" s="730">
        <v>0.58333333333333337</v>
      </c>
      <c r="H352" s="537" t="s">
        <v>2278</v>
      </c>
      <c r="I352" s="563" t="s">
        <v>63</v>
      </c>
      <c r="J352" s="589" t="s">
        <v>255</v>
      </c>
      <c r="K352" s="537" t="s">
        <v>22</v>
      </c>
      <c r="L352" s="543" t="s">
        <v>2130</v>
      </c>
      <c r="M352" s="633">
        <v>1000000</v>
      </c>
    </row>
    <row r="353" spans="3:13" ht="19.5">
      <c r="C353">
        <v>2011</v>
      </c>
      <c r="D353" s="729">
        <v>40782</v>
      </c>
      <c r="E353" s="730">
        <v>0.12291666666666667</v>
      </c>
      <c r="F353" s="731">
        <v>40784</v>
      </c>
      <c r="G353" s="730">
        <v>0.97916666666666663</v>
      </c>
      <c r="H353" s="537" t="s">
        <v>230</v>
      </c>
      <c r="I353" s="563" t="s">
        <v>63</v>
      </c>
      <c r="J353" s="589" t="s">
        <v>255</v>
      </c>
      <c r="K353" s="537" t="s">
        <v>22</v>
      </c>
      <c r="L353" s="543" t="s">
        <v>2130</v>
      </c>
      <c r="M353" s="633">
        <v>285465</v>
      </c>
    </row>
    <row r="354" spans="3:13" ht="19.5">
      <c r="C354">
        <v>2011</v>
      </c>
      <c r="D354" s="729">
        <v>40782</v>
      </c>
      <c r="E354" s="730">
        <v>8.3333333333333329E-2</v>
      </c>
      <c r="F354" s="731">
        <v>40782</v>
      </c>
      <c r="G354" s="730">
        <v>0.21875</v>
      </c>
      <c r="H354" s="537" t="s">
        <v>2279</v>
      </c>
      <c r="I354" s="563" t="s">
        <v>63</v>
      </c>
      <c r="J354" s="589" t="s">
        <v>255</v>
      </c>
      <c r="K354" s="586" t="s">
        <v>2280</v>
      </c>
      <c r="L354" s="537">
        <v>2</v>
      </c>
      <c r="M354" s="633">
        <v>1200</v>
      </c>
    </row>
    <row r="355" spans="3:13" ht="19.5">
      <c r="C355">
        <v>2011</v>
      </c>
      <c r="D355" s="729">
        <v>40783</v>
      </c>
      <c r="E355" s="730">
        <v>0.52083333333333337</v>
      </c>
      <c r="F355" s="731">
        <v>40783</v>
      </c>
      <c r="G355" s="730">
        <v>0.52152777777777781</v>
      </c>
      <c r="H355" s="537" t="s">
        <v>30</v>
      </c>
      <c r="I355" s="563" t="s">
        <v>61</v>
      </c>
      <c r="J355" s="589" t="s">
        <v>255</v>
      </c>
      <c r="K355" s="537" t="s">
        <v>22</v>
      </c>
      <c r="L355" s="543" t="s">
        <v>255</v>
      </c>
      <c r="M355" s="633">
        <v>116000</v>
      </c>
    </row>
    <row r="356" spans="3:13" ht="19.5">
      <c r="C356">
        <v>2011</v>
      </c>
      <c r="D356" s="729">
        <v>40783</v>
      </c>
      <c r="E356" s="730">
        <v>0.50694444444444442</v>
      </c>
      <c r="F356" s="731">
        <v>40783</v>
      </c>
      <c r="G356" s="730">
        <v>0.50763888888888886</v>
      </c>
      <c r="H356" s="537" t="s">
        <v>2281</v>
      </c>
      <c r="I356" s="563" t="s">
        <v>61</v>
      </c>
      <c r="J356" s="589" t="s">
        <v>255</v>
      </c>
      <c r="K356" s="537" t="s">
        <v>22</v>
      </c>
      <c r="L356" s="543" t="s">
        <v>255</v>
      </c>
      <c r="M356" s="633">
        <v>50000</v>
      </c>
    </row>
    <row r="357" spans="3:13" ht="19.5">
      <c r="C357">
        <v>2011</v>
      </c>
      <c r="D357" s="729">
        <v>40783</v>
      </c>
      <c r="E357" s="730">
        <v>0.40416666666666662</v>
      </c>
      <c r="F357" s="731">
        <v>40785</v>
      </c>
      <c r="G357" s="730">
        <v>6.9444444444444447E-4</v>
      </c>
      <c r="H357" s="537" t="s">
        <v>1159</v>
      </c>
      <c r="I357" s="563" t="s">
        <v>61</v>
      </c>
      <c r="J357" s="589" t="s">
        <v>255</v>
      </c>
      <c r="K357" s="537" t="s">
        <v>22</v>
      </c>
      <c r="L357" s="543" t="s">
        <v>255</v>
      </c>
      <c r="M357" s="633">
        <v>100000</v>
      </c>
    </row>
    <row r="358" spans="3:13" ht="19.5">
      <c r="C358">
        <v>2011</v>
      </c>
      <c r="D358" s="729">
        <v>40783</v>
      </c>
      <c r="E358" s="730">
        <v>0.31944444444444448</v>
      </c>
      <c r="F358" s="731">
        <v>40784</v>
      </c>
      <c r="G358" s="730">
        <v>0.31944444444444448</v>
      </c>
      <c r="H358" s="537" t="s">
        <v>2282</v>
      </c>
      <c r="I358" s="563" t="s">
        <v>61</v>
      </c>
      <c r="J358" s="589" t="s">
        <v>255</v>
      </c>
      <c r="K358" s="537" t="s">
        <v>22</v>
      </c>
      <c r="L358" s="543" t="s">
        <v>255</v>
      </c>
      <c r="M358" s="633">
        <v>158000</v>
      </c>
    </row>
    <row r="359" spans="3:13" ht="19.5">
      <c r="C359">
        <v>2011</v>
      </c>
      <c r="D359" s="729">
        <v>40783</v>
      </c>
      <c r="E359" s="730">
        <v>0.29166666666666669</v>
      </c>
      <c r="F359" s="731">
        <v>40789</v>
      </c>
      <c r="G359" s="730">
        <v>6.9444444444444447E-4</v>
      </c>
      <c r="H359" s="537" t="s">
        <v>30</v>
      </c>
      <c r="I359" s="563" t="s">
        <v>61</v>
      </c>
      <c r="J359" s="589" t="s">
        <v>255</v>
      </c>
      <c r="K359" s="537" t="s">
        <v>22</v>
      </c>
      <c r="L359" s="543" t="s">
        <v>2130</v>
      </c>
      <c r="M359" s="633">
        <v>99700</v>
      </c>
    </row>
    <row r="360" spans="3:13" ht="19.5">
      <c r="C360">
        <v>2011</v>
      </c>
      <c r="D360" s="729">
        <v>40783</v>
      </c>
      <c r="E360" s="730">
        <v>0.20902777777777778</v>
      </c>
      <c r="F360" s="731">
        <v>40789</v>
      </c>
      <c r="G360" s="730">
        <v>0.20902777777777778</v>
      </c>
      <c r="H360" s="537" t="s">
        <v>2283</v>
      </c>
      <c r="I360" s="563" t="s">
        <v>61</v>
      </c>
      <c r="J360" s="589" t="s">
        <v>255</v>
      </c>
      <c r="K360" s="537" t="s">
        <v>22</v>
      </c>
      <c r="L360" s="543" t="s">
        <v>255</v>
      </c>
      <c r="M360" s="540">
        <v>50000</v>
      </c>
    </row>
    <row r="361" spans="3:13" ht="19.5">
      <c r="C361">
        <v>2011</v>
      </c>
      <c r="D361" s="729">
        <v>40783</v>
      </c>
      <c r="E361" s="730">
        <v>0.20833333333333334</v>
      </c>
      <c r="F361" s="731">
        <v>40785</v>
      </c>
      <c r="G361" s="730">
        <v>0.20833333333333334</v>
      </c>
      <c r="H361" s="537" t="s">
        <v>2284</v>
      </c>
      <c r="I361" s="563" t="s">
        <v>61</v>
      </c>
      <c r="J361" s="589" t="s">
        <v>255</v>
      </c>
      <c r="K361" s="537" t="s">
        <v>22</v>
      </c>
      <c r="L361" s="543" t="s">
        <v>2130</v>
      </c>
      <c r="M361" s="633">
        <v>152261</v>
      </c>
    </row>
    <row r="362" spans="3:13" ht="19.5">
      <c r="C362">
        <v>2011</v>
      </c>
      <c r="D362" s="729">
        <v>40783</v>
      </c>
      <c r="E362" s="730">
        <v>6.9444444444444447E-4</v>
      </c>
      <c r="F362" s="731">
        <v>40785</v>
      </c>
      <c r="G362" s="730">
        <v>6.9444444444444447E-4</v>
      </c>
      <c r="H362" s="537" t="s">
        <v>2285</v>
      </c>
      <c r="I362" s="563" t="s">
        <v>61</v>
      </c>
      <c r="J362" s="589" t="s">
        <v>255</v>
      </c>
      <c r="K362" s="537" t="s">
        <v>22</v>
      </c>
      <c r="L362" s="543" t="s">
        <v>255</v>
      </c>
      <c r="M362" s="633">
        <v>180000</v>
      </c>
    </row>
    <row r="363" spans="3:13" ht="19.5">
      <c r="C363">
        <v>2011</v>
      </c>
      <c r="D363" s="729">
        <v>40783</v>
      </c>
      <c r="E363" s="730">
        <v>0.12361111111111112</v>
      </c>
      <c r="F363" s="731">
        <v>40785</v>
      </c>
      <c r="G363" s="730">
        <v>0.12361111111111112</v>
      </c>
      <c r="H363" s="537" t="s">
        <v>2286</v>
      </c>
      <c r="I363" s="563" t="s">
        <v>826</v>
      </c>
      <c r="J363" s="589" t="s">
        <v>255</v>
      </c>
      <c r="K363" s="537" t="s">
        <v>22</v>
      </c>
      <c r="L363" s="537">
        <v>110</v>
      </c>
      <c r="M363" s="633">
        <v>284000</v>
      </c>
    </row>
    <row r="364" spans="3:13" ht="19.5">
      <c r="C364">
        <v>2011</v>
      </c>
      <c r="D364" s="729">
        <v>40783</v>
      </c>
      <c r="E364" s="730">
        <v>2.0833333333333332E-2</v>
      </c>
      <c r="F364" s="731">
        <v>40785</v>
      </c>
      <c r="G364" s="730">
        <v>2.0833333333333332E-2</v>
      </c>
      <c r="H364" s="537" t="s">
        <v>2287</v>
      </c>
      <c r="I364" s="563" t="s">
        <v>826</v>
      </c>
      <c r="J364" s="589" t="s">
        <v>255</v>
      </c>
      <c r="K364" s="537" t="s">
        <v>22</v>
      </c>
      <c r="L364" s="543" t="s">
        <v>255</v>
      </c>
      <c r="M364" s="633">
        <v>650000</v>
      </c>
    </row>
    <row r="365" spans="3:13" ht="19.5">
      <c r="C365">
        <v>2011</v>
      </c>
      <c r="D365" s="729">
        <v>40783</v>
      </c>
      <c r="E365" s="730">
        <v>1.5972222222222224E-2</v>
      </c>
      <c r="F365" s="731">
        <v>40785</v>
      </c>
      <c r="G365" s="730">
        <v>1.5972222222222224E-2</v>
      </c>
      <c r="H365" s="537" t="s">
        <v>2288</v>
      </c>
      <c r="I365" s="563" t="s">
        <v>826</v>
      </c>
      <c r="J365" s="589" t="s">
        <v>255</v>
      </c>
      <c r="K365" s="537" t="s">
        <v>22</v>
      </c>
      <c r="L365" s="537">
        <v>500</v>
      </c>
      <c r="M365" s="633">
        <v>665000</v>
      </c>
    </row>
    <row r="366" spans="3:13" ht="19.5">
      <c r="C366">
        <v>2011</v>
      </c>
      <c r="D366" s="729">
        <v>40783</v>
      </c>
      <c r="E366" s="730">
        <v>0.87152777777777779</v>
      </c>
      <c r="F366" s="731">
        <v>40783</v>
      </c>
      <c r="G366" s="730">
        <v>0.98541666666666661</v>
      </c>
      <c r="H366" s="537" t="s">
        <v>2289</v>
      </c>
      <c r="I366" s="563" t="s">
        <v>124</v>
      </c>
      <c r="J366" s="589" t="s">
        <v>255</v>
      </c>
      <c r="K366" s="537" t="s">
        <v>2150</v>
      </c>
      <c r="L366" s="537">
        <v>0</v>
      </c>
      <c r="M366" s="633">
        <v>0</v>
      </c>
    </row>
    <row r="367" spans="3:13" ht="19.5">
      <c r="C367">
        <v>2011</v>
      </c>
      <c r="D367" s="729">
        <v>40786</v>
      </c>
      <c r="E367" s="730">
        <v>0.53611111111111109</v>
      </c>
      <c r="F367" s="731">
        <v>40786</v>
      </c>
      <c r="G367" s="730">
        <v>0.53611111111111109</v>
      </c>
      <c r="H367" s="537" t="s">
        <v>1472</v>
      </c>
      <c r="I367" s="563" t="s">
        <v>826</v>
      </c>
      <c r="J367" s="589" t="s">
        <v>255</v>
      </c>
      <c r="K367" s="537" t="s">
        <v>2150</v>
      </c>
      <c r="L367" s="537">
        <v>0</v>
      </c>
      <c r="M367" s="633">
        <v>0</v>
      </c>
    </row>
    <row r="368" spans="3:13" ht="19.5">
      <c r="C368">
        <v>2011</v>
      </c>
      <c r="D368" s="729">
        <v>40787</v>
      </c>
      <c r="E368" s="730">
        <v>0.34236111111111112</v>
      </c>
      <c r="F368" s="731">
        <v>40787</v>
      </c>
      <c r="G368" s="730">
        <v>0.66666666666666663</v>
      </c>
      <c r="H368" s="537" t="s">
        <v>2290</v>
      </c>
      <c r="I368" s="563" t="s">
        <v>124</v>
      </c>
      <c r="J368" s="589" t="s">
        <v>255</v>
      </c>
      <c r="K368" s="541" t="s">
        <v>100</v>
      </c>
      <c r="L368" s="599" t="s">
        <v>255</v>
      </c>
      <c r="M368" s="635" t="s">
        <v>255</v>
      </c>
    </row>
    <row r="369" spans="3:13" ht="19.5">
      <c r="C369">
        <v>2011</v>
      </c>
      <c r="D369" s="729">
        <v>40789</v>
      </c>
      <c r="E369" s="730">
        <v>0.58333333333333337</v>
      </c>
      <c r="F369" s="731">
        <v>40794</v>
      </c>
      <c r="G369" s="730">
        <v>0.75</v>
      </c>
      <c r="H369" s="537" t="s">
        <v>2291</v>
      </c>
      <c r="I369" s="563" t="s">
        <v>826</v>
      </c>
      <c r="J369" s="589" t="s">
        <v>255</v>
      </c>
      <c r="K369" s="541" t="s">
        <v>22</v>
      </c>
      <c r="L369" s="599" t="s">
        <v>2130</v>
      </c>
      <c r="M369" s="635">
        <v>105000</v>
      </c>
    </row>
    <row r="370" spans="3:13" ht="19.5">
      <c r="C370">
        <v>2011</v>
      </c>
      <c r="D370" s="729">
        <v>40791</v>
      </c>
      <c r="E370" s="730">
        <v>0.6875</v>
      </c>
      <c r="F370" s="731">
        <v>40793</v>
      </c>
      <c r="G370" s="730">
        <v>0.65625</v>
      </c>
      <c r="H370" s="537" t="s">
        <v>2231</v>
      </c>
      <c r="I370" s="563" t="s">
        <v>63</v>
      </c>
      <c r="J370" s="589" t="s">
        <v>255</v>
      </c>
      <c r="K370" s="541" t="s">
        <v>22</v>
      </c>
      <c r="L370" s="599">
        <v>177</v>
      </c>
      <c r="M370" s="635">
        <v>53295</v>
      </c>
    </row>
    <row r="371" spans="3:13" ht="19.5">
      <c r="C371">
        <v>2011</v>
      </c>
      <c r="D371" s="729">
        <v>40793</v>
      </c>
      <c r="E371" s="730">
        <v>5.5555555555555558E-3</v>
      </c>
      <c r="F371" s="731">
        <v>40793</v>
      </c>
      <c r="G371" s="730">
        <v>0.4513888888888889</v>
      </c>
      <c r="H371" s="537" t="s">
        <v>2292</v>
      </c>
      <c r="I371" s="563" t="s">
        <v>61</v>
      </c>
      <c r="J371" s="589" t="s">
        <v>255</v>
      </c>
      <c r="K371" s="541" t="s">
        <v>2293</v>
      </c>
      <c r="L371" s="599">
        <v>0</v>
      </c>
      <c r="M371" s="635">
        <v>0</v>
      </c>
    </row>
    <row r="372" spans="3:13" ht="19.5">
      <c r="C372">
        <v>2011</v>
      </c>
      <c r="D372" s="729">
        <v>40794</v>
      </c>
      <c r="E372" s="730">
        <v>0.64444444444444449</v>
      </c>
      <c r="F372" s="731">
        <v>40796</v>
      </c>
      <c r="G372" s="730">
        <v>0.64583333333333337</v>
      </c>
      <c r="H372" s="537" t="s">
        <v>2294</v>
      </c>
      <c r="I372" s="563" t="s">
        <v>124</v>
      </c>
      <c r="J372" s="589" t="s">
        <v>255</v>
      </c>
      <c r="K372" s="541" t="s">
        <v>2295</v>
      </c>
      <c r="L372" s="599">
        <v>7000</v>
      </c>
      <c r="M372" s="635">
        <v>2000000</v>
      </c>
    </row>
    <row r="373" spans="3:13" ht="19.5">
      <c r="C373">
        <v>2011</v>
      </c>
      <c r="D373" s="729">
        <v>40794</v>
      </c>
      <c r="E373" s="730">
        <v>0.82847222222222217</v>
      </c>
      <c r="F373" s="731">
        <v>40795</v>
      </c>
      <c r="G373" s="730">
        <v>0.66666666666666663</v>
      </c>
      <c r="H373" s="537" t="s">
        <v>2296</v>
      </c>
      <c r="I373" s="563" t="s">
        <v>124</v>
      </c>
      <c r="J373" s="589" t="s">
        <v>255</v>
      </c>
      <c r="K373" s="541" t="s">
        <v>100</v>
      </c>
      <c r="L373" s="599" t="s">
        <v>255</v>
      </c>
      <c r="M373" s="635" t="s">
        <v>255</v>
      </c>
    </row>
    <row r="374" spans="3:13" ht="19.5">
      <c r="C374">
        <v>2011</v>
      </c>
      <c r="D374" s="729">
        <v>40798</v>
      </c>
      <c r="E374" s="730">
        <v>0.38541666666666669</v>
      </c>
      <c r="F374" s="731">
        <v>40798</v>
      </c>
      <c r="G374" s="730">
        <v>0.64583333333333337</v>
      </c>
      <c r="H374" s="537" t="s">
        <v>2297</v>
      </c>
      <c r="I374" s="563" t="s">
        <v>826</v>
      </c>
      <c r="J374" s="589" t="s">
        <v>255</v>
      </c>
      <c r="K374" s="541" t="s">
        <v>100</v>
      </c>
      <c r="L374" s="599">
        <v>0</v>
      </c>
      <c r="M374" s="635">
        <v>0</v>
      </c>
    </row>
    <row r="375" spans="3:13" ht="19.5">
      <c r="C375">
        <v>2011</v>
      </c>
      <c r="D375" s="729">
        <v>40799</v>
      </c>
      <c r="E375" s="730">
        <v>0.48819444444444443</v>
      </c>
      <c r="F375" s="731">
        <v>40800</v>
      </c>
      <c r="G375" s="730">
        <v>0.66666666666666663</v>
      </c>
      <c r="H375" s="537" t="s">
        <v>2298</v>
      </c>
      <c r="I375" s="563" t="s">
        <v>124</v>
      </c>
      <c r="J375" s="589" t="s">
        <v>255</v>
      </c>
      <c r="K375" s="541" t="s">
        <v>100</v>
      </c>
      <c r="L375" s="599" t="s">
        <v>255</v>
      </c>
      <c r="M375" s="635" t="s">
        <v>255</v>
      </c>
    </row>
    <row r="376" spans="3:13" ht="19.5">
      <c r="C376">
        <v>2011</v>
      </c>
      <c r="D376" s="729">
        <v>40799</v>
      </c>
      <c r="E376" s="730">
        <v>0.5854166666666667</v>
      </c>
      <c r="F376" s="731">
        <v>40799</v>
      </c>
      <c r="G376" s="730">
        <v>0.76458333333333339</v>
      </c>
      <c r="H376" s="537" t="s">
        <v>2299</v>
      </c>
      <c r="I376" s="563" t="s">
        <v>61</v>
      </c>
      <c r="J376" s="589" t="s">
        <v>255</v>
      </c>
      <c r="K376" s="541" t="s">
        <v>100</v>
      </c>
      <c r="L376" s="599" t="s">
        <v>255</v>
      </c>
      <c r="M376" s="636">
        <v>0</v>
      </c>
    </row>
    <row r="377" spans="3:13" ht="19.5">
      <c r="C377">
        <v>2011</v>
      </c>
      <c r="D377" s="729">
        <v>40800</v>
      </c>
      <c r="E377" s="730">
        <v>0.375</v>
      </c>
      <c r="F377" s="731">
        <v>40800</v>
      </c>
      <c r="G377" s="730">
        <v>0.58333333333333337</v>
      </c>
      <c r="H377" s="537" t="s">
        <v>2300</v>
      </c>
      <c r="I377" s="563" t="s">
        <v>124</v>
      </c>
      <c r="J377" s="589" t="s">
        <v>255</v>
      </c>
      <c r="K377" s="541" t="s">
        <v>100</v>
      </c>
      <c r="L377" s="599">
        <v>0</v>
      </c>
      <c r="M377" s="635">
        <v>0</v>
      </c>
    </row>
    <row r="378" spans="3:13" ht="19.5">
      <c r="C378">
        <v>2011</v>
      </c>
      <c r="D378" s="729">
        <v>40806</v>
      </c>
      <c r="E378" s="730">
        <v>0.53819444444444442</v>
      </c>
      <c r="F378" s="731">
        <v>40806</v>
      </c>
      <c r="G378" s="730">
        <v>0.70833333333333337</v>
      </c>
      <c r="H378" s="537" t="s">
        <v>2301</v>
      </c>
      <c r="I378" s="563" t="s">
        <v>124</v>
      </c>
      <c r="J378" s="589" t="s">
        <v>255</v>
      </c>
      <c r="K378" s="541" t="s">
        <v>100</v>
      </c>
      <c r="L378" s="599" t="s">
        <v>255</v>
      </c>
      <c r="M378" s="635" t="s">
        <v>255</v>
      </c>
    </row>
    <row r="379" spans="3:13" ht="19.5">
      <c r="C379">
        <v>2011</v>
      </c>
      <c r="D379" s="729">
        <v>40807</v>
      </c>
      <c r="E379" s="730">
        <v>0.4375</v>
      </c>
      <c r="F379" s="731">
        <v>40807</v>
      </c>
      <c r="G379" s="730">
        <v>0.4375</v>
      </c>
      <c r="H379" s="537" t="s">
        <v>2124</v>
      </c>
      <c r="I379" s="563" t="s">
        <v>826</v>
      </c>
      <c r="J379" s="589" t="s">
        <v>255</v>
      </c>
      <c r="K379" s="541" t="s">
        <v>2150</v>
      </c>
      <c r="L379" s="599">
        <v>0</v>
      </c>
      <c r="M379" s="635">
        <v>0</v>
      </c>
    </row>
    <row r="380" spans="3:13" ht="19.5">
      <c r="C380">
        <v>2011</v>
      </c>
      <c r="D380" s="729">
        <v>40807</v>
      </c>
      <c r="E380" s="730">
        <v>0.60902777777777783</v>
      </c>
      <c r="F380" s="731">
        <v>40807</v>
      </c>
      <c r="G380" s="730">
        <v>0.65763888888888888</v>
      </c>
      <c r="H380" s="537" t="s">
        <v>2271</v>
      </c>
      <c r="I380" s="563" t="s">
        <v>255</v>
      </c>
      <c r="J380" s="589" t="s">
        <v>255</v>
      </c>
      <c r="K380" s="541" t="s">
        <v>2302</v>
      </c>
      <c r="L380" s="599">
        <v>600</v>
      </c>
      <c r="M380" s="635">
        <v>319616</v>
      </c>
    </row>
    <row r="381" spans="3:13" ht="19.5">
      <c r="C381">
        <v>2011</v>
      </c>
      <c r="D381" s="729">
        <v>40808</v>
      </c>
      <c r="E381" s="730">
        <v>0.61805555555555558</v>
      </c>
      <c r="F381" s="731">
        <v>40808</v>
      </c>
      <c r="G381" s="730">
        <v>0.61875000000000002</v>
      </c>
      <c r="H381" s="537" t="s">
        <v>2303</v>
      </c>
      <c r="I381" s="563" t="s">
        <v>826</v>
      </c>
      <c r="J381" s="589" t="s">
        <v>255</v>
      </c>
      <c r="K381" s="541" t="s">
        <v>100</v>
      </c>
      <c r="L381" s="599" t="s">
        <v>255</v>
      </c>
      <c r="M381" s="636">
        <v>0</v>
      </c>
    </row>
    <row r="382" spans="3:13" ht="19.5">
      <c r="C382">
        <v>2011</v>
      </c>
      <c r="D382" s="729">
        <v>40809</v>
      </c>
      <c r="E382" s="730">
        <v>0.37777777777777777</v>
      </c>
      <c r="F382" s="731">
        <v>40809</v>
      </c>
      <c r="G382" s="730">
        <v>0.37777777777777777</v>
      </c>
      <c r="H382" s="537" t="s">
        <v>2304</v>
      </c>
      <c r="I382" s="563" t="s">
        <v>61</v>
      </c>
      <c r="J382" s="589" t="s">
        <v>255</v>
      </c>
      <c r="K382" s="541" t="s">
        <v>100</v>
      </c>
      <c r="L382" s="599">
        <v>0</v>
      </c>
      <c r="M382" s="635">
        <v>0</v>
      </c>
    </row>
    <row r="383" spans="3:13" ht="19.5">
      <c r="C383">
        <v>2011</v>
      </c>
      <c r="D383" s="729">
        <v>40810</v>
      </c>
      <c r="E383" s="730">
        <v>0.67847222222222225</v>
      </c>
      <c r="F383" s="731">
        <v>40811</v>
      </c>
      <c r="G383" s="730">
        <v>0.66666666666666663</v>
      </c>
      <c r="H383" s="537" t="s">
        <v>2296</v>
      </c>
      <c r="I383" s="563" t="s">
        <v>124</v>
      </c>
      <c r="J383" s="589" t="s">
        <v>255</v>
      </c>
      <c r="K383" s="541" t="s">
        <v>100</v>
      </c>
      <c r="L383" s="599" t="s">
        <v>255</v>
      </c>
      <c r="M383" s="635" t="s">
        <v>255</v>
      </c>
    </row>
    <row r="384" spans="3:13" ht="19.5">
      <c r="C384">
        <v>2011</v>
      </c>
      <c r="D384" s="729">
        <v>40812</v>
      </c>
      <c r="E384" s="730">
        <v>0.42708333333333331</v>
      </c>
      <c r="F384" s="731">
        <v>40812</v>
      </c>
      <c r="G384" s="730">
        <v>0.42708333333333331</v>
      </c>
      <c r="H384" s="537" t="s">
        <v>2305</v>
      </c>
      <c r="I384" s="563" t="s">
        <v>826</v>
      </c>
      <c r="J384" s="589" t="s">
        <v>255</v>
      </c>
      <c r="K384" s="541" t="s">
        <v>100</v>
      </c>
      <c r="L384" s="599">
        <v>0</v>
      </c>
      <c r="M384" s="635">
        <v>0</v>
      </c>
    </row>
    <row r="385" spans="3:13" ht="19.5">
      <c r="C385">
        <v>2011</v>
      </c>
      <c r="D385" s="729">
        <v>40815</v>
      </c>
      <c r="E385" s="730">
        <v>0.20833333333333334</v>
      </c>
      <c r="F385" s="731">
        <v>40816</v>
      </c>
      <c r="G385" s="730">
        <v>0.25</v>
      </c>
      <c r="H385" s="537" t="s">
        <v>2306</v>
      </c>
      <c r="I385" s="563" t="s">
        <v>1352</v>
      </c>
      <c r="J385" s="589" t="s">
        <v>255</v>
      </c>
      <c r="K385" s="541" t="s">
        <v>22</v>
      </c>
      <c r="L385" s="599" t="s">
        <v>255</v>
      </c>
      <c r="M385" s="636">
        <v>65000</v>
      </c>
    </row>
    <row r="386" spans="3:13" ht="19.5">
      <c r="C386">
        <v>2011</v>
      </c>
      <c r="D386" s="729">
        <v>40814</v>
      </c>
      <c r="E386" s="730">
        <v>0.39583333333333331</v>
      </c>
      <c r="F386" s="731">
        <v>40814</v>
      </c>
      <c r="G386" s="730">
        <v>0.54166666666666663</v>
      </c>
      <c r="H386" s="537" t="s">
        <v>2307</v>
      </c>
      <c r="I386" s="563" t="s">
        <v>61</v>
      </c>
      <c r="J386" s="589" t="s">
        <v>255</v>
      </c>
      <c r="K386" s="541" t="s">
        <v>100</v>
      </c>
      <c r="L386" s="599" t="s">
        <v>255</v>
      </c>
      <c r="M386" s="635" t="s">
        <v>255</v>
      </c>
    </row>
    <row r="387" spans="3:13" ht="19.5">
      <c r="C387">
        <v>2011</v>
      </c>
      <c r="D387" s="729">
        <v>40814</v>
      </c>
      <c r="E387" s="730">
        <v>0.62430555555555556</v>
      </c>
      <c r="F387" s="731">
        <v>40814</v>
      </c>
      <c r="G387" s="730">
        <v>0.62430555555555556</v>
      </c>
      <c r="H387" s="537" t="s">
        <v>2308</v>
      </c>
      <c r="I387" s="563" t="s">
        <v>826</v>
      </c>
      <c r="J387" s="589" t="s">
        <v>255</v>
      </c>
      <c r="K387" s="541" t="s">
        <v>100</v>
      </c>
      <c r="L387" s="563">
        <v>0</v>
      </c>
      <c r="M387" s="635">
        <v>0</v>
      </c>
    </row>
    <row r="388" spans="3:13" ht="19.5">
      <c r="C388">
        <v>2011</v>
      </c>
      <c r="D388" s="729">
        <v>40814</v>
      </c>
      <c r="E388" s="730">
        <v>0.69513888888888886</v>
      </c>
      <c r="F388" s="731">
        <v>40814</v>
      </c>
      <c r="G388" s="730">
        <v>0.69513888888888886</v>
      </c>
      <c r="H388" s="537" t="s">
        <v>2309</v>
      </c>
      <c r="I388" s="563" t="s">
        <v>826</v>
      </c>
      <c r="J388" s="589" t="s">
        <v>255</v>
      </c>
      <c r="K388" s="541" t="s">
        <v>2150</v>
      </c>
      <c r="L388" s="563">
        <v>0</v>
      </c>
      <c r="M388" s="635">
        <v>0</v>
      </c>
    </row>
    <row r="389" spans="3:13" ht="19.5">
      <c r="C389">
        <v>2011</v>
      </c>
      <c r="D389" s="729">
        <v>40815</v>
      </c>
      <c r="E389" s="730">
        <v>0.78055555555555556</v>
      </c>
      <c r="F389" s="731">
        <v>40816</v>
      </c>
      <c r="G389" s="730">
        <v>0.66666666666666663</v>
      </c>
      <c r="H389" s="537" t="s">
        <v>2296</v>
      </c>
      <c r="I389" s="563" t="s">
        <v>124</v>
      </c>
      <c r="J389" s="589" t="s">
        <v>255</v>
      </c>
      <c r="K389" s="541" t="s">
        <v>100</v>
      </c>
      <c r="L389" s="599" t="s">
        <v>255</v>
      </c>
      <c r="M389" s="635" t="s">
        <v>255</v>
      </c>
    </row>
    <row r="390" spans="3:13" ht="20.25" thickBot="1">
      <c r="C390">
        <v>2011</v>
      </c>
      <c r="D390" s="729">
        <v>40816</v>
      </c>
      <c r="E390" s="730">
        <v>0.34861111111111115</v>
      </c>
      <c r="F390" s="731">
        <v>40816</v>
      </c>
      <c r="G390" s="730">
        <v>0.34861111111111115</v>
      </c>
      <c r="H390" s="569" t="s">
        <v>2310</v>
      </c>
      <c r="I390" s="564" t="s">
        <v>826</v>
      </c>
      <c r="J390" s="589" t="s">
        <v>255</v>
      </c>
      <c r="K390" s="574" t="s">
        <v>2150</v>
      </c>
      <c r="L390" s="564">
        <v>0</v>
      </c>
      <c r="M390" s="637">
        <v>0</v>
      </c>
    </row>
    <row r="391" spans="3:13" ht="19.5">
      <c r="C391">
        <v>2011</v>
      </c>
      <c r="D391" s="729">
        <v>40822</v>
      </c>
      <c r="E391" s="730">
        <v>0.46319444444444446</v>
      </c>
      <c r="F391" s="731">
        <v>40822</v>
      </c>
      <c r="G391" s="730">
        <v>0.46319444444444446</v>
      </c>
      <c r="H391" s="537" t="s">
        <v>2311</v>
      </c>
      <c r="I391" s="563" t="s">
        <v>124</v>
      </c>
      <c r="J391" s="589" t="s">
        <v>255</v>
      </c>
      <c r="K391" s="541" t="s">
        <v>100</v>
      </c>
      <c r="L391" s="563">
        <v>0</v>
      </c>
      <c r="M391" s="635">
        <v>0</v>
      </c>
    </row>
    <row r="392" spans="3:13" ht="19.5">
      <c r="C392">
        <v>2011</v>
      </c>
      <c r="D392" s="729">
        <v>40823</v>
      </c>
      <c r="E392" s="730">
        <v>0.33611111111111108</v>
      </c>
      <c r="F392" s="731">
        <v>40823</v>
      </c>
      <c r="G392" s="730">
        <v>0.66666666666666663</v>
      </c>
      <c r="H392" s="537" t="s">
        <v>2312</v>
      </c>
      <c r="I392" s="563" t="s">
        <v>124</v>
      </c>
      <c r="J392" s="589" t="s">
        <v>255</v>
      </c>
      <c r="K392" s="541" t="s">
        <v>2150</v>
      </c>
      <c r="L392" s="563" t="s">
        <v>255</v>
      </c>
      <c r="M392" s="635" t="s">
        <v>255</v>
      </c>
    </row>
    <row r="393" spans="3:13" ht="19.5">
      <c r="C393">
        <v>2011</v>
      </c>
      <c r="D393" s="729">
        <v>40830</v>
      </c>
      <c r="E393" s="730">
        <v>0.59722222222222221</v>
      </c>
      <c r="F393" s="731">
        <v>40830</v>
      </c>
      <c r="G393" s="730">
        <v>0.59722222222222221</v>
      </c>
      <c r="H393" s="537" t="s">
        <v>2297</v>
      </c>
      <c r="I393" s="563" t="s">
        <v>826</v>
      </c>
      <c r="J393" s="589" t="s">
        <v>255</v>
      </c>
      <c r="K393" s="541" t="s">
        <v>100</v>
      </c>
      <c r="L393" s="563">
        <v>0</v>
      </c>
      <c r="M393" s="635">
        <v>0</v>
      </c>
    </row>
    <row r="394" spans="3:13" ht="19.5">
      <c r="C394">
        <v>2011</v>
      </c>
      <c r="D394" s="729">
        <v>40833</v>
      </c>
      <c r="E394" s="730">
        <v>0.14861111111111111</v>
      </c>
      <c r="F394" s="731">
        <v>40833</v>
      </c>
      <c r="G394" s="730">
        <v>0.4458333333333333</v>
      </c>
      <c r="H394" s="537" t="s">
        <v>2313</v>
      </c>
      <c r="I394" s="563" t="s">
        <v>826</v>
      </c>
      <c r="J394" s="589" t="s">
        <v>255</v>
      </c>
      <c r="K394" s="541" t="s">
        <v>100</v>
      </c>
      <c r="L394" s="563">
        <v>0</v>
      </c>
      <c r="M394" s="635">
        <v>0</v>
      </c>
    </row>
    <row r="395" spans="3:13" ht="19.5">
      <c r="C395">
        <v>2011</v>
      </c>
      <c r="D395" s="729">
        <v>40833</v>
      </c>
      <c r="E395" s="730">
        <v>0.65555555555555556</v>
      </c>
      <c r="F395" s="731">
        <v>40833</v>
      </c>
      <c r="G395" s="730">
        <v>0.65555555555555556</v>
      </c>
      <c r="H395" s="537" t="s">
        <v>1472</v>
      </c>
      <c r="I395" s="563" t="s">
        <v>826</v>
      </c>
      <c r="J395" s="589" t="s">
        <v>255</v>
      </c>
      <c r="K395" s="541" t="s">
        <v>100</v>
      </c>
      <c r="L395" s="563">
        <v>7</v>
      </c>
      <c r="M395" s="635">
        <v>2000</v>
      </c>
    </row>
    <row r="396" spans="3:13" ht="19.5">
      <c r="C396">
        <v>2011</v>
      </c>
      <c r="D396" s="729">
        <v>40834</v>
      </c>
      <c r="E396" s="730">
        <v>0.15625</v>
      </c>
      <c r="F396" s="731">
        <v>40834</v>
      </c>
      <c r="G396" s="730">
        <v>0.22569444444444445</v>
      </c>
      <c r="H396" s="537" t="s">
        <v>2314</v>
      </c>
      <c r="I396" s="563" t="s">
        <v>826</v>
      </c>
      <c r="J396" s="589" t="s">
        <v>255</v>
      </c>
      <c r="K396" s="541" t="s">
        <v>2150</v>
      </c>
      <c r="L396" s="563">
        <v>0</v>
      </c>
      <c r="M396" s="635">
        <v>0</v>
      </c>
    </row>
    <row r="397" spans="3:13" ht="19.5">
      <c r="C397">
        <v>2011</v>
      </c>
      <c r="D397" s="729">
        <v>40836</v>
      </c>
      <c r="E397" s="730">
        <v>0.30208333333333331</v>
      </c>
      <c r="F397" s="731">
        <v>40836</v>
      </c>
      <c r="G397" s="730">
        <v>0.30208333333333331</v>
      </c>
      <c r="H397" s="537" t="s">
        <v>2315</v>
      </c>
      <c r="I397" s="563" t="s">
        <v>826</v>
      </c>
      <c r="J397" s="589" t="s">
        <v>255</v>
      </c>
      <c r="K397" s="541" t="s">
        <v>100</v>
      </c>
      <c r="L397" s="563">
        <v>0</v>
      </c>
      <c r="M397" s="635">
        <v>0</v>
      </c>
    </row>
    <row r="398" spans="3:13" ht="19.5">
      <c r="C398">
        <v>2011</v>
      </c>
      <c r="D398" s="729">
        <v>40840</v>
      </c>
      <c r="E398" s="730">
        <v>0.98402777777777783</v>
      </c>
      <c r="F398" s="731">
        <v>40842</v>
      </c>
      <c r="G398" s="730">
        <v>0.95833333333333337</v>
      </c>
      <c r="H398" s="537" t="s">
        <v>2314</v>
      </c>
      <c r="I398" s="563" t="s">
        <v>826</v>
      </c>
      <c r="J398" s="589" t="s">
        <v>255</v>
      </c>
      <c r="K398" s="541" t="s">
        <v>2150</v>
      </c>
      <c r="L398" s="563">
        <v>0</v>
      </c>
      <c r="M398" s="635">
        <v>0</v>
      </c>
    </row>
    <row r="399" spans="3:13" ht="19.5">
      <c r="C399">
        <v>2011</v>
      </c>
      <c r="D399" s="729">
        <v>40842</v>
      </c>
      <c r="E399" s="730">
        <v>0.20833333333333334</v>
      </c>
      <c r="F399" s="731">
        <v>40843</v>
      </c>
      <c r="G399" s="730">
        <v>0.625</v>
      </c>
      <c r="H399" s="537" t="s">
        <v>2316</v>
      </c>
      <c r="I399" s="563" t="s">
        <v>124</v>
      </c>
      <c r="J399" s="589" t="s">
        <v>255</v>
      </c>
      <c r="K399" s="541" t="s">
        <v>22</v>
      </c>
      <c r="L399" s="563" t="s">
        <v>2130</v>
      </c>
      <c r="M399" s="635">
        <v>204000</v>
      </c>
    </row>
    <row r="400" spans="3:13" ht="19.5">
      <c r="C400">
        <v>2011</v>
      </c>
      <c r="D400" s="729">
        <v>40843</v>
      </c>
      <c r="E400" s="730">
        <v>4.1666666666666664E-2</v>
      </c>
      <c r="F400" s="731">
        <v>40843</v>
      </c>
      <c r="G400" s="730">
        <v>0.10833333333333334</v>
      </c>
      <c r="H400" s="537" t="s">
        <v>2317</v>
      </c>
      <c r="I400" s="563" t="s">
        <v>826</v>
      </c>
      <c r="J400" s="589" t="s">
        <v>255</v>
      </c>
      <c r="K400" s="541" t="s">
        <v>100</v>
      </c>
      <c r="L400" s="563" t="s">
        <v>255</v>
      </c>
      <c r="M400" s="635" t="s">
        <v>255</v>
      </c>
    </row>
    <row r="401" spans="3:13" ht="19.5">
      <c r="C401">
        <v>2011</v>
      </c>
      <c r="D401" s="729">
        <v>40845</v>
      </c>
      <c r="E401" s="730">
        <v>0.3743055555555555</v>
      </c>
      <c r="F401" s="731">
        <v>40854</v>
      </c>
      <c r="G401" s="730">
        <v>0.83194444444444438</v>
      </c>
      <c r="H401" s="537" t="s">
        <v>171</v>
      </c>
      <c r="I401" s="563" t="s">
        <v>826</v>
      </c>
      <c r="J401" s="589" t="s">
        <v>255</v>
      </c>
      <c r="K401" s="541" t="s">
        <v>22</v>
      </c>
      <c r="L401" s="563" t="s">
        <v>2130</v>
      </c>
      <c r="M401" s="635">
        <v>312359</v>
      </c>
    </row>
    <row r="402" spans="3:13" ht="19.5">
      <c r="C402">
        <v>2011</v>
      </c>
      <c r="D402" s="729">
        <v>40845</v>
      </c>
      <c r="E402" s="730">
        <v>0.3743055555555555</v>
      </c>
      <c r="F402" s="731">
        <v>40854</v>
      </c>
      <c r="G402" s="730">
        <v>0.625</v>
      </c>
      <c r="H402" s="537" t="s">
        <v>171</v>
      </c>
      <c r="I402" s="563" t="s">
        <v>826</v>
      </c>
      <c r="J402" s="589" t="s">
        <v>255</v>
      </c>
      <c r="K402" s="541" t="s">
        <v>22</v>
      </c>
      <c r="L402" s="563" t="s">
        <v>2130</v>
      </c>
      <c r="M402" s="635">
        <v>50000</v>
      </c>
    </row>
    <row r="403" spans="3:13" ht="19.5">
      <c r="C403">
        <v>2011</v>
      </c>
      <c r="D403" s="729">
        <v>40845</v>
      </c>
      <c r="E403" s="730">
        <v>0.41597222222222219</v>
      </c>
      <c r="F403" s="731">
        <v>40854</v>
      </c>
      <c r="G403" s="730">
        <v>0.54166666666666663</v>
      </c>
      <c r="H403" s="537" t="s">
        <v>2318</v>
      </c>
      <c r="I403" s="563" t="s">
        <v>826</v>
      </c>
      <c r="J403" s="589" t="s">
        <v>255</v>
      </c>
      <c r="K403" s="541" t="s">
        <v>22</v>
      </c>
      <c r="L403" s="563" t="s">
        <v>2130</v>
      </c>
      <c r="M403" s="635">
        <v>379000</v>
      </c>
    </row>
    <row r="404" spans="3:13" ht="19.5">
      <c r="C404">
        <v>2011</v>
      </c>
      <c r="D404" s="729">
        <v>40845</v>
      </c>
      <c r="E404" s="730">
        <v>0.47083333333333338</v>
      </c>
      <c r="F404" s="731">
        <v>40851</v>
      </c>
      <c r="G404" s="730">
        <v>0</v>
      </c>
      <c r="H404" s="537" t="s">
        <v>2319</v>
      </c>
      <c r="I404" s="563" t="s">
        <v>61</v>
      </c>
      <c r="J404" s="589" t="s">
        <v>255</v>
      </c>
      <c r="K404" s="541" t="s">
        <v>22</v>
      </c>
      <c r="L404" s="563" t="s">
        <v>2130</v>
      </c>
      <c r="M404" s="635">
        <v>161151</v>
      </c>
    </row>
    <row r="405" spans="3:13" ht="19.5">
      <c r="C405">
        <v>2011</v>
      </c>
      <c r="D405" s="729">
        <v>40845</v>
      </c>
      <c r="E405" s="730">
        <v>0.5395833333333333</v>
      </c>
      <c r="F405" s="731">
        <v>40850</v>
      </c>
      <c r="G405" s="730">
        <v>0.95833333333333337</v>
      </c>
      <c r="H405" s="537" t="s">
        <v>2320</v>
      </c>
      <c r="I405" s="563" t="s">
        <v>826</v>
      </c>
      <c r="J405" s="589" t="s">
        <v>255</v>
      </c>
      <c r="K405" s="541" t="s">
        <v>22</v>
      </c>
      <c r="L405" s="563" t="s">
        <v>2130</v>
      </c>
      <c r="M405" s="635">
        <v>146721</v>
      </c>
    </row>
    <row r="406" spans="3:13" ht="19.5">
      <c r="C406">
        <v>2011</v>
      </c>
      <c r="D406" s="729">
        <v>40845</v>
      </c>
      <c r="E406" s="730">
        <v>0.58333333333333337</v>
      </c>
      <c r="F406" s="731">
        <v>40847</v>
      </c>
      <c r="G406" s="730">
        <v>0.58333333333333337</v>
      </c>
      <c r="H406" s="537" t="s">
        <v>2321</v>
      </c>
      <c r="I406" s="563" t="s">
        <v>826</v>
      </c>
      <c r="J406" s="589" t="s">
        <v>255</v>
      </c>
      <c r="K406" s="541" t="s">
        <v>22</v>
      </c>
      <c r="L406" s="563" t="s">
        <v>2130</v>
      </c>
      <c r="M406" s="635">
        <v>109335</v>
      </c>
    </row>
    <row r="407" spans="3:13" ht="19.5">
      <c r="C407">
        <v>2011</v>
      </c>
      <c r="D407" s="729">
        <v>40845</v>
      </c>
      <c r="E407" s="730">
        <v>0.60416666666666663</v>
      </c>
      <c r="F407" s="731">
        <v>40853</v>
      </c>
      <c r="G407" s="730">
        <v>0.5</v>
      </c>
      <c r="H407" s="537" t="s">
        <v>2288</v>
      </c>
      <c r="I407" s="563" t="s">
        <v>826</v>
      </c>
      <c r="J407" s="589" t="s">
        <v>255</v>
      </c>
      <c r="K407" s="541" t="s">
        <v>22</v>
      </c>
      <c r="L407" s="563">
        <v>125</v>
      </c>
      <c r="M407" s="635">
        <v>197000</v>
      </c>
    </row>
    <row r="408" spans="3:13" ht="19.5">
      <c r="C408">
        <v>2011</v>
      </c>
      <c r="D408" s="729">
        <v>40845</v>
      </c>
      <c r="E408" s="730">
        <v>0.625</v>
      </c>
      <c r="F408" s="731">
        <v>40849</v>
      </c>
      <c r="G408" s="730">
        <v>0.34375</v>
      </c>
      <c r="H408" s="537" t="s">
        <v>2322</v>
      </c>
      <c r="I408" s="563" t="s">
        <v>61</v>
      </c>
      <c r="J408" s="589" t="s">
        <v>255</v>
      </c>
      <c r="K408" s="541" t="s">
        <v>22</v>
      </c>
      <c r="L408" s="563" t="s">
        <v>255</v>
      </c>
      <c r="M408" s="635">
        <v>145000</v>
      </c>
    </row>
    <row r="409" spans="3:13" ht="19.5">
      <c r="C409">
        <v>2011</v>
      </c>
      <c r="D409" s="729">
        <v>40845</v>
      </c>
      <c r="E409" s="730">
        <v>0.67638888888888893</v>
      </c>
      <c r="F409" s="731">
        <v>40854</v>
      </c>
      <c r="G409" s="730">
        <v>0.66666666666666663</v>
      </c>
      <c r="H409" s="537" t="s">
        <v>2323</v>
      </c>
      <c r="I409" s="563" t="s">
        <v>61</v>
      </c>
      <c r="J409" s="589" t="s">
        <v>255</v>
      </c>
      <c r="K409" s="541" t="s">
        <v>22</v>
      </c>
      <c r="L409" s="563" t="s">
        <v>2130</v>
      </c>
      <c r="M409" s="635">
        <v>1418100</v>
      </c>
    </row>
    <row r="410" spans="3:13" ht="19.5">
      <c r="C410">
        <v>2011</v>
      </c>
      <c r="D410" s="729">
        <v>40845</v>
      </c>
      <c r="E410" s="730">
        <v>0.6777777777777777</v>
      </c>
      <c r="F410" s="731">
        <v>40849</v>
      </c>
      <c r="G410" s="730">
        <v>0.89583333333333337</v>
      </c>
      <c r="H410" s="537" t="s">
        <v>2324</v>
      </c>
      <c r="I410" s="563" t="s">
        <v>61</v>
      </c>
      <c r="J410" s="589" t="s">
        <v>255</v>
      </c>
      <c r="K410" s="541" t="s">
        <v>22</v>
      </c>
      <c r="L410" s="563" t="s">
        <v>2130</v>
      </c>
      <c r="M410" s="635">
        <v>50000</v>
      </c>
    </row>
    <row r="411" spans="3:13" ht="19.5">
      <c r="C411">
        <v>2011</v>
      </c>
      <c r="D411" s="729">
        <v>40845</v>
      </c>
      <c r="E411" s="730">
        <v>0.83333333333333337</v>
      </c>
      <c r="F411" s="731">
        <v>40847</v>
      </c>
      <c r="G411" s="730">
        <v>0.83333333333333337</v>
      </c>
      <c r="H411" s="537" t="s">
        <v>2325</v>
      </c>
      <c r="I411" s="563" t="s">
        <v>2326</v>
      </c>
      <c r="J411" s="589" t="s">
        <v>255</v>
      </c>
      <c r="K411" s="541" t="s">
        <v>22</v>
      </c>
      <c r="L411" s="563" t="s">
        <v>255</v>
      </c>
      <c r="M411" s="635">
        <v>74000</v>
      </c>
    </row>
    <row r="412" spans="3:13" ht="19.5">
      <c r="C412">
        <v>2011</v>
      </c>
      <c r="D412" s="729">
        <v>40851</v>
      </c>
      <c r="E412" s="730">
        <v>0.44861111111111113</v>
      </c>
      <c r="F412" s="731">
        <v>40851</v>
      </c>
      <c r="G412" s="730">
        <v>0.44861111111111113</v>
      </c>
      <c r="H412" s="541" t="s">
        <v>2327</v>
      </c>
      <c r="I412" s="563" t="s">
        <v>124</v>
      </c>
      <c r="J412" s="589" t="s">
        <v>255</v>
      </c>
      <c r="K412" s="541" t="s">
        <v>100</v>
      </c>
      <c r="L412" s="563">
        <v>0</v>
      </c>
      <c r="M412" s="636">
        <v>0</v>
      </c>
    </row>
    <row r="413" spans="3:13" ht="19.5">
      <c r="C413">
        <v>2011</v>
      </c>
      <c r="D413" s="729">
        <v>40860</v>
      </c>
      <c r="E413" s="730">
        <v>0.47916666666666669</v>
      </c>
      <c r="F413" s="731">
        <v>40860</v>
      </c>
      <c r="G413" s="730">
        <v>0.5</v>
      </c>
      <c r="H413" s="541" t="s">
        <v>2328</v>
      </c>
      <c r="I413" s="563" t="s">
        <v>61</v>
      </c>
      <c r="J413" s="589" t="s">
        <v>255</v>
      </c>
      <c r="K413" s="541" t="s">
        <v>100</v>
      </c>
      <c r="L413" s="563">
        <v>0</v>
      </c>
      <c r="M413" s="636">
        <v>0</v>
      </c>
    </row>
    <row r="414" spans="3:13" ht="19.5">
      <c r="C414">
        <v>2011</v>
      </c>
      <c r="D414" s="729">
        <v>40861</v>
      </c>
      <c r="E414" s="730">
        <v>0.6</v>
      </c>
      <c r="F414" s="731">
        <v>40861</v>
      </c>
      <c r="G414" s="730">
        <v>0.6</v>
      </c>
      <c r="H414" s="541" t="s">
        <v>2315</v>
      </c>
      <c r="I414" s="563" t="s">
        <v>826</v>
      </c>
      <c r="J414" s="589" t="s">
        <v>255</v>
      </c>
      <c r="K414" s="541" t="s">
        <v>100</v>
      </c>
      <c r="L414" s="563">
        <v>0</v>
      </c>
      <c r="M414" s="636">
        <v>0</v>
      </c>
    </row>
    <row r="415" spans="3:13" ht="19.5">
      <c r="C415">
        <v>2011</v>
      </c>
      <c r="D415" s="729">
        <v>40869</v>
      </c>
      <c r="E415" s="730">
        <v>0.96944444444444444</v>
      </c>
      <c r="F415" s="731">
        <v>40869</v>
      </c>
      <c r="G415" s="730">
        <v>0.96944444444444444</v>
      </c>
      <c r="H415" s="541" t="s">
        <v>1470</v>
      </c>
      <c r="I415" s="563" t="s">
        <v>826</v>
      </c>
      <c r="J415" s="589" t="s">
        <v>255</v>
      </c>
      <c r="K415" s="541" t="s">
        <v>2150</v>
      </c>
      <c r="L415" s="563">
        <v>0</v>
      </c>
      <c r="M415" s="636">
        <v>0</v>
      </c>
    </row>
    <row r="416" spans="3:13" ht="19.5">
      <c r="C416">
        <v>2011</v>
      </c>
      <c r="D416" s="729">
        <v>40877</v>
      </c>
      <c r="E416" s="730">
        <v>0.41666666666666669</v>
      </c>
      <c r="F416" s="731">
        <v>40877</v>
      </c>
      <c r="G416" s="730">
        <v>0.45833333333333331</v>
      </c>
      <c r="H416" s="541" t="s">
        <v>2329</v>
      </c>
      <c r="I416" s="563" t="s">
        <v>124</v>
      </c>
      <c r="J416" s="589" t="s">
        <v>255</v>
      </c>
      <c r="K416" s="541" t="s">
        <v>100</v>
      </c>
      <c r="L416" s="563">
        <v>0</v>
      </c>
      <c r="M416" s="636">
        <v>0</v>
      </c>
    </row>
    <row r="417" spans="3:13" ht="19.5">
      <c r="C417">
        <v>2011</v>
      </c>
      <c r="D417" s="729">
        <v>40877</v>
      </c>
      <c r="E417" s="730">
        <v>0.7055555555555556</v>
      </c>
      <c r="F417" s="731">
        <v>40879</v>
      </c>
      <c r="G417" s="730">
        <v>0.41666666666666669</v>
      </c>
      <c r="H417" s="541" t="s">
        <v>1106</v>
      </c>
      <c r="I417" s="563" t="s">
        <v>124</v>
      </c>
      <c r="J417" s="589" t="s">
        <v>255</v>
      </c>
      <c r="K417" s="541" t="s">
        <v>22</v>
      </c>
      <c r="L417" s="563" t="s">
        <v>2130</v>
      </c>
      <c r="M417" s="635">
        <v>150000</v>
      </c>
    </row>
    <row r="418" spans="3:13" ht="19.5">
      <c r="C418">
        <v>2011</v>
      </c>
      <c r="D418" s="729">
        <v>40878</v>
      </c>
      <c r="E418" s="730">
        <v>3.125E-2</v>
      </c>
      <c r="F418" s="731">
        <v>40884</v>
      </c>
      <c r="G418" s="730">
        <v>0.875</v>
      </c>
      <c r="H418" s="541" t="s">
        <v>703</v>
      </c>
      <c r="I418" s="563" t="s">
        <v>124</v>
      </c>
      <c r="J418" s="589" t="s">
        <v>255</v>
      </c>
      <c r="K418" s="541" t="s">
        <v>22</v>
      </c>
      <c r="L418" s="599" t="s">
        <v>2130</v>
      </c>
      <c r="M418" s="635">
        <v>91690</v>
      </c>
    </row>
    <row r="419" spans="3:13" ht="19.5">
      <c r="C419">
        <v>2011</v>
      </c>
      <c r="D419" s="729">
        <v>40878</v>
      </c>
      <c r="E419" s="730">
        <v>0.1451388888888889</v>
      </c>
      <c r="F419" s="731">
        <v>40879</v>
      </c>
      <c r="G419" s="730">
        <v>0.54513888888888895</v>
      </c>
      <c r="H419" s="541" t="s">
        <v>141</v>
      </c>
      <c r="I419" s="563" t="s">
        <v>124</v>
      </c>
      <c r="J419" s="589" t="s">
        <v>255</v>
      </c>
      <c r="K419" s="541" t="s">
        <v>22</v>
      </c>
      <c r="L419" s="563">
        <v>300</v>
      </c>
      <c r="M419" s="635">
        <v>100000</v>
      </c>
    </row>
    <row r="420" spans="3:13" ht="19.5">
      <c r="C420">
        <v>2011</v>
      </c>
      <c r="D420" s="729">
        <v>40878</v>
      </c>
      <c r="E420" s="730">
        <v>0.41666666666666669</v>
      </c>
      <c r="F420" s="731">
        <v>40879</v>
      </c>
      <c r="G420" s="730">
        <v>0.5493055555555556</v>
      </c>
      <c r="H420" s="541" t="s">
        <v>2330</v>
      </c>
      <c r="I420" s="563" t="s">
        <v>124</v>
      </c>
      <c r="J420" s="589" t="s">
        <v>255</v>
      </c>
      <c r="K420" s="541" t="s">
        <v>22</v>
      </c>
      <c r="L420" s="599" t="s">
        <v>2130</v>
      </c>
      <c r="M420" s="635">
        <v>60000</v>
      </c>
    </row>
    <row r="421" spans="3:13" ht="19.5">
      <c r="C421">
        <v>2011</v>
      </c>
      <c r="D421" s="729">
        <v>40879</v>
      </c>
      <c r="E421" s="730">
        <v>0.67708333333333337</v>
      </c>
      <c r="F421" s="731">
        <v>40879</v>
      </c>
      <c r="G421" s="730">
        <v>0.85416666666666663</v>
      </c>
      <c r="H421" s="541" t="s">
        <v>2331</v>
      </c>
      <c r="I421" s="563" t="s">
        <v>1352</v>
      </c>
      <c r="J421" s="589" t="s">
        <v>255</v>
      </c>
      <c r="K421" s="541" t="s">
        <v>2150</v>
      </c>
      <c r="L421" s="599" t="s">
        <v>255</v>
      </c>
      <c r="M421" s="635" t="s">
        <v>255</v>
      </c>
    </row>
    <row r="422" spans="3:13" ht="19.5">
      <c r="C422">
        <v>2011</v>
      </c>
      <c r="D422" s="729">
        <v>40882</v>
      </c>
      <c r="E422" s="730">
        <v>0.58333333333333337</v>
      </c>
      <c r="F422" s="731">
        <v>40883</v>
      </c>
      <c r="G422" s="730">
        <v>0.70833333333333337</v>
      </c>
      <c r="H422" s="541" t="s">
        <v>2332</v>
      </c>
      <c r="I422" s="563" t="s">
        <v>124</v>
      </c>
      <c r="J422" s="589" t="s">
        <v>255</v>
      </c>
      <c r="K422" s="541" t="s">
        <v>2150</v>
      </c>
      <c r="L422" s="599" t="s">
        <v>255</v>
      </c>
      <c r="M422" s="635" t="s">
        <v>255</v>
      </c>
    </row>
    <row r="423" spans="3:13" ht="19.5">
      <c r="C423">
        <v>2011</v>
      </c>
      <c r="D423" s="729">
        <v>40883</v>
      </c>
      <c r="E423" s="730">
        <v>0.33333333333333331</v>
      </c>
      <c r="F423" s="731">
        <v>40883</v>
      </c>
      <c r="G423" s="730">
        <v>0.83333333333333337</v>
      </c>
      <c r="H423" s="541" t="s">
        <v>2333</v>
      </c>
      <c r="I423" s="563" t="s">
        <v>674</v>
      </c>
      <c r="J423" s="589" t="s">
        <v>255</v>
      </c>
      <c r="K423" s="541" t="s">
        <v>2221</v>
      </c>
      <c r="L423" s="563">
        <v>155</v>
      </c>
      <c r="M423" s="635">
        <v>34500</v>
      </c>
    </row>
    <row r="424" spans="3:13" ht="19.5">
      <c r="C424">
        <v>2011</v>
      </c>
      <c r="D424" s="729">
        <v>40883</v>
      </c>
      <c r="E424" s="730">
        <v>0.73472222222222217</v>
      </c>
      <c r="F424" s="731">
        <v>40884</v>
      </c>
      <c r="G424" s="730">
        <v>0.46111111111111108</v>
      </c>
      <c r="H424" s="541" t="s">
        <v>2334</v>
      </c>
      <c r="I424" s="563" t="s">
        <v>826</v>
      </c>
      <c r="J424" s="589" t="s">
        <v>255</v>
      </c>
      <c r="K424" s="541" t="s">
        <v>2150</v>
      </c>
      <c r="L424" s="563">
        <v>0</v>
      </c>
      <c r="M424" s="635">
        <v>0</v>
      </c>
    </row>
    <row r="425" spans="3:13" ht="19.5">
      <c r="C425">
        <v>2011</v>
      </c>
      <c r="D425" s="729">
        <v>40884</v>
      </c>
      <c r="E425" s="730">
        <v>0.81180555555555556</v>
      </c>
      <c r="F425" s="731">
        <v>40884</v>
      </c>
      <c r="G425" s="730">
        <v>0.95624999999999993</v>
      </c>
      <c r="H425" s="541" t="s">
        <v>459</v>
      </c>
      <c r="I425" s="563" t="s">
        <v>63</v>
      </c>
      <c r="J425" s="589" t="s">
        <v>255</v>
      </c>
      <c r="K425" s="541" t="s">
        <v>22</v>
      </c>
      <c r="L425" s="563">
        <v>240</v>
      </c>
      <c r="M425" s="635">
        <v>60000</v>
      </c>
    </row>
    <row r="426" spans="3:13" ht="19.5">
      <c r="C426">
        <v>2011</v>
      </c>
      <c r="D426" s="729">
        <v>40885</v>
      </c>
      <c r="E426" s="730">
        <v>0.36458333333333331</v>
      </c>
      <c r="F426" s="731">
        <v>40885</v>
      </c>
      <c r="G426" s="730">
        <v>0.6875</v>
      </c>
      <c r="H426" s="541" t="s">
        <v>2332</v>
      </c>
      <c r="I426" s="563" t="s">
        <v>124</v>
      </c>
      <c r="J426" s="589" t="s">
        <v>255</v>
      </c>
      <c r="K426" s="541" t="s">
        <v>2150</v>
      </c>
      <c r="L426" s="599" t="s">
        <v>255</v>
      </c>
      <c r="M426" s="635" t="s">
        <v>255</v>
      </c>
    </row>
    <row r="427" spans="3:13" ht="19.5">
      <c r="C427">
        <v>2011</v>
      </c>
      <c r="D427" s="729">
        <v>40890</v>
      </c>
      <c r="E427" s="730">
        <v>0.13819444444444443</v>
      </c>
      <c r="F427" s="731">
        <v>40891</v>
      </c>
      <c r="G427" s="730">
        <v>0.13819444444444443</v>
      </c>
      <c r="H427" s="541" t="s">
        <v>2335</v>
      </c>
      <c r="I427" s="563" t="s">
        <v>826</v>
      </c>
      <c r="J427" s="589" t="s">
        <v>255</v>
      </c>
      <c r="K427" s="541" t="s">
        <v>2150</v>
      </c>
      <c r="L427" s="599" t="s">
        <v>255</v>
      </c>
      <c r="M427" s="636">
        <v>0</v>
      </c>
    </row>
    <row r="428" spans="3:13" ht="19.5">
      <c r="C428">
        <v>2011</v>
      </c>
      <c r="D428" s="729">
        <v>40896</v>
      </c>
      <c r="E428" s="730">
        <v>0.3666666666666667</v>
      </c>
      <c r="F428" s="731">
        <v>40896</v>
      </c>
      <c r="G428" s="730">
        <v>0.66666666666666663</v>
      </c>
      <c r="H428" s="541" t="s">
        <v>2336</v>
      </c>
      <c r="I428" s="563" t="s">
        <v>124</v>
      </c>
      <c r="J428" s="589" t="s">
        <v>255</v>
      </c>
      <c r="K428" s="541" t="s">
        <v>2150</v>
      </c>
      <c r="L428" s="599" t="s">
        <v>255</v>
      </c>
      <c r="M428" s="635" t="s">
        <v>255</v>
      </c>
    </row>
    <row r="429" spans="3:13" ht="19.5">
      <c r="C429">
        <v>2011</v>
      </c>
      <c r="D429" s="729">
        <v>40897</v>
      </c>
      <c r="E429" s="730">
        <v>0.32291666666666669</v>
      </c>
      <c r="F429" s="731">
        <v>40897</v>
      </c>
      <c r="G429" s="730">
        <v>0.36458333333333331</v>
      </c>
      <c r="H429" s="541" t="s">
        <v>2337</v>
      </c>
      <c r="I429" s="563" t="s">
        <v>124</v>
      </c>
      <c r="J429" s="589" t="s">
        <v>255</v>
      </c>
      <c r="K429" s="541" t="s">
        <v>2150</v>
      </c>
      <c r="L429" s="563">
        <v>12</v>
      </c>
      <c r="M429" s="635">
        <v>2500</v>
      </c>
    </row>
    <row r="430" spans="3:13" ht="19.5">
      <c r="C430">
        <v>2011</v>
      </c>
      <c r="D430" s="729">
        <v>40897</v>
      </c>
      <c r="E430" s="730">
        <v>0.39583333333333331</v>
      </c>
      <c r="F430" s="731">
        <v>40897</v>
      </c>
      <c r="G430" s="730">
        <v>0.39652777777777781</v>
      </c>
      <c r="H430" s="541" t="s">
        <v>2332</v>
      </c>
      <c r="I430" s="563" t="s">
        <v>124</v>
      </c>
      <c r="J430" s="589" t="s">
        <v>255</v>
      </c>
      <c r="K430" s="541" t="s">
        <v>2150</v>
      </c>
      <c r="L430" s="599" t="s">
        <v>255</v>
      </c>
      <c r="M430" s="635" t="s">
        <v>255</v>
      </c>
    </row>
    <row r="431" spans="3:13" ht="19.5">
      <c r="C431">
        <v>2011</v>
      </c>
      <c r="D431" s="729">
        <v>40898</v>
      </c>
      <c r="E431" s="730">
        <v>0.4375</v>
      </c>
      <c r="F431" s="731">
        <v>40898</v>
      </c>
      <c r="G431" s="730">
        <v>0.4375</v>
      </c>
      <c r="H431" s="541" t="s">
        <v>2338</v>
      </c>
      <c r="I431" s="563" t="s">
        <v>124</v>
      </c>
      <c r="J431" s="589" t="s">
        <v>255</v>
      </c>
      <c r="K431" s="541" t="s">
        <v>2139</v>
      </c>
      <c r="L431" s="563">
        <v>0</v>
      </c>
      <c r="M431" s="635">
        <v>0</v>
      </c>
    </row>
    <row r="432" spans="3:13" ht="19.5">
      <c r="C432" s="735">
        <v>2011</v>
      </c>
      <c r="D432" s="736">
        <v>40908</v>
      </c>
      <c r="E432" s="737">
        <v>0.8930555555555556</v>
      </c>
      <c r="F432" s="731">
        <v>40908</v>
      </c>
      <c r="G432" s="730">
        <v>0.8930555555555556</v>
      </c>
      <c r="H432" s="541" t="s">
        <v>2332</v>
      </c>
      <c r="I432" s="563" t="s">
        <v>124</v>
      </c>
      <c r="J432" s="738" t="s">
        <v>255</v>
      </c>
      <c r="K432" s="541" t="s">
        <v>2150</v>
      </c>
      <c r="L432" s="599" t="s">
        <v>255</v>
      </c>
      <c r="M432" s="636" t="s">
        <v>255</v>
      </c>
    </row>
    <row r="433" spans="3:13" ht="19.5">
      <c r="C433" s="735"/>
      <c r="D433" s="736">
        <v>40912</v>
      </c>
      <c r="E433" s="737">
        <v>0.50972222222222219</v>
      </c>
      <c r="F433" s="731">
        <v>40912</v>
      </c>
      <c r="G433" s="730">
        <v>0.50972222222222219</v>
      </c>
      <c r="H433" s="534" t="s">
        <v>2332</v>
      </c>
      <c r="I433" s="535" t="s">
        <v>124</v>
      </c>
      <c r="J433" s="738" t="s">
        <v>255</v>
      </c>
      <c r="K433" s="534" t="s">
        <v>2341</v>
      </c>
      <c r="L433" s="600" t="s">
        <v>255</v>
      </c>
      <c r="M433" s="638" t="s">
        <v>255</v>
      </c>
    </row>
    <row r="434" spans="3:13" ht="19.5">
      <c r="C434" s="735"/>
      <c r="D434" s="736">
        <v>40913</v>
      </c>
      <c r="E434" s="737">
        <v>0.44097222222222227</v>
      </c>
      <c r="F434" s="731">
        <v>40913</v>
      </c>
      <c r="G434" s="730">
        <v>0.51736111111111105</v>
      </c>
      <c r="H434" s="534" t="s">
        <v>2342</v>
      </c>
      <c r="I434" s="535" t="s">
        <v>58</v>
      </c>
      <c r="J434" s="738" t="s">
        <v>255</v>
      </c>
      <c r="K434" s="534" t="s">
        <v>2343</v>
      </c>
      <c r="L434" s="535">
        <v>0</v>
      </c>
      <c r="M434" s="638">
        <v>0</v>
      </c>
    </row>
    <row r="435" spans="3:13" ht="19.5">
      <c r="C435" s="735"/>
      <c r="D435" s="736">
        <v>40913</v>
      </c>
      <c r="E435" s="737">
        <v>0.43611111111111112</v>
      </c>
      <c r="F435" s="731">
        <v>40913</v>
      </c>
      <c r="G435" s="730">
        <v>0.51736111111111105</v>
      </c>
      <c r="H435" s="534" t="s">
        <v>2344</v>
      </c>
      <c r="I435" s="535" t="s">
        <v>58</v>
      </c>
      <c r="J435" s="738" t="s">
        <v>255</v>
      </c>
      <c r="K435" s="534" t="s">
        <v>2341</v>
      </c>
      <c r="L435" s="600" t="s">
        <v>255</v>
      </c>
      <c r="M435" s="638" t="s">
        <v>255</v>
      </c>
    </row>
    <row r="436" spans="3:13" ht="19.5">
      <c r="C436" s="735"/>
      <c r="D436" s="736">
        <v>40917</v>
      </c>
      <c r="E436" s="737">
        <v>0.60416666666666663</v>
      </c>
      <c r="F436" s="731">
        <v>40917</v>
      </c>
      <c r="G436" s="730">
        <v>0.64583333333333337</v>
      </c>
      <c r="H436" s="534" t="s">
        <v>2307</v>
      </c>
      <c r="I436" s="535" t="s">
        <v>61</v>
      </c>
      <c r="J436" s="738" t="s">
        <v>255</v>
      </c>
      <c r="K436" s="534" t="s">
        <v>100</v>
      </c>
      <c r="L436" s="600" t="s">
        <v>255</v>
      </c>
      <c r="M436" s="638" t="s">
        <v>255</v>
      </c>
    </row>
    <row r="437" spans="3:13" ht="19.5">
      <c r="C437" s="735"/>
      <c r="D437" s="736">
        <v>40917</v>
      </c>
      <c r="E437" s="737">
        <v>0.56666666666666665</v>
      </c>
      <c r="F437" s="731">
        <v>40919</v>
      </c>
      <c r="G437" s="730">
        <v>4.5138888888888888E-2</v>
      </c>
      <c r="H437" s="575" t="s">
        <v>1577</v>
      </c>
      <c r="I437" s="565" t="s">
        <v>63</v>
      </c>
      <c r="J437" s="738" t="s">
        <v>255</v>
      </c>
      <c r="K437" s="575" t="s">
        <v>905</v>
      </c>
      <c r="L437" s="565">
        <v>150</v>
      </c>
      <c r="M437" s="639">
        <v>1</v>
      </c>
    </row>
    <row r="438" spans="3:13" ht="19.5">
      <c r="C438" s="735"/>
      <c r="D438" s="736">
        <v>40918</v>
      </c>
      <c r="E438" s="737">
        <v>0.89583333333333337</v>
      </c>
      <c r="F438" s="731">
        <v>40918</v>
      </c>
      <c r="G438" s="730">
        <v>0.89583333333333337</v>
      </c>
      <c r="H438" s="534" t="s">
        <v>2345</v>
      </c>
      <c r="I438" s="535" t="s">
        <v>1352</v>
      </c>
      <c r="J438" s="738" t="s">
        <v>255</v>
      </c>
      <c r="K438" s="534" t="s">
        <v>905</v>
      </c>
      <c r="L438" s="600" t="s">
        <v>255</v>
      </c>
      <c r="M438" s="638" t="s">
        <v>255</v>
      </c>
    </row>
    <row r="439" spans="3:13" ht="19.5">
      <c r="C439" s="735"/>
      <c r="D439" s="736">
        <v>40919</v>
      </c>
      <c r="E439" s="737">
        <v>0.30486111111111108</v>
      </c>
      <c r="F439" s="731">
        <v>40919</v>
      </c>
      <c r="G439" s="730">
        <v>0.37986111111111115</v>
      </c>
      <c r="H439" s="534" t="s">
        <v>2346</v>
      </c>
      <c r="I439" s="535" t="s">
        <v>124</v>
      </c>
      <c r="J439" s="738" t="s">
        <v>255</v>
      </c>
      <c r="K439" s="534" t="s">
        <v>2150</v>
      </c>
      <c r="L439" s="535">
        <v>0</v>
      </c>
      <c r="M439" s="638">
        <v>0</v>
      </c>
    </row>
    <row r="440" spans="3:13" ht="19.5">
      <c r="C440" s="735"/>
      <c r="D440" s="736">
        <v>40920</v>
      </c>
      <c r="E440" s="737">
        <v>0.35138888888888892</v>
      </c>
      <c r="F440" s="731">
        <v>40920</v>
      </c>
      <c r="G440" s="730">
        <v>0.35138888888888892</v>
      </c>
      <c r="H440" s="534" t="s">
        <v>2119</v>
      </c>
      <c r="I440" s="535" t="s">
        <v>826</v>
      </c>
      <c r="J440" s="738" t="s">
        <v>255</v>
      </c>
      <c r="K440" s="534" t="s">
        <v>2202</v>
      </c>
      <c r="L440" s="600">
        <v>0</v>
      </c>
      <c r="M440" s="638">
        <v>0</v>
      </c>
    </row>
    <row r="441" spans="3:13" ht="19.5">
      <c r="C441" s="735"/>
      <c r="D441" s="736">
        <v>40921</v>
      </c>
      <c r="E441" s="737">
        <v>0.3888888888888889</v>
      </c>
      <c r="F441" s="731">
        <v>40921</v>
      </c>
      <c r="G441" s="730">
        <v>0.3888888888888889</v>
      </c>
      <c r="H441" s="575" t="s">
        <v>2119</v>
      </c>
      <c r="I441" s="565" t="s">
        <v>826</v>
      </c>
      <c r="J441" s="738" t="s">
        <v>255</v>
      </c>
      <c r="K441" s="575" t="s">
        <v>2202</v>
      </c>
      <c r="L441" s="601">
        <v>0</v>
      </c>
      <c r="M441" s="639">
        <v>0</v>
      </c>
    </row>
    <row r="442" spans="3:13" ht="19.5">
      <c r="C442" s="735"/>
      <c r="D442" s="736">
        <v>40923</v>
      </c>
      <c r="E442" s="737">
        <v>0.39930555555555558</v>
      </c>
      <c r="F442" s="731">
        <v>40923</v>
      </c>
      <c r="G442" s="730">
        <v>0.39930555555555558</v>
      </c>
      <c r="H442" s="575" t="s">
        <v>2332</v>
      </c>
      <c r="I442" s="565" t="s">
        <v>124</v>
      </c>
      <c r="J442" s="738" t="s">
        <v>255</v>
      </c>
      <c r="K442" s="575" t="s">
        <v>100</v>
      </c>
      <c r="L442" s="601" t="s">
        <v>255</v>
      </c>
      <c r="M442" s="639" t="s">
        <v>255</v>
      </c>
    </row>
    <row r="443" spans="3:13" ht="19.5">
      <c r="C443" s="735"/>
      <c r="D443" s="736">
        <v>40925</v>
      </c>
      <c r="E443" s="737">
        <v>0.4381944444444445</v>
      </c>
      <c r="F443" s="731">
        <v>40925</v>
      </c>
      <c r="G443" s="730">
        <v>0.72291666666666676</v>
      </c>
      <c r="H443" s="534" t="s">
        <v>2347</v>
      </c>
      <c r="I443" s="535" t="s">
        <v>1352</v>
      </c>
      <c r="J443" s="738" t="s">
        <v>255</v>
      </c>
      <c r="K443" s="534" t="s">
        <v>2139</v>
      </c>
      <c r="L443" s="600" t="s">
        <v>255</v>
      </c>
      <c r="M443" s="638">
        <v>0</v>
      </c>
    </row>
    <row r="444" spans="3:13" ht="19.5">
      <c r="C444" s="735"/>
      <c r="D444" s="736">
        <v>40927</v>
      </c>
      <c r="E444" s="737">
        <v>0.29166666666666669</v>
      </c>
      <c r="F444" s="731">
        <v>40928</v>
      </c>
      <c r="G444" s="730">
        <v>0.625</v>
      </c>
      <c r="H444" s="575" t="s">
        <v>2348</v>
      </c>
      <c r="I444" s="565" t="s">
        <v>124</v>
      </c>
      <c r="J444" s="738" t="s">
        <v>255</v>
      </c>
      <c r="K444" s="575" t="s">
        <v>2349</v>
      </c>
      <c r="L444" s="601">
        <v>1600</v>
      </c>
      <c r="M444" s="639">
        <v>426000</v>
      </c>
    </row>
    <row r="445" spans="3:13" ht="19.5">
      <c r="C445" s="735"/>
      <c r="D445" s="736">
        <v>40932</v>
      </c>
      <c r="E445" s="737">
        <v>0.47361111111111115</v>
      </c>
      <c r="F445" s="731">
        <v>40932</v>
      </c>
      <c r="G445" s="730">
        <v>0.47361111111111115</v>
      </c>
      <c r="H445" s="575" t="s">
        <v>2332</v>
      </c>
      <c r="I445" s="565" t="s">
        <v>124</v>
      </c>
      <c r="J445" s="738" t="s">
        <v>255</v>
      </c>
      <c r="K445" s="575" t="s">
        <v>100</v>
      </c>
      <c r="L445" s="601" t="s">
        <v>255</v>
      </c>
      <c r="M445" s="639" t="s">
        <v>255</v>
      </c>
    </row>
    <row r="446" spans="3:13" ht="19.5">
      <c r="C446" s="735"/>
      <c r="D446" s="736">
        <v>40935</v>
      </c>
      <c r="E446" s="737">
        <v>0.40277777777777773</v>
      </c>
      <c r="F446" s="731">
        <v>40935</v>
      </c>
      <c r="G446" s="730">
        <v>0.40277777777777773</v>
      </c>
      <c r="H446" s="575" t="s">
        <v>2350</v>
      </c>
      <c r="I446" s="565" t="s">
        <v>124</v>
      </c>
      <c r="J446" s="738" t="s">
        <v>255</v>
      </c>
      <c r="K446" s="575" t="s">
        <v>100</v>
      </c>
      <c r="L446" s="601" t="s">
        <v>255</v>
      </c>
      <c r="M446" s="639" t="s">
        <v>255</v>
      </c>
    </row>
    <row r="447" spans="3:13" ht="20.25" thickBot="1">
      <c r="C447" s="735"/>
      <c r="D447" s="736">
        <v>40937</v>
      </c>
      <c r="E447" s="737">
        <v>0.53125</v>
      </c>
      <c r="F447" s="731">
        <v>40937</v>
      </c>
      <c r="G447" s="730">
        <v>0.53125</v>
      </c>
      <c r="H447" s="580" t="s">
        <v>2351</v>
      </c>
      <c r="I447" s="547" t="s">
        <v>124</v>
      </c>
      <c r="J447" s="738" t="s">
        <v>255</v>
      </c>
      <c r="K447" s="580" t="s">
        <v>100</v>
      </c>
      <c r="L447" s="602" t="s">
        <v>255</v>
      </c>
      <c r="M447" s="640" t="s">
        <v>255</v>
      </c>
    </row>
    <row r="448" spans="3:13" ht="19.5">
      <c r="C448" s="735"/>
      <c r="D448" s="736">
        <v>40950</v>
      </c>
      <c r="E448" s="737">
        <v>0.3659722222222222</v>
      </c>
      <c r="F448" s="731">
        <v>40950</v>
      </c>
      <c r="G448" s="730">
        <v>0.4375</v>
      </c>
      <c r="H448" s="541" t="s">
        <v>2352</v>
      </c>
      <c r="I448" s="563" t="s">
        <v>124</v>
      </c>
      <c r="J448" s="738" t="s">
        <v>255</v>
      </c>
      <c r="K448" s="541" t="s">
        <v>2150</v>
      </c>
      <c r="L448" s="563">
        <v>0</v>
      </c>
      <c r="M448" s="635">
        <v>0</v>
      </c>
    </row>
    <row r="449" spans="3:13" ht="19.5">
      <c r="C449" s="735"/>
      <c r="D449" s="736">
        <v>40950</v>
      </c>
      <c r="E449" s="737">
        <v>0.37152777777777773</v>
      </c>
      <c r="F449" s="731">
        <v>40950</v>
      </c>
      <c r="G449" s="730">
        <v>0.37152777777777773</v>
      </c>
      <c r="H449" s="739" t="s">
        <v>2332</v>
      </c>
      <c r="I449" s="566" t="s">
        <v>124</v>
      </c>
      <c r="J449" s="738" t="s">
        <v>255</v>
      </c>
      <c r="K449" s="739" t="s">
        <v>2150</v>
      </c>
      <c r="L449" s="566" t="s">
        <v>255</v>
      </c>
      <c r="M449" s="641" t="s">
        <v>255</v>
      </c>
    </row>
    <row r="450" spans="3:13" ht="19.5">
      <c r="C450" s="735"/>
      <c r="D450" s="736">
        <v>40952</v>
      </c>
      <c r="E450" s="737">
        <v>0.29305555555555557</v>
      </c>
      <c r="F450" s="731">
        <v>40952</v>
      </c>
      <c r="G450" s="730">
        <v>0.68402777777777779</v>
      </c>
      <c r="H450" s="739" t="s">
        <v>2353</v>
      </c>
      <c r="I450" s="566" t="s">
        <v>63</v>
      </c>
      <c r="J450" s="738" t="s">
        <v>255</v>
      </c>
      <c r="K450" s="739" t="s">
        <v>2150</v>
      </c>
      <c r="L450" s="566" t="s">
        <v>255</v>
      </c>
      <c r="M450" s="641" t="s">
        <v>255</v>
      </c>
    </row>
    <row r="451" spans="3:13" ht="19.5">
      <c r="C451" s="735"/>
      <c r="D451" s="736">
        <v>40953</v>
      </c>
      <c r="E451" s="737">
        <v>0.80555555555555547</v>
      </c>
      <c r="F451" s="731">
        <v>40954</v>
      </c>
      <c r="G451" s="730">
        <v>0.66666666666666663</v>
      </c>
      <c r="H451" s="739" t="s">
        <v>2332</v>
      </c>
      <c r="I451" s="566" t="s">
        <v>124</v>
      </c>
      <c r="J451" s="738" t="s">
        <v>255</v>
      </c>
      <c r="K451" s="739" t="s">
        <v>2150</v>
      </c>
      <c r="L451" s="566" t="s">
        <v>255</v>
      </c>
      <c r="M451" s="641" t="s">
        <v>255</v>
      </c>
    </row>
    <row r="452" spans="3:13" ht="19.5">
      <c r="C452" s="735"/>
      <c r="D452" s="736">
        <v>40954</v>
      </c>
      <c r="E452" s="737">
        <v>0.23124999999999998</v>
      </c>
      <c r="F452" s="731">
        <v>40954</v>
      </c>
      <c r="G452" s="730">
        <v>0.72916666666666663</v>
      </c>
      <c r="H452" s="739" t="s">
        <v>2354</v>
      </c>
      <c r="I452" s="566" t="s">
        <v>124</v>
      </c>
      <c r="J452" s="738" t="s">
        <v>255</v>
      </c>
      <c r="K452" s="739" t="s">
        <v>2150</v>
      </c>
      <c r="L452" s="566">
        <v>0</v>
      </c>
      <c r="M452" s="641">
        <v>0</v>
      </c>
    </row>
    <row r="453" spans="3:13" ht="19.5">
      <c r="C453" s="735"/>
      <c r="D453" s="736">
        <v>40956</v>
      </c>
      <c r="E453" s="737">
        <v>0.125</v>
      </c>
      <c r="F453" s="731">
        <v>40956</v>
      </c>
      <c r="G453" s="730">
        <v>0.48125000000000001</v>
      </c>
      <c r="H453" s="739" t="s">
        <v>2355</v>
      </c>
      <c r="I453" s="566" t="s">
        <v>63</v>
      </c>
      <c r="J453" s="738" t="s">
        <v>255</v>
      </c>
      <c r="K453" s="739" t="s">
        <v>2139</v>
      </c>
      <c r="L453" s="566" t="s">
        <v>2130</v>
      </c>
      <c r="M453" s="641" t="s">
        <v>2130</v>
      </c>
    </row>
    <row r="454" spans="3:13" ht="19.5">
      <c r="C454" s="735"/>
      <c r="D454" s="736">
        <v>40958</v>
      </c>
      <c r="E454" s="737">
        <v>0.70833333333333337</v>
      </c>
      <c r="F454" s="731">
        <v>40960</v>
      </c>
      <c r="G454" s="730">
        <v>0.31458333333333333</v>
      </c>
      <c r="H454" s="739" t="s">
        <v>2356</v>
      </c>
      <c r="I454" s="566" t="s">
        <v>63</v>
      </c>
      <c r="J454" s="738" t="s">
        <v>255</v>
      </c>
      <c r="K454" s="739" t="s">
        <v>2349</v>
      </c>
      <c r="L454" s="566" t="s">
        <v>2130</v>
      </c>
      <c r="M454" s="641">
        <v>90000</v>
      </c>
    </row>
    <row r="455" spans="3:13" ht="19.5">
      <c r="C455" s="735"/>
      <c r="D455" s="736">
        <v>40962</v>
      </c>
      <c r="E455" s="737">
        <v>0.23958333333333334</v>
      </c>
      <c r="F455" s="731">
        <v>40962</v>
      </c>
      <c r="G455" s="730">
        <v>0.62638888888888888</v>
      </c>
      <c r="H455" s="739" t="s">
        <v>2357</v>
      </c>
      <c r="I455" s="566" t="s">
        <v>1352</v>
      </c>
      <c r="J455" s="738" t="s">
        <v>255</v>
      </c>
      <c r="K455" s="739" t="s">
        <v>2150</v>
      </c>
      <c r="L455" s="566">
        <v>0</v>
      </c>
      <c r="M455" s="641">
        <v>0</v>
      </c>
    </row>
    <row r="456" spans="3:13" ht="19.5">
      <c r="C456" s="735"/>
      <c r="D456" s="736">
        <v>40962</v>
      </c>
      <c r="E456" s="737">
        <v>0.96666666666666667</v>
      </c>
      <c r="F456" s="731">
        <v>40963</v>
      </c>
      <c r="G456" s="730">
        <v>4.1666666666666664E-2</v>
      </c>
      <c r="H456" s="739" t="s">
        <v>2358</v>
      </c>
      <c r="I456" s="566" t="s">
        <v>61</v>
      </c>
      <c r="J456" s="738" t="s">
        <v>255</v>
      </c>
      <c r="K456" s="739" t="s">
        <v>2150</v>
      </c>
      <c r="L456" s="566">
        <v>0</v>
      </c>
      <c r="M456" s="641">
        <v>0</v>
      </c>
    </row>
    <row r="457" spans="3:13" ht="19.5">
      <c r="C457" s="735"/>
      <c r="D457" s="736">
        <v>40963</v>
      </c>
      <c r="E457" s="737">
        <v>0.47500000000000003</v>
      </c>
      <c r="F457" s="731">
        <v>40963</v>
      </c>
      <c r="G457" s="730">
        <v>0.49236111111111108</v>
      </c>
      <c r="H457" s="739" t="s">
        <v>2261</v>
      </c>
      <c r="I457" s="566" t="s">
        <v>124</v>
      </c>
      <c r="J457" s="738" t="s">
        <v>255</v>
      </c>
      <c r="K457" s="739" t="s">
        <v>2150</v>
      </c>
      <c r="L457" s="566" t="s">
        <v>255</v>
      </c>
      <c r="M457" s="641" t="s">
        <v>255</v>
      </c>
    </row>
    <row r="458" spans="3:13" ht="19.5">
      <c r="C458" s="735"/>
      <c r="D458" s="736">
        <v>40967</v>
      </c>
      <c r="E458" s="737">
        <v>0.12430555555555556</v>
      </c>
      <c r="F458" s="731">
        <v>40967</v>
      </c>
      <c r="G458" s="730">
        <v>0.25833333333333336</v>
      </c>
      <c r="H458" s="541" t="s">
        <v>2359</v>
      </c>
      <c r="I458" s="563" t="s">
        <v>124</v>
      </c>
      <c r="J458" s="738" t="s">
        <v>255</v>
      </c>
      <c r="K458" s="541" t="s">
        <v>2037</v>
      </c>
      <c r="L458" s="563">
        <v>1</v>
      </c>
      <c r="M458" s="635">
        <v>1</v>
      </c>
    </row>
    <row r="459" spans="3:13" ht="19.5">
      <c r="C459" s="735"/>
      <c r="D459" s="736">
        <v>40967</v>
      </c>
      <c r="E459" s="737">
        <v>0.29166666666666669</v>
      </c>
      <c r="F459" s="731">
        <v>40967</v>
      </c>
      <c r="G459" s="730">
        <v>0.29166666666666669</v>
      </c>
      <c r="H459" s="739" t="s">
        <v>2360</v>
      </c>
      <c r="I459" s="566" t="s">
        <v>124</v>
      </c>
      <c r="J459" s="738" t="s">
        <v>255</v>
      </c>
      <c r="K459" s="739" t="s">
        <v>2150</v>
      </c>
      <c r="L459" s="566" t="s">
        <v>2130</v>
      </c>
      <c r="M459" s="641" t="s">
        <v>2130</v>
      </c>
    </row>
    <row r="460" spans="3:13" ht="19.5">
      <c r="C460" s="735"/>
      <c r="D460" s="736">
        <v>40970</v>
      </c>
      <c r="E460" s="737">
        <v>0.52569444444444446</v>
      </c>
      <c r="F460" s="731">
        <v>40973</v>
      </c>
      <c r="G460" s="730">
        <v>0.50069444444444444</v>
      </c>
      <c r="H460" s="533" t="s">
        <v>2361</v>
      </c>
      <c r="I460" s="533" t="s">
        <v>63</v>
      </c>
      <c r="J460" s="738" t="s">
        <v>255</v>
      </c>
      <c r="K460" s="533" t="s">
        <v>2362</v>
      </c>
      <c r="L460" s="535">
        <v>500</v>
      </c>
      <c r="M460" s="638" t="s">
        <v>2130</v>
      </c>
    </row>
    <row r="461" spans="3:13" ht="19.5">
      <c r="C461" s="735"/>
      <c r="D461" s="736">
        <v>40970</v>
      </c>
      <c r="E461" s="737">
        <v>0.57291666666666663</v>
      </c>
      <c r="F461" s="731">
        <v>40970</v>
      </c>
      <c r="G461" s="730">
        <v>0.64583333333333337</v>
      </c>
      <c r="H461" s="533" t="s">
        <v>2363</v>
      </c>
      <c r="I461" s="533" t="s">
        <v>63</v>
      </c>
      <c r="J461" s="738" t="s">
        <v>255</v>
      </c>
      <c r="K461" s="533" t="s">
        <v>2364</v>
      </c>
      <c r="L461" s="535" t="s">
        <v>255</v>
      </c>
      <c r="M461" s="638" t="s">
        <v>255</v>
      </c>
    </row>
    <row r="462" spans="3:13" ht="19.5">
      <c r="C462" s="735"/>
      <c r="D462" s="736">
        <v>40970</v>
      </c>
      <c r="E462" s="737">
        <v>0.875</v>
      </c>
      <c r="F462" s="731">
        <v>40973</v>
      </c>
      <c r="G462" s="730">
        <v>0.6875</v>
      </c>
      <c r="H462" s="533" t="s">
        <v>2365</v>
      </c>
      <c r="I462" s="533" t="s">
        <v>826</v>
      </c>
      <c r="J462" s="738" t="s">
        <v>255</v>
      </c>
      <c r="K462" s="533" t="s">
        <v>2349</v>
      </c>
      <c r="L462" s="535">
        <v>371</v>
      </c>
      <c r="M462" s="638">
        <v>130000</v>
      </c>
    </row>
    <row r="463" spans="3:13" ht="19.5">
      <c r="C463" s="735"/>
      <c r="D463" s="736">
        <v>40970</v>
      </c>
      <c r="E463" s="737">
        <v>0.875</v>
      </c>
      <c r="F463" s="731">
        <v>40972</v>
      </c>
      <c r="G463" s="730">
        <v>0.72916666666666663</v>
      </c>
      <c r="H463" s="567" t="s">
        <v>2252</v>
      </c>
      <c r="I463" s="567" t="s">
        <v>826</v>
      </c>
      <c r="J463" s="738" t="s">
        <v>255</v>
      </c>
      <c r="K463" s="567" t="s">
        <v>2349</v>
      </c>
      <c r="L463" s="565">
        <v>50</v>
      </c>
      <c r="M463" s="639">
        <v>140000</v>
      </c>
    </row>
    <row r="464" spans="3:13" ht="19.5">
      <c r="C464" s="735"/>
      <c r="D464" s="736">
        <v>40972</v>
      </c>
      <c r="E464" s="737">
        <v>6.0416666666666667E-2</v>
      </c>
      <c r="F464" s="731">
        <v>40972</v>
      </c>
      <c r="G464" s="730">
        <v>0.2902777777777778</v>
      </c>
      <c r="H464" s="533" t="s">
        <v>2366</v>
      </c>
      <c r="I464" s="533" t="s">
        <v>826</v>
      </c>
      <c r="J464" s="738" t="s">
        <v>255</v>
      </c>
      <c r="K464" s="533" t="s">
        <v>2150</v>
      </c>
      <c r="L464" s="535" t="s">
        <v>255</v>
      </c>
      <c r="M464" s="638" t="s">
        <v>255</v>
      </c>
    </row>
    <row r="465" spans="3:13" ht="19.5">
      <c r="C465" s="735"/>
      <c r="D465" s="736">
        <v>40972</v>
      </c>
      <c r="E465" s="737">
        <v>0.56805555555555554</v>
      </c>
      <c r="F465" s="731">
        <v>40973</v>
      </c>
      <c r="G465" s="730">
        <v>0.45833333333333331</v>
      </c>
      <c r="H465" s="533" t="s">
        <v>166</v>
      </c>
      <c r="I465" s="533" t="s">
        <v>63</v>
      </c>
      <c r="J465" s="738" t="s">
        <v>255</v>
      </c>
      <c r="K465" s="533" t="s">
        <v>2150</v>
      </c>
      <c r="L465" s="535" t="s">
        <v>2130</v>
      </c>
      <c r="M465" s="638" t="s">
        <v>2130</v>
      </c>
    </row>
    <row r="466" spans="3:13" ht="19.5">
      <c r="C466" s="735"/>
      <c r="D466" s="736">
        <v>40984</v>
      </c>
      <c r="E466" s="737">
        <v>0.66666666666666663</v>
      </c>
      <c r="F466" s="731">
        <v>40984</v>
      </c>
      <c r="G466" s="730">
        <v>0.66666666666666663</v>
      </c>
      <c r="H466" s="533" t="s">
        <v>2367</v>
      </c>
      <c r="I466" s="533" t="s">
        <v>826</v>
      </c>
      <c r="J466" s="738" t="s">
        <v>255</v>
      </c>
      <c r="K466" s="533" t="s">
        <v>2150</v>
      </c>
      <c r="L466" s="535">
        <v>0</v>
      </c>
      <c r="M466" s="638">
        <v>0</v>
      </c>
    </row>
    <row r="467" spans="3:13" ht="19.5">
      <c r="C467" s="735"/>
      <c r="D467" s="736">
        <v>40988</v>
      </c>
      <c r="E467" s="737">
        <v>0.33333333333333331</v>
      </c>
      <c r="F467" s="731">
        <v>40988</v>
      </c>
      <c r="G467" s="730">
        <v>0.54166666666666663</v>
      </c>
      <c r="H467" s="567" t="s">
        <v>1098</v>
      </c>
      <c r="I467" s="567" t="s">
        <v>1352</v>
      </c>
      <c r="J467" s="738" t="s">
        <v>255</v>
      </c>
      <c r="K467" s="567" t="s">
        <v>2368</v>
      </c>
      <c r="L467" s="565" t="s">
        <v>255</v>
      </c>
      <c r="M467" s="639">
        <v>96000</v>
      </c>
    </row>
    <row r="468" spans="3:13" ht="19.5">
      <c r="C468" s="735"/>
      <c r="D468" s="736">
        <v>40991</v>
      </c>
      <c r="E468" s="737">
        <v>0.81527777777777777</v>
      </c>
      <c r="F468" s="731">
        <v>40991</v>
      </c>
      <c r="G468" s="730">
        <v>0.81527777777777777</v>
      </c>
      <c r="H468" s="533" t="s">
        <v>2119</v>
      </c>
      <c r="I468" s="533" t="s">
        <v>826</v>
      </c>
      <c r="J468" s="738" t="s">
        <v>255</v>
      </c>
      <c r="K468" s="533" t="s">
        <v>2150</v>
      </c>
      <c r="L468" s="535">
        <v>0</v>
      </c>
      <c r="M468" s="638">
        <v>0</v>
      </c>
    </row>
    <row r="469" spans="3:13" ht="19.5">
      <c r="C469" s="735"/>
      <c r="D469" s="736">
        <v>40994</v>
      </c>
      <c r="E469" s="737">
        <v>0.55833333333333335</v>
      </c>
      <c r="F469" s="731">
        <v>40994</v>
      </c>
      <c r="G469" s="730">
        <v>0.55833333333333335</v>
      </c>
      <c r="H469" s="567" t="s">
        <v>2332</v>
      </c>
      <c r="I469" s="567" t="s">
        <v>124</v>
      </c>
      <c r="J469" s="738" t="s">
        <v>255</v>
      </c>
      <c r="K469" s="567" t="s">
        <v>2150</v>
      </c>
      <c r="L469" s="565" t="s">
        <v>255</v>
      </c>
      <c r="M469" s="639" t="s">
        <v>255</v>
      </c>
    </row>
    <row r="470" spans="3:13" ht="19.5">
      <c r="C470" s="735"/>
      <c r="D470" s="736">
        <v>40996</v>
      </c>
      <c r="E470" s="737">
        <v>0.4284722222222222</v>
      </c>
      <c r="F470" s="731">
        <v>40996</v>
      </c>
      <c r="G470" s="730">
        <v>0.4284722222222222</v>
      </c>
      <c r="H470" s="567" t="s">
        <v>2172</v>
      </c>
      <c r="I470" s="567" t="s">
        <v>124</v>
      </c>
      <c r="J470" s="738" t="s">
        <v>255</v>
      </c>
      <c r="K470" s="567" t="s">
        <v>2150</v>
      </c>
      <c r="L470" s="565" t="s">
        <v>255</v>
      </c>
      <c r="M470" s="639" t="s">
        <v>255</v>
      </c>
    </row>
    <row r="471" spans="3:13" ht="19.5">
      <c r="C471" s="735"/>
      <c r="D471" s="736">
        <v>40997</v>
      </c>
      <c r="E471" s="737">
        <v>0.50069444444444444</v>
      </c>
      <c r="F471" s="731">
        <v>40997</v>
      </c>
      <c r="G471" s="730">
        <v>0.50138888888888888</v>
      </c>
      <c r="H471" s="533" t="s">
        <v>2369</v>
      </c>
      <c r="I471" s="533" t="s">
        <v>826</v>
      </c>
      <c r="J471" s="738" t="s">
        <v>255</v>
      </c>
      <c r="K471" s="533" t="s">
        <v>2037</v>
      </c>
      <c r="L471" s="535" t="s">
        <v>2130</v>
      </c>
      <c r="M471" s="638">
        <v>0</v>
      </c>
    </row>
    <row r="472" spans="3:13" ht="20.25" thickBot="1">
      <c r="C472" s="735"/>
      <c r="D472" s="736">
        <v>40998</v>
      </c>
      <c r="E472" s="737">
        <v>0.46527777777777773</v>
      </c>
      <c r="F472" s="731">
        <v>40998</v>
      </c>
      <c r="G472" s="730">
        <v>0.47916666666666669</v>
      </c>
      <c r="H472" s="568" t="s">
        <v>2245</v>
      </c>
      <c r="I472" s="568" t="s">
        <v>61</v>
      </c>
      <c r="J472" s="738" t="s">
        <v>255</v>
      </c>
      <c r="K472" s="568" t="s">
        <v>2150</v>
      </c>
      <c r="L472" s="547" t="s">
        <v>255</v>
      </c>
      <c r="M472" s="640" t="s">
        <v>255</v>
      </c>
    </row>
    <row r="473" spans="3:13" ht="19.5">
      <c r="C473" s="735"/>
      <c r="D473" s="736">
        <v>41000</v>
      </c>
      <c r="E473" s="737">
        <v>0.8520833333333333</v>
      </c>
      <c r="F473" s="731">
        <v>41002</v>
      </c>
      <c r="G473" s="730">
        <v>0.3527777777777778</v>
      </c>
      <c r="H473" s="537" t="s">
        <v>2370</v>
      </c>
      <c r="I473" s="537" t="s">
        <v>674</v>
      </c>
      <c r="J473" s="738" t="s">
        <v>255</v>
      </c>
      <c r="K473" s="537" t="s">
        <v>100</v>
      </c>
      <c r="L473" s="563">
        <v>0</v>
      </c>
      <c r="M473" s="635">
        <v>0</v>
      </c>
    </row>
    <row r="474" spans="3:13" ht="19.5">
      <c r="C474" s="735"/>
      <c r="D474" s="736">
        <v>41002</v>
      </c>
      <c r="E474" s="737">
        <v>0.46527777777777773</v>
      </c>
      <c r="F474" s="731">
        <v>41002</v>
      </c>
      <c r="G474" s="730">
        <v>0.47569444444444442</v>
      </c>
      <c r="H474" s="537" t="s">
        <v>2371</v>
      </c>
      <c r="I474" s="537" t="s">
        <v>61</v>
      </c>
      <c r="J474" s="738" t="s">
        <v>255</v>
      </c>
      <c r="K474" s="537" t="s">
        <v>100</v>
      </c>
      <c r="L474" s="563">
        <v>0</v>
      </c>
      <c r="M474" s="635">
        <v>0</v>
      </c>
    </row>
    <row r="475" spans="3:13" ht="19.5">
      <c r="C475" s="735"/>
      <c r="D475" s="736">
        <v>41002</v>
      </c>
      <c r="E475" s="737">
        <v>0.6479166666666667</v>
      </c>
      <c r="F475" s="731">
        <v>41002</v>
      </c>
      <c r="G475" s="730">
        <v>0.85069444444444453</v>
      </c>
      <c r="H475" s="537" t="s">
        <v>2372</v>
      </c>
      <c r="I475" s="537" t="s">
        <v>124</v>
      </c>
      <c r="J475" s="738" t="s">
        <v>255</v>
      </c>
      <c r="K475" s="537" t="s">
        <v>2202</v>
      </c>
      <c r="L475" s="563">
        <v>0</v>
      </c>
      <c r="M475" s="635">
        <v>0</v>
      </c>
    </row>
    <row r="476" spans="3:13" ht="19.5">
      <c r="C476" s="735"/>
      <c r="D476" s="736">
        <v>41003</v>
      </c>
      <c r="E476" s="737">
        <v>0.64722222222222225</v>
      </c>
      <c r="F476" s="731">
        <v>41005</v>
      </c>
      <c r="G476" s="730">
        <v>0.64583333333333337</v>
      </c>
      <c r="H476" s="537" t="s">
        <v>2373</v>
      </c>
      <c r="I476" s="537" t="s">
        <v>124</v>
      </c>
      <c r="J476" s="738" t="s">
        <v>255</v>
      </c>
      <c r="K476" s="537" t="s">
        <v>2150</v>
      </c>
      <c r="L476" s="563" t="s">
        <v>255</v>
      </c>
      <c r="M476" s="635" t="s">
        <v>255</v>
      </c>
    </row>
    <row r="477" spans="3:13" ht="19.5">
      <c r="C477" s="735"/>
      <c r="D477" s="736">
        <v>41006</v>
      </c>
      <c r="E477" s="737">
        <v>0.60763888888888895</v>
      </c>
      <c r="F477" s="731">
        <v>41006</v>
      </c>
      <c r="G477" s="730">
        <v>0.60833333333333328</v>
      </c>
      <c r="H477" s="537" t="s">
        <v>2119</v>
      </c>
      <c r="I477" s="537" t="s">
        <v>826</v>
      </c>
      <c r="J477" s="738" t="s">
        <v>255</v>
      </c>
      <c r="K477" s="537" t="s">
        <v>2202</v>
      </c>
      <c r="L477" s="563">
        <v>0</v>
      </c>
      <c r="M477" s="635">
        <v>0</v>
      </c>
    </row>
    <row r="478" spans="3:13" ht="19.5">
      <c r="C478" s="735"/>
      <c r="D478" s="736">
        <v>41006</v>
      </c>
      <c r="E478" s="737">
        <v>0.51736111111111105</v>
      </c>
      <c r="F478" s="731">
        <v>41006</v>
      </c>
      <c r="G478" s="730">
        <v>0.5180555555555556</v>
      </c>
      <c r="H478" s="537" t="s">
        <v>2119</v>
      </c>
      <c r="I478" s="537" t="s">
        <v>826</v>
      </c>
      <c r="J478" s="738" t="s">
        <v>255</v>
      </c>
      <c r="K478" s="537" t="s">
        <v>2202</v>
      </c>
      <c r="L478" s="563">
        <v>0</v>
      </c>
      <c r="M478" s="635">
        <v>0</v>
      </c>
    </row>
    <row r="479" spans="3:13" ht="19.5">
      <c r="C479" s="735"/>
      <c r="D479" s="736">
        <v>41006</v>
      </c>
      <c r="E479" s="737">
        <v>0.39652777777777781</v>
      </c>
      <c r="F479" s="731">
        <v>41006</v>
      </c>
      <c r="G479" s="730">
        <v>0.3972222222222222</v>
      </c>
      <c r="H479" s="537" t="s">
        <v>2119</v>
      </c>
      <c r="I479" s="537" t="s">
        <v>826</v>
      </c>
      <c r="J479" s="738" t="s">
        <v>255</v>
      </c>
      <c r="K479" s="537" t="s">
        <v>2202</v>
      </c>
      <c r="L479" s="563">
        <v>0</v>
      </c>
      <c r="M479" s="635">
        <v>0</v>
      </c>
    </row>
    <row r="480" spans="3:13" ht="19.5">
      <c r="C480" s="735"/>
      <c r="D480" s="736">
        <v>41010</v>
      </c>
      <c r="E480" s="737">
        <v>0.375</v>
      </c>
      <c r="F480" s="731">
        <v>41010</v>
      </c>
      <c r="G480" s="730">
        <v>0.375</v>
      </c>
      <c r="H480" s="537" t="s">
        <v>2374</v>
      </c>
      <c r="I480" s="537" t="s">
        <v>61</v>
      </c>
      <c r="J480" s="738" t="s">
        <v>255</v>
      </c>
      <c r="K480" s="537" t="s">
        <v>100</v>
      </c>
      <c r="L480" s="563">
        <v>0</v>
      </c>
      <c r="M480" s="635">
        <v>0</v>
      </c>
    </row>
    <row r="481" spans="3:13" ht="19.5">
      <c r="C481" s="735"/>
      <c r="D481" s="736">
        <v>41011</v>
      </c>
      <c r="E481" s="737">
        <v>0.33888888888888885</v>
      </c>
      <c r="F481" s="731">
        <v>41011</v>
      </c>
      <c r="G481" s="730">
        <v>0.6875</v>
      </c>
      <c r="H481" s="537" t="s">
        <v>2332</v>
      </c>
      <c r="I481" s="537" t="s">
        <v>124</v>
      </c>
      <c r="J481" s="738" t="s">
        <v>255</v>
      </c>
      <c r="K481" s="537" t="s">
        <v>2150</v>
      </c>
      <c r="L481" s="563" t="s">
        <v>255</v>
      </c>
      <c r="M481" s="635" t="s">
        <v>255</v>
      </c>
    </row>
    <row r="482" spans="3:13" ht="19.5">
      <c r="C482" s="735"/>
      <c r="D482" s="736">
        <v>41014</v>
      </c>
      <c r="E482" s="737">
        <v>0.81805555555555554</v>
      </c>
      <c r="F482" s="731">
        <v>41014</v>
      </c>
      <c r="G482" s="730">
        <v>0.8930555555555556</v>
      </c>
      <c r="H482" s="537" t="s">
        <v>361</v>
      </c>
      <c r="I482" s="537" t="s">
        <v>63</v>
      </c>
      <c r="J482" s="738" t="s">
        <v>255</v>
      </c>
      <c r="K482" s="537" t="s">
        <v>2150</v>
      </c>
      <c r="L482" s="563" t="s">
        <v>2130</v>
      </c>
      <c r="M482" s="635" t="s">
        <v>2130</v>
      </c>
    </row>
    <row r="483" spans="3:13" ht="19.5">
      <c r="C483" s="735"/>
      <c r="D483" s="736">
        <v>41015</v>
      </c>
      <c r="E483" s="737">
        <v>0.65694444444444444</v>
      </c>
      <c r="F483" s="731">
        <v>41018</v>
      </c>
      <c r="G483" s="730">
        <v>8.3333333333333329E-2</v>
      </c>
      <c r="H483" s="537" t="s">
        <v>2375</v>
      </c>
      <c r="I483" s="537" t="s">
        <v>826</v>
      </c>
      <c r="J483" s="738" t="s">
        <v>255</v>
      </c>
      <c r="K483" s="537" t="s">
        <v>2175</v>
      </c>
      <c r="L483" s="563">
        <v>218</v>
      </c>
      <c r="M483" s="635">
        <v>111393</v>
      </c>
    </row>
    <row r="484" spans="3:13" ht="19.5">
      <c r="C484" s="735"/>
      <c r="D484" s="736">
        <v>41016</v>
      </c>
      <c r="E484" s="737">
        <v>0.25763888888888892</v>
      </c>
      <c r="F484" s="731">
        <v>41016</v>
      </c>
      <c r="G484" s="730">
        <v>0.7416666666666667</v>
      </c>
      <c r="H484" s="537" t="s">
        <v>253</v>
      </c>
      <c r="I484" s="537" t="s">
        <v>124</v>
      </c>
      <c r="J484" s="738" t="s">
        <v>255</v>
      </c>
      <c r="K484" s="537" t="s">
        <v>2150</v>
      </c>
      <c r="L484" s="563">
        <v>0</v>
      </c>
      <c r="M484" s="635">
        <v>0</v>
      </c>
    </row>
    <row r="485" spans="3:13" ht="19.5">
      <c r="C485" s="735"/>
      <c r="D485" s="736">
        <v>41018</v>
      </c>
      <c r="E485" s="737">
        <v>0.32847222222222222</v>
      </c>
      <c r="F485" s="731">
        <v>41018</v>
      </c>
      <c r="G485" s="730">
        <v>0.66666666666666663</v>
      </c>
      <c r="H485" s="537" t="s">
        <v>2332</v>
      </c>
      <c r="I485" s="537" t="s">
        <v>124</v>
      </c>
      <c r="J485" s="738" t="s">
        <v>255</v>
      </c>
      <c r="K485" s="537" t="s">
        <v>2150</v>
      </c>
      <c r="L485" s="563" t="s">
        <v>255</v>
      </c>
      <c r="M485" s="635" t="s">
        <v>255</v>
      </c>
    </row>
    <row r="486" spans="3:13" ht="19.5">
      <c r="C486" s="735"/>
      <c r="D486" s="736">
        <v>41019</v>
      </c>
      <c r="E486" s="737">
        <v>0.6020833333333333</v>
      </c>
      <c r="F486" s="731">
        <v>41020</v>
      </c>
      <c r="G486" s="730">
        <v>0.18541666666666667</v>
      </c>
      <c r="H486" s="537" t="s">
        <v>2376</v>
      </c>
      <c r="I486" s="537" t="s">
        <v>1352</v>
      </c>
      <c r="J486" s="738" t="s">
        <v>255</v>
      </c>
      <c r="K486" s="537" t="s">
        <v>2368</v>
      </c>
      <c r="L486" s="563" t="s">
        <v>255</v>
      </c>
      <c r="M486" s="635">
        <v>120377</v>
      </c>
    </row>
    <row r="487" spans="3:13" ht="19.5">
      <c r="C487" s="735"/>
      <c r="D487" s="736">
        <v>41020</v>
      </c>
      <c r="E487" s="737">
        <v>0.62638888888888888</v>
      </c>
      <c r="F487" s="731">
        <v>41020</v>
      </c>
      <c r="G487" s="730">
        <v>0.83958333333333324</v>
      </c>
      <c r="H487" s="537" t="s">
        <v>2377</v>
      </c>
      <c r="I487" s="537" t="s">
        <v>61</v>
      </c>
      <c r="J487" s="738" t="s">
        <v>255</v>
      </c>
      <c r="K487" s="537" t="s">
        <v>2202</v>
      </c>
      <c r="L487" s="563" t="s">
        <v>255</v>
      </c>
      <c r="M487" s="635" t="s">
        <v>255</v>
      </c>
    </row>
    <row r="488" spans="3:13" ht="19.5">
      <c r="C488" s="735"/>
      <c r="D488" s="736">
        <v>41020</v>
      </c>
      <c r="E488" s="737">
        <v>0.87152777777777779</v>
      </c>
      <c r="F488" s="731">
        <v>41022</v>
      </c>
      <c r="G488" s="730">
        <v>0.6875</v>
      </c>
      <c r="H488" s="537" t="s">
        <v>2332</v>
      </c>
      <c r="I488" s="537" t="s">
        <v>124</v>
      </c>
      <c r="J488" s="738" t="s">
        <v>255</v>
      </c>
      <c r="K488" s="537" t="s">
        <v>2150</v>
      </c>
      <c r="L488" s="563" t="s">
        <v>255</v>
      </c>
      <c r="M488" s="635" t="s">
        <v>255</v>
      </c>
    </row>
    <row r="489" spans="3:13" ht="19.5">
      <c r="C489" s="735"/>
      <c r="D489" s="736">
        <v>41022</v>
      </c>
      <c r="E489" s="737">
        <v>0.34097222222222223</v>
      </c>
      <c r="F489" s="731">
        <v>41022</v>
      </c>
      <c r="G489" s="730">
        <v>0.53263888888888888</v>
      </c>
      <c r="H489" s="537" t="s">
        <v>1434</v>
      </c>
      <c r="I489" s="537" t="s">
        <v>826</v>
      </c>
      <c r="J489" s="738" t="s">
        <v>255</v>
      </c>
      <c r="K489" s="537" t="s">
        <v>2150</v>
      </c>
      <c r="L489" s="563" t="s">
        <v>255</v>
      </c>
      <c r="M489" s="635" t="s">
        <v>255</v>
      </c>
    </row>
    <row r="490" spans="3:13" ht="20.25" thickBot="1">
      <c r="C490" s="735"/>
      <c r="D490" s="736">
        <v>41022</v>
      </c>
      <c r="E490" s="737">
        <v>0.49722222222222223</v>
      </c>
      <c r="F490" s="731">
        <v>41022</v>
      </c>
      <c r="G490" s="730">
        <v>0.64930555555555558</v>
      </c>
      <c r="H490" s="569" t="s">
        <v>832</v>
      </c>
      <c r="I490" s="569" t="s">
        <v>124</v>
      </c>
      <c r="J490" s="738" t="s">
        <v>255</v>
      </c>
      <c r="K490" s="569" t="s">
        <v>2150</v>
      </c>
      <c r="L490" s="564" t="s">
        <v>255</v>
      </c>
      <c r="M490" s="637" t="s">
        <v>255</v>
      </c>
    </row>
    <row r="491" spans="3:13" ht="19.5">
      <c r="C491" s="735"/>
      <c r="D491" s="736">
        <v>41036</v>
      </c>
      <c r="E491" s="737">
        <v>0.53472222222222221</v>
      </c>
      <c r="F491" s="731">
        <v>41036</v>
      </c>
      <c r="G491" s="730">
        <v>0.58333333333333337</v>
      </c>
      <c r="H491" s="533" t="s">
        <v>2379</v>
      </c>
      <c r="I491" s="534" t="s">
        <v>61</v>
      </c>
      <c r="J491" s="738" t="s">
        <v>255</v>
      </c>
      <c r="K491" s="534" t="s">
        <v>100</v>
      </c>
      <c r="L491" s="535">
        <v>0</v>
      </c>
      <c r="M491" s="536">
        <v>0</v>
      </c>
    </row>
    <row r="492" spans="3:13" ht="19.5">
      <c r="C492" s="735"/>
      <c r="D492" s="736">
        <v>41036</v>
      </c>
      <c r="E492" s="737">
        <v>0.73958333333333337</v>
      </c>
      <c r="F492" s="731">
        <v>41036</v>
      </c>
      <c r="G492" s="730">
        <v>0.75416666666666676</v>
      </c>
      <c r="H492" s="533" t="s">
        <v>2380</v>
      </c>
      <c r="I492" s="534" t="s">
        <v>826</v>
      </c>
      <c r="J492" s="738" t="s">
        <v>255</v>
      </c>
      <c r="K492" s="534" t="s">
        <v>2381</v>
      </c>
      <c r="L492" s="535">
        <v>420</v>
      </c>
      <c r="M492" s="536">
        <v>1</v>
      </c>
    </row>
    <row r="493" spans="3:13" ht="19.5">
      <c r="C493" s="735"/>
      <c r="D493" s="736">
        <v>41040</v>
      </c>
      <c r="E493" s="737">
        <v>0.46180555555555558</v>
      </c>
      <c r="F493" s="731">
        <v>41040</v>
      </c>
      <c r="G493" s="730">
        <v>0.47222222222222227</v>
      </c>
      <c r="H493" s="533" t="s">
        <v>2382</v>
      </c>
      <c r="I493" s="534" t="s">
        <v>124</v>
      </c>
      <c r="J493" s="738" t="s">
        <v>255</v>
      </c>
      <c r="K493" s="534" t="s">
        <v>100</v>
      </c>
      <c r="L493" s="535" t="s">
        <v>255</v>
      </c>
      <c r="M493" s="536" t="s">
        <v>255</v>
      </c>
    </row>
    <row r="494" spans="3:13" ht="19.5">
      <c r="C494" s="735"/>
      <c r="D494" s="736">
        <v>41053</v>
      </c>
      <c r="E494" s="737">
        <v>0.63888888888888895</v>
      </c>
      <c r="F494" s="731">
        <v>41054</v>
      </c>
      <c r="G494" s="730">
        <v>0.7284722222222223</v>
      </c>
      <c r="H494" s="533" t="s">
        <v>2383</v>
      </c>
      <c r="I494" s="534" t="s">
        <v>61</v>
      </c>
      <c r="J494" s="738" t="s">
        <v>255</v>
      </c>
      <c r="K494" s="534" t="s">
        <v>2202</v>
      </c>
      <c r="L494" s="535" t="s">
        <v>2130</v>
      </c>
      <c r="M494" s="536" t="s">
        <v>2130</v>
      </c>
    </row>
    <row r="495" spans="3:13" ht="19.5">
      <c r="C495" s="735"/>
      <c r="D495" s="736">
        <v>41058</v>
      </c>
      <c r="E495" s="737">
        <v>0.77083333333333337</v>
      </c>
      <c r="F495" s="731">
        <v>41058</v>
      </c>
      <c r="G495" s="730">
        <v>0.81944444444444453</v>
      </c>
      <c r="H495" s="533" t="s">
        <v>2384</v>
      </c>
      <c r="I495" s="534" t="s">
        <v>124</v>
      </c>
      <c r="J495" s="738" t="s">
        <v>255</v>
      </c>
      <c r="K495" s="534" t="s">
        <v>2202</v>
      </c>
      <c r="L495" s="535" t="s">
        <v>255</v>
      </c>
      <c r="M495" s="536" t="s">
        <v>255</v>
      </c>
    </row>
    <row r="496" spans="3:13" ht="19.5">
      <c r="C496" s="735"/>
      <c r="D496" s="736">
        <v>41058</v>
      </c>
      <c r="E496" s="737">
        <v>0.85763888888888884</v>
      </c>
      <c r="F496" s="731">
        <v>41060</v>
      </c>
      <c r="G496" s="730">
        <v>0.41666666666666669</v>
      </c>
      <c r="H496" s="533" t="s">
        <v>2385</v>
      </c>
      <c r="I496" s="534" t="s">
        <v>58</v>
      </c>
      <c r="J496" s="738" t="s">
        <v>255</v>
      </c>
      <c r="K496" s="534" t="s">
        <v>2368</v>
      </c>
      <c r="L496" s="535" t="s">
        <v>2130</v>
      </c>
      <c r="M496" s="638">
        <v>112000</v>
      </c>
    </row>
    <row r="497" spans="3:13" ht="19.5">
      <c r="C497" s="735"/>
      <c r="D497" s="736">
        <v>41060</v>
      </c>
      <c r="E497" s="737">
        <v>0.98958333333333337</v>
      </c>
      <c r="F497" s="731">
        <v>41061</v>
      </c>
      <c r="G497" s="730">
        <v>0.1875</v>
      </c>
      <c r="H497" s="533" t="s">
        <v>2386</v>
      </c>
      <c r="I497" s="534" t="s">
        <v>826</v>
      </c>
      <c r="J497" s="738" t="s">
        <v>255</v>
      </c>
      <c r="K497" s="534" t="s">
        <v>2202</v>
      </c>
      <c r="L497" s="535">
        <v>0</v>
      </c>
      <c r="M497" s="536">
        <v>0</v>
      </c>
    </row>
    <row r="498" spans="3:13" ht="19.5">
      <c r="C498" s="735"/>
      <c r="D498" s="736">
        <v>41062</v>
      </c>
      <c r="E498" s="737">
        <v>0.3125</v>
      </c>
      <c r="F498" s="731">
        <v>41062</v>
      </c>
      <c r="G498" s="730">
        <v>0.4826388888888889</v>
      </c>
      <c r="H498" s="585" t="s">
        <v>308</v>
      </c>
      <c r="I498" s="570" t="s">
        <v>124</v>
      </c>
      <c r="J498" s="738" t="s">
        <v>255</v>
      </c>
      <c r="K498" s="585" t="s">
        <v>100</v>
      </c>
      <c r="L498" s="603" t="s">
        <v>255</v>
      </c>
      <c r="M498" s="642" t="s">
        <v>255</v>
      </c>
    </row>
    <row r="499" spans="3:13" ht="19.5">
      <c r="C499" s="735"/>
      <c r="D499" s="736">
        <v>41066</v>
      </c>
      <c r="E499" s="737">
        <v>0.33333333333333331</v>
      </c>
      <c r="F499" s="731">
        <v>41066</v>
      </c>
      <c r="G499" s="730">
        <v>0.33333333333333331</v>
      </c>
      <c r="H499" s="541" t="s">
        <v>2387</v>
      </c>
      <c r="I499" s="563" t="s">
        <v>61</v>
      </c>
      <c r="J499" s="738" t="s">
        <v>255</v>
      </c>
      <c r="K499" s="541" t="s">
        <v>100</v>
      </c>
      <c r="L499" s="599" t="s">
        <v>255</v>
      </c>
      <c r="M499" s="635" t="s">
        <v>255</v>
      </c>
    </row>
    <row r="500" spans="3:13" ht="19.5">
      <c r="C500" s="735"/>
      <c r="D500" s="736">
        <v>41066</v>
      </c>
      <c r="E500" s="737">
        <v>0.52569444444444446</v>
      </c>
      <c r="F500" s="731">
        <v>41066</v>
      </c>
      <c r="G500" s="730">
        <v>0.52569444444444446</v>
      </c>
      <c r="H500" s="541" t="s">
        <v>2388</v>
      </c>
      <c r="I500" s="563" t="s">
        <v>826</v>
      </c>
      <c r="J500" s="738" t="s">
        <v>255</v>
      </c>
      <c r="K500" s="541" t="s">
        <v>100</v>
      </c>
      <c r="L500" s="599">
        <v>0</v>
      </c>
      <c r="M500" s="635">
        <v>0</v>
      </c>
    </row>
    <row r="501" spans="3:13" ht="19.5">
      <c r="C501" s="735"/>
      <c r="D501" s="736">
        <v>41068</v>
      </c>
      <c r="E501" s="737">
        <v>0.72222222222222221</v>
      </c>
      <c r="F501" s="731">
        <v>41068</v>
      </c>
      <c r="G501" s="730">
        <v>0.72569444444444453</v>
      </c>
      <c r="H501" s="541" t="s">
        <v>2389</v>
      </c>
      <c r="I501" s="563" t="s">
        <v>124</v>
      </c>
      <c r="J501" s="738" t="s">
        <v>255</v>
      </c>
      <c r="K501" s="541" t="s">
        <v>905</v>
      </c>
      <c r="L501" s="599">
        <v>120</v>
      </c>
      <c r="M501" s="635">
        <v>30379</v>
      </c>
    </row>
    <row r="502" spans="3:13" ht="19.5">
      <c r="C502" s="735"/>
      <c r="D502" s="736">
        <v>41071</v>
      </c>
      <c r="E502" s="737">
        <v>0.82638888888888884</v>
      </c>
      <c r="F502" s="731">
        <v>41072</v>
      </c>
      <c r="G502" s="730">
        <v>0.625</v>
      </c>
      <c r="H502" s="541" t="s">
        <v>2390</v>
      </c>
      <c r="I502" s="563" t="s">
        <v>63</v>
      </c>
      <c r="J502" s="738" t="s">
        <v>255</v>
      </c>
      <c r="K502" s="541" t="s">
        <v>2368</v>
      </c>
      <c r="L502" s="599">
        <v>368</v>
      </c>
      <c r="M502" s="635">
        <v>110591</v>
      </c>
    </row>
    <row r="503" spans="3:13" ht="19.5">
      <c r="C503" s="735"/>
      <c r="D503" s="736">
        <v>41072</v>
      </c>
      <c r="E503" s="737">
        <v>0.6645833333333333</v>
      </c>
      <c r="F503" s="731">
        <v>41074</v>
      </c>
      <c r="G503" s="730">
        <v>0.20625000000000002</v>
      </c>
      <c r="H503" s="541" t="s">
        <v>1098</v>
      </c>
      <c r="I503" s="563" t="s">
        <v>1352</v>
      </c>
      <c r="J503" s="738" t="s">
        <v>255</v>
      </c>
      <c r="K503" s="541" t="s">
        <v>2368</v>
      </c>
      <c r="L503" s="599">
        <v>920</v>
      </c>
      <c r="M503" s="635">
        <v>175000</v>
      </c>
    </row>
    <row r="504" spans="3:13" ht="19.5">
      <c r="C504" s="735"/>
      <c r="D504" s="736">
        <v>41073</v>
      </c>
      <c r="E504" s="737">
        <v>0.70486111111111116</v>
      </c>
      <c r="F504" s="731">
        <v>41073</v>
      </c>
      <c r="G504" s="730">
        <v>0.92291666666666661</v>
      </c>
      <c r="H504" s="541" t="s">
        <v>2391</v>
      </c>
      <c r="I504" s="563" t="s">
        <v>124</v>
      </c>
      <c r="J504" s="738" t="s">
        <v>255</v>
      </c>
      <c r="K504" s="541" t="s">
        <v>100</v>
      </c>
      <c r="L504" s="599">
        <v>0</v>
      </c>
      <c r="M504" s="635">
        <v>0</v>
      </c>
    </row>
    <row r="505" spans="3:13" ht="19.5">
      <c r="C505" s="735"/>
      <c r="D505" s="736">
        <v>41079</v>
      </c>
      <c r="E505" s="737">
        <v>0.1875</v>
      </c>
      <c r="F505" s="731">
        <v>41080</v>
      </c>
      <c r="G505" s="730">
        <v>0.95833333333333337</v>
      </c>
      <c r="H505" s="541" t="s">
        <v>2392</v>
      </c>
      <c r="I505" s="563" t="s">
        <v>674</v>
      </c>
      <c r="J505" s="738" t="s">
        <v>255</v>
      </c>
      <c r="K505" s="541" t="s">
        <v>2368</v>
      </c>
      <c r="L505" s="599" t="s">
        <v>2130</v>
      </c>
      <c r="M505" s="635">
        <v>68200</v>
      </c>
    </row>
    <row r="506" spans="3:13" ht="19.5">
      <c r="C506" s="735"/>
      <c r="D506" s="736">
        <v>41079</v>
      </c>
      <c r="E506" s="737">
        <v>0.22916666666666666</v>
      </c>
      <c r="F506" s="731">
        <v>41081</v>
      </c>
      <c r="G506" s="730">
        <v>0.22916666666666666</v>
      </c>
      <c r="H506" s="541" t="s">
        <v>2393</v>
      </c>
      <c r="I506" s="563" t="s">
        <v>124</v>
      </c>
      <c r="J506" s="738" t="s">
        <v>255</v>
      </c>
      <c r="K506" s="541" t="s">
        <v>2394</v>
      </c>
      <c r="L506" s="599" t="s">
        <v>2130</v>
      </c>
      <c r="M506" s="635" t="s">
        <v>2130</v>
      </c>
    </row>
    <row r="507" spans="3:13" ht="19.5">
      <c r="C507" s="735"/>
      <c r="D507" s="736">
        <v>41083</v>
      </c>
      <c r="E507" s="737">
        <v>0.7895833333333333</v>
      </c>
      <c r="F507" s="731">
        <v>41083</v>
      </c>
      <c r="G507" s="730">
        <v>0.81111111111111101</v>
      </c>
      <c r="H507" s="541" t="s">
        <v>2395</v>
      </c>
      <c r="I507" s="563" t="s">
        <v>61</v>
      </c>
      <c r="J507" s="738" t="s">
        <v>255</v>
      </c>
      <c r="K507" s="541" t="s">
        <v>905</v>
      </c>
      <c r="L507" s="599">
        <v>51</v>
      </c>
      <c r="M507" s="635">
        <v>29250</v>
      </c>
    </row>
    <row r="508" spans="3:13" ht="19.5">
      <c r="C508" s="735"/>
      <c r="D508" s="736">
        <v>41085</v>
      </c>
      <c r="E508" s="737">
        <v>0.6694444444444444</v>
      </c>
      <c r="F508" s="731">
        <v>41086</v>
      </c>
      <c r="G508" s="730">
        <v>0.57291666666666663</v>
      </c>
      <c r="H508" s="541" t="s">
        <v>459</v>
      </c>
      <c r="I508" s="563" t="s">
        <v>63</v>
      </c>
      <c r="J508" s="738" t="s">
        <v>255</v>
      </c>
      <c r="K508" s="541" t="s">
        <v>2396</v>
      </c>
      <c r="L508" s="599">
        <v>600</v>
      </c>
      <c r="M508" s="635">
        <v>190000</v>
      </c>
    </row>
    <row r="509" spans="3:13" ht="19.5">
      <c r="C509" s="735"/>
      <c r="D509" s="736">
        <v>41089</v>
      </c>
      <c r="E509" s="737">
        <v>0.44791666666666669</v>
      </c>
      <c r="F509" s="731">
        <v>41089</v>
      </c>
      <c r="G509" s="730">
        <v>0.44791666666666669</v>
      </c>
      <c r="H509" s="541" t="s">
        <v>2367</v>
      </c>
      <c r="I509" s="563" t="s">
        <v>826</v>
      </c>
      <c r="J509" s="738" t="s">
        <v>255</v>
      </c>
      <c r="K509" s="534" t="s">
        <v>2202</v>
      </c>
      <c r="L509" s="599">
        <v>0</v>
      </c>
      <c r="M509" s="635">
        <v>0</v>
      </c>
    </row>
    <row r="510" spans="3:13" ht="19.5">
      <c r="C510" s="735"/>
      <c r="D510" s="736">
        <v>41089</v>
      </c>
      <c r="E510" s="737">
        <v>0.50694444444444442</v>
      </c>
      <c r="F510" s="731">
        <v>41089</v>
      </c>
      <c r="G510" s="730">
        <v>0.70972222222222225</v>
      </c>
      <c r="H510" s="541" t="s">
        <v>2271</v>
      </c>
      <c r="I510" s="563" t="s">
        <v>255</v>
      </c>
      <c r="J510" s="738" t="s">
        <v>255</v>
      </c>
      <c r="K510" s="541" t="s">
        <v>2397</v>
      </c>
      <c r="L510" s="599">
        <v>1800</v>
      </c>
      <c r="M510" s="635">
        <v>900000</v>
      </c>
    </row>
    <row r="511" spans="3:13" ht="19.5">
      <c r="C511" s="735"/>
      <c r="D511" s="736">
        <v>41089</v>
      </c>
      <c r="E511" s="737">
        <v>0.59027777777777779</v>
      </c>
      <c r="F511" s="731">
        <v>41094</v>
      </c>
      <c r="G511" s="730">
        <v>0.75</v>
      </c>
      <c r="H511" s="541" t="s">
        <v>2398</v>
      </c>
      <c r="I511" s="563" t="s">
        <v>826</v>
      </c>
      <c r="J511" s="738" t="s">
        <v>255</v>
      </c>
      <c r="K511" s="541" t="s">
        <v>2368</v>
      </c>
      <c r="L511" s="599">
        <v>500</v>
      </c>
      <c r="M511" s="635">
        <v>175000</v>
      </c>
    </row>
    <row r="512" spans="3:13" ht="19.5">
      <c r="C512" s="735"/>
      <c r="D512" s="736">
        <v>41089</v>
      </c>
      <c r="E512" s="737">
        <v>0.66666666666666663</v>
      </c>
      <c r="F512" s="731">
        <v>41092</v>
      </c>
      <c r="G512" s="730">
        <v>0.66666666666666663</v>
      </c>
      <c r="H512" s="541" t="s">
        <v>2399</v>
      </c>
      <c r="I512" s="563" t="s">
        <v>826</v>
      </c>
      <c r="J512" s="738" t="s">
        <v>255</v>
      </c>
      <c r="K512" s="541" t="s">
        <v>2368</v>
      </c>
      <c r="L512" s="599" t="s">
        <v>2130</v>
      </c>
      <c r="M512" s="635">
        <v>1355919</v>
      </c>
    </row>
    <row r="513" spans="3:13" ht="19.5">
      <c r="C513" s="735"/>
      <c r="D513" s="736">
        <v>41089</v>
      </c>
      <c r="E513" s="737">
        <v>0.66666666666666663</v>
      </c>
      <c r="F513" s="731">
        <v>41089</v>
      </c>
      <c r="G513" s="730">
        <v>0.875</v>
      </c>
      <c r="H513" s="541" t="s">
        <v>2220</v>
      </c>
      <c r="I513" s="563" t="s">
        <v>63</v>
      </c>
      <c r="J513" s="738" t="s">
        <v>255</v>
      </c>
      <c r="K513" s="541" t="s">
        <v>2221</v>
      </c>
      <c r="L513" s="599">
        <v>45</v>
      </c>
      <c r="M513" s="635">
        <v>7935</v>
      </c>
    </row>
    <row r="514" spans="3:13" ht="19.5">
      <c r="C514" s="735"/>
      <c r="D514" s="736">
        <v>41089</v>
      </c>
      <c r="E514" s="737">
        <v>0.71875</v>
      </c>
      <c r="F514" s="731">
        <v>41092</v>
      </c>
      <c r="G514" s="730">
        <v>0.99930555555555556</v>
      </c>
      <c r="H514" s="541" t="s">
        <v>2401</v>
      </c>
      <c r="I514" s="563" t="s">
        <v>826</v>
      </c>
      <c r="J514" s="738" t="s">
        <v>255</v>
      </c>
      <c r="K514" s="541" t="s">
        <v>2368</v>
      </c>
      <c r="L514" s="599">
        <v>2946</v>
      </c>
      <c r="M514" s="635">
        <v>4645572</v>
      </c>
    </row>
    <row r="515" spans="3:13" ht="19.5">
      <c r="C515" s="735"/>
      <c r="D515" s="736">
        <v>41089</v>
      </c>
      <c r="E515" s="737">
        <v>0.76666666666666661</v>
      </c>
      <c r="F515" s="731">
        <v>41096</v>
      </c>
      <c r="G515" s="730">
        <v>0.41666666666666669</v>
      </c>
      <c r="H515" s="541" t="s">
        <v>2402</v>
      </c>
      <c r="I515" s="563" t="s">
        <v>826</v>
      </c>
      <c r="J515" s="738" t="s">
        <v>255</v>
      </c>
      <c r="K515" s="541" t="s">
        <v>2368</v>
      </c>
      <c r="L515" s="599">
        <v>700</v>
      </c>
      <c r="M515" s="635">
        <v>265000</v>
      </c>
    </row>
    <row r="516" spans="3:13" ht="19.5">
      <c r="C516" s="735"/>
      <c r="D516" s="736">
        <v>41089</v>
      </c>
      <c r="E516" s="737">
        <v>0.79166666666666663</v>
      </c>
      <c r="F516" s="731">
        <v>41097</v>
      </c>
      <c r="G516" s="730">
        <v>0.82152777777777775</v>
      </c>
      <c r="H516" s="541" t="s">
        <v>2403</v>
      </c>
      <c r="I516" s="563" t="s">
        <v>826</v>
      </c>
      <c r="J516" s="738" t="s">
        <v>255</v>
      </c>
      <c r="K516" s="541" t="s">
        <v>2368</v>
      </c>
      <c r="L516" s="599" t="s">
        <v>2130</v>
      </c>
      <c r="M516" s="635">
        <v>145000</v>
      </c>
    </row>
    <row r="517" spans="3:13" ht="19.5">
      <c r="C517" s="735"/>
      <c r="D517" s="736">
        <v>41089</v>
      </c>
      <c r="E517" s="737">
        <v>0.92708333333333337</v>
      </c>
      <c r="F517" s="731">
        <v>41095</v>
      </c>
      <c r="G517" s="730">
        <v>0.53611111111111109</v>
      </c>
      <c r="H517" s="541" t="s">
        <v>2404</v>
      </c>
      <c r="I517" s="563" t="s">
        <v>826</v>
      </c>
      <c r="J517" s="738" t="s">
        <v>255</v>
      </c>
      <c r="K517" s="541" t="s">
        <v>2368</v>
      </c>
      <c r="L517" s="599">
        <v>3000</v>
      </c>
      <c r="M517" s="635">
        <v>425000</v>
      </c>
    </row>
    <row r="518" spans="3:13" ht="19.5">
      <c r="C518" s="735"/>
      <c r="D518" s="736">
        <v>41089</v>
      </c>
      <c r="E518" s="737">
        <v>0.93680555555555556</v>
      </c>
      <c r="F518" s="731">
        <v>41094</v>
      </c>
      <c r="G518" s="730">
        <v>0.65</v>
      </c>
      <c r="H518" s="541" t="s">
        <v>2004</v>
      </c>
      <c r="I518" s="563" t="s">
        <v>63</v>
      </c>
      <c r="J518" s="738" t="s">
        <v>255</v>
      </c>
      <c r="K518" s="541" t="s">
        <v>2368</v>
      </c>
      <c r="L518" s="599">
        <v>5000</v>
      </c>
      <c r="M518" s="635">
        <v>880000</v>
      </c>
    </row>
    <row r="519" spans="3:13" ht="19.5">
      <c r="C519" s="735"/>
      <c r="D519" s="736">
        <v>41089</v>
      </c>
      <c r="E519" s="737">
        <v>0.94652777777777775</v>
      </c>
      <c r="F519" s="731">
        <v>41095</v>
      </c>
      <c r="G519" s="730">
        <v>0.49305555555555558</v>
      </c>
      <c r="H519" s="541" t="s">
        <v>2405</v>
      </c>
      <c r="I519" s="563" t="s">
        <v>826</v>
      </c>
      <c r="J519" s="738" t="s">
        <v>255</v>
      </c>
      <c r="K519" s="541" t="s">
        <v>2368</v>
      </c>
      <c r="L519" s="599">
        <v>1465</v>
      </c>
      <c r="M519" s="635">
        <v>600000</v>
      </c>
    </row>
    <row r="520" spans="3:13" ht="19.5">
      <c r="C520" s="735"/>
      <c r="D520" s="736">
        <v>41089</v>
      </c>
      <c r="E520" s="737">
        <v>0.97916666666666663</v>
      </c>
      <c r="F520" s="731">
        <v>41090</v>
      </c>
      <c r="G520" s="730">
        <v>8.3333333333333329E-2</v>
      </c>
      <c r="H520" s="541" t="s">
        <v>2406</v>
      </c>
      <c r="I520" s="563" t="s">
        <v>826</v>
      </c>
      <c r="J520" s="738" t="s">
        <v>255</v>
      </c>
      <c r="K520" s="541" t="s">
        <v>2368</v>
      </c>
      <c r="L520" s="599" t="s">
        <v>2130</v>
      </c>
      <c r="M520" s="635">
        <v>109000</v>
      </c>
    </row>
    <row r="521" spans="3:13" ht="19.5">
      <c r="C521" s="735"/>
      <c r="D521" s="736">
        <v>41090</v>
      </c>
      <c r="E521" s="737">
        <v>4.1666666666666664E-2</v>
      </c>
      <c r="F521" s="731">
        <v>41093</v>
      </c>
      <c r="G521" s="730">
        <v>4.1666666666666664E-2</v>
      </c>
      <c r="H521" s="541" t="s">
        <v>2277</v>
      </c>
      <c r="I521" s="563" t="s">
        <v>826</v>
      </c>
      <c r="J521" s="738" t="s">
        <v>255</v>
      </c>
      <c r="K521" s="541" t="s">
        <v>2368</v>
      </c>
      <c r="L521" s="599">
        <v>0</v>
      </c>
      <c r="M521" s="635">
        <v>86390</v>
      </c>
    </row>
    <row r="522" spans="3:13" ht="19.5">
      <c r="C522" s="735"/>
      <c r="D522" s="736">
        <v>41090</v>
      </c>
      <c r="E522" s="737">
        <v>5.2083333333333336E-2</v>
      </c>
      <c r="F522" s="731">
        <v>41097</v>
      </c>
      <c r="G522" s="730">
        <v>0.73125000000000007</v>
      </c>
      <c r="H522" s="541" t="s">
        <v>2407</v>
      </c>
      <c r="I522" s="563" t="s">
        <v>826</v>
      </c>
      <c r="J522" s="738" t="s">
        <v>255</v>
      </c>
      <c r="K522" s="541" t="s">
        <v>2368</v>
      </c>
      <c r="L522" s="599" t="s">
        <v>2130</v>
      </c>
      <c r="M522" s="635">
        <v>205000</v>
      </c>
    </row>
    <row r="523" spans="3:13" ht="19.5">
      <c r="C523" s="735"/>
      <c r="D523" s="736">
        <v>41090</v>
      </c>
      <c r="E523" s="737">
        <v>0.625</v>
      </c>
      <c r="F523" s="731">
        <v>41092</v>
      </c>
      <c r="G523" s="730">
        <v>0.5</v>
      </c>
      <c r="H523" s="541" t="s">
        <v>2180</v>
      </c>
      <c r="I523" s="563" t="s">
        <v>63</v>
      </c>
      <c r="J523" s="738" t="s">
        <v>255</v>
      </c>
      <c r="K523" s="541" t="s">
        <v>2221</v>
      </c>
      <c r="L523" s="599" t="s">
        <v>2130</v>
      </c>
      <c r="M523" s="635" t="s">
        <v>2130</v>
      </c>
    </row>
    <row r="524" spans="3:13" ht="20.25" thickBot="1">
      <c r="C524" s="735"/>
      <c r="D524" s="736">
        <v>41090</v>
      </c>
      <c r="E524" s="737">
        <v>0.9375</v>
      </c>
      <c r="F524" s="731">
        <v>41092</v>
      </c>
      <c r="G524" s="730">
        <v>0.34097222222222223</v>
      </c>
      <c r="H524" s="574" t="s">
        <v>2408</v>
      </c>
      <c r="I524" s="564" t="s">
        <v>826</v>
      </c>
      <c r="J524" s="738" t="s">
        <v>255</v>
      </c>
      <c r="K524" s="574" t="s">
        <v>2368</v>
      </c>
      <c r="L524" s="604">
        <v>354</v>
      </c>
      <c r="M524" s="637">
        <v>60000</v>
      </c>
    </row>
    <row r="525" spans="3:13" ht="19.5">
      <c r="C525" s="735"/>
      <c r="D525" s="736">
        <v>41091.541666666664</v>
      </c>
      <c r="E525" s="737">
        <v>41091.541666666664</v>
      </c>
      <c r="F525" s="731">
        <v>41093.625</v>
      </c>
      <c r="G525" s="730">
        <v>41093.625</v>
      </c>
      <c r="H525" s="740" t="s">
        <v>33</v>
      </c>
      <c r="I525" s="571" t="s">
        <v>826</v>
      </c>
      <c r="J525" s="738" t="s">
        <v>255</v>
      </c>
      <c r="K525" s="740" t="s">
        <v>2368</v>
      </c>
      <c r="L525" s="563" t="s">
        <v>45</v>
      </c>
      <c r="M525" s="635">
        <v>320000</v>
      </c>
    </row>
    <row r="526" spans="3:13" ht="19.5">
      <c r="C526" s="735"/>
      <c r="D526" s="736">
        <v>41091.699305555558</v>
      </c>
      <c r="E526" s="737">
        <v>41091.699305555558</v>
      </c>
      <c r="F526" s="731">
        <v>41091.958333333336</v>
      </c>
      <c r="G526" s="730">
        <v>41091.958333333336</v>
      </c>
      <c r="H526" s="740" t="s">
        <v>2409</v>
      </c>
      <c r="I526" s="571" t="s">
        <v>63</v>
      </c>
      <c r="J526" s="738" t="s">
        <v>255</v>
      </c>
      <c r="K526" s="740" t="s">
        <v>2410</v>
      </c>
      <c r="L526" s="563">
        <v>48</v>
      </c>
      <c r="M526" s="635">
        <v>6100</v>
      </c>
    </row>
    <row r="527" spans="3:13" ht="19.5">
      <c r="C527" s="735"/>
      <c r="D527" s="736">
        <v>41091.739583333336</v>
      </c>
      <c r="E527" s="737">
        <v>41091.739583333336</v>
      </c>
      <c r="F527" s="731">
        <v>41091.927083333336</v>
      </c>
      <c r="G527" s="730">
        <v>41091.927083333336</v>
      </c>
      <c r="H527" s="740" t="s">
        <v>2411</v>
      </c>
      <c r="I527" s="571" t="s">
        <v>63</v>
      </c>
      <c r="J527" s="738" t="s">
        <v>255</v>
      </c>
      <c r="K527" s="740" t="s">
        <v>2412</v>
      </c>
      <c r="L527" s="563" t="s">
        <v>45</v>
      </c>
      <c r="M527" s="635">
        <v>69106</v>
      </c>
    </row>
    <row r="528" spans="3:13" ht="19.5">
      <c r="C528" s="735"/>
      <c r="D528" s="736">
        <v>41095.1875</v>
      </c>
      <c r="E528" s="737">
        <v>0</v>
      </c>
      <c r="F528" s="731">
        <v>41096.854166666664</v>
      </c>
      <c r="G528" s="730">
        <v>41096.854166666664</v>
      </c>
      <c r="H528" s="740" t="s">
        <v>2413</v>
      </c>
      <c r="I528" s="571" t="s">
        <v>826</v>
      </c>
      <c r="J528" s="738" t="s">
        <v>255</v>
      </c>
      <c r="K528" s="740" t="s">
        <v>2368</v>
      </c>
      <c r="L528" s="563" t="s">
        <v>45</v>
      </c>
      <c r="M528" s="635">
        <v>111000</v>
      </c>
    </row>
    <row r="529" spans="3:13" ht="19.5">
      <c r="C529" s="735"/>
      <c r="D529" s="736">
        <v>41095.791666666664</v>
      </c>
      <c r="E529" s="737">
        <v>41095.791666666664</v>
      </c>
      <c r="F529" s="731">
        <v>41096.666666666664</v>
      </c>
      <c r="G529" s="730">
        <v>41096.666666666664</v>
      </c>
      <c r="H529" s="740" t="s">
        <v>2180</v>
      </c>
      <c r="I529" s="571" t="s">
        <v>63</v>
      </c>
      <c r="J529" s="738" t="s">
        <v>255</v>
      </c>
      <c r="K529" s="740" t="s">
        <v>2414</v>
      </c>
      <c r="L529" s="563" t="s">
        <v>255</v>
      </c>
      <c r="M529" s="635">
        <v>50001</v>
      </c>
    </row>
    <row r="530" spans="3:13" ht="19.5">
      <c r="C530" s="735"/>
      <c r="D530" s="736">
        <v>41096.628472222219</v>
      </c>
      <c r="E530" s="737">
        <v>41096.628472222219</v>
      </c>
      <c r="F530" s="731">
        <v>41096.629166666666</v>
      </c>
      <c r="G530" s="730">
        <v>41096.629166666666</v>
      </c>
      <c r="H530" s="740" t="s">
        <v>2332</v>
      </c>
      <c r="I530" s="571" t="s">
        <v>124</v>
      </c>
      <c r="J530" s="738" t="s">
        <v>255</v>
      </c>
      <c r="K530" s="740" t="s">
        <v>100</v>
      </c>
      <c r="L530" s="563" t="s">
        <v>255</v>
      </c>
      <c r="M530" s="635" t="s">
        <v>255</v>
      </c>
    </row>
    <row r="531" spans="3:13" ht="19.5">
      <c r="C531" s="735"/>
      <c r="D531" s="736">
        <v>41097.166666666664</v>
      </c>
      <c r="E531" s="737">
        <v>41097.166666666664</v>
      </c>
      <c r="F531" s="731">
        <v>41100.166666666664</v>
      </c>
      <c r="G531" s="730">
        <v>41100.166666666664</v>
      </c>
      <c r="H531" s="740" t="s">
        <v>2415</v>
      </c>
      <c r="I531" s="571" t="s">
        <v>124</v>
      </c>
      <c r="J531" s="738" t="s">
        <v>255</v>
      </c>
      <c r="K531" s="740" t="s">
        <v>2394</v>
      </c>
      <c r="L531" s="563" t="s">
        <v>45</v>
      </c>
      <c r="M531" s="635">
        <v>0</v>
      </c>
    </row>
    <row r="532" spans="3:13" ht="19.5">
      <c r="C532" s="735"/>
      <c r="D532" s="736">
        <v>41097.254166666666</v>
      </c>
      <c r="E532" s="737">
        <v>41097.254166666666</v>
      </c>
      <c r="F532" s="731">
        <v>41099.958333333336</v>
      </c>
      <c r="G532" s="730">
        <v>41099.958333333336</v>
      </c>
      <c r="H532" s="740" t="s">
        <v>2416</v>
      </c>
      <c r="I532" s="571" t="s">
        <v>826</v>
      </c>
      <c r="J532" s="738" t="s">
        <v>255</v>
      </c>
      <c r="K532" s="740" t="s">
        <v>2368</v>
      </c>
      <c r="L532" s="563" t="s">
        <v>255</v>
      </c>
      <c r="M532" s="635">
        <v>64500</v>
      </c>
    </row>
    <row r="533" spans="3:13" ht="19.5">
      <c r="C533" s="735"/>
      <c r="D533" s="736">
        <v>41097.75</v>
      </c>
      <c r="E533" s="737">
        <v>41097.75</v>
      </c>
      <c r="F533" s="731">
        <v>41099.792361111111</v>
      </c>
      <c r="G533" s="730">
        <v>41099.792361111111</v>
      </c>
      <c r="H533" s="740" t="s">
        <v>2417</v>
      </c>
      <c r="I533" s="571" t="s">
        <v>826</v>
      </c>
      <c r="J533" s="738" t="s">
        <v>255</v>
      </c>
      <c r="K533" s="740" t="s">
        <v>2368</v>
      </c>
      <c r="L533" s="563" t="s">
        <v>255</v>
      </c>
      <c r="M533" s="635">
        <v>95400</v>
      </c>
    </row>
    <row r="534" spans="3:13" ht="19.5">
      <c r="C534" s="735"/>
      <c r="D534" s="736">
        <v>41099.510416666664</v>
      </c>
      <c r="E534" s="737">
        <v>41099.510416666664</v>
      </c>
      <c r="F534" s="731">
        <v>41099.676388888889</v>
      </c>
      <c r="G534" s="730">
        <v>41099.676388888889</v>
      </c>
      <c r="H534" s="740" t="s">
        <v>2418</v>
      </c>
      <c r="I534" s="571" t="s">
        <v>124</v>
      </c>
      <c r="J534" s="738" t="s">
        <v>255</v>
      </c>
      <c r="K534" s="740" t="s">
        <v>2419</v>
      </c>
      <c r="L534" s="563">
        <v>9896</v>
      </c>
      <c r="M534" s="635" t="s">
        <v>45</v>
      </c>
    </row>
    <row r="535" spans="3:13" ht="19.5">
      <c r="C535" s="735"/>
      <c r="D535" s="736">
        <v>41106.477083333331</v>
      </c>
      <c r="E535" s="737">
        <v>41106.477083333331</v>
      </c>
      <c r="F535" s="731">
        <v>41106.520138888889</v>
      </c>
      <c r="G535" s="730">
        <v>41106.520138888889</v>
      </c>
      <c r="H535" s="740" t="s">
        <v>2355</v>
      </c>
      <c r="I535" s="571" t="s">
        <v>58</v>
      </c>
      <c r="J535" s="738" t="s">
        <v>255</v>
      </c>
      <c r="K535" s="740" t="s">
        <v>2420</v>
      </c>
      <c r="L535" s="563" t="s">
        <v>255</v>
      </c>
      <c r="M535" s="635" t="s">
        <v>255</v>
      </c>
    </row>
    <row r="536" spans="3:13" ht="19.5">
      <c r="C536" s="735"/>
      <c r="D536" s="736">
        <v>41108.594444444447</v>
      </c>
      <c r="E536" s="737">
        <v>41108.594444444447</v>
      </c>
      <c r="F536" s="731">
        <v>41109.998611111114</v>
      </c>
      <c r="G536" s="730">
        <v>41109.998611111114</v>
      </c>
      <c r="H536" s="740" t="s">
        <v>2421</v>
      </c>
      <c r="I536" s="571" t="s">
        <v>826</v>
      </c>
      <c r="J536" s="738" t="s">
        <v>255</v>
      </c>
      <c r="K536" s="740" t="s">
        <v>2368</v>
      </c>
      <c r="L536" s="563">
        <v>480</v>
      </c>
      <c r="M536" s="635">
        <v>103000</v>
      </c>
    </row>
    <row r="537" spans="3:13" ht="19.5">
      <c r="C537" s="735"/>
      <c r="D537" s="736">
        <v>41108.680555555555</v>
      </c>
      <c r="E537" s="737">
        <v>41108.680555555555</v>
      </c>
      <c r="F537" s="731">
        <v>41108.795138888891</v>
      </c>
      <c r="G537" s="730">
        <v>41108.795138888891</v>
      </c>
      <c r="H537" s="740" t="s">
        <v>2380</v>
      </c>
      <c r="I537" s="571" t="s">
        <v>826</v>
      </c>
      <c r="J537" s="738" t="s">
        <v>255</v>
      </c>
      <c r="K537" s="740" t="s">
        <v>2368</v>
      </c>
      <c r="L537" s="563" t="s">
        <v>45</v>
      </c>
      <c r="M537" s="635">
        <v>67000</v>
      </c>
    </row>
    <row r="538" spans="3:13" ht="19.5">
      <c r="C538" s="735"/>
      <c r="D538" s="736">
        <v>41108.958333333336</v>
      </c>
      <c r="E538" s="737">
        <v>41108.958333333336</v>
      </c>
      <c r="F538" s="731">
        <v>41109.25</v>
      </c>
      <c r="G538" s="730">
        <v>41109.25</v>
      </c>
      <c r="H538" s="740" t="s">
        <v>156</v>
      </c>
      <c r="I538" s="571" t="s">
        <v>826</v>
      </c>
      <c r="J538" s="738" t="s">
        <v>255</v>
      </c>
      <c r="K538" s="740" t="s">
        <v>2368</v>
      </c>
      <c r="L538" s="563" t="s">
        <v>45</v>
      </c>
      <c r="M538" s="635">
        <v>181000</v>
      </c>
    </row>
    <row r="539" spans="3:13" ht="19.5">
      <c r="C539" s="735"/>
      <c r="D539" s="736">
        <v>41109.4375</v>
      </c>
      <c r="E539" s="737">
        <v>41109.4375</v>
      </c>
      <c r="F539" s="731">
        <v>41121.458333333336</v>
      </c>
      <c r="G539" s="730">
        <v>41121.458333333336</v>
      </c>
      <c r="H539" s="740" t="s">
        <v>2423</v>
      </c>
      <c r="I539" s="571" t="s">
        <v>61</v>
      </c>
      <c r="J539" s="738" t="s">
        <v>255</v>
      </c>
      <c r="K539" s="740" t="s">
        <v>2126</v>
      </c>
      <c r="L539" s="563">
        <v>675</v>
      </c>
      <c r="M539" s="635" t="s">
        <v>45</v>
      </c>
    </row>
    <row r="540" spans="3:13" ht="19.5">
      <c r="C540" s="735"/>
      <c r="D540" s="736">
        <v>41109.522222222222</v>
      </c>
      <c r="E540" s="737">
        <v>41109.522222222222</v>
      </c>
      <c r="F540" s="731">
        <v>41109.522916666669</v>
      </c>
      <c r="G540" s="730">
        <v>41109.522916666669</v>
      </c>
      <c r="H540" s="740" t="s">
        <v>2119</v>
      </c>
      <c r="I540" s="571" t="s">
        <v>826</v>
      </c>
      <c r="J540" s="738" t="s">
        <v>255</v>
      </c>
      <c r="K540" s="740" t="s">
        <v>100</v>
      </c>
      <c r="L540" s="563" t="s">
        <v>255</v>
      </c>
      <c r="M540" s="635" t="s">
        <v>255</v>
      </c>
    </row>
    <row r="541" spans="3:13" ht="19.5">
      <c r="C541" s="735"/>
      <c r="D541" s="736">
        <v>41111.09652777778</v>
      </c>
      <c r="E541" s="737">
        <v>41111.09652777778</v>
      </c>
      <c r="F541" s="731">
        <v>41111.222222222219</v>
      </c>
      <c r="G541" s="730">
        <v>41111.222222222219</v>
      </c>
      <c r="H541" s="740" t="s">
        <v>2424</v>
      </c>
      <c r="I541" s="571" t="s">
        <v>58</v>
      </c>
      <c r="J541" s="738" t="s">
        <v>255</v>
      </c>
      <c r="K541" s="740" t="s">
        <v>2425</v>
      </c>
      <c r="L541" s="563">
        <v>220</v>
      </c>
      <c r="M541" s="635">
        <v>70000</v>
      </c>
    </row>
    <row r="542" spans="3:13" ht="19.5">
      <c r="C542" s="735"/>
      <c r="D542" s="736">
        <v>41114.292361111111</v>
      </c>
      <c r="E542" s="737">
        <v>41114.292361111111</v>
      </c>
      <c r="F542" s="731">
        <v>41114.6875</v>
      </c>
      <c r="G542" s="730">
        <v>41114.6875</v>
      </c>
      <c r="H542" s="740" t="s">
        <v>2426</v>
      </c>
      <c r="I542" s="571" t="s">
        <v>826</v>
      </c>
      <c r="J542" s="738" t="s">
        <v>255</v>
      </c>
      <c r="K542" s="740" t="s">
        <v>2368</v>
      </c>
      <c r="L542" s="563" t="s">
        <v>255</v>
      </c>
      <c r="M542" s="635">
        <v>82621</v>
      </c>
    </row>
    <row r="543" spans="3:13" ht="19.5">
      <c r="C543" s="735"/>
      <c r="D543" s="736">
        <v>41114.3125</v>
      </c>
      <c r="E543" s="737">
        <v>41114.3125</v>
      </c>
      <c r="F543" s="731">
        <v>41114.916666666664</v>
      </c>
      <c r="G543" s="730">
        <v>41114.916666666664</v>
      </c>
      <c r="H543" s="740" t="s">
        <v>156</v>
      </c>
      <c r="I543" s="571" t="s">
        <v>826</v>
      </c>
      <c r="J543" s="738" t="s">
        <v>255</v>
      </c>
      <c r="K543" s="740" t="s">
        <v>2368</v>
      </c>
      <c r="L543" s="563" t="s">
        <v>45</v>
      </c>
      <c r="M543" s="635">
        <v>330000</v>
      </c>
    </row>
    <row r="544" spans="3:13" ht="19.5">
      <c r="C544" s="735"/>
      <c r="D544" s="736">
        <v>41116.759722222225</v>
      </c>
      <c r="E544" s="737">
        <v>41116.759722222225</v>
      </c>
      <c r="F544" s="731">
        <v>41117.759722222225</v>
      </c>
      <c r="G544" s="730">
        <v>41117.759722222225</v>
      </c>
      <c r="H544" s="740" t="s">
        <v>1562</v>
      </c>
      <c r="I544" s="571" t="s">
        <v>826</v>
      </c>
      <c r="J544" s="738" t="s">
        <v>255</v>
      </c>
      <c r="K544" s="740" t="s">
        <v>2368</v>
      </c>
      <c r="L544" s="563" t="s">
        <v>255</v>
      </c>
      <c r="M544" s="635">
        <v>65112</v>
      </c>
    </row>
    <row r="545" spans="3:13" ht="19.5">
      <c r="C545" s="735"/>
      <c r="D545" s="736">
        <v>41116.76458333333</v>
      </c>
      <c r="E545" s="737">
        <v>41116.76458333333</v>
      </c>
      <c r="F545" s="731">
        <v>41118.979166666664</v>
      </c>
      <c r="G545" s="730">
        <v>41118.979166666664</v>
      </c>
      <c r="H545" s="740" t="s">
        <v>2427</v>
      </c>
      <c r="I545" s="571" t="s">
        <v>826</v>
      </c>
      <c r="J545" s="738" t="s">
        <v>255</v>
      </c>
      <c r="K545" s="740" t="s">
        <v>2368</v>
      </c>
      <c r="L545" s="563" t="s">
        <v>255</v>
      </c>
      <c r="M545" s="635">
        <v>65000</v>
      </c>
    </row>
    <row r="546" spans="3:13" ht="19.5">
      <c r="C546" s="735"/>
      <c r="D546" s="736">
        <v>41116.770833333336</v>
      </c>
      <c r="E546" s="737">
        <v>41116.770833333336</v>
      </c>
      <c r="F546" s="731">
        <v>41117.723611111112</v>
      </c>
      <c r="G546" s="730">
        <v>41117.723611111112</v>
      </c>
      <c r="H546" s="740" t="s">
        <v>2380</v>
      </c>
      <c r="I546" s="571" t="s">
        <v>826</v>
      </c>
      <c r="J546" s="738" t="s">
        <v>255</v>
      </c>
      <c r="K546" s="740" t="s">
        <v>2368</v>
      </c>
      <c r="L546" s="563" t="s">
        <v>45</v>
      </c>
      <c r="M546" s="635">
        <v>57054</v>
      </c>
    </row>
    <row r="547" spans="3:13" ht="20.25" thickBot="1">
      <c r="C547" s="735"/>
      <c r="D547" s="736">
        <v>41117.72152777778</v>
      </c>
      <c r="E547" s="737">
        <v>41117.72152777778</v>
      </c>
      <c r="F547" s="731">
        <v>41118.72152777778</v>
      </c>
      <c r="G547" s="730">
        <v>41118.72152777778</v>
      </c>
      <c r="H547" s="741" t="s">
        <v>2208</v>
      </c>
      <c r="I547" s="572" t="s">
        <v>826</v>
      </c>
      <c r="J547" s="738" t="s">
        <v>255</v>
      </c>
      <c r="K547" s="741" t="s">
        <v>2368</v>
      </c>
      <c r="L547" s="564" t="s">
        <v>45</v>
      </c>
      <c r="M547" s="637">
        <v>52702</v>
      </c>
    </row>
    <row r="548" spans="3:13" ht="19.5">
      <c r="C548" s="735"/>
      <c r="D548" s="736">
        <v>41122.5</v>
      </c>
      <c r="E548" s="737">
        <v>41122.5</v>
      </c>
      <c r="F548" s="731">
        <v>41122.5</v>
      </c>
      <c r="G548" s="730">
        <v>41122.5</v>
      </c>
      <c r="H548" s="573" t="s">
        <v>2428</v>
      </c>
      <c r="I548" s="573" t="s">
        <v>58</v>
      </c>
      <c r="J548" s="738" t="s">
        <v>255</v>
      </c>
      <c r="K548" s="573" t="s">
        <v>2221</v>
      </c>
      <c r="L548" s="605" t="s">
        <v>45</v>
      </c>
      <c r="M548" s="643" t="s">
        <v>45</v>
      </c>
    </row>
    <row r="549" spans="3:13" ht="19.5">
      <c r="C549" s="735"/>
      <c r="D549" s="736">
        <v>41125.163194444445</v>
      </c>
      <c r="E549" s="737">
        <v>41125.163194444445</v>
      </c>
      <c r="F549" s="731">
        <v>41125.181250000001</v>
      </c>
      <c r="G549" s="730">
        <v>41125.181250000001</v>
      </c>
      <c r="H549" s="541" t="s">
        <v>2429</v>
      </c>
      <c r="I549" s="541" t="s">
        <v>124</v>
      </c>
      <c r="J549" s="738" t="s">
        <v>255</v>
      </c>
      <c r="K549" s="541" t="s">
        <v>2037</v>
      </c>
      <c r="L549" s="563">
        <v>5</v>
      </c>
      <c r="M549" s="635">
        <v>127</v>
      </c>
    </row>
    <row r="550" spans="3:13" ht="19.5">
      <c r="C550" s="735"/>
      <c r="D550" s="736">
        <v>41125.166666666664</v>
      </c>
      <c r="E550" s="737">
        <v>41125.166666666664</v>
      </c>
      <c r="F550" s="731">
        <v>41125.305555555555</v>
      </c>
      <c r="G550" s="730">
        <v>41125.305555555555</v>
      </c>
      <c r="H550" s="541" t="s">
        <v>2426</v>
      </c>
      <c r="I550" s="541" t="s">
        <v>826</v>
      </c>
      <c r="J550" s="738" t="s">
        <v>255</v>
      </c>
      <c r="K550" s="541" t="s">
        <v>2368</v>
      </c>
      <c r="L550" s="563" t="s">
        <v>255</v>
      </c>
      <c r="M550" s="635">
        <v>61413</v>
      </c>
    </row>
    <row r="551" spans="3:13" ht="19.5">
      <c r="C551" s="735"/>
      <c r="D551" s="736">
        <v>41125.729166666664</v>
      </c>
      <c r="E551" s="737">
        <v>41125.729166666664</v>
      </c>
      <c r="F551" s="731">
        <v>41126.506944444445</v>
      </c>
      <c r="G551" s="730">
        <v>41126.506944444445</v>
      </c>
      <c r="H551" s="541" t="s">
        <v>2406</v>
      </c>
      <c r="I551" s="541" t="s">
        <v>826</v>
      </c>
      <c r="J551" s="738" t="s">
        <v>255</v>
      </c>
      <c r="K551" s="541" t="s">
        <v>2368</v>
      </c>
      <c r="L551" s="563" t="s">
        <v>45</v>
      </c>
      <c r="M551" s="635">
        <v>325000</v>
      </c>
    </row>
    <row r="552" spans="3:13" ht="19.5">
      <c r="C552" s="735"/>
      <c r="D552" s="736">
        <v>41132.53125</v>
      </c>
      <c r="E552" s="737">
        <v>41132.53125</v>
      </c>
      <c r="F552" s="731">
        <v>41132.708333333336</v>
      </c>
      <c r="G552" s="730">
        <v>41132.708333333336</v>
      </c>
      <c r="H552" s="541" t="s">
        <v>2332</v>
      </c>
      <c r="I552" s="541" t="s">
        <v>124</v>
      </c>
      <c r="J552" s="738" t="s">
        <v>255</v>
      </c>
      <c r="K552" s="541" t="s">
        <v>2150</v>
      </c>
      <c r="L552" s="563" t="s">
        <v>255</v>
      </c>
      <c r="M552" s="635" t="s">
        <v>255</v>
      </c>
    </row>
    <row r="553" spans="3:13" ht="19.5">
      <c r="C553" s="735"/>
      <c r="D553" s="736">
        <v>41134.552083333336</v>
      </c>
      <c r="E553" s="737">
        <v>41134.552083333336</v>
      </c>
      <c r="F553" s="731">
        <v>41134</v>
      </c>
      <c r="G553" s="730">
        <v>0.55208333333333337</v>
      </c>
      <c r="H553" s="541" t="s">
        <v>2230</v>
      </c>
      <c r="I553" s="541" t="s">
        <v>63</v>
      </c>
      <c r="J553" s="738" t="s">
        <v>255</v>
      </c>
      <c r="K553" s="541" t="s">
        <v>100</v>
      </c>
      <c r="L553" s="563" t="s">
        <v>45</v>
      </c>
      <c r="M553" s="635" t="s">
        <v>45</v>
      </c>
    </row>
    <row r="554" spans="3:13" ht="19.5">
      <c r="C554" s="735"/>
      <c r="D554" s="736">
        <v>41134.661111111112</v>
      </c>
      <c r="E554" s="737">
        <v>41134.661111111112</v>
      </c>
      <c r="F554" s="731">
        <v>41134</v>
      </c>
      <c r="G554" s="730">
        <v>0.8222222222222223</v>
      </c>
      <c r="H554" s="541" t="s">
        <v>2430</v>
      </c>
      <c r="I554" s="541" t="s">
        <v>124</v>
      </c>
      <c r="J554" s="738" t="s">
        <v>255</v>
      </c>
      <c r="K554" s="541" t="s">
        <v>2431</v>
      </c>
      <c r="L554" s="563">
        <v>655</v>
      </c>
      <c r="M554" s="635" t="s">
        <v>45</v>
      </c>
    </row>
    <row r="555" spans="3:13" ht="19.5">
      <c r="C555" s="735"/>
      <c r="D555" s="736">
        <v>41137.550694444442</v>
      </c>
      <c r="E555" s="737">
        <v>41137.550694444442</v>
      </c>
      <c r="F555" s="731">
        <v>41137.551388888889</v>
      </c>
      <c r="G555" s="730">
        <v>41137.550694444442</v>
      </c>
      <c r="H555" s="541" t="s">
        <v>2426</v>
      </c>
      <c r="I555" s="541" t="s">
        <v>826</v>
      </c>
      <c r="J555" s="738" t="s">
        <v>255</v>
      </c>
      <c r="K555" s="541" t="s">
        <v>100</v>
      </c>
      <c r="L555" s="563">
        <v>0</v>
      </c>
      <c r="M555" s="635">
        <v>0</v>
      </c>
    </row>
    <row r="556" spans="3:13" ht="19.5">
      <c r="C556" s="735"/>
      <c r="D556" s="736">
        <v>41140.362500000003</v>
      </c>
      <c r="E556" s="737">
        <v>41140.362500000003</v>
      </c>
      <c r="F556" s="731">
        <v>41140.505555555559</v>
      </c>
      <c r="G556" s="730">
        <v>41140.505555555559</v>
      </c>
      <c r="H556" s="541" t="s">
        <v>376</v>
      </c>
      <c r="I556" s="541" t="s">
        <v>124</v>
      </c>
      <c r="J556" s="738" t="s">
        <v>255</v>
      </c>
      <c r="K556" s="541" t="s">
        <v>2150</v>
      </c>
      <c r="L556" s="563">
        <v>12</v>
      </c>
      <c r="M556" s="635">
        <v>3314</v>
      </c>
    </row>
    <row r="557" spans="3:13" ht="19.5">
      <c r="C557" s="735"/>
      <c r="D557" s="736">
        <v>41147.919444444444</v>
      </c>
      <c r="E557" s="737">
        <v>41147.919444444444</v>
      </c>
      <c r="F557" s="731">
        <v>41148</v>
      </c>
      <c r="G557" s="730">
        <v>8.6111111111111124E-2</v>
      </c>
      <c r="H557" s="541" t="s">
        <v>34</v>
      </c>
      <c r="I557" s="541" t="s">
        <v>301</v>
      </c>
      <c r="J557" s="738" t="s">
        <v>255</v>
      </c>
      <c r="K557" s="541" t="s">
        <v>2432</v>
      </c>
      <c r="L557" s="563" t="s">
        <v>255</v>
      </c>
      <c r="M557" s="635">
        <v>440000</v>
      </c>
    </row>
    <row r="558" spans="3:13" ht="19.5">
      <c r="C558" s="735"/>
      <c r="D558" s="736">
        <v>41149.25</v>
      </c>
      <c r="E558" s="737">
        <v>41149.25</v>
      </c>
      <c r="F558" s="731">
        <v>41156.333333333336</v>
      </c>
      <c r="G558" s="730">
        <v>41156.333333333336</v>
      </c>
      <c r="H558" s="541" t="s">
        <v>2181</v>
      </c>
      <c r="I558" s="541" t="s">
        <v>63</v>
      </c>
      <c r="J558" s="738" t="s">
        <v>255</v>
      </c>
      <c r="K558" s="541" t="s">
        <v>2433</v>
      </c>
      <c r="L558" s="563" t="s">
        <v>45</v>
      </c>
      <c r="M558" s="635">
        <v>770000</v>
      </c>
    </row>
    <row r="559" spans="3:13" ht="19.5">
      <c r="C559" s="735"/>
      <c r="D559" s="736">
        <v>41150.286805555559</v>
      </c>
      <c r="E559" s="737">
        <v>41150.286805555559</v>
      </c>
      <c r="F559" s="731">
        <v>41151.583333333336</v>
      </c>
      <c r="G559" s="730">
        <v>41151.583333333336</v>
      </c>
      <c r="H559" s="541" t="s">
        <v>1577</v>
      </c>
      <c r="I559" s="541" t="s">
        <v>63</v>
      </c>
      <c r="J559" s="738" t="s">
        <v>255</v>
      </c>
      <c r="K559" s="541" t="s">
        <v>2433</v>
      </c>
      <c r="L559" s="563">
        <v>150</v>
      </c>
      <c r="M559" s="635">
        <v>68018</v>
      </c>
    </row>
    <row r="560" spans="3:13" ht="19.5">
      <c r="C560" s="735"/>
      <c r="D560" s="736">
        <v>41150.375</v>
      </c>
      <c r="E560" s="737">
        <v>41150.375</v>
      </c>
      <c r="F560" s="731">
        <v>41152.5</v>
      </c>
      <c r="G560" s="730">
        <v>41152.5</v>
      </c>
      <c r="H560" s="541" t="s">
        <v>1577</v>
      </c>
      <c r="I560" s="541" t="s">
        <v>63</v>
      </c>
      <c r="J560" s="738" t="s">
        <v>255</v>
      </c>
      <c r="K560" s="541" t="s">
        <v>2433</v>
      </c>
      <c r="L560" s="563">
        <v>300</v>
      </c>
      <c r="M560" s="635">
        <v>50000</v>
      </c>
    </row>
    <row r="561" spans="3:13" ht="20.25" thickBot="1">
      <c r="C561" s="735"/>
      <c r="D561" s="736">
        <v>41150.408333333333</v>
      </c>
      <c r="E561" s="737">
        <v>41150.408333333333</v>
      </c>
      <c r="F561" s="731">
        <v>41152.538194444445</v>
      </c>
      <c r="G561" s="730">
        <v>41152.538194444445</v>
      </c>
      <c r="H561" s="574" t="s">
        <v>1577</v>
      </c>
      <c r="I561" s="574" t="s">
        <v>58</v>
      </c>
      <c r="J561" s="738" t="s">
        <v>255</v>
      </c>
      <c r="K561" s="574" t="s">
        <v>2433</v>
      </c>
      <c r="L561" s="564" t="s">
        <v>45</v>
      </c>
      <c r="M561" s="637">
        <v>95000</v>
      </c>
    </row>
    <row r="562" spans="3:13" ht="19.5">
      <c r="C562" s="735"/>
      <c r="D562" s="736">
        <v>41157.455555555556</v>
      </c>
      <c r="E562" s="737">
        <v>41157.455555555556</v>
      </c>
      <c r="F562" s="731">
        <v>41157.477083333331</v>
      </c>
      <c r="G562" s="730">
        <v>41157.477083333331</v>
      </c>
      <c r="H562" s="533" t="s">
        <v>2418</v>
      </c>
      <c r="I562" s="534" t="s">
        <v>124</v>
      </c>
      <c r="J562" s="738" t="s">
        <v>255</v>
      </c>
      <c r="K562" s="534" t="s">
        <v>2037</v>
      </c>
      <c r="L562" s="535">
        <v>0</v>
      </c>
      <c r="M562" s="536">
        <v>0</v>
      </c>
    </row>
    <row r="563" spans="3:13" ht="19.5">
      <c r="C563" s="735"/>
      <c r="D563" s="736">
        <v>41158.197916666664</v>
      </c>
      <c r="E563" s="737">
        <v>41158.197916666664</v>
      </c>
      <c r="F563" s="731" t="s">
        <v>686</v>
      </c>
      <c r="G563" s="730" t="s">
        <v>686</v>
      </c>
      <c r="H563" s="533" t="s">
        <v>2434</v>
      </c>
      <c r="I563" s="534" t="s">
        <v>124</v>
      </c>
      <c r="J563" s="738" t="s">
        <v>255</v>
      </c>
      <c r="K563" s="534" t="s">
        <v>2394</v>
      </c>
      <c r="L563" s="535" t="s">
        <v>255</v>
      </c>
      <c r="M563" s="536" t="s">
        <v>255</v>
      </c>
    </row>
    <row r="564" spans="3:13" ht="19.5">
      <c r="C564" s="735"/>
      <c r="D564" s="736">
        <v>41159.895833333336</v>
      </c>
      <c r="E564" s="737">
        <v>41159.895833333336</v>
      </c>
      <c r="F564" s="731">
        <v>41160.041666666664</v>
      </c>
      <c r="G564" s="730">
        <v>41160.041666666664</v>
      </c>
      <c r="H564" s="533" t="s">
        <v>48</v>
      </c>
      <c r="I564" s="534" t="s">
        <v>63</v>
      </c>
      <c r="J564" s="738" t="s">
        <v>255</v>
      </c>
      <c r="K564" s="534" t="s">
        <v>2368</v>
      </c>
      <c r="L564" s="535" t="s">
        <v>2435</v>
      </c>
      <c r="M564" s="638">
        <v>64951</v>
      </c>
    </row>
    <row r="565" spans="3:13" ht="19.5">
      <c r="C565" s="735"/>
      <c r="D565" s="736">
        <v>41160.652777777781</v>
      </c>
      <c r="E565" s="737">
        <v>41160.652777777781</v>
      </c>
      <c r="F565" s="731">
        <v>41160.78125</v>
      </c>
      <c r="G565" s="730">
        <v>41160.78125</v>
      </c>
      <c r="H565" s="533" t="s">
        <v>2437</v>
      </c>
      <c r="I565" s="534" t="s">
        <v>826</v>
      </c>
      <c r="J565" s="738" t="s">
        <v>255</v>
      </c>
      <c r="K565" s="534" t="s">
        <v>2368</v>
      </c>
      <c r="L565" s="535" t="s">
        <v>2130</v>
      </c>
      <c r="M565" s="638">
        <v>65000</v>
      </c>
    </row>
    <row r="566" spans="3:13" ht="19.5">
      <c r="C566" s="735"/>
      <c r="D566" s="736">
        <v>41160.661805555559</v>
      </c>
      <c r="E566" s="737">
        <v>41160.661805555559</v>
      </c>
      <c r="F566" s="731">
        <v>41161.823611111111</v>
      </c>
      <c r="G566" s="730">
        <v>41161.823611111111</v>
      </c>
      <c r="H566" s="533" t="s">
        <v>2004</v>
      </c>
      <c r="I566" s="534" t="s">
        <v>63</v>
      </c>
      <c r="J566" s="738" t="s">
        <v>255</v>
      </c>
      <c r="K566" s="534" t="s">
        <v>2368</v>
      </c>
      <c r="L566" s="535">
        <v>475</v>
      </c>
      <c r="M566" s="638">
        <v>119000</v>
      </c>
    </row>
    <row r="567" spans="3:13" ht="19.5">
      <c r="C567" s="735"/>
      <c r="D567" s="736">
        <v>41163.541666666664</v>
      </c>
      <c r="E567" s="737">
        <v>41163.541666666664</v>
      </c>
      <c r="F567" s="731">
        <v>41163.581944444442</v>
      </c>
      <c r="G567" s="730">
        <v>41163.581944444442</v>
      </c>
      <c r="H567" s="533" t="s">
        <v>2418</v>
      </c>
      <c r="I567" s="534" t="s">
        <v>124</v>
      </c>
      <c r="J567" s="738" t="s">
        <v>255</v>
      </c>
      <c r="K567" s="534" t="s">
        <v>2037</v>
      </c>
      <c r="L567" s="535">
        <v>0</v>
      </c>
      <c r="M567" s="536">
        <v>0</v>
      </c>
    </row>
    <row r="568" spans="3:13" ht="19.5">
      <c r="C568" s="735"/>
      <c r="D568" s="736">
        <v>41176</v>
      </c>
      <c r="E568" s="737">
        <v>41176</v>
      </c>
      <c r="F568" s="731">
        <v>41177</v>
      </c>
      <c r="G568" s="730">
        <v>41177</v>
      </c>
      <c r="H568" s="533" t="s">
        <v>2438</v>
      </c>
      <c r="I568" s="534" t="s">
        <v>826</v>
      </c>
      <c r="J568" s="738" t="s">
        <v>255</v>
      </c>
      <c r="K568" s="534" t="s">
        <v>2150</v>
      </c>
      <c r="L568" s="535">
        <v>0</v>
      </c>
      <c r="M568" s="536">
        <v>0</v>
      </c>
    </row>
    <row r="569" spans="3:13" ht="19.5">
      <c r="C569" s="735"/>
      <c r="D569" s="736">
        <v>41178.886111111111</v>
      </c>
      <c r="E569" s="737">
        <v>41178.886111111111</v>
      </c>
      <c r="F569" s="731">
        <v>41178.929166666669</v>
      </c>
      <c r="G569" s="730">
        <v>41178.929166666669</v>
      </c>
      <c r="H569" s="567" t="s">
        <v>2271</v>
      </c>
      <c r="I569" s="575" t="s">
        <v>255</v>
      </c>
      <c r="J569" s="738" t="s">
        <v>255</v>
      </c>
      <c r="K569" s="575" t="s">
        <v>619</v>
      </c>
      <c r="L569" s="565">
        <v>600</v>
      </c>
      <c r="M569" s="639">
        <v>371526</v>
      </c>
    </row>
    <row r="570" spans="3:13" ht="19.5">
      <c r="C570" s="735"/>
      <c r="D570" s="736">
        <v>41187.729166666664</v>
      </c>
      <c r="E570" s="737">
        <v>41187.729166666664</v>
      </c>
      <c r="F570" s="731">
        <v>41187.743055555555</v>
      </c>
      <c r="G570" s="730">
        <v>41187.743055555555</v>
      </c>
      <c r="H570" s="541" t="s">
        <v>2439</v>
      </c>
      <c r="I570" s="541" t="s">
        <v>124</v>
      </c>
      <c r="J570" s="738" t="s">
        <v>255</v>
      </c>
      <c r="K570" s="541" t="s">
        <v>2150</v>
      </c>
      <c r="L570" s="563" t="s">
        <v>255</v>
      </c>
      <c r="M570" s="635" t="s">
        <v>255</v>
      </c>
    </row>
    <row r="571" spans="3:13" ht="19.5">
      <c r="C571" s="735"/>
      <c r="D571" s="736">
        <v>41191</v>
      </c>
      <c r="E571" s="737">
        <v>41191</v>
      </c>
      <c r="F571" s="731">
        <v>41191.000694444447</v>
      </c>
      <c r="G571" s="730">
        <v>41191.000694444447</v>
      </c>
      <c r="H571" s="541" t="s">
        <v>2313</v>
      </c>
      <c r="I571" s="541" t="s">
        <v>826</v>
      </c>
      <c r="J571" s="738" t="s">
        <v>255</v>
      </c>
      <c r="K571" s="541" t="s">
        <v>2440</v>
      </c>
      <c r="L571" s="563">
        <v>0</v>
      </c>
      <c r="M571" s="635">
        <v>0</v>
      </c>
    </row>
    <row r="572" spans="3:13" ht="19.5">
      <c r="C572" s="735"/>
      <c r="D572" s="736">
        <v>41193</v>
      </c>
      <c r="E572" s="737">
        <v>41193</v>
      </c>
      <c r="F572" s="731">
        <v>41193.000694444447</v>
      </c>
      <c r="G572" s="730">
        <v>41193.000694444447</v>
      </c>
      <c r="H572" s="541" t="s">
        <v>2313</v>
      </c>
      <c r="I572" s="541" t="s">
        <v>826</v>
      </c>
      <c r="J572" s="738" t="s">
        <v>255</v>
      </c>
      <c r="K572" s="541" t="s">
        <v>2440</v>
      </c>
      <c r="L572" s="563">
        <v>0</v>
      </c>
      <c r="M572" s="635">
        <v>0</v>
      </c>
    </row>
    <row r="573" spans="3:13" ht="19.5">
      <c r="C573" s="735"/>
      <c r="D573" s="736">
        <v>41196.441666666666</v>
      </c>
      <c r="E573" s="737">
        <v>41196.441666666666</v>
      </c>
      <c r="F573" s="731">
        <v>41196.451388888891</v>
      </c>
      <c r="G573" s="730">
        <v>41196.451388888891</v>
      </c>
      <c r="H573" s="541" t="s">
        <v>141</v>
      </c>
      <c r="I573" s="541" t="s">
        <v>124</v>
      </c>
      <c r="J573" s="738" t="s">
        <v>255</v>
      </c>
      <c r="K573" s="541" t="s">
        <v>2037</v>
      </c>
      <c r="L573" s="563">
        <v>3</v>
      </c>
      <c r="M573" s="635">
        <v>2035</v>
      </c>
    </row>
    <row r="574" spans="3:13" ht="19.5">
      <c r="C574" s="735"/>
      <c r="D574" s="736">
        <v>41197.59375</v>
      </c>
      <c r="E574" s="737">
        <v>41197.59375</v>
      </c>
      <c r="F574" s="731">
        <v>41197.594444444447</v>
      </c>
      <c r="G574" s="730">
        <v>41197.594444444447</v>
      </c>
      <c r="H574" s="541" t="s">
        <v>2441</v>
      </c>
      <c r="I574" s="541" t="s">
        <v>61</v>
      </c>
      <c r="J574" s="738" t="s">
        <v>255</v>
      </c>
      <c r="K574" s="541" t="s">
        <v>2442</v>
      </c>
      <c r="L574" s="563">
        <v>0</v>
      </c>
      <c r="M574" s="635">
        <v>0</v>
      </c>
    </row>
    <row r="575" spans="3:13" ht="19.5">
      <c r="C575" s="735"/>
      <c r="D575" s="736">
        <v>41204</v>
      </c>
      <c r="E575" s="737">
        <v>41204</v>
      </c>
      <c r="F575" s="731">
        <v>41204.000694444447</v>
      </c>
      <c r="G575" s="730">
        <v>41204.000694444447</v>
      </c>
      <c r="H575" s="541" t="s">
        <v>2443</v>
      </c>
      <c r="I575" s="541" t="s">
        <v>826</v>
      </c>
      <c r="J575" s="738" t="s">
        <v>255</v>
      </c>
      <c r="K575" s="541" t="s">
        <v>2444</v>
      </c>
      <c r="L575" s="563">
        <v>0</v>
      </c>
      <c r="M575" s="635">
        <v>0</v>
      </c>
    </row>
    <row r="576" spans="3:13" ht="19.5">
      <c r="C576" s="735"/>
      <c r="D576" s="736">
        <v>41205.381944444445</v>
      </c>
      <c r="E576" s="737">
        <v>41205.381944444445</v>
      </c>
      <c r="F576" s="731">
        <v>41205.386111111111</v>
      </c>
      <c r="G576" s="730">
        <v>41205.386111111111</v>
      </c>
      <c r="H576" s="541" t="s">
        <v>1628</v>
      </c>
      <c r="I576" s="541" t="s">
        <v>826</v>
      </c>
      <c r="J576" s="738" t="s">
        <v>255</v>
      </c>
      <c r="K576" s="541" t="s">
        <v>1806</v>
      </c>
      <c r="L576" s="563">
        <v>49</v>
      </c>
      <c r="M576" s="635">
        <v>9800</v>
      </c>
    </row>
    <row r="577" spans="3:13" ht="19.5">
      <c r="C577" s="735"/>
      <c r="D577" s="736">
        <v>41206</v>
      </c>
      <c r="E577" s="737">
        <v>41206</v>
      </c>
      <c r="F577" s="731">
        <v>41206.000694444447</v>
      </c>
      <c r="G577" s="730">
        <v>41206.000694444447</v>
      </c>
      <c r="H577" s="541" t="s">
        <v>2445</v>
      </c>
      <c r="I577" s="541" t="s">
        <v>826</v>
      </c>
      <c r="J577" s="738" t="s">
        <v>255</v>
      </c>
      <c r="K577" s="541" t="s">
        <v>2444</v>
      </c>
      <c r="L577" s="563">
        <v>0</v>
      </c>
      <c r="M577" s="635">
        <v>0</v>
      </c>
    </row>
    <row r="578" spans="3:13" ht="19.5">
      <c r="C578" s="735"/>
      <c r="D578" s="736">
        <v>41206</v>
      </c>
      <c r="E578" s="737">
        <v>41206</v>
      </c>
      <c r="F578" s="731">
        <v>41206.000694444447</v>
      </c>
      <c r="G578" s="730">
        <v>41206.000694444447</v>
      </c>
      <c r="H578" s="541" t="s">
        <v>2438</v>
      </c>
      <c r="I578" s="541" t="s">
        <v>826</v>
      </c>
      <c r="J578" s="738" t="s">
        <v>255</v>
      </c>
      <c r="K578" s="541" t="s">
        <v>2150</v>
      </c>
      <c r="L578" s="563">
        <v>0</v>
      </c>
      <c r="M578" s="635">
        <v>0</v>
      </c>
    </row>
    <row r="579" spans="3:13" ht="19.5">
      <c r="C579" s="735"/>
      <c r="D579" s="736">
        <v>41206.635416666664</v>
      </c>
      <c r="E579" s="737">
        <v>41206.635416666664</v>
      </c>
      <c r="F579" s="731">
        <v>41206.636111111111</v>
      </c>
      <c r="G579" s="730">
        <v>41206.636111111111</v>
      </c>
      <c r="H579" s="541" t="s">
        <v>2446</v>
      </c>
      <c r="I579" s="541" t="s">
        <v>826</v>
      </c>
      <c r="J579" s="738" t="s">
        <v>255</v>
      </c>
      <c r="K579" s="541" t="s">
        <v>2444</v>
      </c>
      <c r="L579" s="563">
        <v>0</v>
      </c>
      <c r="M579" s="635">
        <v>0</v>
      </c>
    </row>
    <row r="580" spans="3:13" ht="19.5">
      <c r="C580" s="735"/>
      <c r="D580" s="736">
        <v>41207</v>
      </c>
      <c r="E580" s="737">
        <v>41207</v>
      </c>
      <c r="F580" s="731">
        <v>41207.000694444447</v>
      </c>
      <c r="G580" s="730">
        <v>41207.000694444447</v>
      </c>
      <c r="H580" s="541" t="s">
        <v>2447</v>
      </c>
      <c r="I580" s="541" t="s">
        <v>826</v>
      </c>
      <c r="J580" s="738" t="s">
        <v>255</v>
      </c>
      <c r="K580" s="541" t="s">
        <v>2444</v>
      </c>
      <c r="L580" s="563" t="s">
        <v>255</v>
      </c>
      <c r="M580" s="635" t="s">
        <v>255</v>
      </c>
    </row>
    <row r="581" spans="3:13" ht="19.5">
      <c r="C581" s="735"/>
      <c r="D581" s="736">
        <v>41207.61041666667</v>
      </c>
      <c r="E581" s="737">
        <v>41207.61041666667</v>
      </c>
      <c r="F581" s="731">
        <v>41207.75</v>
      </c>
      <c r="G581" s="730">
        <v>41207.75</v>
      </c>
      <c r="H581" s="541" t="s">
        <v>2250</v>
      </c>
      <c r="I581" s="541" t="s">
        <v>124</v>
      </c>
      <c r="J581" s="738" t="s">
        <v>255</v>
      </c>
      <c r="K581" s="541" t="s">
        <v>2444</v>
      </c>
      <c r="L581" s="563">
        <v>0</v>
      </c>
      <c r="M581" s="635">
        <v>0</v>
      </c>
    </row>
    <row r="582" spans="3:13" ht="19.5">
      <c r="C582" s="735"/>
      <c r="D582" s="736">
        <v>41207.785416666666</v>
      </c>
      <c r="E582" s="737">
        <v>41207.785416666666</v>
      </c>
      <c r="F582" s="731">
        <v>41207.8125</v>
      </c>
      <c r="G582" s="730">
        <v>41207.8125</v>
      </c>
      <c r="H582" s="541" t="s">
        <v>2119</v>
      </c>
      <c r="I582" s="541" t="s">
        <v>826</v>
      </c>
      <c r="J582" s="738" t="s">
        <v>255</v>
      </c>
      <c r="K582" s="541" t="s">
        <v>2444</v>
      </c>
      <c r="L582" s="563">
        <v>0</v>
      </c>
      <c r="M582" s="635">
        <v>0</v>
      </c>
    </row>
    <row r="583" spans="3:13" ht="19.5">
      <c r="C583" s="735"/>
      <c r="D583" s="736">
        <v>41211</v>
      </c>
      <c r="E583" s="737">
        <v>41211</v>
      </c>
      <c r="F583" s="731">
        <v>41222.999305555553</v>
      </c>
      <c r="G583" s="730">
        <v>41222.999305555553</v>
      </c>
      <c r="H583" s="541" t="s">
        <v>2402</v>
      </c>
      <c r="I583" s="541" t="s">
        <v>826</v>
      </c>
      <c r="J583" s="738" t="s">
        <v>255</v>
      </c>
      <c r="K583" s="541" t="s">
        <v>2448</v>
      </c>
      <c r="L583" s="563">
        <v>0</v>
      </c>
      <c r="M583" s="635">
        <v>208000</v>
      </c>
    </row>
    <row r="584" spans="3:13" ht="19.5">
      <c r="C584" s="735"/>
      <c r="D584" s="736">
        <v>41211.333333333336</v>
      </c>
      <c r="E584" s="737">
        <v>41211.333333333336</v>
      </c>
      <c r="F584" s="731">
        <v>41217.958333333336</v>
      </c>
      <c r="G584" s="730">
        <v>41217.958333333336</v>
      </c>
      <c r="H584" s="541" t="s">
        <v>2288</v>
      </c>
      <c r="I584" s="541" t="s">
        <v>826</v>
      </c>
      <c r="J584" s="738" t="s">
        <v>255</v>
      </c>
      <c r="K584" s="541" t="s">
        <v>2448</v>
      </c>
      <c r="L584" s="563" t="s">
        <v>45</v>
      </c>
      <c r="M584" s="635" t="s">
        <v>45</v>
      </c>
    </row>
    <row r="585" spans="3:13" ht="19.5">
      <c r="C585" s="735"/>
      <c r="D585" s="736">
        <v>41211.375</v>
      </c>
      <c r="E585" s="737">
        <v>41211.375</v>
      </c>
      <c r="F585" s="731">
        <v>41211.375</v>
      </c>
      <c r="G585" s="730">
        <v>41211.375694444447</v>
      </c>
      <c r="H585" s="541" t="s">
        <v>2143</v>
      </c>
      <c r="I585" s="541" t="s">
        <v>124</v>
      </c>
      <c r="J585" s="738" t="s">
        <v>255</v>
      </c>
      <c r="K585" s="541" t="s">
        <v>2444</v>
      </c>
      <c r="L585" s="563">
        <v>0</v>
      </c>
      <c r="M585" s="635">
        <v>0</v>
      </c>
    </row>
    <row r="586" spans="3:13" ht="19.5">
      <c r="C586" s="735"/>
      <c r="D586" s="736">
        <v>41211.375</v>
      </c>
      <c r="E586" s="737">
        <v>41211.375</v>
      </c>
      <c r="F586" s="731">
        <v>41215</v>
      </c>
      <c r="G586" s="730">
        <v>0.75</v>
      </c>
      <c r="H586" s="541" t="s">
        <v>2449</v>
      </c>
      <c r="I586" s="541" t="s">
        <v>826</v>
      </c>
      <c r="J586" s="738" t="s">
        <v>255</v>
      </c>
      <c r="K586" s="541" t="s">
        <v>2448</v>
      </c>
      <c r="L586" s="563" t="s">
        <v>45</v>
      </c>
      <c r="M586" s="635">
        <v>70000</v>
      </c>
    </row>
    <row r="587" spans="3:13" ht="19.5">
      <c r="C587" s="735"/>
      <c r="D587" s="736">
        <v>41211.5</v>
      </c>
      <c r="E587" s="737">
        <v>41211.5</v>
      </c>
      <c r="F587" s="731">
        <v>41217</v>
      </c>
      <c r="G587" s="730">
        <v>0.95833333333333337</v>
      </c>
      <c r="H587" s="541" t="s">
        <v>2288</v>
      </c>
      <c r="I587" s="541" t="s">
        <v>826</v>
      </c>
      <c r="J587" s="738" t="s">
        <v>255</v>
      </c>
      <c r="K587" s="541" t="s">
        <v>2448</v>
      </c>
      <c r="L587" s="563" t="s">
        <v>45</v>
      </c>
      <c r="M587" s="635">
        <v>217000</v>
      </c>
    </row>
    <row r="588" spans="3:13" ht="19.5">
      <c r="C588" s="735"/>
      <c r="D588" s="736">
        <v>41211.541666666664</v>
      </c>
      <c r="E588" s="737">
        <v>41211.541666666664</v>
      </c>
      <c r="F588" s="731">
        <v>41225.583333333336</v>
      </c>
      <c r="G588" s="730">
        <v>41225.583333333336</v>
      </c>
      <c r="H588" s="541" t="s">
        <v>2284</v>
      </c>
      <c r="I588" s="541" t="s">
        <v>61</v>
      </c>
      <c r="J588" s="738" t="s">
        <v>255</v>
      </c>
      <c r="K588" s="541" t="s">
        <v>2448</v>
      </c>
      <c r="L588" s="563">
        <v>0</v>
      </c>
      <c r="M588" s="635">
        <v>632816</v>
      </c>
    </row>
    <row r="589" spans="3:13" ht="19.5">
      <c r="C589" s="735"/>
      <c r="D589" s="736">
        <v>41211.611111111109</v>
      </c>
      <c r="E589" s="737">
        <v>41211.611111111109</v>
      </c>
      <c r="F589" s="731">
        <v>41212.761111111111</v>
      </c>
      <c r="G589" s="730">
        <v>41212.761111111111</v>
      </c>
      <c r="H589" s="541" t="s">
        <v>2450</v>
      </c>
      <c r="I589" s="541" t="s">
        <v>61</v>
      </c>
      <c r="J589" s="738" t="s">
        <v>255</v>
      </c>
      <c r="K589" s="541" t="s">
        <v>2448</v>
      </c>
      <c r="L589" s="563" t="s">
        <v>45</v>
      </c>
      <c r="M589" s="635">
        <v>50000</v>
      </c>
    </row>
    <row r="590" spans="3:13" ht="19.5">
      <c r="C590" s="735"/>
      <c r="D590" s="736">
        <v>41211.614583333336</v>
      </c>
      <c r="E590" s="737">
        <v>41211.614583333336</v>
      </c>
      <c r="F590" s="731">
        <v>41214.0625</v>
      </c>
      <c r="G590" s="730">
        <v>41214.0625</v>
      </c>
      <c r="H590" s="541" t="s">
        <v>2281</v>
      </c>
      <c r="I590" s="541" t="s">
        <v>61</v>
      </c>
      <c r="J590" s="738" t="s">
        <v>255</v>
      </c>
      <c r="K590" s="541" t="s">
        <v>2448</v>
      </c>
      <c r="L590" s="563" t="s">
        <v>45</v>
      </c>
      <c r="M590" s="635">
        <v>50000</v>
      </c>
    </row>
    <row r="591" spans="3:13" ht="19.5">
      <c r="C591" s="735"/>
      <c r="D591" s="736">
        <v>41211.625</v>
      </c>
      <c r="E591" s="737">
        <v>41211.625</v>
      </c>
      <c r="F591" s="731">
        <v>41211.625</v>
      </c>
      <c r="G591" s="730">
        <v>41211.625694444447</v>
      </c>
      <c r="H591" s="541" t="s">
        <v>2452</v>
      </c>
      <c r="I591" s="541" t="s">
        <v>124</v>
      </c>
      <c r="J591" s="738" t="s">
        <v>255</v>
      </c>
      <c r="K591" s="541" t="s">
        <v>2150</v>
      </c>
      <c r="L591" s="563" t="s">
        <v>255</v>
      </c>
      <c r="M591" s="635" t="s">
        <v>255</v>
      </c>
    </row>
    <row r="592" spans="3:13" ht="19.5">
      <c r="C592" s="735"/>
      <c r="D592" s="736">
        <v>41211.635416666664</v>
      </c>
      <c r="E592" s="737">
        <v>41211.635416666664</v>
      </c>
      <c r="F592" s="731">
        <v>41217</v>
      </c>
      <c r="G592" s="730">
        <v>0.83333333333333337</v>
      </c>
      <c r="H592" s="541" t="s">
        <v>2453</v>
      </c>
      <c r="I592" s="541" t="s">
        <v>61</v>
      </c>
      <c r="J592" s="738" t="s">
        <v>255</v>
      </c>
      <c r="K592" s="541" t="s">
        <v>2448</v>
      </c>
      <c r="L592" s="563">
        <v>0</v>
      </c>
      <c r="M592" s="635">
        <v>649075</v>
      </c>
    </row>
    <row r="593" spans="3:13" ht="19.5">
      <c r="C593" s="735"/>
      <c r="D593" s="736">
        <v>41211.666666666664</v>
      </c>
      <c r="E593" s="737">
        <v>41211.666666666664</v>
      </c>
      <c r="F593" s="731">
        <v>41220.991666666669</v>
      </c>
      <c r="G593" s="730">
        <v>41220.991666666669</v>
      </c>
      <c r="H593" s="541" t="s">
        <v>52</v>
      </c>
      <c r="I593" s="541" t="s">
        <v>826</v>
      </c>
      <c r="J593" s="738" t="s">
        <v>255</v>
      </c>
      <c r="K593" s="541" t="s">
        <v>2448</v>
      </c>
      <c r="L593" s="563">
        <v>0</v>
      </c>
      <c r="M593" s="635">
        <v>270000</v>
      </c>
    </row>
    <row r="594" spans="3:13" ht="19.5">
      <c r="C594" s="735"/>
      <c r="D594" s="736">
        <v>41211.666666666664</v>
      </c>
      <c r="E594" s="737">
        <v>41211.666666666664</v>
      </c>
      <c r="F594" s="731">
        <v>41221.713888888888</v>
      </c>
      <c r="G594" s="730">
        <v>41221.713888888888</v>
      </c>
      <c r="H594" s="541" t="s">
        <v>2403</v>
      </c>
      <c r="I594" s="541" t="s">
        <v>826</v>
      </c>
      <c r="J594" s="738" t="s">
        <v>255</v>
      </c>
      <c r="K594" s="541" t="s">
        <v>2448</v>
      </c>
      <c r="L594" s="563" t="s">
        <v>45</v>
      </c>
      <c r="M594" s="635">
        <v>150000</v>
      </c>
    </row>
    <row r="595" spans="3:13" ht="19.5">
      <c r="C595" s="735"/>
      <c r="D595" s="736">
        <v>41211.666666666664</v>
      </c>
      <c r="E595" s="737">
        <v>41211.666666666664</v>
      </c>
      <c r="F595" s="731">
        <v>41218.999305555553</v>
      </c>
      <c r="G595" s="730">
        <v>41218.999305555553</v>
      </c>
      <c r="H595" s="541" t="s">
        <v>2454</v>
      </c>
      <c r="I595" s="541" t="s">
        <v>826</v>
      </c>
      <c r="J595" s="738" t="s">
        <v>255</v>
      </c>
      <c r="K595" s="541" t="s">
        <v>2448</v>
      </c>
      <c r="L595" s="563">
        <v>0</v>
      </c>
      <c r="M595" s="635">
        <v>346000</v>
      </c>
    </row>
    <row r="596" spans="3:13" ht="19.5">
      <c r="C596" s="735"/>
      <c r="D596" s="736">
        <v>41211.667361111111</v>
      </c>
      <c r="E596" s="737">
        <v>41211.667361111111</v>
      </c>
      <c r="F596" s="731">
        <v>41221</v>
      </c>
      <c r="G596" s="730">
        <v>41211.791666666664</v>
      </c>
      <c r="H596" s="541" t="s">
        <v>2455</v>
      </c>
      <c r="I596" s="541" t="s">
        <v>61</v>
      </c>
      <c r="J596" s="738" t="s">
        <v>255</v>
      </c>
      <c r="K596" s="541" t="s">
        <v>2448</v>
      </c>
      <c r="L596" s="563">
        <v>0</v>
      </c>
      <c r="M596" s="635">
        <v>818000</v>
      </c>
    </row>
    <row r="597" spans="3:13" ht="19.5">
      <c r="C597" s="735"/>
      <c r="D597" s="736">
        <v>41211.668749999997</v>
      </c>
      <c r="E597" s="737">
        <v>41211.668749999997</v>
      </c>
      <c r="F597" s="731">
        <v>41219</v>
      </c>
      <c r="G597" s="730">
        <v>0.5</v>
      </c>
      <c r="H597" s="541" t="s">
        <v>2288</v>
      </c>
      <c r="I597" s="541" t="s">
        <v>61</v>
      </c>
      <c r="J597" s="738" t="s">
        <v>255</v>
      </c>
      <c r="K597" s="541" t="s">
        <v>2448</v>
      </c>
      <c r="L597" s="563" t="s">
        <v>45</v>
      </c>
      <c r="M597" s="635">
        <v>50000</v>
      </c>
    </row>
    <row r="598" spans="3:13" ht="19.5">
      <c r="C598" s="735"/>
      <c r="D598" s="736">
        <v>41211.697916666664</v>
      </c>
      <c r="E598" s="737">
        <v>41211.697916666664</v>
      </c>
      <c r="F598" s="731">
        <v>41213.458333333336</v>
      </c>
      <c r="G598" s="730">
        <v>41213.458333333336</v>
      </c>
      <c r="H598" s="541" t="s">
        <v>1115</v>
      </c>
      <c r="I598" s="541" t="s">
        <v>61</v>
      </c>
      <c r="J598" s="738" t="s">
        <v>255</v>
      </c>
      <c r="K598" s="541" t="s">
        <v>2448</v>
      </c>
      <c r="L598" s="563" t="s">
        <v>255</v>
      </c>
      <c r="M598" s="635">
        <v>50000</v>
      </c>
    </row>
    <row r="599" spans="3:13" ht="19.5">
      <c r="C599" s="735"/>
      <c r="D599" s="736">
        <v>41211.717361111114</v>
      </c>
      <c r="E599" s="737">
        <v>41211.717361111114</v>
      </c>
      <c r="F599" s="731">
        <v>41213</v>
      </c>
      <c r="G599" s="730">
        <v>0.45833333333333331</v>
      </c>
      <c r="H599" s="541" t="s">
        <v>2456</v>
      </c>
      <c r="I599" s="541" t="s">
        <v>826</v>
      </c>
      <c r="J599" s="738" t="s">
        <v>255</v>
      </c>
      <c r="K599" s="541" t="s">
        <v>2448</v>
      </c>
      <c r="L599" s="563">
        <v>0</v>
      </c>
      <c r="M599" s="635">
        <v>219000</v>
      </c>
    </row>
    <row r="600" spans="3:13" ht="19.5">
      <c r="C600" s="735"/>
      <c r="D600" s="736">
        <v>41211.729166666664</v>
      </c>
      <c r="E600" s="737">
        <v>41211.729166666664</v>
      </c>
      <c r="F600" s="731">
        <v>41219</v>
      </c>
      <c r="G600" s="730">
        <v>41219</v>
      </c>
      <c r="H600" s="541" t="s">
        <v>2457</v>
      </c>
      <c r="I600" s="541" t="s">
        <v>826</v>
      </c>
      <c r="J600" s="738" t="s">
        <v>255</v>
      </c>
      <c r="K600" s="541" t="s">
        <v>2448</v>
      </c>
      <c r="L600" s="563" t="s">
        <v>45</v>
      </c>
      <c r="M600" s="635">
        <v>850000</v>
      </c>
    </row>
    <row r="601" spans="3:13" ht="19.5">
      <c r="C601" s="735"/>
      <c r="D601" s="736">
        <v>41211.757638888892</v>
      </c>
      <c r="E601" s="737">
        <v>41211.757638888892</v>
      </c>
      <c r="F601" s="731">
        <v>41217</v>
      </c>
      <c r="G601" s="730">
        <v>41211.951388888891</v>
      </c>
      <c r="H601" s="541" t="s">
        <v>2209</v>
      </c>
      <c r="I601" s="541" t="s">
        <v>826</v>
      </c>
      <c r="J601" s="738" t="s">
        <v>255</v>
      </c>
      <c r="K601" s="541" t="s">
        <v>2448</v>
      </c>
      <c r="L601" s="563" t="s">
        <v>45</v>
      </c>
      <c r="M601" s="635">
        <v>400000</v>
      </c>
    </row>
    <row r="602" spans="3:13" ht="19.5">
      <c r="C602" s="735"/>
      <c r="D602" s="736">
        <v>41211.758333333331</v>
      </c>
      <c r="E602" s="737">
        <v>41211.758333333331</v>
      </c>
      <c r="F602" s="731">
        <v>41212.815972222219</v>
      </c>
      <c r="G602" s="730">
        <v>41212.815972222219</v>
      </c>
      <c r="H602" s="541" t="s">
        <v>2004</v>
      </c>
      <c r="I602" s="541" t="s">
        <v>826</v>
      </c>
      <c r="J602" s="738" t="s">
        <v>255</v>
      </c>
      <c r="K602" s="541" t="s">
        <v>2448</v>
      </c>
      <c r="L602" s="563">
        <v>520</v>
      </c>
      <c r="M602" s="635">
        <v>156000</v>
      </c>
    </row>
    <row r="603" spans="3:13" ht="19.5">
      <c r="C603" s="735"/>
      <c r="D603" s="736">
        <v>41211.781944444447</v>
      </c>
      <c r="E603" s="737">
        <v>41211.781944444447</v>
      </c>
      <c r="F603" s="731">
        <v>41216</v>
      </c>
      <c r="G603" s="730">
        <v>41211.447916666664</v>
      </c>
      <c r="H603" s="541" t="s">
        <v>2458</v>
      </c>
      <c r="I603" s="541" t="s">
        <v>2459</v>
      </c>
      <c r="J603" s="738" t="s">
        <v>255</v>
      </c>
      <c r="K603" s="541" t="s">
        <v>2448</v>
      </c>
      <c r="L603" s="563" t="s">
        <v>45</v>
      </c>
      <c r="M603" s="635">
        <v>200000</v>
      </c>
    </row>
    <row r="604" spans="3:13" ht="19.5">
      <c r="C604" s="735"/>
      <c r="D604" s="736">
        <v>41211.783333333333</v>
      </c>
      <c r="E604" s="737">
        <v>41211.783333333333</v>
      </c>
      <c r="F604" s="731">
        <v>41217</v>
      </c>
      <c r="G604" s="730">
        <v>41211.48333333333</v>
      </c>
      <c r="H604" s="541" t="s">
        <v>30</v>
      </c>
      <c r="I604" s="541" t="s">
        <v>2460</v>
      </c>
      <c r="J604" s="738" t="s">
        <v>255</v>
      </c>
      <c r="K604" s="541" t="s">
        <v>2448</v>
      </c>
      <c r="L604" s="563" t="s">
        <v>45</v>
      </c>
      <c r="M604" s="635">
        <v>371000</v>
      </c>
    </row>
    <row r="605" spans="3:13" ht="19.5">
      <c r="C605" s="735"/>
      <c r="D605" s="736">
        <v>41211.791666666664</v>
      </c>
      <c r="E605" s="737">
        <v>41211.791666666664</v>
      </c>
      <c r="F605" s="731">
        <v>41215</v>
      </c>
      <c r="G605" s="730">
        <v>41211.208333333336</v>
      </c>
      <c r="H605" s="541" t="s">
        <v>2461</v>
      </c>
      <c r="I605" s="541" t="s">
        <v>2462</v>
      </c>
      <c r="J605" s="738" t="s">
        <v>255</v>
      </c>
      <c r="K605" s="541" t="s">
        <v>2463</v>
      </c>
      <c r="L605" s="563" t="s">
        <v>45</v>
      </c>
      <c r="M605" s="635">
        <v>173273</v>
      </c>
    </row>
    <row r="606" spans="3:13" ht="19.5">
      <c r="C606" s="735"/>
      <c r="D606" s="736">
        <v>41211.802083333336</v>
      </c>
      <c r="E606" s="737">
        <v>41211.802083333336</v>
      </c>
      <c r="F606" s="731">
        <v>41212.626388888886</v>
      </c>
      <c r="G606" s="730">
        <v>41212.626388888886</v>
      </c>
      <c r="H606" s="541" t="s">
        <v>2464</v>
      </c>
      <c r="I606" s="541" t="s">
        <v>61</v>
      </c>
      <c r="J606" s="738" t="s">
        <v>255</v>
      </c>
      <c r="K606" s="541" t="s">
        <v>2448</v>
      </c>
      <c r="L606" s="563" t="s">
        <v>45</v>
      </c>
      <c r="M606" s="635">
        <v>50000</v>
      </c>
    </row>
    <row r="607" spans="3:13" ht="19.5">
      <c r="C607" s="735"/>
      <c r="D607" s="736">
        <v>41212</v>
      </c>
      <c r="E607" s="737">
        <v>41212</v>
      </c>
      <c r="F607" s="731">
        <v>41212.001388888886</v>
      </c>
      <c r="G607" s="730">
        <v>41212.001388888886</v>
      </c>
      <c r="H607" s="541" t="s">
        <v>2465</v>
      </c>
      <c r="I607" s="541" t="s">
        <v>826</v>
      </c>
      <c r="J607" s="738" t="s">
        <v>255</v>
      </c>
      <c r="K607" s="541" t="s">
        <v>2444</v>
      </c>
      <c r="L607" s="563">
        <v>0</v>
      </c>
      <c r="M607" s="635">
        <v>0</v>
      </c>
    </row>
    <row r="608" spans="3:13" ht="19.5">
      <c r="C608" s="735"/>
      <c r="D608" s="736">
        <v>41212.083333333336</v>
      </c>
      <c r="E608" s="737">
        <v>41212.083333333336</v>
      </c>
      <c r="F608" s="731">
        <v>41214.916666666664</v>
      </c>
      <c r="G608" s="730">
        <v>41214.916666666664</v>
      </c>
      <c r="H608" s="541" t="s">
        <v>2466</v>
      </c>
      <c r="I608" s="541" t="s">
        <v>826</v>
      </c>
      <c r="J608" s="738" t="s">
        <v>255</v>
      </c>
      <c r="K608" s="541" t="s">
        <v>2463</v>
      </c>
      <c r="L608" s="563" t="s">
        <v>45</v>
      </c>
      <c r="M608" s="635">
        <v>133777</v>
      </c>
    </row>
    <row r="609" spans="3:13" ht="19.5">
      <c r="C609" s="735"/>
      <c r="D609" s="736">
        <v>41212.555555555555</v>
      </c>
      <c r="E609" s="737">
        <v>41212.555555555555</v>
      </c>
      <c r="F609" s="731">
        <v>41212.559027777781</v>
      </c>
      <c r="G609" s="730">
        <v>41212.559027777781</v>
      </c>
      <c r="H609" s="541" t="s">
        <v>2467</v>
      </c>
      <c r="I609" s="541" t="s">
        <v>61</v>
      </c>
      <c r="J609" s="738" t="s">
        <v>255</v>
      </c>
      <c r="K609" s="541" t="s">
        <v>2468</v>
      </c>
      <c r="L609" s="563">
        <v>0</v>
      </c>
      <c r="M609" s="635">
        <v>0</v>
      </c>
    </row>
    <row r="610" spans="3:13" ht="20.25" thickBot="1">
      <c r="C610" s="735"/>
      <c r="D610" s="736">
        <v>41212.625</v>
      </c>
      <c r="E610" s="737">
        <v>41212.625</v>
      </c>
      <c r="F610" s="731">
        <v>41212.625694444447</v>
      </c>
      <c r="G610" s="730">
        <v>41212.625694444447</v>
      </c>
      <c r="H610" s="574" t="s">
        <v>2250</v>
      </c>
      <c r="I610" s="574" t="s">
        <v>124</v>
      </c>
      <c r="J610" s="738" t="s">
        <v>255</v>
      </c>
      <c r="K610" s="574" t="s">
        <v>2444</v>
      </c>
      <c r="L610" s="564" t="s">
        <v>45</v>
      </c>
      <c r="M610" s="637" t="s">
        <v>45</v>
      </c>
    </row>
    <row r="611" spans="3:13" ht="19.5">
      <c r="C611" s="735"/>
      <c r="D611" s="736">
        <v>41215</v>
      </c>
      <c r="E611" s="737">
        <v>0.39583333333333331</v>
      </c>
      <c r="F611" s="731">
        <v>41215</v>
      </c>
      <c r="G611" s="730">
        <v>0.50694444444444442</v>
      </c>
      <c r="H611" s="541" t="s">
        <v>2469</v>
      </c>
      <c r="I611" s="541" t="s">
        <v>61</v>
      </c>
      <c r="J611" s="738" t="s">
        <v>255</v>
      </c>
      <c r="K611" s="541" t="s">
        <v>2444</v>
      </c>
      <c r="L611" s="563">
        <v>0</v>
      </c>
      <c r="M611" s="635">
        <v>0</v>
      </c>
    </row>
    <row r="612" spans="3:13" ht="19.5">
      <c r="C612" s="735"/>
      <c r="D612" s="736">
        <v>41220</v>
      </c>
      <c r="E612" s="737">
        <v>0.59791666666666665</v>
      </c>
      <c r="F612" s="731">
        <v>41220</v>
      </c>
      <c r="G612" s="730">
        <v>0.6166666666666667</v>
      </c>
      <c r="H612" s="541" t="s">
        <v>1115</v>
      </c>
      <c r="I612" s="541" t="s">
        <v>61</v>
      </c>
      <c r="J612" s="738" t="s">
        <v>255</v>
      </c>
      <c r="K612" s="541" t="s">
        <v>2444</v>
      </c>
      <c r="L612" s="563">
        <v>0</v>
      </c>
      <c r="M612" s="635">
        <v>0</v>
      </c>
    </row>
    <row r="613" spans="3:13" ht="19.5">
      <c r="C613" s="735"/>
      <c r="D613" s="736">
        <v>41221</v>
      </c>
      <c r="E613" s="737">
        <v>0.39861111111111108</v>
      </c>
      <c r="F613" s="731">
        <v>41221</v>
      </c>
      <c r="G613" s="730">
        <v>0.39930555555555558</v>
      </c>
      <c r="H613" s="541" t="s">
        <v>2470</v>
      </c>
      <c r="I613" s="541" t="s">
        <v>826</v>
      </c>
      <c r="J613" s="738" t="s">
        <v>255</v>
      </c>
      <c r="K613" s="541" t="s">
        <v>2444</v>
      </c>
      <c r="L613" s="563">
        <v>0</v>
      </c>
      <c r="M613" s="635">
        <v>0</v>
      </c>
    </row>
    <row r="614" spans="3:13" ht="19.5">
      <c r="C614" s="735"/>
      <c r="D614" s="736">
        <v>41228</v>
      </c>
      <c r="E614" s="737">
        <v>0.23472222222222219</v>
      </c>
      <c r="F614" s="731">
        <v>41228</v>
      </c>
      <c r="G614" s="730">
        <v>0.23541666666666669</v>
      </c>
      <c r="H614" s="541" t="s">
        <v>2471</v>
      </c>
      <c r="I614" s="541" t="s">
        <v>61</v>
      </c>
      <c r="J614" s="738" t="s">
        <v>255</v>
      </c>
      <c r="K614" s="541" t="s">
        <v>2444</v>
      </c>
      <c r="L614" s="563">
        <v>0</v>
      </c>
      <c r="M614" s="635">
        <v>0</v>
      </c>
    </row>
    <row r="615" spans="3:13" ht="19.5">
      <c r="C615" s="735"/>
      <c r="D615" s="736">
        <v>41228</v>
      </c>
      <c r="E615" s="737">
        <v>0.88124999999999998</v>
      </c>
      <c r="F615" s="731">
        <v>41228</v>
      </c>
      <c r="G615" s="730">
        <v>0.8930555555555556</v>
      </c>
      <c r="H615" s="541" t="s">
        <v>2473</v>
      </c>
      <c r="I615" s="541" t="s">
        <v>674</v>
      </c>
      <c r="J615" s="738" t="s">
        <v>255</v>
      </c>
      <c r="K615" s="541" t="s">
        <v>2139</v>
      </c>
      <c r="L615" s="563" t="s">
        <v>45</v>
      </c>
      <c r="M615" s="635" t="s">
        <v>45</v>
      </c>
    </row>
    <row r="616" spans="3:13" ht="19.5">
      <c r="C616" s="735"/>
      <c r="D616" s="736">
        <v>41230</v>
      </c>
      <c r="E616" s="737">
        <v>0.41666666666666669</v>
      </c>
      <c r="F616" s="731">
        <v>41231</v>
      </c>
      <c r="G616" s="730">
        <v>0.41666666666666669</v>
      </c>
      <c r="H616" s="541" t="s">
        <v>2474</v>
      </c>
      <c r="I616" s="541" t="s">
        <v>1352</v>
      </c>
      <c r="J616" s="738" t="s">
        <v>255</v>
      </c>
      <c r="K616" s="541" t="s">
        <v>1138</v>
      </c>
      <c r="L616" s="599">
        <v>1231</v>
      </c>
      <c r="M616" s="635">
        <v>0</v>
      </c>
    </row>
    <row r="617" spans="3:13" ht="19.5">
      <c r="C617" s="735"/>
      <c r="D617" s="736">
        <v>41234</v>
      </c>
      <c r="E617" s="737">
        <v>0.61805555555555558</v>
      </c>
      <c r="F617" s="731">
        <v>41234</v>
      </c>
      <c r="G617" s="730">
        <v>0.61875000000000002</v>
      </c>
      <c r="H617" s="541" t="s">
        <v>2309</v>
      </c>
      <c r="I617" s="541" t="s">
        <v>826</v>
      </c>
      <c r="J617" s="738" t="s">
        <v>255</v>
      </c>
      <c r="K617" s="541" t="s">
        <v>2444</v>
      </c>
      <c r="L617" s="563" t="s">
        <v>255</v>
      </c>
      <c r="M617" s="635" t="s">
        <v>255</v>
      </c>
    </row>
    <row r="618" spans="3:13" ht="19.5">
      <c r="C618" s="735"/>
      <c r="D618" s="736">
        <v>41239</v>
      </c>
      <c r="E618" s="737">
        <v>0.52569444444444446</v>
      </c>
      <c r="F618" s="731">
        <v>41239</v>
      </c>
      <c r="G618" s="730">
        <v>0.52638888888888891</v>
      </c>
      <c r="H618" s="585" t="s">
        <v>2475</v>
      </c>
      <c r="I618" s="541" t="s">
        <v>826</v>
      </c>
      <c r="J618" s="738" t="s">
        <v>255</v>
      </c>
      <c r="K618" s="541" t="s">
        <v>2444</v>
      </c>
      <c r="L618" s="563">
        <v>0</v>
      </c>
      <c r="M618" s="635">
        <v>0</v>
      </c>
    </row>
    <row r="619" spans="3:13" ht="19.5">
      <c r="C619" s="735"/>
      <c r="D619" s="736">
        <v>41239</v>
      </c>
      <c r="E619" s="737">
        <v>0.62986111111111109</v>
      </c>
      <c r="F619" s="731">
        <v>41239</v>
      </c>
      <c r="G619" s="730">
        <v>0.63055555555555554</v>
      </c>
      <c r="H619" s="541" t="s">
        <v>2476</v>
      </c>
      <c r="I619" s="541" t="s">
        <v>826</v>
      </c>
      <c r="J619" s="738" t="s">
        <v>255</v>
      </c>
      <c r="K619" s="541" t="s">
        <v>2444</v>
      </c>
      <c r="L619" s="563" t="s">
        <v>255</v>
      </c>
      <c r="M619" s="635" t="s">
        <v>255</v>
      </c>
    </row>
    <row r="620" spans="3:13" ht="20.25" thickBot="1">
      <c r="C620" s="735"/>
      <c r="D620" s="736">
        <v>41240</v>
      </c>
      <c r="E620" s="737">
        <v>0.54652777777777783</v>
      </c>
      <c r="F620" s="731">
        <v>41240</v>
      </c>
      <c r="G620" s="730">
        <v>0.56944444444444442</v>
      </c>
      <c r="H620" s="574" t="s">
        <v>1115</v>
      </c>
      <c r="I620" s="574" t="s">
        <v>61</v>
      </c>
      <c r="J620" s="738" t="s">
        <v>255</v>
      </c>
      <c r="K620" s="574" t="s">
        <v>2444</v>
      </c>
      <c r="L620" s="564">
        <v>0</v>
      </c>
      <c r="M620" s="637">
        <v>0</v>
      </c>
    </row>
    <row r="621" spans="3:13" ht="19.5">
      <c r="C621" s="735"/>
      <c r="D621" s="736">
        <v>41245</v>
      </c>
      <c r="E621" s="737">
        <v>0.22222222222222221</v>
      </c>
      <c r="F621" s="731">
        <v>41247</v>
      </c>
      <c r="G621" s="730">
        <v>0.375</v>
      </c>
      <c r="H621" s="576" t="s">
        <v>141</v>
      </c>
      <c r="I621" s="576" t="s">
        <v>124</v>
      </c>
      <c r="J621" s="738" t="s">
        <v>255</v>
      </c>
      <c r="K621" s="576" t="s">
        <v>2349</v>
      </c>
      <c r="L621" s="606">
        <v>250</v>
      </c>
      <c r="M621" s="644">
        <v>125000</v>
      </c>
    </row>
    <row r="622" spans="3:13" ht="19.5">
      <c r="C622" s="735"/>
      <c r="D622" s="736">
        <v>41246</v>
      </c>
      <c r="E622" s="737">
        <v>0.50138888888888888</v>
      </c>
      <c r="F622" s="731">
        <v>41246</v>
      </c>
      <c r="G622" s="730">
        <v>0.52083333333333337</v>
      </c>
      <c r="H622" s="534" t="s">
        <v>2332</v>
      </c>
      <c r="I622" s="534" t="s">
        <v>124</v>
      </c>
      <c r="J622" s="738" t="s">
        <v>255</v>
      </c>
      <c r="K622" s="534" t="s">
        <v>2150</v>
      </c>
      <c r="L622" s="535">
        <v>0</v>
      </c>
      <c r="M622" s="645">
        <v>0</v>
      </c>
    </row>
    <row r="623" spans="3:13" ht="19.5">
      <c r="C623" s="735"/>
      <c r="D623" s="736">
        <v>41249</v>
      </c>
      <c r="E623" s="737">
        <v>0.88750000000000007</v>
      </c>
      <c r="F623" s="731">
        <v>41249</v>
      </c>
      <c r="G623" s="730">
        <v>0.8965277777777777</v>
      </c>
      <c r="H623" s="534" t="s">
        <v>2477</v>
      </c>
      <c r="I623" s="534" t="s">
        <v>124</v>
      </c>
      <c r="J623" s="738" t="s">
        <v>255</v>
      </c>
      <c r="K623" s="534" t="s">
        <v>905</v>
      </c>
      <c r="L623" s="535">
        <v>390</v>
      </c>
      <c r="M623" s="645" t="s">
        <v>45</v>
      </c>
    </row>
    <row r="624" spans="3:13" ht="19.5">
      <c r="C624" s="735"/>
      <c r="D624" s="736">
        <v>41260</v>
      </c>
      <c r="E624" s="737">
        <v>0.28819444444444448</v>
      </c>
      <c r="F624" s="731">
        <v>41260</v>
      </c>
      <c r="G624" s="730">
        <v>0.29166666666666669</v>
      </c>
      <c r="H624" s="534" t="s">
        <v>2332</v>
      </c>
      <c r="I624" s="534" t="s">
        <v>124</v>
      </c>
      <c r="J624" s="738" t="s">
        <v>255</v>
      </c>
      <c r="K624" s="534" t="s">
        <v>2150</v>
      </c>
      <c r="L624" s="535">
        <v>0</v>
      </c>
      <c r="M624" s="645">
        <v>0</v>
      </c>
    </row>
    <row r="625" spans="3:13" ht="19.5">
      <c r="C625" s="735"/>
      <c r="D625" s="736">
        <v>41268</v>
      </c>
      <c r="E625" s="737">
        <v>3.125E-2</v>
      </c>
      <c r="F625" s="731">
        <v>41271</v>
      </c>
      <c r="G625" s="730">
        <v>0.67708333333333337</v>
      </c>
      <c r="H625" s="534" t="s">
        <v>2478</v>
      </c>
      <c r="I625" s="534" t="s">
        <v>58</v>
      </c>
      <c r="J625" s="738" t="s">
        <v>255</v>
      </c>
      <c r="K625" s="534" t="s">
        <v>2349</v>
      </c>
      <c r="L625" s="535" t="s">
        <v>45</v>
      </c>
      <c r="M625" s="645">
        <v>242509</v>
      </c>
    </row>
    <row r="626" spans="3:13" ht="19.5">
      <c r="C626" s="735"/>
      <c r="D626" s="736">
        <v>41268</v>
      </c>
      <c r="E626" s="737">
        <v>0.39444444444444443</v>
      </c>
      <c r="F626" s="731">
        <v>41269</v>
      </c>
      <c r="G626" s="730">
        <v>0.68611111111111101</v>
      </c>
      <c r="H626" s="534" t="s">
        <v>1098</v>
      </c>
      <c r="I626" s="534" t="s">
        <v>1352</v>
      </c>
      <c r="J626" s="738" t="s">
        <v>255</v>
      </c>
      <c r="K626" s="534" t="s">
        <v>2479</v>
      </c>
      <c r="L626" s="535">
        <v>294</v>
      </c>
      <c r="M626" s="645">
        <v>262000</v>
      </c>
    </row>
    <row r="627" spans="3:13" ht="19.5">
      <c r="C627" s="735"/>
      <c r="D627" s="736">
        <v>41269</v>
      </c>
      <c r="E627" s="737">
        <v>0.61805555555555558</v>
      </c>
      <c r="F627" s="731">
        <v>41269</v>
      </c>
      <c r="G627" s="730">
        <v>0.81944444444444453</v>
      </c>
      <c r="H627" s="534" t="s">
        <v>2480</v>
      </c>
      <c r="I627" s="534" t="s">
        <v>63</v>
      </c>
      <c r="J627" s="738" t="s">
        <v>255</v>
      </c>
      <c r="K627" s="534" t="s">
        <v>2481</v>
      </c>
      <c r="L627" s="535">
        <v>3</v>
      </c>
      <c r="M627" s="645">
        <v>1200</v>
      </c>
    </row>
    <row r="628" spans="3:13" ht="20.25" thickBot="1">
      <c r="C628" s="735"/>
      <c r="D628" s="736">
        <v>41274</v>
      </c>
      <c r="E628" s="737">
        <v>0.59791666666666665</v>
      </c>
      <c r="F628" s="731">
        <v>41274</v>
      </c>
      <c r="G628" s="730">
        <v>0.6875</v>
      </c>
      <c r="H628" s="577" t="s">
        <v>2482</v>
      </c>
      <c r="I628" s="577" t="s">
        <v>63</v>
      </c>
      <c r="J628" s="738" t="s">
        <v>255</v>
      </c>
      <c r="K628" s="577" t="s">
        <v>2483</v>
      </c>
      <c r="L628" s="607">
        <v>40</v>
      </c>
      <c r="M628" s="646">
        <v>12000</v>
      </c>
    </row>
    <row r="629" spans="3:13" ht="19.5">
      <c r="C629" s="735"/>
      <c r="D629" s="736">
        <v>41281</v>
      </c>
      <c r="E629" s="737">
        <v>0.4465277777777778</v>
      </c>
      <c r="F629" s="731">
        <v>41281</v>
      </c>
      <c r="G629" s="730">
        <v>0.4465277777777778</v>
      </c>
      <c r="H629" s="534" t="s">
        <v>2485</v>
      </c>
      <c r="I629" s="534" t="s">
        <v>826</v>
      </c>
      <c r="J629" s="735"/>
      <c r="K629" s="534" t="s">
        <v>2486</v>
      </c>
      <c r="L629" s="535" t="s">
        <v>45</v>
      </c>
      <c r="M629" s="536" t="s">
        <v>45</v>
      </c>
    </row>
    <row r="630" spans="3:13" ht="19.5">
      <c r="C630" s="735"/>
      <c r="D630" s="736">
        <v>41290</v>
      </c>
      <c r="E630" s="737">
        <v>0.60069444444444442</v>
      </c>
      <c r="F630" s="731">
        <v>41290</v>
      </c>
      <c r="G630" s="730">
        <v>0.60069444444444442</v>
      </c>
      <c r="H630" s="534" t="s">
        <v>2485</v>
      </c>
      <c r="I630" s="534" t="s">
        <v>826</v>
      </c>
      <c r="J630" s="735"/>
      <c r="K630" s="534" t="s">
        <v>2486</v>
      </c>
      <c r="L630" s="535" t="s">
        <v>45</v>
      </c>
      <c r="M630" s="536" t="s">
        <v>45</v>
      </c>
    </row>
    <row r="631" spans="3:13" ht="19.5">
      <c r="C631" s="735"/>
      <c r="D631" s="736">
        <v>41290</v>
      </c>
      <c r="E631" s="737">
        <v>0.69791666666666663</v>
      </c>
      <c r="F631" s="731">
        <v>41290</v>
      </c>
      <c r="G631" s="730">
        <v>0.80972222222222223</v>
      </c>
      <c r="H631" s="534" t="s">
        <v>2391</v>
      </c>
      <c r="I631" s="534" t="s">
        <v>124</v>
      </c>
      <c r="J631" s="735"/>
      <c r="K631" s="534" t="s">
        <v>2150</v>
      </c>
      <c r="L631" s="535">
        <v>0</v>
      </c>
      <c r="M631" s="536">
        <v>0</v>
      </c>
    </row>
    <row r="632" spans="3:13" ht="19.5">
      <c r="C632" s="735"/>
      <c r="D632" s="736">
        <v>41290</v>
      </c>
      <c r="E632" s="737">
        <v>0.32013888888888892</v>
      </c>
      <c r="F632" s="731">
        <v>41291</v>
      </c>
      <c r="G632" s="730">
        <v>0.45694444444444443</v>
      </c>
      <c r="H632" s="534" t="s">
        <v>2487</v>
      </c>
      <c r="I632" s="534" t="s">
        <v>674</v>
      </c>
      <c r="J632" s="735"/>
      <c r="K632" s="534" t="s">
        <v>2202</v>
      </c>
      <c r="L632" s="535" t="s">
        <v>255</v>
      </c>
      <c r="M632" s="536" t="s">
        <v>255</v>
      </c>
    </row>
    <row r="633" spans="3:13" ht="19.5">
      <c r="C633" s="735"/>
      <c r="D633" s="736">
        <v>41291</v>
      </c>
      <c r="E633" s="737">
        <v>0.75486111111111109</v>
      </c>
      <c r="F633" s="731">
        <v>41294</v>
      </c>
      <c r="G633" s="730">
        <v>0.8125</v>
      </c>
      <c r="H633" s="534" t="s">
        <v>2488</v>
      </c>
      <c r="I633" s="534" t="s">
        <v>826</v>
      </c>
      <c r="J633" s="735"/>
      <c r="K633" s="534" t="s">
        <v>2349</v>
      </c>
      <c r="L633" s="535" t="s">
        <v>45</v>
      </c>
      <c r="M633" s="638">
        <v>127000</v>
      </c>
    </row>
    <row r="634" spans="3:13" ht="19.5">
      <c r="C634" s="735"/>
      <c r="D634" s="736">
        <v>41291</v>
      </c>
      <c r="E634" s="737">
        <v>0.79305555555555562</v>
      </c>
      <c r="F634" s="731">
        <v>41293</v>
      </c>
      <c r="G634" s="730">
        <v>0.75</v>
      </c>
      <c r="H634" s="534" t="s">
        <v>2180</v>
      </c>
      <c r="I634" s="534" t="s">
        <v>63</v>
      </c>
      <c r="J634" s="735"/>
      <c r="K634" s="534" t="s">
        <v>2349</v>
      </c>
      <c r="L634" s="535" t="s">
        <v>45</v>
      </c>
      <c r="M634" s="638">
        <v>80000</v>
      </c>
    </row>
    <row r="635" spans="3:13" ht="19.5">
      <c r="C635" s="735"/>
      <c r="D635" s="736">
        <v>41291</v>
      </c>
      <c r="E635" s="737">
        <v>0.85763888888888884</v>
      </c>
      <c r="F635" s="731">
        <v>41291</v>
      </c>
      <c r="G635" s="730">
        <v>0.88888888888888884</v>
      </c>
      <c r="H635" s="534" t="s">
        <v>2489</v>
      </c>
      <c r="I635" s="534" t="s">
        <v>63</v>
      </c>
      <c r="J635" s="735"/>
      <c r="K635" s="534" t="s">
        <v>2490</v>
      </c>
      <c r="L635" s="535">
        <v>40</v>
      </c>
      <c r="M635" s="638">
        <v>12000</v>
      </c>
    </row>
    <row r="636" spans="3:13" ht="19.5">
      <c r="C636" s="735"/>
      <c r="D636" s="736">
        <v>41294</v>
      </c>
      <c r="E636" s="737">
        <v>0.14583333333333334</v>
      </c>
      <c r="F636" s="731">
        <v>41297</v>
      </c>
      <c r="G636" s="730">
        <v>0.26041666666666669</v>
      </c>
      <c r="H636" s="534" t="s">
        <v>268</v>
      </c>
      <c r="I636" s="534" t="s">
        <v>826</v>
      </c>
      <c r="J636" s="735"/>
      <c r="K636" s="534" t="s">
        <v>2491</v>
      </c>
      <c r="L636" s="535" t="s">
        <v>45</v>
      </c>
      <c r="M636" s="638">
        <v>146500</v>
      </c>
    </row>
    <row r="637" spans="3:13" ht="19.5">
      <c r="C637" s="735"/>
      <c r="D637" s="736">
        <v>41302</v>
      </c>
      <c r="E637" s="737">
        <v>0.69861111111111107</v>
      </c>
      <c r="F637" s="731">
        <v>41302</v>
      </c>
      <c r="G637" s="730">
        <v>0.75</v>
      </c>
      <c r="H637" s="534" t="s">
        <v>2492</v>
      </c>
      <c r="I637" s="534" t="s">
        <v>124</v>
      </c>
      <c r="J637" s="735"/>
      <c r="K637" s="534" t="s">
        <v>2202</v>
      </c>
      <c r="L637" s="535" t="s">
        <v>45</v>
      </c>
      <c r="M637" s="536" t="s">
        <v>45</v>
      </c>
    </row>
    <row r="638" spans="3:13" ht="19.5">
      <c r="C638" s="735"/>
      <c r="D638" s="736">
        <v>41305</v>
      </c>
      <c r="E638" s="737">
        <v>0.12847222222222224</v>
      </c>
      <c r="F638" s="731">
        <v>41305</v>
      </c>
      <c r="G638" s="730">
        <v>0.19999999999999998</v>
      </c>
      <c r="H638" s="534" t="s">
        <v>1196</v>
      </c>
      <c r="I638" s="534" t="s">
        <v>63</v>
      </c>
      <c r="J638" s="735"/>
      <c r="K638" s="534" t="s">
        <v>2491</v>
      </c>
      <c r="L638" s="535">
        <v>188</v>
      </c>
      <c r="M638" s="638">
        <v>119000</v>
      </c>
    </row>
    <row r="639" spans="3:13" ht="19.5">
      <c r="C639" s="735"/>
      <c r="D639" s="736">
        <v>41305</v>
      </c>
      <c r="E639" s="737">
        <v>0.27083333333333331</v>
      </c>
      <c r="F639" s="731">
        <v>41305</v>
      </c>
      <c r="G639" s="730">
        <v>0.41666666666666669</v>
      </c>
      <c r="H639" s="534" t="s">
        <v>1579</v>
      </c>
      <c r="I639" s="534" t="s">
        <v>61</v>
      </c>
      <c r="J639" s="735"/>
      <c r="K639" s="534" t="s">
        <v>2491</v>
      </c>
      <c r="L639" s="535">
        <v>75</v>
      </c>
      <c r="M639" s="638">
        <v>75000</v>
      </c>
    </row>
    <row r="640" spans="3:13" ht="19.5">
      <c r="C640" s="735"/>
      <c r="D640" s="736">
        <v>41307</v>
      </c>
      <c r="E640" s="737">
        <v>0.88541666666666663</v>
      </c>
      <c r="F640" s="731">
        <v>41307</v>
      </c>
      <c r="G640" s="730">
        <v>0.92708333333333337</v>
      </c>
      <c r="H640" s="534" t="s">
        <v>2493</v>
      </c>
      <c r="I640" s="534" t="s">
        <v>124</v>
      </c>
      <c r="J640" s="735"/>
      <c r="K640" s="534" t="s">
        <v>100</v>
      </c>
      <c r="L640" s="533" t="s">
        <v>255</v>
      </c>
      <c r="M640" s="647" t="s">
        <v>255</v>
      </c>
    </row>
    <row r="641" spans="3:13" ht="19.5">
      <c r="C641" s="735"/>
      <c r="D641" s="736">
        <v>41312</v>
      </c>
      <c r="E641" s="737">
        <v>0.35555555555555557</v>
      </c>
      <c r="F641" s="731">
        <v>41312</v>
      </c>
      <c r="G641" s="730">
        <v>0.40763888888888888</v>
      </c>
      <c r="H641" s="534" t="s">
        <v>72</v>
      </c>
      <c r="I641" s="534" t="s">
        <v>826</v>
      </c>
      <c r="J641" s="735"/>
      <c r="K641" s="534" t="s">
        <v>100</v>
      </c>
      <c r="L641" s="533" t="s">
        <v>45</v>
      </c>
      <c r="M641" s="647">
        <v>0</v>
      </c>
    </row>
    <row r="642" spans="3:13" ht="19.5">
      <c r="C642" s="735"/>
      <c r="D642" s="736">
        <v>41313</v>
      </c>
      <c r="E642" s="737">
        <v>0.48472222222222222</v>
      </c>
      <c r="F642" s="731">
        <v>41313</v>
      </c>
      <c r="G642" s="730">
        <v>0.59513888888888888</v>
      </c>
      <c r="H642" s="534" t="s">
        <v>2494</v>
      </c>
      <c r="I642" s="534" t="s">
        <v>826</v>
      </c>
      <c r="J642" s="735"/>
      <c r="K642" s="534" t="s">
        <v>2397</v>
      </c>
      <c r="L642" s="533">
        <v>140</v>
      </c>
      <c r="M642" s="647">
        <v>52000</v>
      </c>
    </row>
    <row r="643" spans="3:13" ht="19.5">
      <c r="C643" s="735"/>
      <c r="D643" s="736">
        <v>41313</v>
      </c>
      <c r="E643" s="737">
        <v>0.83333333333333337</v>
      </c>
      <c r="F643" s="731">
        <v>41316</v>
      </c>
      <c r="G643" s="730">
        <v>0.85416666666666663</v>
      </c>
      <c r="H643" s="534" t="s">
        <v>2495</v>
      </c>
      <c r="I643" s="534" t="s">
        <v>61</v>
      </c>
      <c r="J643" s="735"/>
      <c r="K643" s="534" t="s">
        <v>2496</v>
      </c>
      <c r="L643" s="533" t="s">
        <v>255</v>
      </c>
      <c r="M643" s="647">
        <v>50000</v>
      </c>
    </row>
    <row r="644" spans="3:13" ht="19.5">
      <c r="C644" s="735"/>
      <c r="D644" s="736">
        <v>41313</v>
      </c>
      <c r="E644" s="737">
        <v>0.87152777777777779</v>
      </c>
      <c r="F644" s="731">
        <v>41317</v>
      </c>
      <c r="G644" s="730">
        <v>0.16666666666666666</v>
      </c>
      <c r="H644" s="534" t="s">
        <v>2497</v>
      </c>
      <c r="I644" s="534" t="s">
        <v>61</v>
      </c>
      <c r="J644" s="735"/>
      <c r="K644" s="534" t="s">
        <v>2496</v>
      </c>
      <c r="L644" s="533" t="s">
        <v>45</v>
      </c>
      <c r="M644" s="647">
        <v>50000</v>
      </c>
    </row>
    <row r="645" spans="3:13" ht="19.5">
      <c r="C645" s="735"/>
      <c r="D645" s="736">
        <v>41314</v>
      </c>
      <c r="E645" s="737">
        <v>0.35416666666666669</v>
      </c>
      <c r="F645" s="731">
        <v>41314</v>
      </c>
      <c r="G645" s="730">
        <v>0.625</v>
      </c>
      <c r="H645" s="534" t="s">
        <v>2493</v>
      </c>
      <c r="I645" s="534" t="s">
        <v>124</v>
      </c>
      <c r="J645" s="735"/>
      <c r="K645" s="534" t="s">
        <v>2498</v>
      </c>
      <c r="L645" s="533" t="s">
        <v>45</v>
      </c>
      <c r="M645" s="647" t="s">
        <v>45</v>
      </c>
    </row>
    <row r="646" spans="3:13" ht="19.5">
      <c r="C646" s="735"/>
      <c r="D646" s="736">
        <v>41315</v>
      </c>
      <c r="E646" s="737">
        <v>0.82361111111111107</v>
      </c>
      <c r="F646" s="731">
        <v>41315</v>
      </c>
      <c r="G646" s="730">
        <v>0.84375</v>
      </c>
      <c r="H646" s="534" t="s">
        <v>2271</v>
      </c>
      <c r="I646" s="534" t="s">
        <v>255</v>
      </c>
      <c r="J646" s="735"/>
      <c r="K646" s="534" t="s">
        <v>2499</v>
      </c>
      <c r="L646" s="533">
        <v>350</v>
      </c>
      <c r="M646" s="647" t="s">
        <v>45</v>
      </c>
    </row>
    <row r="647" spans="3:13" ht="19.5">
      <c r="C647" s="735"/>
      <c r="D647" s="736">
        <v>41318</v>
      </c>
      <c r="E647" s="737">
        <v>0.39583333333333331</v>
      </c>
      <c r="F647" s="731">
        <v>41318</v>
      </c>
      <c r="G647" s="730">
        <v>0.39583333333333331</v>
      </c>
      <c r="H647" s="534" t="s">
        <v>2500</v>
      </c>
      <c r="I647" s="534" t="s">
        <v>826</v>
      </c>
      <c r="J647" s="735"/>
      <c r="K647" s="534" t="s">
        <v>100</v>
      </c>
      <c r="L647" s="533">
        <v>1</v>
      </c>
      <c r="M647" s="647">
        <v>1</v>
      </c>
    </row>
    <row r="648" spans="3:13" ht="19.5">
      <c r="C648" s="735"/>
      <c r="D648" s="736">
        <v>41318</v>
      </c>
      <c r="E648" s="737">
        <v>0.73541666666666661</v>
      </c>
      <c r="F648" s="731">
        <v>41320</v>
      </c>
      <c r="G648" s="730">
        <v>0.74305555555555547</v>
      </c>
      <c r="H648" s="534" t="s">
        <v>2281</v>
      </c>
      <c r="I648" s="534" t="s">
        <v>61</v>
      </c>
      <c r="J648" s="735"/>
      <c r="K648" s="534" t="s">
        <v>2501</v>
      </c>
      <c r="L648" s="533">
        <v>1</v>
      </c>
      <c r="M648" s="647">
        <v>1</v>
      </c>
    </row>
    <row r="649" spans="3:13" ht="19.5">
      <c r="C649" s="735"/>
      <c r="D649" s="736">
        <v>41320</v>
      </c>
      <c r="E649" s="737">
        <v>0</v>
      </c>
      <c r="F649" s="731">
        <v>41320</v>
      </c>
      <c r="G649" s="730">
        <v>6.9444444444444447E-4</v>
      </c>
      <c r="H649" s="534" t="s">
        <v>2502</v>
      </c>
      <c r="I649" s="534" t="s">
        <v>826</v>
      </c>
      <c r="J649" s="735"/>
      <c r="K649" s="534" t="s">
        <v>100</v>
      </c>
      <c r="L649" s="533" t="s">
        <v>255</v>
      </c>
      <c r="M649" s="647" t="s">
        <v>255</v>
      </c>
    </row>
    <row r="650" spans="3:13" ht="19.5">
      <c r="C650" s="735"/>
      <c r="D650" s="736">
        <v>41321</v>
      </c>
      <c r="E650" s="737">
        <v>0.32916666666666666</v>
      </c>
      <c r="F650" s="731">
        <v>41321</v>
      </c>
      <c r="G650" s="730">
        <v>0.32916666666666666</v>
      </c>
      <c r="H650" s="534" t="s">
        <v>2503</v>
      </c>
      <c r="I650" s="534" t="s">
        <v>826</v>
      </c>
      <c r="J650" s="735"/>
      <c r="K650" s="534" t="s">
        <v>100</v>
      </c>
      <c r="L650" s="533">
        <v>1</v>
      </c>
      <c r="M650" s="647">
        <v>1</v>
      </c>
    </row>
    <row r="651" spans="3:13" ht="19.5">
      <c r="C651" s="735"/>
      <c r="D651" s="736">
        <v>41324</v>
      </c>
      <c r="E651" s="737">
        <v>0.66736111111111107</v>
      </c>
      <c r="F651" s="731">
        <v>41325</v>
      </c>
      <c r="G651" s="730">
        <v>0.53819444444444442</v>
      </c>
      <c r="H651" s="534" t="s">
        <v>2504</v>
      </c>
      <c r="I651" s="534" t="s">
        <v>124</v>
      </c>
      <c r="J651" s="735"/>
      <c r="K651" s="534" t="s">
        <v>2037</v>
      </c>
      <c r="L651" s="608">
        <v>13850</v>
      </c>
      <c r="M651" s="647">
        <v>6810</v>
      </c>
    </row>
    <row r="652" spans="3:13" ht="19.5">
      <c r="C652" s="735"/>
      <c r="D652" s="736">
        <v>41326</v>
      </c>
      <c r="E652" s="737">
        <v>0.45833333333333331</v>
      </c>
      <c r="F652" s="731">
        <v>41326</v>
      </c>
      <c r="G652" s="730">
        <v>0.47916666666666669</v>
      </c>
      <c r="H652" s="575" t="s">
        <v>2505</v>
      </c>
      <c r="I652" s="575" t="s">
        <v>124</v>
      </c>
      <c r="J652" s="735"/>
      <c r="K652" s="575" t="s">
        <v>100</v>
      </c>
      <c r="L652" s="567" t="s">
        <v>45</v>
      </c>
      <c r="M652" s="648" t="s">
        <v>45</v>
      </c>
    </row>
    <row r="653" spans="3:13" ht="20.25" thickBot="1">
      <c r="C653" s="735"/>
      <c r="D653" s="736">
        <v>41331</v>
      </c>
      <c r="E653" s="737">
        <v>0.54166666666666663</v>
      </c>
      <c r="F653" s="731">
        <v>41334</v>
      </c>
      <c r="G653" s="730">
        <v>0.41666666666666669</v>
      </c>
      <c r="H653" s="574" t="s">
        <v>2506</v>
      </c>
      <c r="I653" s="574" t="s">
        <v>63</v>
      </c>
      <c r="J653" s="735"/>
      <c r="K653" s="574" t="s">
        <v>2496</v>
      </c>
      <c r="L653" s="569" t="s">
        <v>45</v>
      </c>
      <c r="M653" s="649">
        <v>56444</v>
      </c>
    </row>
    <row r="654" spans="3:13" ht="19.5">
      <c r="C654" s="735"/>
      <c r="D654" s="736">
        <v>41336</v>
      </c>
      <c r="E654" s="737">
        <v>0.27708333333333335</v>
      </c>
      <c r="F654" s="731">
        <v>41336</v>
      </c>
      <c r="G654" s="730">
        <v>0.4368055555555555</v>
      </c>
      <c r="H654" s="609" t="s">
        <v>2507</v>
      </c>
      <c r="I654" s="576" t="s">
        <v>124</v>
      </c>
      <c r="J654" s="735"/>
      <c r="K654" s="576" t="s">
        <v>1806</v>
      </c>
      <c r="L654" s="609">
        <v>300</v>
      </c>
      <c r="M654" s="650">
        <v>58850</v>
      </c>
    </row>
    <row r="655" spans="3:13" ht="19.5">
      <c r="C655" s="735"/>
      <c r="D655" s="736">
        <v>41336</v>
      </c>
      <c r="E655" s="737">
        <v>0.68541666666666667</v>
      </c>
      <c r="F655" s="731">
        <v>41336</v>
      </c>
      <c r="G655" s="730">
        <v>0.76388888888888884</v>
      </c>
      <c r="H655" s="533" t="s">
        <v>2508</v>
      </c>
      <c r="I655" s="534" t="s">
        <v>826</v>
      </c>
      <c r="J655" s="735"/>
      <c r="K655" s="534" t="s">
        <v>100</v>
      </c>
      <c r="L655" s="533" t="s">
        <v>45</v>
      </c>
      <c r="M655" s="647" t="s">
        <v>45</v>
      </c>
    </row>
    <row r="656" spans="3:13" ht="19.5">
      <c r="C656" s="735"/>
      <c r="D656" s="736">
        <v>41337</v>
      </c>
      <c r="E656" s="737">
        <v>0.40902777777777777</v>
      </c>
      <c r="F656" s="731">
        <v>41337</v>
      </c>
      <c r="G656" s="730">
        <v>0.91666666666666663</v>
      </c>
      <c r="H656" s="533" t="s">
        <v>2509</v>
      </c>
      <c r="I656" s="534" t="s">
        <v>255</v>
      </c>
      <c r="J656" s="735"/>
      <c r="K656" s="534" t="s">
        <v>2510</v>
      </c>
      <c r="L656" s="533" t="s">
        <v>45</v>
      </c>
      <c r="M656" s="647" t="s">
        <v>45</v>
      </c>
    </row>
    <row r="657" spans="3:13" ht="19.5">
      <c r="C657" s="735"/>
      <c r="D657" s="736">
        <v>41339</v>
      </c>
      <c r="E657" s="737">
        <v>0.34861111111111115</v>
      </c>
      <c r="F657" s="731">
        <v>41340</v>
      </c>
      <c r="G657" s="730">
        <v>0.43541666666666662</v>
      </c>
      <c r="H657" s="533" t="s">
        <v>2511</v>
      </c>
      <c r="I657" s="534" t="s">
        <v>63</v>
      </c>
      <c r="J657" s="735"/>
      <c r="K657" s="534" t="s">
        <v>2349</v>
      </c>
      <c r="L657" s="533">
        <v>400</v>
      </c>
      <c r="M657" s="647">
        <v>233000</v>
      </c>
    </row>
    <row r="658" spans="3:13" ht="19.5">
      <c r="C658" s="735"/>
      <c r="D658" s="736">
        <v>41351</v>
      </c>
      <c r="E658" s="737">
        <v>0.22291666666666665</v>
      </c>
      <c r="F658" s="731">
        <v>41351</v>
      </c>
      <c r="G658" s="730">
        <v>0.23680555555555557</v>
      </c>
      <c r="H658" s="533" t="s">
        <v>2512</v>
      </c>
      <c r="I658" s="534" t="s">
        <v>255</v>
      </c>
      <c r="J658" s="735"/>
      <c r="K658" s="534" t="s">
        <v>2513</v>
      </c>
      <c r="L658" s="533">
        <v>350</v>
      </c>
      <c r="M658" s="647">
        <v>262937</v>
      </c>
    </row>
    <row r="659" spans="3:13" ht="19.5">
      <c r="C659" s="735"/>
      <c r="D659" s="736">
        <v>41351</v>
      </c>
      <c r="E659" s="737">
        <v>0.74305555555555547</v>
      </c>
      <c r="F659" s="731">
        <v>41351</v>
      </c>
      <c r="G659" s="730">
        <v>0.75486111111111109</v>
      </c>
      <c r="H659" s="533" t="s">
        <v>2514</v>
      </c>
      <c r="I659" s="534" t="s">
        <v>301</v>
      </c>
      <c r="J659" s="735"/>
      <c r="K659" s="534" t="s">
        <v>2150</v>
      </c>
      <c r="L659" s="533">
        <v>0</v>
      </c>
      <c r="M659" s="647">
        <v>0</v>
      </c>
    </row>
    <row r="660" spans="3:13" ht="19.5">
      <c r="C660" s="735"/>
      <c r="D660" s="736">
        <v>41351</v>
      </c>
      <c r="E660" s="737">
        <v>0.8125</v>
      </c>
      <c r="F660" s="731">
        <v>41353</v>
      </c>
      <c r="G660" s="730">
        <v>0.60416666666666663</v>
      </c>
      <c r="H660" s="533" t="s">
        <v>2515</v>
      </c>
      <c r="I660" s="534" t="s">
        <v>63</v>
      </c>
      <c r="J660" s="735"/>
      <c r="K660" s="534" t="s">
        <v>2368</v>
      </c>
      <c r="L660" s="533">
        <v>800</v>
      </c>
      <c r="M660" s="647">
        <v>240000</v>
      </c>
    </row>
    <row r="661" spans="3:13" ht="19.5">
      <c r="C661" s="735"/>
      <c r="D661" s="736">
        <v>41356</v>
      </c>
      <c r="E661" s="737">
        <v>0.29166666666666669</v>
      </c>
      <c r="F661" s="731">
        <v>41356</v>
      </c>
      <c r="G661" s="730">
        <v>0.375</v>
      </c>
      <c r="H661" s="533" t="s">
        <v>1579</v>
      </c>
      <c r="I661" s="534" t="s">
        <v>61</v>
      </c>
      <c r="J661" s="735"/>
      <c r="K661" s="534" t="s">
        <v>100</v>
      </c>
      <c r="L661" s="533" t="s">
        <v>45</v>
      </c>
      <c r="M661" s="647" t="s">
        <v>45</v>
      </c>
    </row>
    <row r="662" spans="3:13" ht="19.5">
      <c r="C662" s="735"/>
      <c r="D662" s="736">
        <v>41360</v>
      </c>
      <c r="E662" s="737">
        <v>0.43402777777777773</v>
      </c>
      <c r="F662" s="731">
        <v>41360</v>
      </c>
      <c r="G662" s="730">
        <v>0.5131944444444444</v>
      </c>
      <c r="H662" s="533" t="s">
        <v>2516</v>
      </c>
      <c r="I662" s="534" t="s">
        <v>61</v>
      </c>
      <c r="J662" s="735"/>
      <c r="K662" s="534" t="s">
        <v>2444</v>
      </c>
      <c r="L662" s="533" t="s">
        <v>45</v>
      </c>
      <c r="M662" s="647" t="s">
        <v>45</v>
      </c>
    </row>
    <row r="663" spans="3:13" ht="19.5">
      <c r="C663" s="735"/>
      <c r="D663" s="736">
        <v>41361</v>
      </c>
      <c r="E663" s="737">
        <v>0.54236111111111118</v>
      </c>
      <c r="F663" s="731">
        <v>41361</v>
      </c>
      <c r="G663" s="730">
        <v>0.54305555555555551</v>
      </c>
      <c r="H663" s="533" t="s">
        <v>2310</v>
      </c>
      <c r="I663" s="534" t="s">
        <v>826</v>
      </c>
      <c r="J663" s="735"/>
      <c r="K663" s="534" t="s">
        <v>100</v>
      </c>
      <c r="L663" s="533" t="s">
        <v>45</v>
      </c>
      <c r="M663" s="647" t="s">
        <v>45</v>
      </c>
    </row>
    <row r="664" spans="3:13" ht="20.25" thickBot="1">
      <c r="C664" s="735"/>
      <c r="D664" s="736">
        <v>41362</v>
      </c>
      <c r="E664" s="737">
        <v>0.42777777777777781</v>
      </c>
      <c r="F664" s="731">
        <v>41362</v>
      </c>
      <c r="G664" s="730">
        <v>0.4284722222222222</v>
      </c>
      <c r="H664" s="578" t="s">
        <v>2123</v>
      </c>
      <c r="I664" s="577" t="s">
        <v>826</v>
      </c>
      <c r="J664" s="735"/>
      <c r="K664" s="577" t="s">
        <v>2150</v>
      </c>
      <c r="L664" s="578" t="s">
        <v>45</v>
      </c>
      <c r="M664" s="651" t="s">
        <v>45</v>
      </c>
    </row>
    <row r="665" spans="3:13" ht="19.5">
      <c r="C665" s="735"/>
      <c r="D665" s="736">
        <v>41365</v>
      </c>
      <c r="E665" s="737">
        <v>0.3611111111111111</v>
      </c>
      <c r="F665" s="731">
        <v>41365</v>
      </c>
      <c r="G665" s="730">
        <v>0.36180555555555555</v>
      </c>
      <c r="H665" s="576" t="s">
        <v>1579</v>
      </c>
      <c r="I665" s="576" t="s">
        <v>61</v>
      </c>
      <c r="J665" s="735"/>
      <c r="K665" s="576" t="s">
        <v>2517</v>
      </c>
      <c r="L665" s="609" t="s">
        <v>45</v>
      </c>
      <c r="M665" s="650" t="s">
        <v>45</v>
      </c>
    </row>
    <row r="666" spans="3:13" ht="19.5">
      <c r="C666" s="735"/>
      <c r="D666" s="736">
        <v>41367</v>
      </c>
      <c r="E666" s="737">
        <v>0.46180555555555558</v>
      </c>
      <c r="F666" s="731">
        <v>41367</v>
      </c>
      <c r="G666" s="730">
        <v>0.58333333333333337</v>
      </c>
      <c r="H666" s="534" t="s">
        <v>2518</v>
      </c>
      <c r="I666" s="534" t="s">
        <v>124</v>
      </c>
      <c r="J666" s="735"/>
      <c r="K666" s="534" t="s">
        <v>2519</v>
      </c>
      <c r="L666" s="533">
        <v>0</v>
      </c>
      <c r="M666" s="647">
        <v>0</v>
      </c>
    </row>
    <row r="667" spans="3:13" ht="19.5">
      <c r="C667" s="735"/>
      <c r="D667" s="736">
        <v>41373</v>
      </c>
      <c r="E667" s="737">
        <v>0.47916666666666669</v>
      </c>
      <c r="F667" s="731">
        <v>41373</v>
      </c>
      <c r="G667" s="730">
        <v>0.47986111111111113</v>
      </c>
      <c r="H667" s="534" t="s">
        <v>2520</v>
      </c>
      <c r="I667" s="534" t="s">
        <v>826</v>
      </c>
      <c r="J667" s="735"/>
      <c r="K667" s="534" t="s">
        <v>100</v>
      </c>
      <c r="L667" s="533" t="s">
        <v>255</v>
      </c>
      <c r="M667" s="647" t="s">
        <v>255</v>
      </c>
    </row>
    <row r="668" spans="3:13" ht="19.5">
      <c r="C668" s="735"/>
      <c r="D668" s="736">
        <v>41380</v>
      </c>
      <c r="E668" s="737">
        <v>7.4305555555555555E-2</v>
      </c>
      <c r="F668" s="731">
        <v>41382</v>
      </c>
      <c r="G668" s="730">
        <v>0.64236111111111105</v>
      </c>
      <c r="H668" s="534" t="s">
        <v>18</v>
      </c>
      <c r="I668" s="534" t="s">
        <v>124</v>
      </c>
      <c r="J668" s="735"/>
      <c r="K668" s="534" t="s">
        <v>2521</v>
      </c>
      <c r="L668" s="533" t="s">
        <v>255</v>
      </c>
      <c r="M668" s="647">
        <v>0</v>
      </c>
    </row>
    <row r="669" spans="3:13" ht="19.5">
      <c r="C669" s="735"/>
      <c r="D669" s="736">
        <v>41381</v>
      </c>
      <c r="E669" s="737">
        <v>0.65</v>
      </c>
      <c r="F669" s="731">
        <v>41381</v>
      </c>
      <c r="G669" s="730">
        <v>0.70347222222222217</v>
      </c>
      <c r="H669" s="534" t="s">
        <v>2522</v>
      </c>
      <c r="I669" s="534" t="s">
        <v>63</v>
      </c>
      <c r="J669" s="735"/>
      <c r="K669" s="534" t="s">
        <v>2150</v>
      </c>
      <c r="L669" s="533" t="s">
        <v>45</v>
      </c>
      <c r="M669" s="647" t="s">
        <v>45</v>
      </c>
    </row>
    <row r="670" spans="3:13" ht="19.5">
      <c r="C670" s="735"/>
      <c r="D670" s="736">
        <v>41382</v>
      </c>
      <c r="E670" s="737">
        <v>0.625</v>
      </c>
      <c r="F670" s="731">
        <v>41385</v>
      </c>
      <c r="G670" s="730">
        <v>0.14583333333333334</v>
      </c>
      <c r="H670" s="534" t="s">
        <v>2523</v>
      </c>
      <c r="I670" s="534" t="s">
        <v>826</v>
      </c>
      <c r="J670" s="735"/>
      <c r="K670" s="534" t="s">
        <v>2524</v>
      </c>
      <c r="L670" s="533" t="s">
        <v>45</v>
      </c>
      <c r="M670" s="647">
        <v>99188</v>
      </c>
    </row>
    <row r="671" spans="3:13" ht="19.5">
      <c r="C671" s="735"/>
      <c r="D671" s="736">
        <v>41385</v>
      </c>
      <c r="E671" s="737">
        <v>9.0972222222222218E-2</v>
      </c>
      <c r="F671" s="731">
        <v>41385</v>
      </c>
      <c r="G671" s="730">
        <v>0.52083333333333337</v>
      </c>
      <c r="H671" s="534" t="s">
        <v>2525</v>
      </c>
      <c r="I671" s="534" t="s">
        <v>63</v>
      </c>
      <c r="J671" s="735"/>
      <c r="K671" s="534" t="s">
        <v>2150</v>
      </c>
      <c r="L671" s="533" t="s">
        <v>255</v>
      </c>
      <c r="M671" s="647" t="s">
        <v>255</v>
      </c>
    </row>
    <row r="672" spans="3:13" ht="19.5">
      <c r="C672" s="735"/>
      <c r="D672" s="736">
        <v>41387</v>
      </c>
      <c r="E672" s="737">
        <v>0.45833333333333331</v>
      </c>
      <c r="F672" s="731">
        <v>41387</v>
      </c>
      <c r="G672" s="730">
        <v>0.45902777777777781</v>
      </c>
      <c r="H672" s="534" t="s">
        <v>2119</v>
      </c>
      <c r="I672" s="534" t="s">
        <v>826</v>
      </c>
      <c r="J672" s="735"/>
      <c r="K672" s="534" t="s">
        <v>100</v>
      </c>
      <c r="L672" s="533" t="s">
        <v>45</v>
      </c>
      <c r="M672" s="647" t="s">
        <v>45</v>
      </c>
    </row>
    <row r="673" spans="3:13" ht="19.5">
      <c r="C673" s="735"/>
      <c r="D673" s="736">
        <v>41387</v>
      </c>
      <c r="E673" s="737">
        <v>3.4027777777777775E-2</v>
      </c>
      <c r="F673" s="731">
        <v>41387</v>
      </c>
      <c r="G673" s="730">
        <v>0.16944444444444443</v>
      </c>
      <c r="H673" s="534" t="s">
        <v>2526</v>
      </c>
      <c r="I673" s="534" t="s">
        <v>124</v>
      </c>
      <c r="J673" s="735"/>
      <c r="K673" s="534" t="s">
        <v>2037</v>
      </c>
      <c r="L673" s="533">
        <v>80</v>
      </c>
      <c r="M673" s="647">
        <v>1</v>
      </c>
    </row>
    <row r="674" spans="3:13" ht="20.25" thickBot="1">
      <c r="C674" s="735"/>
      <c r="D674" s="736">
        <v>41389</v>
      </c>
      <c r="E674" s="737">
        <v>0.66666666666666663</v>
      </c>
      <c r="F674" s="731">
        <v>41390</v>
      </c>
      <c r="G674" s="730">
        <v>0.4548611111111111</v>
      </c>
      <c r="H674" s="577" t="s">
        <v>2527</v>
      </c>
      <c r="I674" s="577" t="s">
        <v>124</v>
      </c>
      <c r="J674" s="735"/>
      <c r="K674" s="577" t="s">
        <v>100</v>
      </c>
      <c r="L674" s="578">
        <v>0</v>
      </c>
      <c r="M674" s="651">
        <v>0</v>
      </c>
    </row>
    <row r="675" spans="3:13" ht="19.5">
      <c r="C675" s="735"/>
      <c r="D675" s="736">
        <v>41395</v>
      </c>
      <c r="E675" s="737">
        <v>0.39027777777777778</v>
      </c>
      <c r="F675" s="731">
        <v>41395</v>
      </c>
      <c r="G675" s="730">
        <v>0.39166666666666666</v>
      </c>
      <c r="H675" s="576" t="s">
        <v>2528</v>
      </c>
      <c r="I675" s="576" t="s">
        <v>124</v>
      </c>
      <c r="J675" s="735"/>
      <c r="K675" s="576" t="s">
        <v>2037</v>
      </c>
      <c r="L675" s="609">
        <v>123</v>
      </c>
      <c r="M675" s="650">
        <v>35230</v>
      </c>
    </row>
    <row r="676" spans="3:13" ht="19.5">
      <c r="C676" s="735"/>
      <c r="D676" s="736">
        <v>41396</v>
      </c>
      <c r="E676" s="737">
        <v>0.28611111111111115</v>
      </c>
      <c r="F676" s="731">
        <v>41396</v>
      </c>
      <c r="G676" s="730">
        <v>0.42152777777777778</v>
      </c>
      <c r="H676" s="534" t="s">
        <v>45</v>
      </c>
      <c r="I676" s="534" t="s">
        <v>124</v>
      </c>
      <c r="J676" s="735"/>
      <c r="K676" s="534" t="s">
        <v>2037</v>
      </c>
      <c r="L676" s="533" t="s">
        <v>45</v>
      </c>
      <c r="M676" s="647" t="s">
        <v>45</v>
      </c>
    </row>
    <row r="677" spans="3:13" ht="19.5">
      <c r="C677" s="735"/>
      <c r="D677" s="736">
        <v>41403</v>
      </c>
      <c r="E677" s="737">
        <v>0.55625000000000002</v>
      </c>
      <c r="F677" s="731">
        <v>41403</v>
      </c>
      <c r="G677" s="730">
        <v>0.68125000000000002</v>
      </c>
      <c r="H677" s="534" t="s">
        <v>2529</v>
      </c>
      <c r="I677" s="534" t="s">
        <v>124</v>
      </c>
      <c r="J677" s="735"/>
      <c r="K677" s="534" t="s">
        <v>2037</v>
      </c>
      <c r="L677" s="533" t="s">
        <v>45</v>
      </c>
      <c r="M677" s="647" t="s">
        <v>45</v>
      </c>
    </row>
    <row r="678" spans="3:13" ht="19.5">
      <c r="C678" s="735"/>
      <c r="D678" s="736">
        <v>41407</v>
      </c>
      <c r="E678" s="737">
        <v>0.53611111111111109</v>
      </c>
      <c r="F678" s="731" t="s">
        <v>686</v>
      </c>
      <c r="G678" s="730" t="s">
        <v>686</v>
      </c>
      <c r="H678" s="534" t="s">
        <v>1922</v>
      </c>
      <c r="I678" s="534" t="s">
        <v>124</v>
      </c>
      <c r="J678" s="735"/>
      <c r="K678" s="534" t="s">
        <v>2530</v>
      </c>
      <c r="L678" s="533">
        <v>176</v>
      </c>
      <c r="M678" s="647" t="s">
        <v>45</v>
      </c>
    </row>
    <row r="679" spans="3:13" ht="19.5">
      <c r="C679" s="735"/>
      <c r="D679" s="736">
        <v>41408</v>
      </c>
      <c r="E679" s="737">
        <v>6.9444444444444447E-4</v>
      </c>
      <c r="F679" s="731">
        <v>41408</v>
      </c>
      <c r="G679" s="730">
        <v>0.58263888888888882</v>
      </c>
      <c r="H679" s="534" t="s">
        <v>2531</v>
      </c>
      <c r="I679" s="534" t="s">
        <v>124</v>
      </c>
      <c r="J679" s="735"/>
      <c r="K679" s="534" t="s">
        <v>2532</v>
      </c>
      <c r="L679" s="533" t="s">
        <v>255</v>
      </c>
      <c r="M679" s="647" t="s">
        <v>255</v>
      </c>
    </row>
    <row r="680" spans="3:13" ht="19.5">
      <c r="C680" s="735"/>
      <c r="D680" s="736">
        <v>41408</v>
      </c>
      <c r="E680" s="737">
        <v>0.43402777777777773</v>
      </c>
      <c r="F680" s="731">
        <v>41408</v>
      </c>
      <c r="G680" s="730">
        <v>0.48749999999999999</v>
      </c>
      <c r="H680" s="534" t="s">
        <v>1115</v>
      </c>
      <c r="I680" s="534" t="s">
        <v>61</v>
      </c>
      <c r="J680" s="735"/>
      <c r="K680" s="534" t="s">
        <v>100</v>
      </c>
      <c r="L680" s="533" t="s">
        <v>255</v>
      </c>
      <c r="M680" s="647" t="s">
        <v>255</v>
      </c>
    </row>
    <row r="681" spans="3:13" ht="19.5">
      <c r="C681" s="735"/>
      <c r="D681" s="736">
        <v>41409</v>
      </c>
      <c r="E681" s="737">
        <v>0.59097222222222223</v>
      </c>
      <c r="F681" s="731">
        <v>41409</v>
      </c>
      <c r="G681" s="730">
        <v>0.59166666666666667</v>
      </c>
      <c r="H681" s="534" t="s">
        <v>2310</v>
      </c>
      <c r="I681" s="534" t="s">
        <v>826</v>
      </c>
      <c r="J681" s="735"/>
      <c r="K681" s="534" t="s">
        <v>100</v>
      </c>
      <c r="L681" s="533" t="s">
        <v>45</v>
      </c>
      <c r="M681" s="647" t="s">
        <v>45</v>
      </c>
    </row>
    <row r="682" spans="3:13" ht="19.5">
      <c r="C682" s="735"/>
      <c r="D682" s="736">
        <v>41411</v>
      </c>
      <c r="E682" s="737">
        <v>0.3576388888888889</v>
      </c>
      <c r="F682" s="731">
        <v>41411</v>
      </c>
      <c r="G682" s="730">
        <v>0.35833333333333334</v>
      </c>
      <c r="H682" s="534" t="s">
        <v>2533</v>
      </c>
      <c r="I682" s="534" t="s">
        <v>826</v>
      </c>
      <c r="J682" s="735"/>
      <c r="K682" s="534" t="s">
        <v>100</v>
      </c>
      <c r="L682" s="533" t="s">
        <v>45</v>
      </c>
      <c r="M682" s="647" t="s">
        <v>45</v>
      </c>
    </row>
    <row r="683" spans="3:13" ht="19.5">
      <c r="C683" s="735"/>
      <c r="D683" s="736">
        <v>41414</v>
      </c>
      <c r="E683" s="737">
        <v>0.625</v>
      </c>
      <c r="F683" s="731">
        <v>41416</v>
      </c>
      <c r="G683" s="730">
        <v>0.70833333333333337</v>
      </c>
      <c r="H683" s="534" t="s">
        <v>2534</v>
      </c>
      <c r="I683" s="534" t="s">
        <v>58</v>
      </c>
      <c r="J683" s="735"/>
      <c r="K683" s="534" t="s">
        <v>2535</v>
      </c>
      <c r="L683" s="533" t="s">
        <v>45</v>
      </c>
      <c r="M683" s="647">
        <v>41306</v>
      </c>
    </row>
    <row r="684" spans="3:13" ht="19.5">
      <c r="C684" s="735"/>
      <c r="D684" s="736">
        <v>41414</v>
      </c>
      <c r="E684" s="737">
        <v>0.72361111111111109</v>
      </c>
      <c r="F684" s="731">
        <v>41414</v>
      </c>
      <c r="G684" s="730">
        <v>0.88124999999999998</v>
      </c>
      <c r="H684" s="534" t="s">
        <v>2536</v>
      </c>
      <c r="I684" s="534" t="s">
        <v>63</v>
      </c>
      <c r="J684" s="735"/>
      <c r="K684" s="534" t="s">
        <v>2537</v>
      </c>
      <c r="L684" s="533">
        <v>103</v>
      </c>
      <c r="M684" s="647">
        <v>21800</v>
      </c>
    </row>
    <row r="685" spans="3:13" ht="19.5">
      <c r="C685" s="735"/>
      <c r="D685" s="736">
        <v>41416</v>
      </c>
      <c r="E685" s="737">
        <v>0.45208333333333334</v>
      </c>
      <c r="F685" s="731">
        <v>41416</v>
      </c>
      <c r="G685" s="730">
        <v>0.45624999999999999</v>
      </c>
      <c r="H685" s="534" t="s">
        <v>2538</v>
      </c>
      <c r="I685" s="534" t="s">
        <v>255</v>
      </c>
      <c r="J685" s="735"/>
      <c r="K685" s="534" t="s">
        <v>968</v>
      </c>
      <c r="L685" s="533">
        <v>280</v>
      </c>
      <c r="M685" s="647">
        <v>197287</v>
      </c>
    </row>
    <row r="686" spans="3:13" ht="19.5">
      <c r="C686" s="735"/>
      <c r="D686" s="736">
        <v>41422</v>
      </c>
      <c r="E686" s="737">
        <v>0.54166666666666663</v>
      </c>
      <c r="F686" s="731">
        <v>41422</v>
      </c>
      <c r="G686" s="730">
        <v>0.75</v>
      </c>
      <c r="H686" s="534" t="s">
        <v>2079</v>
      </c>
      <c r="I686" s="534" t="s">
        <v>61</v>
      </c>
      <c r="J686" s="735"/>
      <c r="K686" s="534" t="s">
        <v>2532</v>
      </c>
      <c r="L686" s="533" t="s">
        <v>80</v>
      </c>
      <c r="M686" s="647" t="s">
        <v>80</v>
      </c>
    </row>
    <row r="687" spans="3:13" ht="19.5">
      <c r="C687" s="735"/>
      <c r="D687" s="736">
        <v>41423</v>
      </c>
      <c r="E687" s="737">
        <v>0</v>
      </c>
      <c r="F687" s="731">
        <v>41423</v>
      </c>
      <c r="G687" s="730">
        <v>1.3888888888888889E-3</v>
      </c>
      <c r="H687" s="534" t="s">
        <v>2539</v>
      </c>
      <c r="I687" s="534" t="s">
        <v>63</v>
      </c>
      <c r="J687" s="735"/>
      <c r="K687" s="534" t="s">
        <v>2202</v>
      </c>
      <c r="L687" s="533" t="s">
        <v>45</v>
      </c>
      <c r="M687" s="647" t="s">
        <v>45</v>
      </c>
    </row>
    <row r="688" spans="3:13" ht="19.5">
      <c r="C688" s="735"/>
      <c r="D688" s="736">
        <v>41423</v>
      </c>
      <c r="E688" s="737">
        <v>0.87361111111111101</v>
      </c>
      <c r="F688" s="731">
        <v>41425</v>
      </c>
      <c r="G688" s="730">
        <v>0.62013888888888891</v>
      </c>
      <c r="H688" s="534" t="s">
        <v>2540</v>
      </c>
      <c r="I688" s="534" t="s">
        <v>61</v>
      </c>
      <c r="J688" s="735"/>
      <c r="K688" s="534" t="s">
        <v>2368</v>
      </c>
      <c r="L688" s="533" t="s">
        <v>45</v>
      </c>
      <c r="M688" s="647">
        <v>61795</v>
      </c>
    </row>
    <row r="689" spans="3:13" ht="19.5">
      <c r="C689" s="735"/>
      <c r="D689" s="736">
        <v>41423</v>
      </c>
      <c r="E689" s="737">
        <v>0.41111111111111115</v>
      </c>
      <c r="F689" s="731">
        <v>41423</v>
      </c>
      <c r="G689" s="730">
        <v>0.41180555555555554</v>
      </c>
      <c r="H689" s="534" t="s">
        <v>2310</v>
      </c>
      <c r="I689" s="534" t="s">
        <v>826</v>
      </c>
      <c r="J689" s="735"/>
      <c r="K689" s="534" t="s">
        <v>2532</v>
      </c>
      <c r="L689" s="533" t="s">
        <v>255</v>
      </c>
      <c r="M689" s="647" t="s">
        <v>255</v>
      </c>
    </row>
    <row r="690" spans="3:13" ht="19.5">
      <c r="C690" s="735"/>
      <c r="D690" s="736">
        <v>41424</v>
      </c>
      <c r="E690" s="737">
        <v>0.42708333333333331</v>
      </c>
      <c r="F690" s="731">
        <v>41424</v>
      </c>
      <c r="G690" s="730">
        <v>0.42777777777777781</v>
      </c>
      <c r="H690" s="534" t="s">
        <v>2299</v>
      </c>
      <c r="I690" s="534" t="s">
        <v>61</v>
      </c>
      <c r="J690" s="735"/>
      <c r="K690" s="534" t="s">
        <v>100</v>
      </c>
      <c r="L690" s="533" t="s">
        <v>255</v>
      </c>
      <c r="M690" s="647" t="s">
        <v>255</v>
      </c>
    </row>
    <row r="691" spans="3:13" ht="19.5">
      <c r="C691" s="735"/>
      <c r="D691" s="736">
        <v>41425</v>
      </c>
      <c r="E691" s="737">
        <v>4.1666666666666664E-2</v>
      </c>
      <c r="F691" s="731">
        <v>41425</v>
      </c>
      <c r="G691" s="730">
        <v>6.25E-2</v>
      </c>
      <c r="H691" s="534" t="s">
        <v>2541</v>
      </c>
      <c r="I691" s="534" t="s">
        <v>58</v>
      </c>
      <c r="J691" s="735"/>
      <c r="K691" s="534" t="s">
        <v>2542</v>
      </c>
      <c r="L691" s="533" t="s">
        <v>255</v>
      </c>
      <c r="M691" s="647" t="s">
        <v>255</v>
      </c>
    </row>
    <row r="692" spans="3:13" ht="19.5">
      <c r="C692" s="735"/>
      <c r="D692" s="736">
        <v>41425</v>
      </c>
      <c r="E692" s="737">
        <v>0.75</v>
      </c>
      <c r="F692" s="731">
        <v>41429</v>
      </c>
      <c r="G692" s="730">
        <v>0.4375</v>
      </c>
      <c r="H692" s="534" t="s">
        <v>2543</v>
      </c>
      <c r="I692" s="534" t="s">
        <v>58</v>
      </c>
      <c r="J692" s="735"/>
      <c r="K692" s="534" t="s">
        <v>2535</v>
      </c>
      <c r="L692" s="533" t="s">
        <v>45</v>
      </c>
      <c r="M692" s="647">
        <v>127000</v>
      </c>
    </row>
    <row r="693" spans="3:13" ht="19.5">
      <c r="C693" s="735"/>
      <c r="D693" s="736">
        <v>41425</v>
      </c>
      <c r="E693" s="737">
        <v>0.79652777777777783</v>
      </c>
      <c r="F693" s="731">
        <v>41426</v>
      </c>
      <c r="G693" s="730">
        <v>0.59375</v>
      </c>
      <c r="H693" s="534" t="s">
        <v>2544</v>
      </c>
      <c r="I693" s="534" t="s">
        <v>674</v>
      </c>
      <c r="J693" s="735"/>
      <c r="K693" s="534" t="s">
        <v>1806</v>
      </c>
      <c r="L693" s="533">
        <v>102</v>
      </c>
      <c r="M693" s="647">
        <v>6300</v>
      </c>
    </row>
    <row r="694" spans="3:13" ht="20.25" thickBot="1">
      <c r="C694" s="735"/>
      <c r="D694" s="736">
        <v>41425</v>
      </c>
      <c r="E694" s="737">
        <v>0.8125</v>
      </c>
      <c r="F694" s="731">
        <v>41426</v>
      </c>
      <c r="G694" s="730">
        <v>0.83333333333333337</v>
      </c>
      <c r="H694" s="577" t="s">
        <v>2545</v>
      </c>
      <c r="I694" s="577" t="s">
        <v>63</v>
      </c>
      <c r="J694" s="735"/>
      <c r="K694" s="577" t="s">
        <v>2368</v>
      </c>
      <c r="L694" s="578" t="s">
        <v>45</v>
      </c>
      <c r="M694" s="651">
        <v>100000</v>
      </c>
    </row>
    <row r="695" spans="3:13" ht="19.5">
      <c r="C695" s="735"/>
      <c r="D695" s="736">
        <v>41428</v>
      </c>
      <c r="E695" s="737">
        <v>0.53472222222222221</v>
      </c>
      <c r="F695" s="731">
        <v>41428</v>
      </c>
      <c r="G695" s="730">
        <v>0.56666666666666665</v>
      </c>
      <c r="H695" s="533" t="s">
        <v>2418</v>
      </c>
      <c r="I695" s="533" t="s">
        <v>124</v>
      </c>
      <c r="J695" s="735"/>
      <c r="K695" s="533" t="s">
        <v>2037</v>
      </c>
      <c r="L695" s="608" t="s">
        <v>45</v>
      </c>
      <c r="M695" s="647" t="s">
        <v>45</v>
      </c>
    </row>
    <row r="696" spans="3:13" ht="19.5">
      <c r="C696" s="735"/>
      <c r="D696" s="736">
        <v>41438</v>
      </c>
      <c r="E696" s="737">
        <v>0.86597222222222225</v>
      </c>
      <c r="F696" s="731">
        <v>41439</v>
      </c>
      <c r="G696" s="730">
        <v>0.94930555555555562</v>
      </c>
      <c r="H696" s="533" t="s">
        <v>2546</v>
      </c>
      <c r="I696" s="533" t="s">
        <v>63</v>
      </c>
      <c r="J696" s="735"/>
      <c r="K696" s="533" t="s">
        <v>2368</v>
      </c>
      <c r="L696" s="608">
        <v>550</v>
      </c>
      <c r="M696" s="647">
        <v>165798</v>
      </c>
    </row>
    <row r="697" spans="3:13" ht="19.5">
      <c r="C697" s="735"/>
      <c r="D697" s="736">
        <v>41438</v>
      </c>
      <c r="E697" s="737">
        <v>0.64583333333333337</v>
      </c>
      <c r="F697" s="731">
        <v>41438</v>
      </c>
      <c r="G697" s="730">
        <v>0.66666666666666663</v>
      </c>
      <c r="H697" s="533" t="s">
        <v>2275</v>
      </c>
      <c r="I697" s="533" t="s">
        <v>826</v>
      </c>
      <c r="J697" s="735"/>
      <c r="K697" s="533" t="s">
        <v>2547</v>
      </c>
      <c r="L697" s="608">
        <v>700</v>
      </c>
      <c r="M697" s="647">
        <v>40000</v>
      </c>
    </row>
    <row r="698" spans="3:13" ht="19.5">
      <c r="C698" s="735"/>
      <c r="D698" s="736">
        <v>41438</v>
      </c>
      <c r="E698" s="737">
        <v>0.67222222222222217</v>
      </c>
      <c r="F698" s="731">
        <v>41439</v>
      </c>
      <c r="G698" s="730">
        <v>0.71944444444444444</v>
      </c>
      <c r="H698" s="533" t="s">
        <v>2548</v>
      </c>
      <c r="I698" s="533" t="s">
        <v>63</v>
      </c>
      <c r="J698" s="735"/>
      <c r="K698" s="533" t="s">
        <v>2368</v>
      </c>
      <c r="L698" s="608">
        <v>900</v>
      </c>
      <c r="M698" s="647">
        <v>283000</v>
      </c>
    </row>
    <row r="699" spans="3:13" ht="19.5">
      <c r="C699" s="735"/>
      <c r="D699" s="736">
        <v>41438</v>
      </c>
      <c r="E699" s="737">
        <v>0.55347222222222225</v>
      </c>
      <c r="F699" s="731">
        <v>41439</v>
      </c>
      <c r="G699" s="730">
        <v>0.73263888888888884</v>
      </c>
      <c r="H699" s="533" t="s">
        <v>2549</v>
      </c>
      <c r="I699" s="533" t="s">
        <v>63</v>
      </c>
      <c r="J699" s="735"/>
      <c r="K699" s="533" t="s">
        <v>2368</v>
      </c>
      <c r="L699" s="608">
        <v>1000</v>
      </c>
      <c r="M699" s="647">
        <v>175000</v>
      </c>
    </row>
    <row r="700" spans="3:13" ht="19.5">
      <c r="C700" s="735"/>
      <c r="D700" s="736">
        <v>41438</v>
      </c>
      <c r="E700" s="737">
        <v>0.73958333333333337</v>
      </c>
      <c r="F700" s="731">
        <v>41439</v>
      </c>
      <c r="G700" s="730">
        <v>0.77083333333333337</v>
      </c>
      <c r="H700" s="533" t="s">
        <v>2171</v>
      </c>
      <c r="I700" s="533" t="s">
        <v>63</v>
      </c>
      <c r="J700" s="735"/>
      <c r="K700" s="533" t="s">
        <v>2368</v>
      </c>
      <c r="L700" s="608" t="s">
        <v>45</v>
      </c>
      <c r="M700" s="647">
        <v>53000</v>
      </c>
    </row>
    <row r="701" spans="3:13" ht="19.5">
      <c r="C701" s="735"/>
      <c r="D701" s="736">
        <v>41438</v>
      </c>
      <c r="E701" s="737">
        <v>0.63888888888888895</v>
      </c>
      <c r="F701" s="731">
        <v>41439</v>
      </c>
      <c r="G701" s="730">
        <v>0.88194444444444453</v>
      </c>
      <c r="H701" s="533" t="s">
        <v>2550</v>
      </c>
      <c r="I701" s="533" t="s">
        <v>2462</v>
      </c>
      <c r="J701" s="735"/>
      <c r="K701" s="533" t="s">
        <v>2368</v>
      </c>
      <c r="L701" s="608" t="s">
        <v>45</v>
      </c>
      <c r="M701" s="647">
        <v>90247</v>
      </c>
    </row>
    <row r="702" spans="3:13" ht="19.5">
      <c r="C702" s="735"/>
      <c r="D702" s="736">
        <v>41442</v>
      </c>
      <c r="E702" s="737">
        <v>0.67847222222222225</v>
      </c>
      <c r="F702" s="731">
        <v>41442</v>
      </c>
      <c r="G702" s="730">
        <v>0.78402777777777777</v>
      </c>
      <c r="H702" s="533" t="s">
        <v>2551</v>
      </c>
      <c r="I702" s="533" t="s">
        <v>301</v>
      </c>
      <c r="J702" s="735"/>
      <c r="K702" s="533" t="s">
        <v>2552</v>
      </c>
      <c r="L702" s="608">
        <v>180</v>
      </c>
      <c r="M702" s="647">
        <v>37</v>
      </c>
    </row>
    <row r="703" spans="3:13" ht="19.5">
      <c r="C703" s="735"/>
      <c r="D703" s="736">
        <v>41443</v>
      </c>
      <c r="E703" s="737">
        <v>0.66041666666666665</v>
      </c>
      <c r="F703" s="731">
        <v>41443</v>
      </c>
      <c r="G703" s="730">
        <v>0.68263888888888891</v>
      </c>
      <c r="H703" s="533" t="s">
        <v>2553</v>
      </c>
      <c r="I703" s="533" t="s">
        <v>124</v>
      </c>
      <c r="J703" s="735"/>
      <c r="K703" s="533" t="s">
        <v>2037</v>
      </c>
      <c r="L703" s="608">
        <v>6</v>
      </c>
      <c r="M703" s="647" t="s">
        <v>45</v>
      </c>
    </row>
    <row r="704" spans="3:13" ht="19.5">
      <c r="C704" s="735"/>
      <c r="D704" s="736">
        <v>41444</v>
      </c>
      <c r="E704" s="737">
        <v>0.83124999999999993</v>
      </c>
      <c r="F704" s="731">
        <v>41444</v>
      </c>
      <c r="G704" s="730">
        <v>0.83958333333333324</v>
      </c>
      <c r="H704" s="533" t="s">
        <v>2418</v>
      </c>
      <c r="I704" s="533" t="s">
        <v>124</v>
      </c>
      <c r="J704" s="735"/>
      <c r="K704" s="533" t="s">
        <v>2037</v>
      </c>
      <c r="L704" s="608" t="s">
        <v>45</v>
      </c>
      <c r="M704" s="647" t="s">
        <v>45</v>
      </c>
    </row>
    <row r="705" spans="3:13" ht="19.5">
      <c r="C705" s="735"/>
      <c r="D705" s="736">
        <v>41445</v>
      </c>
      <c r="E705" s="737">
        <v>0.75</v>
      </c>
      <c r="F705" s="731">
        <v>41446</v>
      </c>
      <c r="G705" s="730">
        <v>0.41666666666666669</v>
      </c>
      <c r="H705" s="533" t="s">
        <v>2554</v>
      </c>
      <c r="I705" s="533" t="s">
        <v>826</v>
      </c>
      <c r="J705" s="735"/>
      <c r="K705" s="533" t="s">
        <v>2486</v>
      </c>
      <c r="L705" s="608" t="s">
        <v>45</v>
      </c>
      <c r="M705" s="647" t="s">
        <v>45</v>
      </c>
    </row>
    <row r="706" spans="3:13" ht="19.5">
      <c r="C706" s="735"/>
      <c r="D706" s="736">
        <v>41446</v>
      </c>
      <c r="E706" s="737">
        <v>0.35486111111111113</v>
      </c>
      <c r="F706" s="731">
        <v>41577</v>
      </c>
      <c r="G706" s="730">
        <v>0.58958333333333335</v>
      </c>
      <c r="H706" s="533" t="s">
        <v>2555</v>
      </c>
      <c r="I706" s="533" t="s">
        <v>674</v>
      </c>
      <c r="J706" s="735"/>
      <c r="K706" s="533" t="s">
        <v>2139</v>
      </c>
      <c r="L706" s="608" t="s">
        <v>45</v>
      </c>
      <c r="M706" s="647" t="s">
        <v>45</v>
      </c>
    </row>
    <row r="707" spans="3:13" ht="19.5">
      <c r="C707" s="735"/>
      <c r="D707" s="736">
        <v>41446</v>
      </c>
      <c r="E707" s="737">
        <v>0.31944444444444448</v>
      </c>
      <c r="F707" s="731">
        <v>41446</v>
      </c>
      <c r="G707" s="730">
        <v>0.50972222222222219</v>
      </c>
      <c r="H707" s="533" t="s">
        <v>2556</v>
      </c>
      <c r="I707" s="533" t="s">
        <v>124</v>
      </c>
      <c r="J707" s="735"/>
      <c r="K707" s="533" t="s">
        <v>2557</v>
      </c>
      <c r="L707" s="608" t="s">
        <v>45</v>
      </c>
      <c r="M707" s="647">
        <v>1100</v>
      </c>
    </row>
    <row r="708" spans="3:13" ht="19.5">
      <c r="C708" s="735"/>
      <c r="D708" s="736">
        <v>41446</v>
      </c>
      <c r="E708" s="737">
        <v>0.125</v>
      </c>
      <c r="F708" s="731">
        <v>41451</v>
      </c>
      <c r="G708" s="730">
        <v>0.5</v>
      </c>
      <c r="H708" s="533" t="s">
        <v>675</v>
      </c>
      <c r="I708" s="533" t="s">
        <v>674</v>
      </c>
      <c r="J708" s="735"/>
      <c r="K708" s="533" t="s">
        <v>2558</v>
      </c>
      <c r="L708" s="608" t="s">
        <v>45</v>
      </c>
      <c r="M708" s="647">
        <v>193000</v>
      </c>
    </row>
    <row r="709" spans="3:13" ht="19.5">
      <c r="C709" s="735"/>
      <c r="D709" s="736">
        <v>41446</v>
      </c>
      <c r="E709" s="737">
        <v>0.96805555555555556</v>
      </c>
      <c r="F709" s="731">
        <v>41446</v>
      </c>
      <c r="G709" s="730">
        <v>0.96875</v>
      </c>
      <c r="H709" s="533" t="s">
        <v>2559</v>
      </c>
      <c r="I709" s="533" t="s">
        <v>826</v>
      </c>
      <c r="J709" s="735"/>
      <c r="K709" s="533" t="s">
        <v>2560</v>
      </c>
      <c r="L709" s="608" t="s">
        <v>45</v>
      </c>
      <c r="M709" s="647" t="s">
        <v>45</v>
      </c>
    </row>
    <row r="710" spans="3:13" ht="19.5">
      <c r="C710" s="735"/>
      <c r="D710" s="736">
        <v>41446</v>
      </c>
      <c r="E710" s="737">
        <v>0.73541666666666661</v>
      </c>
      <c r="F710" s="731">
        <v>41449</v>
      </c>
      <c r="G710" s="730">
        <v>0.25</v>
      </c>
      <c r="H710" s="533" t="s">
        <v>2561</v>
      </c>
      <c r="I710" s="533" t="s">
        <v>674</v>
      </c>
      <c r="J710" s="735"/>
      <c r="K710" s="533" t="s">
        <v>2558</v>
      </c>
      <c r="L710" s="608" t="s">
        <v>45</v>
      </c>
      <c r="M710" s="647">
        <v>400000</v>
      </c>
    </row>
    <row r="711" spans="3:13" ht="19.5">
      <c r="C711" s="735"/>
      <c r="D711" s="736">
        <v>41447</v>
      </c>
      <c r="E711" s="737">
        <v>0.67499999999999993</v>
      </c>
      <c r="F711" s="731">
        <v>41447</v>
      </c>
      <c r="G711" s="730">
        <v>0.73958333333333337</v>
      </c>
      <c r="H711" s="533" t="s">
        <v>1955</v>
      </c>
      <c r="I711" s="533" t="s">
        <v>124</v>
      </c>
      <c r="J711" s="735"/>
      <c r="K711" s="533" t="s">
        <v>2150</v>
      </c>
      <c r="L711" s="608" t="s">
        <v>45</v>
      </c>
      <c r="M711" s="647" t="s">
        <v>45</v>
      </c>
    </row>
    <row r="712" spans="3:13" ht="19.5">
      <c r="C712" s="735"/>
      <c r="D712" s="736">
        <v>41447</v>
      </c>
      <c r="E712" s="737">
        <v>0.2076388888888889</v>
      </c>
      <c r="F712" s="731">
        <v>41447</v>
      </c>
      <c r="G712" s="730">
        <v>0.89444444444444438</v>
      </c>
      <c r="H712" s="533" t="s">
        <v>2562</v>
      </c>
      <c r="I712" s="533" t="s">
        <v>124</v>
      </c>
      <c r="J712" s="735"/>
      <c r="K712" s="533" t="s">
        <v>2560</v>
      </c>
      <c r="L712" s="608" t="s">
        <v>255</v>
      </c>
      <c r="M712" s="647" t="s">
        <v>255</v>
      </c>
    </row>
    <row r="713" spans="3:13" ht="19.5">
      <c r="C713" s="735"/>
      <c r="D713" s="736">
        <v>41448</v>
      </c>
      <c r="E713" s="737">
        <v>0.88888888888888884</v>
      </c>
      <c r="F713" s="731">
        <v>41449</v>
      </c>
      <c r="G713" s="730">
        <v>6.5972222222222224E-2</v>
      </c>
      <c r="H713" s="533" t="s">
        <v>2563</v>
      </c>
      <c r="I713" s="533" t="s">
        <v>124</v>
      </c>
      <c r="J713" s="735"/>
      <c r="K713" s="533" t="s">
        <v>2564</v>
      </c>
      <c r="L713" s="608" t="s">
        <v>45</v>
      </c>
      <c r="M713" s="647">
        <v>148000</v>
      </c>
    </row>
    <row r="714" spans="3:13" ht="19.5">
      <c r="C714" s="735"/>
      <c r="D714" s="736">
        <v>41449</v>
      </c>
      <c r="E714" s="737">
        <v>0.8125</v>
      </c>
      <c r="F714" s="731">
        <v>41450</v>
      </c>
      <c r="G714" s="730">
        <v>0.7402777777777777</v>
      </c>
      <c r="H714" s="533" t="s">
        <v>33</v>
      </c>
      <c r="I714" s="533" t="s">
        <v>826</v>
      </c>
      <c r="J714" s="735"/>
      <c r="K714" s="533" t="s">
        <v>2368</v>
      </c>
      <c r="L714" s="608" t="s">
        <v>45</v>
      </c>
      <c r="M714" s="647">
        <v>283451</v>
      </c>
    </row>
    <row r="715" spans="3:13" ht="19.5">
      <c r="C715" s="735"/>
      <c r="D715" s="736">
        <v>41449</v>
      </c>
      <c r="E715" s="737">
        <v>0.8125</v>
      </c>
      <c r="F715" s="731">
        <v>41451</v>
      </c>
      <c r="G715" s="730">
        <v>0.70833333333333337</v>
      </c>
      <c r="H715" s="533" t="s">
        <v>1470</v>
      </c>
      <c r="I715" s="533" t="s">
        <v>826</v>
      </c>
      <c r="J715" s="735"/>
      <c r="K715" s="533" t="s">
        <v>2368</v>
      </c>
      <c r="L715" s="608" t="s">
        <v>45</v>
      </c>
      <c r="M715" s="647">
        <v>86615</v>
      </c>
    </row>
    <row r="716" spans="3:13" ht="19.5">
      <c r="C716" s="735"/>
      <c r="D716" s="736">
        <v>41452</v>
      </c>
      <c r="E716" s="737">
        <v>0.70833333333333337</v>
      </c>
      <c r="F716" s="731">
        <v>41453</v>
      </c>
      <c r="G716" s="730">
        <v>0</v>
      </c>
      <c r="H716" s="533" t="s">
        <v>2565</v>
      </c>
      <c r="I716" s="533" t="s">
        <v>826</v>
      </c>
      <c r="J716" s="735"/>
      <c r="K716" s="533" t="s">
        <v>2368</v>
      </c>
      <c r="L716" s="608" t="s">
        <v>45</v>
      </c>
      <c r="M716" s="647">
        <v>138000</v>
      </c>
    </row>
    <row r="717" spans="3:13" ht="19.5">
      <c r="C717" s="735"/>
      <c r="D717" s="736">
        <v>41452</v>
      </c>
      <c r="E717" s="737">
        <v>4.8611111111111112E-2</v>
      </c>
      <c r="F717" s="731">
        <v>41452</v>
      </c>
      <c r="G717" s="730">
        <v>0.11458333333333333</v>
      </c>
      <c r="H717" s="533" t="s">
        <v>2566</v>
      </c>
      <c r="I717" s="533" t="s">
        <v>826</v>
      </c>
      <c r="J717" s="735"/>
      <c r="K717" s="533" t="s">
        <v>2560</v>
      </c>
      <c r="L717" s="608" t="s">
        <v>45</v>
      </c>
      <c r="M717" s="647" t="s">
        <v>45</v>
      </c>
    </row>
    <row r="718" spans="3:13" ht="19.5">
      <c r="C718" s="735"/>
      <c r="D718" s="736">
        <v>41453</v>
      </c>
      <c r="E718" s="737">
        <v>0.75138888888888899</v>
      </c>
      <c r="F718" s="731">
        <v>41453</v>
      </c>
      <c r="G718" s="730">
        <v>0.8652777777777777</v>
      </c>
      <c r="H718" s="533" t="s">
        <v>2567</v>
      </c>
      <c r="I718" s="533" t="s">
        <v>124</v>
      </c>
      <c r="J718" s="735"/>
      <c r="K718" s="533" t="s">
        <v>2568</v>
      </c>
      <c r="L718" s="608">
        <v>240</v>
      </c>
      <c r="M718" s="647">
        <v>65255</v>
      </c>
    </row>
    <row r="719" spans="3:13" ht="19.5">
      <c r="C719" s="735"/>
      <c r="D719" s="736">
        <v>41453</v>
      </c>
      <c r="E719" s="737">
        <v>0.54166666666666663</v>
      </c>
      <c r="F719" s="731">
        <v>41453</v>
      </c>
      <c r="G719" s="730">
        <v>0.54236111111111118</v>
      </c>
      <c r="H719" s="533" t="s">
        <v>2245</v>
      </c>
      <c r="I719" s="533" t="s">
        <v>61</v>
      </c>
      <c r="J719" s="735"/>
      <c r="K719" s="533" t="s">
        <v>2560</v>
      </c>
      <c r="L719" s="608" t="s">
        <v>45</v>
      </c>
      <c r="M719" s="647" t="s">
        <v>45</v>
      </c>
    </row>
    <row r="720" spans="3:13" ht="20.25" thickBot="1">
      <c r="C720" s="735"/>
      <c r="D720" s="736">
        <v>41453</v>
      </c>
      <c r="E720" s="737">
        <v>0.71805555555555556</v>
      </c>
      <c r="F720" s="731">
        <v>41453</v>
      </c>
      <c r="G720" s="730">
        <v>0.71875</v>
      </c>
      <c r="H720" s="578" t="s">
        <v>2559</v>
      </c>
      <c r="I720" s="578" t="s">
        <v>826</v>
      </c>
      <c r="J720" s="735"/>
      <c r="K720" s="578" t="s">
        <v>2560</v>
      </c>
      <c r="L720" s="610" t="s">
        <v>45</v>
      </c>
      <c r="M720" s="651" t="s">
        <v>45</v>
      </c>
    </row>
    <row r="721" spans="3:13" ht="19.5">
      <c r="C721" s="735"/>
      <c r="D721" s="736">
        <v>41457</v>
      </c>
      <c r="E721" s="737">
        <v>0.59722222222222221</v>
      </c>
      <c r="F721" s="731">
        <v>41460</v>
      </c>
      <c r="G721" s="730">
        <v>0.64583333333333337</v>
      </c>
      <c r="H721" s="533" t="s">
        <v>2418</v>
      </c>
      <c r="I721" s="533" t="s">
        <v>124</v>
      </c>
      <c r="J721" s="735"/>
      <c r="K721" s="533" t="s">
        <v>2569</v>
      </c>
      <c r="L721" s="533">
        <v>200</v>
      </c>
      <c r="M721" s="647" t="s">
        <v>45</v>
      </c>
    </row>
    <row r="722" spans="3:13" ht="19.5">
      <c r="C722" s="735"/>
      <c r="D722" s="736">
        <v>41458</v>
      </c>
      <c r="E722" s="737">
        <v>0.39861111111111108</v>
      </c>
      <c r="F722" s="731">
        <v>41458</v>
      </c>
      <c r="G722" s="730">
        <v>0.45277777777777778</v>
      </c>
      <c r="H722" s="533" t="s">
        <v>2570</v>
      </c>
      <c r="I722" s="533" t="s">
        <v>124</v>
      </c>
      <c r="J722" s="735"/>
      <c r="K722" s="533" t="s">
        <v>2150</v>
      </c>
      <c r="L722" s="533">
        <v>0</v>
      </c>
      <c r="M722" s="647">
        <v>0</v>
      </c>
    </row>
    <row r="723" spans="3:13" ht="19.5">
      <c r="C723" s="735"/>
      <c r="D723" s="736">
        <v>41458</v>
      </c>
      <c r="E723" s="737">
        <v>0.50277777777777777</v>
      </c>
      <c r="F723" s="731">
        <v>41458</v>
      </c>
      <c r="G723" s="730">
        <v>0.53333333333333333</v>
      </c>
      <c r="H723" s="533" t="s">
        <v>2571</v>
      </c>
      <c r="I723" s="533" t="s">
        <v>255</v>
      </c>
      <c r="J723" s="735"/>
      <c r="K723" s="533" t="s">
        <v>2572</v>
      </c>
      <c r="L723" s="533">
        <v>480</v>
      </c>
      <c r="M723" s="647">
        <v>393000</v>
      </c>
    </row>
    <row r="724" spans="3:13" ht="19.5">
      <c r="C724" s="735"/>
      <c r="D724" s="736">
        <v>41460</v>
      </c>
      <c r="E724" s="737">
        <v>3.472222222222222E-3</v>
      </c>
      <c r="F724" s="731">
        <v>41460</v>
      </c>
      <c r="G724" s="730">
        <v>7.7083333333333337E-2</v>
      </c>
      <c r="H724" s="533" t="s">
        <v>18</v>
      </c>
      <c r="I724" s="533" t="s">
        <v>124</v>
      </c>
      <c r="J724" s="735"/>
      <c r="K724" s="533" t="s">
        <v>2444</v>
      </c>
      <c r="L724" s="533" t="s">
        <v>45</v>
      </c>
      <c r="M724" s="647">
        <v>2500</v>
      </c>
    </row>
    <row r="725" spans="3:13" ht="19.5">
      <c r="C725" s="735"/>
      <c r="D725" s="736">
        <v>41465</v>
      </c>
      <c r="E725" s="737">
        <v>0.60416666666666663</v>
      </c>
      <c r="F725" s="731">
        <v>41465</v>
      </c>
      <c r="G725" s="730">
        <v>0.61458333333333337</v>
      </c>
      <c r="H725" s="533" t="s">
        <v>517</v>
      </c>
      <c r="I725" s="533" t="s">
        <v>61</v>
      </c>
      <c r="J725" s="735"/>
      <c r="K725" s="533" t="s">
        <v>2573</v>
      </c>
      <c r="L725" s="533">
        <v>0</v>
      </c>
      <c r="M725" s="647">
        <v>0</v>
      </c>
    </row>
    <row r="726" spans="3:13" ht="19.5">
      <c r="C726" s="735"/>
      <c r="D726" s="736">
        <v>41465</v>
      </c>
      <c r="E726" s="737">
        <v>0.72916666666666663</v>
      </c>
      <c r="F726" s="731">
        <v>41466</v>
      </c>
      <c r="G726" s="730">
        <v>0.83333333333333337</v>
      </c>
      <c r="H726" s="533" t="s">
        <v>2574</v>
      </c>
      <c r="I726" s="533" t="s">
        <v>826</v>
      </c>
      <c r="J726" s="735"/>
      <c r="K726" s="533" t="s">
        <v>2368</v>
      </c>
      <c r="L726" s="533" t="s">
        <v>255</v>
      </c>
      <c r="M726" s="647">
        <v>122314</v>
      </c>
    </row>
    <row r="727" spans="3:13" ht="19.5">
      <c r="C727" s="735"/>
      <c r="D727" s="736">
        <v>41466</v>
      </c>
      <c r="E727" s="737">
        <v>0.97222222222222221</v>
      </c>
      <c r="F727" s="731">
        <v>41469</v>
      </c>
      <c r="G727" s="730">
        <v>0.64027777777777783</v>
      </c>
      <c r="H727" s="533" t="s">
        <v>24</v>
      </c>
      <c r="I727" s="533" t="s">
        <v>124</v>
      </c>
      <c r="J727" s="735"/>
      <c r="K727" s="533" t="s">
        <v>2444</v>
      </c>
      <c r="L727" s="533">
        <v>455</v>
      </c>
      <c r="M727" s="647" t="s">
        <v>45</v>
      </c>
    </row>
    <row r="728" spans="3:13" ht="19.5">
      <c r="C728" s="735"/>
      <c r="D728" s="736">
        <v>41467</v>
      </c>
      <c r="E728" s="737">
        <v>0.41666666666666669</v>
      </c>
      <c r="F728" s="731">
        <v>41467</v>
      </c>
      <c r="G728" s="730">
        <v>0.41736111111111113</v>
      </c>
      <c r="H728" s="533" t="s">
        <v>2575</v>
      </c>
      <c r="I728" s="533" t="s">
        <v>124</v>
      </c>
      <c r="J728" s="735"/>
      <c r="K728" s="533" t="s">
        <v>2444</v>
      </c>
      <c r="L728" s="533" t="s">
        <v>45</v>
      </c>
      <c r="M728" s="647" t="s">
        <v>45</v>
      </c>
    </row>
    <row r="729" spans="3:13" ht="19.5">
      <c r="C729" s="735"/>
      <c r="D729" s="736">
        <v>41472</v>
      </c>
      <c r="E729" s="737">
        <v>0.64583333333333337</v>
      </c>
      <c r="F729" s="731">
        <v>41474</v>
      </c>
      <c r="G729" s="730">
        <v>0.28125</v>
      </c>
      <c r="H729" s="533" t="s">
        <v>2576</v>
      </c>
      <c r="I729" s="533" t="s">
        <v>61</v>
      </c>
      <c r="J729" s="735"/>
      <c r="K729" s="533" t="s">
        <v>2577</v>
      </c>
      <c r="L729" s="533">
        <v>417</v>
      </c>
      <c r="M729" s="647" t="s">
        <v>45</v>
      </c>
    </row>
    <row r="730" spans="3:13" ht="19.5">
      <c r="C730" s="735"/>
      <c r="D730" s="736">
        <v>41473</v>
      </c>
      <c r="E730" s="737">
        <v>0.13541666666666666</v>
      </c>
      <c r="F730" s="731">
        <v>41473</v>
      </c>
      <c r="G730" s="730">
        <v>0.16597222222222222</v>
      </c>
      <c r="H730" s="533" t="s">
        <v>1320</v>
      </c>
      <c r="I730" s="533" t="s">
        <v>124</v>
      </c>
      <c r="J730" s="735"/>
      <c r="K730" s="533" t="s">
        <v>2578</v>
      </c>
      <c r="L730" s="533" t="s">
        <v>255</v>
      </c>
      <c r="M730" s="647" t="s">
        <v>255</v>
      </c>
    </row>
    <row r="731" spans="3:13" ht="19.5">
      <c r="C731" s="735"/>
      <c r="D731" s="736">
        <v>41473</v>
      </c>
      <c r="E731" s="737">
        <v>0.47916666666666669</v>
      </c>
      <c r="F731" s="731">
        <v>41474</v>
      </c>
      <c r="G731" s="730">
        <v>0.72916666666666663</v>
      </c>
      <c r="H731" s="533" t="s">
        <v>89</v>
      </c>
      <c r="I731" s="533" t="s">
        <v>61</v>
      </c>
      <c r="J731" s="735"/>
      <c r="K731" s="533" t="s">
        <v>2579</v>
      </c>
      <c r="L731" s="533" t="s">
        <v>45</v>
      </c>
      <c r="M731" s="647" t="s">
        <v>45</v>
      </c>
    </row>
    <row r="732" spans="3:13" ht="19.5">
      <c r="C732" s="735"/>
      <c r="D732" s="736">
        <v>41473</v>
      </c>
      <c r="E732" s="737">
        <v>0.98958333333333337</v>
      </c>
      <c r="F732" s="731">
        <v>41474</v>
      </c>
      <c r="G732" s="730">
        <v>0.4201388888888889</v>
      </c>
      <c r="H732" s="533" t="s">
        <v>2580</v>
      </c>
      <c r="I732" s="533" t="s">
        <v>124</v>
      </c>
      <c r="J732" s="735"/>
      <c r="K732" s="533" t="s">
        <v>2568</v>
      </c>
      <c r="L732" s="533">
        <v>200</v>
      </c>
      <c r="M732" s="647">
        <v>123000</v>
      </c>
    </row>
    <row r="733" spans="3:13" ht="19.5">
      <c r="C733" s="735"/>
      <c r="D733" s="736">
        <v>41474</v>
      </c>
      <c r="E733" s="737">
        <v>0.75</v>
      </c>
      <c r="F733" s="731">
        <v>41475</v>
      </c>
      <c r="G733" s="730">
        <v>0.375</v>
      </c>
      <c r="H733" s="533" t="s">
        <v>1833</v>
      </c>
      <c r="I733" s="533" t="s">
        <v>826</v>
      </c>
      <c r="J733" s="735"/>
      <c r="K733" s="533" t="s">
        <v>2368</v>
      </c>
      <c r="L733" s="533" t="s">
        <v>45</v>
      </c>
      <c r="M733" s="647">
        <v>156627</v>
      </c>
    </row>
    <row r="734" spans="3:13" ht="19.5">
      <c r="C734" s="735"/>
      <c r="D734" s="736">
        <v>41474</v>
      </c>
      <c r="E734" s="737">
        <v>0.9375</v>
      </c>
      <c r="F734" s="731">
        <v>41476</v>
      </c>
      <c r="G734" s="730">
        <v>0.83333333333333337</v>
      </c>
      <c r="H734" s="533" t="s">
        <v>30</v>
      </c>
      <c r="I734" s="533" t="s">
        <v>61</v>
      </c>
      <c r="J734" s="735"/>
      <c r="K734" s="533" t="s">
        <v>2368</v>
      </c>
      <c r="L734" s="533" t="s">
        <v>45</v>
      </c>
      <c r="M734" s="647">
        <v>74300</v>
      </c>
    </row>
    <row r="735" spans="3:13" ht="19.5">
      <c r="C735" s="735"/>
      <c r="D735" s="736">
        <v>41477</v>
      </c>
      <c r="E735" s="737">
        <v>0.29166666666666669</v>
      </c>
      <c r="F735" s="731">
        <v>41477</v>
      </c>
      <c r="G735" s="730">
        <v>0.625</v>
      </c>
      <c r="H735" s="533" t="s">
        <v>18</v>
      </c>
      <c r="I735" s="533" t="s">
        <v>124</v>
      </c>
      <c r="J735" s="735"/>
      <c r="K735" s="533" t="s">
        <v>2444</v>
      </c>
      <c r="L735" s="533" t="s">
        <v>45</v>
      </c>
      <c r="M735" s="647" t="s">
        <v>45</v>
      </c>
    </row>
    <row r="736" spans="3:13" ht="19.5">
      <c r="C736" s="735"/>
      <c r="D736" s="736">
        <v>41478</v>
      </c>
      <c r="E736" s="737">
        <v>0.98472222222222217</v>
      </c>
      <c r="F736" s="731">
        <v>41480</v>
      </c>
      <c r="G736" s="730">
        <v>0.1875</v>
      </c>
      <c r="H736" s="533" t="s">
        <v>437</v>
      </c>
      <c r="I736" s="533" t="s">
        <v>58</v>
      </c>
      <c r="J736" s="735"/>
      <c r="K736" s="533" t="s">
        <v>2368</v>
      </c>
      <c r="L736" s="533">
        <v>500</v>
      </c>
      <c r="M736" s="647">
        <v>92748</v>
      </c>
    </row>
    <row r="737" spans="3:13" ht="19.5">
      <c r="C737" s="735"/>
      <c r="D737" s="736">
        <v>41480</v>
      </c>
      <c r="E737" s="737">
        <v>0.54861111111111105</v>
      </c>
      <c r="F737" s="731">
        <v>41480</v>
      </c>
      <c r="G737" s="730">
        <v>0.55208333333333337</v>
      </c>
      <c r="H737" s="533" t="s">
        <v>2581</v>
      </c>
      <c r="I737" s="533" t="s">
        <v>124</v>
      </c>
      <c r="J737" s="735"/>
      <c r="K737" s="533" t="s">
        <v>2444</v>
      </c>
      <c r="L737" s="533" t="s">
        <v>255</v>
      </c>
      <c r="M737" s="647" t="s">
        <v>255</v>
      </c>
    </row>
    <row r="738" spans="3:13" ht="19.5">
      <c r="C738" s="735"/>
      <c r="D738" s="736">
        <v>41487</v>
      </c>
      <c r="E738" s="737">
        <v>0.45833333333333331</v>
      </c>
      <c r="F738" s="731">
        <v>41487</v>
      </c>
      <c r="G738" s="730">
        <v>0.66666666666666663</v>
      </c>
      <c r="H738" s="534" t="s">
        <v>2582</v>
      </c>
      <c r="I738" s="534" t="s">
        <v>61</v>
      </c>
      <c r="J738" s="735"/>
      <c r="K738" s="534" t="s">
        <v>2573</v>
      </c>
      <c r="L738" s="608" t="s">
        <v>255</v>
      </c>
      <c r="M738" s="647" t="s">
        <v>255</v>
      </c>
    </row>
    <row r="739" spans="3:13" ht="19.5">
      <c r="C739" s="735"/>
      <c r="D739" s="736">
        <v>41487</v>
      </c>
      <c r="E739" s="737">
        <v>0.78749999999999998</v>
      </c>
      <c r="F739" s="731">
        <v>41487</v>
      </c>
      <c r="G739" s="730">
        <v>0.81736111111111109</v>
      </c>
      <c r="H739" s="534" t="s">
        <v>2583</v>
      </c>
      <c r="I739" s="534" t="s">
        <v>124</v>
      </c>
      <c r="J739" s="735"/>
      <c r="K739" s="534" t="s">
        <v>2584</v>
      </c>
      <c r="L739" s="608">
        <v>420</v>
      </c>
      <c r="M739" s="647" t="s">
        <v>45</v>
      </c>
    </row>
    <row r="740" spans="3:13" ht="19.5">
      <c r="C740" s="735"/>
      <c r="D740" s="736">
        <v>41487</v>
      </c>
      <c r="E740" s="737">
        <v>0.97152777777777777</v>
      </c>
      <c r="F740" s="731">
        <v>41488</v>
      </c>
      <c r="G740" s="730">
        <v>3.4027777777777775E-2</v>
      </c>
      <c r="H740" s="534" t="s">
        <v>2585</v>
      </c>
      <c r="I740" s="534" t="s">
        <v>301</v>
      </c>
      <c r="J740" s="735"/>
      <c r="K740" s="534" t="s">
        <v>2586</v>
      </c>
      <c r="L740" s="608">
        <v>297</v>
      </c>
      <c r="M740" s="647">
        <v>104498</v>
      </c>
    </row>
    <row r="741" spans="3:13" ht="19.5">
      <c r="C741" s="735"/>
      <c r="D741" s="736">
        <v>41490</v>
      </c>
      <c r="E741" s="737">
        <v>0.125</v>
      </c>
      <c r="F741" s="731">
        <v>41490</v>
      </c>
      <c r="G741" s="730">
        <v>0.16666666666666666</v>
      </c>
      <c r="H741" s="534" t="s">
        <v>1320</v>
      </c>
      <c r="I741" s="534" t="s">
        <v>124</v>
      </c>
      <c r="J741" s="735"/>
      <c r="K741" s="534" t="s">
        <v>2444</v>
      </c>
      <c r="L741" s="608" t="s">
        <v>255</v>
      </c>
      <c r="M741" s="647" t="s">
        <v>255</v>
      </c>
    </row>
    <row r="742" spans="3:13" ht="19.5">
      <c r="C742" s="735"/>
      <c r="D742" s="736">
        <v>41491</v>
      </c>
      <c r="E742" s="737">
        <v>0.77430555555555547</v>
      </c>
      <c r="F742" s="731">
        <v>41491</v>
      </c>
      <c r="G742" s="730">
        <v>0.78125</v>
      </c>
      <c r="H742" s="534" t="s">
        <v>2587</v>
      </c>
      <c r="I742" s="534" t="s">
        <v>124</v>
      </c>
      <c r="J742" s="735"/>
      <c r="K742" s="534" t="s">
        <v>2588</v>
      </c>
      <c r="L742" s="608" t="s">
        <v>45</v>
      </c>
      <c r="M742" s="647" t="s">
        <v>45</v>
      </c>
    </row>
    <row r="743" spans="3:13" ht="19.5">
      <c r="C743" s="735"/>
      <c r="D743" s="736">
        <v>41492</v>
      </c>
      <c r="E743" s="737">
        <v>0.66666666666666663</v>
      </c>
      <c r="F743" s="731">
        <v>41492</v>
      </c>
      <c r="G743" s="730">
        <v>0.73055555555555562</v>
      </c>
      <c r="H743" s="534" t="s">
        <v>2589</v>
      </c>
      <c r="I743" s="534" t="s">
        <v>124</v>
      </c>
      <c r="J743" s="735"/>
      <c r="K743" s="534" t="s">
        <v>2486</v>
      </c>
      <c r="L743" s="608" t="s">
        <v>45</v>
      </c>
      <c r="M743" s="647" t="s">
        <v>45</v>
      </c>
    </row>
    <row r="744" spans="3:13" ht="19.5">
      <c r="C744" s="735"/>
      <c r="D744" s="736">
        <v>41493</v>
      </c>
      <c r="E744" s="737">
        <v>0.3125</v>
      </c>
      <c r="F744" s="731">
        <v>41493</v>
      </c>
      <c r="G744" s="730">
        <v>0.38472222222222219</v>
      </c>
      <c r="H744" s="534" t="s">
        <v>2590</v>
      </c>
      <c r="I744" s="534" t="s">
        <v>674</v>
      </c>
      <c r="J744" s="735"/>
      <c r="K744" s="534" t="s">
        <v>2591</v>
      </c>
      <c r="L744" s="608" t="s">
        <v>45</v>
      </c>
      <c r="M744" s="647" t="s">
        <v>45</v>
      </c>
    </row>
    <row r="745" spans="3:13" ht="19.5">
      <c r="C745" s="735"/>
      <c r="D745" s="736">
        <v>41493</v>
      </c>
      <c r="E745" s="737">
        <v>0.60416666666666663</v>
      </c>
      <c r="F745" s="731">
        <v>41494</v>
      </c>
      <c r="G745" s="730">
        <v>0.54166666666666663</v>
      </c>
      <c r="H745" s="534" t="s">
        <v>2592</v>
      </c>
      <c r="I745" s="534" t="s">
        <v>124</v>
      </c>
      <c r="J745" s="735"/>
      <c r="K745" s="534" t="s">
        <v>2486</v>
      </c>
      <c r="L745" s="608" t="s">
        <v>45</v>
      </c>
      <c r="M745" s="647" t="s">
        <v>45</v>
      </c>
    </row>
    <row r="746" spans="3:13" ht="19.5">
      <c r="C746" s="735"/>
      <c r="D746" s="736">
        <v>41493</v>
      </c>
      <c r="E746" s="737">
        <v>1.0416666666666666E-2</v>
      </c>
      <c r="F746" s="731">
        <v>41493</v>
      </c>
      <c r="G746" s="730">
        <v>0.89374999999999993</v>
      </c>
      <c r="H746" s="534" t="s">
        <v>2593</v>
      </c>
      <c r="I746" s="534" t="s">
        <v>674</v>
      </c>
      <c r="J746" s="735"/>
      <c r="K746" s="534" t="s">
        <v>2368</v>
      </c>
      <c r="L746" s="608">
        <v>220</v>
      </c>
      <c r="M746" s="647">
        <v>51160</v>
      </c>
    </row>
    <row r="747" spans="3:13" ht="19.5">
      <c r="C747" s="735"/>
      <c r="D747" s="736">
        <v>41498</v>
      </c>
      <c r="E747" s="737">
        <v>0.49652777777777773</v>
      </c>
      <c r="F747" s="731">
        <v>41498</v>
      </c>
      <c r="G747" s="730">
        <v>0.4993055555555555</v>
      </c>
      <c r="H747" s="534" t="s">
        <v>2531</v>
      </c>
      <c r="I747" s="534" t="s">
        <v>124</v>
      </c>
      <c r="J747" s="735"/>
      <c r="K747" s="534" t="s">
        <v>2118</v>
      </c>
      <c r="L747" s="608" t="s">
        <v>45</v>
      </c>
      <c r="M747" s="647" t="s">
        <v>45</v>
      </c>
    </row>
    <row r="748" spans="3:13" ht="19.5">
      <c r="C748" s="735"/>
      <c r="D748" s="736">
        <v>41502</v>
      </c>
      <c r="E748" s="737">
        <v>0.70694444444444438</v>
      </c>
      <c r="F748" s="731">
        <v>41503</v>
      </c>
      <c r="G748" s="730">
        <v>0.99861111111111101</v>
      </c>
      <c r="H748" s="534" t="s">
        <v>2594</v>
      </c>
      <c r="I748" s="534" t="s">
        <v>1352</v>
      </c>
      <c r="J748" s="735"/>
      <c r="K748" s="534" t="s">
        <v>2368</v>
      </c>
      <c r="L748" s="608" t="s">
        <v>45</v>
      </c>
      <c r="M748" s="647">
        <v>219681</v>
      </c>
    </row>
    <row r="749" spans="3:13" ht="19.5">
      <c r="C749" s="735"/>
      <c r="D749" s="736">
        <v>41505</v>
      </c>
      <c r="E749" s="737">
        <v>0.79583333333333339</v>
      </c>
      <c r="F749" s="731">
        <v>41506</v>
      </c>
      <c r="G749" s="730">
        <v>0.25138888888888888</v>
      </c>
      <c r="H749" s="534" t="s">
        <v>1922</v>
      </c>
      <c r="I749" s="534" t="s">
        <v>124</v>
      </c>
      <c r="J749" s="735"/>
      <c r="K749" s="534" t="s">
        <v>2595</v>
      </c>
      <c r="L749" s="608">
        <v>685</v>
      </c>
      <c r="M749" s="647">
        <v>124000</v>
      </c>
    </row>
    <row r="750" spans="3:13" ht="19.5">
      <c r="C750" s="735"/>
      <c r="D750" s="736">
        <v>41507</v>
      </c>
      <c r="E750" s="737">
        <v>0.58333333333333337</v>
      </c>
      <c r="F750" s="731">
        <v>41507</v>
      </c>
      <c r="G750" s="730">
        <v>0.58402777777777781</v>
      </c>
      <c r="H750" s="534" t="s">
        <v>2596</v>
      </c>
      <c r="I750" s="534" t="s">
        <v>63</v>
      </c>
      <c r="J750" s="735"/>
      <c r="K750" s="534" t="s">
        <v>2597</v>
      </c>
      <c r="L750" s="608" t="s">
        <v>255</v>
      </c>
      <c r="M750" s="647" t="s">
        <v>255</v>
      </c>
    </row>
    <row r="751" spans="3:13" ht="19.5">
      <c r="C751" s="735"/>
      <c r="D751" s="736">
        <v>41508</v>
      </c>
      <c r="E751" s="737">
        <v>0.3611111111111111</v>
      </c>
      <c r="F751" s="731">
        <v>41508</v>
      </c>
      <c r="G751" s="730">
        <v>0.49236111111111108</v>
      </c>
      <c r="H751" s="534" t="s">
        <v>2598</v>
      </c>
      <c r="I751" s="534" t="s">
        <v>124</v>
      </c>
      <c r="J751" s="735"/>
      <c r="K751" s="534" t="s">
        <v>2597</v>
      </c>
      <c r="L751" s="608" t="s">
        <v>255</v>
      </c>
      <c r="M751" s="647" t="s">
        <v>255</v>
      </c>
    </row>
    <row r="752" spans="3:13" ht="19.5">
      <c r="C752" s="735"/>
      <c r="D752" s="736">
        <v>41508</v>
      </c>
      <c r="E752" s="737">
        <v>0.53819444444444442</v>
      </c>
      <c r="F752" s="731">
        <v>41508</v>
      </c>
      <c r="G752" s="730">
        <v>0.61458333333333337</v>
      </c>
      <c r="H752" s="534" t="s">
        <v>2367</v>
      </c>
      <c r="I752" s="534" t="s">
        <v>826</v>
      </c>
      <c r="J752" s="735"/>
      <c r="K752" s="534" t="s">
        <v>2486</v>
      </c>
      <c r="L752" s="608" t="s">
        <v>45</v>
      </c>
      <c r="M752" s="647" t="s">
        <v>45</v>
      </c>
    </row>
    <row r="753" spans="3:13" ht="19.5">
      <c r="C753" s="735"/>
      <c r="D753" s="736">
        <v>41509</v>
      </c>
      <c r="E753" s="737">
        <v>0.3125</v>
      </c>
      <c r="F753" s="731">
        <v>41509</v>
      </c>
      <c r="G753" s="730">
        <v>0.31319444444444444</v>
      </c>
      <c r="H753" s="534" t="s">
        <v>2367</v>
      </c>
      <c r="I753" s="534" t="s">
        <v>826</v>
      </c>
      <c r="J753" s="735"/>
      <c r="K753" s="534" t="s">
        <v>2486</v>
      </c>
      <c r="L753" s="608" t="s">
        <v>45</v>
      </c>
      <c r="M753" s="647" t="s">
        <v>255</v>
      </c>
    </row>
    <row r="754" spans="3:13" ht="19.5">
      <c r="C754" s="735"/>
      <c r="D754" s="736">
        <v>41512</v>
      </c>
      <c r="E754" s="737">
        <v>0.84375</v>
      </c>
      <c r="F754" s="731">
        <v>41512</v>
      </c>
      <c r="G754" s="730">
        <v>0.84444444444444444</v>
      </c>
      <c r="H754" s="534" t="s">
        <v>2599</v>
      </c>
      <c r="I754" s="534" t="s">
        <v>124</v>
      </c>
      <c r="J754" s="735"/>
      <c r="K754" s="534" t="s">
        <v>2486</v>
      </c>
      <c r="L754" s="608" t="s">
        <v>45</v>
      </c>
      <c r="M754" s="647" t="s">
        <v>45</v>
      </c>
    </row>
    <row r="755" spans="3:13" ht="19.5">
      <c r="C755" s="735"/>
      <c r="D755" s="736">
        <v>41514</v>
      </c>
      <c r="E755" s="737">
        <v>0.39583333333333331</v>
      </c>
      <c r="F755" s="731">
        <v>41514</v>
      </c>
      <c r="G755" s="730">
        <v>0.39652777777777781</v>
      </c>
      <c r="H755" s="534" t="s">
        <v>2600</v>
      </c>
      <c r="I755" s="534" t="s">
        <v>124</v>
      </c>
      <c r="J755" s="735"/>
      <c r="K755" s="534" t="s">
        <v>2486</v>
      </c>
      <c r="L755" s="608" t="s">
        <v>255</v>
      </c>
      <c r="M755" s="647" t="s">
        <v>255</v>
      </c>
    </row>
    <row r="756" spans="3:13" ht="19.5">
      <c r="C756" s="735"/>
      <c r="D756" s="736">
        <v>41515</v>
      </c>
      <c r="E756" s="737">
        <v>0.62291666666666667</v>
      </c>
      <c r="F756" s="731">
        <v>41515</v>
      </c>
      <c r="G756" s="730">
        <v>0.64513888888888882</v>
      </c>
      <c r="H756" s="534" t="s">
        <v>2601</v>
      </c>
      <c r="I756" s="534" t="s">
        <v>674</v>
      </c>
      <c r="J756" s="735"/>
      <c r="K756" s="534" t="s">
        <v>2588</v>
      </c>
      <c r="L756" s="608">
        <v>15</v>
      </c>
      <c r="M756" s="647">
        <v>7000</v>
      </c>
    </row>
    <row r="757" spans="3:13" ht="19.5">
      <c r="C757" s="735"/>
      <c r="D757" s="736">
        <v>41515</v>
      </c>
      <c r="E757" s="737">
        <v>0.40972222222222227</v>
      </c>
      <c r="F757" s="731">
        <v>41515</v>
      </c>
      <c r="G757" s="730">
        <v>0.40972222222222227</v>
      </c>
      <c r="H757" s="534" t="s">
        <v>2602</v>
      </c>
      <c r="I757" s="534" t="s">
        <v>255</v>
      </c>
      <c r="J757" s="735"/>
      <c r="K757" s="534" t="s">
        <v>2486</v>
      </c>
      <c r="L757" s="608" t="s">
        <v>45</v>
      </c>
      <c r="M757" s="647" t="s">
        <v>45</v>
      </c>
    </row>
    <row r="758" spans="3:13" ht="20.25" thickBot="1">
      <c r="C758" s="735"/>
      <c r="D758" s="736">
        <v>41516</v>
      </c>
      <c r="E758" s="737">
        <v>0.8125</v>
      </c>
      <c r="F758" s="731">
        <v>41517</v>
      </c>
      <c r="G758" s="730">
        <v>6.25E-2</v>
      </c>
      <c r="H758" s="577" t="s">
        <v>2603</v>
      </c>
      <c r="I758" s="577" t="s">
        <v>826</v>
      </c>
      <c r="J758" s="735"/>
      <c r="K758" s="577" t="s">
        <v>2368</v>
      </c>
      <c r="L758" s="610" t="s">
        <v>45</v>
      </c>
      <c r="M758" s="651">
        <v>157000</v>
      </c>
    </row>
    <row r="759" spans="3:13" ht="19.5">
      <c r="C759" s="735"/>
      <c r="D759" s="736">
        <v>41527</v>
      </c>
      <c r="E759" s="737">
        <v>0.73749999999999993</v>
      </c>
      <c r="F759" s="731">
        <v>41528</v>
      </c>
      <c r="G759" s="730">
        <v>1.3888888888888889E-3</v>
      </c>
      <c r="H759" s="534" t="s">
        <v>2604</v>
      </c>
      <c r="I759" s="534" t="s">
        <v>826</v>
      </c>
      <c r="J759" s="735"/>
      <c r="K759" s="534" t="s">
        <v>2605</v>
      </c>
      <c r="L759" s="600">
        <v>105</v>
      </c>
      <c r="M759" s="638" t="s">
        <v>45</v>
      </c>
    </row>
    <row r="760" spans="3:13" ht="19.5">
      <c r="C760" s="735"/>
      <c r="D760" s="736">
        <v>41528</v>
      </c>
      <c r="E760" s="737">
        <v>0.66666666666666663</v>
      </c>
      <c r="F760" s="731">
        <v>41532</v>
      </c>
      <c r="G760" s="730">
        <v>0.66666666666666663</v>
      </c>
      <c r="H760" s="534" t="s">
        <v>268</v>
      </c>
      <c r="I760" s="534" t="s">
        <v>826</v>
      </c>
      <c r="J760" s="735"/>
      <c r="K760" s="534" t="s">
        <v>2368</v>
      </c>
      <c r="L760" s="600">
        <v>400</v>
      </c>
      <c r="M760" s="638">
        <v>75000</v>
      </c>
    </row>
    <row r="761" spans="3:13" ht="19.5">
      <c r="C761" s="735"/>
      <c r="D761" s="736">
        <v>41546</v>
      </c>
      <c r="E761" s="737">
        <v>0</v>
      </c>
      <c r="F761" s="731">
        <v>41546</v>
      </c>
      <c r="G761" s="730">
        <v>4.1666666666666664E-2</v>
      </c>
      <c r="H761" s="534" t="s">
        <v>2606</v>
      </c>
      <c r="I761" s="534" t="s">
        <v>63</v>
      </c>
      <c r="J761" s="735"/>
      <c r="K761" s="534" t="s">
        <v>2597</v>
      </c>
      <c r="L761" s="600" t="s">
        <v>45</v>
      </c>
      <c r="M761" s="638" t="s">
        <v>45</v>
      </c>
    </row>
    <row r="762" spans="3:13" ht="19.5">
      <c r="C762" s="735"/>
      <c r="D762" s="736">
        <v>41553</v>
      </c>
      <c r="E762" s="737">
        <v>0.30902777777777779</v>
      </c>
      <c r="F762" s="731">
        <v>41553</v>
      </c>
      <c r="G762" s="730">
        <v>0.38541666666666669</v>
      </c>
      <c r="H762" s="534" t="s">
        <v>2607</v>
      </c>
      <c r="I762" s="534" t="s">
        <v>58</v>
      </c>
      <c r="J762" s="735"/>
      <c r="K762" s="534" t="s">
        <v>2202</v>
      </c>
      <c r="L762" s="533" t="s">
        <v>45</v>
      </c>
      <c r="M762" s="647">
        <v>9200</v>
      </c>
    </row>
    <row r="763" spans="3:13" ht="19.5">
      <c r="C763" s="735"/>
      <c r="D763" s="736">
        <v>41558</v>
      </c>
      <c r="E763" s="737">
        <v>0.60416666666666663</v>
      </c>
      <c r="F763" s="731">
        <v>41558</v>
      </c>
      <c r="G763" s="730">
        <v>0.77083333333333337</v>
      </c>
      <c r="H763" s="579" t="s">
        <v>2608</v>
      </c>
      <c r="I763" s="579" t="s">
        <v>63</v>
      </c>
      <c r="J763" s="735"/>
      <c r="K763" s="579" t="s">
        <v>2202</v>
      </c>
      <c r="L763" s="545" t="s">
        <v>45</v>
      </c>
      <c r="M763" s="652" t="s">
        <v>45</v>
      </c>
    </row>
    <row r="764" spans="3:13" ht="19.5">
      <c r="C764" s="735"/>
      <c r="D764" s="736">
        <v>41563</v>
      </c>
      <c r="E764" s="737">
        <v>0.46875</v>
      </c>
      <c r="F764" s="731">
        <v>41563</v>
      </c>
      <c r="G764" s="730">
        <v>0.75</v>
      </c>
      <c r="H764" s="534" t="s">
        <v>2609</v>
      </c>
      <c r="I764" s="534" t="s">
        <v>63</v>
      </c>
      <c r="J764" s="735"/>
      <c r="K764" s="534" t="s">
        <v>2610</v>
      </c>
      <c r="L764" s="533">
        <v>0</v>
      </c>
      <c r="M764" s="647">
        <v>0</v>
      </c>
    </row>
    <row r="765" spans="3:13" ht="19.5">
      <c r="C765" s="735"/>
      <c r="D765" s="736">
        <v>41566</v>
      </c>
      <c r="E765" s="737">
        <v>0.60555555555555551</v>
      </c>
      <c r="F765" s="731">
        <v>41566</v>
      </c>
      <c r="G765" s="730">
        <v>0.91666666666666663</v>
      </c>
      <c r="H765" s="534" t="s">
        <v>18</v>
      </c>
      <c r="I765" s="534" t="s">
        <v>124</v>
      </c>
      <c r="J765" s="735"/>
      <c r="K765" s="534" t="s">
        <v>2202</v>
      </c>
      <c r="L765" s="533" t="s">
        <v>45</v>
      </c>
      <c r="M765" s="647" t="s">
        <v>45</v>
      </c>
    </row>
    <row r="766" spans="3:13" ht="19.5">
      <c r="C766" s="735"/>
      <c r="D766" s="736">
        <v>41568</v>
      </c>
      <c r="E766" s="737">
        <v>0.22083333333333333</v>
      </c>
      <c r="F766" s="731">
        <v>41568</v>
      </c>
      <c r="G766" s="730">
        <v>0.23124999999999998</v>
      </c>
      <c r="H766" s="534" t="s">
        <v>2611</v>
      </c>
      <c r="I766" s="534" t="s">
        <v>124</v>
      </c>
      <c r="J766" s="735"/>
      <c r="K766" s="534" t="s">
        <v>2037</v>
      </c>
      <c r="L766" s="533">
        <v>115</v>
      </c>
      <c r="M766" s="647">
        <v>433</v>
      </c>
    </row>
    <row r="767" spans="3:13" ht="19.5">
      <c r="C767" s="735"/>
      <c r="D767" s="736">
        <v>41573</v>
      </c>
      <c r="E767" s="737">
        <v>0.30069444444444443</v>
      </c>
      <c r="F767" s="731">
        <v>41573</v>
      </c>
      <c r="G767" s="730">
        <v>0.30138888888888887</v>
      </c>
      <c r="H767" s="534" t="s">
        <v>24</v>
      </c>
      <c r="I767" s="534" t="s">
        <v>124</v>
      </c>
      <c r="J767" s="735"/>
      <c r="K767" s="534" t="s">
        <v>2150</v>
      </c>
      <c r="L767" s="533" t="s">
        <v>45</v>
      </c>
      <c r="M767" s="647" t="s">
        <v>45</v>
      </c>
    </row>
    <row r="768" spans="3:13" ht="19.5">
      <c r="C768" s="735"/>
      <c r="D768" s="736">
        <v>41574</v>
      </c>
      <c r="E768" s="737">
        <v>0.18541666666666667</v>
      </c>
      <c r="F768" s="731">
        <v>41574</v>
      </c>
      <c r="G768" s="730">
        <v>0.93541666666666667</v>
      </c>
      <c r="H768" s="534" t="s">
        <v>1098</v>
      </c>
      <c r="I768" s="534" t="s">
        <v>1352</v>
      </c>
      <c r="J768" s="735"/>
      <c r="K768" s="534" t="s">
        <v>2612</v>
      </c>
      <c r="L768" s="533" t="s">
        <v>45</v>
      </c>
      <c r="M768" s="647">
        <v>171117</v>
      </c>
    </row>
    <row r="769" spans="3:13" ht="19.5">
      <c r="C769" s="735"/>
      <c r="D769" s="736">
        <v>41579</v>
      </c>
      <c r="E769" s="737">
        <v>0.55972222222222223</v>
      </c>
      <c r="F769" s="731">
        <v>41579</v>
      </c>
      <c r="G769" s="730">
        <v>0.56041666666666667</v>
      </c>
      <c r="H769" s="534" t="s">
        <v>2310</v>
      </c>
      <c r="I769" s="534" t="s">
        <v>826</v>
      </c>
      <c r="J769" s="735"/>
      <c r="K769" s="534" t="s">
        <v>2613</v>
      </c>
      <c r="L769" s="608" t="s">
        <v>45</v>
      </c>
      <c r="M769" s="647" t="s">
        <v>45</v>
      </c>
    </row>
    <row r="770" spans="3:13" ht="19.5">
      <c r="C770" s="735"/>
      <c r="D770" s="736">
        <v>41580</v>
      </c>
      <c r="E770" s="737">
        <v>0.35069444444444442</v>
      </c>
      <c r="F770" s="731">
        <v>41580</v>
      </c>
      <c r="G770" s="730">
        <v>0.35138888888888892</v>
      </c>
      <c r="H770" s="534" t="s">
        <v>2147</v>
      </c>
      <c r="I770" s="534" t="s">
        <v>124</v>
      </c>
      <c r="J770" s="735"/>
      <c r="K770" s="534" t="s">
        <v>2613</v>
      </c>
      <c r="L770" s="608" t="s">
        <v>255</v>
      </c>
      <c r="M770" s="647" t="s">
        <v>255</v>
      </c>
    </row>
    <row r="771" spans="3:13" ht="19.5">
      <c r="C771" s="735"/>
      <c r="D771" s="736">
        <v>41580</v>
      </c>
      <c r="E771" s="737">
        <v>0</v>
      </c>
      <c r="F771" s="731">
        <v>41582</v>
      </c>
      <c r="G771" s="730">
        <v>0.25</v>
      </c>
      <c r="H771" s="534" t="s">
        <v>2614</v>
      </c>
      <c r="I771" s="534" t="s">
        <v>124</v>
      </c>
      <c r="J771" s="735"/>
      <c r="K771" s="534" t="s">
        <v>2615</v>
      </c>
      <c r="L771" s="608" t="s">
        <v>45</v>
      </c>
      <c r="M771" s="647">
        <v>105000</v>
      </c>
    </row>
    <row r="772" spans="3:13" ht="19.5">
      <c r="C772" s="735"/>
      <c r="D772" s="736">
        <v>41582</v>
      </c>
      <c r="E772" s="737">
        <v>0.37777777777777777</v>
      </c>
      <c r="F772" s="731">
        <v>41582</v>
      </c>
      <c r="G772" s="730">
        <v>0.37847222222222227</v>
      </c>
      <c r="H772" s="534" t="s">
        <v>2616</v>
      </c>
      <c r="I772" s="534" t="s">
        <v>61</v>
      </c>
      <c r="J772" s="735"/>
      <c r="K772" s="534" t="s">
        <v>2613</v>
      </c>
      <c r="L772" s="608" t="s">
        <v>45</v>
      </c>
      <c r="M772" s="647" t="s">
        <v>45</v>
      </c>
    </row>
    <row r="773" spans="3:13" ht="19.5">
      <c r="C773" s="735"/>
      <c r="D773" s="736">
        <v>41583</v>
      </c>
      <c r="E773" s="737">
        <v>0.4236111111111111</v>
      </c>
      <c r="F773" s="731">
        <v>41585</v>
      </c>
      <c r="G773" s="730">
        <v>0.4236111111111111</v>
      </c>
      <c r="H773" s="534" t="s">
        <v>1470</v>
      </c>
      <c r="I773" s="534" t="s">
        <v>826</v>
      </c>
      <c r="J773" s="735"/>
      <c r="K773" s="534" t="s">
        <v>2202</v>
      </c>
      <c r="L773" s="608" t="s">
        <v>45</v>
      </c>
      <c r="M773" s="647" t="s">
        <v>45</v>
      </c>
    </row>
    <row r="774" spans="3:13" ht="19.5">
      <c r="C774" s="735"/>
      <c r="D774" s="736">
        <v>41590</v>
      </c>
      <c r="E774" s="737">
        <v>0.58611111111111114</v>
      </c>
      <c r="F774" s="731">
        <v>41590</v>
      </c>
      <c r="G774" s="730">
        <v>0.58680555555555558</v>
      </c>
      <c r="H774" s="534" t="s">
        <v>2617</v>
      </c>
      <c r="I774" s="534" t="s">
        <v>124</v>
      </c>
      <c r="J774" s="735"/>
      <c r="K774" s="534" t="s">
        <v>2037</v>
      </c>
      <c r="L774" s="608">
        <v>55</v>
      </c>
      <c r="M774" s="647">
        <v>48400</v>
      </c>
    </row>
    <row r="775" spans="3:13" ht="19.5">
      <c r="C775" s="735"/>
      <c r="D775" s="736">
        <v>41590</v>
      </c>
      <c r="E775" s="737">
        <v>0.38472222222222219</v>
      </c>
      <c r="F775" s="731">
        <v>41590</v>
      </c>
      <c r="G775" s="730">
        <v>0.4375</v>
      </c>
      <c r="H775" s="534" t="s">
        <v>2618</v>
      </c>
      <c r="I775" s="534" t="s">
        <v>58</v>
      </c>
      <c r="J775" s="735"/>
      <c r="K775" s="534" t="s">
        <v>2619</v>
      </c>
      <c r="L775" s="608" t="s">
        <v>45</v>
      </c>
      <c r="M775" s="647" t="s">
        <v>45</v>
      </c>
    </row>
    <row r="776" spans="3:13" ht="19.5">
      <c r="C776" s="735"/>
      <c r="D776" s="736">
        <v>41594</v>
      </c>
      <c r="E776" s="737">
        <v>0.63541666666666663</v>
      </c>
      <c r="F776" s="731">
        <v>41594</v>
      </c>
      <c r="G776" s="730">
        <v>0.63611111111111118</v>
      </c>
      <c r="H776" s="534" t="s">
        <v>2300</v>
      </c>
      <c r="I776" s="534" t="s">
        <v>124</v>
      </c>
      <c r="J776" s="735"/>
      <c r="K776" s="534" t="s">
        <v>2613</v>
      </c>
      <c r="L776" s="608" t="s">
        <v>255</v>
      </c>
      <c r="M776" s="647" t="s">
        <v>255</v>
      </c>
    </row>
    <row r="777" spans="3:13" ht="19.5">
      <c r="C777" s="735"/>
      <c r="D777" s="736">
        <v>41595</v>
      </c>
      <c r="E777" s="737">
        <v>0.29166666666666669</v>
      </c>
      <c r="F777" s="731">
        <v>41598</v>
      </c>
      <c r="G777" s="730">
        <v>0.78749999999999998</v>
      </c>
      <c r="H777" s="534" t="s">
        <v>1833</v>
      </c>
      <c r="I777" s="534" t="s">
        <v>826</v>
      </c>
      <c r="J777" s="735"/>
      <c r="K777" s="534" t="s">
        <v>2620</v>
      </c>
      <c r="L777" s="608" t="s">
        <v>45</v>
      </c>
      <c r="M777" s="647">
        <v>325325</v>
      </c>
    </row>
    <row r="778" spans="3:13" ht="19.5">
      <c r="C778" s="735"/>
      <c r="D778" s="736">
        <v>41595</v>
      </c>
      <c r="E778" s="737">
        <v>0.52430555555555558</v>
      </c>
      <c r="F778" s="731">
        <v>41595</v>
      </c>
      <c r="G778" s="730">
        <v>0.56944444444444442</v>
      </c>
      <c r="H778" s="534" t="s">
        <v>2621</v>
      </c>
      <c r="I778" s="534" t="s">
        <v>826</v>
      </c>
      <c r="J778" s="735"/>
      <c r="K778" s="534" t="s">
        <v>2622</v>
      </c>
      <c r="L778" s="608">
        <v>38</v>
      </c>
      <c r="M778" s="647">
        <v>7500</v>
      </c>
    </row>
    <row r="779" spans="3:13" ht="19.5">
      <c r="C779" s="735"/>
      <c r="D779" s="736">
        <v>41595</v>
      </c>
      <c r="E779" s="737">
        <v>0.69930555555555562</v>
      </c>
      <c r="F779" s="731">
        <v>41598</v>
      </c>
      <c r="G779" s="730">
        <v>0.4993055555555555</v>
      </c>
      <c r="H779" s="534" t="s">
        <v>2208</v>
      </c>
      <c r="I779" s="534" t="s">
        <v>826</v>
      </c>
      <c r="J779" s="735"/>
      <c r="K779" s="534" t="s">
        <v>2623</v>
      </c>
      <c r="L779" s="608">
        <v>535</v>
      </c>
      <c r="M779" s="647">
        <v>61705</v>
      </c>
    </row>
    <row r="780" spans="3:13" ht="19.5">
      <c r="C780" s="735"/>
      <c r="D780" s="736">
        <v>41595</v>
      </c>
      <c r="E780" s="737">
        <v>0.69791666666666663</v>
      </c>
      <c r="F780" s="731">
        <v>41599</v>
      </c>
      <c r="G780" s="730">
        <v>0.69791666666666663</v>
      </c>
      <c r="H780" s="534" t="s">
        <v>2624</v>
      </c>
      <c r="I780" s="534" t="s">
        <v>826</v>
      </c>
      <c r="J780" s="735"/>
      <c r="K780" s="534" t="s">
        <v>2368</v>
      </c>
      <c r="L780" s="608" t="s">
        <v>45</v>
      </c>
      <c r="M780" s="647">
        <v>50000</v>
      </c>
    </row>
    <row r="781" spans="3:13" ht="19.5">
      <c r="C781" s="735"/>
      <c r="D781" s="736">
        <v>41595</v>
      </c>
      <c r="E781" s="737">
        <v>0.52430555555555558</v>
      </c>
      <c r="F781" s="731">
        <v>41598</v>
      </c>
      <c r="G781" s="730">
        <v>0.45833333333333331</v>
      </c>
      <c r="H781" s="534" t="s">
        <v>2625</v>
      </c>
      <c r="I781" s="534" t="s">
        <v>63</v>
      </c>
      <c r="J781" s="735"/>
      <c r="K781" s="534" t="s">
        <v>2623</v>
      </c>
      <c r="L781" s="608" t="s">
        <v>45</v>
      </c>
      <c r="M781" s="647">
        <v>200000</v>
      </c>
    </row>
    <row r="782" spans="3:13" ht="19.5">
      <c r="C782" s="735"/>
      <c r="D782" s="736">
        <v>41595</v>
      </c>
      <c r="E782" s="737">
        <v>0.54583333333333328</v>
      </c>
      <c r="F782" s="731">
        <v>41598</v>
      </c>
      <c r="G782" s="730">
        <v>0.54583333333333328</v>
      </c>
      <c r="H782" s="534" t="s">
        <v>2626</v>
      </c>
      <c r="I782" s="534" t="s">
        <v>826</v>
      </c>
      <c r="J782" s="735"/>
      <c r="K782" s="534" t="s">
        <v>2368</v>
      </c>
      <c r="L782" s="608" t="s">
        <v>45</v>
      </c>
      <c r="M782" s="647">
        <v>75065</v>
      </c>
    </row>
    <row r="783" spans="3:13" ht="19.5">
      <c r="C783" s="735"/>
      <c r="D783" s="736">
        <v>41595</v>
      </c>
      <c r="E783" s="737">
        <v>0.67986111111111114</v>
      </c>
      <c r="F783" s="731">
        <v>41596</v>
      </c>
      <c r="G783" s="730">
        <v>0.75</v>
      </c>
      <c r="H783" s="534" t="s">
        <v>1962</v>
      </c>
      <c r="I783" s="534" t="s">
        <v>826</v>
      </c>
      <c r="J783" s="735"/>
      <c r="K783" s="534" t="s">
        <v>2368</v>
      </c>
      <c r="L783" s="608" t="s">
        <v>45</v>
      </c>
      <c r="M783" s="647">
        <v>77346</v>
      </c>
    </row>
    <row r="784" spans="3:13" ht="19.5">
      <c r="C784" s="735"/>
      <c r="D784" s="736">
        <v>41595</v>
      </c>
      <c r="E784" s="737">
        <v>0.60486111111111118</v>
      </c>
      <c r="F784" s="731">
        <v>41595</v>
      </c>
      <c r="G784" s="730">
        <v>0.9375</v>
      </c>
      <c r="H784" s="534" t="s">
        <v>2627</v>
      </c>
      <c r="I784" s="534" t="s">
        <v>826</v>
      </c>
      <c r="J784" s="735"/>
      <c r="K784" s="534" t="s">
        <v>2368</v>
      </c>
      <c r="L784" s="608" t="s">
        <v>45</v>
      </c>
      <c r="M784" s="647">
        <v>190000</v>
      </c>
    </row>
    <row r="785" spans="3:13" ht="19.5">
      <c r="C785" s="735"/>
      <c r="D785" s="736">
        <v>41595</v>
      </c>
      <c r="E785" s="737">
        <v>0.69930555555555562</v>
      </c>
      <c r="F785" s="731">
        <v>41598</v>
      </c>
      <c r="G785" s="730">
        <v>0.69930555555555562</v>
      </c>
      <c r="H785" s="534" t="s">
        <v>2208</v>
      </c>
      <c r="I785" s="534" t="s">
        <v>826</v>
      </c>
      <c r="J785" s="735"/>
      <c r="K785" s="534" t="s">
        <v>2368</v>
      </c>
      <c r="L785" s="608" t="s">
        <v>45</v>
      </c>
      <c r="M785" s="647">
        <v>61705</v>
      </c>
    </row>
    <row r="786" spans="3:13" ht="19.5">
      <c r="C786" s="735"/>
      <c r="D786" s="736">
        <v>41598</v>
      </c>
      <c r="E786" s="737">
        <v>0.13055555555555556</v>
      </c>
      <c r="F786" s="731">
        <v>41598</v>
      </c>
      <c r="G786" s="730">
        <v>0.13125000000000001</v>
      </c>
      <c r="H786" s="534" t="s">
        <v>2628</v>
      </c>
      <c r="I786" s="534" t="s">
        <v>124</v>
      </c>
      <c r="J786" s="735"/>
      <c r="K786" s="534" t="s">
        <v>2613</v>
      </c>
      <c r="L786" s="608" t="s">
        <v>45</v>
      </c>
      <c r="M786" s="647" t="s">
        <v>45</v>
      </c>
    </row>
    <row r="787" spans="3:13" ht="19.5">
      <c r="C787" s="735"/>
      <c r="D787" s="736">
        <v>41599</v>
      </c>
      <c r="E787" s="737">
        <v>0.82291666666666663</v>
      </c>
      <c r="F787" s="731">
        <v>41600</v>
      </c>
      <c r="G787" s="730">
        <v>0.1388888888888889</v>
      </c>
      <c r="H787" s="534" t="s">
        <v>141</v>
      </c>
      <c r="I787" s="534" t="s">
        <v>124</v>
      </c>
      <c r="J787" s="735"/>
      <c r="K787" s="534" t="s">
        <v>2491</v>
      </c>
      <c r="L787" s="608">
        <v>150</v>
      </c>
      <c r="M787" s="647">
        <v>89500</v>
      </c>
    </row>
    <row r="788" spans="3:13" ht="20.25" thickBot="1">
      <c r="C788" s="735"/>
      <c r="D788" s="736">
        <v>41602</v>
      </c>
      <c r="E788" s="737">
        <v>0.31805555555555554</v>
      </c>
      <c r="F788" s="731">
        <v>41602</v>
      </c>
      <c r="G788" s="730">
        <v>0.31875000000000003</v>
      </c>
      <c r="H788" s="580" t="s">
        <v>2628</v>
      </c>
      <c r="I788" s="580" t="s">
        <v>124</v>
      </c>
      <c r="J788" s="735"/>
      <c r="K788" s="580" t="s">
        <v>2613</v>
      </c>
      <c r="L788" s="611" t="s">
        <v>255</v>
      </c>
      <c r="M788" s="653" t="s">
        <v>255</v>
      </c>
    </row>
    <row r="789" spans="3:13" ht="19.5">
      <c r="C789" s="735"/>
      <c r="D789" s="736">
        <v>41612</v>
      </c>
      <c r="E789" s="737">
        <v>0.20833333333333334</v>
      </c>
      <c r="F789" s="731">
        <v>41612</v>
      </c>
      <c r="G789" s="730">
        <v>0.67847222222222225</v>
      </c>
      <c r="H789" s="581" t="s">
        <v>2629</v>
      </c>
      <c r="I789" s="581" t="s">
        <v>124</v>
      </c>
      <c r="J789" s="735"/>
      <c r="K789" s="581" t="s">
        <v>2630</v>
      </c>
      <c r="L789" s="581">
        <v>150</v>
      </c>
      <c r="M789" s="654" t="s">
        <v>45</v>
      </c>
    </row>
    <row r="790" spans="3:13" ht="19.5">
      <c r="C790" s="735"/>
      <c r="D790" s="736">
        <v>41614</v>
      </c>
      <c r="E790" s="737">
        <v>0.3659722222222222</v>
      </c>
      <c r="F790" s="731">
        <v>41614</v>
      </c>
      <c r="G790" s="730">
        <v>0.36736111111111108</v>
      </c>
      <c r="H790" s="581" t="s">
        <v>2631</v>
      </c>
      <c r="I790" s="581" t="s">
        <v>124</v>
      </c>
      <c r="J790" s="735"/>
      <c r="K790" s="581" t="s">
        <v>2632</v>
      </c>
      <c r="L790" s="581" t="s">
        <v>255</v>
      </c>
      <c r="M790" s="654" t="s">
        <v>255</v>
      </c>
    </row>
    <row r="791" spans="3:13" ht="19.5">
      <c r="C791" s="735"/>
      <c r="D791" s="736">
        <v>41614</v>
      </c>
      <c r="E791" s="737">
        <v>7.7083333333333337E-2</v>
      </c>
      <c r="F791" s="731">
        <v>41619</v>
      </c>
      <c r="G791" s="730">
        <v>0.5</v>
      </c>
      <c r="H791" s="581" t="s">
        <v>2633</v>
      </c>
      <c r="I791" s="581" t="s">
        <v>1352</v>
      </c>
      <c r="J791" s="735"/>
      <c r="K791" s="581" t="s">
        <v>2634</v>
      </c>
      <c r="L791" s="581" t="s">
        <v>45</v>
      </c>
      <c r="M791" s="654">
        <v>881000</v>
      </c>
    </row>
    <row r="792" spans="3:13" ht="19.5">
      <c r="C792" s="735"/>
      <c r="D792" s="736">
        <v>41617</v>
      </c>
      <c r="E792" s="737">
        <v>0.28750000000000003</v>
      </c>
      <c r="F792" s="731">
        <v>41617</v>
      </c>
      <c r="G792" s="730">
        <v>0.59861111111111109</v>
      </c>
      <c r="H792" s="581" t="s">
        <v>2635</v>
      </c>
      <c r="I792" s="581" t="s">
        <v>63</v>
      </c>
      <c r="J792" s="735"/>
      <c r="K792" s="581" t="s">
        <v>2634</v>
      </c>
      <c r="L792" s="581">
        <v>293</v>
      </c>
      <c r="M792" s="654">
        <v>88000</v>
      </c>
    </row>
    <row r="793" spans="3:13" ht="19.5">
      <c r="C793" s="735"/>
      <c r="D793" s="736">
        <v>41618</v>
      </c>
      <c r="E793" s="737">
        <v>4.2361111111111106E-2</v>
      </c>
      <c r="F793" s="731">
        <v>41619</v>
      </c>
      <c r="G793" s="730">
        <v>4.2361111111111106E-2</v>
      </c>
      <c r="H793" s="581" t="s">
        <v>24</v>
      </c>
      <c r="I793" s="581" t="s">
        <v>124</v>
      </c>
      <c r="J793" s="735"/>
      <c r="K793" s="581" t="s">
        <v>2150</v>
      </c>
      <c r="L793" s="581" t="s">
        <v>45</v>
      </c>
      <c r="M793" s="654" t="s">
        <v>45</v>
      </c>
    </row>
    <row r="794" spans="3:13" ht="19.5">
      <c r="C794" s="735"/>
      <c r="D794" s="736">
        <v>41621</v>
      </c>
      <c r="E794" s="737">
        <v>0.45833333333333331</v>
      </c>
      <c r="F794" s="731">
        <v>41635</v>
      </c>
      <c r="G794" s="730">
        <v>0.45833333333333331</v>
      </c>
      <c r="H794" s="581" t="s">
        <v>166</v>
      </c>
      <c r="I794" s="581" t="s">
        <v>1352</v>
      </c>
      <c r="J794" s="735"/>
      <c r="K794" s="581" t="s">
        <v>2636</v>
      </c>
      <c r="L794" s="581" t="s">
        <v>45</v>
      </c>
      <c r="M794" s="654" t="s">
        <v>45</v>
      </c>
    </row>
    <row r="795" spans="3:13" ht="19.5">
      <c r="C795" s="735"/>
      <c r="D795" s="736">
        <v>41621</v>
      </c>
      <c r="E795" s="737">
        <v>0.45833333333333331</v>
      </c>
      <c r="F795" s="731">
        <v>41635</v>
      </c>
      <c r="G795" s="730">
        <v>0.45833333333333331</v>
      </c>
      <c r="H795" s="581" t="s">
        <v>166</v>
      </c>
      <c r="I795" s="581" t="s">
        <v>2637</v>
      </c>
      <c r="J795" s="735"/>
      <c r="K795" s="581" t="s">
        <v>2636</v>
      </c>
      <c r="L795" s="581" t="s">
        <v>45</v>
      </c>
      <c r="M795" s="654" t="s">
        <v>45</v>
      </c>
    </row>
    <row r="796" spans="3:13" ht="19.5">
      <c r="C796" s="735"/>
      <c r="D796" s="736">
        <v>41630</v>
      </c>
      <c r="E796" s="737">
        <v>0.26111111111111113</v>
      </c>
      <c r="F796" s="731">
        <v>41632</v>
      </c>
      <c r="G796" s="730">
        <v>0.99930555555555556</v>
      </c>
      <c r="H796" s="581" t="s">
        <v>2638</v>
      </c>
      <c r="I796" s="581" t="s">
        <v>61</v>
      </c>
      <c r="J796" s="735"/>
      <c r="K796" s="581" t="s">
        <v>2634</v>
      </c>
      <c r="L796" s="581" t="s">
        <v>45</v>
      </c>
      <c r="M796" s="654">
        <v>59000</v>
      </c>
    </row>
    <row r="797" spans="3:13" ht="19.5">
      <c r="C797" s="735"/>
      <c r="D797" s="736">
        <v>41630</v>
      </c>
      <c r="E797" s="737">
        <v>0.27083333333333331</v>
      </c>
      <c r="F797" s="731">
        <v>41633</v>
      </c>
      <c r="G797" s="730">
        <v>0.21666666666666667</v>
      </c>
      <c r="H797" s="581" t="s">
        <v>1833</v>
      </c>
      <c r="I797" s="581" t="s">
        <v>826</v>
      </c>
      <c r="J797" s="735"/>
      <c r="K797" s="581" t="s">
        <v>2634</v>
      </c>
      <c r="L797" s="581">
        <v>350</v>
      </c>
      <c r="M797" s="654">
        <v>140735</v>
      </c>
    </row>
    <row r="798" spans="3:13" ht="19.5">
      <c r="C798" s="735"/>
      <c r="D798" s="736">
        <v>41630</v>
      </c>
      <c r="E798" s="737">
        <v>0.14444444444444446</v>
      </c>
      <c r="F798" s="731">
        <v>41636</v>
      </c>
      <c r="G798" s="730">
        <v>0.98958333333333337</v>
      </c>
      <c r="H798" s="581" t="s">
        <v>2639</v>
      </c>
      <c r="I798" s="581" t="s">
        <v>826</v>
      </c>
      <c r="J798" s="735"/>
      <c r="K798" s="581" t="s">
        <v>2634</v>
      </c>
      <c r="L798" s="581" t="s">
        <v>45</v>
      </c>
      <c r="M798" s="654">
        <v>50000</v>
      </c>
    </row>
    <row r="799" spans="3:13" ht="19.5">
      <c r="C799" s="735"/>
      <c r="D799" s="736">
        <v>41631</v>
      </c>
      <c r="E799" s="737">
        <v>0.63888888888888895</v>
      </c>
      <c r="F799" s="731">
        <v>41633</v>
      </c>
      <c r="G799" s="730">
        <v>0.48055555555555557</v>
      </c>
      <c r="H799" s="581" t="s">
        <v>2640</v>
      </c>
      <c r="I799" s="581" t="s">
        <v>61</v>
      </c>
      <c r="J799" s="735"/>
      <c r="K799" s="581" t="s">
        <v>2634</v>
      </c>
      <c r="L799" s="581" t="s">
        <v>45</v>
      </c>
      <c r="M799" s="654">
        <v>52500</v>
      </c>
    </row>
    <row r="800" spans="3:13" ht="19.5">
      <c r="C800" s="735"/>
      <c r="D800" s="736">
        <v>41635</v>
      </c>
      <c r="E800" s="737">
        <v>0.40486111111111112</v>
      </c>
      <c r="F800" s="731">
        <v>41635</v>
      </c>
      <c r="G800" s="730">
        <v>0.52986111111111112</v>
      </c>
      <c r="H800" s="581" t="s">
        <v>2641</v>
      </c>
      <c r="I800" s="581" t="s">
        <v>124</v>
      </c>
      <c r="J800" s="735"/>
      <c r="K800" s="581" t="s">
        <v>2202</v>
      </c>
      <c r="L800" s="581" t="s">
        <v>255</v>
      </c>
      <c r="M800" s="654" t="s">
        <v>255</v>
      </c>
    </row>
    <row r="801" spans="3:13" ht="19.5">
      <c r="C801" s="735"/>
      <c r="D801" s="736">
        <v>41638</v>
      </c>
      <c r="E801" s="737">
        <v>0.45833333333333331</v>
      </c>
      <c r="F801" s="731">
        <v>41638</v>
      </c>
      <c r="G801" s="730">
        <v>0.45902777777777781</v>
      </c>
      <c r="H801" s="581" t="s">
        <v>2628</v>
      </c>
      <c r="I801" s="581" t="s">
        <v>124</v>
      </c>
      <c r="J801" s="735"/>
      <c r="K801" s="581" t="s">
        <v>2202</v>
      </c>
      <c r="L801" s="581" t="s">
        <v>255</v>
      </c>
      <c r="M801" s="654" t="s">
        <v>255</v>
      </c>
    </row>
    <row r="802" spans="3:13" ht="20.25" thickBot="1">
      <c r="C802" s="735"/>
      <c r="D802" s="736">
        <v>41638</v>
      </c>
      <c r="E802" s="737">
        <v>0.45833333333333331</v>
      </c>
      <c r="F802" s="731">
        <v>41640</v>
      </c>
      <c r="G802" s="730">
        <v>0.33333333333333331</v>
      </c>
      <c r="H802" s="582" t="s">
        <v>2642</v>
      </c>
      <c r="I802" s="582" t="s">
        <v>124</v>
      </c>
      <c r="J802" s="735"/>
      <c r="K802" s="582" t="s">
        <v>2202</v>
      </c>
      <c r="L802" s="582" t="s">
        <v>255</v>
      </c>
      <c r="M802" s="655" t="s">
        <v>255</v>
      </c>
    </row>
    <row r="803" spans="3:13" ht="19.5">
      <c r="C803" s="735"/>
      <c r="D803" s="736">
        <v>41645</v>
      </c>
      <c r="E803" s="737">
        <v>0.82638888888888884</v>
      </c>
      <c r="F803" s="731">
        <v>41645</v>
      </c>
      <c r="G803" s="730">
        <v>0.86388888888888893</v>
      </c>
      <c r="H803" s="537" t="s">
        <v>2644</v>
      </c>
      <c r="I803" s="537" t="s">
        <v>826</v>
      </c>
      <c r="J803" s="735"/>
      <c r="K803" s="537" t="s">
        <v>2645</v>
      </c>
      <c r="L803" s="543" t="s">
        <v>45</v>
      </c>
      <c r="M803" s="633" t="s">
        <v>45</v>
      </c>
    </row>
    <row r="804" spans="3:13" ht="19.5">
      <c r="C804" s="735"/>
      <c r="D804" s="736">
        <v>41645</v>
      </c>
      <c r="E804" s="737">
        <v>0.82638888888888884</v>
      </c>
      <c r="F804" s="731">
        <v>41645</v>
      </c>
      <c r="G804" s="730">
        <v>0.86388888888888893</v>
      </c>
      <c r="H804" s="537" t="s">
        <v>45</v>
      </c>
      <c r="I804" s="537" t="s">
        <v>826</v>
      </c>
      <c r="J804" s="735"/>
      <c r="K804" s="537" t="s">
        <v>2645</v>
      </c>
      <c r="L804" s="543" t="s">
        <v>45</v>
      </c>
      <c r="M804" s="633" t="s">
        <v>45</v>
      </c>
    </row>
    <row r="805" spans="3:13" ht="19.5">
      <c r="C805" s="735"/>
      <c r="D805" s="736">
        <v>41645</v>
      </c>
      <c r="E805" s="737">
        <v>0.82777777777777783</v>
      </c>
      <c r="F805" s="731">
        <v>41645</v>
      </c>
      <c r="G805" s="730">
        <v>0.86458333333333337</v>
      </c>
      <c r="H805" s="537" t="s">
        <v>2646</v>
      </c>
      <c r="I805" s="537" t="s">
        <v>826</v>
      </c>
      <c r="J805" s="735"/>
      <c r="K805" s="537" t="s">
        <v>2645</v>
      </c>
      <c r="L805" s="543" t="s">
        <v>45</v>
      </c>
      <c r="M805" s="633" t="s">
        <v>45</v>
      </c>
    </row>
    <row r="806" spans="3:13" ht="19.5">
      <c r="C806" s="735"/>
      <c r="D806" s="736">
        <v>41645</v>
      </c>
      <c r="E806" s="737">
        <v>0.86458333333333337</v>
      </c>
      <c r="F806" s="731">
        <v>41646</v>
      </c>
      <c r="G806" s="730">
        <v>0.875</v>
      </c>
      <c r="H806" s="537" t="s">
        <v>45</v>
      </c>
      <c r="I806" s="537" t="s">
        <v>826</v>
      </c>
      <c r="J806" s="735"/>
      <c r="K806" s="537" t="s">
        <v>2647</v>
      </c>
      <c r="L806" s="543" t="s">
        <v>45</v>
      </c>
      <c r="M806" s="633" t="s">
        <v>45</v>
      </c>
    </row>
    <row r="807" spans="3:13" ht="19.5">
      <c r="C807" s="735"/>
      <c r="D807" s="736">
        <v>41645</v>
      </c>
      <c r="E807" s="737">
        <v>0.82638888888888884</v>
      </c>
      <c r="F807" s="731">
        <v>41645</v>
      </c>
      <c r="G807" s="730">
        <v>0.86736111111111114</v>
      </c>
      <c r="H807" s="537" t="s">
        <v>171</v>
      </c>
      <c r="I807" s="537" t="s">
        <v>826</v>
      </c>
      <c r="J807" s="735"/>
      <c r="K807" s="537" t="s">
        <v>2645</v>
      </c>
      <c r="L807" s="543">
        <v>200</v>
      </c>
      <c r="M807" s="633">
        <v>62000</v>
      </c>
    </row>
    <row r="808" spans="3:13" ht="19.5">
      <c r="C808" s="735"/>
      <c r="D808" s="736">
        <v>41645</v>
      </c>
      <c r="E808" s="737">
        <v>0.82638888888888884</v>
      </c>
      <c r="F808" s="731">
        <v>41645</v>
      </c>
      <c r="G808" s="730">
        <v>0.86388888888888893</v>
      </c>
      <c r="H808" s="537" t="s">
        <v>171</v>
      </c>
      <c r="I808" s="537" t="s">
        <v>826</v>
      </c>
      <c r="J808" s="735"/>
      <c r="K808" s="537" t="s">
        <v>2645</v>
      </c>
      <c r="L808" s="543" t="s">
        <v>45</v>
      </c>
      <c r="M808" s="633" t="s">
        <v>45</v>
      </c>
    </row>
    <row r="809" spans="3:13" ht="19.5">
      <c r="C809" s="735"/>
      <c r="D809" s="736">
        <v>41645</v>
      </c>
      <c r="E809" s="737">
        <v>0.60902777777777783</v>
      </c>
      <c r="F809" s="731">
        <v>41645</v>
      </c>
      <c r="G809" s="730">
        <v>0.60972222222222217</v>
      </c>
      <c r="H809" s="537" t="s">
        <v>1320</v>
      </c>
      <c r="I809" s="537" t="s">
        <v>826</v>
      </c>
      <c r="J809" s="735"/>
      <c r="K809" s="537" t="s">
        <v>100</v>
      </c>
      <c r="L809" s="543" t="s">
        <v>255</v>
      </c>
      <c r="M809" s="633" t="s">
        <v>255</v>
      </c>
    </row>
    <row r="810" spans="3:13" ht="19.5">
      <c r="C810" s="735"/>
      <c r="D810" s="736">
        <v>41645</v>
      </c>
      <c r="E810" s="737">
        <v>0.91666666666666663</v>
      </c>
      <c r="F810" s="731">
        <v>41645</v>
      </c>
      <c r="G810" s="730">
        <v>0.91736111111111107</v>
      </c>
      <c r="H810" s="537" t="s">
        <v>2270</v>
      </c>
      <c r="I810" s="537" t="s">
        <v>826</v>
      </c>
      <c r="J810" s="735"/>
      <c r="K810" s="537" t="s">
        <v>2647</v>
      </c>
      <c r="L810" s="543" t="s">
        <v>45</v>
      </c>
      <c r="M810" s="633" t="s">
        <v>45</v>
      </c>
    </row>
    <row r="811" spans="3:13" ht="19.5">
      <c r="C811" s="735"/>
      <c r="D811" s="736">
        <v>41645</v>
      </c>
      <c r="E811" s="737">
        <v>0.29236111111111113</v>
      </c>
      <c r="F811" s="731">
        <v>41646</v>
      </c>
      <c r="G811" s="730">
        <v>0.375</v>
      </c>
      <c r="H811" s="537" t="s">
        <v>166</v>
      </c>
      <c r="I811" s="537" t="s">
        <v>1352</v>
      </c>
      <c r="J811" s="735"/>
      <c r="K811" s="537" t="s">
        <v>2647</v>
      </c>
      <c r="L811" s="543" t="s">
        <v>255</v>
      </c>
      <c r="M811" s="633" t="s">
        <v>255</v>
      </c>
    </row>
    <row r="812" spans="3:13" ht="19.5">
      <c r="C812" s="735"/>
      <c r="D812" s="736">
        <v>41646</v>
      </c>
      <c r="E812" s="737">
        <v>0.875</v>
      </c>
      <c r="F812" s="731">
        <v>41647</v>
      </c>
      <c r="G812" s="730">
        <v>0.375</v>
      </c>
      <c r="H812" s="537" t="s">
        <v>45</v>
      </c>
      <c r="I812" s="537" t="s">
        <v>826</v>
      </c>
      <c r="J812" s="735"/>
      <c r="K812" s="537" t="s">
        <v>2647</v>
      </c>
      <c r="L812" s="543" t="s">
        <v>45</v>
      </c>
      <c r="M812" s="633" t="s">
        <v>45</v>
      </c>
    </row>
    <row r="813" spans="3:13" ht="19.5">
      <c r="C813" s="735"/>
      <c r="D813" s="736">
        <v>41646</v>
      </c>
      <c r="E813" s="737">
        <v>0.26250000000000001</v>
      </c>
      <c r="F813" s="731">
        <v>41646</v>
      </c>
      <c r="G813" s="730">
        <v>0.26319444444444445</v>
      </c>
      <c r="H813" s="537" t="s">
        <v>171</v>
      </c>
      <c r="I813" s="537" t="s">
        <v>826</v>
      </c>
      <c r="J813" s="735"/>
      <c r="K813" s="537" t="s">
        <v>2648</v>
      </c>
      <c r="L813" s="543" t="s">
        <v>45</v>
      </c>
      <c r="M813" s="633" t="s">
        <v>45</v>
      </c>
    </row>
    <row r="814" spans="3:13" ht="19.5">
      <c r="C814" s="735"/>
      <c r="D814" s="736">
        <v>41646</v>
      </c>
      <c r="E814" s="737">
        <v>0.33194444444444443</v>
      </c>
      <c r="F814" s="731">
        <v>41646</v>
      </c>
      <c r="G814" s="730">
        <v>0.45833333333333331</v>
      </c>
      <c r="H814" s="537" t="s">
        <v>2482</v>
      </c>
      <c r="I814" s="537" t="s">
        <v>63</v>
      </c>
      <c r="J814" s="735"/>
      <c r="K814" s="537" t="s">
        <v>2649</v>
      </c>
      <c r="L814" s="543">
        <v>14435</v>
      </c>
      <c r="M814" s="633" t="s">
        <v>45</v>
      </c>
    </row>
    <row r="815" spans="3:13" ht="19.5">
      <c r="C815" s="735"/>
      <c r="D815" s="736">
        <v>41646</v>
      </c>
      <c r="E815" s="737">
        <v>0.67708333333333337</v>
      </c>
      <c r="F815" s="731">
        <v>41647</v>
      </c>
      <c r="G815" s="730">
        <v>0.55555555555555558</v>
      </c>
      <c r="H815" s="537" t="s">
        <v>2482</v>
      </c>
      <c r="I815" s="537" t="s">
        <v>63</v>
      </c>
      <c r="J815" s="735"/>
      <c r="K815" s="537" t="s">
        <v>2647</v>
      </c>
      <c r="L815" s="543" t="s">
        <v>45</v>
      </c>
      <c r="M815" s="633" t="s">
        <v>45</v>
      </c>
    </row>
    <row r="816" spans="3:13" ht="19.5">
      <c r="C816" s="735"/>
      <c r="D816" s="736">
        <v>41646</v>
      </c>
      <c r="E816" s="737">
        <v>0.25</v>
      </c>
      <c r="F816" s="731">
        <v>41646</v>
      </c>
      <c r="G816" s="730">
        <v>0.35416666666666669</v>
      </c>
      <c r="H816" s="537" t="s">
        <v>2180</v>
      </c>
      <c r="I816" s="537" t="s">
        <v>63</v>
      </c>
      <c r="J816" s="735"/>
      <c r="K816" s="537" t="s">
        <v>2647</v>
      </c>
      <c r="L816" s="543" t="s">
        <v>45</v>
      </c>
      <c r="M816" s="633" t="s">
        <v>45</v>
      </c>
    </row>
    <row r="817" spans="3:13" ht="19.5">
      <c r="C817" s="735"/>
      <c r="D817" s="736">
        <v>41646</v>
      </c>
      <c r="E817" s="737">
        <v>0.25</v>
      </c>
      <c r="F817" s="731">
        <v>41646</v>
      </c>
      <c r="G817" s="730">
        <v>0.35416666666666669</v>
      </c>
      <c r="H817" s="537" t="s">
        <v>2650</v>
      </c>
      <c r="I817" s="537" t="s">
        <v>63</v>
      </c>
      <c r="J817" s="735"/>
      <c r="K817" s="537" t="s">
        <v>2647</v>
      </c>
      <c r="L817" s="543" t="s">
        <v>45</v>
      </c>
      <c r="M817" s="633" t="s">
        <v>45</v>
      </c>
    </row>
    <row r="818" spans="3:13" ht="19.5">
      <c r="C818" s="735"/>
      <c r="D818" s="736">
        <v>41646</v>
      </c>
      <c r="E818" s="737">
        <v>0.75</v>
      </c>
      <c r="F818" s="731">
        <v>41646</v>
      </c>
      <c r="G818" s="730">
        <v>0.95833333333333337</v>
      </c>
      <c r="H818" s="537" t="s">
        <v>108</v>
      </c>
      <c r="I818" s="537" t="s">
        <v>63</v>
      </c>
      <c r="J818" s="735"/>
      <c r="K818" s="537" t="s">
        <v>2651</v>
      </c>
      <c r="L818" s="543">
        <v>4853</v>
      </c>
      <c r="M818" s="633">
        <v>677858</v>
      </c>
    </row>
    <row r="819" spans="3:13" ht="19.5">
      <c r="C819" s="735"/>
      <c r="D819" s="736">
        <v>41646</v>
      </c>
      <c r="E819" s="737">
        <v>0.45763888888888887</v>
      </c>
      <c r="F819" s="731">
        <v>41648</v>
      </c>
      <c r="G819" s="730">
        <v>0.375</v>
      </c>
      <c r="H819" s="537" t="s">
        <v>33</v>
      </c>
      <c r="I819" s="537" t="s">
        <v>826</v>
      </c>
      <c r="J819" s="735"/>
      <c r="K819" s="537" t="s">
        <v>2652</v>
      </c>
      <c r="L819" s="543" t="s">
        <v>255</v>
      </c>
      <c r="M819" s="633" t="s">
        <v>255</v>
      </c>
    </row>
    <row r="820" spans="3:13" ht="19.5">
      <c r="C820" s="735"/>
      <c r="D820" s="736">
        <v>41646</v>
      </c>
      <c r="E820" s="737">
        <v>0.39583333333333331</v>
      </c>
      <c r="F820" s="731">
        <v>41647</v>
      </c>
      <c r="G820" s="730">
        <v>0.39583333333333331</v>
      </c>
      <c r="H820" s="537" t="s">
        <v>2653</v>
      </c>
      <c r="I820" s="537" t="s">
        <v>63</v>
      </c>
      <c r="J820" s="735"/>
      <c r="K820" s="537" t="s">
        <v>2654</v>
      </c>
      <c r="L820" s="543" t="s">
        <v>45</v>
      </c>
      <c r="M820" s="633" t="s">
        <v>45</v>
      </c>
    </row>
    <row r="821" spans="3:13" ht="19.5">
      <c r="C821" s="735"/>
      <c r="D821" s="736">
        <v>41647</v>
      </c>
      <c r="E821" s="737">
        <v>0.20833333333333334</v>
      </c>
      <c r="F821" s="731">
        <v>41647</v>
      </c>
      <c r="G821" s="730">
        <v>0.27083333333333331</v>
      </c>
      <c r="H821" s="537" t="s">
        <v>45</v>
      </c>
      <c r="I821" s="537" t="s">
        <v>826</v>
      </c>
      <c r="J821" s="735"/>
      <c r="K821" s="537" t="s">
        <v>2645</v>
      </c>
      <c r="L821" s="543">
        <v>576</v>
      </c>
      <c r="M821" s="633" t="s">
        <v>45</v>
      </c>
    </row>
    <row r="822" spans="3:13" ht="19.5">
      <c r="C822" s="735"/>
      <c r="D822" s="736">
        <v>41647</v>
      </c>
      <c r="E822" s="737">
        <v>0.25</v>
      </c>
      <c r="F822" s="731">
        <v>41647</v>
      </c>
      <c r="G822" s="730">
        <v>0.375</v>
      </c>
      <c r="H822" s="537" t="s">
        <v>108</v>
      </c>
      <c r="I822" s="537" t="s">
        <v>63</v>
      </c>
      <c r="J822" s="735"/>
      <c r="K822" s="537" t="s">
        <v>2651</v>
      </c>
      <c r="L822" s="543">
        <v>4545</v>
      </c>
      <c r="M822" s="633">
        <v>677858</v>
      </c>
    </row>
    <row r="823" spans="3:13" ht="19.5">
      <c r="C823" s="735"/>
      <c r="D823" s="736">
        <v>41652</v>
      </c>
      <c r="E823" s="737">
        <v>0.6972222222222223</v>
      </c>
      <c r="F823" s="731">
        <v>41652</v>
      </c>
      <c r="G823" s="730">
        <v>0.69791666666666663</v>
      </c>
      <c r="H823" s="537" t="s">
        <v>24</v>
      </c>
      <c r="I823" s="537" t="s">
        <v>124</v>
      </c>
      <c r="J823" s="735"/>
      <c r="K823" s="537" t="s">
        <v>2613</v>
      </c>
      <c r="L823" s="543" t="s">
        <v>255</v>
      </c>
      <c r="M823" s="633" t="s">
        <v>255</v>
      </c>
    </row>
    <row r="824" spans="3:13" ht="19.5">
      <c r="C824" s="735"/>
      <c r="D824" s="736">
        <v>41654</v>
      </c>
      <c r="E824" s="737">
        <v>0.60555555555555551</v>
      </c>
      <c r="F824" s="731">
        <v>41654</v>
      </c>
      <c r="G824" s="730">
        <v>0.61458333333333337</v>
      </c>
      <c r="H824" s="537" t="s">
        <v>1320</v>
      </c>
      <c r="I824" s="537" t="s">
        <v>124</v>
      </c>
      <c r="J824" s="735"/>
      <c r="K824" s="537" t="s">
        <v>2613</v>
      </c>
      <c r="L824" s="543" t="s">
        <v>45</v>
      </c>
      <c r="M824" s="633" t="s">
        <v>45</v>
      </c>
    </row>
    <row r="825" spans="3:13" ht="19.5">
      <c r="C825" s="735"/>
      <c r="D825" s="736">
        <v>41655</v>
      </c>
      <c r="E825" s="737">
        <v>0.52083333333333337</v>
      </c>
      <c r="F825" s="731">
        <v>41655</v>
      </c>
      <c r="G825" s="730">
        <v>0.58124999999999993</v>
      </c>
      <c r="H825" s="537" t="s">
        <v>24</v>
      </c>
      <c r="I825" s="537" t="s">
        <v>124</v>
      </c>
      <c r="J825" s="735"/>
      <c r="K825" s="537" t="s">
        <v>2613</v>
      </c>
      <c r="L825" s="543" t="s">
        <v>255</v>
      </c>
      <c r="M825" s="633" t="s">
        <v>255</v>
      </c>
    </row>
    <row r="826" spans="3:13" ht="19.5">
      <c r="C826" s="735"/>
      <c r="D826" s="736">
        <v>41656</v>
      </c>
      <c r="E826" s="737">
        <v>0.51388888888888895</v>
      </c>
      <c r="F826" s="731">
        <v>41656</v>
      </c>
      <c r="G826" s="730">
        <v>0.51388888888888895</v>
      </c>
      <c r="H826" s="537" t="s">
        <v>160</v>
      </c>
      <c r="I826" s="537" t="s">
        <v>826</v>
      </c>
      <c r="J826" s="735"/>
      <c r="K826" s="537" t="s">
        <v>2150</v>
      </c>
      <c r="L826" s="543" t="s">
        <v>45</v>
      </c>
      <c r="M826" s="633" t="s">
        <v>45</v>
      </c>
    </row>
    <row r="827" spans="3:13" ht="19.5">
      <c r="C827" s="735"/>
      <c r="D827" s="736">
        <v>41656</v>
      </c>
      <c r="E827" s="737">
        <v>0.4375</v>
      </c>
      <c r="F827" s="731">
        <v>41667</v>
      </c>
      <c r="G827" s="730">
        <v>0.375</v>
      </c>
      <c r="H827" s="537" t="s">
        <v>33</v>
      </c>
      <c r="I827" s="537" t="s">
        <v>826</v>
      </c>
      <c r="J827" s="735"/>
      <c r="K827" s="533" t="s">
        <v>2652</v>
      </c>
      <c r="L827" s="543" t="s">
        <v>45</v>
      </c>
      <c r="M827" s="633" t="s">
        <v>45</v>
      </c>
    </row>
    <row r="828" spans="3:13" ht="19.5">
      <c r="C828" s="735"/>
      <c r="D828" s="736">
        <v>41657</v>
      </c>
      <c r="E828" s="737">
        <v>0.73541666666666661</v>
      </c>
      <c r="F828" s="731" t="s">
        <v>45</v>
      </c>
      <c r="G828" s="730" t="s">
        <v>45</v>
      </c>
      <c r="H828" s="537" t="s">
        <v>45</v>
      </c>
      <c r="I828" s="537" t="s">
        <v>826</v>
      </c>
      <c r="J828" s="735"/>
      <c r="K828" s="537" t="s">
        <v>2655</v>
      </c>
      <c r="L828" s="543" t="s">
        <v>45</v>
      </c>
      <c r="M828" s="633" t="s">
        <v>45</v>
      </c>
    </row>
    <row r="829" spans="3:13" ht="19.5">
      <c r="C829" s="735"/>
      <c r="D829" s="736">
        <v>41657</v>
      </c>
      <c r="E829" s="737">
        <v>0.375</v>
      </c>
      <c r="F829" s="731">
        <v>41657</v>
      </c>
      <c r="G829" s="730">
        <v>0.40625</v>
      </c>
      <c r="H829" s="537" t="s">
        <v>166</v>
      </c>
      <c r="I829" s="537" t="s">
        <v>1352</v>
      </c>
      <c r="J829" s="735"/>
      <c r="K829" s="537" t="s">
        <v>2221</v>
      </c>
      <c r="L829" s="543" t="s">
        <v>45</v>
      </c>
      <c r="M829" s="633" t="s">
        <v>45</v>
      </c>
    </row>
    <row r="830" spans="3:13" ht="19.5">
      <c r="C830" s="735"/>
      <c r="D830" s="736">
        <v>41660</v>
      </c>
      <c r="E830" s="737">
        <v>0.70833333333333337</v>
      </c>
      <c r="F830" s="731" t="s">
        <v>45</v>
      </c>
      <c r="G830" s="730" t="s">
        <v>45</v>
      </c>
      <c r="H830" s="537" t="s">
        <v>2288</v>
      </c>
      <c r="I830" s="537" t="s">
        <v>826</v>
      </c>
      <c r="J830" s="735"/>
      <c r="K830" s="537" t="s">
        <v>2613</v>
      </c>
      <c r="L830" s="543" t="s">
        <v>45</v>
      </c>
      <c r="M830" s="633" t="s">
        <v>45</v>
      </c>
    </row>
    <row r="831" spans="3:13" ht="19.5">
      <c r="C831" s="735"/>
      <c r="D831" s="736">
        <v>41660</v>
      </c>
      <c r="E831" s="737">
        <v>0.50972222222222219</v>
      </c>
      <c r="F831" s="731">
        <v>41660</v>
      </c>
      <c r="G831" s="730">
        <v>0.52708333333333335</v>
      </c>
      <c r="H831" s="537" t="s">
        <v>16</v>
      </c>
      <c r="I831" s="537" t="s">
        <v>63</v>
      </c>
      <c r="J831" s="735"/>
      <c r="K831" s="537" t="s">
        <v>2613</v>
      </c>
      <c r="L831" s="543">
        <v>10</v>
      </c>
      <c r="M831" s="633" t="s">
        <v>45</v>
      </c>
    </row>
    <row r="832" spans="3:13" ht="19.5">
      <c r="C832" s="735"/>
      <c r="D832" s="736">
        <v>41661</v>
      </c>
      <c r="E832" s="737">
        <v>0.57986111111111105</v>
      </c>
      <c r="F832" s="731">
        <v>41661</v>
      </c>
      <c r="G832" s="730">
        <v>0.62152777777777779</v>
      </c>
      <c r="H832" s="537" t="s">
        <v>2656</v>
      </c>
      <c r="I832" s="537" t="s">
        <v>674</v>
      </c>
      <c r="J832" s="735"/>
      <c r="K832" s="537" t="s">
        <v>2613</v>
      </c>
      <c r="L832" s="543" t="s">
        <v>45</v>
      </c>
      <c r="M832" s="633" t="s">
        <v>45</v>
      </c>
    </row>
    <row r="833" spans="3:13" ht="19.5">
      <c r="C833" s="735"/>
      <c r="D833" s="736">
        <v>41661</v>
      </c>
      <c r="E833" s="737">
        <v>0.40625</v>
      </c>
      <c r="F833" s="731">
        <v>41661</v>
      </c>
      <c r="G833" s="730">
        <v>0.84652777777777777</v>
      </c>
      <c r="H833" s="537" t="s">
        <v>160</v>
      </c>
      <c r="I833" s="537" t="s">
        <v>826</v>
      </c>
      <c r="J833" s="735"/>
      <c r="K833" s="537" t="s">
        <v>2613</v>
      </c>
      <c r="L833" s="543" t="s">
        <v>45</v>
      </c>
      <c r="M833" s="633" t="s">
        <v>45</v>
      </c>
    </row>
    <row r="834" spans="3:13" ht="19.5">
      <c r="C834" s="735"/>
      <c r="D834" s="736">
        <v>41661</v>
      </c>
      <c r="E834" s="737">
        <v>0.88541666666666663</v>
      </c>
      <c r="F834" s="731">
        <v>41662</v>
      </c>
      <c r="G834" s="730">
        <v>0.13055555555555556</v>
      </c>
      <c r="H834" s="537" t="s">
        <v>2657</v>
      </c>
      <c r="I834" s="537" t="s">
        <v>826</v>
      </c>
      <c r="J834" s="735"/>
      <c r="K834" s="537" t="s">
        <v>2150</v>
      </c>
      <c r="L834" s="543" t="s">
        <v>45</v>
      </c>
      <c r="M834" s="633" t="s">
        <v>45</v>
      </c>
    </row>
    <row r="835" spans="3:13" ht="19.5">
      <c r="C835" s="735"/>
      <c r="D835" s="736">
        <v>41661</v>
      </c>
      <c r="E835" s="737">
        <v>2.0833333333333332E-2</v>
      </c>
      <c r="F835" s="731">
        <v>41661</v>
      </c>
      <c r="G835" s="730">
        <v>0.11458333333333333</v>
      </c>
      <c r="H835" s="537" t="s">
        <v>2656</v>
      </c>
      <c r="I835" s="537" t="s">
        <v>674</v>
      </c>
      <c r="J835" s="735"/>
      <c r="K835" s="537" t="s">
        <v>2613</v>
      </c>
      <c r="L835" s="543" t="s">
        <v>45</v>
      </c>
      <c r="M835" s="633" t="s">
        <v>45</v>
      </c>
    </row>
    <row r="836" spans="3:13" ht="19.5">
      <c r="C836" s="735"/>
      <c r="D836" s="736">
        <v>41662</v>
      </c>
      <c r="E836" s="737">
        <v>0.16666666666666666</v>
      </c>
      <c r="F836" s="731">
        <v>41663</v>
      </c>
      <c r="G836" s="730">
        <v>0.5</v>
      </c>
      <c r="H836" s="537" t="s">
        <v>2650</v>
      </c>
      <c r="I836" s="537" t="s">
        <v>63</v>
      </c>
      <c r="J836" s="735"/>
      <c r="K836" s="537" t="s">
        <v>2647</v>
      </c>
      <c r="L836" s="543" t="s">
        <v>45</v>
      </c>
      <c r="M836" s="633" t="s">
        <v>45</v>
      </c>
    </row>
    <row r="837" spans="3:13" ht="19.5">
      <c r="C837" s="735"/>
      <c r="D837" s="736">
        <v>41662</v>
      </c>
      <c r="E837" s="737">
        <v>0.88680555555555562</v>
      </c>
      <c r="F837" s="731">
        <v>41663</v>
      </c>
      <c r="G837" s="730">
        <v>0.70833333333333337</v>
      </c>
      <c r="H837" s="537" t="s">
        <v>2658</v>
      </c>
      <c r="I837" s="537" t="s">
        <v>124</v>
      </c>
      <c r="J837" s="735"/>
      <c r="K837" s="537" t="s">
        <v>2613</v>
      </c>
      <c r="L837" s="543" t="s">
        <v>45</v>
      </c>
      <c r="M837" s="633" t="s">
        <v>45</v>
      </c>
    </row>
    <row r="838" spans="3:13" ht="19.5">
      <c r="C838" s="735"/>
      <c r="D838" s="736">
        <v>41662</v>
      </c>
      <c r="E838" s="737">
        <v>0.5444444444444444</v>
      </c>
      <c r="F838" s="731">
        <v>41663</v>
      </c>
      <c r="G838" s="730">
        <v>0.375</v>
      </c>
      <c r="H838" s="537" t="s">
        <v>2123</v>
      </c>
      <c r="I838" s="537" t="s">
        <v>826</v>
      </c>
      <c r="J838" s="735"/>
      <c r="K838" s="537" t="s">
        <v>2647</v>
      </c>
      <c r="L838" s="543" t="s">
        <v>45</v>
      </c>
      <c r="M838" s="633" t="s">
        <v>45</v>
      </c>
    </row>
    <row r="839" spans="3:13" ht="19.5">
      <c r="C839" s="735"/>
      <c r="D839" s="736">
        <v>41662</v>
      </c>
      <c r="E839" s="737">
        <v>0.66666666666666663</v>
      </c>
      <c r="F839" s="731">
        <v>41663</v>
      </c>
      <c r="G839" s="730">
        <v>0.5</v>
      </c>
      <c r="H839" s="537" t="s">
        <v>2650</v>
      </c>
      <c r="I839" s="537" t="s">
        <v>63</v>
      </c>
      <c r="J839" s="735"/>
      <c r="K839" s="537" t="s">
        <v>2647</v>
      </c>
      <c r="L839" s="543" t="s">
        <v>45</v>
      </c>
      <c r="M839" s="633" t="s">
        <v>45</v>
      </c>
    </row>
    <row r="840" spans="3:13" ht="19.5">
      <c r="C840" s="735"/>
      <c r="D840" s="736">
        <v>41663</v>
      </c>
      <c r="E840" s="737">
        <v>0</v>
      </c>
      <c r="F840" s="731">
        <v>41738</v>
      </c>
      <c r="G840" s="730">
        <v>0.49513888888888885</v>
      </c>
      <c r="H840" s="583" t="s">
        <v>2656</v>
      </c>
      <c r="I840" s="583" t="s">
        <v>826</v>
      </c>
      <c r="J840" s="735"/>
      <c r="K840" s="533" t="s">
        <v>2659</v>
      </c>
      <c r="L840" s="612" t="s">
        <v>45</v>
      </c>
      <c r="M840" s="656" t="s">
        <v>45</v>
      </c>
    </row>
    <row r="841" spans="3:13" ht="19.5">
      <c r="C841" s="735"/>
      <c r="D841" s="736">
        <v>41663</v>
      </c>
      <c r="E841" s="737">
        <v>0.64583333333333337</v>
      </c>
      <c r="F841" s="731">
        <v>41663</v>
      </c>
      <c r="G841" s="730">
        <v>0.70833333333333337</v>
      </c>
      <c r="H841" s="537" t="s">
        <v>2656</v>
      </c>
      <c r="I841" s="537" t="s">
        <v>674</v>
      </c>
      <c r="J841" s="735"/>
      <c r="K841" s="537" t="s">
        <v>2613</v>
      </c>
      <c r="L841" s="543" t="s">
        <v>45</v>
      </c>
      <c r="M841" s="633" t="s">
        <v>45</v>
      </c>
    </row>
    <row r="842" spans="3:13" ht="19.5">
      <c r="C842" s="735"/>
      <c r="D842" s="736">
        <v>41664</v>
      </c>
      <c r="E842" s="737">
        <v>0.41666666666666669</v>
      </c>
      <c r="F842" s="731">
        <v>41664</v>
      </c>
      <c r="G842" s="730">
        <v>0.45833333333333331</v>
      </c>
      <c r="H842" s="537" t="s">
        <v>2660</v>
      </c>
      <c r="I842" s="537" t="s">
        <v>674</v>
      </c>
      <c r="J842" s="735"/>
      <c r="K842" s="537" t="s">
        <v>2613</v>
      </c>
      <c r="L842" s="543" t="s">
        <v>45</v>
      </c>
      <c r="M842" s="633" t="s">
        <v>45</v>
      </c>
    </row>
    <row r="843" spans="3:13" ht="19.5">
      <c r="C843" s="735"/>
      <c r="D843" s="736">
        <v>41665</v>
      </c>
      <c r="E843" s="737">
        <v>0.95833333333333337</v>
      </c>
      <c r="F843" s="731" t="s">
        <v>45</v>
      </c>
      <c r="G843" s="730" t="s">
        <v>45</v>
      </c>
      <c r="H843" s="537" t="s">
        <v>2288</v>
      </c>
      <c r="I843" s="537" t="s">
        <v>826</v>
      </c>
      <c r="J843" s="735"/>
      <c r="K843" s="537" t="s">
        <v>2202</v>
      </c>
      <c r="L843" s="543" t="s">
        <v>45</v>
      </c>
      <c r="M843" s="633" t="s">
        <v>45</v>
      </c>
    </row>
    <row r="844" spans="3:13" ht="19.5">
      <c r="C844" s="735"/>
      <c r="D844" s="736">
        <v>41665</v>
      </c>
      <c r="E844" s="737">
        <v>0.875</v>
      </c>
      <c r="F844" s="731">
        <v>41666</v>
      </c>
      <c r="G844" s="730">
        <v>0.45833333333333331</v>
      </c>
      <c r="H844" s="537" t="s">
        <v>2152</v>
      </c>
      <c r="I844" s="537" t="s">
        <v>124</v>
      </c>
      <c r="J844" s="735"/>
      <c r="K844" s="537" t="s">
        <v>2613</v>
      </c>
      <c r="L844" s="543" t="s">
        <v>255</v>
      </c>
      <c r="M844" s="633" t="s">
        <v>255</v>
      </c>
    </row>
    <row r="845" spans="3:13" ht="19.5">
      <c r="C845" s="735"/>
      <c r="D845" s="736">
        <v>41666</v>
      </c>
      <c r="E845" s="737">
        <v>0.59722222222222221</v>
      </c>
      <c r="F845" s="731">
        <v>41667</v>
      </c>
      <c r="G845" s="730">
        <v>0.875</v>
      </c>
      <c r="H845" s="537" t="s">
        <v>2123</v>
      </c>
      <c r="I845" s="537" t="s">
        <v>826</v>
      </c>
      <c r="J845" s="735"/>
      <c r="K845" s="537" t="s">
        <v>2647</v>
      </c>
      <c r="L845" s="543" t="s">
        <v>45</v>
      </c>
      <c r="M845" s="633" t="s">
        <v>45</v>
      </c>
    </row>
    <row r="846" spans="3:13" ht="19.5">
      <c r="C846" s="735"/>
      <c r="D846" s="736">
        <v>41668</v>
      </c>
      <c r="E846" s="737">
        <v>0.66666666666666663</v>
      </c>
      <c r="F846" s="731">
        <v>41668</v>
      </c>
      <c r="G846" s="730">
        <v>0.6972222222222223</v>
      </c>
      <c r="H846" s="537" t="s">
        <v>45</v>
      </c>
      <c r="I846" s="537" t="s">
        <v>674</v>
      </c>
      <c r="J846" s="735"/>
      <c r="K846" s="537" t="s">
        <v>2613</v>
      </c>
      <c r="L846" s="543" t="s">
        <v>45</v>
      </c>
      <c r="M846" s="633" t="s">
        <v>45</v>
      </c>
    </row>
    <row r="847" spans="3:13" ht="19.5">
      <c r="C847" s="735"/>
      <c r="D847" s="736">
        <v>41669</v>
      </c>
      <c r="E847" s="737">
        <v>0.625</v>
      </c>
      <c r="F847" s="731" t="s">
        <v>45</v>
      </c>
      <c r="G847" s="730" t="s">
        <v>45</v>
      </c>
      <c r="H847" s="538" t="s">
        <v>24</v>
      </c>
      <c r="I847" s="538" t="s">
        <v>124</v>
      </c>
      <c r="J847" s="735"/>
      <c r="K847" s="538" t="s">
        <v>2613</v>
      </c>
      <c r="L847" s="613" t="s">
        <v>45</v>
      </c>
      <c r="M847" s="657" t="s">
        <v>45</v>
      </c>
    </row>
    <row r="848" spans="3:13" ht="19.5">
      <c r="C848" s="735"/>
      <c r="D848" s="736">
        <v>41675</v>
      </c>
      <c r="E848" s="737">
        <v>0</v>
      </c>
      <c r="F848" s="731">
        <v>41679</v>
      </c>
      <c r="G848" s="730">
        <v>0.75</v>
      </c>
      <c r="H848" s="583" t="s">
        <v>2661</v>
      </c>
      <c r="I848" s="583" t="s">
        <v>826</v>
      </c>
      <c r="J848" s="735"/>
      <c r="K848" s="583" t="s">
        <v>2662</v>
      </c>
      <c r="L848" s="612" t="s">
        <v>45</v>
      </c>
      <c r="M848" s="656">
        <v>101580</v>
      </c>
    </row>
    <row r="849" spans="3:13" ht="19.5">
      <c r="C849" s="735"/>
      <c r="D849" s="736">
        <v>41675</v>
      </c>
      <c r="E849" s="737">
        <v>4.1666666666666664E-2</v>
      </c>
      <c r="F849" s="731">
        <v>41679</v>
      </c>
      <c r="G849" s="730">
        <v>0.86111111111111116</v>
      </c>
      <c r="H849" s="583" t="s">
        <v>171</v>
      </c>
      <c r="I849" s="583" t="s">
        <v>826</v>
      </c>
      <c r="J849" s="735"/>
      <c r="K849" s="583" t="s">
        <v>2662</v>
      </c>
      <c r="L849" s="612" t="s">
        <v>45</v>
      </c>
      <c r="M849" s="656">
        <v>144000</v>
      </c>
    </row>
    <row r="850" spans="3:13" ht="19.5">
      <c r="C850" s="735"/>
      <c r="D850" s="736">
        <v>41675</v>
      </c>
      <c r="E850" s="737">
        <v>0.20833333333333334</v>
      </c>
      <c r="F850" s="731">
        <v>41675</v>
      </c>
      <c r="G850" s="730">
        <v>0.20902777777777778</v>
      </c>
      <c r="H850" s="583" t="s">
        <v>171</v>
      </c>
      <c r="I850" s="583" t="s">
        <v>826</v>
      </c>
      <c r="J850" s="735"/>
      <c r="K850" s="583" t="s">
        <v>2662</v>
      </c>
      <c r="L850" s="612" t="s">
        <v>45</v>
      </c>
      <c r="M850" s="656">
        <v>715000</v>
      </c>
    </row>
    <row r="851" spans="3:13" ht="19.5">
      <c r="C851" s="735"/>
      <c r="D851" s="736">
        <v>41675</v>
      </c>
      <c r="E851" s="737">
        <v>0.29166666666666669</v>
      </c>
      <c r="F851" s="731">
        <v>41693</v>
      </c>
      <c r="G851" s="730">
        <v>0.29166666666666669</v>
      </c>
      <c r="H851" s="583" t="s">
        <v>30</v>
      </c>
      <c r="I851" s="583" t="s">
        <v>61</v>
      </c>
      <c r="J851" s="735"/>
      <c r="K851" s="533" t="s">
        <v>2659</v>
      </c>
      <c r="L851" s="612">
        <v>300</v>
      </c>
      <c r="M851" s="656" t="s">
        <v>45</v>
      </c>
    </row>
    <row r="852" spans="3:13" ht="19.5">
      <c r="C852" s="735"/>
      <c r="D852" s="736">
        <v>41675</v>
      </c>
      <c r="E852" s="737">
        <v>0.31597222222222221</v>
      </c>
      <c r="F852" s="731">
        <v>41677</v>
      </c>
      <c r="G852" s="730">
        <v>0.16874999999999998</v>
      </c>
      <c r="H852" s="583" t="s">
        <v>2663</v>
      </c>
      <c r="I852" s="583" t="s">
        <v>826</v>
      </c>
      <c r="J852" s="735"/>
      <c r="K852" s="583" t="s">
        <v>2662</v>
      </c>
      <c r="L852" s="612" t="s">
        <v>45</v>
      </c>
      <c r="M852" s="656">
        <v>62159</v>
      </c>
    </row>
    <row r="853" spans="3:13" ht="19.5">
      <c r="C853" s="735"/>
      <c r="D853" s="736">
        <v>41675</v>
      </c>
      <c r="E853" s="737">
        <v>0.33680555555555558</v>
      </c>
      <c r="F853" s="731">
        <v>41675</v>
      </c>
      <c r="G853" s="730">
        <v>0.33749999999999997</v>
      </c>
      <c r="H853" s="583" t="s">
        <v>2153</v>
      </c>
      <c r="I853" s="583" t="s">
        <v>826</v>
      </c>
      <c r="J853" s="735"/>
      <c r="K853" s="583" t="s">
        <v>2664</v>
      </c>
      <c r="L853" s="612">
        <v>800</v>
      </c>
      <c r="M853" s="656">
        <v>181000</v>
      </c>
    </row>
    <row r="854" spans="3:13" ht="19.5">
      <c r="C854" s="735"/>
      <c r="D854" s="736">
        <v>41676</v>
      </c>
      <c r="E854" s="737">
        <v>0.54166666666666663</v>
      </c>
      <c r="F854" s="731">
        <v>41676</v>
      </c>
      <c r="G854" s="730">
        <v>0.91666666666666663</v>
      </c>
      <c r="H854" s="583" t="s">
        <v>18</v>
      </c>
      <c r="I854" s="583" t="s">
        <v>124</v>
      </c>
      <c r="J854" s="735"/>
      <c r="K854" s="533" t="s">
        <v>2652</v>
      </c>
      <c r="L854" s="612">
        <v>4000</v>
      </c>
      <c r="M854" s="656" t="s">
        <v>45</v>
      </c>
    </row>
    <row r="855" spans="3:13" ht="19.5">
      <c r="C855" s="735"/>
      <c r="D855" s="736">
        <v>41676</v>
      </c>
      <c r="E855" s="737">
        <v>0.54513888888888895</v>
      </c>
      <c r="F855" s="731">
        <v>41676</v>
      </c>
      <c r="G855" s="730">
        <v>0.80208333333333337</v>
      </c>
      <c r="H855" s="583" t="s">
        <v>141</v>
      </c>
      <c r="I855" s="583" t="s">
        <v>124</v>
      </c>
      <c r="J855" s="735"/>
      <c r="K855" s="533" t="s">
        <v>2652</v>
      </c>
      <c r="L855" s="612">
        <v>160</v>
      </c>
      <c r="M855" s="656" t="s">
        <v>45</v>
      </c>
    </row>
    <row r="856" spans="3:13" ht="19.5">
      <c r="C856" s="735"/>
      <c r="D856" s="736">
        <v>41676</v>
      </c>
      <c r="E856" s="737">
        <v>0.58194444444444449</v>
      </c>
      <c r="F856" s="731">
        <v>41676</v>
      </c>
      <c r="G856" s="730">
        <v>0.86111111111111116</v>
      </c>
      <c r="H856" s="583" t="s">
        <v>2665</v>
      </c>
      <c r="I856" s="583" t="s">
        <v>1352</v>
      </c>
      <c r="J856" s="735"/>
      <c r="K856" s="533" t="s">
        <v>2221</v>
      </c>
      <c r="L856" s="612" t="s">
        <v>45</v>
      </c>
      <c r="M856" s="656" t="s">
        <v>45</v>
      </c>
    </row>
    <row r="857" spans="3:13" ht="19.5">
      <c r="C857" s="735"/>
      <c r="D857" s="736">
        <v>41676</v>
      </c>
      <c r="E857" s="737">
        <v>0.59375</v>
      </c>
      <c r="F857" s="731">
        <v>41676</v>
      </c>
      <c r="G857" s="730">
        <v>0.81874999999999998</v>
      </c>
      <c r="H857" s="583" t="s">
        <v>18</v>
      </c>
      <c r="I857" s="583" t="s">
        <v>124</v>
      </c>
      <c r="J857" s="735"/>
      <c r="K857" s="533" t="s">
        <v>2652</v>
      </c>
      <c r="L857" s="612">
        <v>611</v>
      </c>
      <c r="M857" s="656" t="s">
        <v>45</v>
      </c>
    </row>
    <row r="858" spans="3:13" ht="19.5">
      <c r="C858" s="735"/>
      <c r="D858" s="736">
        <v>41676</v>
      </c>
      <c r="E858" s="737">
        <v>0.64930555555555558</v>
      </c>
      <c r="F858" s="731">
        <v>41677</v>
      </c>
      <c r="G858" s="730">
        <v>0.47916666666666669</v>
      </c>
      <c r="H858" s="583" t="s">
        <v>2666</v>
      </c>
      <c r="I858" s="583" t="s">
        <v>1352</v>
      </c>
      <c r="J858" s="735"/>
      <c r="K858" s="533" t="s">
        <v>2221</v>
      </c>
      <c r="L858" s="612" t="s">
        <v>45</v>
      </c>
      <c r="M858" s="656" t="s">
        <v>45</v>
      </c>
    </row>
    <row r="859" spans="3:13" ht="19.5">
      <c r="C859" s="735"/>
      <c r="D859" s="736">
        <v>41677</v>
      </c>
      <c r="E859" s="737">
        <v>0.29166666666666669</v>
      </c>
      <c r="F859" s="731">
        <v>41719</v>
      </c>
      <c r="G859" s="730">
        <v>0.33333333333333331</v>
      </c>
      <c r="H859" s="583" t="s">
        <v>2667</v>
      </c>
      <c r="I859" s="583" t="s">
        <v>61</v>
      </c>
      <c r="J859" s="735"/>
      <c r="K859" s="533" t="s">
        <v>2659</v>
      </c>
      <c r="L859" s="612">
        <v>675</v>
      </c>
      <c r="M859" s="656" t="s">
        <v>45</v>
      </c>
    </row>
    <row r="860" spans="3:13" ht="19.5">
      <c r="C860" s="735"/>
      <c r="D860" s="736">
        <v>41677</v>
      </c>
      <c r="E860" s="737">
        <v>0.6875</v>
      </c>
      <c r="F860" s="731">
        <v>41678</v>
      </c>
      <c r="G860" s="730">
        <v>0.375</v>
      </c>
      <c r="H860" s="583" t="s">
        <v>2666</v>
      </c>
      <c r="I860" s="583" t="s">
        <v>1352</v>
      </c>
      <c r="J860" s="735"/>
      <c r="K860" s="533" t="s">
        <v>2221</v>
      </c>
      <c r="L860" s="612" t="s">
        <v>45</v>
      </c>
      <c r="M860" s="656" t="s">
        <v>45</v>
      </c>
    </row>
    <row r="861" spans="3:13" ht="19.5">
      <c r="C861" s="735"/>
      <c r="D861" s="736">
        <v>41677</v>
      </c>
      <c r="E861" s="737">
        <v>0.70138888888888884</v>
      </c>
      <c r="F861" s="731">
        <v>41677</v>
      </c>
      <c r="G861" s="730">
        <v>0.85416666666666663</v>
      </c>
      <c r="H861" s="583" t="s">
        <v>166</v>
      </c>
      <c r="I861" s="583" t="s">
        <v>1352</v>
      </c>
      <c r="J861" s="735"/>
      <c r="K861" s="533" t="s">
        <v>2221</v>
      </c>
      <c r="L861" s="612" t="s">
        <v>45</v>
      </c>
      <c r="M861" s="656" t="s">
        <v>45</v>
      </c>
    </row>
    <row r="862" spans="3:13" ht="19.5">
      <c r="C862" s="735"/>
      <c r="D862" s="736">
        <v>41682</v>
      </c>
      <c r="E862" s="737">
        <v>0.32500000000000001</v>
      </c>
      <c r="F862" s="731">
        <v>41685</v>
      </c>
      <c r="G862" s="730">
        <v>0.1875</v>
      </c>
      <c r="H862" s="583" t="s">
        <v>2668</v>
      </c>
      <c r="I862" s="583" t="s">
        <v>63</v>
      </c>
      <c r="J862" s="735"/>
      <c r="K862" s="583" t="s">
        <v>2662</v>
      </c>
      <c r="L862" s="612">
        <v>1246</v>
      </c>
      <c r="M862" s="656">
        <v>373835</v>
      </c>
    </row>
    <row r="863" spans="3:13" ht="19.5">
      <c r="C863" s="735"/>
      <c r="D863" s="736">
        <v>41682</v>
      </c>
      <c r="E863" s="737">
        <v>0.4604166666666667</v>
      </c>
      <c r="F863" s="731">
        <v>41685</v>
      </c>
      <c r="G863" s="730">
        <v>0.3611111111111111</v>
      </c>
      <c r="H863" s="583" t="s">
        <v>108</v>
      </c>
      <c r="I863" s="583" t="s">
        <v>63</v>
      </c>
      <c r="J863" s="735"/>
      <c r="K863" s="583" t="s">
        <v>2662</v>
      </c>
      <c r="L863" s="612">
        <v>700</v>
      </c>
      <c r="M863" s="656">
        <v>120124</v>
      </c>
    </row>
    <row r="864" spans="3:13" ht="19.5">
      <c r="C864" s="735"/>
      <c r="D864" s="736">
        <v>41682</v>
      </c>
      <c r="E864" s="737">
        <v>0.50694444444444442</v>
      </c>
      <c r="F864" s="731">
        <v>41685</v>
      </c>
      <c r="G864" s="730">
        <v>0.63888888888888895</v>
      </c>
      <c r="H864" s="583" t="s">
        <v>2482</v>
      </c>
      <c r="I864" s="583" t="s">
        <v>63</v>
      </c>
      <c r="J864" s="735"/>
      <c r="K864" s="583" t="s">
        <v>2662</v>
      </c>
      <c r="L864" s="612" t="s">
        <v>45</v>
      </c>
      <c r="M864" s="656">
        <v>200000</v>
      </c>
    </row>
    <row r="865" spans="3:13" ht="19.5">
      <c r="C865" s="735"/>
      <c r="D865" s="736">
        <v>41682</v>
      </c>
      <c r="E865" s="737">
        <v>0.59375</v>
      </c>
      <c r="F865" s="731">
        <v>41682</v>
      </c>
      <c r="G865" s="730">
        <v>0.59444444444444444</v>
      </c>
      <c r="H865" s="583" t="s">
        <v>2245</v>
      </c>
      <c r="I865" s="583" t="s">
        <v>61</v>
      </c>
      <c r="J865" s="735"/>
      <c r="K865" s="533" t="s">
        <v>2613</v>
      </c>
      <c r="L865" s="612" t="s">
        <v>45</v>
      </c>
      <c r="M865" s="656" t="s">
        <v>45</v>
      </c>
    </row>
    <row r="866" spans="3:13" ht="19.5">
      <c r="C866" s="735"/>
      <c r="D866" s="736">
        <v>41684</v>
      </c>
      <c r="E866" s="737">
        <v>0.54166666666666663</v>
      </c>
      <c r="F866" s="731">
        <v>41684</v>
      </c>
      <c r="G866" s="730">
        <v>0.625</v>
      </c>
      <c r="H866" s="583" t="s">
        <v>2531</v>
      </c>
      <c r="I866" s="583" t="s">
        <v>124</v>
      </c>
      <c r="J866" s="735"/>
      <c r="K866" s="533" t="s">
        <v>2613</v>
      </c>
      <c r="L866" s="612" t="s">
        <v>45</v>
      </c>
      <c r="M866" s="656" t="s">
        <v>45</v>
      </c>
    </row>
    <row r="867" spans="3:13" ht="19.5">
      <c r="C867" s="735"/>
      <c r="D867" s="736">
        <v>41688</v>
      </c>
      <c r="E867" s="737">
        <v>0.77986111111111101</v>
      </c>
      <c r="F867" s="731">
        <v>41688</v>
      </c>
      <c r="G867" s="730">
        <v>0.78055555555555556</v>
      </c>
      <c r="H867" s="583" t="s">
        <v>2669</v>
      </c>
      <c r="I867" s="583" t="s">
        <v>124</v>
      </c>
      <c r="J867" s="735"/>
      <c r="K867" s="533" t="s">
        <v>2613</v>
      </c>
      <c r="L867" s="612" t="s">
        <v>255</v>
      </c>
      <c r="M867" s="656" t="s">
        <v>255</v>
      </c>
    </row>
    <row r="868" spans="3:13" ht="19.5">
      <c r="C868" s="735"/>
      <c r="D868" s="736">
        <v>41690</v>
      </c>
      <c r="E868" s="737">
        <v>0.69444444444444453</v>
      </c>
      <c r="F868" s="731">
        <v>41691</v>
      </c>
      <c r="G868" s="730">
        <v>0.99930555555555556</v>
      </c>
      <c r="H868" s="583" t="s">
        <v>2670</v>
      </c>
      <c r="I868" s="583" t="s">
        <v>63</v>
      </c>
      <c r="J868" s="735"/>
      <c r="K868" s="583" t="s">
        <v>2662</v>
      </c>
      <c r="L868" s="612" t="s">
        <v>45</v>
      </c>
      <c r="M868" s="656">
        <v>66000</v>
      </c>
    </row>
    <row r="869" spans="3:13" ht="19.5">
      <c r="C869" s="735"/>
      <c r="D869" s="736">
        <v>41691</v>
      </c>
      <c r="E869" s="737">
        <v>0.12013888888888889</v>
      </c>
      <c r="F869" s="731">
        <v>41691</v>
      </c>
      <c r="G869" s="730">
        <v>0.875</v>
      </c>
      <c r="H869" s="584" t="s">
        <v>2668</v>
      </c>
      <c r="I869" s="584" t="s">
        <v>63</v>
      </c>
      <c r="J869" s="735"/>
      <c r="K869" s="584" t="s">
        <v>2671</v>
      </c>
      <c r="L869" s="614">
        <v>221</v>
      </c>
      <c r="M869" s="658">
        <v>66445</v>
      </c>
    </row>
    <row r="870" spans="3:13" ht="19.5">
      <c r="C870" s="735"/>
      <c r="D870" s="736">
        <v>41700</v>
      </c>
      <c r="E870" s="737">
        <v>0.79166666666666663</v>
      </c>
      <c r="F870" s="731">
        <v>41702</v>
      </c>
      <c r="G870" s="730">
        <v>0.375</v>
      </c>
      <c r="H870" s="537" t="s">
        <v>2666</v>
      </c>
      <c r="I870" s="537" t="s">
        <v>1352</v>
      </c>
      <c r="J870" s="735"/>
      <c r="K870" s="537" t="s">
        <v>2647</v>
      </c>
      <c r="L870" s="537" t="s">
        <v>255</v>
      </c>
      <c r="M870" s="633" t="s">
        <v>255</v>
      </c>
    </row>
    <row r="871" spans="3:13" ht="19.5">
      <c r="C871" s="735"/>
      <c r="D871" s="736">
        <v>41701</v>
      </c>
      <c r="E871" s="737">
        <v>0.72569444444444453</v>
      </c>
      <c r="F871" s="731">
        <v>41701</v>
      </c>
      <c r="G871" s="730">
        <v>0.72569444444444453</v>
      </c>
      <c r="H871" s="537" t="s">
        <v>30</v>
      </c>
      <c r="I871" s="537" t="s">
        <v>61</v>
      </c>
      <c r="J871" s="735"/>
      <c r="K871" s="541" t="s">
        <v>2150</v>
      </c>
      <c r="L871" s="537" t="s">
        <v>45</v>
      </c>
      <c r="M871" s="633" t="s">
        <v>45</v>
      </c>
    </row>
    <row r="872" spans="3:13" ht="19.5">
      <c r="C872" s="735"/>
      <c r="D872" s="736">
        <v>41701</v>
      </c>
      <c r="E872" s="737">
        <v>0.27777777777777779</v>
      </c>
      <c r="F872" s="731">
        <v>41701</v>
      </c>
      <c r="G872" s="730">
        <v>0.64444444444444449</v>
      </c>
      <c r="H872" s="537" t="s">
        <v>2650</v>
      </c>
      <c r="I872" s="537" t="s">
        <v>63</v>
      </c>
      <c r="J872" s="735"/>
      <c r="K872" s="537" t="s">
        <v>2349</v>
      </c>
      <c r="L872" s="537" t="s">
        <v>45</v>
      </c>
      <c r="M872" s="633">
        <v>65904</v>
      </c>
    </row>
    <row r="873" spans="3:13" ht="19.5">
      <c r="C873" s="735"/>
      <c r="D873" s="736">
        <v>41701</v>
      </c>
      <c r="E873" s="737">
        <v>7.4999999999999997E-2</v>
      </c>
      <c r="F873" s="731">
        <v>41701</v>
      </c>
      <c r="G873" s="730">
        <v>7.5694444444444439E-2</v>
      </c>
      <c r="H873" s="537" t="s">
        <v>2672</v>
      </c>
      <c r="I873" s="537" t="s">
        <v>124</v>
      </c>
      <c r="J873" s="735"/>
      <c r="K873" s="541" t="s">
        <v>2530</v>
      </c>
      <c r="L873" s="537">
        <v>630</v>
      </c>
      <c r="M873" s="633" t="s">
        <v>45</v>
      </c>
    </row>
    <row r="874" spans="3:13" ht="19.5">
      <c r="C874" s="735"/>
      <c r="D874" s="736">
        <v>41702</v>
      </c>
      <c r="E874" s="737">
        <v>0.37916666666666665</v>
      </c>
      <c r="F874" s="731">
        <v>41715</v>
      </c>
      <c r="G874" s="730">
        <v>0.37916666666666665</v>
      </c>
      <c r="H874" s="537" t="s">
        <v>2673</v>
      </c>
      <c r="I874" s="537" t="s">
        <v>674</v>
      </c>
      <c r="J874" s="735"/>
      <c r="K874" s="541" t="s">
        <v>2659</v>
      </c>
      <c r="L874" s="537" t="s">
        <v>45</v>
      </c>
      <c r="M874" s="633" t="s">
        <v>45</v>
      </c>
    </row>
    <row r="875" spans="3:13" ht="19.5">
      <c r="C875" s="735"/>
      <c r="D875" s="736">
        <v>41703</v>
      </c>
      <c r="E875" s="737">
        <v>0.71250000000000002</v>
      </c>
      <c r="F875" s="731">
        <v>41703</v>
      </c>
      <c r="G875" s="730">
        <v>0.71319444444444446</v>
      </c>
      <c r="H875" s="537" t="s">
        <v>2147</v>
      </c>
      <c r="I875" s="537" t="s">
        <v>124</v>
      </c>
      <c r="J875" s="735"/>
      <c r="K875" s="541" t="s">
        <v>2202</v>
      </c>
      <c r="L875" s="537" t="s">
        <v>45</v>
      </c>
      <c r="M875" s="633" t="s">
        <v>45</v>
      </c>
    </row>
    <row r="876" spans="3:13" ht="19.5">
      <c r="C876" s="735"/>
      <c r="D876" s="736">
        <v>41705</v>
      </c>
      <c r="E876" s="737">
        <v>0.14583333333333334</v>
      </c>
      <c r="F876" s="731">
        <v>41705</v>
      </c>
      <c r="G876" s="730">
        <v>0.875</v>
      </c>
      <c r="H876" s="537" t="s">
        <v>2674</v>
      </c>
      <c r="I876" s="537" t="s">
        <v>63</v>
      </c>
      <c r="J876" s="735"/>
      <c r="K876" s="537" t="s">
        <v>2349</v>
      </c>
      <c r="L876" s="537">
        <v>1500</v>
      </c>
      <c r="M876" s="633">
        <v>370900</v>
      </c>
    </row>
    <row r="877" spans="3:13" ht="19.5">
      <c r="C877" s="735"/>
      <c r="D877" s="736">
        <v>41709</v>
      </c>
      <c r="E877" s="737">
        <v>0</v>
      </c>
      <c r="F877" s="731">
        <v>41711</v>
      </c>
      <c r="G877" s="730">
        <v>0</v>
      </c>
      <c r="H877" s="537" t="s">
        <v>2675</v>
      </c>
      <c r="I877" s="537" t="s">
        <v>674</v>
      </c>
      <c r="J877" s="735"/>
      <c r="K877" s="541" t="s">
        <v>2150</v>
      </c>
      <c r="L877" s="537" t="s">
        <v>45</v>
      </c>
      <c r="M877" s="633" t="s">
        <v>45</v>
      </c>
    </row>
    <row r="878" spans="3:13" ht="19.5">
      <c r="C878" s="735"/>
      <c r="D878" s="736">
        <v>41710</v>
      </c>
      <c r="E878" s="737">
        <v>0.81597222222222221</v>
      </c>
      <c r="F878" s="731">
        <v>41711</v>
      </c>
      <c r="G878" s="730">
        <v>0.5</v>
      </c>
      <c r="H878" s="537" t="s">
        <v>2482</v>
      </c>
      <c r="I878" s="537" t="s">
        <v>63</v>
      </c>
      <c r="J878" s="735"/>
      <c r="K878" s="537" t="s">
        <v>2175</v>
      </c>
      <c r="L878" s="537">
        <v>250</v>
      </c>
      <c r="M878" s="633">
        <v>61377</v>
      </c>
    </row>
    <row r="879" spans="3:13" ht="19.5">
      <c r="C879" s="735"/>
      <c r="D879" s="736">
        <v>41712</v>
      </c>
      <c r="E879" s="737">
        <v>0.52361111111111114</v>
      </c>
      <c r="F879" s="731">
        <v>41712</v>
      </c>
      <c r="G879" s="730">
        <v>0.69791666666666663</v>
      </c>
      <c r="H879" s="537" t="s">
        <v>2675</v>
      </c>
      <c r="I879" s="537" t="s">
        <v>674</v>
      </c>
      <c r="J879" s="735"/>
      <c r="K879" s="541" t="s">
        <v>2613</v>
      </c>
      <c r="L879" s="537" t="s">
        <v>45</v>
      </c>
      <c r="M879" s="633" t="s">
        <v>45</v>
      </c>
    </row>
    <row r="880" spans="3:13" ht="19.5">
      <c r="C880" s="735"/>
      <c r="D880" s="736">
        <v>41715</v>
      </c>
      <c r="E880" s="737">
        <v>0.72569444444444453</v>
      </c>
      <c r="F880" s="731">
        <v>41716</v>
      </c>
      <c r="G880" s="730">
        <v>3.888888888888889E-2</v>
      </c>
      <c r="H880" s="537" t="s">
        <v>2676</v>
      </c>
      <c r="I880" s="537" t="s">
        <v>124</v>
      </c>
      <c r="J880" s="735"/>
      <c r="K880" s="541" t="s">
        <v>2677</v>
      </c>
      <c r="L880" s="537" t="s">
        <v>255</v>
      </c>
      <c r="M880" s="633" t="s">
        <v>255</v>
      </c>
    </row>
    <row r="881" spans="3:13" ht="19.5">
      <c r="C881" s="735"/>
      <c r="D881" s="736">
        <v>41718</v>
      </c>
      <c r="E881" s="737">
        <v>0</v>
      </c>
      <c r="F881" s="731">
        <v>41718</v>
      </c>
      <c r="G881" s="730">
        <v>6.9444444444444447E-4</v>
      </c>
      <c r="H881" s="537" t="s">
        <v>30</v>
      </c>
      <c r="I881" s="537" t="s">
        <v>61</v>
      </c>
      <c r="J881" s="735"/>
      <c r="K881" s="541" t="s">
        <v>2139</v>
      </c>
      <c r="L881" s="537" t="s">
        <v>45</v>
      </c>
      <c r="M881" s="659" t="s">
        <v>45</v>
      </c>
    </row>
    <row r="882" spans="3:13" ht="19.5">
      <c r="C882" s="735"/>
      <c r="D882" s="736">
        <v>41722</v>
      </c>
      <c r="E882" s="737">
        <v>0.46319444444444446</v>
      </c>
      <c r="F882" s="731">
        <v>41722</v>
      </c>
      <c r="G882" s="730">
        <v>0.46388888888888885</v>
      </c>
      <c r="H882" s="537" t="s">
        <v>2147</v>
      </c>
      <c r="I882" s="537" t="s">
        <v>124</v>
      </c>
      <c r="J882" s="735"/>
      <c r="K882" s="541" t="s">
        <v>2613</v>
      </c>
      <c r="L882" s="537" t="s">
        <v>255</v>
      </c>
      <c r="M882" s="633" t="s">
        <v>255</v>
      </c>
    </row>
    <row r="883" spans="3:13" ht="19.5">
      <c r="C883" s="735"/>
      <c r="D883" s="736">
        <v>41724</v>
      </c>
      <c r="E883" s="737">
        <v>0.66666666666666663</v>
      </c>
      <c r="F883" s="731">
        <v>41739</v>
      </c>
      <c r="G883" s="730">
        <v>0.5</v>
      </c>
      <c r="H883" s="537" t="s">
        <v>2678</v>
      </c>
      <c r="I883" s="537" t="s">
        <v>674</v>
      </c>
      <c r="J883" s="735"/>
      <c r="K883" s="541" t="s">
        <v>2202</v>
      </c>
      <c r="L883" s="537" t="s">
        <v>255</v>
      </c>
      <c r="M883" s="633" t="s">
        <v>255</v>
      </c>
    </row>
    <row r="884" spans="3:13" ht="19.5">
      <c r="C884" s="735"/>
      <c r="D884" s="736">
        <v>41724</v>
      </c>
      <c r="E884" s="737">
        <v>0.56736111111111109</v>
      </c>
      <c r="F884" s="731">
        <v>41724</v>
      </c>
      <c r="G884" s="730">
        <v>0.60625000000000007</v>
      </c>
      <c r="H884" s="537" t="s">
        <v>2679</v>
      </c>
      <c r="I884" s="537" t="s">
        <v>124</v>
      </c>
      <c r="J884" s="735"/>
      <c r="K884" s="541" t="s">
        <v>2037</v>
      </c>
      <c r="L884" s="537" t="s">
        <v>45</v>
      </c>
      <c r="M884" s="633" t="s">
        <v>45</v>
      </c>
    </row>
    <row r="885" spans="3:13" ht="19.5">
      <c r="C885" s="735"/>
      <c r="D885" s="736">
        <v>41729</v>
      </c>
      <c r="E885" s="737">
        <v>0.65347222222222223</v>
      </c>
      <c r="F885" s="731">
        <v>41729</v>
      </c>
      <c r="G885" s="730">
        <v>0.83888888888888891</v>
      </c>
      <c r="H885" s="538" t="s">
        <v>2271</v>
      </c>
      <c r="I885" s="538" t="s">
        <v>255</v>
      </c>
      <c r="J885" s="735"/>
      <c r="K885" s="587" t="s">
        <v>968</v>
      </c>
      <c r="L885" s="538" t="s">
        <v>45</v>
      </c>
      <c r="M885" s="657" t="s">
        <v>45</v>
      </c>
    </row>
    <row r="886" spans="3:13" ht="19.5">
      <c r="C886" s="735"/>
      <c r="D886" s="736">
        <v>41732</v>
      </c>
      <c r="E886" s="737">
        <v>0</v>
      </c>
      <c r="F886" s="731" t="s">
        <v>45</v>
      </c>
      <c r="G886" s="730" t="s">
        <v>45</v>
      </c>
      <c r="H886" s="539" t="s">
        <v>166</v>
      </c>
      <c r="I886" s="539" t="s">
        <v>1352</v>
      </c>
      <c r="J886" s="735"/>
      <c r="K886" s="742" t="s">
        <v>2659</v>
      </c>
      <c r="L886" s="539" t="s">
        <v>45</v>
      </c>
      <c r="M886" s="660" t="s">
        <v>45</v>
      </c>
    </row>
    <row r="887" spans="3:13" ht="19.5">
      <c r="C887" s="735"/>
      <c r="D887" s="736">
        <v>41732</v>
      </c>
      <c r="E887" s="737">
        <v>0.61458333333333337</v>
      </c>
      <c r="F887" s="731">
        <v>41738</v>
      </c>
      <c r="G887" s="730">
        <v>0.49513888888888885</v>
      </c>
      <c r="H887" s="537" t="s">
        <v>2656</v>
      </c>
      <c r="I887" s="537" t="s">
        <v>674</v>
      </c>
      <c r="J887" s="735"/>
      <c r="K887" s="533" t="s">
        <v>2659</v>
      </c>
      <c r="L887" s="537" t="s">
        <v>45</v>
      </c>
      <c r="M887" s="633" t="s">
        <v>45</v>
      </c>
    </row>
    <row r="888" spans="3:13" ht="19.5">
      <c r="C888" s="735"/>
      <c r="D888" s="736">
        <v>41733</v>
      </c>
      <c r="E888" s="737">
        <v>0.14583333333333334</v>
      </c>
      <c r="F888" s="731">
        <v>41733</v>
      </c>
      <c r="G888" s="730">
        <v>0.34375</v>
      </c>
      <c r="H888" s="537" t="s">
        <v>2265</v>
      </c>
      <c r="I888" s="537" t="s">
        <v>63</v>
      </c>
      <c r="J888" s="735"/>
      <c r="K888" s="541" t="s">
        <v>2680</v>
      </c>
      <c r="L888" s="537" t="s">
        <v>45</v>
      </c>
      <c r="M888" s="659">
        <v>57200</v>
      </c>
    </row>
    <row r="889" spans="3:13" ht="19.5">
      <c r="C889" s="735"/>
      <c r="D889" s="736">
        <v>41737</v>
      </c>
      <c r="E889" s="737">
        <v>0.54166666666666663</v>
      </c>
      <c r="F889" s="731">
        <v>41737</v>
      </c>
      <c r="G889" s="730">
        <v>0.54236111111111118</v>
      </c>
      <c r="H889" s="537" t="s">
        <v>2681</v>
      </c>
      <c r="I889" s="537" t="s">
        <v>124</v>
      </c>
      <c r="J889" s="735"/>
      <c r="K889" s="541" t="s">
        <v>2613</v>
      </c>
      <c r="L889" s="537" t="s">
        <v>45</v>
      </c>
      <c r="M889" s="659" t="s">
        <v>45</v>
      </c>
    </row>
    <row r="890" spans="3:13" ht="19.5">
      <c r="C890" s="735"/>
      <c r="D890" s="736">
        <v>41737</v>
      </c>
      <c r="E890" s="737">
        <v>0.46458333333333335</v>
      </c>
      <c r="F890" s="731">
        <v>41737</v>
      </c>
      <c r="G890" s="730">
        <v>0.47222222222222227</v>
      </c>
      <c r="H890" s="537" t="s">
        <v>2271</v>
      </c>
      <c r="I890" s="537" t="s">
        <v>255</v>
      </c>
      <c r="J890" s="735"/>
      <c r="K890" s="537" t="s">
        <v>619</v>
      </c>
      <c r="L890" s="537" t="s">
        <v>45</v>
      </c>
      <c r="M890" s="659" t="s">
        <v>45</v>
      </c>
    </row>
    <row r="891" spans="3:13" ht="19.5">
      <c r="C891" s="735"/>
      <c r="D891" s="736">
        <v>41741</v>
      </c>
      <c r="E891" s="737">
        <v>0.76041666666666663</v>
      </c>
      <c r="F891" s="731">
        <v>41743</v>
      </c>
      <c r="G891" s="730">
        <v>0.375</v>
      </c>
      <c r="H891" s="537" t="s">
        <v>2682</v>
      </c>
      <c r="I891" s="537" t="s">
        <v>826</v>
      </c>
      <c r="J891" s="735"/>
      <c r="K891" s="537" t="s">
        <v>2368</v>
      </c>
      <c r="L891" s="537" t="s">
        <v>45</v>
      </c>
      <c r="M891" s="659">
        <v>50000</v>
      </c>
    </row>
    <row r="892" spans="3:13" ht="19.5">
      <c r="C892" s="735"/>
      <c r="D892" s="736">
        <v>41741</v>
      </c>
      <c r="E892" s="737">
        <v>0.83333333333333337</v>
      </c>
      <c r="F892" s="731">
        <v>41744</v>
      </c>
      <c r="G892" s="730">
        <v>0.8125</v>
      </c>
      <c r="H892" s="537" t="s">
        <v>1833</v>
      </c>
      <c r="I892" s="537" t="s">
        <v>826</v>
      </c>
      <c r="J892" s="735"/>
      <c r="K892" s="541" t="s">
        <v>22</v>
      </c>
      <c r="L892" s="537" t="s">
        <v>45</v>
      </c>
      <c r="M892" s="659">
        <v>164000</v>
      </c>
    </row>
    <row r="893" spans="3:13" ht="19.5">
      <c r="C893" s="735"/>
      <c r="D893" s="736">
        <v>41752</v>
      </c>
      <c r="E893" s="737">
        <v>0.82291666666666663</v>
      </c>
      <c r="F893" s="731">
        <v>41752</v>
      </c>
      <c r="G893" s="730">
        <v>0.85902777777777783</v>
      </c>
      <c r="H893" s="537" t="s">
        <v>2683</v>
      </c>
      <c r="I893" s="537" t="s">
        <v>63</v>
      </c>
      <c r="J893" s="735"/>
      <c r="K893" s="541" t="s">
        <v>2684</v>
      </c>
      <c r="L893" s="537">
        <v>163</v>
      </c>
      <c r="M893" s="659">
        <v>28000</v>
      </c>
    </row>
    <row r="894" spans="3:13" ht="19.5">
      <c r="C894" s="735"/>
      <c r="D894" s="736">
        <v>41753</v>
      </c>
      <c r="E894" s="737">
        <v>0.62638888888888888</v>
      </c>
      <c r="F894" s="731">
        <v>41753</v>
      </c>
      <c r="G894" s="730">
        <v>0.71736111111111101</v>
      </c>
      <c r="H894" s="537" t="s">
        <v>2418</v>
      </c>
      <c r="I894" s="537" t="s">
        <v>124</v>
      </c>
      <c r="J894" s="735"/>
      <c r="K894" s="541" t="s">
        <v>2037</v>
      </c>
      <c r="L894" s="537" t="s">
        <v>45</v>
      </c>
      <c r="M894" s="659" t="s">
        <v>45</v>
      </c>
    </row>
    <row r="895" spans="3:13" ht="19.5">
      <c r="C895" s="735"/>
      <c r="D895" s="736">
        <v>41754</v>
      </c>
      <c r="E895" s="737">
        <v>0.29166666666666669</v>
      </c>
      <c r="F895" s="731">
        <v>41754</v>
      </c>
      <c r="G895" s="730">
        <v>0.3125</v>
      </c>
      <c r="H895" s="537" t="s">
        <v>2646</v>
      </c>
      <c r="I895" s="537" t="s">
        <v>826</v>
      </c>
      <c r="J895" s="735"/>
      <c r="K895" s="541" t="s">
        <v>2613</v>
      </c>
      <c r="L895" s="537" t="s">
        <v>45</v>
      </c>
      <c r="M895" s="659" t="s">
        <v>45</v>
      </c>
    </row>
    <row r="896" spans="3:13" ht="19.5">
      <c r="C896" s="735"/>
      <c r="D896" s="736">
        <v>41756</v>
      </c>
      <c r="E896" s="737">
        <v>0.38541666666666669</v>
      </c>
      <c r="F896" s="731" t="s">
        <v>45</v>
      </c>
      <c r="G896" s="730" t="s">
        <v>45</v>
      </c>
      <c r="H896" s="537" t="s">
        <v>2418</v>
      </c>
      <c r="I896" s="537" t="s">
        <v>124</v>
      </c>
      <c r="J896" s="735"/>
      <c r="K896" s="541" t="s">
        <v>2037</v>
      </c>
      <c r="L896" s="537">
        <v>9750</v>
      </c>
      <c r="M896" s="659">
        <v>4000000</v>
      </c>
    </row>
    <row r="897" spans="3:13" ht="19.5">
      <c r="C897" s="735"/>
      <c r="D897" s="736">
        <v>41756</v>
      </c>
      <c r="E897" s="737">
        <v>0.50486111111111109</v>
      </c>
      <c r="F897" s="731">
        <v>41756</v>
      </c>
      <c r="G897" s="730">
        <v>0.50624999999999998</v>
      </c>
      <c r="H897" s="537" t="s">
        <v>2685</v>
      </c>
      <c r="I897" s="537" t="s">
        <v>124</v>
      </c>
      <c r="J897" s="735"/>
      <c r="K897" s="541" t="s">
        <v>2613</v>
      </c>
      <c r="L897" s="537" t="s">
        <v>45</v>
      </c>
      <c r="M897" s="659" t="s">
        <v>45</v>
      </c>
    </row>
    <row r="898" spans="3:13" ht="19.5">
      <c r="C898" s="735"/>
      <c r="D898" s="736">
        <v>41758</v>
      </c>
      <c r="E898" s="737">
        <v>0.97916666666666663</v>
      </c>
      <c r="F898" s="731">
        <v>41758</v>
      </c>
      <c r="G898" s="730">
        <v>0.52083333333333337</v>
      </c>
      <c r="H898" s="537" t="s">
        <v>2686</v>
      </c>
      <c r="I898" s="537" t="s">
        <v>63</v>
      </c>
      <c r="J898" s="735"/>
      <c r="K898" s="541" t="s">
        <v>2368</v>
      </c>
      <c r="L898" s="537">
        <v>355</v>
      </c>
      <c r="M898" s="659">
        <v>106648</v>
      </c>
    </row>
    <row r="899" spans="3:13" ht="19.5">
      <c r="C899" s="735"/>
      <c r="D899" s="736">
        <v>41758</v>
      </c>
      <c r="E899" s="737">
        <v>0.40069444444444446</v>
      </c>
      <c r="F899" s="731">
        <v>41760</v>
      </c>
      <c r="G899" s="730">
        <v>0.375</v>
      </c>
      <c r="H899" s="537" t="s">
        <v>2687</v>
      </c>
      <c r="I899" s="537" t="s">
        <v>63</v>
      </c>
      <c r="J899" s="735"/>
      <c r="K899" s="541" t="s">
        <v>2368</v>
      </c>
      <c r="L899" s="537" t="s">
        <v>45</v>
      </c>
      <c r="M899" s="659">
        <v>57000</v>
      </c>
    </row>
    <row r="900" spans="3:13" ht="19.5">
      <c r="C900" s="735"/>
      <c r="D900" s="736">
        <v>41759</v>
      </c>
      <c r="E900" s="737">
        <v>0.15972222222222224</v>
      </c>
      <c r="F900" s="731">
        <v>41759</v>
      </c>
      <c r="G900" s="730">
        <v>0.58333333333333337</v>
      </c>
      <c r="H900" s="537" t="s">
        <v>2688</v>
      </c>
      <c r="I900" s="537" t="s">
        <v>63</v>
      </c>
      <c r="J900" s="735"/>
      <c r="K900" s="541" t="s">
        <v>2368</v>
      </c>
      <c r="L900" s="537">
        <v>296</v>
      </c>
      <c r="M900" s="659">
        <v>89000</v>
      </c>
    </row>
    <row r="901" spans="3:13" ht="19.5">
      <c r="C901" s="735"/>
      <c r="D901" s="736">
        <v>41767</v>
      </c>
      <c r="E901" s="737">
        <v>0.36041666666666666</v>
      </c>
      <c r="F901" s="731">
        <v>41767</v>
      </c>
      <c r="G901" s="730">
        <v>0.3611111111111111</v>
      </c>
      <c r="H901" s="533" t="s">
        <v>2689</v>
      </c>
      <c r="I901" s="533" t="s">
        <v>124</v>
      </c>
      <c r="J901" s="735"/>
      <c r="K901" s="533" t="s">
        <v>2202</v>
      </c>
      <c r="L901" s="533" t="s">
        <v>45</v>
      </c>
      <c r="M901" s="661" t="s">
        <v>45</v>
      </c>
    </row>
    <row r="902" spans="3:13" ht="19.5">
      <c r="C902" s="735"/>
      <c r="D902" s="736">
        <v>41767</v>
      </c>
      <c r="E902" s="737">
        <v>4.1666666666666664E-2</v>
      </c>
      <c r="F902" s="731">
        <v>41767</v>
      </c>
      <c r="G902" s="730">
        <v>4.2361111111111106E-2</v>
      </c>
      <c r="H902" s="533" t="s">
        <v>2690</v>
      </c>
      <c r="I902" s="533" t="s">
        <v>63</v>
      </c>
      <c r="J902" s="735"/>
      <c r="K902" s="533" t="s">
        <v>2202</v>
      </c>
      <c r="L902" s="533" t="s">
        <v>45</v>
      </c>
      <c r="M902" s="661" t="s">
        <v>45</v>
      </c>
    </row>
    <row r="903" spans="3:13" ht="19.5">
      <c r="C903" s="735"/>
      <c r="D903" s="736">
        <v>41768</v>
      </c>
      <c r="E903" s="737">
        <v>0.75</v>
      </c>
      <c r="F903" s="731">
        <v>41770</v>
      </c>
      <c r="G903" s="730">
        <v>0.54166666666666663</v>
      </c>
      <c r="H903" s="533" t="s">
        <v>1470</v>
      </c>
      <c r="I903" s="533" t="s">
        <v>826</v>
      </c>
      <c r="J903" s="735"/>
      <c r="K903" s="533" t="s">
        <v>2615</v>
      </c>
      <c r="L903" s="533" t="s">
        <v>45</v>
      </c>
      <c r="M903" s="647">
        <v>56000</v>
      </c>
    </row>
    <row r="904" spans="3:13" ht="19.5">
      <c r="C904" s="735"/>
      <c r="D904" s="736">
        <v>41770</v>
      </c>
      <c r="E904" s="737">
        <v>0.77638888888888891</v>
      </c>
      <c r="F904" s="731">
        <v>41770</v>
      </c>
      <c r="G904" s="730">
        <v>0.77708333333333324</v>
      </c>
      <c r="H904" s="533" t="s">
        <v>2691</v>
      </c>
      <c r="I904" s="533" t="s">
        <v>674</v>
      </c>
      <c r="J904" s="735"/>
      <c r="K904" s="533" t="s">
        <v>2613</v>
      </c>
      <c r="L904" s="533" t="s">
        <v>45</v>
      </c>
      <c r="M904" s="661" t="s">
        <v>45</v>
      </c>
    </row>
    <row r="905" spans="3:13" ht="19.5">
      <c r="C905" s="735"/>
      <c r="D905" s="736">
        <v>41771</v>
      </c>
      <c r="E905" s="737">
        <v>0.55138888888888882</v>
      </c>
      <c r="F905" s="731">
        <v>41771</v>
      </c>
      <c r="G905" s="730">
        <v>0.55208333333333337</v>
      </c>
      <c r="H905" s="533" t="s">
        <v>2692</v>
      </c>
      <c r="I905" s="533" t="s">
        <v>124</v>
      </c>
      <c r="J905" s="735"/>
      <c r="K905" s="533" t="s">
        <v>2613</v>
      </c>
      <c r="L905" s="533" t="s">
        <v>45</v>
      </c>
      <c r="M905" s="661" t="s">
        <v>45</v>
      </c>
    </row>
    <row r="906" spans="3:13" ht="19.5">
      <c r="C906" s="735"/>
      <c r="D906" s="736">
        <v>41773</v>
      </c>
      <c r="E906" s="737">
        <v>0.64861111111111114</v>
      </c>
      <c r="F906" s="731" t="s">
        <v>45</v>
      </c>
      <c r="G906" s="730" t="s">
        <v>45</v>
      </c>
      <c r="H906" s="533" t="s">
        <v>2693</v>
      </c>
      <c r="I906" s="533" t="s">
        <v>124</v>
      </c>
      <c r="J906" s="735"/>
      <c r="K906" s="533" t="s">
        <v>2694</v>
      </c>
      <c r="L906" s="533" t="s">
        <v>255</v>
      </c>
      <c r="M906" s="661">
        <v>426</v>
      </c>
    </row>
    <row r="907" spans="3:13" ht="19.5">
      <c r="C907" s="735"/>
      <c r="D907" s="736">
        <v>41774</v>
      </c>
      <c r="E907" s="737">
        <v>0.4465277777777778</v>
      </c>
      <c r="F907" s="731" t="s">
        <v>45</v>
      </c>
      <c r="G907" s="730" t="s">
        <v>45</v>
      </c>
      <c r="H907" s="533" t="s">
        <v>2693</v>
      </c>
      <c r="I907" s="533" t="s">
        <v>124</v>
      </c>
      <c r="J907" s="735"/>
      <c r="K907" s="533" t="s">
        <v>2694</v>
      </c>
      <c r="L907" s="608">
        <v>3300</v>
      </c>
      <c r="M907" s="647">
        <v>1400000</v>
      </c>
    </row>
    <row r="908" spans="3:13" ht="19.5">
      <c r="C908" s="735"/>
      <c r="D908" s="736">
        <v>41774</v>
      </c>
      <c r="E908" s="737">
        <v>0.50694444444444442</v>
      </c>
      <c r="F908" s="731">
        <v>41774</v>
      </c>
      <c r="G908" s="730">
        <v>0.50902777777777775</v>
      </c>
      <c r="H908" s="533" t="s">
        <v>2695</v>
      </c>
      <c r="I908" s="533" t="s">
        <v>826</v>
      </c>
      <c r="J908" s="735"/>
      <c r="K908" s="533" t="s">
        <v>2150</v>
      </c>
      <c r="L908" s="533" t="s">
        <v>255</v>
      </c>
      <c r="M908" s="661" t="s">
        <v>255</v>
      </c>
    </row>
    <row r="909" spans="3:13" ht="19.5">
      <c r="C909" s="735"/>
      <c r="D909" s="736">
        <v>41775</v>
      </c>
      <c r="E909" s="737">
        <v>0.4465277777777778</v>
      </c>
      <c r="F909" s="731">
        <v>41775</v>
      </c>
      <c r="G909" s="730">
        <v>0.875</v>
      </c>
      <c r="H909" s="533" t="s">
        <v>2693</v>
      </c>
      <c r="I909" s="533" t="s">
        <v>124</v>
      </c>
      <c r="J909" s="735"/>
      <c r="K909" s="533" t="s">
        <v>2694</v>
      </c>
      <c r="L909" s="608">
        <v>3900</v>
      </c>
      <c r="M909" s="647">
        <v>1400000</v>
      </c>
    </row>
    <row r="910" spans="3:13" ht="19.5">
      <c r="C910" s="735"/>
      <c r="D910" s="736">
        <v>41779</v>
      </c>
      <c r="E910" s="737">
        <v>0.29236111111111113</v>
      </c>
      <c r="F910" s="731">
        <v>41779</v>
      </c>
      <c r="G910" s="730">
        <v>0.29305555555555557</v>
      </c>
      <c r="H910" s="533" t="s">
        <v>2696</v>
      </c>
      <c r="I910" s="533" t="s">
        <v>124</v>
      </c>
      <c r="J910" s="735"/>
      <c r="K910" s="533" t="s">
        <v>2613</v>
      </c>
      <c r="L910" s="608" t="s">
        <v>255</v>
      </c>
      <c r="M910" s="647" t="s">
        <v>255</v>
      </c>
    </row>
    <row r="911" spans="3:13" ht="19.5">
      <c r="C911" s="735"/>
      <c r="D911" s="736">
        <v>41782</v>
      </c>
      <c r="E911" s="737">
        <v>0.625</v>
      </c>
      <c r="F911" s="731">
        <v>41784</v>
      </c>
      <c r="G911" s="730">
        <v>0.79166666666666663</v>
      </c>
      <c r="H911" s="533" t="s">
        <v>2482</v>
      </c>
      <c r="I911" s="533" t="s">
        <v>63</v>
      </c>
      <c r="J911" s="735"/>
      <c r="K911" s="533" t="s">
        <v>2613</v>
      </c>
      <c r="L911" s="608" t="s">
        <v>45</v>
      </c>
      <c r="M911" s="647" t="s">
        <v>45</v>
      </c>
    </row>
    <row r="912" spans="3:13" ht="19.5">
      <c r="C912" s="735"/>
      <c r="D912" s="736">
        <v>41785</v>
      </c>
      <c r="E912" s="737">
        <v>0.52152777777777781</v>
      </c>
      <c r="F912" s="731">
        <v>41785</v>
      </c>
      <c r="G912" s="730">
        <v>0.5541666666666667</v>
      </c>
      <c r="H912" s="533" t="s">
        <v>2697</v>
      </c>
      <c r="I912" s="533" t="s">
        <v>124</v>
      </c>
      <c r="J912" s="735"/>
      <c r="K912" s="537" t="s">
        <v>2037</v>
      </c>
      <c r="L912" s="608" t="s">
        <v>45</v>
      </c>
      <c r="M912" s="647" t="s">
        <v>45</v>
      </c>
    </row>
    <row r="913" spans="3:13" ht="19.5">
      <c r="C913" s="735"/>
      <c r="D913" s="736">
        <v>41786</v>
      </c>
      <c r="E913" s="737">
        <v>0.45833333333333331</v>
      </c>
      <c r="F913" s="731">
        <v>41786</v>
      </c>
      <c r="G913" s="730">
        <v>0.70347222222222217</v>
      </c>
      <c r="H913" s="533" t="s">
        <v>137</v>
      </c>
      <c r="I913" s="533" t="s">
        <v>124</v>
      </c>
      <c r="J913" s="735"/>
      <c r="K913" s="533" t="s">
        <v>2613</v>
      </c>
      <c r="L913" s="608" t="s">
        <v>255</v>
      </c>
      <c r="M913" s="647" t="s">
        <v>255</v>
      </c>
    </row>
    <row r="914" spans="3:13" ht="19.5">
      <c r="C914" s="735"/>
      <c r="D914" s="736">
        <v>41793</v>
      </c>
      <c r="E914" s="737">
        <v>6.805555555555555E-2</v>
      </c>
      <c r="F914" s="731">
        <v>41793</v>
      </c>
      <c r="G914" s="730">
        <v>7.1527777777777787E-2</v>
      </c>
      <c r="H914" s="739" t="s">
        <v>166</v>
      </c>
      <c r="I914" s="739" t="s">
        <v>90</v>
      </c>
      <c r="J914" s="735"/>
      <c r="K914" s="537" t="s">
        <v>2613</v>
      </c>
      <c r="L914" s="530" t="s">
        <v>45</v>
      </c>
      <c r="M914" s="531" t="s">
        <v>45</v>
      </c>
    </row>
    <row r="915" spans="3:13" ht="19.5">
      <c r="C915" s="735"/>
      <c r="D915" s="736">
        <v>41793</v>
      </c>
      <c r="E915" s="737">
        <v>0.64722222222222225</v>
      </c>
      <c r="F915" s="731">
        <v>41793</v>
      </c>
      <c r="G915" s="730">
        <v>0.66597222222222219</v>
      </c>
      <c r="H915" s="739" t="s">
        <v>2418</v>
      </c>
      <c r="I915" s="739" t="s">
        <v>124</v>
      </c>
      <c r="J915" s="735"/>
      <c r="K915" s="537" t="s">
        <v>2655</v>
      </c>
      <c r="L915" s="530">
        <v>338</v>
      </c>
      <c r="M915" s="531" t="s">
        <v>255</v>
      </c>
    </row>
    <row r="916" spans="3:13" ht="19.5">
      <c r="C916" s="735"/>
      <c r="D916" s="736">
        <v>41795</v>
      </c>
      <c r="E916" s="737">
        <v>0.125</v>
      </c>
      <c r="F916" s="731">
        <v>41797</v>
      </c>
      <c r="G916" s="730">
        <v>0.98958333333333337</v>
      </c>
      <c r="H916" s="739" t="s">
        <v>2164</v>
      </c>
      <c r="I916" s="739" t="s">
        <v>63</v>
      </c>
      <c r="J916" s="735"/>
      <c r="K916" s="541" t="s">
        <v>2368</v>
      </c>
      <c r="L916" s="530">
        <v>494</v>
      </c>
      <c r="M916" s="531">
        <v>38500</v>
      </c>
    </row>
    <row r="917" spans="3:13" ht="19.5">
      <c r="C917" s="735"/>
      <c r="D917" s="736">
        <v>41796</v>
      </c>
      <c r="E917" s="737">
        <v>0.54166666666666663</v>
      </c>
      <c r="F917" s="731" t="s">
        <v>45</v>
      </c>
      <c r="G917" s="730" t="s">
        <v>45</v>
      </c>
      <c r="H917" s="739" t="s">
        <v>166</v>
      </c>
      <c r="I917" s="739" t="s">
        <v>90</v>
      </c>
      <c r="J917" s="735"/>
      <c r="K917" s="537" t="s">
        <v>2659</v>
      </c>
      <c r="L917" s="530" t="s">
        <v>45</v>
      </c>
      <c r="M917" s="531" t="s">
        <v>45</v>
      </c>
    </row>
    <row r="918" spans="3:13" ht="19.5">
      <c r="C918" s="735"/>
      <c r="D918" s="736">
        <v>41795</v>
      </c>
      <c r="E918" s="737">
        <v>0.54583333333333328</v>
      </c>
      <c r="F918" s="731">
        <v>41795</v>
      </c>
      <c r="G918" s="730">
        <v>0.54652777777777783</v>
      </c>
      <c r="H918" s="739" t="s">
        <v>2698</v>
      </c>
      <c r="I918" s="739" t="s">
        <v>63</v>
      </c>
      <c r="J918" s="735"/>
      <c r="K918" s="541" t="s">
        <v>2368</v>
      </c>
      <c r="L918" s="530" t="s">
        <v>45</v>
      </c>
      <c r="M918" s="531">
        <v>56475</v>
      </c>
    </row>
    <row r="919" spans="3:13" ht="19.5">
      <c r="C919" s="735"/>
      <c r="D919" s="736">
        <v>41797</v>
      </c>
      <c r="E919" s="737">
        <v>0.95833333333333337</v>
      </c>
      <c r="F919" s="731">
        <v>41798</v>
      </c>
      <c r="G919" s="730">
        <v>0.22916666666666666</v>
      </c>
      <c r="H919" s="739" t="s">
        <v>2699</v>
      </c>
      <c r="I919" s="739" t="s">
        <v>63</v>
      </c>
      <c r="J919" s="735"/>
      <c r="K919" s="541" t="s">
        <v>2368</v>
      </c>
      <c r="L919" s="530">
        <v>217</v>
      </c>
      <c r="M919" s="531">
        <v>65000</v>
      </c>
    </row>
    <row r="920" spans="3:13" ht="19.5">
      <c r="C920" s="735"/>
      <c r="D920" s="736">
        <v>41799</v>
      </c>
      <c r="E920" s="737">
        <v>0.46319444444444446</v>
      </c>
      <c r="F920" s="731">
        <v>41799</v>
      </c>
      <c r="G920" s="730">
        <v>0.47916666666666669</v>
      </c>
      <c r="H920" s="739" t="s">
        <v>2418</v>
      </c>
      <c r="I920" s="739" t="s">
        <v>124</v>
      </c>
      <c r="J920" s="735"/>
      <c r="K920" s="537" t="s">
        <v>2655</v>
      </c>
      <c r="L920" s="530" t="s">
        <v>45</v>
      </c>
      <c r="M920" s="531" t="s">
        <v>45</v>
      </c>
    </row>
    <row r="921" spans="3:13" ht="19.5">
      <c r="C921" s="735"/>
      <c r="D921" s="736">
        <v>41801</v>
      </c>
      <c r="E921" s="737">
        <v>0.39583333333333331</v>
      </c>
      <c r="F921" s="731">
        <v>41801</v>
      </c>
      <c r="G921" s="730">
        <v>0.39652777777777781</v>
      </c>
      <c r="H921" s="739" t="s">
        <v>2700</v>
      </c>
      <c r="I921" s="739" t="s">
        <v>124</v>
      </c>
      <c r="J921" s="735"/>
      <c r="K921" s="537" t="s">
        <v>2150</v>
      </c>
      <c r="L921" s="530" t="s">
        <v>255</v>
      </c>
      <c r="M921" s="531" t="s">
        <v>255</v>
      </c>
    </row>
    <row r="922" spans="3:13" ht="19.5">
      <c r="C922" s="735"/>
      <c r="D922" s="736">
        <v>41800</v>
      </c>
      <c r="E922" s="737">
        <v>0.90972222222222221</v>
      </c>
      <c r="F922" s="731">
        <v>41801</v>
      </c>
      <c r="G922" s="730">
        <v>0.60416666666666663</v>
      </c>
      <c r="H922" s="739" t="s">
        <v>2402</v>
      </c>
      <c r="I922" s="739" t="s">
        <v>826</v>
      </c>
      <c r="J922" s="735"/>
      <c r="K922" s="541" t="s">
        <v>2368</v>
      </c>
      <c r="L922" s="530" t="s">
        <v>45</v>
      </c>
      <c r="M922" s="531">
        <v>66383</v>
      </c>
    </row>
    <row r="923" spans="3:13" ht="19.5">
      <c r="C923" s="735"/>
      <c r="D923" s="736">
        <v>41801</v>
      </c>
      <c r="E923" s="737">
        <v>0.66666666666666663</v>
      </c>
      <c r="F923" s="731">
        <v>41801</v>
      </c>
      <c r="G923" s="730">
        <v>0.6875</v>
      </c>
      <c r="H923" s="739" t="s">
        <v>2701</v>
      </c>
      <c r="I923" s="739" t="s">
        <v>63</v>
      </c>
      <c r="J923" s="735"/>
      <c r="K923" s="537" t="s">
        <v>2613</v>
      </c>
      <c r="L923" s="530" t="s">
        <v>255</v>
      </c>
      <c r="M923" s="531" t="s">
        <v>255</v>
      </c>
    </row>
    <row r="924" spans="3:13" ht="19.5">
      <c r="C924" s="735"/>
      <c r="D924" s="736">
        <v>41802</v>
      </c>
      <c r="E924" s="737">
        <v>0.38194444444444442</v>
      </c>
      <c r="F924" s="731">
        <v>41802</v>
      </c>
      <c r="G924" s="730">
        <v>0.38263888888888892</v>
      </c>
      <c r="H924" s="739" t="s">
        <v>2702</v>
      </c>
      <c r="I924" s="739" t="s">
        <v>90</v>
      </c>
      <c r="J924" s="735"/>
      <c r="K924" s="537" t="s">
        <v>2150</v>
      </c>
      <c r="L924" s="530" t="s">
        <v>45</v>
      </c>
      <c r="M924" s="531" t="s">
        <v>45</v>
      </c>
    </row>
    <row r="925" spans="3:13" ht="19.5">
      <c r="C925" s="735"/>
      <c r="D925" s="736">
        <v>41805</v>
      </c>
      <c r="E925" s="737">
        <v>0</v>
      </c>
      <c r="F925" s="731">
        <v>41805</v>
      </c>
      <c r="G925" s="730">
        <v>4.1666666666666664E-2</v>
      </c>
      <c r="H925" s="739" t="s">
        <v>2703</v>
      </c>
      <c r="I925" s="739" t="s">
        <v>674</v>
      </c>
      <c r="J925" s="735"/>
      <c r="K925" s="541" t="s">
        <v>2368</v>
      </c>
      <c r="L925" s="530" t="s">
        <v>45</v>
      </c>
      <c r="M925" s="531">
        <v>55951</v>
      </c>
    </row>
    <row r="926" spans="3:13" ht="19.5">
      <c r="C926" s="735"/>
      <c r="D926" s="736">
        <v>41808</v>
      </c>
      <c r="E926" s="737">
        <v>0.41111111111111115</v>
      </c>
      <c r="F926" s="731">
        <v>41808</v>
      </c>
      <c r="G926" s="730">
        <v>0.79166666666666663</v>
      </c>
      <c r="H926" s="739" t="s">
        <v>2575</v>
      </c>
      <c r="I926" s="739" t="s">
        <v>124</v>
      </c>
      <c r="J926" s="735"/>
      <c r="K926" s="537" t="s">
        <v>2613</v>
      </c>
      <c r="L926" s="530" t="s">
        <v>45</v>
      </c>
      <c r="M926" s="531" t="s">
        <v>45</v>
      </c>
    </row>
    <row r="927" spans="3:13" ht="19.5">
      <c r="C927" s="735"/>
      <c r="D927" s="736">
        <v>41808</v>
      </c>
      <c r="E927" s="737">
        <v>0.70833333333333337</v>
      </c>
      <c r="F927" s="731">
        <v>41810</v>
      </c>
      <c r="G927" s="730">
        <v>0.625</v>
      </c>
      <c r="H927" s="739" t="s">
        <v>420</v>
      </c>
      <c r="I927" s="739" t="s">
        <v>826</v>
      </c>
      <c r="J927" s="735"/>
      <c r="K927" s="541" t="s">
        <v>2368</v>
      </c>
      <c r="L927" s="530" t="s">
        <v>45</v>
      </c>
      <c r="M927" s="531">
        <v>138802</v>
      </c>
    </row>
    <row r="928" spans="3:13" ht="19.5">
      <c r="C928" s="735"/>
      <c r="D928" s="736">
        <v>41809</v>
      </c>
      <c r="E928" s="737">
        <v>0.3659722222222222</v>
      </c>
      <c r="F928" s="731">
        <v>41809</v>
      </c>
      <c r="G928" s="730">
        <v>0.3666666666666667</v>
      </c>
      <c r="H928" s="739" t="s">
        <v>2704</v>
      </c>
      <c r="I928" s="739" t="s">
        <v>63</v>
      </c>
      <c r="J928" s="735"/>
      <c r="K928" s="537" t="s">
        <v>2613</v>
      </c>
      <c r="L928" s="530" t="s">
        <v>45</v>
      </c>
      <c r="M928" s="531" t="s">
        <v>45</v>
      </c>
    </row>
    <row r="929" spans="3:13" ht="19.5">
      <c r="C929" s="735"/>
      <c r="D929" s="736">
        <v>41814</v>
      </c>
      <c r="E929" s="737">
        <v>0.62083333333333335</v>
      </c>
      <c r="F929" s="731">
        <v>41814</v>
      </c>
      <c r="G929" s="730">
        <v>0.62152777777777779</v>
      </c>
      <c r="H929" s="739" t="s">
        <v>2704</v>
      </c>
      <c r="I929" s="739" t="s">
        <v>63</v>
      </c>
      <c r="J929" s="735"/>
      <c r="K929" s="537" t="s">
        <v>2613</v>
      </c>
      <c r="L929" s="530" t="s">
        <v>45</v>
      </c>
      <c r="M929" s="531" t="s">
        <v>45</v>
      </c>
    </row>
    <row r="930" spans="3:13" ht="19.5">
      <c r="C930" s="735"/>
      <c r="D930" s="736">
        <v>41817</v>
      </c>
      <c r="E930" s="737">
        <v>0.55625000000000002</v>
      </c>
      <c r="F930" s="731" t="s">
        <v>45</v>
      </c>
      <c r="G930" s="730" t="s">
        <v>45</v>
      </c>
      <c r="H930" s="739" t="s">
        <v>2656</v>
      </c>
      <c r="I930" s="739" t="s">
        <v>674</v>
      </c>
      <c r="J930" s="735"/>
      <c r="K930" s="537" t="s">
        <v>2659</v>
      </c>
      <c r="L930" s="530" t="s">
        <v>45</v>
      </c>
      <c r="M930" s="531" t="s">
        <v>45</v>
      </c>
    </row>
    <row r="931" spans="3:13" ht="19.5">
      <c r="C931" s="735"/>
      <c r="D931" s="736">
        <v>41820</v>
      </c>
      <c r="E931" s="737">
        <v>0.74652777777777779</v>
      </c>
      <c r="F931" s="731">
        <v>41821</v>
      </c>
      <c r="G931" s="730">
        <v>0.12013888888888889</v>
      </c>
      <c r="H931" s="739" t="s">
        <v>2705</v>
      </c>
      <c r="I931" s="739" t="s">
        <v>674</v>
      </c>
      <c r="J931" s="735"/>
      <c r="K931" s="541" t="s">
        <v>2368</v>
      </c>
      <c r="L931" s="530">
        <v>424</v>
      </c>
      <c r="M931" s="531">
        <v>120000</v>
      </c>
    </row>
    <row r="932" spans="3:13" ht="19.5">
      <c r="C932" s="735"/>
      <c r="D932" s="736">
        <v>41820</v>
      </c>
      <c r="E932" s="737">
        <v>0.83333333333333337</v>
      </c>
      <c r="F932" s="731">
        <v>41822</v>
      </c>
      <c r="G932" s="730">
        <v>0.77083333333333337</v>
      </c>
      <c r="H932" s="739" t="s">
        <v>33</v>
      </c>
      <c r="I932" s="739" t="s">
        <v>826</v>
      </c>
      <c r="J932" s="735"/>
      <c r="K932" s="541" t="s">
        <v>2368</v>
      </c>
      <c r="L932" s="530" t="s">
        <v>45</v>
      </c>
      <c r="M932" s="531">
        <v>420000</v>
      </c>
    </row>
    <row r="933" spans="3:13" ht="19.5">
      <c r="C933" s="735"/>
      <c r="D933" s="736">
        <v>41820</v>
      </c>
      <c r="E933" s="737">
        <v>0.97222222222222221</v>
      </c>
      <c r="F933" s="731">
        <v>41821</v>
      </c>
      <c r="G933" s="730">
        <v>0.70833333333333337</v>
      </c>
      <c r="H933" s="739" t="s">
        <v>2626</v>
      </c>
      <c r="I933" s="739" t="s">
        <v>826</v>
      </c>
      <c r="J933" s="735"/>
      <c r="K933" s="541" t="s">
        <v>2368</v>
      </c>
      <c r="L933" s="537" t="s">
        <v>45</v>
      </c>
      <c r="M933" s="531">
        <v>127000</v>
      </c>
    </row>
    <row r="934" spans="3:13" ht="19.5">
      <c r="C934" s="735"/>
      <c r="D934" s="736">
        <v>41821</v>
      </c>
      <c r="E934" s="737">
        <v>0.20833333333333334</v>
      </c>
      <c r="F934" s="731">
        <v>41822</v>
      </c>
      <c r="G934" s="730">
        <v>8.3333333333333329E-2</v>
      </c>
      <c r="H934" s="585" t="s">
        <v>1962</v>
      </c>
      <c r="I934" s="585" t="s">
        <v>826</v>
      </c>
      <c r="J934" s="735"/>
      <c r="K934" s="585" t="s">
        <v>2368</v>
      </c>
      <c r="L934" s="539" t="s">
        <v>45</v>
      </c>
      <c r="M934" s="662">
        <v>57237</v>
      </c>
    </row>
    <row r="935" spans="3:13" ht="19.5">
      <c r="C935" s="735"/>
      <c r="D935" s="736">
        <v>41822</v>
      </c>
      <c r="E935" s="737">
        <v>0.36041666666666666</v>
      </c>
      <c r="F935" s="731">
        <v>41848</v>
      </c>
      <c r="G935" s="730">
        <v>0.63402777777777775</v>
      </c>
      <c r="H935" s="541" t="s">
        <v>2656</v>
      </c>
      <c r="I935" s="541" t="s">
        <v>674</v>
      </c>
      <c r="J935" s="735"/>
      <c r="K935" s="537" t="s">
        <v>2659</v>
      </c>
      <c r="L935" s="537" t="s">
        <v>45</v>
      </c>
      <c r="M935" s="540" t="s">
        <v>45</v>
      </c>
    </row>
    <row r="936" spans="3:13" ht="19.5">
      <c r="C936" s="735"/>
      <c r="D936" s="736">
        <v>41821</v>
      </c>
      <c r="E936" s="737">
        <v>0.14583333333333334</v>
      </c>
      <c r="F936" s="731" t="s">
        <v>45</v>
      </c>
      <c r="G936" s="730" t="s">
        <v>45</v>
      </c>
      <c r="H936" s="541" t="s">
        <v>1238</v>
      </c>
      <c r="I936" s="541" t="s">
        <v>826</v>
      </c>
      <c r="J936" s="735"/>
      <c r="K936" s="541" t="s">
        <v>2368</v>
      </c>
      <c r="L936" s="537" t="s">
        <v>45</v>
      </c>
      <c r="M936" s="531">
        <v>51000</v>
      </c>
    </row>
    <row r="937" spans="3:13" ht="19.5">
      <c r="C937" s="735"/>
      <c r="D937" s="736">
        <v>41821</v>
      </c>
      <c r="E937" s="737">
        <v>0.16666666666666666</v>
      </c>
      <c r="F937" s="731">
        <v>41823</v>
      </c>
      <c r="G937" s="730">
        <v>0.97916666666666663</v>
      </c>
      <c r="H937" s="541" t="s">
        <v>420</v>
      </c>
      <c r="I937" s="541" t="s">
        <v>826</v>
      </c>
      <c r="J937" s="735"/>
      <c r="K937" s="541" t="s">
        <v>2368</v>
      </c>
      <c r="L937" s="537" t="s">
        <v>45</v>
      </c>
      <c r="M937" s="531">
        <v>140000</v>
      </c>
    </row>
    <row r="938" spans="3:13" ht="19.5">
      <c r="C938" s="735"/>
      <c r="D938" s="736">
        <v>41823</v>
      </c>
      <c r="E938" s="737">
        <v>0.75</v>
      </c>
      <c r="F938" s="731">
        <v>41826</v>
      </c>
      <c r="G938" s="730">
        <v>0.5</v>
      </c>
      <c r="H938" s="541" t="s">
        <v>171</v>
      </c>
      <c r="I938" s="541" t="s">
        <v>826</v>
      </c>
      <c r="J938" s="735"/>
      <c r="K938" s="541" t="s">
        <v>2368</v>
      </c>
      <c r="L938" s="537" t="s">
        <v>45</v>
      </c>
      <c r="M938" s="531">
        <v>298165</v>
      </c>
    </row>
    <row r="939" spans="3:13" ht="19.5">
      <c r="C939" s="735"/>
      <c r="D939" s="736">
        <v>41823</v>
      </c>
      <c r="E939" s="737">
        <v>0.95486111111111116</v>
      </c>
      <c r="F939" s="731">
        <v>41824</v>
      </c>
      <c r="G939" s="730">
        <v>7.6388888888888895E-2</v>
      </c>
      <c r="H939" s="541" t="s">
        <v>2706</v>
      </c>
      <c r="I939" s="541" t="s">
        <v>61</v>
      </c>
      <c r="J939" s="735"/>
      <c r="K939" s="541" t="s">
        <v>2368</v>
      </c>
      <c r="L939" s="537" t="s">
        <v>45</v>
      </c>
      <c r="M939" s="531">
        <v>64000</v>
      </c>
    </row>
    <row r="940" spans="3:13" ht="19.5">
      <c r="C940" s="735"/>
      <c r="D940" s="736">
        <v>41828</v>
      </c>
      <c r="E940" s="737">
        <v>0.85416666666666663</v>
      </c>
      <c r="F940" s="731">
        <v>41831</v>
      </c>
      <c r="G940" s="730">
        <v>0.95833333333333337</v>
      </c>
      <c r="H940" s="541" t="s">
        <v>171</v>
      </c>
      <c r="I940" s="541" t="s">
        <v>826</v>
      </c>
      <c r="J940" s="735"/>
      <c r="K940" s="541" t="s">
        <v>2368</v>
      </c>
      <c r="L940" s="537" t="s">
        <v>45</v>
      </c>
      <c r="M940" s="531">
        <v>260000</v>
      </c>
    </row>
    <row r="941" spans="3:13" ht="19.5">
      <c r="C941" s="735"/>
      <c r="D941" s="736">
        <v>41828</v>
      </c>
      <c r="E941" s="737">
        <v>0.8965277777777777</v>
      </c>
      <c r="F941" s="731" t="s">
        <v>45</v>
      </c>
      <c r="G941" s="730" t="s">
        <v>45</v>
      </c>
      <c r="H941" s="541" t="s">
        <v>2123</v>
      </c>
      <c r="I941" s="541" t="s">
        <v>826</v>
      </c>
      <c r="J941" s="735"/>
      <c r="K941" s="541" t="s">
        <v>2368</v>
      </c>
      <c r="L941" s="537" t="s">
        <v>45</v>
      </c>
      <c r="M941" s="531">
        <v>56600</v>
      </c>
    </row>
    <row r="942" spans="3:13" ht="19.5">
      <c r="C942" s="735"/>
      <c r="D942" s="736">
        <v>41828</v>
      </c>
      <c r="E942" s="737">
        <v>0.75</v>
      </c>
      <c r="F942" s="731">
        <v>41831</v>
      </c>
      <c r="G942" s="730">
        <v>0.74513888888888891</v>
      </c>
      <c r="H942" s="541" t="s">
        <v>52</v>
      </c>
      <c r="I942" s="541" t="s">
        <v>826</v>
      </c>
      <c r="J942" s="735"/>
      <c r="K942" s="541" t="s">
        <v>2368</v>
      </c>
      <c r="L942" s="537" t="s">
        <v>45</v>
      </c>
      <c r="M942" s="531">
        <v>69000</v>
      </c>
    </row>
    <row r="943" spans="3:13" ht="19.5">
      <c r="C943" s="735"/>
      <c r="D943" s="736">
        <v>41828</v>
      </c>
      <c r="E943" s="737">
        <v>0.72916666666666663</v>
      </c>
      <c r="F943" s="731">
        <v>41832</v>
      </c>
      <c r="G943" s="730">
        <v>0.97222222222222221</v>
      </c>
      <c r="H943" s="541" t="s">
        <v>2661</v>
      </c>
      <c r="I943" s="541" t="s">
        <v>826</v>
      </c>
      <c r="J943" s="735"/>
      <c r="K943" s="541" t="s">
        <v>2368</v>
      </c>
      <c r="L943" s="537" t="s">
        <v>45</v>
      </c>
      <c r="M943" s="531">
        <v>96000</v>
      </c>
    </row>
    <row r="944" spans="3:13" ht="19.5">
      <c r="C944" s="735"/>
      <c r="D944" s="736">
        <v>41828</v>
      </c>
      <c r="E944" s="737">
        <v>0.72916666666666663</v>
      </c>
      <c r="F944" s="731">
        <v>41832</v>
      </c>
      <c r="G944" s="730">
        <v>0.97916666666666663</v>
      </c>
      <c r="H944" s="541" t="s">
        <v>2402</v>
      </c>
      <c r="I944" s="541" t="s">
        <v>826</v>
      </c>
      <c r="J944" s="735"/>
      <c r="K944" s="541" t="s">
        <v>2368</v>
      </c>
      <c r="L944" s="537" t="s">
        <v>45</v>
      </c>
      <c r="M944" s="531">
        <v>71000</v>
      </c>
    </row>
    <row r="945" spans="3:13" ht="19.5">
      <c r="C945" s="735"/>
      <c r="D945" s="736">
        <v>41828</v>
      </c>
      <c r="E945" s="737">
        <v>0.80625000000000002</v>
      </c>
      <c r="F945" s="731">
        <v>41831</v>
      </c>
      <c r="G945" s="730">
        <v>0.29166666666666669</v>
      </c>
      <c r="H945" s="541" t="s">
        <v>89</v>
      </c>
      <c r="I945" s="541" t="s">
        <v>61</v>
      </c>
      <c r="J945" s="735"/>
      <c r="K945" s="541" t="s">
        <v>2368</v>
      </c>
      <c r="L945" s="537" t="s">
        <v>45</v>
      </c>
      <c r="M945" s="531">
        <v>65000</v>
      </c>
    </row>
    <row r="946" spans="3:13" ht="19.5">
      <c r="C946" s="735"/>
      <c r="D946" s="736">
        <v>41828</v>
      </c>
      <c r="E946" s="737">
        <v>0.72916666666666663</v>
      </c>
      <c r="F946" s="731">
        <v>41830</v>
      </c>
      <c r="G946" s="730">
        <v>0.625</v>
      </c>
      <c r="H946" s="541" t="s">
        <v>2707</v>
      </c>
      <c r="I946" s="541" t="s">
        <v>826</v>
      </c>
      <c r="J946" s="735"/>
      <c r="K946" s="541" t="s">
        <v>2368</v>
      </c>
      <c r="L946" s="537" t="s">
        <v>45</v>
      </c>
      <c r="M946" s="531">
        <v>66000</v>
      </c>
    </row>
    <row r="947" spans="3:13" ht="19.5">
      <c r="C947" s="735"/>
      <c r="D947" s="736">
        <v>41834</v>
      </c>
      <c r="E947" s="737">
        <v>0.66666666666666663</v>
      </c>
      <c r="F947" s="731">
        <v>41834</v>
      </c>
      <c r="G947" s="730">
        <v>0.67708333333333337</v>
      </c>
      <c r="H947" s="541" t="s">
        <v>2575</v>
      </c>
      <c r="I947" s="541" t="s">
        <v>124</v>
      </c>
      <c r="J947" s="735"/>
      <c r="K947" s="541" t="s">
        <v>2150</v>
      </c>
      <c r="L947" s="537" t="s">
        <v>45</v>
      </c>
      <c r="M947" s="531" t="s">
        <v>45</v>
      </c>
    </row>
    <row r="948" spans="3:13" ht="19.5">
      <c r="C948" s="735"/>
      <c r="D948" s="736">
        <v>41843</v>
      </c>
      <c r="E948" s="737">
        <v>0.80138888888888893</v>
      </c>
      <c r="F948" s="731">
        <v>41844</v>
      </c>
      <c r="G948" s="730">
        <v>1.5972222222222224E-2</v>
      </c>
      <c r="H948" s="541" t="s">
        <v>2708</v>
      </c>
      <c r="I948" s="541" t="s">
        <v>63</v>
      </c>
      <c r="J948" s="735"/>
      <c r="K948" s="541" t="s">
        <v>2368</v>
      </c>
      <c r="L948" s="537" t="s">
        <v>45</v>
      </c>
      <c r="M948" s="531">
        <v>57299</v>
      </c>
    </row>
    <row r="949" spans="3:13" ht="19.5">
      <c r="C949" s="735"/>
      <c r="D949" s="736">
        <v>41844</v>
      </c>
      <c r="E949" s="737">
        <v>0.68680555555555556</v>
      </c>
      <c r="F949" s="731">
        <v>41844</v>
      </c>
      <c r="G949" s="730">
        <v>0.98055555555555562</v>
      </c>
      <c r="H949" s="541" t="s">
        <v>18</v>
      </c>
      <c r="I949" s="541" t="s">
        <v>124</v>
      </c>
      <c r="J949" s="735"/>
      <c r="K949" s="541" t="s">
        <v>2684</v>
      </c>
      <c r="L949" s="537">
        <v>126</v>
      </c>
      <c r="M949" s="531">
        <v>26856</v>
      </c>
    </row>
    <row r="950" spans="3:13" ht="19.5">
      <c r="C950" s="735"/>
      <c r="D950" s="736">
        <v>41847</v>
      </c>
      <c r="E950" s="737">
        <v>0.70833333333333337</v>
      </c>
      <c r="F950" s="731">
        <v>41848</v>
      </c>
      <c r="G950" s="730">
        <v>0.95833333333333337</v>
      </c>
      <c r="H950" s="541" t="s">
        <v>420</v>
      </c>
      <c r="I950" s="541" t="s">
        <v>826</v>
      </c>
      <c r="J950" s="735"/>
      <c r="K950" s="541" t="s">
        <v>2368</v>
      </c>
      <c r="L950" s="537" t="s">
        <v>45</v>
      </c>
      <c r="M950" s="531">
        <v>156611</v>
      </c>
    </row>
    <row r="951" spans="3:13" ht="19.5">
      <c r="C951" s="735"/>
      <c r="D951" s="736">
        <v>41847</v>
      </c>
      <c r="E951" s="737">
        <v>0.95833333333333337</v>
      </c>
      <c r="F951" s="731">
        <v>41848</v>
      </c>
      <c r="G951" s="730">
        <v>0.16666666666666666</v>
      </c>
      <c r="H951" s="541" t="s">
        <v>1922</v>
      </c>
      <c r="I951" s="541" t="s">
        <v>124</v>
      </c>
      <c r="J951" s="735"/>
      <c r="K951" s="541" t="s">
        <v>2709</v>
      </c>
      <c r="L951" s="537">
        <v>480</v>
      </c>
      <c r="M951" s="531">
        <v>1</v>
      </c>
    </row>
    <row r="952" spans="3:13" ht="19.5">
      <c r="C952" s="735"/>
      <c r="D952" s="736">
        <v>41852</v>
      </c>
      <c r="E952" s="737">
        <v>0.62708333333333333</v>
      </c>
      <c r="F952" s="731">
        <v>41852</v>
      </c>
      <c r="G952" s="730">
        <v>0.62777777777777777</v>
      </c>
      <c r="H952" s="586" t="s">
        <v>1320</v>
      </c>
      <c r="I952" s="586" t="s">
        <v>124</v>
      </c>
      <c r="J952" s="735"/>
      <c r="K952" s="586" t="s">
        <v>2202</v>
      </c>
      <c r="L952" s="530" t="s">
        <v>45</v>
      </c>
      <c r="M952" s="531" t="s">
        <v>45</v>
      </c>
    </row>
    <row r="953" spans="3:13" ht="19.5">
      <c r="C953" s="735"/>
      <c r="D953" s="736">
        <v>41864</v>
      </c>
      <c r="E953" s="737">
        <v>0.25555555555555559</v>
      </c>
      <c r="F953" s="731">
        <v>41864</v>
      </c>
      <c r="G953" s="730">
        <v>0.27361111111111108</v>
      </c>
      <c r="H953" s="541" t="s">
        <v>2418</v>
      </c>
      <c r="I953" s="541" t="s">
        <v>124</v>
      </c>
      <c r="J953" s="735"/>
      <c r="K953" s="537" t="s">
        <v>2037</v>
      </c>
      <c r="L953" s="537">
        <v>370</v>
      </c>
      <c r="M953" s="531" t="s">
        <v>45</v>
      </c>
    </row>
    <row r="954" spans="3:13" ht="19.5">
      <c r="C954" s="735"/>
      <c r="D954" s="736">
        <v>41871</v>
      </c>
      <c r="E954" s="737">
        <v>5.6250000000000001E-2</v>
      </c>
      <c r="F954" s="731">
        <v>41871</v>
      </c>
      <c r="G954" s="730">
        <v>7.013888888888889E-2</v>
      </c>
      <c r="H954" s="541" t="s">
        <v>2418</v>
      </c>
      <c r="I954" s="541" t="s">
        <v>124</v>
      </c>
      <c r="J954" s="735"/>
      <c r="K954" s="537" t="s">
        <v>2037</v>
      </c>
      <c r="L954" s="537" t="s">
        <v>45</v>
      </c>
      <c r="M954" s="531" t="s">
        <v>45</v>
      </c>
    </row>
    <row r="955" spans="3:13" ht="19.5">
      <c r="C955" s="735"/>
      <c r="D955" s="736">
        <v>41874</v>
      </c>
      <c r="E955" s="737">
        <v>0.69374999999999998</v>
      </c>
      <c r="F955" s="731">
        <v>41875</v>
      </c>
      <c r="G955" s="730">
        <v>7.3611111111111113E-2</v>
      </c>
      <c r="H955" s="541" t="s">
        <v>2710</v>
      </c>
      <c r="I955" s="541" t="s">
        <v>826</v>
      </c>
      <c r="J955" s="735"/>
      <c r="K955" s="537" t="s">
        <v>2711</v>
      </c>
      <c r="L955" s="537">
        <v>31</v>
      </c>
      <c r="M955" s="531">
        <v>6549</v>
      </c>
    </row>
    <row r="956" spans="3:13" ht="19.5">
      <c r="C956" s="735"/>
      <c r="D956" s="736">
        <v>41875</v>
      </c>
      <c r="E956" s="737">
        <v>0.1388888888888889</v>
      </c>
      <c r="F956" s="731">
        <v>41876</v>
      </c>
      <c r="G956" s="730">
        <v>0.2951388888888889</v>
      </c>
      <c r="H956" s="541" t="s">
        <v>2712</v>
      </c>
      <c r="I956" s="541" t="s">
        <v>124</v>
      </c>
      <c r="J956" s="735"/>
      <c r="K956" s="537" t="s">
        <v>313</v>
      </c>
      <c r="L956" s="537">
        <v>95</v>
      </c>
      <c r="M956" s="531">
        <v>70000</v>
      </c>
    </row>
    <row r="957" spans="3:13" ht="19.5">
      <c r="C957" s="735"/>
      <c r="D957" s="736">
        <v>41877</v>
      </c>
      <c r="E957" s="737">
        <v>0.64583333333333337</v>
      </c>
      <c r="F957" s="731" t="s">
        <v>45</v>
      </c>
      <c r="G957" s="730" t="s">
        <v>45</v>
      </c>
      <c r="H957" s="541" t="s">
        <v>420</v>
      </c>
      <c r="I957" s="541" t="s">
        <v>826</v>
      </c>
      <c r="J957" s="735"/>
      <c r="K957" s="541" t="s">
        <v>2368</v>
      </c>
      <c r="L957" s="537" t="s">
        <v>45</v>
      </c>
      <c r="M957" s="531" t="s">
        <v>45</v>
      </c>
    </row>
    <row r="958" spans="3:13" ht="19.5">
      <c r="C958" s="735"/>
      <c r="D958" s="736">
        <v>41878</v>
      </c>
      <c r="E958" s="737">
        <v>0.53402777777777777</v>
      </c>
      <c r="F958" s="731">
        <v>41878</v>
      </c>
      <c r="G958" s="730">
        <v>0.5625</v>
      </c>
      <c r="H958" s="541" t="s">
        <v>2646</v>
      </c>
      <c r="I958" s="541" t="s">
        <v>826</v>
      </c>
      <c r="J958" s="735"/>
      <c r="K958" s="537" t="s">
        <v>2150</v>
      </c>
      <c r="L958" s="537" t="s">
        <v>45</v>
      </c>
      <c r="M958" s="531" t="s">
        <v>45</v>
      </c>
    </row>
    <row r="959" spans="3:13" ht="19.5">
      <c r="C959" s="735"/>
      <c r="D959" s="736">
        <v>41881</v>
      </c>
      <c r="E959" s="737">
        <v>0.64583333333333337</v>
      </c>
      <c r="F959" s="731">
        <v>41883</v>
      </c>
      <c r="G959" s="730">
        <v>0.60416666666666663</v>
      </c>
      <c r="H959" s="541" t="s">
        <v>2713</v>
      </c>
      <c r="I959" s="541" t="s">
        <v>826</v>
      </c>
      <c r="J959" s="735"/>
      <c r="K959" s="537" t="s">
        <v>2150</v>
      </c>
      <c r="L959" s="541" t="s">
        <v>45</v>
      </c>
      <c r="M959" s="542" t="s">
        <v>45</v>
      </c>
    </row>
    <row r="960" spans="3:13" ht="19.5">
      <c r="C960" s="735"/>
      <c r="D960" s="736">
        <v>41887</v>
      </c>
      <c r="E960" s="737">
        <v>0.83333333333333337</v>
      </c>
      <c r="F960" s="731" t="s">
        <v>45</v>
      </c>
      <c r="G960" s="730" t="s">
        <v>45</v>
      </c>
      <c r="H960" s="541" t="s">
        <v>1833</v>
      </c>
      <c r="I960" s="541" t="s">
        <v>826</v>
      </c>
      <c r="J960" s="735"/>
      <c r="K960" s="541" t="s">
        <v>2368</v>
      </c>
      <c r="L960" s="537" t="s">
        <v>45</v>
      </c>
      <c r="M960" s="531">
        <v>324000</v>
      </c>
    </row>
    <row r="961" spans="3:13" ht="19.5">
      <c r="C961" s="735"/>
      <c r="D961" s="736">
        <v>41887</v>
      </c>
      <c r="E961" s="737">
        <v>0.6875</v>
      </c>
      <c r="F961" s="731">
        <v>41888</v>
      </c>
      <c r="G961" s="730">
        <v>0.58333333333333337</v>
      </c>
      <c r="H961" s="541" t="s">
        <v>33</v>
      </c>
      <c r="I961" s="541" t="s">
        <v>826</v>
      </c>
      <c r="J961" s="735"/>
      <c r="K961" s="541" t="s">
        <v>2368</v>
      </c>
      <c r="L961" s="537" t="s">
        <v>45</v>
      </c>
      <c r="M961" s="531">
        <v>180400</v>
      </c>
    </row>
    <row r="962" spans="3:13" ht="19.5">
      <c r="C962" s="735"/>
      <c r="D962" s="736">
        <v>41887</v>
      </c>
      <c r="E962" s="737">
        <v>0.80138888888888893</v>
      </c>
      <c r="F962" s="731">
        <v>41888</v>
      </c>
      <c r="G962" s="730">
        <v>0.54166666666666663</v>
      </c>
      <c r="H962" s="541" t="s">
        <v>21</v>
      </c>
      <c r="I962" s="541" t="s">
        <v>826</v>
      </c>
      <c r="J962" s="735"/>
      <c r="K962" s="541" t="s">
        <v>2368</v>
      </c>
      <c r="L962" s="537">
        <v>50</v>
      </c>
      <c r="M962" s="531">
        <v>60000</v>
      </c>
    </row>
    <row r="963" spans="3:13" ht="19.5">
      <c r="C963" s="735"/>
      <c r="D963" s="736">
        <v>41891</v>
      </c>
      <c r="E963" s="737">
        <v>0.34583333333333338</v>
      </c>
      <c r="F963" s="731">
        <v>41891</v>
      </c>
      <c r="G963" s="730">
        <v>0.99930555555555556</v>
      </c>
      <c r="H963" s="541" t="s">
        <v>2418</v>
      </c>
      <c r="I963" s="541" t="s">
        <v>124</v>
      </c>
      <c r="J963" s="735"/>
      <c r="K963" s="537" t="s">
        <v>2037</v>
      </c>
      <c r="L963" s="537" t="s">
        <v>45</v>
      </c>
      <c r="M963" s="531" t="s">
        <v>45</v>
      </c>
    </row>
    <row r="964" spans="3:13" ht="19.5">
      <c r="C964" s="735"/>
      <c r="D964" s="736">
        <v>41893</v>
      </c>
      <c r="E964" s="737">
        <v>0.20555555555555557</v>
      </c>
      <c r="F964" s="731">
        <v>41893</v>
      </c>
      <c r="G964" s="730">
        <v>0.23402777777777781</v>
      </c>
      <c r="H964" s="541" t="s">
        <v>2418</v>
      </c>
      <c r="I964" s="541" t="s">
        <v>124</v>
      </c>
      <c r="J964" s="735"/>
      <c r="K964" s="537" t="s">
        <v>2037</v>
      </c>
      <c r="L964" s="537" t="s">
        <v>45</v>
      </c>
      <c r="M964" s="531" t="s">
        <v>45</v>
      </c>
    </row>
    <row r="965" spans="3:13" ht="19.5">
      <c r="C965" s="735"/>
      <c r="D965" s="736">
        <v>41896</v>
      </c>
      <c r="E965" s="737">
        <v>0.90972222222222221</v>
      </c>
      <c r="F965" s="731">
        <v>41899</v>
      </c>
      <c r="G965" s="730">
        <v>0.63055555555555554</v>
      </c>
      <c r="H965" s="541" t="s">
        <v>2152</v>
      </c>
      <c r="I965" s="541" t="s">
        <v>124</v>
      </c>
      <c r="J965" s="735"/>
      <c r="K965" s="537" t="s">
        <v>2037</v>
      </c>
      <c r="L965" s="537">
        <v>1</v>
      </c>
      <c r="M965" s="531">
        <v>123</v>
      </c>
    </row>
    <row r="966" spans="3:13" ht="19.5">
      <c r="C966" s="735"/>
      <c r="D966" s="736">
        <v>41898</v>
      </c>
      <c r="E966" s="737">
        <v>0.49722222222222223</v>
      </c>
      <c r="F966" s="731">
        <v>41898</v>
      </c>
      <c r="G966" s="730">
        <v>0.49791666666666662</v>
      </c>
      <c r="H966" s="541" t="s">
        <v>18</v>
      </c>
      <c r="I966" s="541" t="s">
        <v>124</v>
      </c>
      <c r="J966" s="735"/>
      <c r="K966" s="537" t="s">
        <v>2613</v>
      </c>
      <c r="L966" s="537" t="s">
        <v>45</v>
      </c>
      <c r="M966" s="531" t="s">
        <v>45</v>
      </c>
    </row>
    <row r="967" spans="3:13" ht="19.5">
      <c r="C967" s="735"/>
      <c r="D967" s="736">
        <v>41899</v>
      </c>
      <c r="E967" s="737">
        <v>0.5625</v>
      </c>
      <c r="F967" s="731">
        <v>41899</v>
      </c>
      <c r="G967" s="730">
        <v>0.58333333333333337</v>
      </c>
      <c r="H967" s="541" t="s">
        <v>1833</v>
      </c>
      <c r="I967" s="541" t="s">
        <v>826</v>
      </c>
      <c r="J967" s="735"/>
      <c r="K967" s="537" t="s">
        <v>2714</v>
      </c>
      <c r="L967" s="537" t="s">
        <v>45</v>
      </c>
      <c r="M967" s="531" t="s">
        <v>45</v>
      </c>
    </row>
    <row r="968" spans="3:13" ht="19.5">
      <c r="C968" s="735"/>
      <c r="D968" s="736">
        <v>41901</v>
      </c>
      <c r="E968" s="737">
        <v>0.59722222222222221</v>
      </c>
      <c r="F968" s="731">
        <v>41905</v>
      </c>
      <c r="G968" s="730">
        <v>0.54861111111111105</v>
      </c>
      <c r="H968" s="541" t="s">
        <v>2715</v>
      </c>
      <c r="I968" s="541" t="s">
        <v>124</v>
      </c>
      <c r="J968" s="735"/>
      <c r="K968" s="537" t="s">
        <v>2037</v>
      </c>
      <c r="L968" s="537">
        <v>1</v>
      </c>
      <c r="M968" s="531">
        <v>123</v>
      </c>
    </row>
    <row r="969" spans="3:13" ht="19.5">
      <c r="C969" s="735"/>
      <c r="D969" s="736">
        <v>41904</v>
      </c>
      <c r="E969" s="737">
        <v>0.45833333333333331</v>
      </c>
      <c r="F969" s="731">
        <v>41904</v>
      </c>
      <c r="G969" s="730">
        <v>0.45902777777777781</v>
      </c>
      <c r="H969" s="541" t="s">
        <v>2716</v>
      </c>
      <c r="I969" s="541" t="s">
        <v>674</v>
      </c>
      <c r="J969" s="735"/>
      <c r="K969" s="537" t="s">
        <v>2659</v>
      </c>
      <c r="L969" s="543">
        <v>1000</v>
      </c>
      <c r="M969" s="531">
        <v>140000</v>
      </c>
    </row>
    <row r="970" spans="3:13" ht="19.5">
      <c r="C970" s="735"/>
      <c r="D970" s="736">
        <v>41905</v>
      </c>
      <c r="E970" s="737">
        <v>5.0694444444444452E-2</v>
      </c>
      <c r="F970" s="731">
        <v>41905</v>
      </c>
      <c r="G970" s="730">
        <v>0.125</v>
      </c>
      <c r="H970" s="541" t="s">
        <v>30</v>
      </c>
      <c r="I970" s="541" t="s">
        <v>61</v>
      </c>
      <c r="J970" s="735"/>
      <c r="K970" s="537" t="s">
        <v>2717</v>
      </c>
      <c r="L970" s="537" t="s">
        <v>255</v>
      </c>
      <c r="M970" s="531" t="s">
        <v>255</v>
      </c>
    </row>
    <row r="971" spans="3:13" ht="19.5">
      <c r="C971" s="735"/>
      <c r="D971" s="736">
        <v>41903</v>
      </c>
      <c r="E971" s="737">
        <v>0.5625</v>
      </c>
      <c r="F971" s="731" t="s">
        <v>45</v>
      </c>
      <c r="G971" s="730" t="s">
        <v>45</v>
      </c>
      <c r="H971" s="541" t="s">
        <v>30</v>
      </c>
      <c r="I971" s="541" t="s">
        <v>61</v>
      </c>
      <c r="J971" s="735"/>
      <c r="K971" s="537" t="s">
        <v>2717</v>
      </c>
      <c r="L971" s="537" t="s">
        <v>45</v>
      </c>
      <c r="M971" s="531" t="s">
        <v>45</v>
      </c>
    </row>
    <row r="972" spans="3:13" ht="19.5">
      <c r="C972" s="735"/>
      <c r="D972" s="736">
        <v>41906</v>
      </c>
      <c r="E972" s="737">
        <v>0.47916666666666669</v>
      </c>
      <c r="F972" s="731">
        <v>41906</v>
      </c>
      <c r="G972" s="730">
        <v>0.65486111111111112</v>
      </c>
      <c r="H972" s="541" t="s">
        <v>2575</v>
      </c>
      <c r="I972" s="541" t="s">
        <v>124</v>
      </c>
      <c r="J972" s="735"/>
      <c r="K972" s="541" t="s">
        <v>2613</v>
      </c>
      <c r="L972" s="537" t="s">
        <v>45</v>
      </c>
      <c r="M972" s="531" t="s">
        <v>45</v>
      </c>
    </row>
    <row r="973" spans="3:13" ht="19.5">
      <c r="C973" s="735"/>
      <c r="D973" s="736">
        <v>41914</v>
      </c>
      <c r="E973" s="737">
        <v>0.625</v>
      </c>
      <c r="F973" s="731">
        <v>41914</v>
      </c>
      <c r="G973" s="730">
        <v>0.62569444444444444</v>
      </c>
      <c r="H973" s="541" t="s">
        <v>2718</v>
      </c>
      <c r="I973" s="541" t="s">
        <v>124</v>
      </c>
      <c r="J973" s="735"/>
      <c r="K973" s="541" t="s">
        <v>2719</v>
      </c>
      <c r="L973" s="537" t="s">
        <v>45</v>
      </c>
      <c r="M973" s="531" t="s">
        <v>45</v>
      </c>
    </row>
    <row r="974" spans="3:13" ht="19.5">
      <c r="C974" s="735"/>
      <c r="D974" s="736">
        <v>41914</v>
      </c>
      <c r="E974" s="737">
        <v>0.92708333333333337</v>
      </c>
      <c r="F974" s="731" t="s">
        <v>45</v>
      </c>
      <c r="G974" s="730" t="s">
        <v>45</v>
      </c>
      <c r="H974" s="541" t="s">
        <v>48</v>
      </c>
      <c r="I974" s="541" t="s">
        <v>63</v>
      </c>
      <c r="J974" s="735"/>
      <c r="K974" s="541" t="s">
        <v>2368</v>
      </c>
      <c r="L974" s="537" t="s">
        <v>45</v>
      </c>
      <c r="M974" s="531">
        <v>67300</v>
      </c>
    </row>
    <row r="975" spans="3:13" ht="19.5">
      <c r="C975" s="735"/>
      <c r="D975" s="736">
        <v>41914</v>
      </c>
      <c r="E975" s="737">
        <v>0.66666666666666663</v>
      </c>
      <c r="F975" s="731">
        <v>41919</v>
      </c>
      <c r="G975" s="730">
        <v>0.41666666666666669</v>
      </c>
      <c r="H975" s="541" t="s">
        <v>166</v>
      </c>
      <c r="I975" s="541" t="s">
        <v>1352</v>
      </c>
      <c r="J975" s="735"/>
      <c r="K975" s="541" t="s">
        <v>2368</v>
      </c>
      <c r="L975" s="537" t="s">
        <v>45</v>
      </c>
      <c r="M975" s="531">
        <v>500000</v>
      </c>
    </row>
    <row r="976" spans="3:13" ht="19.5">
      <c r="C976" s="735"/>
      <c r="D976" s="736">
        <v>41918</v>
      </c>
      <c r="E976" s="737">
        <v>0.45277777777777778</v>
      </c>
      <c r="F976" s="731">
        <v>41919</v>
      </c>
      <c r="G976" s="730">
        <v>3.6111111111111115E-2</v>
      </c>
      <c r="H976" s="541" t="s">
        <v>1098</v>
      </c>
      <c r="I976" s="541" t="s">
        <v>1352</v>
      </c>
      <c r="J976" s="735"/>
      <c r="K976" s="541" t="s">
        <v>2368</v>
      </c>
      <c r="L976" s="537">
        <v>292</v>
      </c>
      <c r="M976" s="531">
        <v>129237</v>
      </c>
    </row>
    <row r="977" spans="3:13" ht="19.5">
      <c r="C977" s="735"/>
      <c r="D977" s="736">
        <v>41919</v>
      </c>
      <c r="E977" s="737">
        <v>0.5</v>
      </c>
      <c r="F977" s="731">
        <v>41919</v>
      </c>
      <c r="G977" s="730">
        <v>0.50069444444444444</v>
      </c>
      <c r="H977" s="541" t="s">
        <v>2123</v>
      </c>
      <c r="I977" s="541" t="s">
        <v>826</v>
      </c>
      <c r="J977" s="735"/>
      <c r="K977" s="541" t="s">
        <v>2719</v>
      </c>
      <c r="L977" s="537" t="s">
        <v>45</v>
      </c>
      <c r="M977" s="531" t="s">
        <v>45</v>
      </c>
    </row>
    <row r="978" spans="3:13" ht="19.5">
      <c r="C978" s="735"/>
      <c r="D978" s="736">
        <v>41920</v>
      </c>
      <c r="E978" s="737">
        <v>0.69930555555555562</v>
      </c>
      <c r="F978" s="731">
        <v>41920</v>
      </c>
      <c r="G978" s="730">
        <v>0.77013888888888893</v>
      </c>
      <c r="H978" s="541" t="s">
        <v>2665</v>
      </c>
      <c r="I978" s="541" t="s">
        <v>1352</v>
      </c>
      <c r="J978" s="735"/>
      <c r="K978" s="541" t="s">
        <v>2720</v>
      </c>
      <c r="L978" s="537" t="s">
        <v>45</v>
      </c>
      <c r="M978" s="531" t="s">
        <v>45</v>
      </c>
    </row>
    <row r="979" spans="3:13" ht="19.5">
      <c r="C979" s="735"/>
      <c r="D979" s="736">
        <v>41920</v>
      </c>
      <c r="E979" s="737">
        <v>0.7006944444444444</v>
      </c>
      <c r="F979" s="731">
        <v>41920</v>
      </c>
      <c r="G979" s="730">
        <v>0.76597222222222217</v>
      </c>
      <c r="H979" s="541" t="s">
        <v>2665</v>
      </c>
      <c r="I979" s="541" t="s">
        <v>1352</v>
      </c>
      <c r="J979" s="735"/>
      <c r="K979" s="541" t="s">
        <v>2720</v>
      </c>
      <c r="L979" s="537">
        <v>585</v>
      </c>
      <c r="M979" s="531">
        <v>120000</v>
      </c>
    </row>
    <row r="980" spans="3:13" ht="19.5">
      <c r="C980" s="735"/>
      <c r="D980" s="736">
        <v>41921</v>
      </c>
      <c r="E980" s="737">
        <v>0.39374999999999999</v>
      </c>
      <c r="F980" s="731" t="s">
        <v>45</v>
      </c>
      <c r="G980" s="730" t="s">
        <v>45</v>
      </c>
      <c r="H980" s="541" t="s">
        <v>2665</v>
      </c>
      <c r="I980" s="541" t="s">
        <v>1352</v>
      </c>
      <c r="J980" s="735"/>
      <c r="K980" s="537" t="s">
        <v>2221</v>
      </c>
      <c r="L980" s="537" t="s">
        <v>45</v>
      </c>
      <c r="M980" s="531">
        <v>2800</v>
      </c>
    </row>
    <row r="981" spans="3:13" ht="19.5">
      <c r="C981" s="735"/>
      <c r="D981" s="736">
        <v>41925</v>
      </c>
      <c r="E981" s="737">
        <v>0.53125</v>
      </c>
      <c r="F981" s="731">
        <v>41925</v>
      </c>
      <c r="G981" s="730">
        <v>0.67708333333333337</v>
      </c>
      <c r="H981" s="541" t="s">
        <v>1577</v>
      </c>
      <c r="I981" s="541" t="s">
        <v>63</v>
      </c>
      <c r="J981" s="735"/>
      <c r="K981" s="541" t="s">
        <v>2368</v>
      </c>
      <c r="L981" s="537" t="s">
        <v>45</v>
      </c>
      <c r="M981" s="531">
        <v>68600</v>
      </c>
    </row>
    <row r="982" spans="3:13" ht="19.5">
      <c r="C982" s="735"/>
      <c r="D982" s="736">
        <v>41926</v>
      </c>
      <c r="E982" s="737">
        <v>0.31458333333333333</v>
      </c>
      <c r="F982" s="731">
        <v>41926</v>
      </c>
      <c r="G982" s="730">
        <v>0.31527777777777777</v>
      </c>
      <c r="H982" s="541" t="s">
        <v>2152</v>
      </c>
      <c r="I982" s="541" t="s">
        <v>124</v>
      </c>
      <c r="J982" s="735"/>
      <c r="K982" s="541" t="s">
        <v>2719</v>
      </c>
      <c r="L982" s="537" t="s">
        <v>45</v>
      </c>
      <c r="M982" s="531" t="s">
        <v>45</v>
      </c>
    </row>
    <row r="983" spans="3:13" ht="19.5">
      <c r="C983" s="735"/>
      <c r="D983" s="736">
        <v>41926</v>
      </c>
      <c r="E983" s="737">
        <v>0.76388888888888884</v>
      </c>
      <c r="F983" s="731">
        <v>41926</v>
      </c>
      <c r="G983" s="730">
        <v>0.76944444444444438</v>
      </c>
      <c r="H983" s="541" t="s">
        <v>2271</v>
      </c>
      <c r="I983" s="541" t="s">
        <v>255</v>
      </c>
      <c r="J983" s="735"/>
      <c r="K983" s="541" t="s">
        <v>619</v>
      </c>
      <c r="L983" s="537" t="s">
        <v>45</v>
      </c>
      <c r="M983" s="531" t="s">
        <v>45</v>
      </c>
    </row>
    <row r="984" spans="3:13" ht="19.5">
      <c r="C984" s="735"/>
      <c r="D984" s="736">
        <v>41926</v>
      </c>
      <c r="E984" s="737">
        <v>0.2388888888888889</v>
      </c>
      <c r="F984" s="731">
        <v>41926</v>
      </c>
      <c r="G984" s="730">
        <v>0.74305555555555547</v>
      </c>
      <c r="H984" s="541" t="s">
        <v>2688</v>
      </c>
      <c r="I984" s="541" t="s">
        <v>63</v>
      </c>
      <c r="J984" s="735"/>
      <c r="K984" s="541" t="s">
        <v>2368</v>
      </c>
      <c r="L984" s="537">
        <v>191</v>
      </c>
      <c r="M984" s="531">
        <v>57475</v>
      </c>
    </row>
    <row r="985" spans="3:13" ht="19.5">
      <c r="C985" s="735"/>
      <c r="D985" s="736">
        <v>41927</v>
      </c>
      <c r="E985" s="737">
        <v>0.32361111111111113</v>
      </c>
      <c r="F985" s="731">
        <v>41927</v>
      </c>
      <c r="G985" s="730">
        <v>0.32430555555555557</v>
      </c>
      <c r="H985" s="541" t="s">
        <v>2152</v>
      </c>
      <c r="I985" s="541" t="s">
        <v>124</v>
      </c>
      <c r="J985" s="735"/>
      <c r="K985" s="541" t="s">
        <v>2719</v>
      </c>
      <c r="L985" s="537" t="s">
        <v>45</v>
      </c>
      <c r="M985" s="531" t="s">
        <v>45</v>
      </c>
    </row>
    <row r="986" spans="3:13" ht="19.5">
      <c r="C986" s="735"/>
      <c r="D986" s="736">
        <v>41928</v>
      </c>
      <c r="E986" s="737">
        <v>0.3833333333333333</v>
      </c>
      <c r="F986" s="731">
        <v>41929</v>
      </c>
      <c r="G986" s="730">
        <v>0.625</v>
      </c>
      <c r="H986" s="541" t="s">
        <v>2721</v>
      </c>
      <c r="I986" s="541" t="s">
        <v>674</v>
      </c>
      <c r="J986" s="735"/>
      <c r="K986" s="537" t="s">
        <v>2719</v>
      </c>
      <c r="L986" s="537" t="s">
        <v>45</v>
      </c>
      <c r="M986" s="531" t="s">
        <v>45</v>
      </c>
    </row>
    <row r="987" spans="3:13" ht="19.5">
      <c r="C987" s="735"/>
      <c r="D987" s="736">
        <v>41928</v>
      </c>
      <c r="E987" s="737">
        <v>0.55902777777777779</v>
      </c>
      <c r="F987" s="731">
        <v>41928</v>
      </c>
      <c r="G987" s="730">
        <v>0.72638888888888886</v>
      </c>
      <c r="H987" s="541" t="s">
        <v>2722</v>
      </c>
      <c r="I987" s="541" t="s">
        <v>674</v>
      </c>
      <c r="J987" s="735"/>
      <c r="K987" s="541" t="s">
        <v>2150</v>
      </c>
      <c r="L987" s="537">
        <v>129</v>
      </c>
      <c r="M987" s="531" t="s">
        <v>45</v>
      </c>
    </row>
    <row r="988" spans="3:13" ht="19.5">
      <c r="C988" s="735"/>
      <c r="D988" s="736">
        <v>41932</v>
      </c>
      <c r="E988" s="737">
        <v>0</v>
      </c>
      <c r="F988" s="731" t="s">
        <v>45</v>
      </c>
      <c r="G988" s="730" t="s">
        <v>45</v>
      </c>
      <c r="H988" s="541" t="s">
        <v>2723</v>
      </c>
      <c r="I988" s="541" t="s">
        <v>674</v>
      </c>
      <c r="J988" s="735"/>
      <c r="K988" s="537" t="s">
        <v>2719</v>
      </c>
      <c r="L988" s="537" t="s">
        <v>45</v>
      </c>
      <c r="M988" s="531" t="s">
        <v>45</v>
      </c>
    </row>
    <row r="989" spans="3:13" ht="19.5">
      <c r="C989" s="735"/>
      <c r="D989" s="736">
        <v>41933</v>
      </c>
      <c r="E989" s="737">
        <v>0.35069444444444442</v>
      </c>
      <c r="F989" s="731">
        <v>41933</v>
      </c>
      <c r="G989" s="730">
        <v>0.42222222222222222</v>
      </c>
      <c r="H989" s="541" t="s">
        <v>2724</v>
      </c>
      <c r="I989" s="541" t="s">
        <v>674</v>
      </c>
      <c r="J989" s="735"/>
      <c r="K989" s="541" t="s">
        <v>2139</v>
      </c>
      <c r="L989" s="537" t="s">
        <v>45</v>
      </c>
      <c r="M989" s="531" t="s">
        <v>45</v>
      </c>
    </row>
    <row r="990" spans="3:13" ht="19.5">
      <c r="C990" s="735"/>
      <c r="D990" s="736">
        <v>41934</v>
      </c>
      <c r="E990" s="737">
        <v>0.94861111111111107</v>
      </c>
      <c r="F990" s="731">
        <v>41934</v>
      </c>
      <c r="G990" s="730">
        <v>0.94930555555555562</v>
      </c>
      <c r="H990" s="541" t="s">
        <v>2725</v>
      </c>
      <c r="I990" s="541" t="s">
        <v>61</v>
      </c>
      <c r="J990" s="735"/>
      <c r="K990" s="541" t="s">
        <v>22</v>
      </c>
      <c r="L990" s="537" t="s">
        <v>45</v>
      </c>
      <c r="M990" s="531">
        <v>66650</v>
      </c>
    </row>
    <row r="991" spans="3:13" ht="19.5">
      <c r="C991" s="735"/>
      <c r="D991" s="736">
        <v>41936</v>
      </c>
      <c r="E991" s="737">
        <v>0.76111111111111107</v>
      </c>
      <c r="F991" s="731">
        <v>41937</v>
      </c>
      <c r="G991" s="730">
        <v>0.57708333333333328</v>
      </c>
      <c r="H991" s="541" t="s">
        <v>2726</v>
      </c>
      <c r="I991" s="541" t="s">
        <v>61</v>
      </c>
      <c r="J991" s="735"/>
      <c r="K991" s="537" t="s">
        <v>2719</v>
      </c>
      <c r="L991" s="537" t="s">
        <v>45</v>
      </c>
      <c r="M991" s="531" t="s">
        <v>45</v>
      </c>
    </row>
    <row r="992" spans="3:13" ht="19.5">
      <c r="C992" s="735"/>
      <c r="D992" s="736">
        <v>41936</v>
      </c>
      <c r="E992" s="737">
        <v>0.66666666666666663</v>
      </c>
      <c r="F992" s="731">
        <v>41936</v>
      </c>
      <c r="G992" s="730">
        <v>0.74305555555555547</v>
      </c>
      <c r="H992" s="541" t="s">
        <v>2723</v>
      </c>
      <c r="I992" s="541" t="s">
        <v>674</v>
      </c>
      <c r="J992" s="735"/>
      <c r="K992" s="537" t="s">
        <v>2719</v>
      </c>
      <c r="L992" s="537" t="s">
        <v>45</v>
      </c>
      <c r="M992" s="531" t="s">
        <v>45</v>
      </c>
    </row>
    <row r="993" spans="3:13" ht="19.5">
      <c r="C993" s="735"/>
      <c r="D993" s="736">
        <v>41937</v>
      </c>
      <c r="E993" s="737">
        <v>0.66666666666666663</v>
      </c>
      <c r="F993" s="731">
        <v>41937</v>
      </c>
      <c r="G993" s="730">
        <v>0.91666666666666663</v>
      </c>
      <c r="H993" s="541" t="s">
        <v>2727</v>
      </c>
      <c r="I993" s="541" t="s">
        <v>124</v>
      </c>
      <c r="J993" s="735"/>
      <c r="K993" s="541" t="s">
        <v>2680</v>
      </c>
      <c r="L993" s="537">
        <v>216</v>
      </c>
      <c r="M993" s="531">
        <v>78000</v>
      </c>
    </row>
    <row r="994" spans="3:13" ht="19.5">
      <c r="C994" s="735"/>
      <c r="D994" s="736">
        <v>41937</v>
      </c>
      <c r="E994" s="737">
        <v>0.75</v>
      </c>
      <c r="F994" s="731" t="s">
        <v>45</v>
      </c>
      <c r="G994" s="730" t="s">
        <v>45</v>
      </c>
      <c r="H994" s="587" t="s">
        <v>2728</v>
      </c>
      <c r="I994" s="587" t="s">
        <v>124</v>
      </c>
      <c r="J994" s="735"/>
      <c r="K994" s="587" t="s">
        <v>2680</v>
      </c>
      <c r="L994" s="538">
        <v>154</v>
      </c>
      <c r="M994" s="663">
        <v>96000</v>
      </c>
    </row>
    <row r="995" spans="3:13" ht="19.5">
      <c r="C995" s="735"/>
      <c r="D995" s="736">
        <v>41944</v>
      </c>
      <c r="E995" s="737">
        <v>4.1666666666666664E-2</v>
      </c>
      <c r="F995" s="731">
        <v>41944</v>
      </c>
      <c r="G995" s="730">
        <v>4.2361111111111106E-2</v>
      </c>
      <c r="H995" s="585" t="s">
        <v>2531</v>
      </c>
      <c r="I995" s="585" t="s">
        <v>124</v>
      </c>
      <c r="J995" s="735"/>
      <c r="K995" s="539" t="s">
        <v>2719</v>
      </c>
      <c r="L995" s="539" t="s">
        <v>45</v>
      </c>
      <c r="M995" s="662" t="s">
        <v>45</v>
      </c>
    </row>
    <row r="996" spans="3:13" ht="19.5">
      <c r="C996" s="735"/>
      <c r="D996" s="736">
        <v>41945</v>
      </c>
      <c r="E996" s="737">
        <v>0.57361111111111118</v>
      </c>
      <c r="F996" s="731" t="s">
        <v>45</v>
      </c>
      <c r="G996" s="730" t="s">
        <v>45</v>
      </c>
      <c r="H996" s="541" t="s">
        <v>2729</v>
      </c>
      <c r="I996" s="541" t="s">
        <v>61</v>
      </c>
      <c r="J996" s="735"/>
      <c r="K996" s="541" t="s">
        <v>2349</v>
      </c>
      <c r="L996" s="537" t="s">
        <v>45</v>
      </c>
      <c r="M996" s="531">
        <v>63719</v>
      </c>
    </row>
    <row r="997" spans="3:13" ht="19.5">
      <c r="C997" s="735"/>
      <c r="D997" s="736">
        <v>41954</v>
      </c>
      <c r="E997" s="737">
        <v>0.75</v>
      </c>
      <c r="F997" s="731">
        <v>41957</v>
      </c>
      <c r="G997" s="730">
        <v>0.625</v>
      </c>
      <c r="H997" s="541" t="s">
        <v>2575</v>
      </c>
      <c r="I997" s="541" t="s">
        <v>124</v>
      </c>
      <c r="J997" s="735"/>
      <c r="K997" s="541" t="s">
        <v>2680</v>
      </c>
      <c r="L997" s="537">
        <v>132</v>
      </c>
      <c r="M997" s="531">
        <v>68000</v>
      </c>
    </row>
    <row r="998" spans="3:13" ht="19.5">
      <c r="C998" s="735"/>
      <c r="D998" s="736">
        <v>41955</v>
      </c>
      <c r="E998" s="737">
        <v>0.12430555555555556</v>
      </c>
      <c r="F998" s="731">
        <v>41955</v>
      </c>
      <c r="G998" s="730">
        <v>0.125</v>
      </c>
      <c r="H998" s="541" t="s">
        <v>45</v>
      </c>
      <c r="I998" s="541" t="s">
        <v>63</v>
      </c>
      <c r="J998" s="735"/>
      <c r="K998" s="537" t="s">
        <v>2719</v>
      </c>
      <c r="L998" s="537" t="s">
        <v>45</v>
      </c>
      <c r="M998" s="531" t="s">
        <v>45</v>
      </c>
    </row>
    <row r="999" spans="3:13" ht="19.5">
      <c r="C999" s="735"/>
      <c r="D999" s="736">
        <v>41956</v>
      </c>
      <c r="E999" s="737">
        <v>0.29652777777777778</v>
      </c>
      <c r="F999" s="731">
        <v>41956</v>
      </c>
      <c r="G999" s="730">
        <v>0.29722222222222222</v>
      </c>
      <c r="H999" s="541" t="s">
        <v>2730</v>
      </c>
      <c r="I999" s="541" t="s">
        <v>674</v>
      </c>
      <c r="J999" s="735"/>
      <c r="K999" s="539" t="s">
        <v>2719</v>
      </c>
      <c r="L999" s="537" t="s">
        <v>45</v>
      </c>
      <c r="M999" s="531" t="s">
        <v>45</v>
      </c>
    </row>
    <row r="1000" spans="3:13" ht="19.5">
      <c r="C1000" s="735"/>
      <c r="D1000" s="736">
        <v>41957</v>
      </c>
      <c r="E1000" s="737">
        <v>0.40972222222222227</v>
      </c>
      <c r="F1000" s="731">
        <v>41957</v>
      </c>
      <c r="G1000" s="730">
        <v>0.5541666666666667</v>
      </c>
      <c r="H1000" s="541" t="s">
        <v>2715</v>
      </c>
      <c r="I1000" s="541" t="s">
        <v>124</v>
      </c>
      <c r="J1000" s="735"/>
      <c r="K1000" s="541" t="s">
        <v>2655</v>
      </c>
      <c r="L1000" s="537">
        <v>1</v>
      </c>
      <c r="M1000" s="531">
        <v>123</v>
      </c>
    </row>
    <row r="1001" spans="3:13" ht="19.5">
      <c r="C1001" s="735"/>
      <c r="D1001" s="736">
        <v>41962</v>
      </c>
      <c r="E1001" s="737">
        <v>0.61388888888888882</v>
      </c>
      <c r="F1001" s="731">
        <v>41962</v>
      </c>
      <c r="G1001" s="730">
        <v>0.61458333333333337</v>
      </c>
      <c r="H1001" s="541" t="s">
        <v>2731</v>
      </c>
      <c r="I1001" s="541" t="s">
        <v>124</v>
      </c>
      <c r="J1001" s="735"/>
      <c r="K1001" s="539" t="s">
        <v>2719</v>
      </c>
      <c r="L1001" s="537" t="s">
        <v>45</v>
      </c>
      <c r="M1001" s="531" t="s">
        <v>45</v>
      </c>
    </row>
    <row r="1002" spans="3:13" ht="19.5">
      <c r="C1002" s="735"/>
      <c r="D1002" s="736">
        <v>41964</v>
      </c>
      <c r="E1002" s="737">
        <v>0.8534722222222223</v>
      </c>
      <c r="F1002" s="731">
        <v>41966</v>
      </c>
      <c r="G1002" s="730">
        <v>1.1111111111111112E-2</v>
      </c>
      <c r="H1002" s="541" t="s">
        <v>2732</v>
      </c>
      <c r="I1002" s="541" t="s">
        <v>124</v>
      </c>
      <c r="J1002" s="735"/>
      <c r="K1002" s="539" t="s">
        <v>2719</v>
      </c>
      <c r="L1002" s="537" t="s">
        <v>45</v>
      </c>
      <c r="M1002" s="531" t="s">
        <v>45</v>
      </c>
    </row>
    <row r="1003" spans="3:13" ht="19.5">
      <c r="C1003" s="735"/>
      <c r="D1003" s="736">
        <v>41964</v>
      </c>
      <c r="E1003" s="737">
        <v>0.47638888888888892</v>
      </c>
      <c r="F1003" s="731">
        <v>41966</v>
      </c>
      <c r="G1003" s="730">
        <v>0.72222222222222221</v>
      </c>
      <c r="H1003" s="541" t="s">
        <v>2733</v>
      </c>
      <c r="I1003" s="541" t="s">
        <v>124</v>
      </c>
      <c r="J1003" s="735"/>
      <c r="K1003" s="539" t="s">
        <v>2719</v>
      </c>
      <c r="L1003" s="537" t="s">
        <v>45</v>
      </c>
      <c r="M1003" s="531" t="s">
        <v>45</v>
      </c>
    </row>
    <row r="1004" spans="3:13" ht="19.5">
      <c r="C1004" s="735"/>
      <c r="D1004" s="736">
        <v>41967</v>
      </c>
      <c r="E1004" s="737">
        <v>0</v>
      </c>
      <c r="F1004" s="731" t="s">
        <v>45</v>
      </c>
      <c r="G1004" s="730" t="s">
        <v>45</v>
      </c>
      <c r="H1004" s="541" t="s">
        <v>2734</v>
      </c>
      <c r="I1004" s="541" t="s">
        <v>58</v>
      </c>
      <c r="J1004" s="735"/>
      <c r="K1004" s="539" t="s">
        <v>2659</v>
      </c>
      <c r="L1004" s="537" t="s">
        <v>45</v>
      </c>
      <c r="M1004" s="531" t="s">
        <v>45</v>
      </c>
    </row>
    <row r="1005" spans="3:13" ht="19.5">
      <c r="C1005" s="735"/>
      <c r="D1005" s="736">
        <v>41967</v>
      </c>
      <c r="E1005" s="737">
        <v>0.5</v>
      </c>
      <c r="F1005" s="731">
        <v>41970</v>
      </c>
      <c r="G1005" s="730">
        <v>0.54166666666666663</v>
      </c>
      <c r="H1005" s="541" t="s">
        <v>1833</v>
      </c>
      <c r="I1005" s="541" t="s">
        <v>826</v>
      </c>
      <c r="J1005" s="735"/>
      <c r="K1005" s="541" t="s">
        <v>2680</v>
      </c>
      <c r="L1005" s="537" t="s">
        <v>45</v>
      </c>
      <c r="M1005" s="531">
        <v>186154</v>
      </c>
    </row>
    <row r="1006" spans="3:13" ht="19.5">
      <c r="C1006" s="735"/>
      <c r="D1006" s="736">
        <v>41969</v>
      </c>
      <c r="E1006" s="737">
        <v>0.74305555555555547</v>
      </c>
      <c r="F1006" s="731">
        <v>41971</v>
      </c>
      <c r="G1006" s="730">
        <v>0.29166666666666669</v>
      </c>
      <c r="H1006" s="587" t="s">
        <v>2735</v>
      </c>
      <c r="I1006" s="587" t="s">
        <v>61</v>
      </c>
      <c r="J1006" s="735"/>
      <c r="K1006" s="587" t="s">
        <v>2349</v>
      </c>
      <c r="L1006" s="538" t="s">
        <v>45</v>
      </c>
      <c r="M1006" s="663">
        <v>79530</v>
      </c>
    </row>
    <row r="1007" spans="3:13" ht="19.5">
      <c r="C1007" s="735"/>
      <c r="D1007" s="736">
        <v>41974</v>
      </c>
      <c r="E1007" s="737">
        <v>0.44722222222222219</v>
      </c>
      <c r="F1007" s="731">
        <v>41974</v>
      </c>
      <c r="G1007" s="730">
        <v>0.44791666666666669</v>
      </c>
      <c r="H1007" s="743" t="s">
        <v>2736</v>
      </c>
      <c r="I1007" s="544" t="s">
        <v>63</v>
      </c>
      <c r="J1007" s="735"/>
      <c r="K1007" s="539" t="s">
        <v>2719</v>
      </c>
      <c r="L1007" s="544" t="s">
        <v>45</v>
      </c>
      <c r="M1007" s="664" t="s">
        <v>45</v>
      </c>
    </row>
    <row r="1008" spans="3:13" ht="19.5">
      <c r="C1008" s="735"/>
      <c r="D1008" s="736">
        <v>41976</v>
      </c>
      <c r="E1008" s="737">
        <v>0.51041666666666663</v>
      </c>
      <c r="F1008" s="731">
        <v>41976</v>
      </c>
      <c r="G1008" s="730">
        <v>0.51111111111111118</v>
      </c>
      <c r="H1008" s="533" t="s">
        <v>2079</v>
      </c>
      <c r="I1008" s="535" t="s">
        <v>61</v>
      </c>
      <c r="J1008" s="735"/>
      <c r="K1008" s="539" t="s">
        <v>2719</v>
      </c>
      <c r="L1008" s="535" t="s">
        <v>45</v>
      </c>
      <c r="M1008" s="638" t="s">
        <v>45</v>
      </c>
    </row>
    <row r="1009" spans="3:13" ht="19.5">
      <c r="C1009" s="735"/>
      <c r="D1009" s="736">
        <v>41984</v>
      </c>
      <c r="E1009" s="737">
        <v>0.27777777777777779</v>
      </c>
      <c r="F1009" s="731" t="s">
        <v>45</v>
      </c>
      <c r="G1009" s="730" t="s">
        <v>45</v>
      </c>
      <c r="H1009" s="533" t="s">
        <v>141</v>
      </c>
      <c r="I1009" s="535" t="s">
        <v>124</v>
      </c>
      <c r="J1009" s="735"/>
      <c r="K1009" s="533" t="s">
        <v>2737</v>
      </c>
      <c r="L1009" s="535" t="s">
        <v>45</v>
      </c>
      <c r="M1009" s="638" t="s">
        <v>45</v>
      </c>
    </row>
    <row r="1010" spans="3:13" ht="19.5">
      <c r="C1010" s="735"/>
      <c r="D1010" s="736">
        <v>41984</v>
      </c>
      <c r="E1010" s="737">
        <v>0.30624999999999997</v>
      </c>
      <c r="F1010" s="731">
        <v>41984</v>
      </c>
      <c r="G1010" s="730">
        <v>0.91180555555555554</v>
      </c>
      <c r="H1010" s="533" t="s">
        <v>308</v>
      </c>
      <c r="I1010" s="535" t="s">
        <v>124</v>
      </c>
      <c r="J1010" s="735"/>
      <c r="K1010" s="533" t="s">
        <v>2738</v>
      </c>
      <c r="L1010" s="535">
        <v>225</v>
      </c>
      <c r="M1010" s="638">
        <v>75000</v>
      </c>
    </row>
    <row r="1011" spans="3:13" ht="19.5">
      <c r="C1011" s="735"/>
      <c r="D1011" s="736">
        <v>41984</v>
      </c>
      <c r="E1011" s="737">
        <v>0.96875</v>
      </c>
      <c r="F1011" s="731" t="s">
        <v>45</v>
      </c>
      <c r="G1011" s="730" t="s">
        <v>45</v>
      </c>
      <c r="H1011" s="545" t="s">
        <v>141</v>
      </c>
      <c r="I1011" s="546" t="s">
        <v>124</v>
      </c>
      <c r="J1011" s="735"/>
      <c r="K1011" s="545" t="s">
        <v>2737</v>
      </c>
      <c r="L1011" s="546" t="s">
        <v>45</v>
      </c>
      <c r="M1011" s="665" t="s">
        <v>45</v>
      </c>
    </row>
    <row r="1012" spans="3:13" ht="19.5">
      <c r="C1012" s="735"/>
      <c r="D1012" s="736">
        <v>41984</v>
      </c>
      <c r="E1012" s="737">
        <v>0.67013888888888884</v>
      </c>
      <c r="F1012" s="731">
        <v>41984</v>
      </c>
      <c r="G1012" s="730">
        <v>0.875</v>
      </c>
      <c r="H1012" s="533" t="s">
        <v>2531</v>
      </c>
      <c r="I1012" s="535" t="s">
        <v>124</v>
      </c>
      <c r="J1012" s="735"/>
      <c r="K1012" s="533" t="s">
        <v>2737</v>
      </c>
      <c r="L1012" s="535">
        <v>250</v>
      </c>
      <c r="M1012" s="638">
        <v>85470</v>
      </c>
    </row>
    <row r="1013" spans="3:13" ht="19.5">
      <c r="C1013" s="735"/>
      <c r="D1013" s="736">
        <v>41984</v>
      </c>
      <c r="E1013" s="737">
        <v>0.70833333333333337</v>
      </c>
      <c r="F1013" s="731">
        <v>41985</v>
      </c>
      <c r="G1013" s="730">
        <v>0.41666666666666669</v>
      </c>
      <c r="H1013" s="533" t="s">
        <v>2739</v>
      </c>
      <c r="I1013" s="535" t="s">
        <v>124</v>
      </c>
      <c r="J1013" s="735"/>
      <c r="K1013" s="533" t="s">
        <v>2737</v>
      </c>
      <c r="L1013" s="535">
        <v>116</v>
      </c>
      <c r="M1013" s="638">
        <v>264000</v>
      </c>
    </row>
    <row r="1014" spans="3:13" ht="19.5">
      <c r="C1014" s="735"/>
      <c r="D1014" s="736">
        <v>41990</v>
      </c>
      <c r="E1014" s="737">
        <v>0.45833333333333331</v>
      </c>
      <c r="F1014" s="731">
        <v>41990</v>
      </c>
      <c r="G1014" s="730">
        <v>0.51041666666666663</v>
      </c>
      <c r="H1014" s="533" t="s">
        <v>2575</v>
      </c>
      <c r="I1014" s="535" t="s">
        <v>124</v>
      </c>
      <c r="J1014" s="735"/>
      <c r="K1014" s="533" t="s">
        <v>2150</v>
      </c>
      <c r="L1014" s="535" t="s">
        <v>45</v>
      </c>
      <c r="M1014" s="638" t="s">
        <v>45</v>
      </c>
    </row>
    <row r="1015" spans="3:13" ht="19.5">
      <c r="C1015" s="735"/>
      <c r="D1015" s="736">
        <v>42003</v>
      </c>
      <c r="E1015" s="737">
        <v>0.65972222222222221</v>
      </c>
      <c r="F1015" s="731">
        <v>42004</v>
      </c>
      <c r="G1015" s="730">
        <v>0.45833333333333331</v>
      </c>
      <c r="H1015" s="538" t="s">
        <v>2735</v>
      </c>
      <c r="I1015" s="535" t="s">
        <v>61</v>
      </c>
      <c r="J1015" s="735"/>
      <c r="K1015" s="533" t="s">
        <v>2139</v>
      </c>
      <c r="L1015" s="535" t="s">
        <v>45</v>
      </c>
      <c r="M1015" s="638" t="s">
        <v>45</v>
      </c>
    </row>
    <row r="1016" spans="3:13" ht="20.25" thickBot="1">
      <c r="C1016" s="735"/>
      <c r="D1016" s="736">
        <v>42003</v>
      </c>
      <c r="E1016" s="737">
        <v>0.54722222222222217</v>
      </c>
      <c r="F1016" s="731">
        <v>42005</v>
      </c>
      <c r="G1016" s="730">
        <v>0.70138888888888884</v>
      </c>
      <c r="H1016" s="568" t="s">
        <v>141</v>
      </c>
      <c r="I1016" s="547" t="s">
        <v>124</v>
      </c>
      <c r="J1016" s="735"/>
      <c r="K1016" s="568" t="s">
        <v>2737</v>
      </c>
      <c r="L1016" s="547">
        <v>127</v>
      </c>
      <c r="M1016" s="640">
        <v>84500</v>
      </c>
    </row>
    <row r="1017" spans="3:13" ht="19.5">
      <c r="C1017" s="735"/>
      <c r="D1017" s="736">
        <v>42011</v>
      </c>
      <c r="E1017" s="737">
        <v>0.70833333333333337</v>
      </c>
      <c r="F1017" s="731">
        <v>42012</v>
      </c>
      <c r="G1017" s="730">
        <v>0.3576388888888889</v>
      </c>
      <c r="H1017" s="744" t="s">
        <v>2650</v>
      </c>
      <c r="I1017" s="552" t="s">
        <v>63</v>
      </c>
      <c r="J1017" s="744" t="s">
        <v>2744</v>
      </c>
      <c r="K1017" s="552" t="s">
        <v>2745</v>
      </c>
      <c r="L1017" s="550" t="s">
        <v>45</v>
      </c>
      <c r="M1017" s="666" t="s">
        <v>45</v>
      </c>
    </row>
    <row r="1018" spans="3:13" ht="19.5">
      <c r="C1018" s="735"/>
      <c r="D1018" s="736">
        <v>42011</v>
      </c>
      <c r="E1018" s="737">
        <v>0.70833333333333337</v>
      </c>
      <c r="F1018" s="731">
        <v>42012</v>
      </c>
      <c r="G1018" s="730">
        <v>0.3576388888888889</v>
      </c>
      <c r="H1018" s="744" t="s">
        <v>2746</v>
      </c>
      <c r="I1018" s="552" t="s">
        <v>63</v>
      </c>
      <c r="J1018" s="744" t="s">
        <v>2744</v>
      </c>
      <c r="K1018" s="552" t="s">
        <v>2745</v>
      </c>
      <c r="L1018" s="550" t="s">
        <v>45</v>
      </c>
      <c r="M1018" s="666" t="s">
        <v>45</v>
      </c>
    </row>
    <row r="1019" spans="3:13" ht="19.5">
      <c r="C1019" s="735"/>
      <c r="D1019" s="736">
        <v>42026</v>
      </c>
      <c r="E1019" s="737">
        <v>0.18333333333333335</v>
      </c>
      <c r="F1019" s="731">
        <v>42026</v>
      </c>
      <c r="G1019" s="730">
        <v>0.24652777777777779</v>
      </c>
      <c r="H1019" s="744" t="s">
        <v>2531</v>
      </c>
      <c r="I1019" s="552" t="s">
        <v>124</v>
      </c>
      <c r="J1019" s="744" t="s">
        <v>2150</v>
      </c>
      <c r="K1019" s="552" t="s">
        <v>100</v>
      </c>
      <c r="L1019" s="550" t="s">
        <v>45</v>
      </c>
      <c r="M1019" s="666" t="s">
        <v>45</v>
      </c>
    </row>
    <row r="1020" spans="3:13" ht="19.5">
      <c r="C1020" s="735"/>
      <c r="D1020" s="736">
        <v>42030</v>
      </c>
      <c r="E1020" s="737">
        <v>0.61041666666666672</v>
      </c>
      <c r="F1020" s="731">
        <v>42030</v>
      </c>
      <c r="G1020" s="730">
        <v>0.61111111111111105</v>
      </c>
      <c r="H1020" s="744" t="s">
        <v>2718</v>
      </c>
      <c r="I1020" s="552" t="s">
        <v>124</v>
      </c>
      <c r="J1020" s="744" t="s">
        <v>2150</v>
      </c>
      <c r="K1020" s="552" t="s">
        <v>100</v>
      </c>
      <c r="L1020" s="550" t="s">
        <v>45</v>
      </c>
      <c r="M1020" s="551" t="s">
        <v>45</v>
      </c>
    </row>
    <row r="1021" spans="3:13" ht="19.5">
      <c r="C1021" s="735"/>
      <c r="D1021" s="736">
        <v>42031</v>
      </c>
      <c r="E1021" s="737">
        <v>0.4375</v>
      </c>
      <c r="F1021" s="731">
        <v>42031</v>
      </c>
      <c r="G1021" s="730">
        <v>0.4381944444444445</v>
      </c>
      <c r="H1021" s="744" t="s">
        <v>2747</v>
      </c>
      <c r="I1021" s="552" t="s">
        <v>63</v>
      </c>
      <c r="J1021" s="744" t="s">
        <v>2150</v>
      </c>
      <c r="K1021" s="552" t="s">
        <v>2343</v>
      </c>
      <c r="L1021" s="550">
        <v>0</v>
      </c>
      <c r="M1021" s="551">
        <v>0</v>
      </c>
    </row>
    <row r="1022" spans="3:13" ht="19.5">
      <c r="C1022" s="735"/>
      <c r="D1022" s="736">
        <v>42036</v>
      </c>
      <c r="E1022" s="737">
        <v>0.47500000000000003</v>
      </c>
      <c r="F1022" s="731">
        <v>42036</v>
      </c>
      <c r="G1022" s="730">
        <v>0.48888888888888887</v>
      </c>
      <c r="H1022" s="744" t="s">
        <v>2748</v>
      </c>
      <c r="I1022" s="552" t="s">
        <v>124</v>
      </c>
      <c r="J1022" s="744" t="s">
        <v>2150</v>
      </c>
      <c r="K1022" s="552" t="s">
        <v>100</v>
      </c>
      <c r="L1022" s="550" t="s">
        <v>45</v>
      </c>
      <c r="M1022" s="666" t="s">
        <v>45</v>
      </c>
    </row>
    <row r="1023" spans="3:13" ht="19.5">
      <c r="C1023" s="735"/>
      <c r="D1023" s="736">
        <v>42037</v>
      </c>
      <c r="E1023" s="737">
        <v>0.40277777777777773</v>
      </c>
      <c r="F1023" s="731">
        <v>42037</v>
      </c>
      <c r="G1023" s="730">
        <v>0.40347222222222223</v>
      </c>
      <c r="H1023" s="744" t="s">
        <v>2749</v>
      </c>
      <c r="I1023" s="552" t="s">
        <v>1352</v>
      </c>
      <c r="J1023" s="744" t="s">
        <v>2150</v>
      </c>
      <c r="K1023" s="552" t="s">
        <v>2343</v>
      </c>
      <c r="L1023" s="550" t="s">
        <v>45</v>
      </c>
      <c r="M1023" s="666" t="s">
        <v>45</v>
      </c>
    </row>
    <row r="1024" spans="3:13" ht="19.5">
      <c r="C1024" s="735"/>
      <c r="D1024" s="736">
        <v>42039</v>
      </c>
      <c r="E1024" s="737">
        <v>0.49652777777777773</v>
      </c>
      <c r="F1024" s="731">
        <v>42039</v>
      </c>
      <c r="G1024" s="730">
        <v>0.49722222222222223</v>
      </c>
      <c r="H1024" s="744" t="s">
        <v>2750</v>
      </c>
      <c r="I1024" s="552" t="s">
        <v>124</v>
      </c>
      <c r="J1024" s="744" t="s">
        <v>2150</v>
      </c>
      <c r="K1024" s="552" t="s">
        <v>100</v>
      </c>
      <c r="L1024" s="550" t="s">
        <v>45</v>
      </c>
      <c r="M1024" s="666" t="s">
        <v>45</v>
      </c>
    </row>
    <row r="1025" spans="3:13" ht="19.5">
      <c r="C1025" s="735"/>
      <c r="D1025" s="736">
        <v>42040</v>
      </c>
      <c r="E1025" s="737">
        <v>0.34375</v>
      </c>
      <c r="F1025" s="731">
        <v>42040</v>
      </c>
      <c r="G1025" s="730">
        <v>0.34513888888888888</v>
      </c>
      <c r="H1025" s="744" t="s">
        <v>2751</v>
      </c>
      <c r="I1025" s="552" t="s">
        <v>124</v>
      </c>
      <c r="J1025" s="744" t="s">
        <v>2150</v>
      </c>
      <c r="K1025" s="552" t="s">
        <v>100</v>
      </c>
      <c r="L1025" s="550" t="s">
        <v>45</v>
      </c>
      <c r="M1025" s="666" t="s">
        <v>45</v>
      </c>
    </row>
    <row r="1026" spans="3:13" ht="19.5">
      <c r="C1026" s="735"/>
      <c r="D1026" s="736">
        <v>42040</v>
      </c>
      <c r="E1026" s="737">
        <v>0.47222222222222227</v>
      </c>
      <c r="F1026" s="731">
        <v>42040</v>
      </c>
      <c r="G1026" s="730">
        <v>0.47291666666666665</v>
      </c>
      <c r="H1026" s="744" t="s">
        <v>2752</v>
      </c>
      <c r="I1026" s="552" t="s">
        <v>124</v>
      </c>
      <c r="J1026" s="744" t="s">
        <v>2150</v>
      </c>
      <c r="K1026" s="552" t="s">
        <v>100</v>
      </c>
      <c r="L1026" s="550" t="s">
        <v>45</v>
      </c>
      <c r="M1026" s="666" t="s">
        <v>45</v>
      </c>
    </row>
    <row r="1027" spans="3:13" ht="19.5">
      <c r="C1027" s="735"/>
      <c r="D1027" s="736">
        <v>42041</v>
      </c>
      <c r="E1027" s="737">
        <v>0.87361111111111101</v>
      </c>
      <c r="F1027" s="731" t="s">
        <v>45</v>
      </c>
      <c r="G1027" s="730" t="s">
        <v>45</v>
      </c>
      <c r="H1027" s="744" t="s">
        <v>141</v>
      </c>
      <c r="I1027" s="552" t="s">
        <v>124</v>
      </c>
      <c r="J1027" s="744" t="s">
        <v>2753</v>
      </c>
      <c r="K1027" s="552" t="s">
        <v>2680</v>
      </c>
      <c r="L1027" s="550" t="s">
        <v>45</v>
      </c>
      <c r="M1027" s="666">
        <v>65000</v>
      </c>
    </row>
    <row r="1028" spans="3:13" ht="19.5">
      <c r="C1028" s="735"/>
      <c r="D1028" s="736">
        <v>42044</v>
      </c>
      <c r="E1028" s="737">
        <v>0.47916666666666669</v>
      </c>
      <c r="F1028" s="731">
        <v>42044</v>
      </c>
      <c r="G1028" s="730">
        <v>0.55208333333333337</v>
      </c>
      <c r="H1028" s="744" t="s">
        <v>2518</v>
      </c>
      <c r="I1028" s="552" t="s">
        <v>124</v>
      </c>
      <c r="J1028" s="744" t="s">
        <v>2150</v>
      </c>
      <c r="K1028" s="552" t="s">
        <v>2343</v>
      </c>
      <c r="L1028" s="550" t="s">
        <v>45</v>
      </c>
      <c r="M1028" s="666" t="s">
        <v>45</v>
      </c>
    </row>
    <row r="1029" spans="3:13" ht="19.5">
      <c r="C1029" s="735"/>
      <c r="D1029" s="736">
        <v>42051</v>
      </c>
      <c r="E1029" s="737">
        <v>0.90347222222222223</v>
      </c>
      <c r="F1029" s="731">
        <v>42053</v>
      </c>
      <c r="G1029" s="730">
        <v>0.29166666666666669</v>
      </c>
      <c r="H1029" s="744" t="s">
        <v>2754</v>
      </c>
      <c r="I1029" s="552" t="s">
        <v>63</v>
      </c>
      <c r="J1029" s="744" t="s">
        <v>2753</v>
      </c>
      <c r="K1029" s="552" t="s">
        <v>2745</v>
      </c>
      <c r="L1029" s="550">
        <v>620</v>
      </c>
      <c r="M1029" s="666">
        <v>186035</v>
      </c>
    </row>
    <row r="1030" spans="3:13" ht="19.5">
      <c r="C1030" s="735"/>
      <c r="D1030" s="736">
        <v>42051</v>
      </c>
      <c r="E1030" s="737">
        <v>0.875</v>
      </c>
      <c r="F1030" s="731">
        <v>42053</v>
      </c>
      <c r="G1030" s="730">
        <v>0.58333333333333337</v>
      </c>
      <c r="H1030" s="744" t="s">
        <v>2746</v>
      </c>
      <c r="I1030" s="552" t="s">
        <v>63</v>
      </c>
      <c r="J1030" s="744" t="s">
        <v>2753</v>
      </c>
      <c r="K1030" s="552" t="s">
        <v>2745</v>
      </c>
      <c r="L1030" s="550" t="s">
        <v>45</v>
      </c>
      <c r="M1030" s="666">
        <v>67189</v>
      </c>
    </row>
    <row r="1031" spans="3:13" ht="19.5">
      <c r="C1031" s="735"/>
      <c r="D1031" s="736">
        <v>42052</v>
      </c>
      <c r="E1031" s="737">
        <v>0.375</v>
      </c>
      <c r="F1031" s="731">
        <v>42053</v>
      </c>
      <c r="G1031" s="730">
        <v>0.95833333333333337</v>
      </c>
      <c r="H1031" s="744" t="s">
        <v>2169</v>
      </c>
      <c r="I1031" s="552" t="s">
        <v>63</v>
      </c>
      <c r="J1031" s="744" t="s">
        <v>2753</v>
      </c>
      <c r="K1031" s="552" t="s">
        <v>2745</v>
      </c>
      <c r="L1031" s="550" t="s">
        <v>45</v>
      </c>
      <c r="M1031" s="666">
        <v>52000</v>
      </c>
    </row>
    <row r="1032" spans="3:13" ht="19.5">
      <c r="C1032" s="735"/>
      <c r="D1032" s="736">
        <v>42052</v>
      </c>
      <c r="E1032" s="737">
        <v>9.1666666666666674E-2</v>
      </c>
      <c r="F1032" s="731">
        <v>42053</v>
      </c>
      <c r="G1032" s="730">
        <v>0.66666666666666663</v>
      </c>
      <c r="H1032" s="744" t="s">
        <v>2169</v>
      </c>
      <c r="I1032" s="552" t="s">
        <v>63</v>
      </c>
      <c r="J1032" s="744" t="s">
        <v>2753</v>
      </c>
      <c r="K1032" s="552" t="s">
        <v>2745</v>
      </c>
      <c r="L1032" s="550" t="s">
        <v>45</v>
      </c>
      <c r="M1032" s="666">
        <v>68000</v>
      </c>
    </row>
    <row r="1033" spans="3:13" ht="19.5">
      <c r="C1033" s="735"/>
      <c r="D1033" s="736">
        <v>42052</v>
      </c>
      <c r="E1033" s="737">
        <v>0.2638888888888889</v>
      </c>
      <c r="F1033" s="731">
        <v>42052</v>
      </c>
      <c r="G1033" s="730">
        <v>0.3125</v>
      </c>
      <c r="H1033" s="744" t="s">
        <v>2755</v>
      </c>
      <c r="I1033" s="552" t="s">
        <v>124</v>
      </c>
      <c r="J1033" s="744" t="s">
        <v>2150</v>
      </c>
      <c r="K1033" s="552" t="s">
        <v>100</v>
      </c>
      <c r="L1033" s="550" t="s">
        <v>45</v>
      </c>
      <c r="M1033" s="666" t="s">
        <v>45</v>
      </c>
    </row>
    <row r="1034" spans="3:13" ht="19.5">
      <c r="C1034" s="735"/>
      <c r="D1034" s="736">
        <v>42053</v>
      </c>
      <c r="E1034" s="737">
        <v>0.625</v>
      </c>
      <c r="F1034" s="731">
        <v>42055</v>
      </c>
      <c r="G1034" s="730">
        <v>0.375</v>
      </c>
      <c r="H1034" s="744" t="s">
        <v>2746</v>
      </c>
      <c r="I1034" s="552" t="s">
        <v>63</v>
      </c>
      <c r="J1034" s="744" t="s">
        <v>2744</v>
      </c>
      <c r="K1034" s="552" t="s">
        <v>2745</v>
      </c>
      <c r="L1034" s="550" t="s">
        <v>45</v>
      </c>
      <c r="M1034" s="666" t="s">
        <v>45</v>
      </c>
    </row>
    <row r="1035" spans="3:13" ht="19.5">
      <c r="C1035" s="735"/>
      <c r="D1035" s="736">
        <v>42054</v>
      </c>
      <c r="E1035" s="737">
        <v>0.60416666666666663</v>
      </c>
      <c r="F1035" s="731">
        <v>42054</v>
      </c>
      <c r="G1035" s="730">
        <v>0.63888888888888895</v>
      </c>
      <c r="H1035" s="744" t="s">
        <v>2756</v>
      </c>
      <c r="I1035" s="552" t="s">
        <v>124</v>
      </c>
      <c r="J1035" s="744" t="s">
        <v>2150</v>
      </c>
      <c r="K1035" s="552" t="s">
        <v>100</v>
      </c>
      <c r="L1035" s="550" t="s">
        <v>45</v>
      </c>
      <c r="M1035" s="666" t="s">
        <v>45</v>
      </c>
    </row>
    <row r="1036" spans="3:13" ht="19.5">
      <c r="C1036" s="735"/>
      <c r="D1036" s="736">
        <v>42055</v>
      </c>
      <c r="E1036" s="737">
        <v>0.25</v>
      </c>
      <c r="F1036" s="731">
        <v>42055</v>
      </c>
      <c r="G1036" s="730">
        <v>0.41666666666666669</v>
      </c>
      <c r="H1036" s="744" t="s">
        <v>2169</v>
      </c>
      <c r="I1036" s="552" t="s">
        <v>63</v>
      </c>
      <c r="J1036" s="744" t="s">
        <v>2622</v>
      </c>
      <c r="K1036" s="552" t="s">
        <v>2745</v>
      </c>
      <c r="L1036" s="550" t="s">
        <v>45</v>
      </c>
      <c r="M1036" s="666" t="s">
        <v>45</v>
      </c>
    </row>
    <row r="1037" spans="3:13" ht="19.5">
      <c r="C1037" s="735"/>
      <c r="D1037" s="736">
        <v>42056</v>
      </c>
      <c r="E1037" s="737">
        <v>0.35694444444444445</v>
      </c>
      <c r="F1037" s="731">
        <v>42056</v>
      </c>
      <c r="G1037" s="730">
        <v>0.53125</v>
      </c>
      <c r="H1037" s="744" t="s">
        <v>2757</v>
      </c>
      <c r="I1037" s="552" t="s">
        <v>63</v>
      </c>
      <c r="J1037" s="744" t="s">
        <v>2753</v>
      </c>
      <c r="K1037" s="552" t="s">
        <v>2745</v>
      </c>
      <c r="L1037" s="550" t="s">
        <v>45</v>
      </c>
      <c r="M1037" s="666">
        <v>50000</v>
      </c>
    </row>
    <row r="1038" spans="3:13" ht="19.5">
      <c r="C1038" s="735"/>
      <c r="D1038" s="736">
        <v>42061</v>
      </c>
      <c r="E1038" s="737">
        <v>0.13333333333333333</v>
      </c>
      <c r="F1038" s="731">
        <v>42061</v>
      </c>
      <c r="G1038" s="730">
        <v>0.83333333333333337</v>
      </c>
      <c r="H1038" s="744" t="s">
        <v>2169</v>
      </c>
      <c r="I1038" s="552" t="s">
        <v>63</v>
      </c>
      <c r="J1038" s="744" t="s">
        <v>2753</v>
      </c>
      <c r="K1038" s="552" t="s">
        <v>2745</v>
      </c>
      <c r="L1038" s="550" t="s">
        <v>45</v>
      </c>
      <c r="M1038" s="666">
        <v>124000</v>
      </c>
    </row>
    <row r="1039" spans="3:13" ht="19.5">
      <c r="C1039" s="735"/>
      <c r="D1039" s="736">
        <v>42061</v>
      </c>
      <c r="E1039" s="737">
        <v>0.14583333333333334</v>
      </c>
      <c r="F1039" s="731">
        <v>42062</v>
      </c>
      <c r="G1039" s="730">
        <v>0.5</v>
      </c>
      <c r="H1039" s="744" t="s">
        <v>2758</v>
      </c>
      <c r="I1039" s="552" t="s">
        <v>63</v>
      </c>
      <c r="J1039" s="744" t="s">
        <v>2753</v>
      </c>
      <c r="K1039" s="552" t="s">
        <v>2745</v>
      </c>
      <c r="L1039" s="550">
        <v>400</v>
      </c>
      <c r="M1039" s="551">
        <v>103776</v>
      </c>
    </row>
    <row r="1040" spans="3:13" ht="19.5">
      <c r="C1040" s="735"/>
      <c r="D1040" s="736">
        <v>42067</v>
      </c>
      <c r="E1040" s="737">
        <v>0.37847222222222227</v>
      </c>
      <c r="F1040" s="731">
        <v>42067</v>
      </c>
      <c r="G1040" s="730">
        <v>0.59375</v>
      </c>
      <c r="H1040" s="744" t="s">
        <v>2759</v>
      </c>
      <c r="I1040" s="552" t="s">
        <v>63</v>
      </c>
      <c r="J1040" s="744" t="s">
        <v>2150</v>
      </c>
      <c r="K1040" s="552" t="s">
        <v>100</v>
      </c>
      <c r="L1040" s="548" t="s">
        <v>45</v>
      </c>
      <c r="M1040" s="549" t="s">
        <v>45</v>
      </c>
    </row>
    <row r="1041" spans="3:13" ht="19.5">
      <c r="C1041" s="735"/>
      <c r="D1041" s="736">
        <v>42072</v>
      </c>
      <c r="E1041" s="737">
        <v>0.99305555555555547</v>
      </c>
      <c r="F1041" s="731">
        <v>42073</v>
      </c>
      <c r="G1041" s="730">
        <v>0.45347222222222222</v>
      </c>
      <c r="H1041" s="744" t="s">
        <v>2575</v>
      </c>
      <c r="I1041" s="552" t="s">
        <v>124</v>
      </c>
      <c r="J1041" s="745" t="s">
        <v>2150</v>
      </c>
      <c r="K1041" s="552" t="s">
        <v>100</v>
      </c>
      <c r="L1041" s="548" t="s">
        <v>45</v>
      </c>
      <c r="M1041" s="549" t="s">
        <v>45</v>
      </c>
    </row>
    <row r="1042" spans="3:13" ht="19.5">
      <c r="C1042" s="735"/>
      <c r="D1042" s="736">
        <v>42078</v>
      </c>
      <c r="E1042" s="737">
        <v>0.64583333333333337</v>
      </c>
      <c r="F1042" s="731">
        <v>42078</v>
      </c>
      <c r="G1042" s="730">
        <v>0.79166666666666663</v>
      </c>
      <c r="H1042" s="744" t="s">
        <v>2760</v>
      </c>
      <c r="I1042" s="552" t="s">
        <v>124</v>
      </c>
      <c r="J1042" s="744" t="s">
        <v>2753</v>
      </c>
      <c r="K1042" s="552" t="s">
        <v>2680</v>
      </c>
      <c r="L1042" s="548">
        <v>210</v>
      </c>
      <c r="M1042" s="549">
        <v>71000</v>
      </c>
    </row>
    <row r="1043" spans="3:13" ht="19.5">
      <c r="C1043" s="735"/>
      <c r="D1043" s="736">
        <v>42079</v>
      </c>
      <c r="E1043" s="737">
        <v>0.31319444444444444</v>
      </c>
      <c r="F1043" s="731">
        <v>42079</v>
      </c>
      <c r="G1043" s="730">
        <v>0.42083333333333334</v>
      </c>
      <c r="H1043" s="744" t="s">
        <v>2761</v>
      </c>
      <c r="I1043" s="552" t="s">
        <v>674</v>
      </c>
      <c r="J1043" s="745" t="s">
        <v>2150</v>
      </c>
      <c r="K1043" s="552" t="s">
        <v>2343</v>
      </c>
      <c r="L1043" s="548">
        <v>20</v>
      </c>
      <c r="M1043" s="549">
        <v>5941</v>
      </c>
    </row>
    <row r="1044" spans="3:13" ht="19.5">
      <c r="C1044" s="735"/>
      <c r="D1044" s="736">
        <v>42082</v>
      </c>
      <c r="E1044" s="737">
        <v>0.77083333333333337</v>
      </c>
      <c r="F1044" s="731">
        <v>42082</v>
      </c>
      <c r="G1044" s="730">
        <v>0.90069444444444446</v>
      </c>
      <c r="H1044" s="744" t="s">
        <v>2235</v>
      </c>
      <c r="I1044" s="552" t="s">
        <v>58</v>
      </c>
      <c r="J1044" s="745" t="s">
        <v>2150</v>
      </c>
      <c r="K1044" s="552" t="s">
        <v>100</v>
      </c>
      <c r="L1044" s="548" t="s">
        <v>45</v>
      </c>
      <c r="M1044" s="549" t="s">
        <v>45</v>
      </c>
    </row>
    <row r="1045" spans="3:13" ht="19.5">
      <c r="C1045" s="735"/>
      <c r="D1045" s="736">
        <v>42085</v>
      </c>
      <c r="E1045" s="737">
        <v>0.68402777777777779</v>
      </c>
      <c r="F1045" s="731">
        <v>42085</v>
      </c>
      <c r="G1045" s="730">
        <v>0.68472222222222223</v>
      </c>
      <c r="H1045" s="744" t="s">
        <v>2402</v>
      </c>
      <c r="I1045" s="552" t="s">
        <v>826</v>
      </c>
      <c r="J1045" s="745" t="s">
        <v>2150</v>
      </c>
      <c r="K1045" s="552" t="s">
        <v>100</v>
      </c>
      <c r="L1045" s="548">
        <v>24</v>
      </c>
      <c r="M1045" s="549">
        <v>0</v>
      </c>
    </row>
    <row r="1046" spans="3:13" ht="19.5">
      <c r="C1046" s="735"/>
      <c r="D1046" s="736">
        <v>42089</v>
      </c>
      <c r="E1046" s="737">
        <v>0.63958333333333328</v>
      </c>
      <c r="F1046" s="731">
        <v>42089</v>
      </c>
      <c r="G1046" s="730">
        <v>0.70763888888888893</v>
      </c>
      <c r="H1046" s="744" t="s">
        <v>2762</v>
      </c>
      <c r="I1046" s="552" t="s">
        <v>124</v>
      </c>
      <c r="J1046" s="745" t="s">
        <v>2763</v>
      </c>
      <c r="K1046" s="552" t="s">
        <v>2764</v>
      </c>
      <c r="L1046" s="548">
        <v>15</v>
      </c>
      <c r="M1046" s="549" t="s">
        <v>45</v>
      </c>
    </row>
    <row r="1047" spans="3:13" ht="19.5">
      <c r="C1047" s="735"/>
      <c r="D1047" s="736">
        <v>42092</v>
      </c>
      <c r="E1047" s="737">
        <v>0.18472222222222223</v>
      </c>
      <c r="F1047" s="731">
        <v>42092</v>
      </c>
      <c r="G1047" s="730">
        <v>0.38958333333333334</v>
      </c>
      <c r="H1047" s="744" t="s">
        <v>18</v>
      </c>
      <c r="I1047" s="552" t="s">
        <v>124</v>
      </c>
      <c r="J1047" s="745" t="s">
        <v>2150</v>
      </c>
      <c r="K1047" s="552" t="s">
        <v>100</v>
      </c>
      <c r="L1047" s="548" t="s">
        <v>45</v>
      </c>
      <c r="M1047" s="549" t="s">
        <v>45</v>
      </c>
    </row>
    <row r="1048" spans="3:13" ht="19.5">
      <c r="C1048" s="735"/>
      <c r="D1048" s="736">
        <v>42095</v>
      </c>
      <c r="E1048" s="737">
        <v>0.76736111111111116</v>
      </c>
      <c r="F1048" s="731">
        <v>42095</v>
      </c>
      <c r="G1048" s="730">
        <v>0.7680555555555556</v>
      </c>
      <c r="H1048" s="744" t="s">
        <v>2765</v>
      </c>
      <c r="I1048" s="552" t="s">
        <v>124</v>
      </c>
      <c r="J1048" s="745" t="s">
        <v>2150</v>
      </c>
      <c r="K1048" s="552" t="s">
        <v>100</v>
      </c>
      <c r="L1048" s="550" t="s">
        <v>45</v>
      </c>
      <c r="M1048" s="551">
        <v>37</v>
      </c>
    </row>
    <row r="1049" spans="3:13" ht="19.5">
      <c r="C1049" s="735"/>
      <c r="D1049" s="736">
        <v>42096</v>
      </c>
      <c r="E1049" s="737">
        <v>0.29444444444444445</v>
      </c>
      <c r="F1049" s="731">
        <v>42096</v>
      </c>
      <c r="G1049" s="730">
        <v>0.37291666666666662</v>
      </c>
      <c r="H1049" s="744" t="s">
        <v>2765</v>
      </c>
      <c r="I1049" s="552" t="s">
        <v>124</v>
      </c>
      <c r="J1049" s="745" t="s">
        <v>2150</v>
      </c>
      <c r="K1049" s="552" t="s">
        <v>100</v>
      </c>
      <c r="L1049" s="550">
        <v>6</v>
      </c>
      <c r="M1049" s="551">
        <v>5763</v>
      </c>
    </row>
    <row r="1050" spans="3:13" ht="19.5">
      <c r="C1050" s="735"/>
      <c r="D1050" s="736">
        <v>42097</v>
      </c>
      <c r="E1050" s="737">
        <v>8.3333333333333329E-2</v>
      </c>
      <c r="F1050" s="731">
        <v>42097</v>
      </c>
      <c r="G1050" s="730">
        <v>0.32500000000000001</v>
      </c>
      <c r="H1050" s="744" t="s">
        <v>2766</v>
      </c>
      <c r="I1050" s="552" t="s">
        <v>58</v>
      </c>
      <c r="J1050" s="744" t="s">
        <v>2753</v>
      </c>
      <c r="K1050" s="552" t="s">
        <v>2368</v>
      </c>
      <c r="L1050" s="550" t="s">
        <v>45</v>
      </c>
      <c r="M1050" s="551">
        <v>70000</v>
      </c>
    </row>
    <row r="1051" spans="3:13" ht="19.5">
      <c r="C1051" s="735"/>
      <c r="D1051" s="736">
        <v>42100</v>
      </c>
      <c r="E1051" s="737">
        <v>0.34166666666666662</v>
      </c>
      <c r="F1051" s="731">
        <v>42100</v>
      </c>
      <c r="G1051" s="730">
        <v>0.50555555555555554</v>
      </c>
      <c r="H1051" s="744" t="s">
        <v>2767</v>
      </c>
      <c r="I1051" s="552" t="s">
        <v>124</v>
      </c>
      <c r="J1051" s="744" t="s">
        <v>2753</v>
      </c>
      <c r="K1051" s="552" t="s">
        <v>2764</v>
      </c>
      <c r="L1051" s="550" t="s">
        <v>45</v>
      </c>
      <c r="M1051" s="551">
        <v>80000</v>
      </c>
    </row>
    <row r="1052" spans="3:13" ht="19.5">
      <c r="C1052" s="735"/>
      <c r="D1052" s="736">
        <v>42101</v>
      </c>
      <c r="E1052" s="737">
        <v>0.52083333333333337</v>
      </c>
      <c r="F1052" s="731">
        <v>42101</v>
      </c>
      <c r="G1052" s="730">
        <v>0.7319444444444444</v>
      </c>
      <c r="H1052" s="744" t="s">
        <v>2768</v>
      </c>
      <c r="I1052" s="552" t="s">
        <v>826</v>
      </c>
      <c r="J1052" s="745" t="s">
        <v>2769</v>
      </c>
      <c r="K1052" s="552" t="s">
        <v>2764</v>
      </c>
      <c r="L1052" s="550" t="s">
        <v>45</v>
      </c>
      <c r="M1052" s="551" t="s">
        <v>45</v>
      </c>
    </row>
    <row r="1053" spans="3:13" ht="19.5">
      <c r="C1053" s="735"/>
      <c r="D1053" s="736">
        <v>42101</v>
      </c>
      <c r="E1053" s="737">
        <v>0.64861111111111114</v>
      </c>
      <c r="F1053" s="731">
        <v>42101</v>
      </c>
      <c r="G1053" s="730">
        <v>0.65694444444444444</v>
      </c>
      <c r="H1053" s="744" t="s">
        <v>18</v>
      </c>
      <c r="I1053" s="552" t="s">
        <v>124</v>
      </c>
      <c r="J1053" s="745" t="s">
        <v>2763</v>
      </c>
      <c r="K1053" s="552" t="s">
        <v>2764</v>
      </c>
      <c r="L1053" s="550">
        <v>0</v>
      </c>
      <c r="M1053" s="549">
        <v>0</v>
      </c>
    </row>
    <row r="1054" spans="3:13" ht="19.5">
      <c r="C1054" s="735"/>
      <c r="D1054" s="736">
        <v>42111</v>
      </c>
      <c r="E1054" s="737">
        <v>0.89583333333333337</v>
      </c>
      <c r="F1054" s="731">
        <v>42113</v>
      </c>
      <c r="G1054" s="730">
        <v>0.99305555555555547</v>
      </c>
      <c r="H1054" s="744" t="s">
        <v>1098</v>
      </c>
      <c r="I1054" s="552" t="s">
        <v>1352</v>
      </c>
      <c r="J1054" s="744" t="s">
        <v>2753</v>
      </c>
      <c r="K1054" s="552" t="s">
        <v>22</v>
      </c>
      <c r="L1054" s="550" t="s">
        <v>45</v>
      </c>
      <c r="M1054" s="551">
        <v>280982</v>
      </c>
    </row>
    <row r="1055" spans="3:13" ht="19.5">
      <c r="C1055" s="735"/>
      <c r="D1055" s="736">
        <v>42111</v>
      </c>
      <c r="E1055" s="737">
        <v>0.38611111111111113</v>
      </c>
      <c r="F1055" s="731">
        <v>42111</v>
      </c>
      <c r="G1055" s="730">
        <v>0.45833333333333331</v>
      </c>
      <c r="H1055" s="744" t="s">
        <v>2770</v>
      </c>
      <c r="I1055" s="552" t="s">
        <v>124</v>
      </c>
      <c r="J1055" s="745" t="s">
        <v>2763</v>
      </c>
      <c r="K1055" s="552" t="s">
        <v>2764</v>
      </c>
      <c r="L1055" s="550">
        <v>9300</v>
      </c>
      <c r="M1055" s="551" t="s">
        <v>45</v>
      </c>
    </row>
    <row r="1056" spans="3:13" ht="19.5">
      <c r="C1056" s="735"/>
      <c r="D1056" s="736">
        <v>42112</v>
      </c>
      <c r="E1056" s="737">
        <v>0.875</v>
      </c>
      <c r="F1056" s="731">
        <v>42115</v>
      </c>
      <c r="G1056" s="730">
        <v>0.16666666666666666</v>
      </c>
      <c r="H1056" s="744" t="s">
        <v>2771</v>
      </c>
      <c r="I1056" s="552" t="s">
        <v>1352</v>
      </c>
      <c r="J1056" s="744" t="s">
        <v>2753</v>
      </c>
      <c r="K1056" s="552" t="s">
        <v>22</v>
      </c>
      <c r="L1056" s="550" t="s">
        <v>45</v>
      </c>
      <c r="M1056" s="551">
        <v>89000</v>
      </c>
    </row>
    <row r="1057" spans="3:13" ht="19.5">
      <c r="C1057" s="735"/>
      <c r="D1057" s="736">
        <v>42118</v>
      </c>
      <c r="E1057" s="737">
        <v>0.79861111111111116</v>
      </c>
      <c r="F1057" s="731">
        <v>42120</v>
      </c>
      <c r="G1057" s="730">
        <v>0.66666666666666663</v>
      </c>
      <c r="H1057" s="744" t="s">
        <v>2771</v>
      </c>
      <c r="I1057" s="552" t="s">
        <v>1352</v>
      </c>
      <c r="J1057" s="744" t="s">
        <v>2753</v>
      </c>
      <c r="K1057" s="552" t="s">
        <v>22</v>
      </c>
      <c r="L1057" s="550" t="s">
        <v>45</v>
      </c>
      <c r="M1057" s="551">
        <v>57000</v>
      </c>
    </row>
    <row r="1058" spans="3:13" ht="19.5">
      <c r="C1058" s="735"/>
      <c r="D1058" s="736">
        <v>42121</v>
      </c>
      <c r="E1058" s="737">
        <v>0.4375</v>
      </c>
      <c r="F1058" s="731">
        <v>42122</v>
      </c>
      <c r="G1058" s="730">
        <v>0.78125</v>
      </c>
      <c r="H1058" s="744" t="s">
        <v>2772</v>
      </c>
      <c r="I1058" s="552" t="s">
        <v>63</v>
      </c>
      <c r="J1058" s="744" t="s">
        <v>2753</v>
      </c>
      <c r="K1058" s="552" t="s">
        <v>22</v>
      </c>
      <c r="L1058" s="550" t="s">
        <v>45</v>
      </c>
      <c r="M1058" s="551">
        <v>199000</v>
      </c>
    </row>
    <row r="1059" spans="3:13" ht="19.5">
      <c r="C1059" s="735"/>
      <c r="D1059" s="736">
        <v>42126</v>
      </c>
      <c r="E1059" s="737">
        <v>0.95208333333333339</v>
      </c>
      <c r="F1059" s="731">
        <v>42127</v>
      </c>
      <c r="G1059" s="730">
        <v>1.8055555555555557E-2</v>
      </c>
      <c r="H1059" s="744" t="s">
        <v>2773</v>
      </c>
      <c r="I1059" s="552" t="s">
        <v>63</v>
      </c>
      <c r="J1059" s="745" t="s">
        <v>2150</v>
      </c>
      <c r="K1059" s="552" t="s">
        <v>100</v>
      </c>
      <c r="L1059" s="550">
        <v>1</v>
      </c>
      <c r="M1059" s="551">
        <v>215</v>
      </c>
    </row>
    <row r="1060" spans="3:13" ht="19.5">
      <c r="C1060" s="735"/>
      <c r="D1060" s="736">
        <v>42128</v>
      </c>
      <c r="E1060" s="737">
        <v>0.64236111111111105</v>
      </c>
      <c r="F1060" s="731">
        <v>42128</v>
      </c>
      <c r="G1060" s="730">
        <v>0.6430555555555556</v>
      </c>
      <c r="H1060" s="744" t="s">
        <v>2300</v>
      </c>
      <c r="I1060" s="552" t="s">
        <v>124</v>
      </c>
      <c r="J1060" s="745" t="s">
        <v>2150</v>
      </c>
      <c r="K1060" s="552" t="s">
        <v>100</v>
      </c>
      <c r="L1060" s="550" t="s">
        <v>45</v>
      </c>
      <c r="M1060" s="551" t="s">
        <v>45</v>
      </c>
    </row>
    <row r="1061" spans="3:13" ht="19.5">
      <c r="C1061" s="735"/>
      <c r="D1061" s="736">
        <v>42135</v>
      </c>
      <c r="E1061" s="737">
        <v>0.35555555555555557</v>
      </c>
      <c r="F1061" s="731">
        <v>42135</v>
      </c>
      <c r="G1061" s="730">
        <v>0.35625000000000001</v>
      </c>
      <c r="H1061" s="744" t="s">
        <v>2774</v>
      </c>
      <c r="I1061" s="552" t="s">
        <v>124</v>
      </c>
      <c r="J1061" s="745" t="s">
        <v>2150</v>
      </c>
      <c r="K1061" s="552" t="s">
        <v>2343</v>
      </c>
      <c r="L1061" s="550">
        <v>0</v>
      </c>
      <c r="M1061" s="551">
        <v>0</v>
      </c>
    </row>
    <row r="1062" spans="3:13" ht="19.5">
      <c r="C1062" s="735"/>
      <c r="D1062" s="736">
        <v>42136</v>
      </c>
      <c r="E1062" s="737">
        <v>2.7777777777777776E-2</v>
      </c>
      <c r="F1062" s="731">
        <v>42136</v>
      </c>
      <c r="G1062" s="730">
        <v>3.125E-2</v>
      </c>
      <c r="H1062" s="744" t="s">
        <v>2775</v>
      </c>
      <c r="I1062" s="552" t="s">
        <v>63</v>
      </c>
      <c r="J1062" s="745" t="s">
        <v>2150</v>
      </c>
      <c r="K1062" s="552" t="s">
        <v>2343</v>
      </c>
      <c r="L1062" s="550">
        <v>0</v>
      </c>
      <c r="M1062" s="551">
        <v>0</v>
      </c>
    </row>
    <row r="1063" spans="3:13" ht="19.5">
      <c r="C1063" s="735"/>
      <c r="D1063" s="736">
        <v>42142</v>
      </c>
      <c r="E1063" s="737">
        <v>0.64444444444444449</v>
      </c>
      <c r="F1063" s="731">
        <v>42142</v>
      </c>
      <c r="G1063" s="730">
        <v>0.65763888888888888</v>
      </c>
      <c r="H1063" s="744" t="s">
        <v>2575</v>
      </c>
      <c r="I1063" s="552" t="s">
        <v>124</v>
      </c>
      <c r="J1063" s="745" t="s">
        <v>2763</v>
      </c>
      <c r="K1063" s="552" t="s">
        <v>22</v>
      </c>
      <c r="L1063" s="550">
        <v>275</v>
      </c>
      <c r="M1063" s="551">
        <v>0</v>
      </c>
    </row>
    <row r="1064" spans="3:13" ht="19.5">
      <c r="C1064" s="735"/>
      <c r="D1064" s="736">
        <v>42149</v>
      </c>
      <c r="E1064" s="737">
        <v>0.75</v>
      </c>
      <c r="F1064" s="731">
        <v>42153</v>
      </c>
      <c r="G1064" s="730">
        <v>0.30208333333333331</v>
      </c>
      <c r="H1064" s="744" t="s">
        <v>116</v>
      </c>
      <c r="I1064" s="552" t="s">
        <v>1352</v>
      </c>
      <c r="J1064" s="744" t="s">
        <v>2753</v>
      </c>
      <c r="K1064" s="552" t="s">
        <v>22</v>
      </c>
      <c r="L1064" s="550" t="s">
        <v>45</v>
      </c>
      <c r="M1064" s="551">
        <v>454000</v>
      </c>
    </row>
    <row r="1065" spans="3:13" ht="19.5">
      <c r="C1065" s="735"/>
      <c r="D1065" s="736">
        <v>42149</v>
      </c>
      <c r="E1065" s="737">
        <v>0.94791666666666663</v>
      </c>
      <c r="F1065" s="731">
        <v>42152</v>
      </c>
      <c r="G1065" s="730">
        <v>5.9027777777777783E-2</v>
      </c>
      <c r="H1065" s="744" t="s">
        <v>2776</v>
      </c>
      <c r="I1065" s="552" t="s">
        <v>1352</v>
      </c>
      <c r="J1065" s="744" t="s">
        <v>2753</v>
      </c>
      <c r="K1065" s="552" t="s">
        <v>22</v>
      </c>
      <c r="L1065" s="550" t="s">
        <v>45</v>
      </c>
      <c r="M1065" s="551">
        <v>61000</v>
      </c>
    </row>
    <row r="1066" spans="3:13" ht="19.5">
      <c r="C1066" s="735"/>
      <c r="D1066" s="736">
        <v>42149</v>
      </c>
      <c r="E1066" s="737">
        <v>0.85416666666666663</v>
      </c>
      <c r="F1066" s="731">
        <v>42150</v>
      </c>
      <c r="G1066" s="730">
        <v>0.77083333333333337</v>
      </c>
      <c r="H1066" s="744" t="s">
        <v>166</v>
      </c>
      <c r="I1066" s="552" t="s">
        <v>58</v>
      </c>
      <c r="J1066" s="744" t="s">
        <v>2753</v>
      </c>
      <c r="K1066" s="552" t="s">
        <v>22</v>
      </c>
      <c r="L1066" s="550" t="s">
        <v>45</v>
      </c>
      <c r="M1066" s="551">
        <v>57531</v>
      </c>
    </row>
    <row r="1067" spans="3:13" ht="19.5">
      <c r="C1067" s="735"/>
      <c r="D1067" s="736">
        <v>42149</v>
      </c>
      <c r="E1067" s="737">
        <v>0.85416666666666663</v>
      </c>
      <c r="F1067" s="731" t="s">
        <v>45</v>
      </c>
      <c r="G1067" s="730" t="s">
        <v>45</v>
      </c>
      <c r="H1067" s="745" t="s">
        <v>2777</v>
      </c>
      <c r="I1067" s="552" t="s">
        <v>58</v>
      </c>
      <c r="J1067" s="744" t="s">
        <v>2753</v>
      </c>
      <c r="K1067" s="552" t="s">
        <v>22</v>
      </c>
      <c r="L1067" s="550" t="s">
        <v>45</v>
      </c>
      <c r="M1067" s="551">
        <v>57351</v>
      </c>
    </row>
    <row r="1068" spans="3:13" ht="19.5">
      <c r="C1068" s="735"/>
      <c r="D1068" s="736">
        <v>42150</v>
      </c>
      <c r="E1068" s="737">
        <v>0.22916666666666666</v>
      </c>
      <c r="F1068" s="731">
        <v>42151</v>
      </c>
      <c r="G1068" s="730">
        <v>0.79166666666666663</v>
      </c>
      <c r="H1068" s="745" t="s">
        <v>2778</v>
      </c>
      <c r="I1068" s="552" t="s">
        <v>63</v>
      </c>
      <c r="J1068" s="744" t="s">
        <v>2753</v>
      </c>
      <c r="K1068" s="552" t="s">
        <v>22</v>
      </c>
      <c r="L1068" s="550" t="s">
        <v>45</v>
      </c>
      <c r="M1068" s="551">
        <v>78515</v>
      </c>
    </row>
    <row r="1069" spans="3:13" ht="19.5">
      <c r="C1069" s="735"/>
      <c r="D1069" s="736">
        <v>42156</v>
      </c>
      <c r="E1069" s="737">
        <v>1.8749999999999999E-2</v>
      </c>
      <c r="F1069" s="731">
        <v>42156</v>
      </c>
      <c r="G1069" s="730">
        <v>9.375E-2</v>
      </c>
      <c r="H1069" s="746" t="s">
        <v>2258</v>
      </c>
      <c r="I1069" s="588" t="s">
        <v>63</v>
      </c>
      <c r="J1069" s="746" t="s">
        <v>2150</v>
      </c>
      <c r="K1069" s="588" t="s">
        <v>100</v>
      </c>
      <c r="L1069" s="615">
        <v>2</v>
      </c>
      <c r="M1069" s="667">
        <v>110</v>
      </c>
    </row>
    <row r="1070" spans="3:13" ht="19.5">
      <c r="C1070" s="735"/>
      <c r="D1070" s="736">
        <v>42156</v>
      </c>
      <c r="E1070" s="737">
        <v>0.80486111111111114</v>
      </c>
      <c r="F1070" s="731">
        <v>42157</v>
      </c>
      <c r="G1070" s="730">
        <v>0.35833333333333334</v>
      </c>
      <c r="H1070" s="746" t="s">
        <v>18</v>
      </c>
      <c r="I1070" s="588" t="s">
        <v>124</v>
      </c>
      <c r="J1070" s="746" t="s">
        <v>2763</v>
      </c>
      <c r="K1070" s="588" t="s">
        <v>2764</v>
      </c>
      <c r="L1070" s="615">
        <v>5</v>
      </c>
      <c r="M1070" s="667">
        <v>484</v>
      </c>
    </row>
    <row r="1071" spans="3:13" ht="19.5">
      <c r="C1071" s="735"/>
      <c r="D1071" s="736">
        <v>42157</v>
      </c>
      <c r="E1071" s="737">
        <v>0.79027777777777775</v>
      </c>
      <c r="F1071" s="731">
        <v>42157</v>
      </c>
      <c r="G1071" s="730">
        <v>0.80833333333333324</v>
      </c>
      <c r="H1071" s="746" t="s">
        <v>18</v>
      </c>
      <c r="I1071" s="588" t="s">
        <v>124</v>
      </c>
      <c r="J1071" s="746" t="s">
        <v>2763</v>
      </c>
      <c r="K1071" s="588" t="s">
        <v>2764</v>
      </c>
      <c r="L1071" s="615">
        <v>5</v>
      </c>
      <c r="M1071" s="667">
        <v>727</v>
      </c>
    </row>
    <row r="1072" spans="3:13" ht="19.5">
      <c r="C1072" s="735"/>
      <c r="D1072" s="736">
        <v>42158</v>
      </c>
      <c r="E1072" s="737">
        <v>0.625</v>
      </c>
      <c r="F1072" s="731">
        <v>42160</v>
      </c>
      <c r="G1072" s="730">
        <v>0.70833333333333337</v>
      </c>
      <c r="H1072" s="746" t="s">
        <v>166</v>
      </c>
      <c r="I1072" s="588" t="s">
        <v>1352</v>
      </c>
      <c r="J1072" s="746" t="s">
        <v>2744</v>
      </c>
      <c r="K1072" s="588" t="s">
        <v>2764</v>
      </c>
      <c r="L1072" s="615" t="s">
        <v>45</v>
      </c>
      <c r="M1072" s="667" t="s">
        <v>45</v>
      </c>
    </row>
    <row r="1073" spans="3:13" ht="19.5">
      <c r="C1073" s="735"/>
      <c r="D1073" s="736">
        <v>42162</v>
      </c>
      <c r="E1073" s="737">
        <v>0.57916666666666672</v>
      </c>
      <c r="F1073" s="731">
        <v>42162</v>
      </c>
      <c r="G1073" s="730">
        <v>0.59236111111111112</v>
      </c>
      <c r="H1073" s="746" t="s">
        <v>2164</v>
      </c>
      <c r="I1073" s="588" t="s">
        <v>63</v>
      </c>
      <c r="J1073" s="746" t="s">
        <v>2779</v>
      </c>
      <c r="K1073" s="588" t="s">
        <v>2764</v>
      </c>
      <c r="L1073" s="615">
        <v>926</v>
      </c>
      <c r="M1073" s="667" t="s">
        <v>45</v>
      </c>
    </row>
    <row r="1074" spans="3:13" ht="19.5">
      <c r="C1074" s="735"/>
      <c r="D1074" s="736">
        <v>42162</v>
      </c>
      <c r="E1074" s="737">
        <v>0.57777777777777783</v>
      </c>
      <c r="F1074" s="731">
        <v>42162</v>
      </c>
      <c r="G1074" s="730">
        <v>0.59236111111111112</v>
      </c>
      <c r="H1074" s="746" t="s">
        <v>2650</v>
      </c>
      <c r="I1074" s="588" t="s">
        <v>63</v>
      </c>
      <c r="J1074" s="746" t="s">
        <v>2769</v>
      </c>
      <c r="K1074" s="588" t="s">
        <v>2764</v>
      </c>
      <c r="L1074" s="615" t="s">
        <v>45</v>
      </c>
      <c r="M1074" s="667" t="s">
        <v>45</v>
      </c>
    </row>
    <row r="1075" spans="3:13" ht="19.5">
      <c r="C1075" s="735"/>
      <c r="D1075" s="736">
        <v>42163</v>
      </c>
      <c r="E1075" s="737">
        <v>0</v>
      </c>
      <c r="F1075" s="731" t="s">
        <v>45</v>
      </c>
      <c r="G1075" s="730" t="s">
        <v>45</v>
      </c>
      <c r="H1075" s="746" t="s">
        <v>2507</v>
      </c>
      <c r="I1075" s="588" t="s">
        <v>124</v>
      </c>
      <c r="J1075" s="746" t="s">
        <v>2780</v>
      </c>
      <c r="K1075" s="588" t="s">
        <v>2764</v>
      </c>
      <c r="L1075" s="615">
        <v>176</v>
      </c>
      <c r="M1075" s="667" t="s">
        <v>45</v>
      </c>
    </row>
    <row r="1076" spans="3:13" ht="19.5">
      <c r="C1076" s="735"/>
      <c r="D1076" s="736">
        <v>42175</v>
      </c>
      <c r="E1076" s="737">
        <v>0.57777777777777783</v>
      </c>
      <c r="F1076" s="731">
        <v>42175</v>
      </c>
      <c r="G1076" s="730">
        <v>0.64583333333333337</v>
      </c>
      <c r="H1076" s="746" t="s">
        <v>2781</v>
      </c>
      <c r="I1076" s="588" t="s">
        <v>124</v>
      </c>
      <c r="J1076" s="746" t="s">
        <v>2150</v>
      </c>
      <c r="K1076" s="588" t="s">
        <v>100</v>
      </c>
      <c r="L1076" s="615" t="s">
        <v>45</v>
      </c>
      <c r="M1076" s="667">
        <v>0</v>
      </c>
    </row>
    <row r="1077" spans="3:13" ht="19.5">
      <c r="C1077" s="735"/>
      <c r="D1077" s="736">
        <v>42178</v>
      </c>
      <c r="E1077" s="737">
        <v>0.75</v>
      </c>
      <c r="F1077" s="731">
        <v>42185</v>
      </c>
      <c r="G1077" s="730">
        <v>0.75</v>
      </c>
      <c r="H1077" s="746" t="s">
        <v>2782</v>
      </c>
      <c r="I1077" s="588" t="s">
        <v>826</v>
      </c>
      <c r="J1077" s="746" t="s">
        <v>2753</v>
      </c>
      <c r="K1077" s="552" t="s">
        <v>22</v>
      </c>
      <c r="L1077" s="615" t="s">
        <v>45</v>
      </c>
      <c r="M1077" s="667">
        <v>263000</v>
      </c>
    </row>
    <row r="1078" spans="3:13" ht="19.5">
      <c r="C1078" s="735"/>
      <c r="D1078" s="736">
        <v>42178</v>
      </c>
      <c r="E1078" s="737">
        <v>0.71250000000000002</v>
      </c>
      <c r="F1078" s="731">
        <v>42181</v>
      </c>
      <c r="G1078" s="730">
        <v>0.66666666666666663</v>
      </c>
      <c r="H1078" s="746" t="s">
        <v>2783</v>
      </c>
      <c r="I1078" s="588" t="s">
        <v>826</v>
      </c>
      <c r="J1078" s="746" t="s">
        <v>2753</v>
      </c>
      <c r="K1078" s="552" t="s">
        <v>22</v>
      </c>
      <c r="L1078" s="615" t="s">
        <v>45</v>
      </c>
      <c r="M1078" s="667">
        <v>65000</v>
      </c>
    </row>
    <row r="1079" spans="3:13" ht="19.5">
      <c r="C1079" s="735"/>
      <c r="D1079" s="736">
        <v>42178</v>
      </c>
      <c r="E1079" s="737">
        <v>0.72916666666666663</v>
      </c>
      <c r="F1079" s="731">
        <v>42178</v>
      </c>
      <c r="G1079" s="730">
        <v>0.79166666666666663</v>
      </c>
      <c r="H1079" s="746" t="s">
        <v>2784</v>
      </c>
      <c r="I1079" s="588" t="s">
        <v>826</v>
      </c>
      <c r="J1079" s="746" t="s">
        <v>2753</v>
      </c>
      <c r="K1079" s="552" t="s">
        <v>22</v>
      </c>
      <c r="L1079" s="615" t="s">
        <v>45</v>
      </c>
      <c r="M1079" s="667">
        <v>200000</v>
      </c>
    </row>
    <row r="1080" spans="3:13" ht="19.5">
      <c r="C1080" s="735"/>
      <c r="D1080" s="736">
        <v>42178</v>
      </c>
      <c r="E1080" s="737">
        <v>0.77083333333333337</v>
      </c>
      <c r="F1080" s="731">
        <v>42179</v>
      </c>
      <c r="G1080" s="730">
        <v>0.20833333333333334</v>
      </c>
      <c r="H1080" s="746" t="s">
        <v>2785</v>
      </c>
      <c r="I1080" s="588" t="s">
        <v>61</v>
      </c>
      <c r="J1080" s="746" t="s">
        <v>2753</v>
      </c>
      <c r="K1080" s="552" t="s">
        <v>22</v>
      </c>
      <c r="L1080" s="615" t="s">
        <v>45</v>
      </c>
      <c r="M1080" s="667">
        <v>62442</v>
      </c>
    </row>
    <row r="1081" spans="3:13" ht="19.5">
      <c r="C1081" s="735"/>
      <c r="D1081" s="736">
        <v>42178</v>
      </c>
      <c r="E1081" s="737">
        <v>0.76250000000000007</v>
      </c>
      <c r="F1081" s="731">
        <v>42178</v>
      </c>
      <c r="G1081" s="730">
        <v>0.85416666666666663</v>
      </c>
      <c r="H1081" s="746" t="s">
        <v>2288</v>
      </c>
      <c r="I1081" s="588" t="s">
        <v>826</v>
      </c>
      <c r="J1081" s="746" t="s">
        <v>2786</v>
      </c>
      <c r="K1081" s="588" t="s">
        <v>2764</v>
      </c>
      <c r="L1081" s="615">
        <v>198</v>
      </c>
      <c r="M1081" s="667">
        <v>156338</v>
      </c>
    </row>
    <row r="1082" spans="3:13" ht="19.5">
      <c r="C1082" s="735"/>
      <c r="D1082" s="736">
        <v>42178</v>
      </c>
      <c r="E1082" s="737">
        <v>0.7680555555555556</v>
      </c>
      <c r="F1082" s="731" t="s">
        <v>45</v>
      </c>
      <c r="G1082" s="730" t="s">
        <v>45</v>
      </c>
      <c r="H1082" s="746" t="s">
        <v>2288</v>
      </c>
      <c r="I1082" s="588" t="s">
        <v>61</v>
      </c>
      <c r="J1082" s="746" t="s">
        <v>2753</v>
      </c>
      <c r="K1082" s="552" t="s">
        <v>22</v>
      </c>
      <c r="L1082" s="615">
        <v>90</v>
      </c>
      <c r="M1082" s="667">
        <v>73000</v>
      </c>
    </row>
    <row r="1083" spans="3:13" ht="19.5">
      <c r="C1083" s="735"/>
      <c r="D1083" s="736">
        <v>42181</v>
      </c>
      <c r="E1083" s="737">
        <v>8.3333333333333329E-2</v>
      </c>
      <c r="F1083" s="731" t="s">
        <v>45</v>
      </c>
      <c r="G1083" s="730" t="s">
        <v>45</v>
      </c>
      <c r="H1083" s="746" t="s">
        <v>2787</v>
      </c>
      <c r="I1083" s="588" t="s">
        <v>58</v>
      </c>
      <c r="J1083" s="746" t="s">
        <v>2753</v>
      </c>
      <c r="K1083" s="552" t="s">
        <v>22</v>
      </c>
      <c r="L1083" s="615" t="s">
        <v>45</v>
      </c>
      <c r="M1083" s="667">
        <v>110000</v>
      </c>
    </row>
    <row r="1084" spans="3:13" ht="19.5">
      <c r="C1084" s="735"/>
      <c r="D1084" s="736">
        <v>42182</v>
      </c>
      <c r="E1084" s="737">
        <v>0.70833333333333337</v>
      </c>
      <c r="F1084" s="731">
        <v>42185</v>
      </c>
      <c r="G1084" s="730">
        <v>0.72083333333333333</v>
      </c>
      <c r="H1084" s="746" t="s">
        <v>2788</v>
      </c>
      <c r="I1084" s="588" t="s">
        <v>826</v>
      </c>
      <c r="J1084" s="746" t="s">
        <v>2753</v>
      </c>
      <c r="K1084" s="552" t="s">
        <v>22</v>
      </c>
      <c r="L1084" s="615" t="s">
        <v>45</v>
      </c>
      <c r="M1084" s="667">
        <v>68000</v>
      </c>
    </row>
    <row r="1085" spans="3:13" ht="19.5">
      <c r="C1085" s="735"/>
      <c r="D1085" s="736">
        <v>42184</v>
      </c>
      <c r="E1085" s="737">
        <v>0.80625000000000002</v>
      </c>
      <c r="F1085" s="731">
        <v>42184</v>
      </c>
      <c r="G1085" s="730">
        <v>0.8208333333333333</v>
      </c>
      <c r="H1085" s="746" t="s">
        <v>2575</v>
      </c>
      <c r="I1085" s="588" t="s">
        <v>124</v>
      </c>
      <c r="J1085" s="746" t="s">
        <v>2763</v>
      </c>
      <c r="K1085" s="552" t="s">
        <v>22</v>
      </c>
      <c r="L1085" s="615">
        <v>0</v>
      </c>
      <c r="M1085" s="667">
        <v>0</v>
      </c>
    </row>
    <row r="1086" spans="3:13" ht="19.5">
      <c r="C1086" s="735"/>
      <c r="D1086" s="736">
        <v>42185</v>
      </c>
      <c r="E1086" s="737">
        <v>0.58333333333333337</v>
      </c>
      <c r="F1086" s="731">
        <v>42185</v>
      </c>
      <c r="G1086" s="730">
        <v>0.875</v>
      </c>
      <c r="H1086" s="746" t="s">
        <v>18</v>
      </c>
      <c r="I1086" s="588" t="s">
        <v>124</v>
      </c>
      <c r="J1086" s="746" t="s">
        <v>2744</v>
      </c>
      <c r="K1086" s="552" t="s">
        <v>22</v>
      </c>
      <c r="L1086" s="615" t="s">
        <v>45</v>
      </c>
      <c r="M1086" s="667" t="s">
        <v>45</v>
      </c>
    </row>
    <row r="1087" spans="3:13" ht="19.5">
      <c r="C1087" s="735"/>
      <c r="D1087" s="736">
        <v>42185</v>
      </c>
      <c r="E1087" s="737">
        <v>0.4513888888888889</v>
      </c>
      <c r="F1087" s="731">
        <v>42186</v>
      </c>
      <c r="G1087" s="730">
        <v>0.875</v>
      </c>
      <c r="H1087" s="746" t="s">
        <v>18</v>
      </c>
      <c r="I1087" s="588" t="s">
        <v>124</v>
      </c>
      <c r="J1087" s="746" t="s">
        <v>2744</v>
      </c>
      <c r="K1087" s="552" t="s">
        <v>22</v>
      </c>
      <c r="L1087" s="615" t="s">
        <v>45</v>
      </c>
      <c r="M1087" s="667" t="s">
        <v>45</v>
      </c>
    </row>
    <row r="1088" spans="3:13" ht="19.5">
      <c r="C1088" s="735"/>
      <c r="D1088" s="736">
        <v>42188</v>
      </c>
      <c r="E1088" s="737">
        <v>0.35416666666666669</v>
      </c>
      <c r="F1088" s="731">
        <v>42188</v>
      </c>
      <c r="G1088" s="730">
        <v>0.60416666666666663</v>
      </c>
      <c r="H1088" s="744" t="s">
        <v>2767</v>
      </c>
      <c r="I1088" s="552" t="s">
        <v>124</v>
      </c>
      <c r="J1088" s="745" t="s">
        <v>2150</v>
      </c>
      <c r="K1088" s="552" t="s">
        <v>2789</v>
      </c>
      <c r="L1088" s="550">
        <v>0</v>
      </c>
      <c r="M1088" s="551">
        <v>0</v>
      </c>
    </row>
    <row r="1089" spans="3:13" ht="19.5">
      <c r="C1089" s="735"/>
      <c r="D1089" s="736">
        <v>42188</v>
      </c>
      <c r="E1089" s="737">
        <v>0.72013888888888899</v>
      </c>
      <c r="F1089" s="731">
        <v>42188</v>
      </c>
      <c r="G1089" s="730">
        <v>0.97916666666666663</v>
      </c>
      <c r="H1089" s="744" t="s">
        <v>166</v>
      </c>
      <c r="I1089" s="552" t="s">
        <v>1352</v>
      </c>
      <c r="J1089" s="745" t="s">
        <v>2769</v>
      </c>
      <c r="K1089" s="588" t="s">
        <v>2764</v>
      </c>
      <c r="L1089" s="550">
        <v>350</v>
      </c>
      <c r="M1089" s="551">
        <v>30000</v>
      </c>
    </row>
    <row r="1090" spans="3:13" ht="19.5">
      <c r="C1090" s="735"/>
      <c r="D1090" s="736">
        <v>42198</v>
      </c>
      <c r="E1090" s="737">
        <v>0.59305555555555556</v>
      </c>
      <c r="F1090" s="731">
        <v>42201</v>
      </c>
      <c r="G1090" s="730">
        <v>0.25</v>
      </c>
      <c r="H1090" s="744" t="s">
        <v>2790</v>
      </c>
      <c r="I1090" s="552" t="s">
        <v>826</v>
      </c>
      <c r="J1090" s="745" t="s">
        <v>2753</v>
      </c>
      <c r="K1090" s="552" t="s">
        <v>22</v>
      </c>
      <c r="L1090" s="550">
        <v>480</v>
      </c>
      <c r="M1090" s="551">
        <v>68339</v>
      </c>
    </row>
    <row r="1091" spans="3:13" ht="19.5">
      <c r="C1091" s="735"/>
      <c r="D1091" s="736">
        <v>42198</v>
      </c>
      <c r="E1091" s="737">
        <v>0.81944444444444453</v>
      </c>
      <c r="F1091" s="731">
        <v>42200</v>
      </c>
      <c r="G1091" s="730">
        <v>0.51041666666666663</v>
      </c>
      <c r="H1091" s="744" t="s">
        <v>2004</v>
      </c>
      <c r="I1091" s="552" t="s">
        <v>826</v>
      </c>
      <c r="J1091" s="745" t="s">
        <v>2753</v>
      </c>
      <c r="K1091" s="552" t="s">
        <v>22</v>
      </c>
      <c r="L1091" s="550" t="s">
        <v>45</v>
      </c>
      <c r="M1091" s="551">
        <v>52739</v>
      </c>
    </row>
    <row r="1092" spans="3:13" ht="19.5">
      <c r="C1092" s="735"/>
      <c r="D1092" s="736">
        <v>42199</v>
      </c>
      <c r="E1092" s="737">
        <v>0.64513888888888882</v>
      </c>
      <c r="F1092" s="731">
        <v>42200</v>
      </c>
      <c r="G1092" s="730">
        <v>0.49652777777777773</v>
      </c>
      <c r="H1092" s="744" t="s">
        <v>48</v>
      </c>
      <c r="I1092" s="552" t="s">
        <v>58</v>
      </c>
      <c r="J1092" s="745" t="s">
        <v>2769</v>
      </c>
      <c r="K1092" s="552" t="s">
        <v>22</v>
      </c>
      <c r="L1092" s="550" t="s">
        <v>45</v>
      </c>
      <c r="M1092" s="551" t="s">
        <v>45</v>
      </c>
    </row>
    <row r="1093" spans="3:13" ht="19.5">
      <c r="C1093" s="735"/>
      <c r="D1093" s="736">
        <v>42199</v>
      </c>
      <c r="E1093" s="737">
        <v>0.83333333333333337</v>
      </c>
      <c r="F1093" s="731">
        <v>42200</v>
      </c>
      <c r="G1093" s="730">
        <v>0.39097222222222222</v>
      </c>
      <c r="H1093" s="744" t="s">
        <v>113</v>
      </c>
      <c r="I1093" s="552" t="s">
        <v>63</v>
      </c>
      <c r="J1093" s="745" t="s">
        <v>2753</v>
      </c>
      <c r="K1093" s="552" t="s">
        <v>22</v>
      </c>
      <c r="L1093" s="550">
        <v>366</v>
      </c>
      <c r="M1093" s="551">
        <v>111644</v>
      </c>
    </row>
    <row r="1094" spans="3:13" ht="19.5">
      <c r="C1094" s="735"/>
      <c r="D1094" s="736">
        <v>42200</v>
      </c>
      <c r="E1094" s="737">
        <v>8.3333333333333329E-2</v>
      </c>
      <c r="F1094" s="731">
        <v>42200</v>
      </c>
      <c r="G1094" s="730">
        <v>0.12152777777777778</v>
      </c>
      <c r="H1094" s="744" t="s">
        <v>18</v>
      </c>
      <c r="I1094" s="552" t="s">
        <v>124</v>
      </c>
      <c r="J1094" s="745" t="s">
        <v>2769</v>
      </c>
      <c r="K1094" s="588" t="s">
        <v>2764</v>
      </c>
      <c r="L1094" s="550">
        <v>360</v>
      </c>
      <c r="M1094" s="551">
        <v>0</v>
      </c>
    </row>
    <row r="1095" spans="3:13" ht="19.5">
      <c r="C1095" s="735"/>
      <c r="D1095" s="736">
        <v>42201</v>
      </c>
      <c r="E1095" s="737">
        <v>0.69791666666666663</v>
      </c>
      <c r="F1095" s="731">
        <v>42201</v>
      </c>
      <c r="G1095" s="730">
        <v>0.7416666666666667</v>
      </c>
      <c r="H1095" s="744" t="s">
        <v>166</v>
      </c>
      <c r="I1095" s="552" t="s">
        <v>58</v>
      </c>
      <c r="J1095" s="745" t="s">
        <v>2791</v>
      </c>
      <c r="K1095" s="588" t="s">
        <v>2764</v>
      </c>
      <c r="L1095" s="550">
        <v>117</v>
      </c>
      <c r="M1095" s="551">
        <v>17311</v>
      </c>
    </row>
    <row r="1096" spans="3:13" ht="19.5">
      <c r="C1096" s="735"/>
      <c r="D1096" s="736">
        <v>42203</v>
      </c>
      <c r="E1096" s="737">
        <v>8.3333333333333329E-2</v>
      </c>
      <c r="F1096" s="731">
        <v>42204</v>
      </c>
      <c r="G1096" s="730">
        <v>0.29166666666666669</v>
      </c>
      <c r="H1096" s="744" t="s">
        <v>2792</v>
      </c>
      <c r="I1096" s="552" t="s">
        <v>674</v>
      </c>
      <c r="J1096" s="745" t="s">
        <v>2753</v>
      </c>
      <c r="K1096" s="552" t="s">
        <v>22</v>
      </c>
      <c r="L1096" s="550">
        <v>250</v>
      </c>
      <c r="M1096" s="551">
        <v>250000</v>
      </c>
    </row>
    <row r="1097" spans="3:13" ht="19.5">
      <c r="C1097" s="735"/>
      <c r="D1097" s="736">
        <v>42203</v>
      </c>
      <c r="E1097" s="737">
        <v>0.7680555555555556</v>
      </c>
      <c r="F1097" s="731">
        <v>42203</v>
      </c>
      <c r="G1097" s="730">
        <v>0.87708333333333333</v>
      </c>
      <c r="H1097" s="744" t="s">
        <v>18</v>
      </c>
      <c r="I1097" s="552" t="s">
        <v>124</v>
      </c>
      <c r="J1097" s="746" t="s">
        <v>2763</v>
      </c>
      <c r="K1097" s="588" t="s">
        <v>2764</v>
      </c>
      <c r="L1097" s="550">
        <v>30</v>
      </c>
      <c r="M1097" s="551">
        <v>70</v>
      </c>
    </row>
    <row r="1098" spans="3:13" ht="19.5">
      <c r="C1098" s="735"/>
      <c r="D1098" s="736">
        <v>42203</v>
      </c>
      <c r="E1098" s="737">
        <v>0.83263888888888893</v>
      </c>
      <c r="F1098" s="731">
        <v>42203</v>
      </c>
      <c r="G1098" s="730">
        <v>0.94791666666666663</v>
      </c>
      <c r="H1098" s="744" t="s">
        <v>18</v>
      </c>
      <c r="I1098" s="552" t="s">
        <v>124</v>
      </c>
      <c r="J1098" s="745" t="s">
        <v>2753</v>
      </c>
      <c r="K1098" s="552" t="s">
        <v>22</v>
      </c>
      <c r="L1098" s="550">
        <v>160</v>
      </c>
      <c r="M1098" s="551">
        <v>78164</v>
      </c>
    </row>
    <row r="1099" spans="3:13" ht="19.5">
      <c r="C1099" s="735"/>
      <c r="D1099" s="736">
        <v>42206</v>
      </c>
      <c r="E1099" s="737">
        <v>0.53263888888888888</v>
      </c>
      <c r="F1099" s="731">
        <v>42206</v>
      </c>
      <c r="G1099" s="730">
        <v>0.54999999999999993</v>
      </c>
      <c r="H1099" s="744" t="s">
        <v>2575</v>
      </c>
      <c r="I1099" s="552" t="s">
        <v>124</v>
      </c>
      <c r="J1099" s="745" t="s">
        <v>2791</v>
      </c>
      <c r="K1099" s="588" t="s">
        <v>2764</v>
      </c>
      <c r="L1099" s="550">
        <v>200</v>
      </c>
      <c r="M1099" s="551" t="s">
        <v>45</v>
      </c>
    </row>
    <row r="1100" spans="3:13" ht="19.5">
      <c r="C1100" s="735"/>
      <c r="D1100" s="736">
        <v>42212</v>
      </c>
      <c r="E1100" s="737">
        <v>0.16111111111111112</v>
      </c>
      <c r="F1100" s="731">
        <v>42212</v>
      </c>
      <c r="G1100" s="730">
        <v>0.19166666666666665</v>
      </c>
      <c r="H1100" s="744" t="s">
        <v>18</v>
      </c>
      <c r="I1100" s="552" t="s">
        <v>124</v>
      </c>
      <c r="J1100" s="746" t="s">
        <v>2763</v>
      </c>
      <c r="K1100" s="588" t="s">
        <v>2764</v>
      </c>
      <c r="L1100" s="550" t="s">
        <v>45</v>
      </c>
      <c r="M1100" s="551">
        <v>484</v>
      </c>
    </row>
    <row r="1101" spans="3:13" ht="19.5">
      <c r="C1101" s="735"/>
      <c r="D1101" s="736">
        <v>42213</v>
      </c>
      <c r="E1101" s="737">
        <v>0.50347222222222221</v>
      </c>
      <c r="F1101" s="731">
        <v>42213</v>
      </c>
      <c r="G1101" s="730">
        <v>0.5180555555555556</v>
      </c>
      <c r="H1101" s="744" t="s">
        <v>2271</v>
      </c>
      <c r="I1101" s="552" t="s">
        <v>255</v>
      </c>
      <c r="J1101" s="745" t="s">
        <v>2622</v>
      </c>
      <c r="K1101" s="588" t="s">
        <v>2764</v>
      </c>
      <c r="L1101" s="550">
        <v>150</v>
      </c>
      <c r="M1101" s="551" t="s">
        <v>45</v>
      </c>
    </row>
    <row r="1102" spans="3:13" ht="19.5">
      <c r="C1102" s="735"/>
      <c r="D1102" s="736">
        <v>42214</v>
      </c>
      <c r="E1102" s="737">
        <v>0.69791666666666663</v>
      </c>
      <c r="F1102" s="731">
        <v>42214</v>
      </c>
      <c r="G1102" s="730">
        <v>0.875</v>
      </c>
      <c r="H1102" s="744" t="s">
        <v>30</v>
      </c>
      <c r="I1102" s="552" t="s">
        <v>61</v>
      </c>
      <c r="J1102" s="745" t="s">
        <v>2780</v>
      </c>
      <c r="K1102" s="588" t="s">
        <v>2764</v>
      </c>
      <c r="L1102" s="550">
        <v>500</v>
      </c>
      <c r="M1102" s="551">
        <v>0</v>
      </c>
    </row>
    <row r="1103" spans="3:13" ht="19.5">
      <c r="C1103" s="735"/>
      <c r="D1103" s="736">
        <v>42215</v>
      </c>
      <c r="E1103" s="737">
        <v>0.40972222222222227</v>
      </c>
      <c r="F1103" s="731">
        <v>42215</v>
      </c>
      <c r="G1103" s="730">
        <v>0.79166666666666663</v>
      </c>
      <c r="H1103" s="744" t="s">
        <v>166</v>
      </c>
      <c r="I1103" s="552" t="s">
        <v>1352</v>
      </c>
      <c r="J1103" s="746" t="s">
        <v>2744</v>
      </c>
      <c r="K1103" s="588" t="s">
        <v>2764</v>
      </c>
      <c r="L1103" s="550" t="s">
        <v>45</v>
      </c>
      <c r="M1103" s="551" t="s">
        <v>45</v>
      </c>
    </row>
    <row r="1104" spans="3:13" ht="19.5">
      <c r="C1104" s="735"/>
      <c r="D1104" s="736">
        <v>42215</v>
      </c>
      <c r="E1104" s="737">
        <v>0.54166666666666663</v>
      </c>
      <c r="F1104" s="731" t="s">
        <v>45</v>
      </c>
      <c r="G1104" s="730" t="s">
        <v>45</v>
      </c>
      <c r="H1104" s="744" t="s">
        <v>2650</v>
      </c>
      <c r="I1104" s="552" t="s">
        <v>63</v>
      </c>
      <c r="J1104" s="745" t="s">
        <v>2150</v>
      </c>
      <c r="K1104" s="552" t="s">
        <v>100</v>
      </c>
      <c r="L1104" s="550">
        <v>0</v>
      </c>
      <c r="M1104" s="551">
        <v>0</v>
      </c>
    </row>
    <row r="1105" spans="3:13" ht="19.5">
      <c r="C1105" s="735"/>
      <c r="D1105" s="736">
        <v>42216</v>
      </c>
      <c r="E1105" s="737">
        <v>0.4548611111111111</v>
      </c>
      <c r="F1105" s="731" t="s">
        <v>45</v>
      </c>
      <c r="G1105" s="730" t="s">
        <v>45</v>
      </c>
      <c r="H1105" s="744" t="s">
        <v>2575</v>
      </c>
      <c r="I1105" s="552" t="s">
        <v>124</v>
      </c>
      <c r="J1105" s="746" t="s">
        <v>2763</v>
      </c>
      <c r="K1105" s="588" t="s">
        <v>2764</v>
      </c>
      <c r="L1105" s="550">
        <v>9</v>
      </c>
      <c r="M1105" s="551">
        <v>0</v>
      </c>
    </row>
    <row r="1106" spans="3:13" ht="19.5">
      <c r="C1106" s="735"/>
      <c r="D1106" s="736">
        <v>42218</v>
      </c>
      <c r="E1106" s="737">
        <v>0.73958333333333337</v>
      </c>
      <c r="F1106" s="731">
        <v>42220</v>
      </c>
      <c r="G1106" s="730">
        <v>0.125</v>
      </c>
      <c r="H1106" s="744" t="s">
        <v>2793</v>
      </c>
      <c r="I1106" s="552" t="s">
        <v>826</v>
      </c>
      <c r="J1106" s="745" t="s">
        <v>2753</v>
      </c>
      <c r="K1106" s="552" t="s">
        <v>22</v>
      </c>
      <c r="L1106" s="550" t="s">
        <v>45</v>
      </c>
      <c r="M1106" s="551">
        <v>162000</v>
      </c>
    </row>
    <row r="1107" spans="3:13" ht="19.5">
      <c r="C1107" s="735"/>
      <c r="D1107" s="736">
        <v>42219</v>
      </c>
      <c r="E1107" s="737">
        <v>2.0833333333333332E-2</v>
      </c>
      <c r="F1107" s="731">
        <v>42219</v>
      </c>
      <c r="G1107" s="730">
        <v>8.3333333333333329E-2</v>
      </c>
      <c r="H1107" s="744" t="s">
        <v>33</v>
      </c>
      <c r="I1107" s="552" t="s">
        <v>826</v>
      </c>
      <c r="J1107" s="745" t="s">
        <v>2753</v>
      </c>
      <c r="K1107" s="552" t="s">
        <v>22</v>
      </c>
      <c r="L1107" s="550" t="s">
        <v>45</v>
      </c>
      <c r="M1107" s="551">
        <v>115000</v>
      </c>
    </row>
    <row r="1108" spans="3:13" ht="19.5">
      <c r="C1108" s="735"/>
      <c r="D1108" s="736">
        <v>42219</v>
      </c>
      <c r="E1108" s="737">
        <v>4.1666666666666664E-2</v>
      </c>
      <c r="F1108" s="731">
        <v>42221</v>
      </c>
      <c r="G1108" s="730">
        <v>0</v>
      </c>
      <c r="H1108" s="744" t="s">
        <v>1833</v>
      </c>
      <c r="I1108" s="552" t="s">
        <v>826</v>
      </c>
      <c r="J1108" s="745" t="s">
        <v>2753</v>
      </c>
      <c r="K1108" s="552" t="s">
        <v>22</v>
      </c>
      <c r="L1108" s="550" t="s">
        <v>45</v>
      </c>
      <c r="M1108" s="551">
        <v>72520</v>
      </c>
    </row>
    <row r="1109" spans="3:13" ht="19.5">
      <c r="C1109" s="735"/>
      <c r="D1109" s="736">
        <v>42219</v>
      </c>
      <c r="E1109" s="737">
        <v>0.3520833333333333</v>
      </c>
      <c r="F1109" s="731">
        <v>42220</v>
      </c>
      <c r="G1109" s="730">
        <v>5.4166666666666669E-2</v>
      </c>
      <c r="H1109" s="744" t="s">
        <v>2794</v>
      </c>
      <c r="I1109" s="552" t="s">
        <v>124</v>
      </c>
      <c r="J1109" s="745" t="s">
        <v>2150</v>
      </c>
      <c r="K1109" s="552" t="s">
        <v>2343</v>
      </c>
      <c r="L1109" s="550">
        <v>0</v>
      </c>
      <c r="M1109" s="551" t="s">
        <v>45</v>
      </c>
    </row>
    <row r="1110" spans="3:13" ht="19.5">
      <c r="C1110" s="735"/>
      <c r="D1110" s="736">
        <v>42220</v>
      </c>
      <c r="E1110" s="737">
        <v>0.3034722222222222</v>
      </c>
      <c r="F1110" s="731">
        <v>42221</v>
      </c>
      <c r="G1110" s="730">
        <v>0.53611111111111109</v>
      </c>
      <c r="H1110" s="744" t="s">
        <v>2795</v>
      </c>
      <c r="I1110" s="552" t="s">
        <v>61</v>
      </c>
      <c r="J1110" s="745" t="s">
        <v>2753</v>
      </c>
      <c r="K1110" s="552" t="s">
        <v>22</v>
      </c>
      <c r="L1110" s="550" t="s">
        <v>45</v>
      </c>
      <c r="M1110" s="551">
        <v>132000</v>
      </c>
    </row>
    <row r="1111" spans="3:13" ht="19.5">
      <c r="C1111" s="735"/>
      <c r="D1111" s="736">
        <v>42227</v>
      </c>
      <c r="E1111" s="737">
        <v>0.8125</v>
      </c>
      <c r="F1111" s="731">
        <v>42229</v>
      </c>
      <c r="G1111" s="730">
        <v>0.17013888888888887</v>
      </c>
      <c r="H1111" s="744" t="s">
        <v>2796</v>
      </c>
      <c r="I1111" s="552" t="s">
        <v>1352</v>
      </c>
      <c r="J1111" s="745" t="s">
        <v>2753</v>
      </c>
      <c r="K1111" s="552" t="s">
        <v>22</v>
      </c>
      <c r="L1111" s="550" t="s">
        <v>45</v>
      </c>
      <c r="M1111" s="551">
        <v>100000</v>
      </c>
    </row>
    <row r="1112" spans="3:13" ht="19.5">
      <c r="C1112" s="735"/>
      <c r="D1112" s="736">
        <v>42229</v>
      </c>
      <c r="E1112" s="737">
        <v>0.63541666666666663</v>
      </c>
      <c r="F1112" s="731">
        <v>42229</v>
      </c>
      <c r="G1112" s="730">
        <v>0.79166666666666663</v>
      </c>
      <c r="H1112" s="744" t="s">
        <v>2797</v>
      </c>
      <c r="I1112" s="552" t="s">
        <v>1352</v>
      </c>
      <c r="J1112" s="746" t="s">
        <v>2744</v>
      </c>
      <c r="K1112" s="552" t="s">
        <v>2798</v>
      </c>
      <c r="L1112" s="550" t="s">
        <v>45</v>
      </c>
      <c r="M1112" s="551" t="s">
        <v>45</v>
      </c>
    </row>
    <row r="1113" spans="3:13" ht="19.5">
      <c r="C1113" s="735"/>
      <c r="D1113" s="736">
        <v>42243</v>
      </c>
      <c r="E1113" s="737">
        <v>0.91041666666666676</v>
      </c>
      <c r="F1113" s="731">
        <v>42244</v>
      </c>
      <c r="G1113" s="730">
        <v>0.75</v>
      </c>
      <c r="H1113" s="744" t="s">
        <v>2271</v>
      </c>
      <c r="I1113" s="552" t="s">
        <v>124</v>
      </c>
      <c r="J1113" s="745" t="s">
        <v>2799</v>
      </c>
      <c r="K1113" s="552" t="s">
        <v>2764</v>
      </c>
      <c r="L1113" s="550">
        <v>360</v>
      </c>
      <c r="M1113" s="551" t="s">
        <v>45</v>
      </c>
    </row>
    <row r="1114" spans="3:13" ht="19.5">
      <c r="C1114" s="735"/>
      <c r="D1114" s="736">
        <v>42245</v>
      </c>
      <c r="E1114" s="737">
        <v>0.41666666666666669</v>
      </c>
      <c r="F1114" s="731" t="s">
        <v>45</v>
      </c>
      <c r="G1114" s="730" t="s">
        <v>45</v>
      </c>
      <c r="H1114" s="744" t="s">
        <v>2575</v>
      </c>
      <c r="I1114" s="552" t="s">
        <v>124</v>
      </c>
      <c r="J1114" s="745" t="s">
        <v>2753</v>
      </c>
      <c r="K1114" s="552" t="s">
        <v>22</v>
      </c>
      <c r="L1114" s="550" t="s">
        <v>45</v>
      </c>
      <c r="M1114" s="551">
        <v>500000</v>
      </c>
    </row>
    <row r="1115" spans="3:13" ht="19.5">
      <c r="C1115" s="735"/>
      <c r="D1115" s="736">
        <v>42245</v>
      </c>
      <c r="E1115" s="737">
        <v>0.45833333333333331</v>
      </c>
      <c r="F1115" s="731">
        <v>42251</v>
      </c>
      <c r="G1115" s="730">
        <v>0.625</v>
      </c>
      <c r="H1115" s="744" t="s">
        <v>2800</v>
      </c>
      <c r="I1115" s="552" t="s">
        <v>124</v>
      </c>
      <c r="J1115" s="745" t="s">
        <v>2753</v>
      </c>
      <c r="K1115" s="552" t="s">
        <v>22</v>
      </c>
      <c r="L1115" s="550">
        <v>250</v>
      </c>
      <c r="M1115" s="551">
        <v>250000</v>
      </c>
    </row>
    <row r="1116" spans="3:13" ht="19.5">
      <c r="C1116" s="735"/>
      <c r="D1116" s="736">
        <v>42245</v>
      </c>
      <c r="E1116" s="737">
        <v>0.54166666666666663</v>
      </c>
      <c r="F1116" s="731">
        <v>42247</v>
      </c>
      <c r="G1116" s="730">
        <v>0.29166666666666669</v>
      </c>
      <c r="H1116" s="744" t="s">
        <v>2801</v>
      </c>
      <c r="I1116" s="552" t="s">
        <v>124</v>
      </c>
      <c r="J1116" s="745" t="s">
        <v>2753</v>
      </c>
      <c r="K1116" s="552" t="s">
        <v>22</v>
      </c>
      <c r="L1116" s="550">
        <v>1200</v>
      </c>
      <c r="M1116" s="551">
        <v>64000</v>
      </c>
    </row>
    <row r="1117" spans="3:13" ht="19.5">
      <c r="C1117" s="735"/>
      <c r="D1117" s="736">
        <v>42250</v>
      </c>
      <c r="E1117" s="737">
        <v>0.10625</v>
      </c>
      <c r="F1117" s="731">
        <v>42250</v>
      </c>
      <c r="G1117" s="730">
        <v>0.2673611111111111</v>
      </c>
      <c r="H1117" s="744" t="s">
        <v>1833</v>
      </c>
      <c r="I1117" s="552" t="s">
        <v>826</v>
      </c>
      <c r="J1117" s="745" t="s">
        <v>2753</v>
      </c>
      <c r="K1117" s="552" t="s">
        <v>22</v>
      </c>
      <c r="L1117" s="550" t="s">
        <v>45</v>
      </c>
      <c r="M1117" s="551">
        <v>50114</v>
      </c>
    </row>
    <row r="1118" spans="3:13" ht="19.5">
      <c r="C1118" s="735"/>
      <c r="D1118" s="736">
        <v>42260</v>
      </c>
      <c r="E1118" s="737">
        <v>0.74722222222222223</v>
      </c>
      <c r="F1118" s="731">
        <v>42260</v>
      </c>
      <c r="G1118" s="730">
        <v>0.85902777777777783</v>
      </c>
      <c r="H1118" s="744" t="s">
        <v>2802</v>
      </c>
      <c r="I1118" s="552" t="s">
        <v>61</v>
      </c>
      <c r="J1118" s="745" t="s">
        <v>2150</v>
      </c>
      <c r="K1118" s="552" t="s">
        <v>100</v>
      </c>
      <c r="L1118" s="550">
        <v>0</v>
      </c>
      <c r="M1118" s="551">
        <v>0</v>
      </c>
    </row>
    <row r="1119" spans="3:13" ht="19.5">
      <c r="C1119" s="735"/>
      <c r="D1119" s="736">
        <v>42267</v>
      </c>
      <c r="E1119" s="737">
        <v>0.54999999999999993</v>
      </c>
      <c r="F1119" s="731">
        <v>42267</v>
      </c>
      <c r="G1119" s="730">
        <v>0.57222222222222219</v>
      </c>
      <c r="H1119" s="744" t="s">
        <v>18</v>
      </c>
      <c r="I1119" s="552" t="s">
        <v>124</v>
      </c>
      <c r="J1119" s="745" t="s">
        <v>2791</v>
      </c>
      <c r="K1119" s="552" t="s">
        <v>2764</v>
      </c>
      <c r="L1119" s="550">
        <v>150</v>
      </c>
      <c r="M1119" s="551" t="s">
        <v>45</v>
      </c>
    </row>
    <row r="1120" spans="3:13" ht="19.5">
      <c r="C1120" s="735"/>
      <c r="D1120" s="736">
        <v>42276</v>
      </c>
      <c r="E1120" s="737">
        <v>0.65277777777777779</v>
      </c>
      <c r="F1120" s="731">
        <v>42276</v>
      </c>
      <c r="G1120" s="730">
        <v>0.65347222222222223</v>
      </c>
      <c r="H1120" s="744" t="s">
        <v>2152</v>
      </c>
      <c r="I1120" s="552" t="s">
        <v>124</v>
      </c>
      <c r="J1120" s="745" t="s">
        <v>2150</v>
      </c>
      <c r="K1120" s="552" t="s">
        <v>100</v>
      </c>
      <c r="L1120" s="550" t="s">
        <v>45</v>
      </c>
      <c r="M1120" s="551" t="s">
        <v>45</v>
      </c>
    </row>
    <row r="1121" spans="3:13" ht="19.5">
      <c r="C1121" s="735"/>
      <c r="D1121" s="736">
        <v>42290</v>
      </c>
      <c r="E1121" s="737">
        <v>0.27083333333333331</v>
      </c>
      <c r="F1121" s="731">
        <v>42290</v>
      </c>
      <c r="G1121" s="730">
        <v>0.35416666666666669</v>
      </c>
      <c r="H1121" s="744" t="s">
        <v>2803</v>
      </c>
      <c r="I1121" s="552" t="s">
        <v>124</v>
      </c>
      <c r="J1121" s="745" t="s">
        <v>2150</v>
      </c>
      <c r="K1121" s="552" t="s">
        <v>100</v>
      </c>
      <c r="L1121" s="550">
        <v>0</v>
      </c>
      <c r="M1121" s="551">
        <v>0</v>
      </c>
    </row>
    <row r="1122" spans="3:13" ht="19.5">
      <c r="C1122" s="735"/>
      <c r="D1122" s="736">
        <v>42290</v>
      </c>
      <c r="E1122" s="737">
        <v>0.43402777777777773</v>
      </c>
      <c r="F1122" s="731">
        <v>42290</v>
      </c>
      <c r="G1122" s="730">
        <v>0.75</v>
      </c>
      <c r="H1122" s="744" t="s">
        <v>166</v>
      </c>
      <c r="I1122" s="552" t="s">
        <v>1352</v>
      </c>
      <c r="J1122" s="746" t="s">
        <v>2744</v>
      </c>
      <c r="K1122" s="552" t="s">
        <v>2798</v>
      </c>
      <c r="L1122" s="550" t="s">
        <v>45</v>
      </c>
      <c r="M1122" s="551" t="s">
        <v>45</v>
      </c>
    </row>
    <row r="1123" spans="3:13" ht="19.5">
      <c r="C1123" s="735"/>
      <c r="D1123" s="736">
        <v>42290</v>
      </c>
      <c r="E1123" s="737">
        <v>0.68888888888888899</v>
      </c>
      <c r="F1123" s="731">
        <v>42290</v>
      </c>
      <c r="G1123" s="730">
        <v>0.86041666666666661</v>
      </c>
      <c r="H1123" s="744" t="s">
        <v>18</v>
      </c>
      <c r="I1123" s="552" t="s">
        <v>124</v>
      </c>
      <c r="J1123" s="746" t="s">
        <v>2744</v>
      </c>
      <c r="K1123" s="552" t="s">
        <v>2798</v>
      </c>
      <c r="L1123" s="550">
        <v>41788</v>
      </c>
      <c r="M1123" s="551" t="s">
        <v>45</v>
      </c>
    </row>
    <row r="1124" spans="3:13" ht="19.5">
      <c r="C1124" s="735"/>
      <c r="D1124" s="736">
        <v>42293</v>
      </c>
      <c r="E1124" s="737">
        <v>0.51736111111111105</v>
      </c>
      <c r="F1124" s="731">
        <v>42293</v>
      </c>
      <c r="G1124" s="730">
        <v>0.53888888888888886</v>
      </c>
      <c r="H1124" s="744" t="s">
        <v>2804</v>
      </c>
      <c r="I1124" s="552" t="s">
        <v>124</v>
      </c>
      <c r="J1124" s="745" t="s">
        <v>2150</v>
      </c>
      <c r="K1124" s="552" t="s">
        <v>100</v>
      </c>
      <c r="L1124" s="550">
        <v>0</v>
      </c>
      <c r="M1124" s="551">
        <v>0</v>
      </c>
    </row>
    <row r="1125" spans="3:13" ht="19.5">
      <c r="C1125" s="735"/>
      <c r="D1125" s="736">
        <v>42295</v>
      </c>
      <c r="E1125" s="737">
        <v>0.29166666666666669</v>
      </c>
      <c r="F1125" s="731">
        <v>42295</v>
      </c>
      <c r="G1125" s="730">
        <v>0.9784722222222223</v>
      </c>
      <c r="H1125" s="744" t="s">
        <v>2805</v>
      </c>
      <c r="I1125" s="552" t="s">
        <v>124</v>
      </c>
      <c r="J1125" s="745" t="s">
        <v>2753</v>
      </c>
      <c r="K1125" s="552" t="s">
        <v>22</v>
      </c>
      <c r="L1125" s="550">
        <v>88</v>
      </c>
      <c r="M1125" s="551">
        <v>55677</v>
      </c>
    </row>
    <row r="1126" spans="3:13" ht="19.5">
      <c r="C1126" s="735"/>
      <c r="D1126" s="736">
        <v>42300</v>
      </c>
      <c r="E1126" s="737">
        <v>0.40416666666666662</v>
      </c>
      <c r="F1126" s="731">
        <v>42300</v>
      </c>
      <c r="G1126" s="730">
        <v>0.55972222222222223</v>
      </c>
      <c r="H1126" s="744" t="s">
        <v>2271</v>
      </c>
      <c r="I1126" s="552" t="s">
        <v>255</v>
      </c>
      <c r="J1126" s="746" t="s">
        <v>2806</v>
      </c>
      <c r="K1126" s="552" t="s">
        <v>2764</v>
      </c>
      <c r="L1126" s="550">
        <v>500</v>
      </c>
      <c r="M1126" s="551">
        <v>300000</v>
      </c>
    </row>
    <row r="1127" spans="3:13" ht="19.5">
      <c r="C1127" s="735"/>
      <c r="D1127" s="736">
        <v>42305</v>
      </c>
      <c r="E1127" s="737">
        <v>0.56805555555555554</v>
      </c>
      <c r="F1127" s="731">
        <v>42306</v>
      </c>
      <c r="G1127" s="730">
        <v>0.70833333333333337</v>
      </c>
      <c r="H1127" s="744" t="s">
        <v>2807</v>
      </c>
      <c r="I1127" s="552" t="s">
        <v>826</v>
      </c>
      <c r="J1127" s="745" t="s">
        <v>2150</v>
      </c>
      <c r="K1127" s="552" t="s">
        <v>2798</v>
      </c>
      <c r="L1127" s="550" t="s">
        <v>45</v>
      </c>
      <c r="M1127" s="551">
        <v>35000</v>
      </c>
    </row>
    <row r="1128" spans="3:13" ht="19.5">
      <c r="C1128" s="735"/>
      <c r="D1128" s="736">
        <v>42307</v>
      </c>
      <c r="E1128" s="737">
        <v>0.625</v>
      </c>
      <c r="F1128" s="731">
        <v>42307</v>
      </c>
      <c r="G1128" s="730">
        <v>0.66666666666666663</v>
      </c>
      <c r="H1128" s="744" t="s">
        <v>2808</v>
      </c>
      <c r="I1128" s="552" t="s">
        <v>124</v>
      </c>
      <c r="J1128" s="745" t="s">
        <v>2150</v>
      </c>
      <c r="K1128" s="552" t="s">
        <v>2798</v>
      </c>
      <c r="L1128" s="550">
        <v>0</v>
      </c>
      <c r="M1128" s="551">
        <v>0</v>
      </c>
    </row>
    <row r="1129" spans="3:13" ht="19.5">
      <c r="C1129" s="735"/>
      <c r="D1129" s="736">
        <v>42308</v>
      </c>
      <c r="E1129" s="737">
        <v>3.125E-2</v>
      </c>
      <c r="F1129" s="731">
        <v>42309</v>
      </c>
      <c r="G1129" s="730">
        <v>0.67013888888888884</v>
      </c>
      <c r="H1129" s="744" t="s">
        <v>2809</v>
      </c>
      <c r="I1129" s="552" t="s">
        <v>1352</v>
      </c>
      <c r="J1129" s="745" t="s">
        <v>2753</v>
      </c>
      <c r="K1129" s="552" t="s">
        <v>22</v>
      </c>
      <c r="L1129" s="550" t="s">
        <v>45</v>
      </c>
      <c r="M1129" s="551">
        <v>130252</v>
      </c>
    </row>
    <row r="1130" spans="3:13" ht="19.5">
      <c r="C1130" s="735"/>
      <c r="D1130" s="736">
        <v>42309</v>
      </c>
      <c r="E1130" s="737">
        <v>0.49513888888888885</v>
      </c>
      <c r="F1130" s="731">
        <v>42309</v>
      </c>
      <c r="G1130" s="730">
        <v>0.5</v>
      </c>
      <c r="H1130" s="744" t="s">
        <v>2810</v>
      </c>
      <c r="I1130" s="552" t="s">
        <v>826</v>
      </c>
      <c r="J1130" s="745" t="s">
        <v>2150</v>
      </c>
      <c r="K1130" s="552" t="s">
        <v>100</v>
      </c>
      <c r="L1130" s="550">
        <v>0</v>
      </c>
      <c r="M1130" s="551">
        <v>0</v>
      </c>
    </row>
    <row r="1131" spans="3:13" ht="19.5">
      <c r="C1131" s="735"/>
      <c r="D1131" s="736">
        <v>42310</v>
      </c>
      <c r="E1131" s="737">
        <v>0.73402777777777783</v>
      </c>
      <c r="F1131" s="731">
        <v>42312</v>
      </c>
      <c r="G1131" s="730">
        <v>0.375</v>
      </c>
      <c r="H1131" s="744" t="s">
        <v>2811</v>
      </c>
      <c r="I1131" s="552" t="s">
        <v>63</v>
      </c>
      <c r="J1131" s="745" t="s">
        <v>2150</v>
      </c>
      <c r="K1131" s="552" t="s">
        <v>2343</v>
      </c>
      <c r="L1131" s="550">
        <v>4</v>
      </c>
      <c r="M1131" s="551">
        <v>0</v>
      </c>
    </row>
    <row r="1132" spans="3:13" ht="19.5">
      <c r="C1132" s="735"/>
      <c r="D1132" s="736">
        <v>42318</v>
      </c>
      <c r="E1132" s="737">
        <v>0.5</v>
      </c>
      <c r="F1132" s="731">
        <v>42318</v>
      </c>
      <c r="G1132" s="730">
        <v>0.58333333333333337</v>
      </c>
      <c r="H1132" s="744" t="s">
        <v>2812</v>
      </c>
      <c r="I1132" s="552" t="s">
        <v>826</v>
      </c>
      <c r="J1132" s="745" t="s">
        <v>2150</v>
      </c>
      <c r="K1132" s="552" t="s">
        <v>2343</v>
      </c>
      <c r="L1132" s="550">
        <v>0</v>
      </c>
      <c r="M1132" s="551">
        <v>0</v>
      </c>
    </row>
    <row r="1133" spans="3:13" ht="19.5">
      <c r="C1133" s="735"/>
      <c r="D1133" s="736">
        <v>42321</v>
      </c>
      <c r="E1133" s="737">
        <v>0.47916666666666669</v>
      </c>
      <c r="F1133" s="731">
        <v>42321</v>
      </c>
      <c r="G1133" s="730">
        <v>0.4826388888888889</v>
      </c>
      <c r="H1133" s="744" t="s">
        <v>30</v>
      </c>
      <c r="I1133" s="552" t="s">
        <v>61</v>
      </c>
      <c r="J1133" s="745" t="s">
        <v>2150</v>
      </c>
      <c r="K1133" s="552" t="s">
        <v>2789</v>
      </c>
      <c r="L1133" s="550" t="s">
        <v>45</v>
      </c>
      <c r="M1133" s="551" t="s">
        <v>45</v>
      </c>
    </row>
    <row r="1134" spans="3:13" ht="19.5">
      <c r="C1134" s="735"/>
      <c r="D1134" s="736">
        <v>42325</v>
      </c>
      <c r="E1134" s="737">
        <v>0.375</v>
      </c>
      <c r="F1134" s="731" t="s">
        <v>45</v>
      </c>
      <c r="G1134" s="730" t="s">
        <v>45</v>
      </c>
      <c r="H1134" s="744" t="s">
        <v>2813</v>
      </c>
      <c r="I1134" s="552" t="s">
        <v>124</v>
      </c>
      <c r="J1134" s="745" t="s">
        <v>2753</v>
      </c>
      <c r="K1134" s="552" t="s">
        <v>22</v>
      </c>
      <c r="L1134" s="550">
        <v>900</v>
      </c>
      <c r="M1134" s="551">
        <v>89000</v>
      </c>
    </row>
    <row r="1135" spans="3:13" ht="19.5">
      <c r="C1135" s="735"/>
      <c r="D1135" s="736">
        <v>42325</v>
      </c>
      <c r="E1135" s="737">
        <v>0.41666666666666669</v>
      </c>
      <c r="F1135" s="731" t="s">
        <v>45</v>
      </c>
      <c r="G1135" s="730" t="s">
        <v>45</v>
      </c>
      <c r="H1135" s="744" t="s">
        <v>2575</v>
      </c>
      <c r="I1135" s="552" t="s">
        <v>124</v>
      </c>
      <c r="J1135" s="745" t="s">
        <v>2753</v>
      </c>
      <c r="K1135" s="552" t="s">
        <v>22</v>
      </c>
      <c r="L1135" s="550" t="s">
        <v>45</v>
      </c>
      <c r="M1135" s="551">
        <v>300000</v>
      </c>
    </row>
    <row r="1136" spans="3:13" ht="19.5">
      <c r="C1136" s="735"/>
      <c r="D1136" s="736">
        <v>42325</v>
      </c>
      <c r="E1136" s="737">
        <v>0.5625</v>
      </c>
      <c r="F1136" s="731" t="s">
        <v>45</v>
      </c>
      <c r="G1136" s="730" t="s">
        <v>45</v>
      </c>
      <c r="H1136" s="744" t="s">
        <v>2814</v>
      </c>
      <c r="I1136" s="552" t="s">
        <v>124</v>
      </c>
      <c r="J1136" s="745" t="s">
        <v>2753</v>
      </c>
      <c r="K1136" s="552" t="s">
        <v>22</v>
      </c>
      <c r="L1136" s="550" t="s">
        <v>45</v>
      </c>
      <c r="M1136" s="551">
        <v>182000</v>
      </c>
    </row>
    <row r="1137" spans="3:13" ht="19.5">
      <c r="C1137" s="735"/>
      <c r="D1137" s="736">
        <v>42329</v>
      </c>
      <c r="E1137" s="737">
        <v>0.85416666666666663</v>
      </c>
      <c r="F1137" s="731">
        <v>42331</v>
      </c>
      <c r="G1137" s="730">
        <v>4.1666666666666664E-2</v>
      </c>
      <c r="H1137" s="744" t="s">
        <v>1833</v>
      </c>
      <c r="I1137" s="552" t="s">
        <v>826</v>
      </c>
      <c r="J1137" s="745" t="s">
        <v>2753</v>
      </c>
      <c r="K1137" s="552" t="s">
        <v>22</v>
      </c>
      <c r="L1137" s="550" t="s">
        <v>45</v>
      </c>
      <c r="M1137" s="551">
        <v>60000</v>
      </c>
    </row>
    <row r="1138" spans="3:13" ht="19.5">
      <c r="C1138" s="735"/>
      <c r="D1138" s="736">
        <v>42336</v>
      </c>
      <c r="E1138" s="737">
        <v>0.25</v>
      </c>
      <c r="F1138" s="731">
        <v>42338</v>
      </c>
      <c r="G1138" s="730">
        <v>0.54166666666666663</v>
      </c>
      <c r="H1138" s="744" t="s">
        <v>10</v>
      </c>
      <c r="I1138" s="552" t="s">
        <v>58</v>
      </c>
      <c r="J1138" s="745" t="s">
        <v>2753</v>
      </c>
      <c r="K1138" s="552" t="s">
        <v>22</v>
      </c>
      <c r="L1138" s="550" t="s">
        <v>45</v>
      </c>
      <c r="M1138" s="551">
        <v>55609</v>
      </c>
    </row>
    <row r="1139" spans="3:13" ht="19.5">
      <c r="C1139" s="735"/>
      <c r="D1139" s="736">
        <v>42336</v>
      </c>
      <c r="E1139" s="737">
        <v>0.25</v>
      </c>
      <c r="F1139" s="731" t="s">
        <v>45</v>
      </c>
      <c r="G1139" s="730" t="s">
        <v>45</v>
      </c>
      <c r="H1139" s="744" t="s">
        <v>10</v>
      </c>
      <c r="I1139" s="552" t="s">
        <v>58</v>
      </c>
      <c r="J1139" s="745" t="s">
        <v>2753</v>
      </c>
      <c r="K1139" s="552" t="s">
        <v>22</v>
      </c>
      <c r="L1139" s="550" t="s">
        <v>45</v>
      </c>
      <c r="M1139" s="551">
        <v>35000</v>
      </c>
    </row>
    <row r="1140" spans="3:13" ht="19.5">
      <c r="C1140" s="735"/>
      <c r="D1140" s="736">
        <v>42337</v>
      </c>
      <c r="E1140" s="737">
        <v>0.70000000000000007</v>
      </c>
      <c r="F1140" s="731">
        <v>42337</v>
      </c>
      <c r="G1140" s="730">
        <v>0.76388888888888884</v>
      </c>
      <c r="H1140" s="744" t="s">
        <v>2271</v>
      </c>
      <c r="I1140" s="552" t="s">
        <v>255</v>
      </c>
      <c r="J1140" s="745" t="s">
        <v>2622</v>
      </c>
      <c r="K1140" s="552" t="s">
        <v>2764</v>
      </c>
      <c r="L1140" s="550">
        <v>0</v>
      </c>
      <c r="M1140" s="551">
        <v>0</v>
      </c>
    </row>
    <row r="1141" spans="3:13" ht="19.5">
      <c r="C1141" s="735"/>
      <c r="D1141" s="736">
        <v>42338</v>
      </c>
      <c r="E1141" s="737">
        <v>0.26250000000000001</v>
      </c>
      <c r="F1141" s="731">
        <v>42338</v>
      </c>
      <c r="G1141" s="730">
        <v>0.88750000000000007</v>
      </c>
      <c r="H1141" s="744" t="s">
        <v>2271</v>
      </c>
      <c r="I1141" s="552" t="s">
        <v>255</v>
      </c>
      <c r="J1141" s="745" t="s">
        <v>2622</v>
      </c>
      <c r="K1141" s="552" t="s">
        <v>2764</v>
      </c>
      <c r="L1141" s="550">
        <v>100</v>
      </c>
      <c r="M1141" s="551">
        <v>86559</v>
      </c>
    </row>
    <row r="1142" spans="3:13" ht="19.5">
      <c r="C1142" s="735"/>
      <c r="D1142" s="736">
        <v>42340</v>
      </c>
      <c r="E1142" s="737">
        <v>0.54375000000000007</v>
      </c>
      <c r="F1142" s="731">
        <v>42341</v>
      </c>
      <c r="G1142" s="730">
        <v>0.52013888888888882</v>
      </c>
      <c r="H1142" s="745" t="s">
        <v>2815</v>
      </c>
      <c r="I1142" s="552" t="s">
        <v>58</v>
      </c>
      <c r="J1142" s="745" t="s">
        <v>2150</v>
      </c>
      <c r="K1142" s="552" t="s">
        <v>100</v>
      </c>
      <c r="L1142" s="552">
        <v>0</v>
      </c>
      <c r="M1142" s="549">
        <v>0</v>
      </c>
    </row>
    <row r="1143" spans="3:13" ht="19.5">
      <c r="C1143" s="735"/>
      <c r="D1143" s="736">
        <v>42343</v>
      </c>
      <c r="E1143" s="737">
        <v>0.875</v>
      </c>
      <c r="F1143" s="731">
        <v>42343</v>
      </c>
      <c r="G1143" s="730">
        <v>0.9375</v>
      </c>
      <c r="H1143" s="745" t="s">
        <v>2787</v>
      </c>
      <c r="I1143" s="552" t="s">
        <v>58</v>
      </c>
      <c r="J1143" s="745" t="s">
        <v>2150</v>
      </c>
      <c r="K1143" s="552" t="s">
        <v>100</v>
      </c>
      <c r="L1143" s="552">
        <v>0</v>
      </c>
      <c r="M1143" s="549">
        <v>0</v>
      </c>
    </row>
    <row r="1144" spans="3:13" ht="19.5">
      <c r="C1144" s="735"/>
      <c r="D1144" s="736">
        <v>42343</v>
      </c>
      <c r="E1144" s="737">
        <v>0.80694444444444446</v>
      </c>
      <c r="F1144" s="731">
        <v>42344</v>
      </c>
      <c r="G1144" s="730">
        <v>0.22708333333333333</v>
      </c>
      <c r="H1144" s="745" t="s">
        <v>2816</v>
      </c>
      <c r="I1144" s="552" t="s">
        <v>61</v>
      </c>
      <c r="J1144" s="745" t="s">
        <v>2753</v>
      </c>
      <c r="K1144" s="552" t="s">
        <v>2798</v>
      </c>
      <c r="L1144" s="552">
        <v>110</v>
      </c>
      <c r="M1144" s="549">
        <v>52476</v>
      </c>
    </row>
    <row r="1145" spans="3:13" ht="19.5">
      <c r="C1145" s="735"/>
      <c r="D1145" s="736">
        <v>42346</v>
      </c>
      <c r="E1145" s="737">
        <v>0.58333333333333337</v>
      </c>
      <c r="F1145" s="731">
        <v>42346</v>
      </c>
      <c r="G1145" s="730">
        <v>0.58402777777777781</v>
      </c>
      <c r="H1145" s="745" t="s">
        <v>2817</v>
      </c>
      <c r="I1145" s="552" t="s">
        <v>124</v>
      </c>
      <c r="J1145" s="745" t="s">
        <v>2150</v>
      </c>
      <c r="K1145" s="552" t="s">
        <v>2343</v>
      </c>
      <c r="L1145" s="552">
        <v>0</v>
      </c>
      <c r="M1145" s="549">
        <v>0</v>
      </c>
    </row>
    <row r="1146" spans="3:13" ht="19.5">
      <c r="C1146" s="735"/>
      <c r="D1146" s="736">
        <v>42347</v>
      </c>
      <c r="E1146" s="737">
        <v>0.75416666666666676</v>
      </c>
      <c r="F1146" s="731">
        <v>42347</v>
      </c>
      <c r="G1146" s="730">
        <v>0.91111111111111109</v>
      </c>
      <c r="H1146" s="745" t="s">
        <v>2271</v>
      </c>
      <c r="I1146" s="552"/>
      <c r="J1146" s="745" t="s">
        <v>2622</v>
      </c>
      <c r="K1146" s="552" t="s">
        <v>2764</v>
      </c>
      <c r="L1146" s="552">
        <v>0</v>
      </c>
      <c r="M1146" s="549">
        <v>0</v>
      </c>
    </row>
    <row r="1147" spans="3:13" ht="19.5">
      <c r="C1147" s="735"/>
      <c r="D1147" s="736">
        <v>42347</v>
      </c>
      <c r="E1147" s="737">
        <v>0.16666666666666666</v>
      </c>
      <c r="F1147" s="731">
        <v>42347</v>
      </c>
      <c r="G1147" s="730">
        <v>0.45833333333333331</v>
      </c>
      <c r="H1147" s="745" t="s">
        <v>2575</v>
      </c>
      <c r="I1147" s="552" t="s">
        <v>124</v>
      </c>
      <c r="J1147" s="745" t="s">
        <v>2753</v>
      </c>
      <c r="K1147" s="552" t="s">
        <v>22</v>
      </c>
      <c r="L1147" s="552">
        <v>115</v>
      </c>
      <c r="M1147" s="549">
        <v>76300</v>
      </c>
    </row>
    <row r="1148" spans="3:13" ht="19.5">
      <c r="C1148" s="735"/>
      <c r="D1148" s="736">
        <v>42348</v>
      </c>
      <c r="E1148" s="737">
        <v>0.89236111111111116</v>
      </c>
      <c r="F1148" s="731">
        <v>42348</v>
      </c>
      <c r="G1148" s="730">
        <v>0.9375</v>
      </c>
      <c r="H1148" s="745" t="s">
        <v>2818</v>
      </c>
      <c r="I1148" s="552" t="s">
        <v>63</v>
      </c>
      <c r="J1148" s="745" t="s">
        <v>2769</v>
      </c>
      <c r="K1148" s="552" t="s">
        <v>2764</v>
      </c>
      <c r="L1148" s="552">
        <v>400</v>
      </c>
      <c r="M1148" s="549">
        <v>1</v>
      </c>
    </row>
    <row r="1149" spans="3:13" ht="19.5">
      <c r="C1149" s="735"/>
      <c r="D1149" s="736">
        <v>42348</v>
      </c>
      <c r="E1149" s="737">
        <v>0.74652777777777779</v>
      </c>
      <c r="F1149" s="731">
        <v>42348</v>
      </c>
      <c r="G1149" s="730">
        <v>0.74722222222222223</v>
      </c>
      <c r="H1149" s="745" t="s">
        <v>2819</v>
      </c>
      <c r="I1149" s="552" t="s">
        <v>124</v>
      </c>
      <c r="J1149" s="745" t="s">
        <v>2150</v>
      </c>
      <c r="K1149" s="552" t="s">
        <v>100</v>
      </c>
      <c r="L1149" s="552" t="s">
        <v>45</v>
      </c>
      <c r="M1149" s="549" t="s">
        <v>45</v>
      </c>
    </row>
    <row r="1150" spans="3:13" ht="19.5">
      <c r="C1150" s="735"/>
      <c r="D1150" s="736">
        <v>42348</v>
      </c>
      <c r="E1150" s="737">
        <v>0.16180555555555556</v>
      </c>
      <c r="F1150" s="731">
        <v>42348</v>
      </c>
      <c r="G1150" s="730">
        <v>0.17222222222222225</v>
      </c>
      <c r="H1150" s="745" t="s">
        <v>2820</v>
      </c>
      <c r="I1150" s="552" t="s">
        <v>124</v>
      </c>
      <c r="J1150" s="746" t="s">
        <v>2763</v>
      </c>
      <c r="K1150" s="552" t="s">
        <v>22</v>
      </c>
      <c r="L1150" s="552">
        <v>24</v>
      </c>
      <c r="M1150" s="549">
        <v>9956</v>
      </c>
    </row>
    <row r="1151" spans="3:13" ht="19.5">
      <c r="C1151" s="735"/>
      <c r="D1151" s="736">
        <v>42348</v>
      </c>
      <c r="E1151" s="737">
        <v>0.25069444444444444</v>
      </c>
      <c r="F1151" s="731">
        <v>42348</v>
      </c>
      <c r="G1151" s="730">
        <v>0.30069444444444443</v>
      </c>
      <c r="H1151" s="745" t="s">
        <v>2821</v>
      </c>
      <c r="I1151" s="552" t="s">
        <v>124</v>
      </c>
      <c r="J1151" s="746" t="s">
        <v>2763</v>
      </c>
      <c r="K1151" s="552" t="s">
        <v>22</v>
      </c>
      <c r="L1151" s="552">
        <v>29</v>
      </c>
      <c r="M1151" s="549">
        <v>9956</v>
      </c>
    </row>
    <row r="1152" spans="3:13" ht="19.5">
      <c r="C1152" s="735"/>
      <c r="D1152" s="736">
        <v>42362</v>
      </c>
      <c r="E1152" s="737">
        <v>0.125</v>
      </c>
      <c r="F1152" s="731">
        <v>42364</v>
      </c>
      <c r="G1152" s="730">
        <v>0</v>
      </c>
      <c r="H1152" s="745" t="s">
        <v>2822</v>
      </c>
      <c r="I1152" s="552" t="s">
        <v>826</v>
      </c>
      <c r="J1152" s="745" t="s">
        <v>2753</v>
      </c>
      <c r="K1152" s="552" t="s">
        <v>22</v>
      </c>
      <c r="L1152" s="552" t="s">
        <v>45</v>
      </c>
      <c r="M1152" s="549">
        <v>168000</v>
      </c>
    </row>
    <row r="1153" spans="3:13" ht="19.5">
      <c r="C1153" s="735"/>
      <c r="D1153" s="736">
        <v>42364</v>
      </c>
      <c r="E1153" s="737">
        <v>0.8125</v>
      </c>
      <c r="F1153" s="731" t="s">
        <v>45</v>
      </c>
      <c r="G1153" s="730" t="s">
        <v>45</v>
      </c>
      <c r="H1153" s="745" t="s">
        <v>166</v>
      </c>
      <c r="I1153" s="552" t="s">
        <v>1352</v>
      </c>
      <c r="J1153" s="745" t="s">
        <v>2753</v>
      </c>
      <c r="K1153" s="552" t="s">
        <v>22</v>
      </c>
      <c r="L1153" s="552" t="s">
        <v>45</v>
      </c>
      <c r="M1153" s="549">
        <v>70000</v>
      </c>
    </row>
    <row r="1154" spans="3:13" ht="19.5">
      <c r="C1154" s="735"/>
      <c r="D1154" s="736">
        <v>42364</v>
      </c>
      <c r="E1154" s="737">
        <v>0.75</v>
      </c>
      <c r="F1154" s="731">
        <v>42368</v>
      </c>
      <c r="G1154" s="730">
        <v>0.25</v>
      </c>
      <c r="H1154" s="745" t="s">
        <v>2823</v>
      </c>
      <c r="I1154" s="552" t="s">
        <v>58</v>
      </c>
      <c r="J1154" s="745" t="s">
        <v>2753</v>
      </c>
      <c r="K1154" s="552" t="s">
        <v>22</v>
      </c>
      <c r="L1154" s="552" t="s">
        <v>45</v>
      </c>
      <c r="M1154" s="549">
        <v>116800</v>
      </c>
    </row>
    <row r="1155" spans="3:13" ht="19.5">
      <c r="C1155" s="735"/>
      <c r="D1155" s="736">
        <v>42365</v>
      </c>
      <c r="E1155" s="737">
        <v>0.98472222222222217</v>
      </c>
      <c r="F1155" s="731">
        <v>42366</v>
      </c>
      <c r="G1155" s="730">
        <v>0.70833333333333337</v>
      </c>
      <c r="H1155" s="745" t="s">
        <v>10</v>
      </c>
      <c r="I1155" s="552" t="s">
        <v>58</v>
      </c>
      <c r="J1155" s="745" t="s">
        <v>2753</v>
      </c>
      <c r="K1155" s="552" t="s">
        <v>22</v>
      </c>
      <c r="L1155" s="552" t="s">
        <v>45</v>
      </c>
      <c r="M1155" s="549">
        <v>54476</v>
      </c>
    </row>
    <row r="1156" spans="3:13" ht="19.5">
      <c r="C1156" s="735"/>
      <c r="D1156" s="736">
        <v>42365</v>
      </c>
      <c r="E1156" s="737">
        <v>0.70833333333333337</v>
      </c>
      <c r="F1156" s="731" t="s">
        <v>45</v>
      </c>
      <c r="G1156" s="730" t="s">
        <v>45</v>
      </c>
      <c r="H1156" s="745" t="s">
        <v>10</v>
      </c>
      <c r="I1156" s="552" t="s">
        <v>58</v>
      </c>
      <c r="J1156" s="745" t="s">
        <v>2753</v>
      </c>
      <c r="K1156" s="552" t="s">
        <v>22</v>
      </c>
      <c r="L1156" s="552" t="s">
        <v>45</v>
      </c>
      <c r="M1156" s="549">
        <v>50500</v>
      </c>
    </row>
    <row r="1157" spans="3:13" ht="19.5">
      <c r="C1157" s="735"/>
      <c r="D1157" s="736">
        <v>42367</v>
      </c>
      <c r="E1157" s="737">
        <v>0.35416666666666669</v>
      </c>
      <c r="F1157" s="731">
        <v>42367</v>
      </c>
      <c r="G1157" s="730">
        <v>0.35486111111111113</v>
      </c>
      <c r="H1157" s="745" t="s">
        <v>2079</v>
      </c>
      <c r="I1157" s="552" t="s">
        <v>61</v>
      </c>
      <c r="J1157" s="745" t="s">
        <v>2150</v>
      </c>
      <c r="K1157" s="552" t="s">
        <v>2343</v>
      </c>
      <c r="L1157" s="552">
        <v>0</v>
      </c>
      <c r="M1157" s="549">
        <v>0</v>
      </c>
    </row>
    <row r="1158" spans="3:13" ht="19.5">
      <c r="C1158" s="735"/>
      <c r="D1158" s="736">
        <v>42369</v>
      </c>
      <c r="E1158" s="737">
        <v>0.70833333333333337</v>
      </c>
      <c r="F1158" s="731">
        <v>42369</v>
      </c>
      <c r="G1158" s="730">
        <v>0.90277777777777779</v>
      </c>
      <c r="H1158" s="745" t="s">
        <v>2824</v>
      </c>
      <c r="I1158" s="552" t="s">
        <v>58</v>
      </c>
      <c r="J1158" s="746" t="s">
        <v>2744</v>
      </c>
      <c r="K1158" s="552" t="s">
        <v>22</v>
      </c>
      <c r="L1158" s="552">
        <v>8</v>
      </c>
      <c r="M1158" s="549">
        <v>1500</v>
      </c>
    </row>
    <row r="1159" spans="3:13" ht="20.25" thickBot="1">
      <c r="C1159" s="735"/>
      <c r="D1159" s="736">
        <v>42369</v>
      </c>
      <c r="E1159" s="737">
        <v>0.45833333333333331</v>
      </c>
      <c r="F1159" s="731" t="s">
        <v>45</v>
      </c>
      <c r="G1159" s="730" t="s">
        <v>45</v>
      </c>
      <c r="H1159" s="747" t="s">
        <v>16</v>
      </c>
      <c r="I1159" s="553" t="s">
        <v>63</v>
      </c>
      <c r="J1159" s="747" t="s">
        <v>2150</v>
      </c>
      <c r="K1159" s="553" t="s">
        <v>2343</v>
      </c>
      <c r="L1159" s="553">
        <v>0</v>
      </c>
      <c r="M1159" s="668">
        <v>0</v>
      </c>
    </row>
    <row r="1160" spans="3:13" ht="19.5">
      <c r="C1160" s="735"/>
      <c r="D1160" s="736">
        <v>42373</v>
      </c>
      <c r="E1160" s="737">
        <v>0.21875</v>
      </c>
      <c r="F1160" s="731">
        <v>42374</v>
      </c>
      <c r="G1160" s="730">
        <v>0.33333333333333331</v>
      </c>
      <c r="H1160" s="748" t="s">
        <v>2826</v>
      </c>
      <c r="I1160" s="749" t="s">
        <v>674</v>
      </c>
      <c r="J1160" s="749" t="s">
        <v>2150</v>
      </c>
      <c r="K1160" s="749" t="s">
        <v>2343</v>
      </c>
      <c r="L1160" s="616">
        <v>0</v>
      </c>
      <c r="M1160" s="669">
        <v>0</v>
      </c>
    </row>
    <row r="1161" spans="3:13" ht="19.5">
      <c r="C1161" s="735"/>
      <c r="D1161" s="736">
        <v>42379</v>
      </c>
      <c r="E1161" s="737">
        <v>0.8652777777777777</v>
      </c>
      <c r="F1161" s="731">
        <v>42380</v>
      </c>
      <c r="G1161" s="730">
        <v>0.22569444444444445</v>
      </c>
      <c r="H1161" s="750" t="s">
        <v>2827</v>
      </c>
      <c r="I1161" s="555" t="s">
        <v>61</v>
      </c>
      <c r="J1161" s="555" t="s">
        <v>2753</v>
      </c>
      <c r="K1161" s="555" t="s">
        <v>2828</v>
      </c>
      <c r="L1161" s="617" t="s">
        <v>45</v>
      </c>
      <c r="M1161" s="670">
        <v>59859</v>
      </c>
    </row>
    <row r="1162" spans="3:13" ht="19.5">
      <c r="C1162" s="735"/>
      <c r="D1162" s="736">
        <v>42380</v>
      </c>
      <c r="E1162" s="737">
        <v>0.84444444444444444</v>
      </c>
      <c r="F1162" s="731">
        <v>42380</v>
      </c>
      <c r="G1162" s="730">
        <v>0.95833333333333337</v>
      </c>
      <c r="H1162" s="750" t="s">
        <v>2829</v>
      </c>
      <c r="I1162" s="555" t="s">
        <v>826</v>
      </c>
      <c r="J1162" s="555" t="s">
        <v>2150</v>
      </c>
      <c r="K1162" s="555" t="s">
        <v>100</v>
      </c>
      <c r="L1162" s="617">
        <v>0</v>
      </c>
      <c r="M1162" s="670">
        <v>0</v>
      </c>
    </row>
    <row r="1163" spans="3:13" ht="19.5">
      <c r="C1163" s="735"/>
      <c r="D1163" s="736">
        <v>42383</v>
      </c>
      <c r="E1163" s="737">
        <v>0.3520833333333333</v>
      </c>
      <c r="F1163" s="731">
        <v>42383</v>
      </c>
      <c r="G1163" s="730">
        <v>0.5</v>
      </c>
      <c r="H1163" s="750" t="s">
        <v>2830</v>
      </c>
      <c r="I1163" s="555" t="s">
        <v>826</v>
      </c>
      <c r="J1163" s="555" t="s">
        <v>2150</v>
      </c>
      <c r="K1163" s="555" t="s">
        <v>100</v>
      </c>
      <c r="L1163" s="617">
        <v>0</v>
      </c>
      <c r="M1163" s="670">
        <v>0</v>
      </c>
    </row>
    <row r="1164" spans="3:13" ht="19.5">
      <c r="C1164" s="735"/>
      <c r="D1164" s="736">
        <v>42386</v>
      </c>
      <c r="E1164" s="737">
        <v>0.5</v>
      </c>
      <c r="F1164" s="731">
        <v>42386</v>
      </c>
      <c r="G1164" s="730">
        <v>0.54166666666666663</v>
      </c>
      <c r="H1164" s="750" t="s">
        <v>2831</v>
      </c>
      <c r="I1164" s="555" t="s">
        <v>124</v>
      </c>
      <c r="J1164" s="555" t="s">
        <v>2150</v>
      </c>
      <c r="K1164" s="555" t="s">
        <v>2343</v>
      </c>
      <c r="L1164" s="617">
        <v>0</v>
      </c>
      <c r="M1164" s="670">
        <v>0</v>
      </c>
    </row>
    <row r="1165" spans="3:13" ht="19.5">
      <c r="C1165" s="735"/>
      <c r="D1165" s="736">
        <v>42391</v>
      </c>
      <c r="E1165" s="737">
        <v>0.66111111111111109</v>
      </c>
      <c r="F1165" s="731">
        <v>42393</v>
      </c>
      <c r="G1165" s="730">
        <v>0.52083333333333337</v>
      </c>
      <c r="H1165" s="750" t="s">
        <v>2832</v>
      </c>
      <c r="I1165" s="555" t="s">
        <v>63</v>
      </c>
      <c r="J1165" s="555" t="s">
        <v>2753</v>
      </c>
      <c r="K1165" s="555" t="s">
        <v>2828</v>
      </c>
      <c r="L1165" s="617" t="s">
        <v>45</v>
      </c>
      <c r="M1165" s="670">
        <v>150000</v>
      </c>
    </row>
    <row r="1166" spans="3:13" ht="19.5">
      <c r="C1166" s="735"/>
      <c r="D1166" s="736">
        <v>42392</v>
      </c>
      <c r="E1166" s="737">
        <v>0.32569444444444445</v>
      </c>
      <c r="F1166" s="731">
        <v>42392</v>
      </c>
      <c r="G1166" s="730">
        <v>0.37847222222222227</v>
      </c>
      <c r="H1166" s="750" t="s">
        <v>2833</v>
      </c>
      <c r="I1166" s="555" t="s">
        <v>826</v>
      </c>
      <c r="J1166" s="555" t="s">
        <v>2753</v>
      </c>
      <c r="K1166" s="555" t="s">
        <v>2828</v>
      </c>
      <c r="L1166" s="617" t="s">
        <v>45</v>
      </c>
      <c r="M1166" s="670">
        <v>50900</v>
      </c>
    </row>
    <row r="1167" spans="3:13" ht="19.5">
      <c r="C1167" s="735"/>
      <c r="D1167" s="736">
        <v>42405</v>
      </c>
      <c r="E1167" s="737">
        <v>0.47291666666666665</v>
      </c>
      <c r="F1167" s="731">
        <v>42406</v>
      </c>
      <c r="G1167" s="730">
        <v>0.65833333333333333</v>
      </c>
      <c r="H1167" s="554" t="s">
        <v>2834</v>
      </c>
      <c r="I1167" s="751" t="s">
        <v>61</v>
      </c>
      <c r="J1167" s="555" t="s">
        <v>2753</v>
      </c>
      <c r="K1167" s="555" t="s">
        <v>2828</v>
      </c>
      <c r="L1167" s="555" t="s">
        <v>45</v>
      </c>
      <c r="M1167" s="556">
        <v>115057</v>
      </c>
    </row>
    <row r="1168" spans="3:13" ht="19.5">
      <c r="C1168" s="735"/>
      <c r="D1168" s="736">
        <v>42407</v>
      </c>
      <c r="E1168" s="737">
        <v>0.47916666666666669</v>
      </c>
      <c r="F1168" s="731" t="s">
        <v>45</v>
      </c>
      <c r="G1168" s="730" t="s">
        <v>45</v>
      </c>
      <c r="H1168" s="554" t="s">
        <v>2835</v>
      </c>
      <c r="I1168" s="751" t="s">
        <v>61</v>
      </c>
      <c r="J1168" s="555" t="s">
        <v>2139</v>
      </c>
      <c r="K1168" s="555" t="s">
        <v>2836</v>
      </c>
      <c r="L1168" s="555" t="s">
        <v>45</v>
      </c>
      <c r="M1168" s="556" t="s">
        <v>45</v>
      </c>
    </row>
    <row r="1169" spans="3:13" ht="19.5">
      <c r="C1169" s="735"/>
      <c r="D1169" s="736">
        <v>42407</v>
      </c>
      <c r="E1169" s="737">
        <v>0.62361111111111112</v>
      </c>
      <c r="F1169" s="731" t="s">
        <v>45</v>
      </c>
      <c r="G1169" s="730" t="s">
        <v>45</v>
      </c>
      <c r="H1169" s="554" t="s">
        <v>2837</v>
      </c>
      <c r="I1169" s="751" t="s">
        <v>124</v>
      </c>
      <c r="J1169" s="555" t="s">
        <v>2150</v>
      </c>
      <c r="K1169" s="555" t="s">
        <v>2343</v>
      </c>
      <c r="L1169" s="555" t="s">
        <v>45</v>
      </c>
      <c r="M1169" s="556" t="s">
        <v>45</v>
      </c>
    </row>
    <row r="1170" spans="3:13" ht="19.5">
      <c r="C1170" s="735"/>
      <c r="D1170" s="736">
        <v>42407</v>
      </c>
      <c r="E1170" s="737">
        <v>0.55625000000000002</v>
      </c>
      <c r="F1170" s="731">
        <v>42407</v>
      </c>
      <c r="G1170" s="730">
        <v>0.5708333333333333</v>
      </c>
      <c r="H1170" s="554" t="s">
        <v>2838</v>
      </c>
      <c r="I1170" s="751" t="s">
        <v>124</v>
      </c>
      <c r="J1170" s="555" t="s">
        <v>2150</v>
      </c>
      <c r="K1170" s="555" t="s">
        <v>100</v>
      </c>
      <c r="L1170" s="555">
        <v>0</v>
      </c>
      <c r="M1170" s="556">
        <v>0</v>
      </c>
    </row>
    <row r="1171" spans="3:13" ht="19.5">
      <c r="C1171" s="735"/>
      <c r="D1171" s="736">
        <v>42413</v>
      </c>
      <c r="E1171" s="737">
        <v>0.53055555555555556</v>
      </c>
      <c r="F1171" s="731">
        <v>42413</v>
      </c>
      <c r="G1171" s="730">
        <v>0.68541666666666667</v>
      </c>
      <c r="H1171" s="554" t="s">
        <v>18</v>
      </c>
      <c r="I1171" s="751" t="s">
        <v>63</v>
      </c>
      <c r="J1171" s="555" t="s">
        <v>2839</v>
      </c>
      <c r="K1171" s="555" t="s">
        <v>2840</v>
      </c>
      <c r="L1171" s="555">
        <v>7</v>
      </c>
      <c r="M1171" s="556">
        <v>4300</v>
      </c>
    </row>
    <row r="1172" spans="3:13" ht="19.5">
      <c r="C1172" s="735"/>
      <c r="D1172" s="736">
        <v>42416</v>
      </c>
      <c r="E1172" s="737">
        <v>0.3576388888888889</v>
      </c>
      <c r="F1172" s="731">
        <v>42416</v>
      </c>
      <c r="G1172" s="730">
        <v>0.72777777777777775</v>
      </c>
      <c r="H1172" s="554" t="s">
        <v>2841</v>
      </c>
      <c r="I1172" s="751" t="s">
        <v>826</v>
      </c>
      <c r="J1172" s="555" t="s">
        <v>2753</v>
      </c>
      <c r="K1172" s="555" t="s">
        <v>2828</v>
      </c>
      <c r="L1172" s="555" t="s">
        <v>45</v>
      </c>
      <c r="M1172" s="556">
        <v>52640</v>
      </c>
    </row>
    <row r="1173" spans="3:13" ht="19.5">
      <c r="C1173" s="735"/>
      <c r="D1173" s="736">
        <v>42419</v>
      </c>
      <c r="E1173" s="737">
        <v>0.91666666666666663</v>
      </c>
      <c r="F1173" s="731">
        <v>42420</v>
      </c>
      <c r="G1173" s="730">
        <v>0.96736111111111101</v>
      </c>
      <c r="H1173" s="554" t="s">
        <v>1833</v>
      </c>
      <c r="I1173" s="751" t="s">
        <v>826</v>
      </c>
      <c r="J1173" s="555" t="s">
        <v>2753</v>
      </c>
      <c r="K1173" s="555" t="s">
        <v>2828</v>
      </c>
      <c r="L1173" s="555" t="s">
        <v>45</v>
      </c>
      <c r="M1173" s="556">
        <v>145314</v>
      </c>
    </row>
    <row r="1174" spans="3:13" ht="19.5">
      <c r="C1174" s="735"/>
      <c r="D1174" s="736">
        <v>42421</v>
      </c>
      <c r="E1174" s="737">
        <v>0.66249999999999998</v>
      </c>
      <c r="F1174" s="731">
        <v>42421</v>
      </c>
      <c r="G1174" s="730">
        <v>0.71319444444444446</v>
      </c>
      <c r="H1174" s="554" t="s">
        <v>2837</v>
      </c>
      <c r="I1174" s="751" t="s">
        <v>124</v>
      </c>
      <c r="J1174" s="555" t="s">
        <v>2150</v>
      </c>
      <c r="K1174" s="555" t="s">
        <v>2343</v>
      </c>
      <c r="L1174" s="555">
        <v>0</v>
      </c>
      <c r="M1174" s="556">
        <v>0</v>
      </c>
    </row>
    <row r="1175" spans="3:13" ht="19.5">
      <c r="C1175" s="735"/>
      <c r="D1175" s="736">
        <v>42424</v>
      </c>
      <c r="E1175" s="737">
        <v>0.61458333333333337</v>
      </c>
      <c r="F1175" s="731">
        <v>42425</v>
      </c>
      <c r="G1175" s="730">
        <v>0.20833333333333334</v>
      </c>
      <c r="H1175" s="554" t="s">
        <v>2842</v>
      </c>
      <c r="I1175" s="751" t="s">
        <v>63</v>
      </c>
      <c r="J1175" s="555" t="s">
        <v>2753</v>
      </c>
      <c r="K1175" s="555" t="s">
        <v>2828</v>
      </c>
      <c r="L1175" s="555">
        <v>400</v>
      </c>
      <c r="M1175" s="556">
        <v>284610</v>
      </c>
    </row>
    <row r="1176" spans="3:13" ht="19.5">
      <c r="C1176" s="735"/>
      <c r="D1176" s="736">
        <v>42424</v>
      </c>
      <c r="E1176" s="737">
        <v>0.38194444444444442</v>
      </c>
      <c r="F1176" s="731">
        <v>42424</v>
      </c>
      <c r="G1176" s="730">
        <v>0.42708333333333331</v>
      </c>
      <c r="H1176" s="554" t="s">
        <v>2646</v>
      </c>
      <c r="I1176" s="751" t="s">
        <v>826</v>
      </c>
      <c r="J1176" s="555" t="s">
        <v>2150</v>
      </c>
      <c r="K1176" s="555" t="s">
        <v>100</v>
      </c>
      <c r="L1176" s="555">
        <v>0</v>
      </c>
      <c r="M1176" s="556">
        <v>0</v>
      </c>
    </row>
    <row r="1177" spans="3:13" ht="19.5">
      <c r="C1177" s="735"/>
      <c r="D1177" s="736">
        <v>42425</v>
      </c>
      <c r="E1177" s="737">
        <v>7.2222222222222229E-2</v>
      </c>
      <c r="F1177" s="731">
        <v>42425</v>
      </c>
      <c r="G1177" s="730">
        <v>0.61458333333333337</v>
      </c>
      <c r="H1177" s="554" t="s">
        <v>2843</v>
      </c>
      <c r="I1177" s="751" t="s">
        <v>61</v>
      </c>
      <c r="J1177" s="555" t="s">
        <v>2753</v>
      </c>
      <c r="K1177" s="555" t="s">
        <v>2828</v>
      </c>
      <c r="L1177" s="555" t="s">
        <v>45</v>
      </c>
      <c r="M1177" s="556">
        <v>114190</v>
      </c>
    </row>
    <row r="1178" spans="3:13" ht="19.5">
      <c r="C1178" s="735"/>
      <c r="D1178" s="736">
        <v>42426</v>
      </c>
      <c r="E1178" s="737">
        <v>0.69097222222222221</v>
      </c>
      <c r="F1178" s="731">
        <v>42426</v>
      </c>
      <c r="G1178" s="730">
        <v>0.84861111111111109</v>
      </c>
      <c r="H1178" s="554" t="s">
        <v>2844</v>
      </c>
      <c r="I1178" s="751" t="s">
        <v>124</v>
      </c>
      <c r="J1178" s="555" t="s">
        <v>2150</v>
      </c>
      <c r="K1178" s="555" t="s">
        <v>2845</v>
      </c>
      <c r="L1178" s="555">
        <v>2</v>
      </c>
      <c r="M1178" s="556">
        <v>2713</v>
      </c>
    </row>
    <row r="1179" spans="3:13" ht="19.5">
      <c r="C1179" s="735"/>
      <c r="D1179" s="736">
        <v>42426</v>
      </c>
      <c r="E1179" s="737">
        <v>6.9444444444444447E-4</v>
      </c>
      <c r="F1179" s="731" t="s">
        <v>45</v>
      </c>
      <c r="G1179" s="730" t="s">
        <v>45</v>
      </c>
      <c r="H1179" s="554" t="s">
        <v>2846</v>
      </c>
      <c r="I1179" s="751" t="s">
        <v>124</v>
      </c>
      <c r="J1179" s="555" t="s">
        <v>2780</v>
      </c>
      <c r="K1179" s="555" t="s">
        <v>1138</v>
      </c>
      <c r="L1179" s="555">
        <v>0</v>
      </c>
      <c r="M1179" s="556">
        <v>0</v>
      </c>
    </row>
    <row r="1180" spans="3:13" ht="19.5">
      <c r="C1180" s="735"/>
      <c r="D1180" s="736">
        <v>42430</v>
      </c>
      <c r="E1180" s="737">
        <v>0.56597222222222221</v>
      </c>
      <c r="F1180" s="731" t="s">
        <v>45</v>
      </c>
      <c r="G1180" s="730" t="s">
        <v>45</v>
      </c>
      <c r="H1180" s="752" t="s">
        <v>2847</v>
      </c>
      <c r="I1180" s="751" t="s">
        <v>124</v>
      </c>
      <c r="J1180" s="555" t="s">
        <v>2150</v>
      </c>
      <c r="K1180" s="555" t="s">
        <v>100</v>
      </c>
      <c r="L1180" s="555">
        <v>0</v>
      </c>
      <c r="M1180" s="556">
        <v>0</v>
      </c>
    </row>
    <row r="1181" spans="3:13" ht="19.5">
      <c r="C1181" s="735"/>
      <c r="D1181" s="736">
        <v>42430</v>
      </c>
      <c r="E1181" s="737">
        <v>0.625</v>
      </c>
      <c r="F1181" s="731" t="s">
        <v>45</v>
      </c>
      <c r="G1181" s="730" t="s">
        <v>45</v>
      </c>
      <c r="H1181" s="752" t="s">
        <v>2848</v>
      </c>
      <c r="I1181" s="751" t="s">
        <v>124</v>
      </c>
      <c r="J1181" s="751" t="s">
        <v>2753</v>
      </c>
      <c r="K1181" s="555" t="s">
        <v>2828</v>
      </c>
      <c r="L1181" s="555" t="s">
        <v>45</v>
      </c>
      <c r="M1181" s="556">
        <v>56000</v>
      </c>
    </row>
    <row r="1182" spans="3:13" ht="19.5">
      <c r="C1182" s="735"/>
      <c r="D1182" s="736">
        <v>42432</v>
      </c>
      <c r="E1182" s="737">
        <v>0.45833333333333331</v>
      </c>
      <c r="F1182" s="731">
        <v>42466</v>
      </c>
      <c r="G1182" s="730">
        <v>0.82430555555555562</v>
      </c>
      <c r="H1182" s="554" t="s">
        <v>2849</v>
      </c>
      <c r="I1182" s="751" t="s">
        <v>124</v>
      </c>
      <c r="J1182" s="623" t="s">
        <v>2780</v>
      </c>
      <c r="K1182" s="555" t="s">
        <v>1138</v>
      </c>
      <c r="L1182" s="555">
        <v>0</v>
      </c>
      <c r="M1182" s="556">
        <v>0</v>
      </c>
    </row>
    <row r="1183" spans="3:13" ht="19.5">
      <c r="C1183" s="735"/>
      <c r="D1183" s="736">
        <v>42437</v>
      </c>
      <c r="E1183" s="737">
        <v>0</v>
      </c>
      <c r="F1183" s="731">
        <v>42437</v>
      </c>
      <c r="G1183" s="730">
        <v>0</v>
      </c>
      <c r="H1183" s="554" t="s">
        <v>2850</v>
      </c>
      <c r="I1183" s="751" t="s">
        <v>124</v>
      </c>
      <c r="J1183" s="555" t="s">
        <v>2150</v>
      </c>
      <c r="K1183" s="555" t="s">
        <v>2343</v>
      </c>
      <c r="L1183" s="555">
        <v>0</v>
      </c>
      <c r="M1183" s="556">
        <v>0</v>
      </c>
    </row>
    <row r="1184" spans="3:13" ht="19.5">
      <c r="C1184" s="735"/>
      <c r="D1184" s="736">
        <v>42439</v>
      </c>
      <c r="E1184" s="737">
        <v>0.16666666666666666</v>
      </c>
      <c r="F1184" s="731">
        <v>42440</v>
      </c>
      <c r="G1184" s="730">
        <v>0.4993055555555555</v>
      </c>
      <c r="H1184" s="554" t="s">
        <v>2851</v>
      </c>
      <c r="I1184" s="751" t="s">
        <v>124</v>
      </c>
      <c r="J1184" s="555" t="s">
        <v>2150</v>
      </c>
      <c r="K1184" s="555" t="s">
        <v>2343</v>
      </c>
      <c r="L1184" s="555">
        <v>0</v>
      </c>
      <c r="M1184" s="556">
        <v>0</v>
      </c>
    </row>
    <row r="1185" spans="3:13" ht="19.5">
      <c r="C1185" s="735"/>
      <c r="D1185" s="736">
        <v>42442</v>
      </c>
      <c r="E1185" s="737">
        <v>0.58333333333333337</v>
      </c>
      <c r="F1185" s="731" t="s">
        <v>45</v>
      </c>
      <c r="G1185" s="730" t="s">
        <v>45</v>
      </c>
      <c r="H1185" s="554" t="s">
        <v>2852</v>
      </c>
      <c r="I1185" s="751" t="s">
        <v>124</v>
      </c>
      <c r="J1185" s="555" t="s">
        <v>2150</v>
      </c>
      <c r="K1185" s="555" t="s">
        <v>2343</v>
      </c>
      <c r="L1185" s="555">
        <v>0</v>
      </c>
      <c r="M1185" s="556">
        <v>0</v>
      </c>
    </row>
    <row r="1186" spans="3:13" ht="19.5">
      <c r="C1186" s="735"/>
      <c r="D1186" s="736">
        <v>42442</v>
      </c>
      <c r="E1186" s="737">
        <v>0.70486111111111116</v>
      </c>
      <c r="F1186" s="731" t="s">
        <v>45</v>
      </c>
      <c r="G1186" s="730" t="s">
        <v>45</v>
      </c>
      <c r="H1186" s="554" t="s">
        <v>2853</v>
      </c>
      <c r="I1186" s="751" t="s">
        <v>124</v>
      </c>
      <c r="J1186" s="555" t="s">
        <v>2150</v>
      </c>
      <c r="K1186" s="555" t="s">
        <v>100</v>
      </c>
      <c r="L1186" s="555">
        <v>0</v>
      </c>
      <c r="M1186" s="556">
        <v>0</v>
      </c>
    </row>
    <row r="1187" spans="3:13" ht="19.5">
      <c r="C1187" s="735"/>
      <c r="D1187" s="736">
        <v>42452</v>
      </c>
      <c r="E1187" s="737">
        <v>0.20833333333333334</v>
      </c>
      <c r="F1187" s="731">
        <v>42454</v>
      </c>
      <c r="G1187" s="730">
        <v>0.99930555555555556</v>
      </c>
      <c r="H1187" s="554" t="s">
        <v>2854</v>
      </c>
      <c r="I1187" s="751" t="s">
        <v>124</v>
      </c>
      <c r="J1187" s="555" t="s">
        <v>2753</v>
      </c>
      <c r="K1187" s="555" t="s">
        <v>2828</v>
      </c>
      <c r="L1187" s="555">
        <v>0</v>
      </c>
      <c r="M1187" s="556">
        <v>0</v>
      </c>
    </row>
    <row r="1188" spans="3:13" ht="19.5">
      <c r="C1188" s="735"/>
      <c r="D1188" s="736">
        <v>42456</v>
      </c>
      <c r="E1188" s="737">
        <v>0.5</v>
      </c>
      <c r="F1188" s="731">
        <v>42456</v>
      </c>
      <c r="G1188" s="730">
        <v>0.54166666666666663</v>
      </c>
      <c r="H1188" s="554" t="s">
        <v>2817</v>
      </c>
      <c r="I1188" s="751" t="s">
        <v>124</v>
      </c>
      <c r="J1188" s="555" t="s">
        <v>2150</v>
      </c>
      <c r="K1188" s="555" t="s">
        <v>2343</v>
      </c>
      <c r="L1188" s="555" t="s">
        <v>45</v>
      </c>
      <c r="M1188" s="556">
        <v>110000</v>
      </c>
    </row>
    <row r="1189" spans="3:13" ht="19.5">
      <c r="C1189" s="735"/>
      <c r="D1189" s="736">
        <v>42459</v>
      </c>
      <c r="E1189" s="737">
        <v>0.8833333333333333</v>
      </c>
      <c r="F1189" s="731">
        <v>42460</v>
      </c>
      <c r="G1189" s="730">
        <v>0.625</v>
      </c>
      <c r="H1189" s="554" t="s">
        <v>2855</v>
      </c>
      <c r="I1189" s="751" t="s">
        <v>61</v>
      </c>
      <c r="J1189" s="555" t="s">
        <v>2150</v>
      </c>
      <c r="K1189" s="555" t="s">
        <v>2343</v>
      </c>
      <c r="L1189" s="555">
        <v>200</v>
      </c>
      <c r="M1189" s="556">
        <v>50500</v>
      </c>
    </row>
    <row r="1190" spans="3:13" ht="19.5">
      <c r="C1190" s="735"/>
      <c r="D1190" s="736">
        <v>42461</v>
      </c>
      <c r="E1190" s="737">
        <v>0.69236111111111109</v>
      </c>
      <c r="F1190" s="731">
        <v>42461</v>
      </c>
      <c r="G1190" s="730">
        <v>0.75</v>
      </c>
      <c r="H1190" s="750" t="s">
        <v>2856</v>
      </c>
      <c r="I1190" s="751" t="s">
        <v>301</v>
      </c>
      <c r="J1190" s="555" t="s">
        <v>2150</v>
      </c>
      <c r="K1190" s="555" t="s">
        <v>2343</v>
      </c>
      <c r="L1190" s="618">
        <v>0</v>
      </c>
      <c r="M1190" s="671">
        <v>0</v>
      </c>
    </row>
    <row r="1191" spans="3:13" ht="19.5">
      <c r="C1191" s="735"/>
      <c r="D1191" s="736">
        <v>42462</v>
      </c>
      <c r="E1191" s="737">
        <v>0.46388888888888885</v>
      </c>
      <c r="F1191" s="731">
        <v>42462</v>
      </c>
      <c r="G1191" s="730">
        <v>0.48125000000000001</v>
      </c>
      <c r="H1191" s="750" t="s">
        <v>18</v>
      </c>
      <c r="I1191" s="751" t="s">
        <v>124</v>
      </c>
      <c r="J1191" s="555" t="s">
        <v>2769</v>
      </c>
      <c r="K1191" s="555" t="s">
        <v>2764</v>
      </c>
      <c r="L1191" s="618">
        <v>360</v>
      </c>
      <c r="M1191" s="671">
        <v>0</v>
      </c>
    </row>
    <row r="1192" spans="3:13" ht="19.5">
      <c r="C1192" s="735"/>
      <c r="D1192" s="736">
        <v>42472</v>
      </c>
      <c r="E1192" s="737">
        <v>0.47916666666666669</v>
      </c>
      <c r="F1192" s="731">
        <v>42472</v>
      </c>
      <c r="G1192" s="730">
        <v>0.69652777777777775</v>
      </c>
      <c r="H1192" s="750" t="s">
        <v>2857</v>
      </c>
      <c r="I1192" s="751" t="s">
        <v>124</v>
      </c>
      <c r="J1192" s="555" t="s">
        <v>2139</v>
      </c>
      <c r="K1192" s="555" t="s">
        <v>2836</v>
      </c>
      <c r="L1192" s="618">
        <v>0</v>
      </c>
      <c r="M1192" s="671">
        <v>0</v>
      </c>
    </row>
    <row r="1193" spans="3:13" ht="19.5">
      <c r="C1193" s="735"/>
      <c r="D1193" s="736">
        <v>42474</v>
      </c>
      <c r="E1193" s="737">
        <v>0.7006944444444444</v>
      </c>
      <c r="F1193" s="731">
        <v>42475</v>
      </c>
      <c r="G1193" s="730">
        <v>0.86249999999999993</v>
      </c>
      <c r="H1193" s="750" t="s">
        <v>2858</v>
      </c>
      <c r="I1193" s="751" t="s">
        <v>826</v>
      </c>
      <c r="J1193" s="555" t="s">
        <v>2150</v>
      </c>
      <c r="K1193" s="555" t="s">
        <v>2343</v>
      </c>
      <c r="L1193" s="618">
        <v>0</v>
      </c>
      <c r="M1193" s="671">
        <v>0</v>
      </c>
    </row>
    <row r="1194" spans="3:13" ht="19.5">
      <c r="C1194" s="735"/>
      <c r="D1194" s="736">
        <v>42475</v>
      </c>
      <c r="E1194" s="737">
        <v>0.41666666666666669</v>
      </c>
      <c r="F1194" s="731">
        <v>42475</v>
      </c>
      <c r="G1194" s="730">
        <v>0.45833333333333331</v>
      </c>
      <c r="H1194" s="750" t="s">
        <v>2859</v>
      </c>
      <c r="I1194" s="751" t="s">
        <v>124</v>
      </c>
      <c r="J1194" s="555" t="s">
        <v>2150</v>
      </c>
      <c r="K1194" s="555" t="s">
        <v>100</v>
      </c>
      <c r="L1194" s="618">
        <v>0</v>
      </c>
      <c r="M1194" s="671">
        <v>0</v>
      </c>
    </row>
    <row r="1195" spans="3:13" ht="19.5">
      <c r="C1195" s="735"/>
      <c r="D1195" s="736">
        <v>42478</v>
      </c>
      <c r="E1195" s="737">
        <v>0.21180555555555555</v>
      </c>
      <c r="F1195" s="731">
        <v>42480</v>
      </c>
      <c r="G1195" s="730">
        <v>0.3298611111111111</v>
      </c>
      <c r="H1195" s="554" t="s">
        <v>2860</v>
      </c>
      <c r="I1195" s="753" t="s">
        <v>1352</v>
      </c>
      <c r="J1195" s="555" t="s">
        <v>2753</v>
      </c>
      <c r="K1195" s="555" t="s">
        <v>2828</v>
      </c>
      <c r="L1195" s="618" t="s">
        <v>45</v>
      </c>
      <c r="M1195" s="671">
        <v>415103</v>
      </c>
    </row>
    <row r="1196" spans="3:13" ht="19.5">
      <c r="C1196" s="735"/>
      <c r="D1196" s="736">
        <v>42487</v>
      </c>
      <c r="E1196" s="737">
        <v>0.56666666666666665</v>
      </c>
      <c r="F1196" s="731" t="s">
        <v>45</v>
      </c>
      <c r="G1196" s="730" t="s">
        <v>45</v>
      </c>
      <c r="H1196" s="554" t="s">
        <v>2650</v>
      </c>
      <c r="I1196" s="753" t="s">
        <v>63</v>
      </c>
      <c r="J1196" s="555" t="s">
        <v>2150</v>
      </c>
      <c r="K1196" s="555" t="s">
        <v>100</v>
      </c>
      <c r="L1196" s="618">
        <v>0</v>
      </c>
      <c r="M1196" s="671">
        <v>0</v>
      </c>
    </row>
    <row r="1197" spans="3:13" ht="19.5">
      <c r="C1197" s="735"/>
      <c r="D1197" s="736">
        <v>42487</v>
      </c>
      <c r="E1197" s="737">
        <v>0.24305555555555555</v>
      </c>
      <c r="F1197" s="731">
        <v>42488</v>
      </c>
      <c r="G1197" s="730">
        <v>6.5972222222222224E-2</v>
      </c>
      <c r="H1197" s="554" t="s">
        <v>2860</v>
      </c>
      <c r="I1197" s="753" t="s">
        <v>1352</v>
      </c>
      <c r="J1197" s="555" t="s">
        <v>2753</v>
      </c>
      <c r="K1197" s="555" t="s">
        <v>2828</v>
      </c>
      <c r="L1197" s="618" t="s">
        <v>45</v>
      </c>
      <c r="M1197" s="671">
        <v>214864</v>
      </c>
    </row>
    <row r="1198" spans="3:13" ht="19.5">
      <c r="C1198" s="735"/>
      <c r="D1198" s="736">
        <v>42487</v>
      </c>
      <c r="E1198" s="737">
        <v>0.75</v>
      </c>
      <c r="F1198" s="731">
        <v>42487</v>
      </c>
      <c r="G1198" s="730">
        <v>0.75347222222222221</v>
      </c>
      <c r="H1198" s="554" t="s">
        <v>2861</v>
      </c>
      <c r="I1198" s="753" t="s">
        <v>1352</v>
      </c>
      <c r="J1198" s="555" t="s">
        <v>2150</v>
      </c>
      <c r="K1198" s="555" t="s">
        <v>2343</v>
      </c>
      <c r="L1198" s="618">
        <v>0</v>
      </c>
      <c r="M1198" s="671">
        <v>0</v>
      </c>
    </row>
    <row r="1199" spans="3:13" ht="19.5">
      <c r="C1199" s="735"/>
      <c r="D1199" s="736">
        <v>42497</v>
      </c>
      <c r="E1199" s="737">
        <v>0.32569444444444445</v>
      </c>
      <c r="F1199" s="731">
        <v>42497</v>
      </c>
      <c r="G1199" s="730">
        <v>0.37638888888888888</v>
      </c>
      <c r="H1199" s="554" t="s">
        <v>2802</v>
      </c>
      <c r="I1199" s="625" t="s">
        <v>61</v>
      </c>
      <c r="J1199" s="555" t="s">
        <v>2150</v>
      </c>
      <c r="K1199" s="555" t="s">
        <v>2343</v>
      </c>
      <c r="L1199" s="555">
        <v>0</v>
      </c>
      <c r="M1199" s="556">
        <v>0</v>
      </c>
    </row>
    <row r="1200" spans="3:13" ht="19.5">
      <c r="C1200" s="735"/>
      <c r="D1200" s="736">
        <v>42498</v>
      </c>
      <c r="E1200" s="737">
        <v>0.3833333333333333</v>
      </c>
      <c r="F1200" s="731" t="s">
        <v>2768</v>
      </c>
      <c r="G1200" s="730" t="s">
        <v>2768</v>
      </c>
      <c r="H1200" s="554" t="s">
        <v>2862</v>
      </c>
      <c r="I1200" s="625" t="s">
        <v>124</v>
      </c>
      <c r="J1200" s="555" t="s">
        <v>2839</v>
      </c>
      <c r="K1200" s="555" t="s">
        <v>2840</v>
      </c>
      <c r="L1200" s="555" t="s">
        <v>45</v>
      </c>
      <c r="M1200" s="556" t="s">
        <v>45</v>
      </c>
    </row>
    <row r="1201" spans="3:13" ht="19.5">
      <c r="C1201" s="735"/>
      <c r="D1201" s="736">
        <v>42500</v>
      </c>
      <c r="E1201" s="737">
        <v>0.86458333333333337</v>
      </c>
      <c r="F1201" s="731">
        <v>42503</v>
      </c>
      <c r="G1201" s="730">
        <v>0.125</v>
      </c>
      <c r="H1201" s="554" t="s">
        <v>2863</v>
      </c>
      <c r="I1201" s="625" t="s">
        <v>1352</v>
      </c>
      <c r="J1201" s="555" t="s">
        <v>2753</v>
      </c>
      <c r="K1201" s="555" t="s">
        <v>2490</v>
      </c>
      <c r="L1201" s="555" t="s">
        <v>45</v>
      </c>
      <c r="M1201" s="556">
        <v>85000</v>
      </c>
    </row>
    <row r="1202" spans="3:13" ht="19.5">
      <c r="C1202" s="735"/>
      <c r="D1202" s="736">
        <v>42504</v>
      </c>
      <c r="E1202" s="737">
        <v>0.89236111111111116</v>
      </c>
      <c r="F1202" s="731">
        <v>42505</v>
      </c>
      <c r="G1202" s="730">
        <v>0.72499999999999998</v>
      </c>
      <c r="H1202" s="554" t="s">
        <v>2864</v>
      </c>
      <c r="I1202" s="625" t="s">
        <v>63</v>
      </c>
      <c r="J1202" s="555" t="s">
        <v>2150</v>
      </c>
      <c r="K1202" s="555" t="s">
        <v>2343</v>
      </c>
      <c r="L1202" s="555">
        <v>0</v>
      </c>
      <c r="M1202" s="556">
        <v>0</v>
      </c>
    </row>
    <row r="1203" spans="3:13" ht="19.5">
      <c r="C1203" s="735"/>
      <c r="D1203" s="736">
        <v>42509</v>
      </c>
      <c r="E1203" s="737">
        <v>0.9</v>
      </c>
      <c r="F1203" s="731">
        <v>42510</v>
      </c>
      <c r="G1203" s="730">
        <v>4.1666666666666664E-2</v>
      </c>
      <c r="H1203" s="554" t="s">
        <v>2865</v>
      </c>
      <c r="I1203" s="625" t="s">
        <v>124</v>
      </c>
      <c r="J1203" s="555" t="s">
        <v>2769</v>
      </c>
      <c r="K1203" s="555" t="s">
        <v>2764</v>
      </c>
      <c r="L1203" s="555">
        <v>461</v>
      </c>
      <c r="M1203" s="556">
        <v>85179</v>
      </c>
    </row>
    <row r="1204" spans="3:13" ht="19.5">
      <c r="C1204" s="735"/>
      <c r="D1204" s="736">
        <v>42510</v>
      </c>
      <c r="E1204" s="737">
        <v>0</v>
      </c>
      <c r="F1204" s="731">
        <v>42512</v>
      </c>
      <c r="G1204" s="730">
        <v>0.20833333333333334</v>
      </c>
      <c r="H1204" s="554" t="s">
        <v>2866</v>
      </c>
      <c r="I1204" s="625" t="s">
        <v>63</v>
      </c>
      <c r="J1204" s="555" t="s">
        <v>2753</v>
      </c>
      <c r="K1204" s="555" t="s">
        <v>2867</v>
      </c>
      <c r="L1204" s="555" t="s">
        <v>45</v>
      </c>
      <c r="M1204" s="556">
        <v>85000</v>
      </c>
    </row>
    <row r="1205" spans="3:13" ht="19.5">
      <c r="C1205" s="735"/>
      <c r="D1205" s="736">
        <v>42510</v>
      </c>
      <c r="E1205" s="737">
        <v>5.2083333333333336E-2</v>
      </c>
      <c r="F1205" s="731" t="s">
        <v>2768</v>
      </c>
      <c r="G1205" s="730" t="s">
        <v>2768</v>
      </c>
      <c r="H1205" s="554" t="s">
        <v>2866</v>
      </c>
      <c r="I1205" s="625" t="s">
        <v>63</v>
      </c>
      <c r="J1205" s="555" t="s">
        <v>2753</v>
      </c>
      <c r="K1205" s="555" t="s">
        <v>2828</v>
      </c>
      <c r="L1205" s="555" t="s">
        <v>45</v>
      </c>
      <c r="M1205" s="556">
        <v>57184</v>
      </c>
    </row>
    <row r="1206" spans="3:13" ht="19.5">
      <c r="C1206" s="735"/>
      <c r="D1206" s="736">
        <v>42514</v>
      </c>
      <c r="E1206" s="737">
        <v>0.33333333333333331</v>
      </c>
      <c r="F1206" s="731" t="s">
        <v>2768</v>
      </c>
      <c r="G1206" s="730" t="s">
        <v>2768</v>
      </c>
      <c r="H1206" s="554" t="s">
        <v>2864</v>
      </c>
      <c r="I1206" s="625" t="s">
        <v>63</v>
      </c>
      <c r="J1206" s="555" t="s">
        <v>2150</v>
      </c>
      <c r="K1206" s="555" t="s">
        <v>100</v>
      </c>
      <c r="L1206" s="555">
        <v>0</v>
      </c>
      <c r="M1206" s="556">
        <v>0</v>
      </c>
    </row>
    <row r="1207" spans="3:13" ht="19.5">
      <c r="C1207" s="735"/>
      <c r="D1207" s="736">
        <v>42516</v>
      </c>
      <c r="E1207" s="737">
        <v>0.89513888888888893</v>
      </c>
      <c r="F1207" s="731">
        <v>42517</v>
      </c>
      <c r="G1207" s="730">
        <v>2.7777777777777776E-2</v>
      </c>
      <c r="H1207" s="554" t="s">
        <v>2868</v>
      </c>
      <c r="I1207" s="625" t="s">
        <v>61</v>
      </c>
      <c r="J1207" s="555" t="s">
        <v>2753</v>
      </c>
      <c r="K1207" s="555" t="s">
        <v>2483</v>
      </c>
      <c r="L1207" s="555">
        <v>82</v>
      </c>
      <c r="M1207" s="556">
        <v>56645</v>
      </c>
    </row>
    <row r="1208" spans="3:13" ht="19.5">
      <c r="C1208" s="735"/>
      <c r="D1208" s="736">
        <v>42521</v>
      </c>
      <c r="E1208" s="737">
        <v>0.3125</v>
      </c>
      <c r="F1208" s="731">
        <v>42534</v>
      </c>
      <c r="G1208" s="730">
        <v>0.31041666666666667</v>
      </c>
      <c r="H1208" s="554" t="s">
        <v>2869</v>
      </c>
      <c r="I1208" s="753" t="s">
        <v>61</v>
      </c>
      <c r="J1208" s="555" t="s">
        <v>2780</v>
      </c>
      <c r="K1208" s="555" t="s">
        <v>1138</v>
      </c>
      <c r="L1208" s="555">
        <v>150</v>
      </c>
      <c r="M1208" s="556" t="s">
        <v>45</v>
      </c>
    </row>
    <row r="1209" spans="3:13" ht="19.5">
      <c r="C1209" s="735"/>
      <c r="D1209" s="736">
        <v>42528</v>
      </c>
      <c r="E1209" s="737">
        <v>0.5</v>
      </c>
      <c r="F1209" s="731">
        <v>42528</v>
      </c>
      <c r="G1209" s="730">
        <v>0.51041666666666663</v>
      </c>
      <c r="H1209" s="554" t="s">
        <v>1320</v>
      </c>
      <c r="I1209" s="554" t="s">
        <v>124</v>
      </c>
      <c r="J1209" s="555" t="s">
        <v>2150</v>
      </c>
      <c r="K1209" s="555" t="s">
        <v>2870</v>
      </c>
      <c r="L1209" s="555">
        <v>0</v>
      </c>
      <c r="M1209" s="556">
        <v>0</v>
      </c>
    </row>
    <row r="1210" spans="3:13" ht="19.5">
      <c r="C1210" s="735"/>
      <c r="D1210" s="736">
        <v>42535</v>
      </c>
      <c r="E1210" s="737">
        <v>0.33263888888888887</v>
      </c>
      <c r="F1210" s="731">
        <v>42535</v>
      </c>
      <c r="G1210" s="730">
        <v>0.33333333333333331</v>
      </c>
      <c r="H1210" s="554" t="s">
        <v>2288</v>
      </c>
      <c r="I1210" s="554" t="s">
        <v>826</v>
      </c>
      <c r="J1210" s="555" t="s">
        <v>2150</v>
      </c>
      <c r="K1210" s="555" t="s">
        <v>100</v>
      </c>
      <c r="L1210" s="555">
        <v>0</v>
      </c>
      <c r="M1210" s="556">
        <v>0</v>
      </c>
    </row>
    <row r="1211" spans="3:13" ht="19.5">
      <c r="C1211" s="735"/>
      <c r="D1211" s="736">
        <v>42538</v>
      </c>
      <c r="E1211" s="737">
        <v>0.65277777777777779</v>
      </c>
      <c r="F1211" s="731">
        <v>42539</v>
      </c>
      <c r="G1211" s="730">
        <v>0.35694444444444445</v>
      </c>
      <c r="H1211" s="554" t="s">
        <v>2871</v>
      </c>
      <c r="I1211" s="554" t="s">
        <v>63</v>
      </c>
      <c r="J1211" s="555" t="s">
        <v>2753</v>
      </c>
      <c r="K1211" s="555" t="s">
        <v>2828</v>
      </c>
      <c r="L1211" s="555">
        <v>304</v>
      </c>
      <c r="M1211" s="556">
        <v>91260</v>
      </c>
    </row>
    <row r="1212" spans="3:13" ht="19.5">
      <c r="C1212" s="735"/>
      <c r="D1212" s="736">
        <v>42538</v>
      </c>
      <c r="E1212" s="737">
        <v>0.1875</v>
      </c>
      <c r="F1212" s="731">
        <v>42538</v>
      </c>
      <c r="G1212" s="730">
        <v>0.18819444444444444</v>
      </c>
      <c r="H1212" s="554" t="s">
        <v>2646</v>
      </c>
      <c r="I1212" s="554" t="s">
        <v>826</v>
      </c>
      <c r="J1212" s="555" t="s">
        <v>2150</v>
      </c>
      <c r="K1212" s="555" t="s">
        <v>100</v>
      </c>
      <c r="L1212" s="555">
        <v>0</v>
      </c>
      <c r="M1212" s="556">
        <v>0</v>
      </c>
    </row>
    <row r="1213" spans="3:13" ht="19.5">
      <c r="C1213" s="735"/>
      <c r="D1213" s="736">
        <v>42553</v>
      </c>
      <c r="E1213" s="737">
        <v>0.16666666666666666</v>
      </c>
      <c r="F1213" s="731">
        <v>42555</v>
      </c>
      <c r="G1213" s="730">
        <v>2.7777777777777776E-2</v>
      </c>
      <c r="H1213" s="554" t="s">
        <v>2872</v>
      </c>
      <c r="I1213" s="554" t="s">
        <v>124</v>
      </c>
      <c r="J1213" s="555" t="s">
        <v>2150</v>
      </c>
      <c r="K1213" s="555" t="s">
        <v>2873</v>
      </c>
      <c r="L1213" s="555">
        <v>0</v>
      </c>
      <c r="M1213" s="556">
        <v>0</v>
      </c>
    </row>
    <row r="1214" spans="3:13" ht="19.5">
      <c r="C1214" s="735"/>
      <c r="D1214" s="736">
        <v>42556</v>
      </c>
      <c r="E1214" s="737">
        <v>0.11458333333333333</v>
      </c>
      <c r="F1214" s="731">
        <v>42557</v>
      </c>
      <c r="G1214" s="730">
        <v>0.125</v>
      </c>
      <c r="H1214" s="554" t="s">
        <v>2874</v>
      </c>
      <c r="I1214" s="554" t="s">
        <v>1352</v>
      </c>
      <c r="J1214" s="555" t="s">
        <v>2753</v>
      </c>
      <c r="K1214" s="555" t="s">
        <v>22</v>
      </c>
      <c r="L1214" s="555" t="s">
        <v>45</v>
      </c>
      <c r="M1214" s="556">
        <v>52000</v>
      </c>
    </row>
    <row r="1215" spans="3:13" ht="19.5">
      <c r="C1215" s="735"/>
      <c r="D1215" s="736">
        <v>42556</v>
      </c>
      <c r="E1215" s="737">
        <v>0.72916666666666663</v>
      </c>
      <c r="F1215" s="731">
        <v>42557</v>
      </c>
      <c r="G1215" s="730">
        <v>0.66666666666666663</v>
      </c>
      <c r="H1215" s="554" t="s">
        <v>2875</v>
      </c>
      <c r="I1215" s="554" t="s">
        <v>674</v>
      </c>
      <c r="J1215" s="555" t="s">
        <v>2753</v>
      </c>
      <c r="K1215" s="555" t="s">
        <v>22</v>
      </c>
      <c r="L1215" s="555" t="s">
        <v>45</v>
      </c>
      <c r="M1215" s="556">
        <v>250000</v>
      </c>
    </row>
    <row r="1216" spans="3:13" ht="19.5">
      <c r="C1216" s="735"/>
      <c r="D1216" s="736">
        <v>42558</v>
      </c>
      <c r="E1216" s="737">
        <v>0.18055555555555555</v>
      </c>
      <c r="F1216" s="731">
        <v>42558</v>
      </c>
      <c r="G1216" s="730">
        <v>0.33333333333333331</v>
      </c>
      <c r="H1216" s="554" t="s">
        <v>2876</v>
      </c>
      <c r="I1216" s="554" t="s">
        <v>63</v>
      </c>
      <c r="J1216" s="555" t="s">
        <v>2753</v>
      </c>
      <c r="K1216" s="555" t="s">
        <v>22</v>
      </c>
      <c r="L1216" s="555" t="s">
        <v>45</v>
      </c>
      <c r="M1216" s="556">
        <v>58500</v>
      </c>
    </row>
    <row r="1217" spans="3:13" ht="19.5">
      <c r="C1217" s="735"/>
      <c r="D1217" s="736">
        <v>42558</v>
      </c>
      <c r="E1217" s="737">
        <v>0.24513888888888888</v>
      </c>
      <c r="F1217" s="731">
        <v>42558</v>
      </c>
      <c r="G1217" s="730">
        <v>0.3611111111111111</v>
      </c>
      <c r="H1217" s="554" t="s">
        <v>2877</v>
      </c>
      <c r="I1217" s="554" t="s">
        <v>63</v>
      </c>
      <c r="J1217" s="555" t="s">
        <v>2878</v>
      </c>
      <c r="K1217" s="555" t="s">
        <v>100</v>
      </c>
      <c r="L1217" s="555">
        <v>0</v>
      </c>
      <c r="M1217" s="556">
        <v>0</v>
      </c>
    </row>
    <row r="1218" spans="3:13" ht="19.5">
      <c r="C1218" s="735"/>
      <c r="D1218" s="736">
        <v>42559</v>
      </c>
      <c r="E1218" s="737">
        <v>0.86805555555555547</v>
      </c>
      <c r="F1218" s="731">
        <v>42560</v>
      </c>
      <c r="G1218" s="730">
        <v>0.80902777777777779</v>
      </c>
      <c r="H1218" s="554" t="s">
        <v>2482</v>
      </c>
      <c r="I1218" s="554" t="s">
        <v>63</v>
      </c>
      <c r="J1218" s="555" t="s">
        <v>2753</v>
      </c>
      <c r="K1218" s="555" t="s">
        <v>22</v>
      </c>
      <c r="L1218" s="555">
        <v>600</v>
      </c>
      <c r="M1218" s="556">
        <v>203345</v>
      </c>
    </row>
    <row r="1219" spans="3:13" ht="19.5">
      <c r="C1219" s="735"/>
      <c r="D1219" s="736">
        <v>42559</v>
      </c>
      <c r="E1219" s="737">
        <v>0.79166666666666663</v>
      </c>
      <c r="F1219" s="731">
        <v>42560</v>
      </c>
      <c r="G1219" s="730">
        <v>0</v>
      </c>
      <c r="H1219" s="554" t="s">
        <v>2879</v>
      </c>
      <c r="I1219" s="554" t="s">
        <v>826</v>
      </c>
      <c r="J1219" s="555" t="s">
        <v>2753</v>
      </c>
      <c r="K1219" s="555" t="s">
        <v>22</v>
      </c>
      <c r="L1219" s="555" t="s">
        <v>45</v>
      </c>
      <c r="M1219" s="556">
        <v>160895</v>
      </c>
    </row>
    <row r="1220" spans="3:13" ht="19.5">
      <c r="C1220" s="735"/>
      <c r="D1220" s="736">
        <v>42559</v>
      </c>
      <c r="E1220" s="737">
        <v>0.75</v>
      </c>
      <c r="F1220" s="731" t="s">
        <v>45</v>
      </c>
      <c r="G1220" s="730" t="s">
        <v>45</v>
      </c>
      <c r="H1220" s="554" t="s">
        <v>2880</v>
      </c>
      <c r="I1220" s="554" t="s">
        <v>826</v>
      </c>
      <c r="J1220" s="555" t="s">
        <v>2753</v>
      </c>
      <c r="K1220" s="555" t="s">
        <v>22</v>
      </c>
      <c r="L1220" s="555" t="s">
        <v>45</v>
      </c>
      <c r="M1220" s="556">
        <v>62961</v>
      </c>
    </row>
    <row r="1221" spans="3:13" ht="19.5">
      <c r="C1221" s="735"/>
      <c r="D1221" s="736">
        <v>42560</v>
      </c>
      <c r="E1221" s="737">
        <v>0.73958333333333337</v>
      </c>
      <c r="F1221" s="731">
        <v>42562</v>
      </c>
      <c r="G1221" s="730">
        <v>0.58333333333333337</v>
      </c>
      <c r="H1221" s="554" t="s">
        <v>2881</v>
      </c>
      <c r="I1221" s="554" t="s">
        <v>1352</v>
      </c>
      <c r="J1221" s="555" t="s">
        <v>2753</v>
      </c>
      <c r="K1221" s="555" t="s">
        <v>22</v>
      </c>
      <c r="L1221" s="555" t="s">
        <v>45</v>
      </c>
      <c r="M1221" s="556">
        <v>62000</v>
      </c>
    </row>
    <row r="1222" spans="3:13" ht="19.5">
      <c r="C1222" s="735"/>
      <c r="D1222" s="736">
        <v>42563</v>
      </c>
      <c r="E1222" s="737">
        <v>0.59027777777777779</v>
      </c>
      <c r="F1222" s="731">
        <v>42563</v>
      </c>
      <c r="G1222" s="730">
        <v>0.85625000000000007</v>
      </c>
      <c r="H1222" s="554" t="s">
        <v>2271</v>
      </c>
      <c r="I1222" s="554" t="s">
        <v>472</v>
      </c>
      <c r="J1222" s="555" t="s">
        <v>619</v>
      </c>
      <c r="K1222" s="555" t="s">
        <v>2764</v>
      </c>
      <c r="L1222" s="555">
        <v>450</v>
      </c>
      <c r="M1222" s="556">
        <v>218000</v>
      </c>
    </row>
    <row r="1223" spans="3:13" ht="19.5">
      <c r="C1223" s="735"/>
      <c r="D1223" s="736">
        <v>42564</v>
      </c>
      <c r="E1223" s="737">
        <v>0.54166666666666663</v>
      </c>
      <c r="F1223" s="731">
        <v>42564</v>
      </c>
      <c r="G1223" s="730">
        <v>0.54236111111111118</v>
      </c>
      <c r="H1223" s="554" t="s">
        <v>2575</v>
      </c>
      <c r="I1223" s="554" t="s">
        <v>124</v>
      </c>
      <c r="J1223" s="555" t="s">
        <v>2150</v>
      </c>
      <c r="K1223" s="555" t="s">
        <v>100</v>
      </c>
      <c r="L1223" s="555">
        <v>0</v>
      </c>
      <c r="M1223" s="556">
        <v>0</v>
      </c>
    </row>
    <row r="1224" spans="3:13" ht="19.5">
      <c r="C1224" s="735"/>
      <c r="D1224" s="736">
        <v>42564</v>
      </c>
      <c r="E1224" s="737">
        <v>0.625</v>
      </c>
      <c r="F1224" s="731" t="s">
        <v>45</v>
      </c>
      <c r="G1224" s="730" t="s">
        <v>45</v>
      </c>
      <c r="H1224" s="554" t="s">
        <v>2882</v>
      </c>
      <c r="I1224" s="554" t="s">
        <v>63</v>
      </c>
      <c r="J1224" s="555" t="s">
        <v>1152</v>
      </c>
      <c r="K1224" s="555" t="s">
        <v>2764</v>
      </c>
      <c r="L1224" s="555" t="s">
        <v>45</v>
      </c>
      <c r="M1224" s="556" t="s">
        <v>45</v>
      </c>
    </row>
    <row r="1225" spans="3:13" ht="19.5">
      <c r="C1225" s="735"/>
      <c r="D1225" s="736">
        <v>42565</v>
      </c>
      <c r="E1225" s="737">
        <v>0.72916666666666663</v>
      </c>
      <c r="F1225" s="731">
        <v>42567</v>
      </c>
      <c r="G1225" s="730">
        <v>0.83333333333333337</v>
      </c>
      <c r="H1225" s="554" t="s">
        <v>2883</v>
      </c>
      <c r="I1225" s="554" t="s">
        <v>58</v>
      </c>
      <c r="J1225" s="555" t="s">
        <v>2753</v>
      </c>
      <c r="K1225" s="555" t="s">
        <v>22</v>
      </c>
      <c r="L1225" s="555" t="s">
        <v>45</v>
      </c>
      <c r="M1225" s="556">
        <v>7300</v>
      </c>
    </row>
    <row r="1226" spans="3:13" ht="19.5">
      <c r="C1226" s="735"/>
      <c r="D1226" s="736">
        <v>42565</v>
      </c>
      <c r="E1226" s="737">
        <v>0.6875</v>
      </c>
      <c r="F1226" s="731">
        <v>42567</v>
      </c>
      <c r="G1226" s="730">
        <v>0</v>
      </c>
      <c r="H1226" s="554" t="s">
        <v>2884</v>
      </c>
      <c r="I1226" s="554" t="s">
        <v>2885</v>
      </c>
      <c r="J1226" s="555" t="s">
        <v>2753</v>
      </c>
      <c r="K1226" s="555" t="s">
        <v>22</v>
      </c>
      <c r="L1226" s="555" t="s">
        <v>45</v>
      </c>
      <c r="M1226" s="556">
        <v>170244</v>
      </c>
    </row>
    <row r="1227" spans="3:13" ht="19.5">
      <c r="C1227" s="735"/>
      <c r="D1227" s="736">
        <v>42565</v>
      </c>
      <c r="E1227" s="737">
        <v>0.61388888888888882</v>
      </c>
      <c r="F1227" s="731">
        <v>42566</v>
      </c>
      <c r="G1227" s="730">
        <v>0.16666666666666666</v>
      </c>
      <c r="H1227" s="554" t="s">
        <v>10</v>
      </c>
      <c r="I1227" s="554" t="s">
        <v>58</v>
      </c>
      <c r="J1227" s="555" t="s">
        <v>2753</v>
      </c>
      <c r="K1227" s="555" t="s">
        <v>22</v>
      </c>
      <c r="L1227" s="555" t="s">
        <v>45</v>
      </c>
      <c r="M1227" s="556">
        <v>96966</v>
      </c>
    </row>
    <row r="1228" spans="3:13" ht="19.5">
      <c r="C1228" s="735"/>
      <c r="D1228" s="736">
        <v>42570</v>
      </c>
      <c r="E1228" s="737">
        <v>0.65625</v>
      </c>
      <c r="F1228" s="731">
        <v>42570</v>
      </c>
      <c r="G1228" s="730">
        <v>0.81180555555555556</v>
      </c>
      <c r="H1228" s="554" t="s">
        <v>126</v>
      </c>
      <c r="I1228" s="554" t="s">
        <v>124</v>
      </c>
      <c r="J1228" s="555" t="s">
        <v>2886</v>
      </c>
      <c r="K1228" s="555" t="s">
        <v>2764</v>
      </c>
      <c r="L1228" s="555">
        <v>290</v>
      </c>
      <c r="M1228" s="556" t="s">
        <v>45</v>
      </c>
    </row>
    <row r="1229" spans="3:13" ht="19.5">
      <c r="C1229" s="735"/>
      <c r="D1229" s="736">
        <v>42570</v>
      </c>
      <c r="E1229" s="737">
        <v>0.65625</v>
      </c>
      <c r="F1229" s="731">
        <v>42570</v>
      </c>
      <c r="G1229" s="730">
        <v>0.80902777777777779</v>
      </c>
      <c r="H1229" s="554" t="s">
        <v>126</v>
      </c>
      <c r="I1229" s="554" t="s">
        <v>124</v>
      </c>
      <c r="J1229" s="555" t="s">
        <v>2886</v>
      </c>
      <c r="K1229" s="555" t="s">
        <v>2764</v>
      </c>
      <c r="L1229" s="555">
        <v>485</v>
      </c>
      <c r="M1229" s="556" t="s">
        <v>45</v>
      </c>
    </row>
    <row r="1230" spans="3:13" ht="19.5">
      <c r="C1230" s="735"/>
      <c r="D1230" s="736">
        <v>42572</v>
      </c>
      <c r="E1230" s="737">
        <v>0.80625000000000002</v>
      </c>
      <c r="F1230" s="731">
        <v>42573</v>
      </c>
      <c r="G1230" s="730">
        <v>6.2499999999999995E-3</v>
      </c>
      <c r="H1230" s="554" t="s">
        <v>2271</v>
      </c>
      <c r="I1230" s="554" t="s">
        <v>472</v>
      </c>
      <c r="J1230" s="555" t="s">
        <v>2887</v>
      </c>
      <c r="K1230" s="555" t="s">
        <v>2764</v>
      </c>
      <c r="L1230" s="555">
        <v>200</v>
      </c>
      <c r="M1230" s="556">
        <v>266000</v>
      </c>
    </row>
    <row r="1231" spans="3:13" ht="19.5">
      <c r="C1231" s="735"/>
      <c r="D1231" s="736">
        <v>42572</v>
      </c>
      <c r="E1231" s="737">
        <v>0.26250000000000001</v>
      </c>
      <c r="F1231" s="731">
        <v>42572</v>
      </c>
      <c r="G1231" s="730">
        <v>0.61458333333333337</v>
      </c>
      <c r="H1231" s="554" t="s">
        <v>2888</v>
      </c>
      <c r="I1231" s="554" t="s">
        <v>826</v>
      </c>
      <c r="J1231" s="555" t="s">
        <v>2150</v>
      </c>
      <c r="K1231" s="555" t="s">
        <v>2118</v>
      </c>
      <c r="L1231" s="555">
        <v>0</v>
      </c>
      <c r="M1231" s="556">
        <v>0</v>
      </c>
    </row>
    <row r="1232" spans="3:13" ht="19.5">
      <c r="C1232" s="735"/>
      <c r="D1232" s="736">
        <v>42573</v>
      </c>
      <c r="E1232" s="737">
        <v>0.99305555555555547</v>
      </c>
      <c r="F1232" s="731">
        <v>42574</v>
      </c>
      <c r="G1232" s="730">
        <v>0.38194444444444442</v>
      </c>
      <c r="H1232" s="554" t="s">
        <v>2889</v>
      </c>
      <c r="I1232" s="554" t="s">
        <v>61</v>
      </c>
      <c r="J1232" s="555" t="s">
        <v>2753</v>
      </c>
      <c r="K1232" s="555" t="s">
        <v>22</v>
      </c>
      <c r="L1232" s="555" t="s">
        <v>45</v>
      </c>
      <c r="M1232" s="556">
        <v>57058</v>
      </c>
    </row>
    <row r="1233" spans="3:13" ht="19.5">
      <c r="C1233" s="735"/>
      <c r="D1233" s="736">
        <v>42574</v>
      </c>
      <c r="E1233" s="737">
        <v>0.63541666666666663</v>
      </c>
      <c r="F1233" s="731">
        <v>42574</v>
      </c>
      <c r="G1233" s="730">
        <v>0.82847222222222217</v>
      </c>
      <c r="H1233" s="554" t="s">
        <v>2890</v>
      </c>
      <c r="I1233" s="554" t="s">
        <v>826</v>
      </c>
      <c r="J1233" s="555" t="s">
        <v>619</v>
      </c>
      <c r="K1233" s="555" t="s">
        <v>2764</v>
      </c>
      <c r="L1233" s="555">
        <v>87</v>
      </c>
      <c r="M1233" s="556" t="s">
        <v>45</v>
      </c>
    </row>
    <row r="1234" spans="3:13" ht="19.5">
      <c r="C1234" s="735"/>
      <c r="D1234" s="736">
        <v>42574</v>
      </c>
      <c r="E1234" s="737">
        <v>0.8125</v>
      </c>
      <c r="F1234" s="731">
        <v>42575</v>
      </c>
      <c r="G1234" s="730">
        <v>0.3125</v>
      </c>
      <c r="H1234" s="554" t="s">
        <v>2891</v>
      </c>
      <c r="I1234" s="554" t="s">
        <v>61</v>
      </c>
      <c r="J1234" s="555" t="s">
        <v>2753</v>
      </c>
      <c r="K1234" s="555" t="s">
        <v>22</v>
      </c>
      <c r="L1234" s="555" t="s">
        <v>45</v>
      </c>
      <c r="M1234" s="556">
        <v>101073</v>
      </c>
    </row>
    <row r="1235" spans="3:13" ht="19.5">
      <c r="C1235" s="735"/>
      <c r="D1235" s="736">
        <v>42576</v>
      </c>
      <c r="E1235" s="737">
        <v>0.78541666666666676</v>
      </c>
      <c r="F1235" s="731">
        <v>42577</v>
      </c>
      <c r="G1235" s="730">
        <v>9.6527777777777768E-2</v>
      </c>
      <c r="H1235" s="554" t="s">
        <v>2271</v>
      </c>
      <c r="I1235" s="554" t="s">
        <v>472</v>
      </c>
      <c r="J1235" s="555" t="s">
        <v>619</v>
      </c>
      <c r="K1235" s="555" t="s">
        <v>2764</v>
      </c>
      <c r="L1235" s="555">
        <v>0</v>
      </c>
      <c r="M1235" s="556">
        <v>0</v>
      </c>
    </row>
    <row r="1236" spans="3:13" ht="19.5">
      <c r="C1236" s="735"/>
      <c r="D1236" s="736">
        <v>42577</v>
      </c>
      <c r="E1236" s="737">
        <v>0.78541666666666676</v>
      </c>
      <c r="F1236" s="731">
        <v>42578</v>
      </c>
      <c r="G1236" s="730">
        <v>7.2916666666666671E-2</v>
      </c>
      <c r="H1236" s="554" t="s">
        <v>2271</v>
      </c>
      <c r="I1236" s="554" t="s">
        <v>472</v>
      </c>
      <c r="J1236" s="555" t="s">
        <v>619</v>
      </c>
      <c r="K1236" s="555" t="s">
        <v>2764</v>
      </c>
      <c r="L1236" s="555">
        <v>25</v>
      </c>
      <c r="M1236" s="556">
        <v>37100</v>
      </c>
    </row>
    <row r="1237" spans="3:13" ht="19.5">
      <c r="C1237" s="735"/>
      <c r="D1237" s="736">
        <v>42578</v>
      </c>
      <c r="E1237" s="737">
        <v>0.78472222222222221</v>
      </c>
      <c r="F1237" s="731">
        <v>42579</v>
      </c>
      <c r="G1237" s="730">
        <v>6.805555555555555E-2</v>
      </c>
      <c r="H1237" s="554" t="s">
        <v>2271</v>
      </c>
      <c r="I1237" s="554" t="s">
        <v>472</v>
      </c>
      <c r="J1237" s="555" t="s">
        <v>619</v>
      </c>
      <c r="K1237" s="555" t="s">
        <v>2764</v>
      </c>
      <c r="L1237" s="555">
        <v>80</v>
      </c>
      <c r="M1237" s="556">
        <v>106300</v>
      </c>
    </row>
    <row r="1238" spans="3:13" ht="19.5">
      <c r="C1238" s="735"/>
      <c r="D1238" s="736">
        <v>42579</v>
      </c>
      <c r="E1238" s="737">
        <v>0.78541666666666676</v>
      </c>
      <c r="F1238" s="731">
        <v>42580</v>
      </c>
      <c r="G1238" s="730">
        <v>8.4722222222222213E-2</v>
      </c>
      <c r="H1238" s="554" t="s">
        <v>2271</v>
      </c>
      <c r="I1238" s="554" t="s">
        <v>472</v>
      </c>
      <c r="J1238" s="555" t="s">
        <v>619</v>
      </c>
      <c r="K1238" s="555" t="s">
        <v>2764</v>
      </c>
      <c r="L1238" s="555">
        <v>22</v>
      </c>
      <c r="M1238" s="556">
        <v>21600</v>
      </c>
    </row>
    <row r="1239" spans="3:13" ht="19.5">
      <c r="C1239" s="735"/>
      <c r="D1239" s="736">
        <v>42580</v>
      </c>
      <c r="E1239" s="737">
        <v>0.79791666666666661</v>
      </c>
      <c r="F1239" s="731">
        <v>42580</v>
      </c>
      <c r="G1239" s="730">
        <v>0.83124999999999993</v>
      </c>
      <c r="H1239" s="554" t="s">
        <v>2271</v>
      </c>
      <c r="I1239" s="554" t="s">
        <v>472</v>
      </c>
      <c r="J1239" s="555" t="s">
        <v>619</v>
      </c>
      <c r="K1239" s="555" t="s">
        <v>2764</v>
      </c>
      <c r="L1239" s="555">
        <v>0</v>
      </c>
      <c r="M1239" s="556">
        <v>0</v>
      </c>
    </row>
    <row r="1240" spans="3:13" ht="19.5">
      <c r="C1240" s="735"/>
      <c r="D1240" s="736">
        <v>42586</v>
      </c>
      <c r="E1240" s="737">
        <v>0.59375</v>
      </c>
      <c r="F1240" s="731">
        <v>42586</v>
      </c>
      <c r="G1240" s="730">
        <v>0.59930555555555554</v>
      </c>
      <c r="H1240" s="554" t="s">
        <v>2892</v>
      </c>
      <c r="I1240" s="554" t="s">
        <v>826</v>
      </c>
      <c r="J1240" s="555" t="s">
        <v>2150</v>
      </c>
      <c r="K1240" s="555" t="s">
        <v>100</v>
      </c>
      <c r="L1240" s="555">
        <v>0</v>
      </c>
      <c r="M1240" s="556">
        <v>0</v>
      </c>
    </row>
    <row r="1241" spans="3:13" ht="19.5">
      <c r="C1241" s="735"/>
      <c r="D1241" s="736">
        <v>42589</v>
      </c>
      <c r="E1241" s="737">
        <v>0.77708333333333324</v>
      </c>
      <c r="F1241" s="731">
        <v>42589</v>
      </c>
      <c r="G1241" s="730">
        <v>0.8520833333333333</v>
      </c>
      <c r="H1241" s="554" t="s">
        <v>2893</v>
      </c>
      <c r="I1241" s="554" t="s">
        <v>124</v>
      </c>
      <c r="J1241" s="555" t="s">
        <v>2769</v>
      </c>
      <c r="K1241" s="555" t="s">
        <v>2764</v>
      </c>
      <c r="L1241" s="555" t="s">
        <v>45</v>
      </c>
      <c r="M1241" s="556" t="s">
        <v>45</v>
      </c>
    </row>
    <row r="1242" spans="3:13" ht="19.5">
      <c r="C1242" s="735"/>
      <c r="D1242" s="736">
        <v>42592</v>
      </c>
      <c r="E1242" s="737">
        <v>0.25</v>
      </c>
      <c r="F1242" s="731" t="s">
        <v>45</v>
      </c>
      <c r="G1242" s="730" t="s">
        <v>45</v>
      </c>
      <c r="H1242" s="554" t="s">
        <v>2894</v>
      </c>
      <c r="I1242" s="554" t="s">
        <v>124</v>
      </c>
      <c r="J1242" s="555" t="s">
        <v>2780</v>
      </c>
      <c r="K1242" s="555" t="s">
        <v>1138</v>
      </c>
      <c r="L1242" s="555">
        <v>0</v>
      </c>
      <c r="M1242" s="556">
        <v>0</v>
      </c>
    </row>
    <row r="1243" spans="3:13" ht="19.5">
      <c r="C1243" s="735"/>
      <c r="D1243" s="736">
        <v>42593</v>
      </c>
      <c r="E1243" s="737">
        <v>0.6875</v>
      </c>
      <c r="F1243" s="731">
        <v>42593</v>
      </c>
      <c r="G1243" s="730">
        <v>0.80208333333333337</v>
      </c>
      <c r="H1243" s="554" t="s">
        <v>2895</v>
      </c>
      <c r="I1243" s="554" t="s">
        <v>826</v>
      </c>
      <c r="J1243" s="555" t="s">
        <v>2753</v>
      </c>
      <c r="K1243" s="555" t="s">
        <v>22</v>
      </c>
      <c r="L1243" s="555" t="s">
        <v>45</v>
      </c>
      <c r="M1243" s="556">
        <v>62140</v>
      </c>
    </row>
    <row r="1244" spans="3:13" ht="19.5">
      <c r="C1244" s="735"/>
      <c r="D1244" s="736">
        <v>42595</v>
      </c>
      <c r="E1244" s="737">
        <v>0.48749999999999999</v>
      </c>
      <c r="F1244" s="731">
        <v>42595</v>
      </c>
      <c r="G1244" s="730">
        <v>0.58819444444444446</v>
      </c>
      <c r="H1244" s="554" t="s">
        <v>2896</v>
      </c>
      <c r="I1244" s="554" t="s">
        <v>63</v>
      </c>
      <c r="J1244" s="555" t="s">
        <v>2769</v>
      </c>
      <c r="K1244" s="555" t="s">
        <v>2764</v>
      </c>
      <c r="L1244" s="555">
        <v>506</v>
      </c>
      <c r="M1244" s="556">
        <v>0</v>
      </c>
    </row>
    <row r="1245" spans="3:13" ht="19.5">
      <c r="C1245" s="735"/>
      <c r="D1245" s="736">
        <v>42602</v>
      </c>
      <c r="E1245" s="737">
        <v>0.59583333333333333</v>
      </c>
      <c r="F1245" s="731">
        <v>42602</v>
      </c>
      <c r="G1245" s="730">
        <v>0.8881944444444444</v>
      </c>
      <c r="H1245" s="554" t="s">
        <v>2868</v>
      </c>
      <c r="I1245" s="554" t="s">
        <v>61</v>
      </c>
      <c r="J1245" s="555" t="s">
        <v>2293</v>
      </c>
      <c r="K1245" s="555" t="s">
        <v>2873</v>
      </c>
      <c r="L1245" s="555" t="s">
        <v>45</v>
      </c>
      <c r="M1245" s="556">
        <v>40000</v>
      </c>
    </row>
    <row r="1246" spans="3:13" ht="19.5">
      <c r="C1246" s="735"/>
      <c r="D1246" s="736">
        <v>42605</v>
      </c>
      <c r="E1246" s="737">
        <v>0.70833333333333337</v>
      </c>
      <c r="F1246" s="731">
        <v>42606</v>
      </c>
      <c r="G1246" s="730">
        <v>3.472222222222222E-3</v>
      </c>
      <c r="H1246" s="554" t="s">
        <v>2809</v>
      </c>
      <c r="I1246" s="554" t="s">
        <v>1352</v>
      </c>
      <c r="J1246" s="555" t="s">
        <v>2753</v>
      </c>
      <c r="K1246" s="555" t="s">
        <v>22</v>
      </c>
      <c r="L1246" s="555" t="s">
        <v>45</v>
      </c>
      <c r="M1246" s="556">
        <v>72200</v>
      </c>
    </row>
    <row r="1247" spans="3:13" ht="19.5">
      <c r="C1247" s="735"/>
      <c r="D1247" s="736">
        <v>42606</v>
      </c>
      <c r="E1247" s="737">
        <v>0.75902777777777775</v>
      </c>
      <c r="F1247" s="731">
        <v>42606</v>
      </c>
      <c r="G1247" s="730">
        <v>0.80138888888888893</v>
      </c>
      <c r="H1247" s="554" t="s">
        <v>2897</v>
      </c>
      <c r="I1247" s="554" t="s">
        <v>472</v>
      </c>
      <c r="J1247" s="555" t="s">
        <v>2769</v>
      </c>
      <c r="K1247" s="555" t="s">
        <v>2764</v>
      </c>
      <c r="L1247" s="555">
        <v>600</v>
      </c>
      <c r="M1247" s="556">
        <v>400000</v>
      </c>
    </row>
    <row r="1248" spans="3:13" ht="19.5">
      <c r="C1248" s="735"/>
      <c r="D1248" s="736">
        <v>42606</v>
      </c>
      <c r="E1248" s="737">
        <v>0.8041666666666667</v>
      </c>
      <c r="F1248" s="731">
        <v>42606</v>
      </c>
      <c r="G1248" s="730">
        <v>0.82430555555555562</v>
      </c>
      <c r="H1248" s="554" t="s">
        <v>2801</v>
      </c>
      <c r="I1248" s="554" t="s">
        <v>124</v>
      </c>
      <c r="J1248" s="555" t="s">
        <v>2839</v>
      </c>
      <c r="K1248" s="555" t="s">
        <v>2840</v>
      </c>
      <c r="L1248" s="555">
        <v>9232</v>
      </c>
      <c r="M1248" s="556" t="s">
        <v>45</v>
      </c>
    </row>
    <row r="1249" spans="3:13" ht="19.5">
      <c r="C1249" s="735"/>
      <c r="D1249" s="736">
        <v>42607</v>
      </c>
      <c r="E1249" s="737">
        <v>0.77777777777777779</v>
      </c>
      <c r="F1249" s="731">
        <v>42608</v>
      </c>
      <c r="G1249" s="730">
        <v>0.7631944444444444</v>
      </c>
      <c r="H1249" s="554" t="s">
        <v>2898</v>
      </c>
      <c r="I1249" s="554" t="s">
        <v>124</v>
      </c>
      <c r="J1249" s="555" t="s">
        <v>2899</v>
      </c>
      <c r="K1249" s="555" t="s">
        <v>100</v>
      </c>
      <c r="L1249" s="555">
        <v>0</v>
      </c>
      <c r="M1249" s="556">
        <v>0</v>
      </c>
    </row>
    <row r="1250" spans="3:13" ht="19.5">
      <c r="C1250" s="735"/>
      <c r="D1250" s="736">
        <v>42613</v>
      </c>
      <c r="E1250" s="737">
        <v>0.40625</v>
      </c>
      <c r="F1250" s="731">
        <v>42613</v>
      </c>
      <c r="G1250" s="730">
        <v>0.41319444444444442</v>
      </c>
      <c r="H1250" s="554" t="s">
        <v>2900</v>
      </c>
      <c r="I1250" s="554" t="s">
        <v>124</v>
      </c>
      <c r="J1250" s="555" t="s">
        <v>2839</v>
      </c>
      <c r="K1250" s="555" t="s">
        <v>2483</v>
      </c>
      <c r="L1250" s="555">
        <v>0</v>
      </c>
      <c r="M1250" s="556">
        <v>0</v>
      </c>
    </row>
    <row r="1251" spans="3:13" ht="19.5">
      <c r="C1251" s="735"/>
      <c r="D1251" s="736">
        <v>42613</v>
      </c>
      <c r="E1251" s="737">
        <v>0.61944444444444446</v>
      </c>
      <c r="F1251" s="731" t="s">
        <v>45</v>
      </c>
      <c r="G1251" s="730" t="s">
        <v>45</v>
      </c>
      <c r="H1251" s="554" t="s">
        <v>2862</v>
      </c>
      <c r="I1251" s="554" t="s">
        <v>124</v>
      </c>
      <c r="J1251" s="555" t="s">
        <v>2839</v>
      </c>
      <c r="K1251" s="555" t="s">
        <v>2840</v>
      </c>
      <c r="L1251" s="555">
        <v>0</v>
      </c>
      <c r="M1251" s="556">
        <v>0</v>
      </c>
    </row>
    <row r="1252" spans="3:13" ht="19.5">
      <c r="C1252" s="735"/>
      <c r="D1252" s="736">
        <v>42614</v>
      </c>
      <c r="E1252" s="737">
        <v>0.91666666666666663</v>
      </c>
      <c r="F1252" s="731" t="s">
        <v>45</v>
      </c>
      <c r="G1252" s="730" t="s">
        <v>45</v>
      </c>
      <c r="H1252" s="554" t="s">
        <v>2901</v>
      </c>
      <c r="I1252" s="554" t="s">
        <v>301</v>
      </c>
      <c r="J1252" s="555" t="s">
        <v>2753</v>
      </c>
      <c r="K1252" s="555" t="s">
        <v>22</v>
      </c>
      <c r="L1252" s="555">
        <v>100</v>
      </c>
      <c r="M1252" s="556" t="s">
        <v>45</v>
      </c>
    </row>
    <row r="1253" spans="3:13" ht="19.5">
      <c r="C1253" s="735"/>
      <c r="D1253" s="736">
        <v>42615</v>
      </c>
      <c r="E1253" s="737">
        <v>2.7777777777777776E-2</v>
      </c>
      <c r="F1253" s="731">
        <v>42617</v>
      </c>
      <c r="G1253" s="730">
        <v>0.83333333333333337</v>
      </c>
      <c r="H1253" s="554" t="s">
        <v>2902</v>
      </c>
      <c r="I1253" s="554" t="s">
        <v>301</v>
      </c>
      <c r="J1253" s="555" t="s">
        <v>2753</v>
      </c>
      <c r="K1253" s="555" t="s">
        <v>22</v>
      </c>
      <c r="L1253" s="555">
        <v>450</v>
      </c>
      <c r="M1253" s="556">
        <v>75000</v>
      </c>
    </row>
    <row r="1254" spans="3:13" ht="19.5">
      <c r="C1254" s="735"/>
      <c r="D1254" s="736">
        <v>42615</v>
      </c>
      <c r="E1254" s="737">
        <v>0.16666666666666666</v>
      </c>
      <c r="F1254" s="731">
        <v>42615</v>
      </c>
      <c r="G1254" s="730">
        <v>0.66666666666666663</v>
      </c>
      <c r="H1254" s="554" t="s">
        <v>2903</v>
      </c>
      <c r="I1254" s="554" t="s">
        <v>301</v>
      </c>
      <c r="J1254" s="555" t="s">
        <v>2753</v>
      </c>
      <c r="K1254" s="555" t="s">
        <v>22</v>
      </c>
      <c r="L1254" s="555">
        <v>225</v>
      </c>
      <c r="M1254" s="556">
        <v>90000</v>
      </c>
    </row>
    <row r="1255" spans="3:13" ht="19.5">
      <c r="C1255" s="735"/>
      <c r="D1255" s="736">
        <v>42615</v>
      </c>
      <c r="E1255" s="737">
        <v>0.23958333333333334</v>
      </c>
      <c r="F1255" s="731">
        <v>42616</v>
      </c>
      <c r="G1255" s="730">
        <v>2.0833333333333332E-2</v>
      </c>
      <c r="H1255" s="554" t="s">
        <v>2904</v>
      </c>
      <c r="I1255" s="554" t="s">
        <v>63</v>
      </c>
      <c r="J1255" s="555" t="s">
        <v>2753</v>
      </c>
      <c r="K1255" s="555" t="s">
        <v>22</v>
      </c>
      <c r="L1255" s="555" t="s">
        <v>45</v>
      </c>
      <c r="M1255" s="556">
        <v>57000</v>
      </c>
    </row>
    <row r="1256" spans="3:13" ht="19.5">
      <c r="C1256" s="735"/>
      <c r="D1256" s="736">
        <v>42619</v>
      </c>
      <c r="E1256" s="737">
        <v>0.7583333333333333</v>
      </c>
      <c r="F1256" s="731">
        <v>42619</v>
      </c>
      <c r="G1256" s="730">
        <v>0.89166666666666661</v>
      </c>
      <c r="H1256" s="554" t="s">
        <v>2862</v>
      </c>
      <c r="I1256" s="554" t="s">
        <v>124</v>
      </c>
      <c r="J1256" s="555" t="s">
        <v>2839</v>
      </c>
      <c r="K1256" s="555" t="s">
        <v>2840</v>
      </c>
      <c r="L1256" s="555">
        <v>300</v>
      </c>
      <c r="M1256" s="556" t="s">
        <v>45</v>
      </c>
    </row>
    <row r="1257" spans="3:13" ht="19.5">
      <c r="C1257" s="735"/>
      <c r="D1257" s="736">
        <v>42621</v>
      </c>
      <c r="E1257" s="737">
        <v>0.35416666666666669</v>
      </c>
      <c r="F1257" s="731">
        <v>42638</v>
      </c>
      <c r="G1257" s="730">
        <v>0</v>
      </c>
      <c r="H1257" s="554" t="s">
        <v>2869</v>
      </c>
      <c r="I1257" s="554" t="s">
        <v>61</v>
      </c>
      <c r="J1257" s="555" t="s">
        <v>2780</v>
      </c>
      <c r="K1257" s="555" t="s">
        <v>1138</v>
      </c>
      <c r="L1257" s="555">
        <v>210</v>
      </c>
      <c r="M1257" s="556" t="s">
        <v>45</v>
      </c>
    </row>
    <row r="1258" spans="3:13" ht="19.5">
      <c r="C1258" s="735"/>
      <c r="D1258" s="736">
        <v>42621</v>
      </c>
      <c r="E1258" s="737">
        <v>0.61736111111111114</v>
      </c>
      <c r="F1258" s="731">
        <v>42621</v>
      </c>
      <c r="G1258" s="730">
        <v>0.62708333333333333</v>
      </c>
      <c r="H1258" s="554" t="s">
        <v>2853</v>
      </c>
      <c r="I1258" s="554" t="s">
        <v>124</v>
      </c>
      <c r="J1258" s="555" t="s">
        <v>2839</v>
      </c>
      <c r="K1258" s="555" t="s">
        <v>2840</v>
      </c>
      <c r="L1258" s="555">
        <v>0</v>
      </c>
      <c r="M1258" s="556">
        <v>0</v>
      </c>
    </row>
    <row r="1259" spans="3:13" ht="19.5">
      <c r="C1259" s="735"/>
      <c r="D1259" s="736">
        <v>42623</v>
      </c>
      <c r="E1259" s="737">
        <v>0.40416666666666662</v>
      </c>
      <c r="F1259" s="731">
        <v>42623</v>
      </c>
      <c r="G1259" s="730">
        <v>0.4145833333333333</v>
      </c>
      <c r="H1259" s="554" t="s">
        <v>2862</v>
      </c>
      <c r="I1259" s="554" t="s">
        <v>124</v>
      </c>
      <c r="J1259" s="555" t="s">
        <v>2791</v>
      </c>
      <c r="K1259" s="555" t="s">
        <v>2905</v>
      </c>
      <c r="L1259" s="555">
        <v>135</v>
      </c>
      <c r="M1259" s="556" t="s">
        <v>45</v>
      </c>
    </row>
    <row r="1260" spans="3:13" ht="19.5">
      <c r="C1260" s="735"/>
      <c r="D1260" s="736">
        <v>42624</v>
      </c>
      <c r="E1260" s="737">
        <v>0.50347222222222221</v>
      </c>
      <c r="F1260" s="731">
        <v>42624</v>
      </c>
      <c r="G1260" s="730">
        <v>0.63194444444444442</v>
      </c>
      <c r="H1260" s="554" t="s">
        <v>2906</v>
      </c>
      <c r="I1260" s="554" t="s">
        <v>61</v>
      </c>
      <c r="J1260" s="555" t="s">
        <v>2753</v>
      </c>
      <c r="K1260" s="555" t="s">
        <v>22</v>
      </c>
      <c r="L1260" s="555" t="s">
        <v>45</v>
      </c>
      <c r="M1260" s="556">
        <v>57960</v>
      </c>
    </row>
    <row r="1261" spans="3:13" ht="19.5">
      <c r="C1261" s="735"/>
      <c r="D1261" s="736">
        <v>42625</v>
      </c>
      <c r="E1261" s="737">
        <v>0.52083333333333337</v>
      </c>
      <c r="F1261" s="731">
        <v>42625</v>
      </c>
      <c r="G1261" s="730">
        <v>0.74722222222222223</v>
      </c>
      <c r="H1261" s="554" t="s">
        <v>2907</v>
      </c>
      <c r="I1261" s="554" t="s">
        <v>124</v>
      </c>
      <c r="J1261" s="555" t="s">
        <v>2791</v>
      </c>
      <c r="K1261" s="555" t="s">
        <v>2905</v>
      </c>
      <c r="L1261" s="555">
        <v>110</v>
      </c>
      <c r="M1261" s="556">
        <v>53753</v>
      </c>
    </row>
    <row r="1262" spans="3:13" ht="19.5">
      <c r="C1262" s="735"/>
      <c r="D1262" s="736">
        <v>42634</v>
      </c>
      <c r="E1262" s="737">
        <v>0.60416666666666663</v>
      </c>
      <c r="F1262" s="731">
        <v>42637</v>
      </c>
      <c r="G1262" s="730">
        <v>0.10416666666666667</v>
      </c>
      <c r="H1262" s="554" t="s">
        <v>2897</v>
      </c>
      <c r="I1262" s="554"/>
      <c r="J1262" s="555" t="s">
        <v>2908</v>
      </c>
      <c r="K1262" s="555" t="s">
        <v>2764</v>
      </c>
      <c r="L1262" s="555">
        <v>2750</v>
      </c>
      <c r="M1262" s="556">
        <v>1475000</v>
      </c>
    </row>
    <row r="1263" spans="3:13" ht="19.5">
      <c r="C1263" s="735"/>
      <c r="D1263" s="736">
        <v>42634</v>
      </c>
      <c r="E1263" s="737">
        <v>0.8222222222222223</v>
      </c>
      <c r="F1263" s="731">
        <v>42634</v>
      </c>
      <c r="G1263" s="730">
        <v>0.88680555555555562</v>
      </c>
      <c r="H1263" s="554" t="s">
        <v>2909</v>
      </c>
      <c r="I1263" s="554" t="s">
        <v>1352</v>
      </c>
      <c r="J1263" s="555" t="s">
        <v>2910</v>
      </c>
      <c r="K1263" s="555" t="s">
        <v>2873</v>
      </c>
      <c r="L1263" s="555">
        <v>0</v>
      </c>
      <c r="M1263" s="556">
        <v>0</v>
      </c>
    </row>
    <row r="1264" spans="3:13" ht="19.5">
      <c r="C1264" s="735"/>
      <c r="D1264" s="736">
        <v>42635</v>
      </c>
      <c r="E1264" s="737">
        <v>0.45555555555555555</v>
      </c>
      <c r="F1264" s="731">
        <v>42635</v>
      </c>
      <c r="G1264" s="730">
        <v>0.48680555555555555</v>
      </c>
      <c r="H1264" s="554" t="s">
        <v>2911</v>
      </c>
      <c r="I1264" s="554" t="s">
        <v>674</v>
      </c>
      <c r="J1264" s="555" t="s">
        <v>2908</v>
      </c>
      <c r="K1264" s="555" t="s">
        <v>2764</v>
      </c>
      <c r="L1264" s="555">
        <v>69</v>
      </c>
      <c r="M1264" s="556">
        <v>19124</v>
      </c>
    </row>
    <row r="1265" spans="3:13" ht="19.5">
      <c r="C1265" s="735"/>
      <c r="D1265" s="736">
        <v>42638</v>
      </c>
      <c r="E1265" s="737">
        <v>0.53402777777777777</v>
      </c>
      <c r="F1265" s="731">
        <v>42638</v>
      </c>
      <c r="G1265" s="730">
        <v>0.76388888888888884</v>
      </c>
      <c r="H1265" s="554" t="s">
        <v>2912</v>
      </c>
      <c r="I1265" s="554" t="s">
        <v>124</v>
      </c>
      <c r="J1265" s="555" t="s">
        <v>2910</v>
      </c>
      <c r="K1265" s="555" t="s">
        <v>100</v>
      </c>
      <c r="L1265" s="555">
        <v>20</v>
      </c>
      <c r="M1265" s="556">
        <v>10000</v>
      </c>
    </row>
    <row r="1266" spans="3:13" ht="19.5">
      <c r="C1266" s="735"/>
      <c r="D1266" s="736">
        <v>42644</v>
      </c>
      <c r="E1266" s="737">
        <v>0.51666666666666672</v>
      </c>
      <c r="F1266" s="731">
        <v>42645</v>
      </c>
      <c r="G1266" s="730">
        <v>8.6111111111111124E-2</v>
      </c>
      <c r="H1266" s="754" t="s">
        <v>2914</v>
      </c>
      <c r="I1266" s="554" t="s">
        <v>124</v>
      </c>
      <c r="J1266" s="555" t="s">
        <v>2915</v>
      </c>
      <c r="K1266" s="555" t="s">
        <v>2873</v>
      </c>
      <c r="L1266" s="619">
        <v>0</v>
      </c>
      <c r="M1266" s="672">
        <v>0</v>
      </c>
    </row>
    <row r="1267" spans="3:13" ht="19.5">
      <c r="C1267" s="735"/>
      <c r="D1267" s="736">
        <v>42645</v>
      </c>
      <c r="E1267" s="737">
        <v>0.97916666666666663</v>
      </c>
      <c r="F1267" s="731">
        <v>42648</v>
      </c>
      <c r="G1267" s="730">
        <v>0.33333333333333331</v>
      </c>
      <c r="H1267" s="754" t="s">
        <v>2865</v>
      </c>
      <c r="I1267" s="554" t="s">
        <v>124</v>
      </c>
      <c r="J1267" s="619" t="s">
        <v>2917</v>
      </c>
      <c r="K1267" s="555" t="s">
        <v>2483</v>
      </c>
      <c r="L1267" s="619">
        <v>50</v>
      </c>
      <c r="M1267" s="672">
        <v>4000</v>
      </c>
    </row>
    <row r="1268" spans="3:13" ht="19.5">
      <c r="C1268" s="735"/>
      <c r="D1268" s="736">
        <v>42646</v>
      </c>
      <c r="E1268" s="737">
        <v>0.63124999999999998</v>
      </c>
      <c r="F1268" s="731">
        <v>42647</v>
      </c>
      <c r="G1268" s="730">
        <v>0.79166666666666663</v>
      </c>
      <c r="H1268" s="754" t="s">
        <v>2919</v>
      </c>
      <c r="I1268" s="554" t="s">
        <v>1352</v>
      </c>
      <c r="J1268" s="619" t="s">
        <v>2917</v>
      </c>
      <c r="K1268" s="555" t="s">
        <v>1152</v>
      </c>
      <c r="L1268" s="619" t="s">
        <v>45</v>
      </c>
      <c r="M1268" s="672" t="s">
        <v>45</v>
      </c>
    </row>
    <row r="1269" spans="3:13" ht="19.5">
      <c r="C1269" s="735"/>
      <c r="D1269" s="736">
        <v>42648</v>
      </c>
      <c r="E1269" s="737">
        <v>0.48055555555555557</v>
      </c>
      <c r="F1269" s="731">
        <v>42648</v>
      </c>
      <c r="G1269" s="730">
        <v>0.79166666666666663</v>
      </c>
      <c r="H1269" s="754" t="s">
        <v>2919</v>
      </c>
      <c r="I1269" s="554" t="s">
        <v>1352</v>
      </c>
      <c r="J1269" s="619" t="s">
        <v>2917</v>
      </c>
      <c r="K1269" s="555" t="s">
        <v>1152</v>
      </c>
      <c r="L1269" s="619" t="s">
        <v>45</v>
      </c>
      <c r="M1269" s="672" t="s">
        <v>45</v>
      </c>
    </row>
    <row r="1270" spans="3:13" ht="19.5">
      <c r="C1270" s="735"/>
      <c r="D1270" s="736">
        <v>42648</v>
      </c>
      <c r="E1270" s="737">
        <v>0.66041666666666665</v>
      </c>
      <c r="F1270" s="731" t="s">
        <v>45</v>
      </c>
      <c r="G1270" s="730" t="s">
        <v>45</v>
      </c>
      <c r="H1270" s="754" t="s">
        <v>2920</v>
      </c>
      <c r="I1270" s="554" t="s">
        <v>124</v>
      </c>
      <c r="J1270" s="619" t="s">
        <v>2910</v>
      </c>
      <c r="K1270" s="555" t="s">
        <v>100</v>
      </c>
      <c r="L1270" s="619">
        <v>0</v>
      </c>
      <c r="M1270" s="672">
        <v>0</v>
      </c>
    </row>
    <row r="1271" spans="3:13" ht="19.5">
      <c r="C1271" s="735"/>
      <c r="D1271" s="736">
        <v>42649</v>
      </c>
      <c r="E1271" s="737">
        <v>0.40972222222222227</v>
      </c>
      <c r="F1271" s="731">
        <v>42649</v>
      </c>
      <c r="G1271" s="730">
        <v>0.79166666666666663</v>
      </c>
      <c r="H1271" s="754" t="s">
        <v>2919</v>
      </c>
      <c r="I1271" s="554" t="s">
        <v>1352</v>
      </c>
      <c r="J1271" s="619" t="s">
        <v>2917</v>
      </c>
      <c r="K1271" s="555" t="s">
        <v>1152</v>
      </c>
      <c r="L1271" s="619" t="s">
        <v>45</v>
      </c>
      <c r="M1271" s="672" t="s">
        <v>45</v>
      </c>
    </row>
    <row r="1272" spans="3:13" ht="19.5">
      <c r="C1272" s="735"/>
      <c r="D1272" s="736">
        <v>42649</v>
      </c>
      <c r="E1272" s="737">
        <v>0.8125</v>
      </c>
      <c r="F1272" s="731">
        <v>42651</v>
      </c>
      <c r="G1272" s="730">
        <v>0.75</v>
      </c>
      <c r="H1272" s="754" t="s">
        <v>2901</v>
      </c>
      <c r="I1272" s="554" t="s">
        <v>301</v>
      </c>
      <c r="J1272" s="555" t="s">
        <v>2753</v>
      </c>
      <c r="K1272" s="555" t="s">
        <v>22</v>
      </c>
      <c r="L1272" s="555">
        <v>5600</v>
      </c>
      <c r="M1272" s="556">
        <v>1200000</v>
      </c>
    </row>
    <row r="1273" spans="3:13" ht="19.5">
      <c r="C1273" s="735"/>
      <c r="D1273" s="736">
        <v>42650</v>
      </c>
      <c r="E1273" s="737">
        <v>0.33333333333333331</v>
      </c>
      <c r="F1273" s="731">
        <v>42652</v>
      </c>
      <c r="G1273" s="730">
        <v>0.54166666666666663</v>
      </c>
      <c r="H1273" s="754" t="s">
        <v>2903</v>
      </c>
      <c r="I1273" s="554" t="s">
        <v>301</v>
      </c>
      <c r="J1273" s="555" t="s">
        <v>2753</v>
      </c>
      <c r="K1273" s="555" t="s">
        <v>22</v>
      </c>
      <c r="L1273" s="619">
        <v>413</v>
      </c>
      <c r="M1273" s="672">
        <v>165000</v>
      </c>
    </row>
    <row r="1274" spans="3:13" ht="19.5">
      <c r="C1274" s="735"/>
      <c r="D1274" s="736">
        <v>42650</v>
      </c>
      <c r="E1274" s="737">
        <v>0.46388888888888885</v>
      </c>
      <c r="F1274" s="731">
        <v>42650</v>
      </c>
      <c r="G1274" s="730">
        <v>0.79166666666666663</v>
      </c>
      <c r="H1274" s="754" t="s">
        <v>2919</v>
      </c>
      <c r="I1274" s="554" t="s">
        <v>1352</v>
      </c>
      <c r="J1274" s="619" t="s">
        <v>2917</v>
      </c>
      <c r="K1274" s="555" t="s">
        <v>2905</v>
      </c>
      <c r="L1274" s="619" t="s">
        <v>45</v>
      </c>
      <c r="M1274" s="672" t="s">
        <v>45</v>
      </c>
    </row>
    <row r="1275" spans="3:13" ht="19.5">
      <c r="C1275" s="735"/>
      <c r="D1275" s="736">
        <v>42650</v>
      </c>
      <c r="E1275" s="737">
        <v>0.68194444444444446</v>
      </c>
      <c r="F1275" s="731">
        <v>42655</v>
      </c>
      <c r="G1275" s="730">
        <v>0.45833333333333331</v>
      </c>
      <c r="H1275" s="754" t="s">
        <v>2904</v>
      </c>
      <c r="I1275" s="554" t="s">
        <v>63</v>
      </c>
      <c r="J1275" s="555" t="s">
        <v>2753</v>
      </c>
      <c r="K1275" s="555" t="s">
        <v>22</v>
      </c>
      <c r="L1275" s="619">
        <v>122</v>
      </c>
      <c r="M1275" s="672">
        <v>36384</v>
      </c>
    </row>
    <row r="1276" spans="3:13" ht="19.5">
      <c r="C1276" s="735"/>
      <c r="D1276" s="736">
        <v>42650</v>
      </c>
      <c r="E1276" s="737">
        <v>0.94791666666666663</v>
      </c>
      <c r="F1276" s="731" t="s">
        <v>45</v>
      </c>
      <c r="G1276" s="730" t="s">
        <v>45</v>
      </c>
      <c r="H1276" s="754" t="s">
        <v>2901</v>
      </c>
      <c r="I1276" s="554" t="s">
        <v>301</v>
      </c>
      <c r="J1276" s="555" t="s">
        <v>2753</v>
      </c>
      <c r="K1276" s="555" t="s">
        <v>22</v>
      </c>
      <c r="L1276" s="619" t="s">
        <v>45</v>
      </c>
      <c r="M1276" s="672" t="s">
        <v>45</v>
      </c>
    </row>
    <row r="1277" spans="3:13" ht="19.5">
      <c r="C1277" s="735"/>
      <c r="D1277" s="736">
        <v>42650</v>
      </c>
      <c r="E1277" s="737">
        <v>0.95833333333333337</v>
      </c>
      <c r="F1277" s="731" t="s">
        <v>45</v>
      </c>
      <c r="G1277" s="730" t="s">
        <v>45</v>
      </c>
      <c r="H1277" s="754" t="s">
        <v>2925</v>
      </c>
      <c r="I1277" s="554" t="s">
        <v>63</v>
      </c>
      <c r="J1277" s="619" t="s">
        <v>2926</v>
      </c>
      <c r="K1277" s="555" t="s">
        <v>22</v>
      </c>
      <c r="L1277" s="619" t="s">
        <v>45</v>
      </c>
      <c r="M1277" s="672" t="s">
        <v>45</v>
      </c>
    </row>
    <row r="1278" spans="3:13" ht="19.5">
      <c r="C1278" s="735"/>
      <c r="D1278" s="736">
        <v>42651</v>
      </c>
      <c r="E1278" s="737">
        <v>0.34791666666666665</v>
      </c>
      <c r="F1278" s="731">
        <v>42656</v>
      </c>
      <c r="G1278" s="730">
        <v>0.72916666666666663</v>
      </c>
      <c r="H1278" s="754" t="s">
        <v>2832</v>
      </c>
      <c r="I1278" s="554" t="s">
        <v>63</v>
      </c>
      <c r="J1278" s="555" t="s">
        <v>2753</v>
      </c>
      <c r="K1278" s="555" t="s">
        <v>22</v>
      </c>
      <c r="L1278" s="619" t="s">
        <v>45</v>
      </c>
      <c r="M1278" s="672" t="s">
        <v>45</v>
      </c>
    </row>
    <row r="1279" spans="3:13" ht="19.5">
      <c r="C1279" s="735"/>
      <c r="D1279" s="736">
        <v>42651</v>
      </c>
      <c r="E1279" s="737">
        <v>0.58680555555555558</v>
      </c>
      <c r="F1279" s="731">
        <v>42652</v>
      </c>
      <c r="G1279" s="730">
        <v>0.25416666666666665</v>
      </c>
      <c r="H1279" s="754" t="s">
        <v>2928</v>
      </c>
      <c r="I1279" s="554" t="s">
        <v>63</v>
      </c>
      <c r="J1279" s="619" t="s">
        <v>2769</v>
      </c>
      <c r="K1279" s="555" t="s">
        <v>22</v>
      </c>
      <c r="L1279" s="619" t="s">
        <v>45</v>
      </c>
      <c r="M1279" s="672">
        <v>44875</v>
      </c>
    </row>
    <row r="1280" spans="3:13" ht="19.5">
      <c r="C1280" s="735"/>
      <c r="D1280" s="736">
        <v>42651</v>
      </c>
      <c r="E1280" s="737">
        <v>4.8611111111111112E-2</v>
      </c>
      <c r="F1280" s="731" t="s">
        <v>45</v>
      </c>
      <c r="G1280" s="730" t="s">
        <v>45</v>
      </c>
      <c r="H1280" s="754" t="s">
        <v>2896</v>
      </c>
      <c r="I1280" s="554" t="s">
        <v>63</v>
      </c>
      <c r="J1280" s="555" t="s">
        <v>2753</v>
      </c>
      <c r="K1280" s="555" t="s">
        <v>22</v>
      </c>
      <c r="L1280" s="619">
        <v>1050</v>
      </c>
      <c r="M1280" s="672">
        <v>290824</v>
      </c>
    </row>
    <row r="1281" spans="3:13" ht="19.5">
      <c r="C1281" s="735"/>
      <c r="D1281" s="736">
        <v>42653</v>
      </c>
      <c r="E1281" s="737">
        <v>0.55208333333333337</v>
      </c>
      <c r="F1281" s="731">
        <v>42653</v>
      </c>
      <c r="G1281" s="730">
        <v>0.79166666666666663</v>
      </c>
      <c r="H1281" s="754" t="s">
        <v>2919</v>
      </c>
      <c r="I1281" s="554" t="s">
        <v>1352</v>
      </c>
      <c r="J1281" s="619" t="s">
        <v>2917</v>
      </c>
      <c r="K1281" s="555" t="s">
        <v>2905</v>
      </c>
      <c r="L1281" s="619" t="s">
        <v>45</v>
      </c>
      <c r="M1281" s="672" t="s">
        <v>45</v>
      </c>
    </row>
    <row r="1282" spans="3:13" ht="19.5">
      <c r="C1282" s="735"/>
      <c r="D1282" s="736">
        <v>42655</v>
      </c>
      <c r="E1282" s="737">
        <v>0.50624999999999998</v>
      </c>
      <c r="F1282" s="731">
        <v>42655</v>
      </c>
      <c r="G1282" s="730">
        <v>0.55277777777777781</v>
      </c>
      <c r="H1282" s="754" t="s">
        <v>2817</v>
      </c>
      <c r="I1282" s="554" t="s">
        <v>124</v>
      </c>
      <c r="J1282" s="619" t="s">
        <v>2910</v>
      </c>
      <c r="K1282" s="555" t="s">
        <v>100</v>
      </c>
      <c r="L1282" s="619">
        <v>4</v>
      </c>
      <c r="M1282" s="672">
        <v>1671</v>
      </c>
    </row>
    <row r="1283" spans="3:13" ht="19.5">
      <c r="C1283" s="735"/>
      <c r="D1283" s="736">
        <v>42661</v>
      </c>
      <c r="E1283" s="737">
        <v>0.58750000000000002</v>
      </c>
      <c r="F1283" s="731">
        <v>42664</v>
      </c>
      <c r="G1283" s="730">
        <v>0.625</v>
      </c>
      <c r="H1283" s="754" t="s">
        <v>2931</v>
      </c>
      <c r="I1283" s="554" t="s">
        <v>124</v>
      </c>
      <c r="J1283" s="619" t="s">
        <v>2910</v>
      </c>
      <c r="K1283" s="555" t="s">
        <v>100</v>
      </c>
      <c r="L1283" s="619">
        <v>0</v>
      </c>
      <c r="M1283" s="672">
        <v>0</v>
      </c>
    </row>
    <row r="1284" spans="3:13" ht="19.5">
      <c r="C1284" s="735"/>
      <c r="D1284" s="736">
        <v>42663</v>
      </c>
      <c r="E1284" s="737">
        <v>0.52083333333333337</v>
      </c>
      <c r="F1284" s="731">
        <v>42663</v>
      </c>
      <c r="G1284" s="730">
        <v>0.52152777777777781</v>
      </c>
      <c r="H1284" s="754" t="s">
        <v>2933</v>
      </c>
      <c r="I1284" s="554" t="s">
        <v>124</v>
      </c>
      <c r="J1284" s="619" t="s">
        <v>2910</v>
      </c>
      <c r="K1284" s="555" t="s">
        <v>100</v>
      </c>
      <c r="L1284" s="619">
        <v>0</v>
      </c>
      <c r="M1284" s="672">
        <v>0</v>
      </c>
    </row>
    <row r="1285" spans="3:13" ht="19.5">
      <c r="C1285" s="735"/>
      <c r="D1285" s="736">
        <v>42668</v>
      </c>
      <c r="E1285" s="737">
        <v>0.31944444444444448</v>
      </c>
      <c r="F1285" s="731">
        <v>42670</v>
      </c>
      <c r="G1285" s="730">
        <v>0.31944444444444448</v>
      </c>
      <c r="H1285" s="754" t="s">
        <v>2935</v>
      </c>
      <c r="I1285" s="554" t="s">
        <v>63</v>
      </c>
      <c r="J1285" s="619" t="s">
        <v>2910</v>
      </c>
      <c r="K1285" s="555" t="s">
        <v>100</v>
      </c>
      <c r="L1285" s="619">
        <v>0</v>
      </c>
      <c r="M1285" s="672">
        <v>0</v>
      </c>
    </row>
    <row r="1286" spans="3:13" ht="19.5">
      <c r="C1286" s="735"/>
      <c r="D1286" s="736">
        <v>42669</v>
      </c>
      <c r="E1286" s="737">
        <v>0.22638888888888889</v>
      </c>
      <c r="F1286" s="731">
        <v>42669</v>
      </c>
      <c r="G1286" s="730">
        <v>0.22708333333333333</v>
      </c>
      <c r="H1286" s="754" t="s">
        <v>2937</v>
      </c>
      <c r="I1286" s="554" t="s">
        <v>124</v>
      </c>
      <c r="J1286" s="619" t="s">
        <v>2910</v>
      </c>
      <c r="K1286" s="555" t="s">
        <v>100</v>
      </c>
      <c r="L1286" s="619">
        <v>0</v>
      </c>
      <c r="M1286" s="672">
        <v>0</v>
      </c>
    </row>
    <row r="1287" spans="3:13" ht="19.5">
      <c r="C1287" s="735"/>
      <c r="D1287" s="736">
        <v>42671</v>
      </c>
      <c r="E1287" s="737">
        <v>0.56180555555555556</v>
      </c>
      <c r="F1287" s="731">
        <v>42671</v>
      </c>
      <c r="G1287" s="730">
        <v>0.56805555555555554</v>
      </c>
      <c r="H1287" s="755" t="s">
        <v>2939</v>
      </c>
      <c r="I1287" s="756" t="s">
        <v>124</v>
      </c>
      <c r="J1287" s="621" t="s">
        <v>2839</v>
      </c>
      <c r="K1287" s="621" t="s">
        <v>2840</v>
      </c>
      <c r="L1287" s="620">
        <v>4</v>
      </c>
      <c r="M1287" s="673">
        <v>482</v>
      </c>
    </row>
    <row r="1288" spans="3:13" ht="19.5">
      <c r="C1288" s="735"/>
      <c r="D1288" s="736">
        <v>42674</v>
      </c>
      <c r="E1288" s="737">
        <v>0.33749999999999997</v>
      </c>
      <c r="F1288" s="731">
        <v>42674</v>
      </c>
      <c r="G1288" s="730">
        <v>0.66180555555555554</v>
      </c>
      <c r="H1288" s="754" t="s">
        <v>2941</v>
      </c>
      <c r="I1288" s="554" t="s">
        <v>63</v>
      </c>
      <c r="J1288" s="555" t="s">
        <v>2915</v>
      </c>
      <c r="K1288" s="555" t="s">
        <v>2873</v>
      </c>
      <c r="L1288" s="619">
        <v>0</v>
      </c>
      <c r="M1288" s="672">
        <v>0</v>
      </c>
    </row>
    <row r="1289" spans="3:13" ht="19.5">
      <c r="C1289" s="735"/>
      <c r="D1289" s="736">
        <v>42683</v>
      </c>
      <c r="E1289" s="737">
        <v>0.4993055555555555</v>
      </c>
      <c r="F1289" s="731">
        <v>42683</v>
      </c>
      <c r="G1289" s="730">
        <v>0.76041666666666663</v>
      </c>
      <c r="H1289" s="554" t="s">
        <v>2943</v>
      </c>
      <c r="I1289" s="554" t="s">
        <v>124</v>
      </c>
      <c r="J1289" s="555" t="s">
        <v>2944</v>
      </c>
      <c r="K1289" s="555" t="s">
        <v>2836</v>
      </c>
      <c r="L1289" s="555">
        <v>0</v>
      </c>
      <c r="M1289" s="556">
        <v>0</v>
      </c>
    </row>
    <row r="1290" spans="3:13" ht="19.5">
      <c r="C1290" s="735"/>
      <c r="D1290" s="736">
        <v>42683</v>
      </c>
      <c r="E1290" s="737">
        <v>0.28055555555555556</v>
      </c>
      <c r="F1290" s="731">
        <v>42683</v>
      </c>
      <c r="G1290" s="730">
        <v>0.32222222222222224</v>
      </c>
      <c r="H1290" s="756" t="s">
        <v>2945</v>
      </c>
      <c r="I1290" s="756" t="s">
        <v>124</v>
      </c>
      <c r="J1290" s="621" t="s">
        <v>2910</v>
      </c>
      <c r="K1290" s="621" t="s">
        <v>100</v>
      </c>
      <c r="L1290" s="621">
        <v>0</v>
      </c>
      <c r="M1290" s="674">
        <v>0</v>
      </c>
    </row>
    <row r="1291" spans="3:13" ht="19.5">
      <c r="C1291" s="735"/>
      <c r="D1291" s="736">
        <v>42675</v>
      </c>
      <c r="E1291" s="737">
        <v>0.87152777777777779</v>
      </c>
      <c r="F1291" s="731" t="s">
        <v>45</v>
      </c>
      <c r="G1291" s="730" t="s">
        <v>45</v>
      </c>
      <c r="H1291" s="554" t="s">
        <v>2862</v>
      </c>
      <c r="I1291" s="554" t="s">
        <v>124</v>
      </c>
      <c r="J1291" s="555" t="s">
        <v>2839</v>
      </c>
      <c r="K1291" s="555" t="s">
        <v>2483</v>
      </c>
      <c r="L1291" s="555">
        <v>0</v>
      </c>
      <c r="M1291" s="556">
        <v>0</v>
      </c>
    </row>
    <row r="1292" spans="3:13" ht="19.5">
      <c r="C1292" s="735"/>
      <c r="D1292" s="736">
        <v>42712</v>
      </c>
      <c r="E1292" s="737">
        <v>4.1666666666666664E-2</v>
      </c>
      <c r="F1292" s="731">
        <v>42712</v>
      </c>
      <c r="G1292" s="730">
        <v>0.10416666666666667</v>
      </c>
      <c r="H1292" s="554" t="s">
        <v>2947</v>
      </c>
      <c r="I1292" s="554" t="s">
        <v>124</v>
      </c>
      <c r="J1292" s="555" t="s">
        <v>2910</v>
      </c>
      <c r="K1292" s="555" t="s">
        <v>100</v>
      </c>
      <c r="L1292" s="555">
        <v>0</v>
      </c>
      <c r="M1292" s="556">
        <v>0</v>
      </c>
    </row>
    <row r="1293" spans="3:13" ht="19.5">
      <c r="C1293" s="735"/>
      <c r="D1293" s="736">
        <v>42715</v>
      </c>
      <c r="E1293" s="737">
        <v>0.32291666666666669</v>
      </c>
      <c r="F1293" s="731">
        <v>42715</v>
      </c>
      <c r="G1293" s="730">
        <v>0.32361111111111113</v>
      </c>
      <c r="H1293" s="554" t="s">
        <v>2949</v>
      </c>
      <c r="I1293" s="554" t="s">
        <v>124</v>
      </c>
      <c r="J1293" s="555" t="s">
        <v>2910</v>
      </c>
      <c r="K1293" s="555" t="s">
        <v>100</v>
      </c>
      <c r="L1293" s="555">
        <v>0</v>
      </c>
      <c r="M1293" s="556">
        <v>0</v>
      </c>
    </row>
    <row r="1294" spans="3:13" ht="19.5">
      <c r="C1294" s="735"/>
      <c r="D1294" s="736">
        <v>42717</v>
      </c>
      <c r="E1294" s="737">
        <v>0.58958333333333335</v>
      </c>
      <c r="F1294" s="731">
        <v>42717</v>
      </c>
      <c r="G1294" s="730">
        <v>0.60416666666666663</v>
      </c>
      <c r="H1294" s="554" t="s">
        <v>2951</v>
      </c>
      <c r="I1294" s="554" t="s">
        <v>124</v>
      </c>
      <c r="J1294" s="555" t="s">
        <v>2944</v>
      </c>
      <c r="K1294" s="555" t="s">
        <v>2952</v>
      </c>
      <c r="L1294" s="555">
        <v>0</v>
      </c>
      <c r="M1294" s="556">
        <v>0</v>
      </c>
    </row>
    <row r="1295" spans="3:13" ht="19.5">
      <c r="C1295" s="735"/>
      <c r="D1295" s="736">
        <v>42719</v>
      </c>
      <c r="E1295" s="737">
        <v>0.27083333333333331</v>
      </c>
      <c r="F1295" s="731" t="s">
        <v>45</v>
      </c>
      <c r="G1295" s="730" t="s">
        <v>45</v>
      </c>
      <c r="H1295" s="554" t="s">
        <v>2953</v>
      </c>
      <c r="I1295" s="554" t="s">
        <v>124</v>
      </c>
      <c r="J1295" s="555" t="s">
        <v>2780</v>
      </c>
      <c r="K1295" s="555" t="s">
        <v>1138</v>
      </c>
      <c r="L1295" s="555" t="s">
        <v>45</v>
      </c>
      <c r="M1295" s="556" t="s">
        <v>45</v>
      </c>
    </row>
    <row r="1296" spans="3:13" ht="19.5">
      <c r="C1296" s="735"/>
      <c r="D1296" s="736">
        <v>42720</v>
      </c>
      <c r="E1296" s="737">
        <v>0.32291666666666669</v>
      </c>
      <c r="F1296" s="731">
        <v>42720</v>
      </c>
      <c r="G1296" s="730">
        <v>0.36458333333333331</v>
      </c>
      <c r="H1296" s="554" t="s">
        <v>2947</v>
      </c>
      <c r="I1296" s="554" t="s">
        <v>124</v>
      </c>
      <c r="J1296" s="555" t="s">
        <v>2910</v>
      </c>
      <c r="K1296" s="555" t="s">
        <v>100</v>
      </c>
      <c r="L1296" s="555">
        <v>0</v>
      </c>
      <c r="M1296" s="556">
        <v>0</v>
      </c>
    </row>
    <row r="1297" spans="3:13" ht="19.5">
      <c r="C1297" s="735"/>
      <c r="D1297" s="736">
        <v>42730</v>
      </c>
      <c r="E1297" s="737">
        <v>0.16666666666666666</v>
      </c>
      <c r="F1297" s="731">
        <v>42730</v>
      </c>
      <c r="G1297" s="730">
        <v>0.25</v>
      </c>
      <c r="H1297" s="554" t="s">
        <v>2853</v>
      </c>
      <c r="I1297" s="554" t="s">
        <v>124</v>
      </c>
      <c r="J1297" s="555" t="s">
        <v>2910</v>
      </c>
      <c r="K1297" s="555" t="s">
        <v>100</v>
      </c>
      <c r="L1297" s="555">
        <v>0</v>
      </c>
      <c r="M1297" s="556">
        <v>0</v>
      </c>
    </row>
    <row r="1298" spans="3:13" ht="19.5">
      <c r="C1298" s="735"/>
      <c r="D1298" s="736">
        <v>42732</v>
      </c>
      <c r="E1298" s="737">
        <v>0.16874999999999998</v>
      </c>
      <c r="F1298" s="731">
        <v>42735</v>
      </c>
      <c r="G1298" s="730">
        <v>0.25</v>
      </c>
      <c r="H1298" s="554" t="s">
        <v>2945</v>
      </c>
      <c r="I1298" s="554" t="s">
        <v>124</v>
      </c>
      <c r="J1298" s="555" t="s">
        <v>2780</v>
      </c>
      <c r="K1298" s="555" t="s">
        <v>1138</v>
      </c>
      <c r="L1298" s="555">
        <v>0</v>
      </c>
      <c r="M1298" s="556">
        <v>0</v>
      </c>
    </row>
    <row r="1299" spans="3:13" ht="19.5">
      <c r="C1299" s="735"/>
      <c r="D1299" s="736">
        <v>42734</v>
      </c>
      <c r="E1299" s="737">
        <v>0.37152777777777773</v>
      </c>
      <c r="F1299" s="731">
        <v>42734</v>
      </c>
      <c r="G1299" s="730">
        <v>0.37222222222222223</v>
      </c>
      <c r="H1299" s="554" t="s">
        <v>2958</v>
      </c>
      <c r="I1299" s="554" t="s">
        <v>61</v>
      </c>
      <c r="J1299" s="555" t="s">
        <v>2944</v>
      </c>
      <c r="K1299" s="555" t="s">
        <v>2798</v>
      </c>
      <c r="L1299" s="555">
        <v>0</v>
      </c>
      <c r="M1299" s="556">
        <v>0</v>
      </c>
    </row>
    <row r="1300" spans="3:13" ht="20.25" thickBot="1">
      <c r="C1300" s="735"/>
      <c r="D1300" s="736">
        <v>42734</v>
      </c>
      <c r="E1300" s="737">
        <v>0.10416666666666667</v>
      </c>
      <c r="F1300" s="731">
        <v>42734</v>
      </c>
      <c r="G1300" s="730">
        <v>0.79166666666666663</v>
      </c>
      <c r="H1300" s="557" t="s">
        <v>2959</v>
      </c>
      <c r="I1300" s="557" t="s">
        <v>61</v>
      </c>
      <c r="J1300" s="622" t="s">
        <v>2753</v>
      </c>
      <c r="K1300" s="622" t="s">
        <v>2960</v>
      </c>
      <c r="L1300" s="622" t="s">
        <v>45</v>
      </c>
      <c r="M1300" s="675">
        <v>85263</v>
      </c>
    </row>
    <row r="1301" spans="3:13" ht="19.5">
      <c r="C1301" s="735"/>
      <c r="D1301" s="736">
        <v>42740</v>
      </c>
      <c r="E1301" s="737">
        <v>0.7055555555555556</v>
      </c>
      <c r="F1301" s="731">
        <v>42740</v>
      </c>
      <c r="G1301" s="730">
        <v>0.70624999999999993</v>
      </c>
      <c r="H1301" s="555" t="s">
        <v>2964</v>
      </c>
      <c r="I1301" s="555" t="s">
        <v>301</v>
      </c>
      <c r="J1301" s="750" t="s">
        <v>2910</v>
      </c>
      <c r="K1301" s="555" t="s">
        <v>2150</v>
      </c>
      <c r="L1301" s="555">
        <v>0</v>
      </c>
      <c r="M1301" s="555">
        <v>0</v>
      </c>
    </row>
    <row r="1302" spans="3:13" ht="19.5">
      <c r="C1302" s="735"/>
      <c r="D1302" s="736">
        <v>42743</v>
      </c>
      <c r="E1302" s="737">
        <v>0.37986111111111115</v>
      </c>
      <c r="F1302" s="731">
        <v>42748</v>
      </c>
      <c r="G1302" s="730">
        <v>0.60416666666666663</v>
      </c>
      <c r="H1302" s="555" t="s">
        <v>18</v>
      </c>
      <c r="I1302" s="555" t="s">
        <v>124</v>
      </c>
      <c r="J1302" s="750" t="s">
        <v>2753</v>
      </c>
      <c r="K1302" s="555" t="s">
        <v>22</v>
      </c>
      <c r="L1302" s="555" t="s">
        <v>45</v>
      </c>
      <c r="M1302" s="555">
        <v>106000</v>
      </c>
    </row>
    <row r="1303" spans="3:13" ht="19.5">
      <c r="C1303" s="735"/>
      <c r="D1303" s="736">
        <v>42743</v>
      </c>
      <c r="E1303" s="737">
        <v>0.99930555555555556</v>
      </c>
      <c r="F1303" s="731" t="s">
        <v>45</v>
      </c>
      <c r="G1303" s="730" t="s">
        <v>45</v>
      </c>
      <c r="H1303" s="555" t="s">
        <v>18</v>
      </c>
      <c r="I1303" s="555" t="s">
        <v>124</v>
      </c>
      <c r="J1303" s="750" t="s">
        <v>2780</v>
      </c>
      <c r="K1303" s="555" t="s">
        <v>1138</v>
      </c>
      <c r="L1303" s="555">
        <v>0</v>
      </c>
      <c r="M1303" s="555">
        <v>0</v>
      </c>
    </row>
    <row r="1304" spans="3:13" ht="19.5">
      <c r="C1304" s="735"/>
      <c r="D1304" s="736">
        <v>42745</v>
      </c>
      <c r="E1304" s="737">
        <v>0.8125</v>
      </c>
      <c r="F1304" s="731">
        <v>42748</v>
      </c>
      <c r="G1304" s="730">
        <v>0.60416666666666663</v>
      </c>
      <c r="H1304" s="555" t="s">
        <v>18</v>
      </c>
      <c r="I1304" s="555" t="s">
        <v>124</v>
      </c>
      <c r="J1304" s="750" t="s">
        <v>2753</v>
      </c>
      <c r="K1304" s="555" t="s">
        <v>22</v>
      </c>
      <c r="L1304" s="555" t="s">
        <v>45</v>
      </c>
      <c r="M1304" s="555">
        <v>87000</v>
      </c>
    </row>
    <row r="1305" spans="3:13" ht="19.5">
      <c r="C1305" s="735"/>
      <c r="D1305" s="736">
        <v>42750</v>
      </c>
      <c r="E1305" s="737">
        <v>0.27430555555555552</v>
      </c>
      <c r="F1305" s="731">
        <v>42750</v>
      </c>
      <c r="G1305" s="730">
        <v>0.32222222222222224</v>
      </c>
      <c r="H1305" s="555" t="s">
        <v>2967</v>
      </c>
      <c r="I1305" s="555" t="s">
        <v>124</v>
      </c>
      <c r="J1305" s="750" t="s">
        <v>2753</v>
      </c>
      <c r="K1305" s="555" t="s">
        <v>2968</v>
      </c>
      <c r="L1305" s="555">
        <v>176</v>
      </c>
      <c r="M1305" s="555">
        <v>126000</v>
      </c>
    </row>
    <row r="1306" spans="3:13" ht="19.5">
      <c r="C1306" s="735"/>
      <c r="D1306" s="736">
        <v>42750</v>
      </c>
      <c r="E1306" s="737">
        <v>0.39374999999999999</v>
      </c>
      <c r="F1306" s="731">
        <v>42752</v>
      </c>
      <c r="G1306" s="730">
        <v>8.1944444444444445E-2</v>
      </c>
      <c r="H1306" s="555" t="s">
        <v>2970</v>
      </c>
      <c r="I1306" s="555" t="s">
        <v>58</v>
      </c>
      <c r="J1306" s="750" t="s">
        <v>2839</v>
      </c>
      <c r="K1306" s="555" t="s">
        <v>22</v>
      </c>
      <c r="L1306" s="555">
        <v>1</v>
      </c>
      <c r="M1306" s="555">
        <v>788</v>
      </c>
    </row>
    <row r="1307" spans="3:13" ht="19.5">
      <c r="C1307" s="735"/>
      <c r="D1307" s="736">
        <v>42753</v>
      </c>
      <c r="E1307" s="737">
        <v>0.75347222222222221</v>
      </c>
      <c r="F1307" s="731">
        <v>42754</v>
      </c>
      <c r="G1307" s="730">
        <v>3.472222222222222E-3</v>
      </c>
      <c r="H1307" s="555" t="s">
        <v>18</v>
      </c>
      <c r="I1307" s="555" t="s">
        <v>124</v>
      </c>
      <c r="J1307" s="750" t="s">
        <v>2753</v>
      </c>
      <c r="K1307" s="555" t="s">
        <v>22</v>
      </c>
      <c r="L1307" s="555" t="s">
        <v>45</v>
      </c>
      <c r="M1307" s="555">
        <v>75000</v>
      </c>
    </row>
    <row r="1308" spans="3:13" ht="19.5">
      <c r="C1308" s="735"/>
      <c r="D1308" s="736">
        <v>42757</v>
      </c>
      <c r="E1308" s="737">
        <v>0.17708333333333334</v>
      </c>
      <c r="F1308" s="731">
        <v>42759</v>
      </c>
      <c r="G1308" s="730">
        <v>0.58333333333333337</v>
      </c>
      <c r="H1308" s="555" t="s">
        <v>18</v>
      </c>
      <c r="I1308" s="555" t="s">
        <v>124</v>
      </c>
      <c r="J1308" s="750" t="s">
        <v>2753</v>
      </c>
      <c r="K1308" s="555" t="s">
        <v>22</v>
      </c>
      <c r="L1308" s="555">
        <v>97</v>
      </c>
      <c r="M1308" s="555">
        <v>64000</v>
      </c>
    </row>
    <row r="1309" spans="3:13" ht="19.5">
      <c r="C1309" s="735"/>
      <c r="D1309" s="736">
        <v>42757</v>
      </c>
      <c r="E1309" s="737">
        <v>0.25</v>
      </c>
      <c r="F1309" s="731" t="s">
        <v>45</v>
      </c>
      <c r="G1309" s="730" t="s">
        <v>45</v>
      </c>
      <c r="H1309" s="555" t="s">
        <v>18</v>
      </c>
      <c r="I1309" s="555" t="s">
        <v>124</v>
      </c>
      <c r="J1309" s="750" t="s">
        <v>2780</v>
      </c>
      <c r="K1309" s="555" t="s">
        <v>1138</v>
      </c>
      <c r="L1309" s="555">
        <v>0</v>
      </c>
      <c r="M1309" s="555">
        <v>0</v>
      </c>
    </row>
    <row r="1310" spans="3:13" ht="19.5">
      <c r="C1310" s="735"/>
      <c r="D1310" s="736">
        <v>42757</v>
      </c>
      <c r="E1310" s="737">
        <v>0.66666666666666663</v>
      </c>
      <c r="F1310" s="731">
        <v>42758</v>
      </c>
      <c r="G1310" s="730">
        <v>0.14305555555555557</v>
      </c>
      <c r="H1310" s="555" t="s">
        <v>2974</v>
      </c>
      <c r="I1310" s="555" t="s">
        <v>63</v>
      </c>
      <c r="J1310" s="750" t="s">
        <v>2753</v>
      </c>
      <c r="K1310" s="555" t="s">
        <v>22</v>
      </c>
      <c r="L1310" s="555">
        <v>100</v>
      </c>
      <c r="M1310" s="555">
        <v>29965</v>
      </c>
    </row>
    <row r="1311" spans="3:13" ht="19.5">
      <c r="C1311" s="735"/>
      <c r="D1311" s="736">
        <v>42768</v>
      </c>
      <c r="E1311" s="737">
        <v>4.4444444444444446E-2</v>
      </c>
      <c r="F1311" s="731">
        <v>42768</v>
      </c>
      <c r="G1311" s="730">
        <v>0.20833333333333334</v>
      </c>
      <c r="H1311" s="555" t="s">
        <v>2975</v>
      </c>
      <c r="I1311" s="555" t="s">
        <v>124</v>
      </c>
      <c r="J1311" s="750" t="s">
        <v>2769</v>
      </c>
      <c r="K1311" s="555" t="s">
        <v>2483</v>
      </c>
      <c r="L1311" s="555">
        <v>396</v>
      </c>
      <c r="M1311" s="555">
        <v>149223</v>
      </c>
    </row>
    <row r="1312" spans="3:13" ht="19.5">
      <c r="C1312" s="735"/>
      <c r="D1312" s="736">
        <v>42768</v>
      </c>
      <c r="E1312" s="737">
        <v>4.9305555555555554E-2</v>
      </c>
      <c r="F1312" s="731" t="s">
        <v>45</v>
      </c>
      <c r="G1312" s="730" t="s">
        <v>45</v>
      </c>
      <c r="H1312" s="555" t="s">
        <v>2893</v>
      </c>
      <c r="I1312" s="555" t="s">
        <v>124</v>
      </c>
      <c r="J1312" s="750" t="s">
        <v>2769</v>
      </c>
      <c r="K1312" s="555" t="s">
        <v>2483</v>
      </c>
      <c r="L1312" s="555">
        <v>400</v>
      </c>
      <c r="M1312" s="555" t="s">
        <v>45</v>
      </c>
    </row>
    <row r="1313" spans="3:13" ht="19.5">
      <c r="C1313" s="735"/>
      <c r="D1313" s="736">
        <v>42772</v>
      </c>
      <c r="E1313" s="737">
        <v>4.1666666666666664E-2</v>
      </c>
      <c r="F1313" s="731">
        <v>42772</v>
      </c>
      <c r="G1313" s="730">
        <v>0.8125</v>
      </c>
      <c r="H1313" s="555" t="s">
        <v>2976</v>
      </c>
      <c r="I1313" s="555" t="s">
        <v>124</v>
      </c>
      <c r="J1313" s="750" t="s">
        <v>2753</v>
      </c>
      <c r="K1313" s="555" t="s">
        <v>22</v>
      </c>
      <c r="L1313" s="555" t="s">
        <v>45</v>
      </c>
      <c r="M1313" s="555">
        <v>103000</v>
      </c>
    </row>
    <row r="1314" spans="3:13" ht="19.5">
      <c r="C1314" s="735"/>
      <c r="D1314" s="736">
        <v>42775</v>
      </c>
      <c r="E1314" s="737">
        <v>0.67013888888888884</v>
      </c>
      <c r="F1314" s="731">
        <v>42776</v>
      </c>
      <c r="G1314" s="730">
        <v>0.21875</v>
      </c>
      <c r="H1314" s="555" t="s">
        <v>2834</v>
      </c>
      <c r="I1314" s="555" t="s">
        <v>61</v>
      </c>
      <c r="J1314" s="750" t="s">
        <v>2753</v>
      </c>
      <c r="K1314" s="555" t="s">
        <v>22</v>
      </c>
      <c r="L1314" s="555" t="s">
        <v>45</v>
      </c>
      <c r="M1314" s="555">
        <v>11525</v>
      </c>
    </row>
    <row r="1315" spans="3:13" ht="19.5">
      <c r="C1315" s="735"/>
      <c r="D1315" s="736">
        <v>42777</v>
      </c>
      <c r="E1315" s="737">
        <v>0.65694444444444444</v>
      </c>
      <c r="F1315" s="731">
        <v>42777</v>
      </c>
      <c r="G1315" s="730">
        <v>0.65972222222222221</v>
      </c>
      <c r="H1315" s="555" t="s">
        <v>1320</v>
      </c>
      <c r="I1315" s="555" t="s">
        <v>124</v>
      </c>
      <c r="J1315" s="750" t="s">
        <v>2910</v>
      </c>
      <c r="K1315" s="555" t="s">
        <v>2293</v>
      </c>
      <c r="L1315" s="555">
        <v>0</v>
      </c>
      <c r="M1315" s="555">
        <v>0</v>
      </c>
    </row>
    <row r="1316" spans="3:13" ht="19.5">
      <c r="C1316" s="735"/>
      <c r="D1316" s="736">
        <v>42779</v>
      </c>
      <c r="E1316" s="737">
        <v>0.54166666666666663</v>
      </c>
      <c r="F1316" s="731">
        <v>42781</v>
      </c>
      <c r="G1316" s="730">
        <v>0.56597222222222221</v>
      </c>
      <c r="H1316" s="555" t="s">
        <v>2977</v>
      </c>
      <c r="I1316" s="555" t="s">
        <v>63</v>
      </c>
      <c r="J1316" s="750" t="s">
        <v>2910</v>
      </c>
      <c r="K1316" s="555" t="s">
        <v>2978</v>
      </c>
      <c r="L1316" s="555">
        <v>0</v>
      </c>
      <c r="M1316" s="555">
        <v>0</v>
      </c>
    </row>
    <row r="1317" spans="3:13" ht="19.5">
      <c r="C1317" s="735"/>
      <c r="D1317" s="736">
        <v>42783</v>
      </c>
      <c r="E1317" s="737">
        <v>0.54166666666666663</v>
      </c>
      <c r="F1317" s="731">
        <v>42783</v>
      </c>
      <c r="G1317" s="730">
        <v>0.55208333333333337</v>
      </c>
      <c r="H1317" s="555" t="s">
        <v>2817</v>
      </c>
      <c r="I1317" s="555" t="s">
        <v>124</v>
      </c>
      <c r="J1317" s="750" t="s">
        <v>2910</v>
      </c>
      <c r="K1317" s="555" t="s">
        <v>2978</v>
      </c>
      <c r="L1317" s="555">
        <v>0</v>
      </c>
      <c r="M1317" s="555">
        <v>0</v>
      </c>
    </row>
    <row r="1318" spans="3:13" ht="19.5">
      <c r="C1318" s="735"/>
      <c r="D1318" s="736">
        <v>42783</v>
      </c>
      <c r="E1318" s="737">
        <v>0.625</v>
      </c>
      <c r="F1318" s="731">
        <v>42786</v>
      </c>
      <c r="G1318" s="730">
        <v>0.45833333333333331</v>
      </c>
      <c r="H1318" s="555" t="s">
        <v>2967</v>
      </c>
      <c r="I1318" s="555" t="s">
        <v>124</v>
      </c>
      <c r="J1318" s="750" t="s">
        <v>2753</v>
      </c>
      <c r="K1318" s="555" t="s">
        <v>22</v>
      </c>
      <c r="L1318" s="555" t="s">
        <v>45</v>
      </c>
      <c r="M1318" s="555">
        <v>111591</v>
      </c>
    </row>
    <row r="1319" spans="3:13" ht="19.5">
      <c r="C1319" s="735"/>
      <c r="D1319" s="736">
        <v>42783</v>
      </c>
      <c r="E1319" s="737">
        <v>0.33958333333333335</v>
      </c>
      <c r="F1319" s="731">
        <v>42788</v>
      </c>
      <c r="G1319" s="730">
        <v>0.8125</v>
      </c>
      <c r="H1319" s="555" t="s">
        <v>18</v>
      </c>
      <c r="I1319" s="555" t="s">
        <v>124</v>
      </c>
      <c r="J1319" s="750" t="s">
        <v>2753</v>
      </c>
      <c r="K1319" s="555" t="s">
        <v>22</v>
      </c>
      <c r="L1319" s="555">
        <v>254</v>
      </c>
      <c r="M1319" s="555">
        <v>169250</v>
      </c>
    </row>
    <row r="1320" spans="3:13" ht="19.5">
      <c r="C1320" s="735"/>
      <c r="D1320" s="736">
        <v>42783</v>
      </c>
      <c r="E1320" s="737">
        <v>0.18888888888888888</v>
      </c>
      <c r="F1320" s="731">
        <v>42783</v>
      </c>
      <c r="G1320" s="730">
        <v>0.20972222222222223</v>
      </c>
      <c r="H1320" s="555" t="s">
        <v>2979</v>
      </c>
      <c r="I1320" s="555" t="s">
        <v>58</v>
      </c>
      <c r="J1320" s="750" t="s">
        <v>2944</v>
      </c>
      <c r="K1320" s="555" t="s">
        <v>2764</v>
      </c>
      <c r="L1320" s="555">
        <v>0</v>
      </c>
      <c r="M1320" s="555">
        <v>0</v>
      </c>
    </row>
    <row r="1321" spans="3:13" ht="19.5">
      <c r="C1321" s="735"/>
      <c r="D1321" s="736">
        <v>42795</v>
      </c>
      <c r="E1321" s="737">
        <v>0.49236111111111108</v>
      </c>
      <c r="F1321" s="731">
        <v>42796</v>
      </c>
      <c r="G1321" s="730">
        <v>0.89583333333333337</v>
      </c>
      <c r="H1321" s="555" t="s">
        <v>2982</v>
      </c>
      <c r="I1321" s="555" t="s">
        <v>826</v>
      </c>
      <c r="J1321" s="750" t="s">
        <v>2753</v>
      </c>
      <c r="K1321" s="555" t="s">
        <v>22</v>
      </c>
      <c r="L1321" s="555" t="s">
        <v>45</v>
      </c>
      <c r="M1321" s="555">
        <v>98575</v>
      </c>
    </row>
    <row r="1322" spans="3:13" ht="19.5">
      <c r="C1322" s="735"/>
      <c r="D1322" s="736">
        <v>42795</v>
      </c>
      <c r="E1322" s="737">
        <v>0.35416666666666669</v>
      </c>
      <c r="F1322" s="731">
        <v>42795</v>
      </c>
      <c r="G1322" s="730">
        <v>0.58333333333333337</v>
      </c>
      <c r="H1322" s="555" t="s">
        <v>2983</v>
      </c>
      <c r="I1322" s="555" t="s">
        <v>63</v>
      </c>
      <c r="J1322" s="750" t="s">
        <v>2753</v>
      </c>
      <c r="K1322" s="555" t="s">
        <v>22</v>
      </c>
      <c r="L1322" s="555" t="s">
        <v>45</v>
      </c>
      <c r="M1322" s="555">
        <v>58000</v>
      </c>
    </row>
    <row r="1323" spans="3:13" ht="19.5">
      <c r="C1323" s="735"/>
      <c r="D1323" s="736">
        <v>42796</v>
      </c>
      <c r="E1323" s="737">
        <v>0.51388888888888895</v>
      </c>
      <c r="F1323" s="731">
        <v>42796</v>
      </c>
      <c r="G1323" s="730">
        <v>0.98958333333333337</v>
      </c>
      <c r="H1323" s="555" t="s">
        <v>2984</v>
      </c>
      <c r="I1323" s="555" t="s">
        <v>61</v>
      </c>
      <c r="J1323" s="750" t="s">
        <v>2753</v>
      </c>
      <c r="K1323" s="555" t="s">
        <v>22</v>
      </c>
      <c r="L1323" s="555" t="s">
        <v>45</v>
      </c>
      <c r="M1323" s="555">
        <v>54316</v>
      </c>
    </row>
    <row r="1324" spans="3:13" ht="19.5">
      <c r="C1324" s="735"/>
      <c r="D1324" s="736">
        <v>42800</v>
      </c>
      <c r="E1324" s="737">
        <v>0.83333333333333337</v>
      </c>
      <c r="F1324" s="731">
        <v>42801</v>
      </c>
      <c r="G1324" s="730">
        <v>4.1666666666666664E-2</v>
      </c>
      <c r="H1324" s="555" t="s">
        <v>2986</v>
      </c>
      <c r="I1324" s="555" t="s">
        <v>63</v>
      </c>
      <c r="J1324" s="750" t="s">
        <v>2753</v>
      </c>
      <c r="K1324" s="555" t="s">
        <v>22</v>
      </c>
      <c r="L1324" s="555" t="s">
        <v>45</v>
      </c>
      <c r="M1324" s="555">
        <v>97734</v>
      </c>
    </row>
    <row r="1325" spans="3:13" ht="19.5">
      <c r="C1325" s="735"/>
      <c r="D1325" s="736">
        <v>42802</v>
      </c>
      <c r="E1325" s="737">
        <v>0.47916666666666669</v>
      </c>
      <c r="F1325" s="731">
        <v>42802</v>
      </c>
      <c r="G1325" s="730">
        <v>0.82777777777777783</v>
      </c>
      <c r="H1325" s="555" t="s">
        <v>160</v>
      </c>
      <c r="I1325" s="555" t="s">
        <v>826</v>
      </c>
      <c r="J1325" s="750" t="s">
        <v>2753</v>
      </c>
      <c r="K1325" s="555" t="s">
        <v>22</v>
      </c>
      <c r="L1325" s="555" t="s">
        <v>45</v>
      </c>
      <c r="M1325" s="555">
        <v>71012</v>
      </c>
    </row>
    <row r="1326" spans="3:13" ht="19.5">
      <c r="C1326" s="735"/>
      <c r="D1326" s="736">
        <v>42802</v>
      </c>
      <c r="E1326" s="737">
        <v>0.5</v>
      </c>
      <c r="F1326" s="731">
        <v>42805</v>
      </c>
      <c r="G1326" s="730">
        <v>0.47986111111111113</v>
      </c>
      <c r="H1326" s="555" t="s">
        <v>1833</v>
      </c>
      <c r="I1326" s="555" t="s">
        <v>826</v>
      </c>
      <c r="J1326" s="554" t="s">
        <v>2753</v>
      </c>
      <c r="K1326" s="555" t="s">
        <v>22</v>
      </c>
      <c r="L1326" s="555" t="s">
        <v>45</v>
      </c>
      <c r="M1326" s="555">
        <v>800000</v>
      </c>
    </row>
    <row r="1327" spans="3:13" ht="19.5">
      <c r="C1327" s="735"/>
      <c r="D1327" s="736">
        <v>42802</v>
      </c>
      <c r="E1327" s="737">
        <v>0.39583333333333331</v>
      </c>
      <c r="F1327" s="731">
        <v>42805</v>
      </c>
      <c r="G1327" s="730">
        <v>0.20833333333333334</v>
      </c>
      <c r="H1327" s="555" t="s">
        <v>2989</v>
      </c>
      <c r="I1327" s="555" t="s">
        <v>826</v>
      </c>
      <c r="J1327" s="554" t="s">
        <v>2753</v>
      </c>
      <c r="K1327" s="555" t="s">
        <v>22</v>
      </c>
      <c r="L1327" s="555" t="s">
        <v>45</v>
      </c>
      <c r="M1327" s="555">
        <v>343000</v>
      </c>
    </row>
    <row r="1328" spans="3:13" ht="19.5">
      <c r="C1328" s="735"/>
      <c r="D1328" s="736">
        <v>42802</v>
      </c>
      <c r="E1328" s="737">
        <v>0.5625</v>
      </c>
      <c r="F1328" s="731">
        <v>42802</v>
      </c>
      <c r="G1328" s="730">
        <v>0.6875</v>
      </c>
      <c r="H1328" s="555" t="s">
        <v>30</v>
      </c>
      <c r="I1328" s="555" t="s">
        <v>61</v>
      </c>
      <c r="J1328" s="554" t="s">
        <v>2753</v>
      </c>
      <c r="K1328" s="555" t="s">
        <v>2990</v>
      </c>
      <c r="L1328" s="555" t="s">
        <v>45</v>
      </c>
      <c r="M1328" s="555">
        <v>106869</v>
      </c>
    </row>
    <row r="1329" spans="3:13" ht="19.5">
      <c r="C1329" s="735"/>
      <c r="D1329" s="736">
        <v>42802</v>
      </c>
      <c r="E1329" s="737">
        <v>0.6479166666666667</v>
      </c>
      <c r="F1329" s="731" t="s">
        <v>45</v>
      </c>
      <c r="G1329" s="730" t="s">
        <v>45</v>
      </c>
      <c r="H1329" s="555" t="s">
        <v>30</v>
      </c>
      <c r="I1329" s="555" t="s">
        <v>61</v>
      </c>
      <c r="J1329" s="554" t="s">
        <v>2753</v>
      </c>
      <c r="K1329" s="555" t="s">
        <v>22</v>
      </c>
      <c r="L1329" s="555" t="s">
        <v>45</v>
      </c>
      <c r="M1329" s="555">
        <v>50000</v>
      </c>
    </row>
    <row r="1330" spans="3:13" ht="19.5">
      <c r="C1330" s="735"/>
      <c r="D1330" s="736">
        <v>42806</v>
      </c>
      <c r="E1330" s="737">
        <v>0.41388888888888892</v>
      </c>
      <c r="F1330" s="731">
        <v>42806</v>
      </c>
      <c r="G1330" s="730">
        <v>0.47222222222222227</v>
      </c>
      <c r="H1330" s="555" t="s">
        <v>2920</v>
      </c>
      <c r="I1330" s="555" t="s">
        <v>124</v>
      </c>
      <c r="J1330" s="554" t="s">
        <v>2910</v>
      </c>
      <c r="K1330" s="555" t="s">
        <v>100</v>
      </c>
      <c r="L1330" s="555">
        <v>0</v>
      </c>
      <c r="M1330" s="555">
        <v>1</v>
      </c>
    </row>
    <row r="1331" spans="3:13" ht="19.5">
      <c r="C1331" s="735"/>
      <c r="D1331" s="736">
        <v>42808</v>
      </c>
      <c r="E1331" s="737">
        <v>0.52222222222222225</v>
      </c>
      <c r="F1331" s="731" t="s">
        <v>45</v>
      </c>
      <c r="G1331" s="730" t="s">
        <v>45</v>
      </c>
      <c r="H1331" s="555" t="s">
        <v>2992</v>
      </c>
      <c r="I1331" s="555" t="s">
        <v>61</v>
      </c>
      <c r="J1331" s="554" t="s">
        <v>2753</v>
      </c>
      <c r="K1331" s="555" t="s">
        <v>22</v>
      </c>
      <c r="L1331" s="555" t="s">
        <v>45</v>
      </c>
      <c r="M1331" s="555">
        <v>69647</v>
      </c>
    </row>
    <row r="1332" spans="3:13" ht="19.5">
      <c r="C1332" s="735"/>
      <c r="D1332" s="736">
        <v>42815</v>
      </c>
      <c r="E1332" s="737">
        <v>0.83333333333333337</v>
      </c>
      <c r="F1332" s="731">
        <v>42816</v>
      </c>
      <c r="G1332" s="730">
        <v>0.38541666666666669</v>
      </c>
      <c r="H1332" s="555" t="s">
        <v>361</v>
      </c>
      <c r="I1332" s="555" t="s">
        <v>63</v>
      </c>
      <c r="J1332" s="554" t="s">
        <v>2753</v>
      </c>
      <c r="K1332" s="555" t="s">
        <v>22</v>
      </c>
      <c r="L1332" s="555">
        <v>857</v>
      </c>
      <c r="M1332" s="555">
        <v>257000</v>
      </c>
    </row>
    <row r="1333" spans="3:13" ht="19.5">
      <c r="C1333" s="735"/>
      <c r="D1333" s="736">
        <v>42818</v>
      </c>
      <c r="E1333" s="737">
        <v>0.27013888888888887</v>
      </c>
      <c r="F1333" s="731">
        <v>42818</v>
      </c>
      <c r="G1333" s="730">
        <v>0.30069444444444443</v>
      </c>
      <c r="H1333" s="555" t="s">
        <v>2995</v>
      </c>
      <c r="I1333" s="555" t="s">
        <v>124</v>
      </c>
      <c r="J1333" s="554" t="s">
        <v>2910</v>
      </c>
      <c r="K1333" s="555" t="s">
        <v>2343</v>
      </c>
      <c r="L1333" s="555">
        <v>0</v>
      </c>
      <c r="M1333" s="555">
        <v>0</v>
      </c>
    </row>
    <row r="1334" spans="3:13" ht="19.5">
      <c r="C1334" s="735"/>
      <c r="D1334" s="736">
        <v>42822</v>
      </c>
      <c r="E1334" s="737">
        <v>0.67152777777777783</v>
      </c>
      <c r="F1334" s="731">
        <v>42822</v>
      </c>
      <c r="G1334" s="730">
        <v>0.67222222222222217</v>
      </c>
      <c r="H1334" s="555" t="s">
        <v>2808</v>
      </c>
      <c r="I1334" s="555" t="s">
        <v>124</v>
      </c>
      <c r="J1334" s="554" t="s">
        <v>2910</v>
      </c>
      <c r="K1334" s="555" t="s">
        <v>2118</v>
      </c>
      <c r="L1334" s="555">
        <v>0</v>
      </c>
      <c r="M1334" s="555">
        <v>0</v>
      </c>
    </row>
    <row r="1335" spans="3:13" ht="19.5">
      <c r="C1335" s="735"/>
      <c r="D1335" s="736">
        <v>42823</v>
      </c>
      <c r="E1335" s="737">
        <v>0.14583333333333334</v>
      </c>
      <c r="F1335" s="731">
        <v>42825</v>
      </c>
      <c r="G1335" s="730">
        <v>0.25</v>
      </c>
      <c r="H1335" s="555" t="s">
        <v>166</v>
      </c>
      <c r="I1335" s="555" t="s">
        <v>1352</v>
      </c>
      <c r="J1335" s="554" t="s">
        <v>2753</v>
      </c>
      <c r="K1335" s="555" t="s">
        <v>22</v>
      </c>
      <c r="L1335" s="555" t="s">
        <v>45</v>
      </c>
      <c r="M1335" s="555">
        <v>175000</v>
      </c>
    </row>
    <row r="1336" spans="3:13" ht="19.5">
      <c r="C1336" s="735"/>
      <c r="D1336" s="736">
        <v>42825</v>
      </c>
      <c r="E1336" s="737">
        <v>0.80208333333333337</v>
      </c>
      <c r="F1336" s="731">
        <v>42825</v>
      </c>
      <c r="G1336" s="730">
        <v>0.87986111111111109</v>
      </c>
      <c r="H1336" s="555" t="s">
        <v>2998</v>
      </c>
      <c r="I1336" s="555" t="s">
        <v>63</v>
      </c>
      <c r="J1336" s="554" t="s">
        <v>2910</v>
      </c>
      <c r="K1336" s="555" t="s">
        <v>100</v>
      </c>
      <c r="L1336" s="555">
        <v>0</v>
      </c>
      <c r="M1336" s="555">
        <v>0</v>
      </c>
    </row>
    <row r="1337" spans="3:13" ht="19.5">
      <c r="C1337" s="735"/>
      <c r="D1337" s="736">
        <v>42828</v>
      </c>
      <c r="E1337" s="737">
        <v>0.45833333333333331</v>
      </c>
      <c r="F1337" s="731">
        <v>42828</v>
      </c>
      <c r="G1337" s="730">
        <v>0.83333333333333337</v>
      </c>
      <c r="H1337" s="555" t="s">
        <v>3000</v>
      </c>
      <c r="I1337" s="555" t="s">
        <v>63</v>
      </c>
      <c r="J1337" s="753" t="s">
        <v>2753</v>
      </c>
      <c r="K1337" s="555" t="s">
        <v>22</v>
      </c>
      <c r="L1337" s="555">
        <v>290</v>
      </c>
      <c r="M1337" s="555">
        <v>86330</v>
      </c>
    </row>
    <row r="1338" spans="3:13" ht="19.5">
      <c r="C1338" s="735"/>
      <c r="D1338" s="736">
        <v>42831</v>
      </c>
      <c r="E1338" s="737">
        <v>0.79166666666666663</v>
      </c>
      <c r="F1338" s="731" t="s">
        <v>45</v>
      </c>
      <c r="G1338" s="730" t="s">
        <v>45</v>
      </c>
      <c r="H1338" s="555" t="s">
        <v>18</v>
      </c>
      <c r="I1338" s="555" t="s">
        <v>124</v>
      </c>
      <c r="J1338" s="753" t="s">
        <v>2753</v>
      </c>
      <c r="K1338" s="555" t="s">
        <v>22</v>
      </c>
      <c r="L1338" s="555" t="s">
        <v>45</v>
      </c>
      <c r="M1338" s="555">
        <v>100000</v>
      </c>
    </row>
    <row r="1339" spans="3:13" ht="19.5">
      <c r="C1339" s="735"/>
      <c r="D1339" s="736">
        <v>42832</v>
      </c>
      <c r="E1339" s="737">
        <v>0.17777777777777778</v>
      </c>
      <c r="F1339" s="731" t="s">
        <v>45</v>
      </c>
      <c r="G1339" s="730" t="s">
        <v>45</v>
      </c>
      <c r="H1339" s="555" t="s">
        <v>3002</v>
      </c>
      <c r="I1339" s="555" t="s">
        <v>124</v>
      </c>
      <c r="J1339" s="554" t="s">
        <v>2780</v>
      </c>
      <c r="K1339" s="555" t="s">
        <v>1138</v>
      </c>
      <c r="L1339" s="555">
        <v>0</v>
      </c>
      <c r="M1339" s="555">
        <v>0</v>
      </c>
    </row>
    <row r="1340" spans="3:13" ht="19.5">
      <c r="C1340" s="735"/>
      <c r="D1340" s="736">
        <v>42832</v>
      </c>
      <c r="E1340" s="737">
        <v>0.34375</v>
      </c>
      <c r="F1340" s="731">
        <v>42833</v>
      </c>
      <c r="G1340" s="730">
        <v>9.7222222222222224E-3</v>
      </c>
      <c r="H1340" s="555" t="s">
        <v>3004</v>
      </c>
      <c r="I1340" s="555" t="s">
        <v>124</v>
      </c>
      <c r="J1340" s="753" t="s">
        <v>2753</v>
      </c>
      <c r="K1340" s="555" t="s">
        <v>22</v>
      </c>
      <c r="L1340" s="555" t="s">
        <v>45</v>
      </c>
      <c r="M1340" s="555">
        <v>153867</v>
      </c>
    </row>
    <row r="1341" spans="3:13" ht="19.5">
      <c r="C1341" s="735"/>
      <c r="D1341" s="736">
        <v>42832</v>
      </c>
      <c r="E1341" s="737">
        <v>0.18958333333333333</v>
      </c>
      <c r="F1341" s="731">
        <v>42832</v>
      </c>
      <c r="G1341" s="730">
        <v>0.34722222222222227</v>
      </c>
      <c r="H1341" s="555" t="s">
        <v>2152</v>
      </c>
      <c r="I1341" s="555" t="s">
        <v>124</v>
      </c>
      <c r="J1341" s="753" t="s">
        <v>2753</v>
      </c>
      <c r="K1341" s="555" t="s">
        <v>22</v>
      </c>
      <c r="L1341" s="555">
        <v>100</v>
      </c>
      <c r="M1341" s="555">
        <v>64852</v>
      </c>
    </row>
    <row r="1342" spans="3:13" ht="19.5">
      <c r="C1342" s="735"/>
      <c r="D1342" s="736">
        <v>42838</v>
      </c>
      <c r="E1342" s="737">
        <v>0.3263888888888889</v>
      </c>
      <c r="F1342" s="731">
        <v>42838</v>
      </c>
      <c r="G1342" s="730">
        <v>0.33819444444444446</v>
      </c>
      <c r="H1342" s="555" t="s">
        <v>3006</v>
      </c>
      <c r="I1342" s="555" t="s">
        <v>124</v>
      </c>
      <c r="J1342" s="554" t="s">
        <v>2915</v>
      </c>
      <c r="K1342" s="555" t="s">
        <v>2343</v>
      </c>
      <c r="L1342" s="555">
        <v>53</v>
      </c>
      <c r="M1342" s="555">
        <v>10000</v>
      </c>
    </row>
    <row r="1343" spans="3:13" ht="19.5">
      <c r="C1343" s="735"/>
      <c r="D1343" s="736">
        <v>42842</v>
      </c>
      <c r="E1343" s="737">
        <v>0.3923611111111111</v>
      </c>
      <c r="F1343" s="731">
        <v>42842</v>
      </c>
      <c r="G1343" s="730">
        <v>0.39305555555555555</v>
      </c>
      <c r="H1343" s="555" t="s">
        <v>3008</v>
      </c>
      <c r="I1343" s="555" t="s">
        <v>124</v>
      </c>
      <c r="J1343" s="554" t="s">
        <v>2910</v>
      </c>
      <c r="K1343" s="555" t="s">
        <v>2343</v>
      </c>
      <c r="L1343" s="555">
        <v>0</v>
      </c>
      <c r="M1343" s="555">
        <v>0</v>
      </c>
    </row>
    <row r="1344" spans="3:13" ht="19.5">
      <c r="C1344" s="735"/>
      <c r="D1344" s="736">
        <v>42845</v>
      </c>
      <c r="E1344" s="737">
        <v>0.66666666666666663</v>
      </c>
      <c r="F1344" s="731">
        <v>42845</v>
      </c>
      <c r="G1344" s="730">
        <v>0.75</v>
      </c>
      <c r="H1344" s="555" t="s">
        <v>3010</v>
      </c>
      <c r="I1344" s="555" t="s">
        <v>124</v>
      </c>
      <c r="J1344" s="554" t="s">
        <v>2910</v>
      </c>
      <c r="K1344" s="555" t="s">
        <v>3011</v>
      </c>
      <c r="L1344" s="555">
        <v>0</v>
      </c>
      <c r="M1344" s="555">
        <v>0</v>
      </c>
    </row>
    <row r="1345" spans="3:13" ht="19.5">
      <c r="C1345" s="735"/>
      <c r="D1345" s="736">
        <v>42846</v>
      </c>
      <c r="E1345" s="737">
        <v>0.44027777777777777</v>
      </c>
      <c r="F1345" s="731">
        <v>42846</v>
      </c>
      <c r="G1345" s="730">
        <v>0.66319444444444442</v>
      </c>
      <c r="H1345" s="555" t="s">
        <v>3013</v>
      </c>
      <c r="I1345" s="555" t="s">
        <v>63</v>
      </c>
      <c r="J1345" s="554" t="s">
        <v>2910</v>
      </c>
      <c r="K1345" s="555" t="s">
        <v>3011</v>
      </c>
      <c r="L1345" s="555">
        <v>0</v>
      </c>
      <c r="M1345" s="555">
        <v>0</v>
      </c>
    </row>
    <row r="1346" spans="3:13" ht="19.5">
      <c r="C1346" s="735"/>
      <c r="D1346" s="736">
        <v>42846</v>
      </c>
      <c r="E1346" s="737">
        <v>0.37916666666666665</v>
      </c>
      <c r="F1346" s="731">
        <v>42846</v>
      </c>
      <c r="G1346" s="730">
        <v>0.73958333333333337</v>
      </c>
      <c r="H1346" s="555" t="s">
        <v>3014</v>
      </c>
      <c r="I1346" s="555" t="s">
        <v>124</v>
      </c>
      <c r="J1346" s="753" t="s">
        <v>2753</v>
      </c>
      <c r="K1346" s="555" t="s">
        <v>2764</v>
      </c>
      <c r="L1346" s="555">
        <v>130</v>
      </c>
      <c r="M1346" s="555">
        <v>88000</v>
      </c>
    </row>
    <row r="1347" spans="3:13" ht="19.5">
      <c r="C1347" s="735"/>
      <c r="D1347" s="736">
        <v>42848</v>
      </c>
      <c r="E1347" s="737">
        <v>0.99652777777777779</v>
      </c>
      <c r="F1347" s="731">
        <v>42848</v>
      </c>
      <c r="G1347" s="730">
        <v>0.99722222222222223</v>
      </c>
      <c r="H1347" s="555" t="s">
        <v>2872</v>
      </c>
      <c r="I1347" s="555" t="s">
        <v>124</v>
      </c>
      <c r="J1347" s="554" t="s">
        <v>2910</v>
      </c>
      <c r="K1347" s="555" t="s">
        <v>100</v>
      </c>
      <c r="L1347" s="555">
        <v>0</v>
      </c>
      <c r="M1347" s="555">
        <v>0</v>
      </c>
    </row>
    <row r="1348" spans="3:13" ht="19.5">
      <c r="C1348" s="735"/>
      <c r="D1348" s="736">
        <v>42849</v>
      </c>
      <c r="E1348" s="737">
        <v>0.23055555555555554</v>
      </c>
      <c r="F1348" s="731">
        <v>42849</v>
      </c>
      <c r="G1348" s="730">
        <v>0.27291666666666664</v>
      </c>
      <c r="H1348" s="555" t="s">
        <v>3017</v>
      </c>
      <c r="I1348" s="555" t="s">
        <v>63</v>
      </c>
      <c r="J1348" s="753" t="s">
        <v>2753</v>
      </c>
      <c r="K1348" s="555" t="s">
        <v>22</v>
      </c>
      <c r="L1348" s="555">
        <v>240</v>
      </c>
      <c r="M1348" s="555">
        <v>74698</v>
      </c>
    </row>
    <row r="1349" spans="3:13" ht="19.5">
      <c r="C1349" s="735"/>
      <c r="D1349" s="736">
        <v>42855</v>
      </c>
      <c r="E1349" s="737">
        <v>4.1666666666666664E-2</v>
      </c>
      <c r="F1349" s="731">
        <v>42855</v>
      </c>
      <c r="G1349" s="730">
        <v>0.73958333333333337</v>
      </c>
      <c r="H1349" s="555" t="s">
        <v>2181</v>
      </c>
      <c r="I1349" s="555" t="s">
        <v>63</v>
      </c>
      <c r="J1349" s="753" t="s">
        <v>2753</v>
      </c>
      <c r="K1349" s="555" t="s">
        <v>22</v>
      </c>
      <c r="L1349" s="555" t="s">
        <v>45</v>
      </c>
      <c r="M1349" s="555">
        <v>145174</v>
      </c>
    </row>
    <row r="1350" spans="3:13" ht="19.5">
      <c r="C1350" s="735"/>
      <c r="D1350" s="736">
        <v>42856</v>
      </c>
      <c r="E1350" s="737">
        <v>0.96805555555555556</v>
      </c>
      <c r="F1350" s="731">
        <v>42856</v>
      </c>
      <c r="G1350" s="730">
        <v>0.9819444444444444</v>
      </c>
      <c r="H1350" s="555" t="s">
        <v>160</v>
      </c>
      <c r="I1350" s="555" t="s">
        <v>826</v>
      </c>
      <c r="J1350" s="753" t="s">
        <v>2753</v>
      </c>
      <c r="K1350" s="555" t="s">
        <v>22</v>
      </c>
      <c r="L1350" s="555" t="s">
        <v>45</v>
      </c>
      <c r="M1350" s="555">
        <v>92390</v>
      </c>
    </row>
    <row r="1351" spans="3:13" ht="19.5">
      <c r="C1351" s="735"/>
      <c r="D1351" s="736">
        <v>42858</v>
      </c>
      <c r="E1351" s="737">
        <v>0.79513888888888884</v>
      </c>
      <c r="F1351" s="731">
        <v>42858</v>
      </c>
      <c r="G1351" s="730">
        <v>0.875</v>
      </c>
      <c r="H1351" s="555" t="s">
        <v>18</v>
      </c>
      <c r="I1351" s="555" t="s">
        <v>124</v>
      </c>
      <c r="J1351" s="753" t="s">
        <v>2791</v>
      </c>
      <c r="K1351" s="555" t="s">
        <v>2905</v>
      </c>
      <c r="L1351" s="555">
        <v>878</v>
      </c>
      <c r="M1351" s="555" t="s">
        <v>45</v>
      </c>
    </row>
    <row r="1352" spans="3:13" ht="19.5">
      <c r="C1352" s="735"/>
      <c r="D1352" s="736">
        <v>42858</v>
      </c>
      <c r="E1352" s="737">
        <v>0.79027777777777775</v>
      </c>
      <c r="F1352" s="731">
        <v>42858</v>
      </c>
      <c r="G1352" s="730">
        <v>0.88541666666666663</v>
      </c>
      <c r="H1352" s="555" t="s">
        <v>18</v>
      </c>
      <c r="I1352" s="555" t="s">
        <v>124</v>
      </c>
      <c r="J1352" s="753" t="s">
        <v>2791</v>
      </c>
      <c r="K1352" s="555" t="s">
        <v>2905</v>
      </c>
      <c r="L1352" s="555">
        <v>572</v>
      </c>
      <c r="M1352" s="555">
        <v>0</v>
      </c>
    </row>
    <row r="1353" spans="3:13" ht="19.5">
      <c r="C1353" s="735"/>
      <c r="D1353" s="736">
        <v>42858</v>
      </c>
      <c r="E1353" s="737">
        <v>0.95833333333333337</v>
      </c>
      <c r="F1353" s="731" t="s">
        <v>45</v>
      </c>
      <c r="G1353" s="730" t="s">
        <v>45</v>
      </c>
      <c r="H1353" s="555" t="s">
        <v>3021</v>
      </c>
      <c r="I1353" s="555" t="s">
        <v>826</v>
      </c>
      <c r="J1353" s="753" t="s">
        <v>2910</v>
      </c>
      <c r="K1353" s="555" t="s">
        <v>100</v>
      </c>
      <c r="L1353" s="555">
        <v>0</v>
      </c>
      <c r="M1353" s="555">
        <v>0</v>
      </c>
    </row>
    <row r="1354" spans="3:13" ht="19.5">
      <c r="C1354" s="735"/>
      <c r="D1354" s="736">
        <v>42859</v>
      </c>
      <c r="E1354" s="737">
        <v>0.20833333333333334</v>
      </c>
      <c r="F1354" s="731">
        <v>42859</v>
      </c>
      <c r="G1354" s="730">
        <v>0.91666666666666663</v>
      </c>
      <c r="H1354" s="555" t="s">
        <v>3023</v>
      </c>
      <c r="I1354" s="555" t="s">
        <v>63</v>
      </c>
      <c r="J1354" s="753" t="s">
        <v>2753</v>
      </c>
      <c r="K1354" s="555" t="s">
        <v>22</v>
      </c>
      <c r="L1354" s="555">
        <v>200</v>
      </c>
      <c r="M1354" s="555">
        <v>60377</v>
      </c>
    </row>
    <row r="1355" spans="3:13" ht="19.5">
      <c r="C1355" s="735"/>
      <c r="D1355" s="736">
        <v>42862</v>
      </c>
      <c r="E1355" s="737">
        <v>0.97916666666666663</v>
      </c>
      <c r="F1355" s="731">
        <v>42863</v>
      </c>
      <c r="G1355" s="730">
        <v>0.20833333333333334</v>
      </c>
      <c r="H1355" s="555" t="s">
        <v>3025</v>
      </c>
      <c r="I1355" s="555" t="s">
        <v>63</v>
      </c>
      <c r="J1355" s="753" t="s">
        <v>2917</v>
      </c>
      <c r="K1355" s="555" t="s">
        <v>2905</v>
      </c>
      <c r="L1355" s="555">
        <v>80</v>
      </c>
      <c r="M1355" s="555">
        <v>0</v>
      </c>
    </row>
    <row r="1356" spans="3:13" ht="19.5">
      <c r="C1356" s="735"/>
      <c r="D1356" s="736">
        <v>42862</v>
      </c>
      <c r="E1356" s="737">
        <v>0.21875</v>
      </c>
      <c r="F1356" s="731" t="s">
        <v>45</v>
      </c>
      <c r="G1356" s="730" t="s">
        <v>45</v>
      </c>
      <c r="H1356" s="555" t="s">
        <v>3002</v>
      </c>
      <c r="I1356" s="555" t="s">
        <v>124</v>
      </c>
      <c r="J1356" s="753" t="s">
        <v>2780</v>
      </c>
      <c r="K1356" s="555" t="s">
        <v>1138</v>
      </c>
      <c r="L1356" s="555">
        <v>0</v>
      </c>
      <c r="M1356" s="555">
        <v>0</v>
      </c>
    </row>
    <row r="1357" spans="3:13" ht="19.5">
      <c r="C1357" s="735"/>
      <c r="D1357" s="736">
        <v>42866</v>
      </c>
      <c r="E1357" s="737">
        <v>0.46180555555555558</v>
      </c>
      <c r="F1357" s="731">
        <v>42866</v>
      </c>
      <c r="G1357" s="730">
        <v>0.54513888888888895</v>
      </c>
      <c r="H1357" s="555" t="s">
        <v>3027</v>
      </c>
      <c r="I1357" s="555" t="s">
        <v>124</v>
      </c>
      <c r="J1357" s="753" t="s">
        <v>2910</v>
      </c>
      <c r="K1357" s="555" t="s">
        <v>100</v>
      </c>
      <c r="L1357" s="555">
        <v>0</v>
      </c>
      <c r="M1357" s="555">
        <v>0</v>
      </c>
    </row>
    <row r="1358" spans="3:13" ht="19.5">
      <c r="C1358" s="735"/>
      <c r="D1358" s="736">
        <v>42874</v>
      </c>
      <c r="E1358" s="737">
        <v>0.22916666666666666</v>
      </c>
      <c r="F1358" s="731" t="s">
        <v>45</v>
      </c>
      <c r="G1358" s="730" t="s">
        <v>45</v>
      </c>
      <c r="H1358" s="555" t="s">
        <v>3028</v>
      </c>
      <c r="I1358" s="555" t="s">
        <v>63</v>
      </c>
      <c r="J1358" s="753" t="s">
        <v>2753</v>
      </c>
      <c r="K1358" s="555" t="s">
        <v>22</v>
      </c>
      <c r="L1358" s="555" t="s">
        <v>45</v>
      </c>
      <c r="M1358" s="555">
        <v>70696</v>
      </c>
    </row>
    <row r="1359" spans="3:13" ht="19.5">
      <c r="C1359" s="735"/>
      <c r="D1359" s="736">
        <v>42876</v>
      </c>
      <c r="E1359" s="737">
        <v>0.6972222222222223</v>
      </c>
      <c r="F1359" s="731">
        <v>42876</v>
      </c>
      <c r="G1359" s="730">
        <v>0.73819444444444438</v>
      </c>
      <c r="H1359" s="555" t="s">
        <v>3030</v>
      </c>
      <c r="I1359" s="555" t="s">
        <v>124</v>
      </c>
      <c r="J1359" s="753" t="s">
        <v>2910</v>
      </c>
      <c r="K1359" s="555" t="s">
        <v>100</v>
      </c>
      <c r="L1359" s="555">
        <v>21</v>
      </c>
      <c r="M1359" s="555">
        <v>9598</v>
      </c>
    </row>
    <row r="1360" spans="3:13" ht="19.5">
      <c r="C1360" s="735"/>
      <c r="D1360" s="736">
        <v>42878</v>
      </c>
      <c r="E1360" s="737">
        <v>0.20972222222222223</v>
      </c>
      <c r="F1360" s="731">
        <v>42878</v>
      </c>
      <c r="G1360" s="730">
        <v>0.3611111111111111</v>
      </c>
      <c r="H1360" s="555" t="s">
        <v>3032</v>
      </c>
      <c r="I1360" s="555" t="s">
        <v>63</v>
      </c>
      <c r="J1360" s="753" t="s">
        <v>2910</v>
      </c>
      <c r="K1360" s="555" t="s">
        <v>100</v>
      </c>
      <c r="L1360" s="555">
        <v>10</v>
      </c>
      <c r="M1360" s="555">
        <v>4700</v>
      </c>
    </row>
    <row r="1361" spans="3:13" ht="19.5">
      <c r="C1361" s="735"/>
      <c r="D1361" s="736">
        <v>42882</v>
      </c>
      <c r="E1361" s="737">
        <v>0.95833333333333337</v>
      </c>
      <c r="F1361" s="731" t="s">
        <v>45</v>
      </c>
      <c r="G1361" s="730" t="s">
        <v>45</v>
      </c>
      <c r="H1361" s="555" t="s">
        <v>3033</v>
      </c>
      <c r="I1361" s="555" t="s">
        <v>63</v>
      </c>
      <c r="J1361" s="753" t="s">
        <v>2753</v>
      </c>
      <c r="K1361" s="555" t="s">
        <v>22</v>
      </c>
      <c r="L1361" s="555" t="s">
        <v>45</v>
      </c>
      <c r="M1361" s="555">
        <v>116000</v>
      </c>
    </row>
    <row r="1362" spans="3:13" ht="19.5">
      <c r="C1362" s="735"/>
      <c r="D1362" s="736">
        <v>42882</v>
      </c>
      <c r="E1362" s="737">
        <v>0.96527777777777779</v>
      </c>
      <c r="F1362" s="731" t="s">
        <v>45</v>
      </c>
      <c r="G1362" s="730" t="s">
        <v>45</v>
      </c>
      <c r="H1362" s="555" t="s">
        <v>2882</v>
      </c>
      <c r="I1362" s="555" t="s">
        <v>63</v>
      </c>
      <c r="J1362" s="753" t="s">
        <v>2753</v>
      </c>
      <c r="K1362" s="555" t="s">
        <v>22</v>
      </c>
      <c r="L1362" s="555">
        <v>391</v>
      </c>
      <c r="M1362" s="555">
        <v>188000</v>
      </c>
    </row>
    <row r="1363" spans="3:13" ht="19.5">
      <c r="C1363" s="735"/>
      <c r="D1363" s="736">
        <v>42883</v>
      </c>
      <c r="E1363" s="737">
        <v>0.8125</v>
      </c>
      <c r="F1363" s="731">
        <v>42884</v>
      </c>
      <c r="G1363" s="730">
        <v>0.91666666666666663</v>
      </c>
      <c r="H1363" s="555" t="s">
        <v>3036</v>
      </c>
      <c r="I1363" s="555" t="s">
        <v>63</v>
      </c>
      <c r="J1363" s="753" t="s">
        <v>2753</v>
      </c>
      <c r="K1363" s="555" t="s">
        <v>22</v>
      </c>
      <c r="L1363" s="555" t="s">
        <v>45</v>
      </c>
      <c r="M1363" s="555">
        <v>103000</v>
      </c>
    </row>
    <row r="1364" spans="3:13" ht="19.5">
      <c r="C1364" s="735"/>
      <c r="D1364" s="736">
        <v>42883</v>
      </c>
      <c r="E1364" s="737">
        <v>0.68541666666666667</v>
      </c>
      <c r="F1364" s="731">
        <v>42883</v>
      </c>
      <c r="G1364" s="730">
        <v>0.68611111111111101</v>
      </c>
      <c r="H1364" s="555" t="s">
        <v>3037</v>
      </c>
      <c r="I1364" s="555" t="s">
        <v>124</v>
      </c>
      <c r="J1364" s="753" t="s">
        <v>2910</v>
      </c>
      <c r="K1364" s="555" t="s">
        <v>100</v>
      </c>
      <c r="L1364" s="555">
        <v>0</v>
      </c>
      <c r="M1364" s="555">
        <v>0</v>
      </c>
    </row>
    <row r="1365" spans="3:13" ht="19.5">
      <c r="C1365" s="735"/>
      <c r="D1365" s="736">
        <v>42883</v>
      </c>
      <c r="E1365" s="737">
        <v>0.8125</v>
      </c>
      <c r="F1365" s="731">
        <v>42884</v>
      </c>
      <c r="G1365" s="730">
        <v>0.91666666666666663</v>
      </c>
      <c r="H1365" s="555" t="s">
        <v>3038</v>
      </c>
      <c r="I1365" s="555" t="s">
        <v>1352</v>
      </c>
      <c r="J1365" s="753" t="s">
        <v>2753</v>
      </c>
      <c r="K1365" s="555" t="s">
        <v>22</v>
      </c>
      <c r="L1365" s="555" t="s">
        <v>45</v>
      </c>
      <c r="M1365" s="555">
        <v>103000</v>
      </c>
    </row>
    <row r="1366" spans="3:13" ht="19.5">
      <c r="C1366" s="735"/>
      <c r="D1366" s="736">
        <v>42893</v>
      </c>
      <c r="E1366" s="737">
        <v>0.54999999999999993</v>
      </c>
      <c r="F1366" s="731">
        <v>42893</v>
      </c>
      <c r="G1366" s="730">
        <v>0.55069444444444449</v>
      </c>
      <c r="H1366" s="555" t="s">
        <v>3027</v>
      </c>
      <c r="I1366" s="555" t="s">
        <v>124</v>
      </c>
      <c r="J1366" s="753" t="s">
        <v>2910</v>
      </c>
      <c r="K1366" s="555" t="s">
        <v>2978</v>
      </c>
      <c r="L1366" s="555">
        <v>0</v>
      </c>
      <c r="M1366" s="555">
        <v>0</v>
      </c>
    </row>
    <row r="1367" spans="3:13" ht="19.5">
      <c r="C1367" s="735"/>
      <c r="D1367" s="736">
        <v>42897</v>
      </c>
      <c r="E1367" s="737">
        <v>0.55902777777777779</v>
      </c>
      <c r="F1367" s="731">
        <v>42897</v>
      </c>
      <c r="G1367" s="730">
        <v>0.80208333333333337</v>
      </c>
      <c r="H1367" s="555" t="s">
        <v>2656</v>
      </c>
      <c r="I1367" s="555" t="s">
        <v>674</v>
      </c>
      <c r="J1367" s="753" t="s">
        <v>2753</v>
      </c>
      <c r="K1367" s="555" t="s">
        <v>22</v>
      </c>
      <c r="L1367" s="555" t="s">
        <v>45</v>
      </c>
      <c r="M1367" s="555">
        <v>53610</v>
      </c>
    </row>
    <row r="1368" spans="3:13" ht="19.5">
      <c r="C1368" s="735"/>
      <c r="D1368" s="736">
        <v>42897</v>
      </c>
      <c r="E1368" s="737">
        <v>0.61041666666666672</v>
      </c>
      <c r="F1368" s="731">
        <v>42897</v>
      </c>
      <c r="G1368" s="730">
        <v>0.74652777777777779</v>
      </c>
      <c r="H1368" s="555" t="s">
        <v>1833</v>
      </c>
      <c r="I1368" s="555" t="s">
        <v>826</v>
      </c>
      <c r="J1368" s="753" t="s">
        <v>2839</v>
      </c>
      <c r="K1368" s="555" t="s">
        <v>2483</v>
      </c>
      <c r="L1368" s="555">
        <v>63</v>
      </c>
      <c r="M1368" s="555" t="s">
        <v>45</v>
      </c>
    </row>
    <row r="1369" spans="3:13" ht="19.5">
      <c r="C1369" s="735"/>
      <c r="D1369" s="736">
        <v>42897</v>
      </c>
      <c r="E1369" s="737">
        <v>0.29166666666666669</v>
      </c>
      <c r="F1369" s="731">
        <v>42897</v>
      </c>
      <c r="G1369" s="730">
        <v>0.47361111111111115</v>
      </c>
      <c r="H1369" s="555" t="s">
        <v>675</v>
      </c>
      <c r="I1369" s="555" t="s">
        <v>674</v>
      </c>
      <c r="J1369" s="753" t="s">
        <v>2753</v>
      </c>
      <c r="K1369" s="555" t="s">
        <v>22</v>
      </c>
      <c r="L1369" s="555" t="s">
        <v>45</v>
      </c>
      <c r="M1369" s="555">
        <v>70000</v>
      </c>
    </row>
    <row r="1370" spans="3:13" ht="19.5">
      <c r="C1370" s="735"/>
      <c r="D1370" s="736">
        <v>42901</v>
      </c>
      <c r="E1370" s="737">
        <v>0.70833333333333337</v>
      </c>
      <c r="F1370" s="731">
        <v>42901</v>
      </c>
      <c r="G1370" s="730">
        <v>0.91666666666666663</v>
      </c>
      <c r="H1370" s="555" t="s">
        <v>3000</v>
      </c>
      <c r="I1370" s="555" t="s">
        <v>63</v>
      </c>
      <c r="J1370" s="753" t="s">
        <v>2753</v>
      </c>
      <c r="K1370" s="555" t="s">
        <v>22</v>
      </c>
      <c r="L1370" s="555">
        <v>275</v>
      </c>
      <c r="M1370" s="555">
        <v>82713</v>
      </c>
    </row>
    <row r="1371" spans="3:13" ht="19.5">
      <c r="C1371" s="735"/>
      <c r="D1371" s="736">
        <v>42902</v>
      </c>
      <c r="E1371" s="737">
        <v>0.83333333333333337</v>
      </c>
      <c r="F1371" s="731">
        <v>42903</v>
      </c>
      <c r="G1371" s="730">
        <v>0.25</v>
      </c>
      <c r="H1371" s="555" t="s">
        <v>48</v>
      </c>
      <c r="I1371" s="555" t="s">
        <v>63</v>
      </c>
      <c r="J1371" s="753" t="s">
        <v>2753</v>
      </c>
      <c r="K1371" s="555" t="s">
        <v>22</v>
      </c>
      <c r="L1371" s="555" t="s">
        <v>45</v>
      </c>
      <c r="M1371" s="555">
        <v>76000</v>
      </c>
    </row>
    <row r="1372" spans="3:13" ht="19.5">
      <c r="C1372" s="735"/>
      <c r="D1372" s="736">
        <v>42902</v>
      </c>
      <c r="E1372" s="737">
        <v>0.83333333333333337</v>
      </c>
      <c r="F1372" s="731" t="s">
        <v>45</v>
      </c>
      <c r="G1372" s="730" t="s">
        <v>45</v>
      </c>
      <c r="H1372" s="555" t="s">
        <v>3043</v>
      </c>
      <c r="I1372" s="555" t="s">
        <v>674</v>
      </c>
      <c r="J1372" s="753" t="s">
        <v>2753</v>
      </c>
      <c r="K1372" s="555" t="s">
        <v>22</v>
      </c>
      <c r="L1372" s="555" t="s">
        <v>45</v>
      </c>
      <c r="M1372" s="555">
        <v>76000</v>
      </c>
    </row>
    <row r="1373" spans="3:13" ht="19.5">
      <c r="C1373" s="735"/>
      <c r="D1373" s="736">
        <v>42903</v>
      </c>
      <c r="E1373" s="737">
        <v>0.875</v>
      </c>
      <c r="F1373" s="731">
        <v>42904</v>
      </c>
      <c r="G1373" s="730">
        <v>0.29166666666666669</v>
      </c>
      <c r="H1373" s="555" t="s">
        <v>3045</v>
      </c>
      <c r="I1373" s="555" t="s">
        <v>674</v>
      </c>
      <c r="J1373" s="753" t="s">
        <v>2753</v>
      </c>
      <c r="K1373" s="555" t="s">
        <v>22</v>
      </c>
      <c r="L1373" s="555" t="s">
        <v>45</v>
      </c>
      <c r="M1373" s="555" t="s">
        <v>3046</v>
      </c>
    </row>
    <row r="1374" spans="3:13" ht="19.5">
      <c r="C1374" s="735"/>
      <c r="D1374" s="736">
        <v>42907</v>
      </c>
      <c r="E1374" s="737">
        <v>0</v>
      </c>
      <c r="F1374" s="731">
        <v>42907</v>
      </c>
      <c r="G1374" s="730">
        <v>4.1666666666666664E-2</v>
      </c>
      <c r="H1374" s="555" t="s">
        <v>3048</v>
      </c>
      <c r="I1374" s="555" t="s">
        <v>124</v>
      </c>
      <c r="J1374" s="753" t="s">
        <v>2910</v>
      </c>
      <c r="K1374" s="555" t="s">
        <v>2202</v>
      </c>
      <c r="L1374" s="555">
        <v>0</v>
      </c>
      <c r="M1374" s="555">
        <v>0</v>
      </c>
    </row>
    <row r="1375" spans="3:13" ht="19.5">
      <c r="C1375" s="735"/>
      <c r="D1375" s="736">
        <v>42908</v>
      </c>
      <c r="E1375" s="737">
        <v>0.75</v>
      </c>
      <c r="F1375" s="731">
        <v>42911</v>
      </c>
      <c r="G1375" s="730">
        <v>0.53125</v>
      </c>
      <c r="H1375" s="555" t="s">
        <v>3050</v>
      </c>
      <c r="I1375" s="555" t="s">
        <v>826</v>
      </c>
      <c r="J1375" s="753" t="s">
        <v>2753</v>
      </c>
      <c r="K1375" s="555" t="s">
        <v>22</v>
      </c>
      <c r="L1375" s="555" t="s">
        <v>45</v>
      </c>
      <c r="M1375" s="555">
        <v>118631</v>
      </c>
    </row>
    <row r="1376" spans="3:13" ht="19.5">
      <c r="C1376" s="735"/>
      <c r="D1376" s="736">
        <v>42915</v>
      </c>
      <c r="E1376" s="737">
        <v>0.16666666666666666</v>
      </c>
      <c r="F1376" s="731" t="s">
        <v>45</v>
      </c>
      <c r="G1376" s="730" t="s">
        <v>45</v>
      </c>
      <c r="H1376" s="555" t="s">
        <v>3051</v>
      </c>
      <c r="I1376" s="555" t="s">
        <v>63</v>
      </c>
      <c r="J1376" s="753" t="s">
        <v>2910</v>
      </c>
      <c r="K1376" s="555" t="s">
        <v>2978</v>
      </c>
      <c r="L1376" s="555">
        <v>130</v>
      </c>
      <c r="M1376" s="555">
        <v>6467</v>
      </c>
    </row>
    <row r="1377" spans="3:13" ht="19.5">
      <c r="C1377" s="735"/>
      <c r="D1377" s="736">
        <v>42916</v>
      </c>
      <c r="E1377" s="737">
        <v>0.32291666666666669</v>
      </c>
      <c r="F1377" s="731">
        <v>42916</v>
      </c>
      <c r="G1377" s="730">
        <v>0.32361111111111113</v>
      </c>
      <c r="H1377" s="555" t="s">
        <v>3053</v>
      </c>
      <c r="I1377" s="555" t="s">
        <v>124</v>
      </c>
      <c r="J1377" s="753" t="s">
        <v>2910</v>
      </c>
      <c r="K1377" s="555" t="s">
        <v>2978</v>
      </c>
      <c r="L1377" s="555">
        <v>0</v>
      </c>
      <c r="M1377" s="555">
        <v>0</v>
      </c>
    </row>
    <row r="1378" spans="3:13" ht="19.5">
      <c r="C1378" s="735"/>
      <c r="D1378" s="736">
        <v>42922</v>
      </c>
      <c r="E1378" s="737">
        <v>0</v>
      </c>
      <c r="F1378" s="731" t="s">
        <v>45</v>
      </c>
      <c r="G1378" s="730" t="s">
        <v>45</v>
      </c>
      <c r="H1378" s="555" t="s">
        <v>3054</v>
      </c>
      <c r="I1378" s="555" t="s">
        <v>124</v>
      </c>
      <c r="J1378" s="751" t="s">
        <v>2910</v>
      </c>
      <c r="K1378" s="555" t="s">
        <v>100</v>
      </c>
      <c r="L1378" s="555">
        <v>0</v>
      </c>
      <c r="M1378" s="555" t="s">
        <v>3055</v>
      </c>
    </row>
    <row r="1379" spans="3:13" ht="19.5">
      <c r="C1379" s="735"/>
      <c r="D1379" s="736">
        <v>42923</v>
      </c>
      <c r="E1379" s="737">
        <v>0.14583333333333334</v>
      </c>
      <c r="F1379" s="731">
        <v>42924</v>
      </c>
      <c r="G1379" s="730">
        <v>0.8125</v>
      </c>
      <c r="H1379" s="555" t="s">
        <v>3057</v>
      </c>
      <c r="I1379" s="555" t="s">
        <v>826</v>
      </c>
      <c r="J1379" s="751" t="s">
        <v>2753</v>
      </c>
      <c r="K1379" s="555" t="s">
        <v>22</v>
      </c>
      <c r="L1379" s="555" t="s">
        <v>45</v>
      </c>
      <c r="M1379" s="555" t="s">
        <v>3058</v>
      </c>
    </row>
    <row r="1380" spans="3:13" ht="19.5">
      <c r="C1380" s="735"/>
      <c r="D1380" s="736">
        <v>42924</v>
      </c>
      <c r="E1380" s="737">
        <v>0.78611111111111109</v>
      </c>
      <c r="F1380" s="731">
        <v>42925</v>
      </c>
      <c r="G1380" s="730">
        <v>0.33333333333333331</v>
      </c>
      <c r="H1380" s="555" t="s">
        <v>3060</v>
      </c>
      <c r="I1380" s="555" t="s">
        <v>124</v>
      </c>
      <c r="J1380" s="751" t="s">
        <v>2769</v>
      </c>
      <c r="K1380" s="555" t="s">
        <v>2483</v>
      </c>
      <c r="L1380" s="555" t="s">
        <v>3061</v>
      </c>
      <c r="M1380" s="555" t="s">
        <v>3062</v>
      </c>
    </row>
    <row r="1381" spans="3:13" ht="19.5">
      <c r="C1381" s="735"/>
      <c r="D1381" s="736">
        <v>42927</v>
      </c>
      <c r="E1381" s="737">
        <v>0.41666666666666669</v>
      </c>
      <c r="F1381" s="731">
        <v>42927</v>
      </c>
      <c r="G1381" s="730">
        <v>0.5</v>
      </c>
      <c r="H1381" s="555" t="s">
        <v>675</v>
      </c>
      <c r="I1381" s="555" t="s">
        <v>674</v>
      </c>
      <c r="J1381" s="751" t="s">
        <v>2910</v>
      </c>
      <c r="K1381" s="555" t="s">
        <v>100</v>
      </c>
      <c r="L1381" s="555" t="s">
        <v>3055</v>
      </c>
      <c r="M1381" s="555" t="s">
        <v>3055</v>
      </c>
    </row>
    <row r="1382" spans="3:13" ht="19.5">
      <c r="C1382" s="735"/>
      <c r="D1382" s="736">
        <v>42928</v>
      </c>
      <c r="E1382" s="737">
        <v>0.51736111111111105</v>
      </c>
      <c r="F1382" s="731">
        <v>42931</v>
      </c>
      <c r="G1382" s="730">
        <v>0.375</v>
      </c>
      <c r="H1382" s="555" t="s">
        <v>2650</v>
      </c>
      <c r="I1382" s="555" t="s">
        <v>63</v>
      </c>
      <c r="J1382" s="751" t="s">
        <v>2910</v>
      </c>
      <c r="K1382" s="555" t="s">
        <v>100</v>
      </c>
      <c r="L1382" s="555" t="s">
        <v>3055</v>
      </c>
      <c r="M1382" s="555" t="s">
        <v>3055</v>
      </c>
    </row>
    <row r="1383" spans="3:13" ht="19.5">
      <c r="C1383" s="735"/>
      <c r="D1383" s="736">
        <v>42928</v>
      </c>
      <c r="E1383" s="737">
        <v>0.51736111111111105</v>
      </c>
      <c r="F1383" s="731" t="s">
        <v>45</v>
      </c>
      <c r="G1383" s="730" t="s">
        <v>45</v>
      </c>
      <c r="H1383" s="555" t="s">
        <v>2882</v>
      </c>
      <c r="I1383" s="555" t="s">
        <v>63</v>
      </c>
      <c r="J1383" s="751" t="s">
        <v>2910</v>
      </c>
      <c r="K1383" s="555" t="s">
        <v>100</v>
      </c>
      <c r="L1383" s="555" t="s">
        <v>45</v>
      </c>
      <c r="M1383" s="555" t="s">
        <v>45</v>
      </c>
    </row>
    <row r="1384" spans="3:13" ht="19.5">
      <c r="C1384" s="735"/>
      <c r="D1384" s="736">
        <v>42934</v>
      </c>
      <c r="E1384" s="737">
        <v>0.16874999999999998</v>
      </c>
      <c r="F1384" s="731" t="s">
        <v>45</v>
      </c>
      <c r="G1384" s="730" t="s">
        <v>45</v>
      </c>
      <c r="H1384" s="555" t="s">
        <v>16</v>
      </c>
      <c r="I1384" s="555" t="s">
        <v>63</v>
      </c>
      <c r="J1384" s="751" t="s">
        <v>2910</v>
      </c>
      <c r="K1384" s="555" t="s">
        <v>2293</v>
      </c>
      <c r="L1384" s="555" t="s">
        <v>45</v>
      </c>
      <c r="M1384" s="555" t="s">
        <v>3066</v>
      </c>
    </row>
    <row r="1385" spans="3:13" ht="19.5">
      <c r="C1385" s="735"/>
      <c r="D1385" s="736">
        <v>42934</v>
      </c>
      <c r="E1385" s="737">
        <v>0.68263888888888891</v>
      </c>
      <c r="F1385" s="731">
        <v>42934</v>
      </c>
      <c r="G1385" s="730">
        <v>0.77708333333333324</v>
      </c>
      <c r="H1385" s="555" t="s">
        <v>2346</v>
      </c>
      <c r="I1385" s="555" t="s">
        <v>124</v>
      </c>
      <c r="J1385" s="751" t="s">
        <v>2769</v>
      </c>
      <c r="K1385" s="555" t="s">
        <v>22</v>
      </c>
      <c r="L1385" s="555" t="s">
        <v>3055</v>
      </c>
      <c r="M1385" s="555" t="s">
        <v>3055</v>
      </c>
    </row>
    <row r="1386" spans="3:13" ht="19.5">
      <c r="C1386" s="735"/>
      <c r="D1386" s="736">
        <v>42936</v>
      </c>
      <c r="E1386" s="737">
        <v>4.1666666666666664E-2</v>
      </c>
      <c r="F1386" s="731">
        <v>42936</v>
      </c>
      <c r="G1386" s="730">
        <v>0.4069444444444445</v>
      </c>
      <c r="H1386" s="555" t="s">
        <v>3068</v>
      </c>
      <c r="I1386" s="555" t="s">
        <v>124</v>
      </c>
      <c r="J1386" s="751" t="s">
        <v>2910</v>
      </c>
      <c r="K1386" s="555" t="s">
        <v>100</v>
      </c>
      <c r="L1386" s="555" t="s">
        <v>3055</v>
      </c>
      <c r="M1386" s="555" t="s">
        <v>3055</v>
      </c>
    </row>
    <row r="1387" spans="3:13" ht="19.5">
      <c r="C1387" s="735"/>
      <c r="D1387" s="736">
        <v>42938</v>
      </c>
      <c r="E1387" s="737">
        <v>0.91666666666666663</v>
      </c>
      <c r="F1387" s="731">
        <v>42939</v>
      </c>
      <c r="G1387" s="730">
        <v>0.5</v>
      </c>
      <c r="H1387" s="555" t="s">
        <v>3070</v>
      </c>
      <c r="I1387" s="555" t="s">
        <v>63</v>
      </c>
      <c r="J1387" s="751" t="s">
        <v>2753</v>
      </c>
      <c r="K1387" s="555" t="s">
        <v>22</v>
      </c>
      <c r="L1387" s="555" t="s">
        <v>45</v>
      </c>
      <c r="M1387" s="555" t="s">
        <v>3071</v>
      </c>
    </row>
    <row r="1388" spans="3:13" ht="19.5">
      <c r="C1388" s="735"/>
      <c r="D1388" s="736">
        <v>42938</v>
      </c>
      <c r="E1388" s="737">
        <v>0.91666666666666663</v>
      </c>
      <c r="F1388" s="731" t="s">
        <v>45</v>
      </c>
      <c r="G1388" s="730" t="s">
        <v>45</v>
      </c>
      <c r="H1388" s="555" t="s">
        <v>16</v>
      </c>
      <c r="I1388" s="555" t="s">
        <v>63</v>
      </c>
      <c r="J1388" s="751" t="s">
        <v>2753</v>
      </c>
      <c r="K1388" s="555" t="s">
        <v>22</v>
      </c>
      <c r="L1388" s="555" t="s">
        <v>45</v>
      </c>
      <c r="M1388" s="555" t="s">
        <v>3072</v>
      </c>
    </row>
    <row r="1389" spans="3:13" ht="19.5">
      <c r="C1389" s="735"/>
      <c r="D1389" s="736">
        <v>42938</v>
      </c>
      <c r="E1389" s="737">
        <v>0.91666666666666663</v>
      </c>
      <c r="F1389" s="731" t="s">
        <v>45</v>
      </c>
      <c r="G1389" s="730" t="s">
        <v>45</v>
      </c>
      <c r="H1389" s="555" t="s">
        <v>16</v>
      </c>
      <c r="I1389" s="555" t="s">
        <v>63</v>
      </c>
      <c r="J1389" s="751" t="s">
        <v>2753</v>
      </c>
      <c r="K1389" s="555" t="s">
        <v>22</v>
      </c>
      <c r="L1389" s="555" t="s">
        <v>45</v>
      </c>
      <c r="M1389" s="555" t="s">
        <v>3073</v>
      </c>
    </row>
    <row r="1390" spans="3:13" ht="19.5">
      <c r="C1390" s="735"/>
      <c r="D1390" s="736">
        <v>42939</v>
      </c>
      <c r="E1390" s="737">
        <v>0.16666666666666666</v>
      </c>
      <c r="F1390" s="731" t="s">
        <v>45</v>
      </c>
      <c r="G1390" s="730" t="s">
        <v>45</v>
      </c>
      <c r="H1390" s="555" t="s">
        <v>3074</v>
      </c>
      <c r="I1390" s="555" t="s">
        <v>63</v>
      </c>
      <c r="J1390" s="751" t="s">
        <v>2753</v>
      </c>
      <c r="K1390" s="555" t="s">
        <v>22</v>
      </c>
      <c r="L1390" s="555" t="s">
        <v>45</v>
      </c>
      <c r="M1390" s="555" t="s">
        <v>3075</v>
      </c>
    </row>
    <row r="1391" spans="3:13" ht="19.5">
      <c r="C1391" s="735"/>
      <c r="D1391" s="736">
        <v>42943</v>
      </c>
      <c r="E1391" s="737">
        <v>0.25</v>
      </c>
      <c r="F1391" s="731">
        <v>42943</v>
      </c>
      <c r="G1391" s="730">
        <v>0.47847222222222219</v>
      </c>
      <c r="H1391" s="555" t="s">
        <v>3077</v>
      </c>
      <c r="I1391" s="555" t="s">
        <v>124</v>
      </c>
      <c r="J1391" s="751" t="s">
        <v>2780</v>
      </c>
      <c r="K1391" s="555" t="s">
        <v>1138</v>
      </c>
      <c r="L1391" s="555" t="s">
        <v>3055</v>
      </c>
      <c r="M1391" s="555" t="s">
        <v>3055</v>
      </c>
    </row>
    <row r="1392" spans="3:13" ht="19.5">
      <c r="C1392" s="735"/>
      <c r="D1392" s="736">
        <v>42952</v>
      </c>
      <c r="E1392" s="737">
        <v>0.55555555555555558</v>
      </c>
      <c r="F1392" s="731">
        <v>42952</v>
      </c>
      <c r="G1392" s="730">
        <v>0.59722222222222221</v>
      </c>
      <c r="H1392" s="555" t="s">
        <v>3079</v>
      </c>
      <c r="I1392" s="555" t="s">
        <v>124</v>
      </c>
      <c r="J1392" s="751" t="s">
        <v>2910</v>
      </c>
      <c r="K1392" s="555" t="s">
        <v>100</v>
      </c>
      <c r="L1392" s="555" t="s">
        <v>3055</v>
      </c>
      <c r="M1392" s="555" t="s">
        <v>3055</v>
      </c>
    </row>
    <row r="1393" spans="3:13" ht="19.5">
      <c r="C1393" s="735"/>
      <c r="D1393" s="736">
        <v>42968</v>
      </c>
      <c r="E1393" s="737">
        <v>0.9868055555555556</v>
      </c>
      <c r="F1393" s="731">
        <v>42969</v>
      </c>
      <c r="G1393" s="730">
        <v>1.4583333333333332E-2</v>
      </c>
      <c r="H1393" s="555" t="s">
        <v>2939</v>
      </c>
      <c r="I1393" s="555" t="s">
        <v>124</v>
      </c>
      <c r="J1393" s="751" t="s">
        <v>2839</v>
      </c>
      <c r="K1393" s="555" t="s">
        <v>2764</v>
      </c>
      <c r="L1393" s="555" t="s">
        <v>3081</v>
      </c>
      <c r="M1393" s="555" t="s">
        <v>3082</v>
      </c>
    </row>
    <row r="1394" spans="3:13" ht="19.5">
      <c r="C1394" s="735"/>
      <c r="D1394" s="736">
        <v>42972</v>
      </c>
      <c r="E1394" s="737">
        <v>0.77083333333333337</v>
      </c>
      <c r="F1394" s="731">
        <v>42983</v>
      </c>
      <c r="G1394" s="730">
        <v>0.70833333333333337</v>
      </c>
      <c r="H1394" s="555" t="s">
        <v>2919</v>
      </c>
      <c r="I1394" s="555" t="s">
        <v>1352</v>
      </c>
      <c r="J1394" s="751" t="s">
        <v>2753</v>
      </c>
      <c r="K1394" s="555" t="s">
        <v>22</v>
      </c>
      <c r="L1394" s="555" t="s">
        <v>45</v>
      </c>
      <c r="M1394" s="555" t="s">
        <v>3084</v>
      </c>
    </row>
    <row r="1395" spans="3:13" ht="19.5">
      <c r="C1395" s="735"/>
      <c r="D1395" s="736">
        <v>42972</v>
      </c>
      <c r="E1395" s="737">
        <v>0.76180555555555562</v>
      </c>
      <c r="F1395" s="731">
        <v>42980</v>
      </c>
      <c r="G1395" s="730">
        <v>0.70833333333333337</v>
      </c>
      <c r="H1395" s="555" t="s">
        <v>3086</v>
      </c>
      <c r="I1395" s="555" t="s">
        <v>1352</v>
      </c>
      <c r="J1395" s="751" t="s">
        <v>2753</v>
      </c>
      <c r="K1395" s="555" t="s">
        <v>22</v>
      </c>
      <c r="L1395" s="555" t="s">
        <v>45</v>
      </c>
      <c r="M1395" s="555" t="s">
        <v>3087</v>
      </c>
    </row>
    <row r="1396" spans="3:13" ht="19.5">
      <c r="C1396" s="735"/>
      <c r="D1396" s="736">
        <v>42973</v>
      </c>
      <c r="E1396" s="737">
        <v>0.26805555555555555</v>
      </c>
      <c r="F1396" s="731">
        <v>42986</v>
      </c>
      <c r="G1396" s="730">
        <v>0</v>
      </c>
      <c r="H1396" s="555" t="s">
        <v>2919</v>
      </c>
      <c r="I1396" s="555" t="s">
        <v>1352</v>
      </c>
      <c r="J1396" s="751" t="s">
        <v>2753</v>
      </c>
      <c r="K1396" s="555" t="s">
        <v>22</v>
      </c>
      <c r="L1396" s="555" t="s">
        <v>45</v>
      </c>
      <c r="M1396" s="555" t="s">
        <v>3090</v>
      </c>
    </row>
    <row r="1397" spans="3:13" ht="19.5">
      <c r="C1397" s="735"/>
      <c r="D1397" s="736">
        <v>42973</v>
      </c>
      <c r="E1397" s="737">
        <v>2.7083333333333334E-2</v>
      </c>
      <c r="F1397" s="731">
        <v>42973</v>
      </c>
      <c r="G1397" s="730">
        <v>3.6111111111111115E-2</v>
      </c>
      <c r="H1397" s="555" t="s">
        <v>2919</v>
      </c>
      <c r="I1397" s="555" t="s">
        <v>1352</v>
      </c>
      <c r="J1397" s="751" t="s">
        <v>2839</v>
      </c>
      <c r="K1397" s="555" t="s">
        <v>22</v>
      </c>
      <c r="L1397" s="555" t="s">
        <v>45</v>
      </c>
      <c r="M1397" s="555" t="s">
        <v>45</v>
      </c>
    </row>
    <row r="1398" spans="3:13" ht="19.5">
      <c r="C1398" s="735"/>
      <c r="D1398" s="736">
        <v>42974</v>
      </c>
      <c r="E1398" s="737">
        <v>0.21527777777777779</v>
      </c>
      <c r="F1398" s="731">
        <v>42986</v>
      </c>
      <c r="G1398" s="730">
        <v>0</v>
      </c>
      <c r="H1398" s="555" t="s">
        <v>2809</v>
      </c>
      <c r="I1398" s="555" t="s">
        <v>1352</v>
      </c>
      <c r="J1398" s="751" t="s">
        <v>2753</v>
      </c>
      <c r="K1398" s="555" t="s">
        <v>22</v>
      </c>
      <c r="L1398" s="555" t="s">
        <v>45</v>
      </c>
      <c r="M1398" s="555" t="s">
        <v>3090</v>
      </c>
    </row>
    <row r="1399" spans="3:13" ht="19.5">
      <c r="C1399" s="735"/>
      <c r="D1399" s="736">
        <v>42977</v>
      </c>
      <c r="E1399" s="737">
        <v>9.375E-2</v>
      </c>
      <c r="F1399" s="731" t="s">
        <v>45</v>
      </c>
      <c r="G1399" s="730" t="s">
        <v>45</v>
      </c>
      <c r="H1399" s="555" t="s">
        <v>2919</v>
      </c>
      <c r="I1399" s="555" t="s">
        <v>1352</v>
      </c>
      <c r="J1399" s="751" t="s">
        <v>2753</v>
      </c>
      <c r="K1399" s="555" t="s">
        <v>22</v>
      </c>
      <c r="L1399" s="555" t="s">
        <v>45</v>
      </c>
      <c r="M1399" s="555" t="s">
        <v>3091</v>
      </c>
    </row>
    <row r="1400" spans="3:13" ht="19.5">
      <c r="C1400" s="735"/>
      <c r="D1400" s="736">
        <v>42978</v>
      </c>
      <c r="E1400" s="737">
        <v>0.61736111111111114</v>
      </c>
      <c r="F1400" s="731">
        <v>42978</v>
      </c>
      <c r="G1400" s="730">
        <v>0.71805555555555556</v>
      </c>
      <c r="H1400" s="555" t="s">
        <v>2967</v>
      </c>
      <c r="I1400" s="555" t="s">
        <v>124</v>
      </c>
      <c r="J1400" s="751" t="s">
        <v>2791</v>
      </c>
      <c r="K1400" s="555" t="s">
        <v>22</v>
      </c>
      <c r="L1400" s="555" t="s">
        <v>3093</v>
      </c>
      <c r="M1400" s="555" t="s">
        <v>3055</v>
      </c>
    </row>
    <row r="1401" spans="3:13" ht="19.5">
      <c r="C1401" s="735"/>
      <c r="D1401" s="736">
        <v>42979</v>
      </c>
      <c r="E1401" s="737">
        <v>0.65347222222222223</v>
      </c>
      <c r="F1401" s="731">
        <v>42979</v>
      </c>
      <c r="G1401" s="730">
        <v>0.85416666666666663</v>
      </c>
      <c r="H1401" s="555" t="s">
        <v>2945</v>
      </c>
      <c r="I1401" s="555" t="s">
        <v>124</v>
      </c>
      <c r="J1401" s="751" t="s">
        <v>2791</v>
      </c>
      <c r="K1401" s="555" t="s">
        <v>22</v>
      </c>
      <c r="L1401" s="555" t="s">
        <v>3095</v>
      </c>
      <c r="M1401" s="555" t="s">
        <v>3055</v>
      </c>
    </row>
    <row r="1402" spans="3:13" ht="19.5">
      <c r="C1402" s="735"/>
      <c r="D1402" s="736">
        <v>42987</v>
      </c>
      <c r="E1402" s="737">
        <v>0</v>
      </c>
      <c r="F1402" s="731" t="s">
        <v>45</v>
      </c>
      <c r="G1402" s="730" t="s">
        <v>45</v>
      </c>
      <c r="H1402" s="555" t="s">
        <v>3096</v>
      </c>
      <c r="I1402" s="555" t="s">
        <v>301</v>
      </c>
      <c r="J1402" s="751" t="s">
        <v>2753</v>
      </c>
      <c r="K1402" s="555" t="s">
        <v>22</v>
      </c>
      <c r="L1402" s="555" t="s">
        <v>3097</v>
      </c>
      <c r="M1402" s="555" t="s">
        <v>3098</v>
      </c>
    </row>
    <row r="1403" spans="3:13" ht="19.5">
      <c r="C1403" s="735"/>
      <c r="D1403" s="736">
        <v>42987</v>
      </c>
      <c r="E1403" s="737">
        <v>0.52083333333333337</v>
      </c>
      <c r="F1403" s="731" t="s">
        <v>45</v>
      </c>
      <c r="G1403" s="730" t="s">
        <v>45</v>
      </c>
      <c r="H1403" s="555" t="s">
        <v>2901</v>
      </c>
      <c r="I1403" s="555" t="s">
        <v>301</v>
      </c>
      <c r="J1403" s="751" t="s">
        <v>2753</v>
      </c>
      <c r="K1403" s="555" t="s">
        <v>22</v>
      </c>
      <c r="L1403" s="555" t="s">
        <v>45</v>
      </c>
      <c r="M1403" s="555" t="s">
        <v>3099</v>
      </c>
    </row>
    <row r="1404" spans="3:13" ht="19.5">
      <c r="C1404" s="735"/>
      <c r="D1404" s="736">
        <v>42988</v>
      </c>
      <c r="E1404" s="737">
        <v>0.85902777777777783</v>
      </c>
      <c r="F1404" s="731" t="s">
        <v>45</v>
      </c>
      <c r="G1404" s="730" t="s">
        <v>45</v>
      </c>
      <c r="H1404" s="555" t="s">
        <v>2901</v>
      </c>
      <c r="I1404" s="555" t="s">
        <v>301</v>
      </c>
      <c r="J1404" s="751" t="s">
        <v>2753</v>
      </c>
      <c r="K1404" s="555" t="s">
        <v>22</v>
      </c>
      <c r="L1404" s="555" t="s">
        <v>45</v>
      </c>
      <c r="M1404" s="555" t="s">
        <v>3100</v>
      </c>
    </row>
    <row r="1405" spans="3:13" ht="19.5">
      <c r="C1405" s="735"/>
      <c r="D1405" s="736">
        <v>42988</v>
      </c>
      <c r="E1405" s="737">
        <v>0.77430555555555547</v>
      </c>
      <c r="F1405" s="731">
        <v>42991</v>
      </c>
      <c r="G1405" s="730">
        <v>0.70833333333333337</v>
      </c>
      <c r="H1405" s="555" t="s">
        <v>3102</v>
      </c>
      <c r="I1405" s="555" t="s">
        <v>301</v>
      </c>
      <c r="J1405" s="751" t="s">
        <v>2753</v>
      </c>
      <c r="K1405" s="555" t="s">
        <v>22</v>
      </c>
      <c r="L1405" s="555" t="s">
        <v>3103</v>
      </c>
      <c r="M1405" s="555" t="s">
        <v>3104</v>
      </c>
    </row>
    <row r="1406" spans="3:13" ht="19.5">
      <c r="C1406" s="735"/>
      <c r="D1406" s="736">
        <v>42989</v>
      </c>
      <c r="E1406" s="737">
        <v>0.10208333333333335</v>
      </c>
      <c r="F1406" s="731">
        <v>42993</v>
      </c>
      <c r="G1406" s="730">
        <v>0.86388888888888893</v>
      </c>
      <c r="H1406" s="555" t="s">
        <v>2904</v>
      </c>
      <c r="I1406" s="555" t="s">
        <v>63</v>
      </c>
      <c r="J1406" s="751" t="s">
        <v>2753</v>
      </c>
      <c r="K1406" s="555" t="s">
        <v>22</v>
      </c>
      <c r="L1406" s="555" t="s">
        <v>3106</v>
      </c>
      <c r="M1406" s="555" t="s">
        <v>3107</v>
      </c>
    </row>
    <row r="1407" spans="3:13" ht="19.5">
      <c r="C1407" s="735"/>
      <c r="D1407" s="736">
        <v>42989</v>
      </c>
      <c r="E1407" s="737">
        <v>0.72916666666666663</v>
      </c>
      <c r="F1407" s="731">
        <v>42991</v>
      </c>
      <c r="G1407" s="730">
        <v>0.39583333333333331</v>
      </c>
      <c r="H1407" s="555" t="s">
        <v>2832</v>
      </c>
      <c r="I1407" s="555" t="s">
        <v>63</v>
      </c>
      <c r="J1407" s="751" t="s">
        <v>2753</v>
      </c>
      <c r="K1407" s="555" t="s">
        <v>22</v>
      </c>
      <c r="L1407" s="555" t="s">
        <v>3108</v>
      </c>
      <c r="M1407" s="555" t="s">
        <v>3109</v>
      </c>
    </row>
    <row r="1408" spans="3:13" ht="19.5">
      <c r="C1408" s="735"/>
      <c r="D1408" s="736">
        <v>42989</v>
      </c>
      <c r="E1408" s="737">
        <v>2.0833333333333332E-2</v>
      </c>
      <c r="F1408" s="731" t="s">
        <v>45</v>
      </c>
      <c r="G1408" s="730" t="s">
        <v>45</v>
      </c>
      <c r="H1408" s="555" t="s">
        <v>2901</v>
      </c>
      <c r="I1408" s="555" t="s">
        <v>301</v>
      </c>
      <c r="J1408" s="751" t="s">
        <v>2753</v>
      </c>
      <c r="K1408" s="555" t="s">
        <v>22</v>
      </c>
      <c r="L1408" s="555" t="s">
        <v>3110</v>
      </c>
      <c r="M1408" s="555" t="s">
        <v>3111</v>
      </c>
    </row>
    <row r="1409" spans="3:13" ht="19.5">
      <c r="C1409" s="735"/>
      <c r="D1409" s="736">
        <v>42989</v>
      </c>
      <c r="E1409" s="737">
        <v>0.53819444444444442</v>
      </c>
      <c r="F1409" s="731">
        <v>42990</v>
      </c>
      <c r="G1409" s="730">
        <v>0.33333333333333331</v>
      </c>
      <c r="H1409" s="555" t="s">
        <v>2896</v>
      </c>
      <c r="I1409" s="555" t="s">
        <v>63</v>
      </c>
      <c r="J1409" s="751" t="s">
        <v>2753</v>
      </c>
      <c r="K1409" s="555" t="s">
        <v>22</v>
      </c>
      <c r="L1409" s="555" t="s">
        <v>3113</v>
      </c>
      <c r="M1409" s="555" t="s">
        <v>3114</v>
      </c>
    </row>
    <row r="1410" spans="3:13" ht="19.5">
      <c r="C1410" s="735"/>
      <c r="D1410" s="736">
        <v>43012</v>
      </c>
      <c r="E1410" s="737">
        <v>0.10416666666666667</v>
      </c>
      <c r="F1410" s="731" t="s">
        <v>45</v>
      </c>
      <c r="G1410" s="730" t="s">
        <v>45</v>
      </c>
      <c r="H1410" s="555" t="s">
        <v>2935</v>
      </c>
      <c r="I1410" s="555" t="s">
        <v>63</v>
      </c>
      <c r="J1410" s="751" t="s">
        <v>2910</v>
      </c>
      <c r="K1410" s="555" t="s">
        <v>100</v>
      </c>
      <c r="L1410" s="555" t="s">
        <v>3055</v>
      </c>
      <c r="M1410" s="555" t="s">
        <v>3055</v>
      </c>
    </row>
    <row r="1411" spans="3:13" ht="19.5">
      <c r="C1411" s="735"/>
      <c r="D1411" s="736">
        <v>43012</v>
      </c>
      <c r="E1411" s="737">
        <v>5.5555555555555552E-2</v>
      </c>
      <c r="F1411" s="731">
        <v>43012</v>
      </c>
      <c r="G1411" s="730">
        <v>0.125</v>
      </c>
      <c r="H1411" s="555" t="s">
        <v>3116</v>
      </c>
      <c r="I1411" s="555" t="s">
        <v>63</v>
      </c>
      <c r="J1411" s="751" t="s">
        <v>2910</v>
      </c>
      <c r="K1411" s="555" t="s">
        <v>2293</v>
      </c>
      <c r="L1411" s="555" t="s">
        <v>45</v>
      </c>
      <c r="M1411" s="555" t="s">
        <v>45</v>
      </c>
    </row>
    <row r="1412" spans="3:13" ht="19.5">
      <c r="C1412" s="735"/>
      <c r="D1412" s="736">
        <v>43016</v>
      </c>
      <c r="E1412" s="737">
        <v>0.125</v>
      </c>
      <c r="F1412" s="731" t="s">
        <v>45</v>
      </c>
      <c r="G1412" s="730" t="s">
        <v>45</v>
      </c>
      <c r="H1412" s="555" t="s">
        <v>3117</v>
      </c>
      <c r="I1412" s="555" t="s">
        <v>63</v>
      </c>
      <c r="J1412" s="751" t="s">
        <v>2753</v>
      </c>
      <c r="K1412" s="555" t="s">
        <v>22</v>
      </c>
      <c r="L1412" s="555" t="s">
        <v>3118</v>
      </c>
      <c r="M1412" s="555" t="s">
        <v>3119</v>
      </c>
    </row>
    <row r="1413" spans="3:13" ht="19.5">
      <c r="C1413" s="735"/>
      <c r="D1413" s="736">
        <v>43017</v>
      </c>
      <c r="E1413" s="737">
        <v>8.5416666666666655E-2</v>
      </c>
      <c r="F1413" s="731">
        <v>43025</v>
      </c>
      <c r="G1413" s="730">
        <v>0.5625</v>
      </c>
      <c r="H1413" s="555" t="s">
        <v>2945</v>
      </c>
      <c r="I1413" s="555" t="s">
        <v>124</v>
      </c>
      <c r="J1413" s="751" t="s">
        <v>2753</v>
      </c>
      <c r="K1413" s="555" t="s">
        <v>2990</v>
      </c>
      <c r="L1413" s="555" t="s">
        <v>3121</v>
      </c>
      <c r="M1413" s="555" t="s">
        <v>3122</v>
      </c>
    </row>
    <row r="1414" spans="3:13" ht="19.5">
      <c r="C1414" s="735"/>
      <c r="D1414" s="736">
        <v>43017</v>
      </c>
      <c r="E1414" s="737">
        <v>0.28055555555555556</v>
      </c>
      <c r="F1414" s="731" t="s">
        <v>45</v>
      </c>
      <c r="G1414" s="730" t="s">
        <v>45</v>
      </c>
      <c r="H1414" s="555" t="s">
        <v>2945</v>
      </c>
      <c r="I1414" s="555" t="s">
        <v>124</v>
      </c>
      <c r="J1414" s="751" t="s">
        <v>2839</v>
      </c>
      <c r="K1414" s="555" t="s">
        <v>22</v>
      </c>
      <c r="L1414" s="555" t="s">
        <v>3093</v>
      </c>
      <c r="M1414" s="555" t="s">
        <v>45</v>
      </c>
    </row>
    <row r="1415" spans="3:13" ht="19.5">
      <c r="C1415" s="735"/>
      <c r="D1415" s="736">
        <v>43020</v>
      </c>
      <c r="E1415" s="737">
        <v>0.38125000000000003</v>
      </c>
      <c r="F1415" s="731" t="s">
        <v>45</v>
      </c>
      <c r="G1415" s="730" t="s">
        <v>45</v>
      </c>
      <c r="H1415" s="555" t="s">
        <v>3123</v>
      </c>
      <c r="I1415" s="555" t="s">
        <v>63</v>
      </c>
      <c r="J1415" s="751" t="s">
        <v>2917</v>
      </c>
      <c r="K1415" s="555" t="s">
        <v>2764</v>
      </c>
      <c r="L1415" s="555" t="s">
        <v>45</v>
      </c>
      <c r="M1415" s="555" t="s">
        <v>45</v>
      </c>
    </row>
    <row r="1416" spans="3:13" ht="19.5">
      <c r="C1416" s="735"/>
      <c r="D1416" s="736">
        <v>43024</v>
      </c>
      <c r="E1416" s="737">
        <v>0.66319444444444442</v>
      </c>
      <c r="F1416" s="731">
        <v>43024</v>
      </c>
      <c r="G1416" s="730">
        <v>0.67361111111111116</v>
      </c>
      <c r="H1416" s="555" t="s">
        <v>2853</v>
      </c>
      <c r="I1416" s="555" t="s">
        <v>124</v>
      </c>
      <c r="J1416" s="751" t="s">
        <v>2839</v>
      </c>
      <c r="K1416" s="555" t="s">
        <v>2483</v>
      </c>
      <c r="L1416" s="555" t="s">
        <v>3055</v>
      </c>
      <c r="M1416" s="555" t="s">
        <v>3055</v>
      </c>
    </row>
    <row r="1417" spans="3:13" ht="19.5">
      <c r="C1417" s="735"/>
      <c r="D1417" s="736">
        <v>43024</v>
      </c>
      <c r="E1417" s="737">
        <v>0.65625</v>
      </c>
      <c r="F1417" s="731">
        <v>43024</v>
      </c>
      <c r="G1417" s="730">
        <v>0.67291666666666661</v>
      </c>
      <c r="H1417" s="555" t="s">
        <v>3125</v>
      </c>
      <c r="I1417" s="555" t="s">
        <v>124</v>
      </c>
      <c r="J1417" s="751" t="s">
        <v>2839</v>
      </c>
      <c r="K1417" s="555" t="s">
        <v>2483</v>
      </c>
      <c r="L1417" s="555" t="s">
        <v>3055</v>
      </c>
      <c r="M1417" s="555" t="s">
        <v>3055</v>
      </c>
    </row>
    <row r="1418" spans="3:13" ht="19.5">
      <c r="C1418" s="735"/>
      <c r="D1418" s="736">
        <v>43027</v>
      </c>
      <c r="E1418" s="737">
        <v>0.66736111111111107</v>
      </c>
      <c r="F1418" s="731">
        <v>43027</v>
      </c>
      <c r="G1418" s="730">
        <v>0.66805555555555562</v>
      </c>
      <c r="H1418" s="555" t="s">
        <v>2831</v>
      </c>
      <c r="I1418" s="555" t="s">
        <v>124</v>
      </c>
      <c r="J1418" s="751" t="s">
        <v>2910</v>
      </c>
      <c r="K1418" s="555" t="s">
        <v>2150</v>
      </c>
      <c r="L1418" s="555" t="s">
        <v>3055</v>
      </c>
      <c r="M1418" s="555" t="s">
        <v>3055</v>
      </c>
    </row>
    <row r="1419" spans="3:13" ht="19.5">
      <c r="C1419" s="735"/>
      <c r="D1419" s="736">
        <v>43028</v>
      </c>
      <c r="E1419" s="737">
        <v>0.15555555555555556</v>
      </c>
      <c r="F1419" s="731">
        <v>43028</v>
      </c>
      <c r="G1419" s="730">
        <v>0.15625</v>
      </c>
      <c r="H1419" s="555" t="s">
        <v>2853</v>
      </c>
      <c r="I1419" s="555" t="s">
        <v>124</v>
      </c>
      <c r="J1419" s="751" t="s">
        <v>2769</v>
      </c>
      <c r="K1419" s="555" t="s">
        <v>22</v>
      </c>
      <c r="L1419" s="555" t="s">
        <v>3128</v>
      </c>
      <c r="M1419" s="555" t="s">
        <v>45</v>
      </c>
    </row>
    <row r="1420" spans="3:13" ht="19.5">
      <c r="C1420" s="735"/>
      <c r="D1420" s="736">
        <v>43028</v>
      </c>
      <c r="E1420" s="737">
        <v>0.77083333333333337</v>
      </c>
      <c r="F1420" s="731">
        <v>43028</v>
      </c>
      <c r="G1420" s="730">
        <v>0.93194444444444446</v>
      </c>
      <c r="H1420" s="555" t="s">
        <v>2919</v>
      </c>
      <c r="I1420" s="555" t="s">
        <v>1352</v>
      </c>
      <c r="J1420" s="751" t="s">
        <v>2910</v>
      </c>
      <c r="K1420" s="555" t="s">
        <v>100</v>
      </c>
      <c r="L1420" s="555" t="s">
        <v>3055</v>
      </c>
      <c r="M1420" s="555" t="s">
        <v>3055</v>
      </c>
    </row>
    <row r="1421" spans="3:13" ht="19.5">
      <c r="C1421" s="735"/>
      <c r="D1421" s="736">
        <v>43030</v>
      </c>
      <c r="E1421" s="737">
        <v>0.36458333333333331</v>
      </c>
      <c r="F1421" s="731">
        <v>43030</v>
      </c>
      <c r="G1421" s="730">
        <v>0.58333333333333337</v>
      </c>
      <c r="H1421" s="555" t="s">
        <v>3130</v>
      </c>
      <c r="I1421" s="555" t="s">
        <v>63</v>
      </c>
      <c r="J1421" s="751" t="s">
        <v>2753</v>
      </c>
      <c r="K1421" s="555" t="s">
        <v>22</v>
      </c>
      <c r="L1421" s="555" t="s">
        <v>45</v>
      </c>
      <c r="M1421" s="555" t="s">
        <v>45</v>
      </c>
    </row>
    <row r="1422" spans="3:13" ht="19.5">
      <c r="C1422" s="735"/>
      <c r="D1422" s="736">
        <v>43031</v>
      </c>
      <c r="E1422" s="737">
        <v>0.74305555555555547</v>
      </c>
      <c r="F1422" s="731">
        <v>43032</v>
      </c>
      <c r="G1422" s="730">
        <v>0.76180555555555562</v>
      </c>
      <c r="H1422" s="555" t="s">
        <v>2832</v>
      </c>
      <c r="I1422" s="555" t="s">
        <v>63</v>
      </c>
      <c r="J1422" s="751" t="s">
        <v>2753</v>
      </c>
      <c r="K1422" s="555" t="s">
        <v>22</v>
      </c>
      <c r="L1422" s="555" t="s">
        <v>3132</v>
      </c>
      <c r="M1422" s="555" t="s">
        <v>3133</v>
      </c>
    </row>
    <row r="1423" spans="3:13" ht="19.5">
      <c r="C1423" s="735"/>
      <c r="D1423" s="736">
        <v>43033</v>
      </c>
      <c r="E1423" s="737">
        <v>0.5</v>
      </c>
      <c r="F1423" s="731">
        <v>43033</v>
      </c>
      <c r="G1423" s="730">
        <v>0.66666666666666663</v>
      </c>
      <c r="H1423" s="555" t="s">
        <v>2945</v>
      </c>
      <c r="I1423" s="555" t="s">
        <v>124</v>
      </c>
      <c r="J1423" s="751" t="s">
        <v>2944</v>
      </c>
      <c r="K1423" s="555" t="s">
        <v>2118</v>
      </c>
      <c r="L1423" s="555" t="s">
        <v>45</v>
      </c>
      <c r="M1423" s="555" t="s">
        <v>45</v>
      </c>
    </row>
    <row r="1424" spans="3:13" ht="19.5">
      <c r="C1424" s="735"/>
      <c r="D1424" s="736">
        <v>43034</v>
      </c>
      <c r="E1424" s="737">
        <v>0.74305555555555547</v>
      </c>
      <c r="F1424" s="731" t="s">
        <v>45</v>
      </c>
      <c r="G1424" s="730" t="s">
        <v>45</v>
      </c>
      <c r="H1424" s="555" t="s">
        <v>3136</v>
      </c>
      <c r="I1424" s="555" t="s">
        <v>124</v>
      </c>
      <c r="J1424" s="751" t="s">
        <v>2910</v>
      </c>
      <c r="K1424" s="555" t="s">
        <v>2293</v>
      </c>
      <c r="L1424" s="555" t="s">
        <v>3055</v>
      </c>
      <c r="M1424" s="555" t="s">
        <v>3055</v>
      </c>
    </row>
    <row r="1425" spans="3:13" ht="19.5">
      <c r="C1425" s="735"/>
      <c r="D1425" s="736">
        <v>43034</v>
      </c>
      <c r="E1425" s="737">
        <v>0.34513888888888888</v>
      </c>
      <c r="F1425" s="731">
        <v>43034</v>
      </c>
      <c r="G1425" s="730">
        <v>0.36180555555555555</v>
      </c>
      <c r="H1425" s="555" t="s">
        <v>3137</v>
      </c>
      <c r="I1425" s="555" t="s">
        <v>124</v>
      </c>
      <c r="J1425" s="751" t="s">
        <v>2839</v>
      </c>
      <c r="K1425" s="555" t="s">
        <v>2483</v>
      </c>
      <c r="L1425" s="555" t="s">
        <v>3055</v>
      </c>
      <c r="M1425" s="555" t="s">
        <v>3055</v>
      </c>
    </row>
    <row r="1426" spans="3:13" ht="19.5">
      <c r="C1426" s="735"/>
      <c r="D1426" s="736">
        <v>43034</v>
      </c>
      <c r="E1426" s="737">
        <v>0.34513888888888888</v>
      </c>
      <c r="F1426" s="731">
        <v>43034</v>
      </c>
      <c r="G1426" s="730">
        <v>0.36180555555555555</v>
      </c>
      <c r="H1426" s="555" t="s">
        <v>2862</v>
      </c>
      <c r="I1426" s="555" t="s">
        <v>124</v>
      </c>
      <c r="J1426" s="751" t="s">
        <v>2839</v>
      </c>
      <c r="K1426" s="555" t="s">
        <v>2483</v>
      </c>
      <c r="L1426" s="555" t="s">
        <v>3055</v>
      </c>
      <c r="M1426" s="555" t="s">
        <v>3055</v>
      </c>
    </row>
    <row r="1427" spans="3:13" ht="19.5">
      <c r="C1427" s="735"/>
      <c r="D1427" s="736">
        <v>43037</v>
      </c>
      <c r="E1427" s="737">
        <v>0.98611111111111116</v>
      </c>
      <c r="F1427" s="731">
        <v>43040</v>
      </c>
      <c r="G1427" s="730">
        <v>0.75555555555555554</v>
      </c>
      <c r="H1427" s="555" t="s">
        <v>3139</v>
      </c>
      <c r="I1427" s="555" t="s">
        <v>61</v>
      </c>
      <c r="J1427" s="751" t="s">
        <v>2753</v>
      </c>
      <c r="K1427" s="555" t="s">
        <v>22</v>
      </c>
      <c r="L1427" s="555" t="s">
        <v>45</v>
      </c>
      <c r="M1427" s="555" t="s">
        <v>3140</v>
      </c>
    </row>
    <row r="1428" spans="3:13" ht="19.5">
      <c r="C1428" s="735"/>
      <c r="D1428" s="736">
        <v>43040</v>
      </c>
      <c r="E1428" s="737">
        <v>0.65277777777777779</v>
      </c>
      <c r="F1428" s="731">
        <v>43040</v>
      </c>
      <c r="G1428" s="730">
        <v>0.91666666666666663</v>
      </c>
      <c r="H1428" s="555" t="s">
        <v>3141</v>
      </c>
      <c r="I1428" s="555" t="s">
        <v>63</v>
      </c>
      <c r="J1428" s="751" t="s">
        <v>2917</v>
      </c>
      <c r="K1428" s="555" t="s">
        <v>2905</v>
      </c>
      <c r="L1428" s="555" t="s">
        <v>3055</v>
      </c>
      <c r="M1428" s="555" t="s">
        <v>3055</v>
      </c>
    </row>
    <row r="1429" spans="3:13" ht="19.5">
      <c r="C1429" s="735"/>
      <c r="D1429" s="736">
        <v>43044</v>
      </c>
      <c r="E1429" s="737">
        <v>0.81597222222222221</v>
      </c>
      <c r="F1429" s="731">
        <v>43044</v>
      </c>
      <c r="G1429" s="730">
        <v>0.96458333333333324</v>
      </c>
      <c r="H1429" s="555" t="s">
        <v>2895</v>
      </c>
      <c r="I1429" s="555" t="s">
        <v>3143</v>
      </c>
      <c r="J1429" s="751" t="s">
        <v>2753</v>
      </c>
      <c r="K1429" s="555" t="s">
        <v>22</v>
      </c>
      <c r="L1429" s="555" t="s">
        <v>45</v>
      </c>
      <c r="M1429" s="555" t="s">
        <v>3144</v>
      </c>
    </row>
    <row r="1430" spans="3:13" ht="19.5">
      <c r="C1430" s="735"/>
      <c r="D1430" s="736">
        <v>43046</v>
      </c>
      <c r="E1430" s="737">
        <v>0.52013888888888882</v>
      </c>
      <c r="F1430" s="731" t="s">
        <v>45</v>
      </c>
      <c r="G1430" s="730" t="s">
        <v>45</v>
      </c>
      <c r="H1430" s="555" t="s">
        <v>2866</v>
      </c>
      <c r="I1430" s="555" t="s">
        <v>63</v>
      </c>
      <c r="J1430" s="751" t="s">
        <v>2910</v>
      </c>
      <c r="K1430" s="555" t="s">
        <v>2118</v>
      </c>
      <c r="L1430" s="555" t="s">
        <v>3055</v>
      </c>
      <c r="M1430" s="555" t="s">
        <v>3055</v>
      </c>
    </row>
    <row r="1431" spans="3:13" ht="19.5">
      <c r="C1431" s="735"/>
      <c r="D1431" s="736">
        <v>43048</v>
      </c>
      <c r="E1431" s="737">
        <v>0.36458333333333331</v>
      </c>
      <c r="F1431" s="731">
        <v>43048</v>
      </c>
      <c r="G1431" s="730">
        <v>0.58333333333333337</v>
      </c>
      <c r="H1431" s="555" t="s">
        <v>3146</v>
      </c>
      <c r="I1431" s="555" t="s">
        <v>124</v>
      </c>
      <c r="J1431" s="751" t="s">
        <v>2944</v>
      </c>
      <c r="K1431" s="555" t="s">
        <v>2764</v>
      </c>
      <c r="L1431" s="555" t="s">
        <v>3055</v>
      </c>
      <c r="M1431" s="555" t="s">
        <v>3055</v>
      </c>
    </row>
    <row r="1432" spans="3:13" ht="19.5">
      <c r="C1432" s="735"/>
      <c r="D1432" s="736">
        <v>43052</v>
      </c>
      <c r="E1432" s="737">
        <v>0.68958333333333333</v>
      </c>
      <c r="F1432" s="731">
        <v>43055</v>
      </c>
      <c r="G1432" s="730">
        <v>0.25</v>
      </c>
      <c r="H1432" s="555" t="s">
        <v>2801</v>
      </c>
      <c r="I1432" s="555" t="s">
        <v>124</v>
      </c>
      <c r="J1432" s="751" t="s">
        <v>2753</v>
      </c>
      <c r="K1432" s="555" t="s">
        <v>22</v>
      </c>
      <c r="L1432" s="555" t="s">
        <v>3148</v>
      </c>
      <c r="M1432" s="555" t="s">
        <v>3149</v>
      </c>
    </row>
    <row r="1433" spans="3:13" ht="19.5">
      <c r="C1433" s="735"/>
      <c r="D1433" s="736">
        <v>43052</v>
      </c>
      <c r="E1433" s="737">
        <v>8.3333333333333329E-2</v>
      </c>
      <c r="F1433" s="731">
        <v>43054</v>
      </c>
      <c r="G1433" s="730">
        <v>0.34513888888888888</v>
      </c>
      <c r="H1433" s="555" t="s">
        <v>3151</v>
      </c>
      <c r="I1433" s="555" t="s">
        <v>124</v>
      </c>
      <c r="J1433" s="751" t="s">
        <v>2753</v>
      </c>
      <c r="K1433" s="555" t="s">
        <v>22</v>
      </c>
      <c r="L1433" s="555" t="s">
        <v>45</v>
      </c>
      <c r="M1433" s="555" t="s">
        <v>3152</v>
      </c>
    </row>
    <row r="1434" spans="3:13" ht="19.5">
      <c r="C1434" s="735"/>
      <c r="D1434" s="736">
        <v>43055</v>
      </c>
      <c r="E1434" s="737">
        <v>0.62847222222222221</v>
      </c>
      <c r="F1434" s="731">
        <v>43055</v>
      </c>
      <c r="G1434" s="730">
        <v>0.62916666666666665</v>
      </c>
      <c r="H1434" s="555" t="s">
        <v>3153</v>
      </c>
      <c r="I1434" s="555" t="s">
        <v>124</v>
      </c>
      <c r="J1434" s="751" t="s">
        <v>2910</v>
      </c>
      <c r="K1434" s="555" t="s">
        <v>100</v>
      </c>
      <c r="L1434" s="555" t="s">
        <v>3055</v>
      </c>
      <c r="M1434" s="555" t="s">
        <v>3055</v>
      </c>
    </row>
    <row r="1435" spans="3:13" ht="19.5">
      <c r="C1435" s="735"/>
      <c r="D1435" s="736">
        <v>43063</v>
      </c>
      <c r="E1435" s="737">
        <v>0.71250000000000002</v>
      </c>
      <c r="F1435" s="731">
        <v>43065</v>
      </c>
      <c r="G1435" s="730">
        <v>0.72361111111111109</v>
      </c>
      <c r="H1435" s="555" t="s">
        <v>2817</v>
      </c>
      <c r="I1435" s="555" t="s">
        <v>124</v>
      </c>
      <c r="J1435" s="751" t="s">
        <v>2910</v>
      </c>
      <c r="K1435" s="555" t="s">
        <v>100</v>
      </c>
      <c r="L1435" s="555" t="s">
        <v>3055</v>
      </c>
      <c r="M1435" s="555" t="s">
        <v>3055</v>
      </c>
    </row>
    <row r="1436" spans="3:13" ht="19.5">
      <c r="C1436" s="735"/>
      <c r="D1436" s="736">
        <v>43073</v>
      </c>
      <c r="E1436" s="737">
        <v>0.91180555555555554</v>
      </c>
      <c r="F1436" s="731" t="s">
        <v>45</v>
      </c>
      <c r="G1436" s="730" t="s">
        <v>45</v>
      </c>
      <c r="H1436" s="555" t="s">
        <v>2945</v>
      </c>
      <c r="I1436" s="555" t="s">
        <v>124</v>
      </c>
      <c r="J1436" s="751" t="s">
        <v>2769</v>
      </c>
      <c r="K1436" s="555" t="s">
        <v>2990</v>
      </c>
      <c r="L1436" s="555" t="s">
        <v>3155</v>
      </c>
      <c r="M1436" s="555" t="s">
        <v>3156</v>
      </c>
    </row>
    <row r="1437" spans="3:13" ht="19.5">
      <c r="C1437" s="735"/>
      <c r="D1437" s="736">
        <v>43074</v>
      </c>
      <c r="E1437" s="737">
        <v>0.27083333333333331</v>
      </c>
      <c r="F1437" s="731">
        <v>43075</v>
      </c>
      <c r="G1437" s="730">
        <v>0.41666666666666669</v>
      </c>
      <c r="H1437" s="555" t="s">
        <v>3159</v>
      </c>
      <c r="I1437" s="555" t="s">
        <v>3143</v>
      </c>
      <c r="J1437" s="751" t="s">
        <v>2753</v>
      </c>
      <c r="K1437" s="555" t="s">
        <v>22</v>
      </c>
      <c r="L1437" s="555" t="s">
        <v>45</v>
      </c>
      <c r="M1437" s="555" t="s">
        <v>3160</v>
      </c>
    </row>
    <row r="1438" spans="3:13" ht="19.5">
      <c r="C1438" s="735"/>
      <c r="D1438" s="736">
        <v>43074</v>
      </c>
      <c r="E1438" s="737">
        <v>0.28472222222222221</v>
      </c>
      <c r="F1438" s="731">
        <v>43074</v>
      </c>
      <c r="G1438" s="730">
        <v>0.375</v>
      </c>
      <c r="H1438" s="555" t="s">
        <v>2866</v>
      </c>
      <c r="I1438" s="555" t="s">
        <v>63</v>
      </c>
      <c r="J1438" s="751" t="s">
        <v>2910</v>
      </c>
      <c r="K1438" s="555" t="s">
        <v>100</v>
      </c>
      <c r="L1438" s="555" t="s">
        <v>3055</v>
      </c>
      <c r="M1438" s="555" t="s">
        <v>3055</v>
      </c>
    </row>
    <row r="1439" spans="3:13" ht="19.5">
      <c r="C1439" s="735"/>
      <c r="D1439" s="736">
        <v>43076</v>
      </c>
      <c r="E1439" s="737">
        <v>0.83333333333333337</v>
      </c>
      <c r="F1439" s="731">
        <v>43077</v>
      </c>
      <c r="G1439" s="730">
        <v>0.70833333333333337</v>
      </c>
      <c r="H1439" s="555" t="s">
        <v>3162</v>
      </c>
      <c r="I1439" s="555" t="s">
        <v>1352</v>
      </c>
      <c r="J1439" s="751" t="s">
        <v>2753</v>
      </c>
      <c r="K1439" s="555" t="s">
        <v>22</v>
      </c>
      <c r="L1439" s="555" t="s">
        <v>45</v>
      </c>
      <c r="M1439" s="555" t="s">
        <v>3163</v>
      </c>
    </row>
    <row r="1440" spans="3:13" ht="19.5">
      <c r="C1440" s="735"/>
      <c r="D1440" s="736">
        <v>43077</v>
      </c>
      <c r="E1440" s="737">
        <v>0.39583333333333331</v>
      </c>
      <c r="F1440" s="731">
        <v>43077</v>
      </c>
      <c r="G1440" s="730">
        <v>0.9375</v>
      </c>
      <c r="H1440" s="555" t="s">
        <v>3164</v>
      </c>
      <c r="I1440" s="555" t="s">
        <v>63</v>
      </c>
      <c r="J1440" s="751" t="s">
        <v>2753</v>
      </c>
      <c r="K1440" s="555" t="s">
        <v>22</v>
      </c>
      <c r="L1440" s="555" t="s">
        <v>45</v>
      </c>
      <c r="M1440" s="555" t="s">
        <v>3165</v>
      </c>
    </row>
    <row r="1441" spans="3:13" ht="19.5">
      <c r="C1441" s="735"/>
      <c r="D1441" s="736">
        <v>43077</v>
      </c>
      <c r="E1441" s="737">
        <v>0.41666666666666669</v>
      </c>
      <c r="F1441" s="731">
        <v>43079</v>
      </c>
      <c r="G1441" s="730">
        <v>0.86805555555555547</v>
      </c>
      <c r="H1441" s="555" t="s">
        <v>3167</v>
      </c>
      <c r="I1441" s="555" t="s">
        <v>63</v>
      </c>
      <c r="J1441" s="751" t="s">
        <v>2753</v>
      </c>
      <c r="K1441" s="555" t="s">
        <v>22</v>
      </c>
      <c r="L1441" s="555" t="s">
        <v>3168</v>
      </c>
      <c r="M1441" s="555" t="s">
        <v>3169</v>
      </c>
    </row>
    <row r="1442" spans="3:13" ht="19.5">
      <c r="C1442" s="735"/>
      <c r="D1442" s="736">
        <v>43079</v>
      </c>
      <c r="E1442" s="737">
        <v>5.9027777777777783E-2</v>
      </c>
      <c r="F1442" s="731">
        <v>43079</v>
      </c>
      <c r="G1442" s="730">
        <v>0.10416666666666667</v>
      </c>
      <c r="H1442" s="555" t="s">
        <v>3170</v>
      </c>
      <c r="I1442" s="555" t="s">
        <v>124</v>
      </c>
      <c r="J1442" s="751" t="s">
        <v>2753</v>
      </c>
      <c r="K1442" s="555" t="s">
        <v>2990</v>
      </c>
      <c r="L1442" s="555" t="s">
        <v>3171</v>
      </c>
      <c r="M1442" s="555" t="s">
        <v>3172</v>
      </c>
    </row>
    <row r="1443" spans="3:13" ht="19.5">
      <c r="C1443" s="735"/>
      <c r="D1443" s="736">
        <v>43081</v>
      </c>
      <c r="E1443" s="737">
        <v>9.8611111111111108E-2</v>
      </c>
      <c r="F1443" s="731">
        <v>43081</v>
      </c>
      <c r="G1443" s="730">
        <v>0.10069444444444443</v>
      </c>
      <c r="H1443" s="555" t="s">
        <v>3174</v>
      </c>
      <c r="I1443" s="555" t="s">
        <v>61</v>
      </c>
      <c r="J1443" s="751" t="s">
        <v>2910</v>
      </c>
      <c r="K1443" s="555" t="s">
        <v>2293</v>
      </c>
      <c r="L1443" s="555" t="s">
        <v>3175</v>
      </c>
      <c r="M1443" s="555" t="s">
        <v>3176</v>
      </c>
    </row>
    <row r="1444" spans="3:13" ht="19.5">
      <c r="C1444" s="735"/>
      <c r="D1444" s="736">
        <v>43082</v>
      </c>
      <c r="E1444" s="737">
        <v>0.41319444444444442</v>
      </c>
      <c r="F1444" s="731">
        <v>43082</v>
      </c>
      <c r="G1444" s="730">
        <v>0.61458333333333337</v>
      </c>
      <c r="H1444" s="555" t="s">
        <v>3178</v>
      </c>
      <c r="I1444" s="555" t="s">
        <v>61</v>
      </c>
      <c r="J1444" s="751" t="s">
        <v>2780</v>
      </c>
      <c r="K1444" s="555" t="s">
        <v>1138</v>
      </c>
      <c r="L1444" s="555" t="s">
        <v>3055</v>
      </c>
      <c r="M1444" s="555" t="s">
        <v>3055</v>
      </c>
    </row>
    <row r="1445" spans="3:13" ht="19.5">
      <c r="C1445" s="735"/>
      <c r="D1445" s="736">
        <v>43082</v>
      </c>
      <c r="E1445" s="737">
        <v>0.36805555555555558</v>
      </c>
      <c r="F1445" s="731" t="s">
        <v>45</v>
      </c>
      <c r="G1445" s="730" t="s">
        <v>45</v>
      </c>
      <c r="H1445" s="555" t="s">
        <v>3179</v>
      </c>
      <c r="I1445" s="555" t="s">
        <v>61</v>
      </c>
      <c r="J1445" s="751" t="s">
        <v>2910</v>
      </c>
      <c r="K1445" s="555" t="s">
        <v>2118</v>
      </c>
      <c r="L1445" s="555" t="s">
        <v>3055</v>
      </c>
      <c r="M1445" s="555" t="s">
        <v>3055</v>
      </c>
    </row>
    <row r="1446" spans="3:13" ht="19.5">
      <c r="C1446" s="735"/>
      <c r="D1446" s="736">
        <v>43087</v>
      </c>
      <c r="E1446" s="737">
        <v>0.54166666666666663</v>
      </c>
      <c r="F1446" s="731">
        <v>43087</v>
      </c>
      <c r="G1446" s="730">
        <v>0.70833333333333337</v>
      </c>
      <c r="H1446" s="555" t="s">
        <v>3116</v>
      </c>
      <c r="I1446" s="555" t="s">
        <v>63</v>
      </c>
      <c r="J1446" s="751" t="s">
        <v>2910</v>
      </c>
      <c r="K1446" s="555" t="s">
        <v>100</v>
      </c>
      <c r="L1446" s="555" t="s">
        <v>3055</v>
      </c>
      <c r="M1446" s="555" t="s">
        <v>3055</v>
      </c>
    </row>
    <row r="1447" spans="3:13" ht="19.5">
      <c r="C1447" s="735"/>
      <c r="D1447" s="736">
        <v>43088</v>
      </c>
      <c r="E1447" s="737">
        <v>0.3611111111111111</v>
      </c>
      <c r="F1447" s="731">
        <v>43088</v>
      </c>
      <c r="G1447" s="730">
        <v>0.44166666666666665</v>
      </c>
      <c r="H1447" s="555" t="s">
        <v>3182</v>
      </c>
      <c r="I1447" s="555" t="s">
        <v>301</v>
      </c>
      <c r="J1447" s="751" t="s">
        <v>2910</v>
      </c>
      <c r="K1447" s="555" t="s">
        <v>100</v>
      </c>
      <c r="L1447" s="555" t="s">
        <v>3055</v>
      </c>
      <c r="M1447" s="555" t="s">
        <v>3055</v>
      </c>
    </row>
    <row r="1448" spans="3:13" ht="19.5">
      <c r="C1448" s="735"/>
      <c r="D1448" s="736">
        <v>43098</v>
      </c>
      <c r="E1448" s="737">
        <v>0.26041666666666669</v>
      </c>
      <c r="F1448" s="731">
        <v>43098</v>
      </c>
      <c r="G1448" s="730">
        <v>0.48888888888888887</v>
      </c>
      <c r="H1448" s="555" t="s">
        <v>3184</v>
      </c>
      <c r="I1448" s="555" t="s">
        <v>1352</v>
      </c>
      <c r="J1448" s="751" t="s">
        <v>2910</v>
      </c>
      <c r="K1448" s="555" t="s">
        <v>2118</v>
      </c>
      <c r="L1448" s="555" t="s">
        <v>45</v>
      </c>
      <c r="M1448" s="555" t="s">
        <v>45</v>
      </c>
    </row>
    <row r="1449" spans="3:13" ht="19.5">
      <c r="C1449" s="735"/>
      <c r="D1449" s="736">
        <v>43098</v>
      </c>
      <c r="E1449" s="737">
        <v>0.29166666666666669</v>
      </c>
      <c r="F1449" s="731" t="s">
        <v>45</v>
      </c>
      <c r="G1449" s="730" t="s">
        <v>45</v>
      </c>
      <c r="H1449" s="555" t="s">
        <v>2869</v>
      </c>
      <c r="I1449" s="555" t="s">
        <v>61</v>
      </c>
      <c r="J1449" s="751" t="s">
        <v>2780</v>
      </c>
      <c r="K1449" s="555" t="s">
        <v>1138</v>
      </c>
      <c r="L1449" s="555" t="s">
        <v>3185</v>
      </c>
      <c r="M1449" s="555" t="s">
        <v>45</v>
      </c>
    </row>
    <row r="1450" spans="3:13" ht="19.5">
      <c r="C1450" s="735"/>
      <c r="D1450" s="736">
        <v>43100</v>
      </c>
      <c r="E1450" s="737">
        <v>0.99583333333333324</v>
      </c>
      <c r="F1450" s="731">
        <v>43101</v>
      </c>
      <c r="G1450" s="730">
        <v>0.59305555555555556</v>
      </c>
      <c r="H1450" s="555" t="s">
        <v>2900</v>
      </c>
      <c r="I1450" s="555" t="s">
        <v>124</v>
      </c>
      <c r="J1450" s="751" t="s">
        <v>2910</v>
      </c>
      <c r="K1450" s="555" t="s">
        <v>100</v>
      </c>
      <c r="L1450" s="555" t="s">
        <v>3055</v>
      </c>
      <c r="M1450" s="555" t="s">
        <v>3055</v>
      </c>
    </row>
    <row r="1451" spans="3:13" ht="18.75">
      <c r="C1451" s="735"/>
      <c r="D1451" s="555" t="s">
        <v>3186</v>
      </c>
      <c r="E1451" s="757">
        <v>0.76458333333333339</v>
      </c>
      <c r="F1451" s="731">
        <v>43102</v>
      </c>
      <c r="G1451" s="730">
        <v>0.75763888888888886</v>
      </c>
      <c r="H1451" s="555" t="s">
        <v>3189</v>
      </c>
      <c r="I1451" s="555" t="s">
        <v>63</v>
      </c>
      <c r="J1451" s="751" t="s">
        <v>3190</v>
      </c>
      <c r="K1451" s="555" t="s">
        <v>22</v>
      </c>
      <c r="L1451" s="555" t="s">
        <v>45</v>
      </c>
      <c r="M1451" s="555" t="s">
        <v>45</v>
      </c>
    </row>
    <row r="1452" spans="3:13" ht="18.75">
      <c r="C1452" s="735"/>
      <c r="D1452" s="555" t="s">
        <v>3186</v>
      </c>
      <c r="E1452" s="757">
        <v>0.73819444444444438</v>
      </c>
      <c r="F1452" s="731" t="s">
        <v>45</v>
      </c>
      <c r="G1452" s="730" t="s">
        <v>45</v>
      </c>
      <c r="H1452" s="555" t="s">
        <v>2919</v>
      </c>
      <c r="I1452" s="555" t="s">
        <v>1352</v>
      </c>
      <c r="J1452" s="751" t="s">
        <v>3190</v>
      </c>
      <c r="K1452" s="555" t="s">
        <v>22</v>
      </c>
      <c r="L1452" s="555" t="s">
        <v>45</v>
      </c>
      <c r="M1452" s="555" t="s">
        <v>45</v>
      </c>
    </row>
    <row r="1453" spans="3:13" ht="18.75">
      <c r="C1453" s="735"/>
      <c r="D1453" s="555" t="s">
        <v>3186</v>
      </c>
      <c r="E1453" s="757">
        <v>0.90069444444444446</v>
      </c>
      <c r="F1453" s="731">
        <v>43102</v>
      </c>
      <c r="G1453" s="730">
        <v>0.4375</v>
      </c>
      <c r="H1453" s="555" t="s">
        <v>3189</v>
      </c>
      <c r="I1453" s="555" t="s">
        <v>63</v>
      </c>
      <c r="J1453" s="751" t="s">
        <v>3190</v>
      </c>
      <c r="K1453" s="555" t="s">
        <v>2764</v>
      </c>
      <c r="L1453" s="555" t="s">
        <v>45</v>
      </c>
      <c r="M1453" s="555" t="s">
        <v>45</v>
      </c>
    </row>
    <row r="1454" spans="3:13" ht="18.75">
      <c r="C1454" s="735"/>
      <c r="D1454" s="555" t="s">
        <v>3188</v>
      </c>
      <c r="E1454" s="757">
        <v>0.41666666666666669</v>
      </c>
      <c r="F1454" s="731">
        <v>43143</v>
      </c>
      <c r="G1454" s="730">
        <v>0.33333333333333331</v>
      </c>
      <c r="H1454" s="555" t="s">
        <v>3192</v>
      </c>
      <c r="I1454" s="555" t="s">
        <v>61</v>
      </c>
      <c r="J1454" s="751" t="s">
        <v>2780</v>
      </c>
      <c r="K1454" s="555" t="s">
        <v>1138</v>
      </c>
      <c r="L1454" s="555" t="s">
        <v>3193</v>
      </c>
      <c r="M1454" s="555" t="s">
        <v>45</v>
      </c>
    </row>
    <row r="1455" spans="3:13" ht="18.75">
      <c r="C1455" s="735"/>
      <c r="D1455" s="555" t="s">
        <v>3188</v>
      </c>
      <c r="E1455" s="757">
        <v>0.3125</v>
      </c>
      <c r="F1455" s="731" t="s">
        <v>45</v>
      </c>
      <c r="G1455" s="730" t="s">
        <v>45</v>
      </c>
      <c r="H1455" s="555" t="s">
        <v>2896</v>
      </c>
      <c r="I1455" s="555" t="s">
        <v>63</v>
      </c>
      <c r="J1455" s="751" t="s">
        <v>3190</v>
      </c>
      <c r="K1455" s="555" t="s">
        <v>22</v>
      </c>
      <c r="L1455" s="555" t="s">
        <v>3055</v>
      </c>
      <c r="M1455" s="555" t="s">
        <v>3194</v>
      </c>
    </row>
    <row r="1456" spans="3:13" ht="18.75">
      <c r="C1456" s="735"/>
      <c r="D1456" s="555" t="s">
        <v>3188</v>
      </c>
      <c r="E1456" s="757">
        <v>0.28125</v>
      </c>
      <c r="F1456" s="731">
        <v>43102</v>
      </c>
      <c r="G1456" s="730">
        <v>0.375</v>
      </c>
      <c r="H1456" s="555" t="s">
        <v>2832</v>
      </c>
      <c r="I1456" s="555" t="s">
        <v>63</v>
      </c>
      <c r="J1456" s="751" t="s">
        <v>2622</v>
      </c>
      <c r="K1456" s="555" t="s">
        <v>22</v>
      </c>
      <c r="L1456" s="555" t="s">
        <v>3195</v>
      </c>
      <c r="M1456" s="555" t="s">
        <v>45</v>
      </c>
    </row>
    <row r="1457" spans="3:13" ht="18.75">
      <c r="C1457" s="735"/>
      <c r="D1457" s="555" t="s">
        <v>3196</v>
      </c>
      <c r="E1457" s="757">
        <v>7.5694444444444439E-2</v>
      </c>
      <c r="F1457" s="731">
        <v>43104</v>
      </c>
      <c r="G1457" s="730">
        <v>8.9583333333333334E-2</v>
      </c>
      <c r="H1457" s="555" t="s">
        <v>3197</v>
      </c>
      <c r="I1457" s="555" t="s">
        <v>1352</v>
      </c>
      <c r="J1457" s="751" t="s">
        <v>2910</v>
      </c>
      <c r="K1457" s="555" t="s">
        <v>2293</v>
      </c>
      <c r="L1457" s="555" t="s">
        <v>45</v>
      </c>
      <c r="M1457" s="555" t="s">
        <v>3198</v>
      </c>
    </row>
    <row r="1458" spans="3:13" ht="18.75">
      <c r="C1458" s="735"/>
      <c r="D1458" s="555" t="s">
        <v>3199</v>
      </c>
      <c r="E1458" s="757">
        <v>0.54722222222222217</v>
      </c>
      <c r="F1458" s="731">
        <v>43112</v>
      </c>
      <c r="G1458" s="730">
        <v>0.62013888888888891</v>
      </c>
      <c r="H1458" s="555" t="s">
        <v>3200</v>
      </c>
      <c r="I1458" s="555" t="s">
        <v>3143</v>
      </c>
      <c r="J1458" s="751" t="s">
        <v>3201</v>
      </c>
      <c r="K1458" s="555" t="s">
        <v>2764</v>
      </c>
      <c r="L1458" s="555" t="s">
        <v>3202</v>
      </c>
      <c r="M1458" s="555" t="s">
        <v>3203</v>
      </c>
    </row>
    <row r="1459" spans="3:13" ht="18.75">
      <c r="C1459" s="735"/>
      <c r="D1459" s="555" t="s">
        <v>3204</v>
      </c>
      <c r="E1459" s="757">
        <v>0.18055555555555555</v>
      </c>
      <c r="F1459" s="731">
        <v>43118</v>
      </c>
      <c r="G1459" s="730">
        <v>0.24166666666666667</v>
      </c>
      <c r="H1459" s="555" t="s">
        <v>2919</v>
      </c>
      <c r="I1459" s="555" t="s">
        <v>1352</v>
      </c>
      <c r="J1459" s="751" t="s">
        <v>3190</v>
      </c>
      <c r="K1459" s="555" t="s">
        <v>22</v>
      </c>
      <c r="L1459" s="555" t="s">
        <v>45</v>
      </c>
      <c r="M1459" s="555" t="s">
        <v>45</v>
      </c>
    </row>
    <row r="1460" spans="3:13" ht="18.75">
      <c r="C1460" s="735"/>
      <c r="D1460" s="555" t="s">
        <v>3206</v>
      </c>
      <c r="E1460" s="757">
        <v>0.625</v>
      </c>
      <c r="F1460" s="731">
        <v>43118</v>
      </c>
      <c r="G1460" s="730">
        <v>0.54166666666666663</v>
      </c>
      <c r="H1460" s="555" t="s">
        <v>3189</v>
      </c>
      <c r="I1460" s="555" t="s">
        <v>63</v>
      </c>
      <c r="J1460" s="751" t="s">
        <v>3190</v>
      </c>
      <c r="K1460" s="555" t="s">
        <v>22</v>
      </c>
      <c r="L1460" s="555" t="s">
        <v>45</v>
      </c>
      <c r="M1460" s="555" t="s">
        <v>45</v>
      </c>
    </row>
    <row r="1461" spans="3:13" ht="18.75">
      <c r="C1461" s="735"/>
      <c r="D1461" s="555" t="s">
        <v>3206</v>
      </c>
      <c r="E1461" s="757">
        <v>0.625</v>
      </c>
      <c r="F1461" s="731">
        <v>43118</v>
      </c>
      <c r="G1461" s="730">
        <v>0.54166666666666663</v>
      </c>
      <c r="H1461" s="555" t="s">
        <v>2935</v>
      </c>
      <c r="I1461" s="555" t="s">
        <v>63</v>
      </c>
      <c r="J1461" s="751" t="s">
        <v>3190</v>
      </c>
      <c r="K1461" s="555" t="s">
        <v>2764</v>
      </c>
      <c r="L1461" s="555" t="s">
        <v>45</v>
      </c>
      <c r="M1461" s="555" t="s">
        <v>45</v>
      </c>
    </row>
    <row r="1462" spans="3:13" ht="18.75">
      <c r="C1462" s="735"/>
      <c r="D1462" s="555" t="s">
        <v>3206</v>
      </c>
      <c r="E1462" s="757">
        <v>0.58124999999999993</v>
      </c>
      <c r="F1462" s="731">
        <v>43116</v>
      </c>
      <c r="G1462" s="730">
        <v>0.60555555555555551</v>
      </c>
      <c r="H1462" s="555" t="s">
        <v>2919</v>
      </c>
      <c r="I1462" s="555" t="s">
        <v>1352</v>
      </c>
      <c r="J1462" s="751" t="s">
        <v>2839</v>
      </c>
      <c r="K1462" s="555" t="s">
        <v>22</v>
      </c>
      <c r="L1462" s="555" t="s">
        <v>45</v>
      </c>
      <c r="M1462" s="555" t="s">
        <v>45</v>
      </c>
    </row>
    <row r="1463" spans="3:13" ht="18.75">
      <c r="C1463" s="735"/>
      <c r="D1463" s="555" t="s">
        <v>3207</v>
      </c>
      <c r="E1463" s="757">
        <v>0.21527777777777779</v>
      </c>
      <c r="F1463" s="731">
        <v>43117</v>
      </c>
      <c r="G1463" s="730">
        <v>0.54166666666666663</v>
      </c>
      <c r="H1463" s="555" t="s">
        <v>3116</v>
      </c>
      <c r="I1463" s="555" t="s">
        <v>63</v>
      </c>
      <c r="J1463" s="751" t="s">
        <v>3190</v>
      </c>
      <c r="K1463" s="555" t="s">
        <v>2764</v>
      </c>
      <c r="L1463" s="555" t="s">
        <v>3208</v>
      </c>
      <c r="M1463" s="555" t="s">
        <v>3209</v>
      </c>
    </row>
    <row r="1464" spans="3:13" ht="18.75">
      <c r="C1464" s="735"/>
      <c r="D1464" s="555" t="s">
        <v>3207</v>
      </c>
      <c r="E1464" s="757">
        <v>0.25694444444444448</v>
      </c>
      <c r="F1464" s="731">
        <v>43117</v>
      </c>
      <c r="G1464" s="730">
        <v>0.58333333333333337</v>
      </c>
      <c r="H1464" s="555" t="s">
        <v>2866</v>
      </c>
      <c r="I1464" s="555" t="s">
        <v>63</v>
      </c>
      <c r="J1464" s="751" t="s">
        <v>3190</v>
      </c>
      <c r="K1464" s="555" t="s">
        <v>2764</v>
      </c>
      <c r="L1464" s="555" t="s">
        <v>45</v>
      </c>
      <c r="M1464" s="555" t="s">
        <v>45</v>
      </c>
    </row>
    <row r="1465" spans="3:13" ht="18.75">
      <c r="C1465" s="735"/>
      <c r="D1465" s="555" t="s">
        <v>3205</v>
      </c>
      <c r="E1465" s="757">
        <v>0.20833333333333334</v>
      </c>
      <c r="F1465" s="731">
        <v>43118</v>
      </c>
      <c r="G1465" s="730">
        <v>0.45833333333333331</v>
      </c>
      <c r="H1465" s="555" t="s">
        <v>3210</v>
      </c>
      <c r="I1465" s="555" t="s">
        <v>63</v>
      </c>
      <c r="J1465" s="751" t="s">
        <v>3190</v>
      </c>
      <c r="K1465" s="555" t="s">
        <v>22</v>
      </c>
      <c r="L1465" s="555" t="s">
        <v>3211</v>
      </c>
      <c r="M1465" s="555" t="s">
        <v>45</v>
      </c>
    </row>
    <row r="1466" spans="3:13" ht="18.75">
      <c r="C1466" s="735"/>
      <c r="D1466" s="555" t="s">
        <v>3205</v>
      </c>
      <c r="E1466" s="757">
        <v>0.20833333333333334</v>
      </c>
      <c r="F1466" s="731">
        <v>43118</v>
      </c>
      <c r="G1466" s="730">
        <v>0.40625</v>
      </c>
      <c r="H1466" s="555" t="s">
        <v>3116</v>
      </c>
      <c r="I1466" s="555" t="s">
        <v>63</v>
      </c>
      <c r="J1466" s="751" t="s">
        <v>3190</v>
      </c>
      <c r="K1466" s="555" t="s">
        <v>2764</v>
      </c>
      <c r="L1466" s="555" t="s">
        <v>3212</v>
      </c>
      <c r="M1466" s="555" t="s">
        <v>3209</v>
      </c>
    </row>
    <row r="1467" spans="3:13" ht="18.75">
      <c r="C1467" s="735"/>
      <c r="D1467" s="555" t="s">
        <v>3205</v>
      </c>
      <c r="E1467" s="757">
        <v>0.25</v>
      </c>
      <c r="F1467" s="731" t="s">
        <v>45</v>
      </c>
      <c r="G1467" s="730" t="s">
        <v>45</v>
      </c>
      <c r="H1467" s="555" t="s">
        <v>2866</v>
      </c>
      <c r="I1467" s="555" t="s">
        <v>63</v>
      </c>
      <c r="J1467" s="751" t="s">
        <v>3190</v>
      </c>
      <c r="K1467" s="555" t="s">
        <v>2764</v>
      </c>
      <c r="L1467" s="555" t="s">
        <v>45</v>
      </c>
      <c r="M1467" s="555" t="s">
        <v>45</v>
      </c>
    </row>
    <row r="1468" spans="3:13" ht="18.75">
      <c r="C1468" s="735"/>
      <c r="D1468" s="555" t="s">
        <v>3213</v>
      </c>
      <c r="E1468" s="757">
        <v>0.84652777777777777</v>
      </c>
      <c r="F1468" s="731">
        <v>43126</v>
      </c>
      <c r="G1468" s="730">
        <v>8.3333333333333329E-2</v>
      </c>
      <c r="H1468" s="555" t="s">
        <v>3215</v>
      </c>
      <c r="I1468" s="555" t="s">
        <v>3143</v>
      </c>
      <c r="J1468" s="751" t="s">
        <v>2944</v>
      </c>
      <c r="K1468" s="555" t="s">
        <v>2118</v>
      </c>
      <c r="L1468" s="555" t="s">
        <v>45</v>
      </c>
      <c r="M1468" s="555" t="s">
        <v>45</v>
      </c>
    </row>
    <row r="1469" spans="3:13" ht="18.75">
      <c r="C1469" s="735"/>
      <c r="D1469" s="555" t="s">
        <v>3216</v>
      </c>
      <c r="E1469" s="757">
        <v>0.5708333333333333</v>
      </c>
      <c r="F1469" s="731">
        <v>43135</v>
      </c>
      <c r="G1469" s="730">
        <v>0.64236111111111105</v>
      </c>
      <c r="H1469" s="555" t="s">
        <v>2945</v>
      </c>
      <c r="I1469" s="555" t="s">
        <v>124</v>
      </c>
      <c r="J1469" s="751" t="s">
        <v>2910</v>
      </c>
      <c r="K1469" s="555" t="s">
        <v>100</v>
      </c>
      <c r="L1469" s="555" t="s">
        <v>3217</v>
      </c>
      <c r="M1469" s="555" t="s">
        <v>3055</v>
      </c>
    </row>
    <row r="1470" spans="3:13" ht="18.75">
      <c r="C1470" s="735"/>
      <c r="D1470" s="555" t="s">
        <v>3218</v>
      </c>
      <c r="E1470" s="757">
        <v>0.55902777777777779</v>
      </c>
      <c r="F1470" s="731">
        <v>43139</v>
      </c>
      <c r="G1470" s="730">
        <v>0.56319444444444444</v>
      </c>
      <c r="H1470" s="555" t="s">
        <v>2945</v>
      </c>
      <c r="I1470" s="555" t="s">
        <v>124</v>
      </c>
      <c r="J1470" s="751" t="s">
        <v>2839</v>
      </c>
      <c r="K1470" s="555" t="s">
        <v>2764</v>
      </c>
      <c r="L1470" s="555" t="s">
        <v>3219</v>
      </c>
      <c r="M1470" s="555" t="s">
        <v>3220</v>
      </c>
    </row>
    <row r="1471" spans="3:13" ht="18.75">
      <c r="C1471" s="735"/>
      <c r="D1471" s="555" t="s">
        <v>3221</v>
      </c>
      <c r="E1471" s="757">
        <v>0.68958333333333333</v>
      </c>
      <c r="F1471" s="731">
        <v>43149</v>
      </c>
      <c r="G1471" s="730">
        <v>0</v>
      </c>
      <c r="H1471" s="555" t="s">
        <v>3223</v>
      </c>
      <c r="I1471" s="555" t="s">
        <v>124</v>
      </c>
      <c r="J1471" s="751" t="s">
        <v>2915</v>
      </c>
      <c r="K1471" s="555" t="s">
        <v>100</v>
      </c>
      <c r="L1471" s="555" t="s">
        <v>3224</v>
      </c>
      <c r="M1471" s="555" t="s">
        <v>3055</v>
      </c>
    </row>
    <row r="1472" spans="3:13" ht="18.75">
      <c r="C1472" s="735"/>
      <c r="D1472" s="555" t="s">
        <v>3221</v>
      </c>
      <c r="E1472" s="757">
        <v>0.74722222222222223</v>
      </c>
      <c r="F1472" s="731">
        <v>43149</v>
      </c>
      <c r="G1472" s="730">
        <v>0.17430555555555557</v>
      </c>
      <c r="H1472" s="555" t="s">
        <v>3223</v>
      </c>
      <c r="I1472" s="555" t="s">
        <v>124</v>
      </c>
      <c r="J1472" s="751" t="s">
        <v>2915</v>
      </c>
      <c r="K1472" s="555" t="s">
        <v>100</v>
      </c>
      <c r="L1472" s="555" t="s">
        <v>3225</v>
      </c>
      <c r="M1472" s="555" t="s">
        <v>3055</v>
      </c>
    </row>
    <row r="1473" spans="3:13" ht="18.75">
      <c r="C1473" s="735"/>
      <c r="D1473" s="555" t="s">
        <v>3226</v>
      </c>
      <c r="E1473" s="757">
        <v>0.50555555555555554</v>
      </c>
      <c r="F1473" s="731">
        <v>43160</v>
      </c>
      <c r="G1473" s="730">
        <v>0.65625</v>
      </c>
      <c r="H1473" s="555" t="s">
        <v>2901</v>
      </c>
      <c r="I1473" s="555" t="s">
        <v>301</v>
      </c>
      <c r="J1473" s="751" t="s">
        <v>2944</v>
      </c>
      <c r="K1473" s="555" t="s">
        <v>2764</v>
      </c>
      <c r="L1473" s="555" t="s">
        <v>3055</v>
      </c>
      <c r="M1473" s="555" t="s">
        <v>3055</v>
      </c>
    </row>
    <row r="1474" spans="3:13" ht="18.75">
      <c r="C1474" s="735"/>
      <c r="D1474" s="555" t="s">
        <v>3226</v>
      </c>
      <c r="E1474" s="757">
        <v>0.50555555555555554</v>
      </c>
      <c r="F1474" s="731">
        <v>43160</v>
      </c>
      <c r="G1474" s="730">
        <v>0.65625</v>
      </c>
      <c r="H1474" s="555" t="s">
        <v>2901</v>
      </c>
      <c r="I1474" s="555" t="s">
        <v>301</v>
      </c>
      <c r="J1474" s="751" t="s">
        <v>2944</v>
      </c>
      <c r="K1474" s="555" t="s">
        <v>2764</v>
      </c>
      <c r="L1474" s="555" t="s">
        <v>3055</v>
      </c>
      <c r="M1474" s="555" t="s">
        <v>3055</v>
      </c>
    </row>
    <row r="1475" spans="3:13" ht="18.75">
      <c r="C1475" s="735"/>
      <c r="D1475" s="555" t="s">
        <v>3227</v>
      </c>
      <c r="E1475" s="757">
        <v>0.48819444444444443</v>
      </c>
      <c r="F1475" s="731">
        <v>43160</v>
      </c>
      <c r="G1475" s="730">
        <v>0.49722222222222223</v>
      </c>
      <c r="H1475" s="555" t="s">
        <v>2945</v>
      </c>
      <c r="I1475" s="555" t="s">
        <v>124</v>
      </c>
      <c r="J1475" s="751" t="s">
        <v>2839</v>
      </c>
      <c r="K1475" s="555" t="s">
        <v>22</v>
      </c>
      <c r="L1475" s="555" t="s">
        <v>3228</v>
      </c>
      <c r="M1475" s="555" t="s">
        <v>3229</v>
      </c>
    </row>
    <row r="1476" spans="3:13" ht="18.75">
      <c r="C1476" s="735"/>
      <c r="D1476" s="555" t="s">
        <v>3227</v>
      </c>
      <c r="E1476" s="757">
        <v>0.9145833333333333</v>
      </c>
      <c r="F1476" s="731">
        <v>43161</v>
      </c>
      <c r="G1476" s="730">
        <v>0.42638888888888887</v>
      </c>
      <c r="H1476" s="555" t="s">
        <v>2895</v>
      </c>
      <c r="I1476" s="555" t="s">
        <v>3143</v>
      </c>
      <c r="J1476" s="751" t="s">
        <v>2753</v>
      </c>
      <c r="K1476" s="555" t="s">
        <v>22</v>
      </c>
      <c r="L1476" s="555" t="s">
        <v>45</v>
      </c>
      <c r="M1476" s="555" t="s">
        <v>3231</v>
      </c>
    </row>
    <row r="1477" spans="3:13" ht="18.75">
      <c r="C1477" s="735"/>
      <c r="D1477" s="555" t="s">
        <v>3227</v>
      </c>
      <c r="E1477" s="757">
        <v>0.93055555555555547</v>
      </c>
      <c r="F1477" s="731">
        <v>43163</v>
      </c>
      <c r="G1477" s="730">
        <v>0.83333333333333337</v>
      </c>
      <c r="H1477" s="555" t="s">
        <v>3233</v>
      </c>
      <c r="I1477" s="555" t="s">
        <v>3143</v>
      </c>
      <c r="J1477" s="751" t="s">
        <v>2753</v>
      </c>
      <c r="K1477" s="555" t="s">
        <v>22</v>
      </c>
      <c r="L1477" s="555" t="s">
        <v>45</v>
      </c>
      <c r="M1477" s="555" t="s">
        <v>3234</v>
      </c>
    </row>
    <row r="1478" spans="3:13" ht="18.75">
      <c r="C1478" s="735"/>
      <c r="D1478" s="555" t="s">
        <v>3230</v>
      </c>
      <c r="E1478" s="757">
        <v>0.70833333333333337</v>
      </c>
      <c r="F1478" s="731">
        <v>43165</v>
      </c>
      <c r="G1478" s="730">
        <v>0.45833333333333331</v>
      </c>
      <c r="H1478" s="555" t="s">
        <v>3236</v>
      </c>
      <c r="I1478" s="555" t="s">
        <v>3143</v>
      </c>
      <c r="J1478" s="751" t="s">
        <v>2753</v>
      </c>
      <c r="K1478" s="555" t="s">
        <v>22</v>
      </c>
      <c r="L1478" s="555" t="s">
        <v>45</v>
      </c>
      <c r="M1478" s="555" t="s">
        <v>3237</v>
      </c>
    </row>
    <row r="1479" spans="3:13" ht="18.75">
      <c r="C1479" s="735"/>
      <c r="D1479" s="555" t="s">
        <v>3230</v>
      </c>
      <c r="E1479" s="757">
        <v>0.97013888888888899</v>
      </c>
      <c r="F1479" s="731">
        <v>43162</v>
      </c>
      <c r="G1479" s="730">
        <v>3.5416666666666666E-2</v>
      </c>
      <c r="H1479" s="555" t="s">
        <v>2862</v>
      </c>
      <c r="I1479" s="555" t="s">
        <v>124</v>
      </c>
      <c r="J1479" s="751" t="s">
        <v>2910</v>
      </c>
      <c r="K1479" s="555" t="s">
        <v>100</v>
      </c>
      <c r="L1479" s="555" t="s">
        <v>3055</v>
      </c>
      <c r="M1479" s="555" t="s">
        <v>3055</v>
      </c>
    </row>
    <row r="1480" spans="3:13" ht="18.75">
      <c r="C1480" s="735"/>
      <c r="D1480" s="555" t="s">
        <v>3230</v>
      </c>
      <c r="E1480" s="757">
        <v>0.63194444444444442</v>
      </c>
      <c r="F1480" s="731">
        <v>43165</v>
      </c>
      <c r="G1480" s="730">
        <v>0.20625000000000002</v>
      </c>
      <c r="H1480" s="555" t="s">
        <v>2895</v>
      </c>
      <c r="I1480" s="555" t="s">
        <v>3143</v>
      </c>
      <c r="J1480" s="751" t="s">
        <v>2753</v>
      </c>
      <c r="K1480" s="555" t="s">
        <v>22</v>
      </c>
      <c r="L1480" s="555" t="s">
        <v>45</v>
      </c>
      <c r="M1480" s="555" t="s">
        <v>3239</v>
      </c>
    </row>
    <row r="1481" spans="3:13" ht="18.75">
      <c r="C1481" s="735"/>
      <c r="D1481" s="555" t="s">
        <v>3230</v>
      </c>
      <c r="E1481" s="757">
        <v>0.48194444444444445</v>
      </c>
      <c r="F1481" s="731" t="s">
        <v>45</v>
      </c>
      <c r="G1481" s="730" t="s">
        <v>45</v>
      </c>
      <c r="H1481" s="555" t="s">
        <v>2868</v>
      </c>
      <c r="I1481" s="555" t="s">
        <v>61</v>
      </c>
      <c r="J1481" s="751" t="s">
        <v>2753</v>
      </c>
      <c r="K1481" s="555" t="s">
        <v>22</v>
      </c>
      <c r="L1481" s="555" t="s">
        <v>45</v>
      </c>
      <c r="M1481" s="555" t="s">
        <v>3240</v>
      </c>
    </row>
    <row r="1482" spans="3:13" ht="18.75">
      <c r="C1482" s="735"/>
      <c r="D1482" s="555" t="s">
        <v>3230</v>
      </c>
      <c r="E1482" s="757">
        <v>0.65694444444444444</v>
      </c>
      <c r="F1482" s="731">
        <v>43163</v>
      </c>
      <c r="G1482" s="730">
        <v>0.82361111111111107</v>
      </c>
      <c r="H1482" s="555" t="s">
        <v>3241</v>
      </c>
      <c r="I1482" s="555" t="s">
        <v>61</v>
      </c>
      <c r="J1482" s="751" t="s">
        <v>2753</v>
      </c>
      <c r="K1482" s="555" t="s">
        <v>22</v>
      </c>
      <c r="L1482" s="555" t="s">
        <v>45</v>
      </c>
      <c r="M1482" s="555" t="s">
        <v>3242</v>
      </c>
    </row>
    <row r="1483" spans="3:13" ht="18.75">
      <c r="C1483" s="735"/>
      <c r="D1483" s="555" t="s">
        <v>3230</v>
      </c>
      <c r="E1483" s="757">
        <v>0.57708333333333328</v>
      </c>
      <c r="F1483" s="731">
        <v>43164</v>
      </c>
      <c r="G1483" s="730">
        <v>0.5541666666666667</v>
      </c>
      <c r="H1483" s="555" t="s">
        <v>2834</v>
      </c>
      <c r="I1483" s="555" t="s">
        <v>61</v>
      </c>
      <c r="J1483" s="751" t="s">
        <v>2753</v>
      </c>
      <c r="K1483" s="555" t="s">
        <v>22</v>
      </c>
      <c r="L1483" s="555" t="s">
        <v>45</v>
      </c>
      <c r="M1483" s="555" t="s">
        <v>3244</v>
      </c>
    </row>
    <row r="1484" spans="3:13" ht="18.75">
      <c r="C1484" s="735"/>
      <c r="D1484" s="555" t="s">
        <v>3230</v>
      </c>
      <c r="E1484" s="757">
        <v>0.57708333333333328</v>
      </c>
      <c r="F1484" s="731">
        <v>43163</v>
      </c>
      <c r="G1484" s="730">
        <v>0.50763888888888886</v>
      </c>
      <c r="H1484" s="555" t="s">
        <v>3245</v>
      </c>
      <c r="I1484" s="555" t="s">
        <v>3143</v>
      </c>
      <c r="J1484" s="751" t="s">
        <v>2753</v>
      </c>
      <c r="K1484" s="555" t="s">
        <v>22</v>
      </c>
      <c r="L1484" s="555" t="s">
        <v>45</v>
      </c>
      <c r="M1484" s="555" t="s">
        <v>3246</v>
      </c>
    </row>
    <row r="1485" spans="3:13" ht="18.75">
      <c r="C1485" s="735"/>
      <c r="D1485" s="555" t="s">
        <v>3230</v>
      </c>
      <c r="E1485" s="757">
        <v>0.49861111111111112</v>
      </c>
      <c r="F1485" s="731" t="s">
        <v>45</v>
      </c>
      <c r="G1485" s="730" t="s">
        <v>45</v>
      </c>
      <c r="H1485" s="555" t="s">
        <v>3247</v>
      </c>
      <c r="I1485" s="555" t="s">
        <v>3143</v>
      </c>
      <c r="J1485" s="751" t="s">
        <v>2839</v>
      </c>
      <c r="K1485" s="555" t="s">
        <v>22</v>
      </c>
      <c r="L1485" s="555" t="s">
        <v>45</v>
      </c>
      <c r="M1485" s="555" t="s">
        <v>3248</v>
      </c>
    </row>
    <row r="1486" spans="3:13" ht="18.75">
      <c r="C1486" s="735"/>
      <c r="D1486" s="555" t="s">
        <v>3230</v>
      </c>
      <c r="E1486" s="757">
        <v>0.5</v>
      </c>
      <c r="F1486" s="731">
        <v>43164</v>
      </c>
      <c r="G1486" s="730">
        <v>0</v>
      </c>
      <c r="H1486" s="555" t="s">
        <v>3245</v>
      </c>
      <c r="I1486" s="555" t="s">
        <v>3143</v>
      </c>
      <c r="J1486" s="751" t="s">
        <v>2753</v>
      </c>
      <c r="K1486" s="555" t="s">
        <v>22</v>
      </c>
      <c r="L1486" s="555" t="s">
        <v>45</v>
      </c>
      <c r="M1486" s="555" t="s">
        <v>3249</v>
      </c>
    </row>
    <row r="1487" spans="3:13" ht="18.75">
      <c r="C1487" s="735"/>
      <c r="D1487" s="555" t="s">
        <v>3230</v>
      </c>
      <c r="E1487" s="757">
        <v>0.29166666666666669</v>
      </c>
      <c r="F1487" s="731" t="s">
        <v>45</v>
      </c>
      <c r="G1487" s="730" t="s">
        <v>45</v>
      </c>
      <c r="H1487" s="555" t="s">
        <v>3250</v>
      </c>
      <c r="I1487" s="555" t="s">
        <v>61</v>
      </c>
      <c r="J1487" s="751" t="s">
        <v>2753</v>
      </c>
      <c r="K1487" s="555" t="s">
        <v>22</v>
      </c>
      <c r="L1487" s="555" t="s">
        <v>45</v>
      </c>
      <c r="M1487" s="555" t="s">
        <v>3251</v>
      </c>
    </row>
    <row r="1488" spans="3:13" ht="18.75">
      <c r="C1488" s="735"/>
      <c r="D1488" s="555" t="s">
        <v>3230</v>
      </c>
      <c r="E1488" s="757">
        <v>0.5</v>
      </c>
      <c r="F1488" s="731" t="s">
        <v>45</v>
      </c>
      <c r="G1488" s="730" t="s">
        <v>45</v>
      </c>
      <c r="H1488" s="555" t="s">
        <v>3252</v>
      </c>
      <c r="I1488" s="555" t="s">
        <v>3143</v>
      </c>
      <c r="J1488" s="751" t="s">
        <v>2917</v>
      </c>
      <c r="K1488" s="555" t="s">
        <v>22</v>
      </c>
      <c r="L1488" s="555" t="s">
        <v>3253</v>
      </c>
      <c r="M1488" s="555" t="s">
        <v>3254</v>
      </c>
    </row>
    <row r="1489" spans="3:13" ht="18.75">
      <c r="C1489" s="735"/>
      <c r="D1489" s="555" t="s">
        <v>3230</v>
      </c>
      <c r="E1489" s="757">
        <v>0.36249999999999999</v>
      </c>
      <c r="F1489" s="731" t="s">
        <v>45</v>
      </c>
      <c r="G1489" s="730" t="s">
        <v>45</v>
      </c>
      <c r="H1489" s="555" t="s">
        <v>2868</v>
      </c>
      <c r="I1489" s="555" t="s">
        <v>61</v>
      </c>
      <c r="J1489" s="751" t="s">
        <v>2753</v>
      </c>
      <c r="K1489" s="555" t="s">
        <v>22</v>
      </c>
      <c r="L1489" s="555" t="s">
        <v>45</v>
      </c>
      <c r="M1489" s="555" t="s">
        <v>3255</v>
      </c>
    </row>
    <row r="1490" spans="3:13" ht="18.75">
      <c r="C1490" s="735"/>
      <c r="D1490" s="555" t="s">
        <v>3230</v>
      </c>
      <c r="E1490" s="757">
        <v>0.33333333333333331</v>
      </c>
      <c r="F1490" s="731">
        <v>43162</v>
      </c>
      <c r="G1490" s="730">
        <v>0.95833333333333337</v>
      </c>
      <c r="H1490" s="555" t="s">
        <v>3256</v>
      </c>
      <c r="I1490" s="555" t="s">
        <v>3143</v>
      </c>
      <c r="J1490" s="751" t="s">
        <v>2753</v>
      </c>
      <c r="K1490" s="555" t="s">
        <v>22</v>
      </c>
      <c r="L1490" s="555" t="s">
        <v>45</v>
      </c>
      <c r="M1490" s="555" t="s">
        <v>3257</v>
      </c>
    </row>
    <row r="1491" spans="3:13" ht="18.75">
      <c r="C1491" s="735"/>
      <c r="D1491" s="555" t="s">
        <v>3258</v>
      </c>
      <c r="E1491" s="757">
        <v>0.67361111111111116</v>
      </c>
      <c r="F1491" s="731">
        <v>43169</v>
      </c>
      <c r="G1491" s="730">
        <v>0.48055555555555557</v>
      </c>
      <c r="H1491" s="555" t="s">
        <v>2833</v>
      </c>
      <c r="I1491" s="555" t="s">
        <v>3143</v>
      </c>
      <c r="J1491" s="751" t="s">
        <v>2753</v>
      </c>
      <c r="K1491" s="555" t="s">
        <v>22</v>
      </c>
      <c r="L1491" s="555" t="s">
        <v>45</v>
      </c>
      <c r="M1491" s="555" t="s">
        <v>3260</v>
      </c>
    </row>
    <row r="1492" spans="3:13" ht="18.75">
      <c r="C1492" s="735"/>
      <c r="D1492" s="555" t="s">
        <v>3258</v>
      </c>
      <c r="E1492" s="757">
        <v>0.71875</v>
      </c>
      <c r="F1492" s="731" t="s">
        <v>45</v>
      </c>
      <c r="G1492" s="730" t="s">
        <v>45</v>
      </c>
      <c r="H1492" s="555" t="s">
        <v>2833</v>
      </c>
      <c r="I1492" s="555" t="s">
        <v>3143</v>
      </c>
      <c r="J1492" s="751" t="s">
        <v>2753</v>
      </c>
      <c r="K1492" s="555" t="s">
        <v>22</v>
      </c>
      <c r="L1492" s="555" t="s">
        <v>3261</v>
      </c>
      <c r="M1492" s="555" t="s">
        <v>3262</v>
      </c>
    </row>
    <row r="1493" spans="3:13" ht="18.75">
      <c r="C1493" s="735"/>
      <c r="D1493" s="555" t="s">
        <v>3258</v>
      </c>
      <c r="E1493" s="757">
        <v>0.5</v>
      </c>
      <c r="F1493" s="731">
        <v>43166</v>
      </c>
      <c r="G1493" s="730">
        <v>0.70833333333333337</v>
      </c>
      <c r="H1493" s="555" t="s">
        <v>3245</v>
      </c>
      <c r="I1493" s="555" t="s">
        <v>3143</v>
      </c>
      <c r="J1493" s="751" t="s">
        <v>2753</v>
      </c>
      <c r="K1493" s="555" t="s">
        <v>22</v>
      </c>
      <c r="L1493" s="555" t="s">
        <v>45</v>
      </c>
      <c r="M1493" s="555" t="s">
        <v>3263</v>
      </c>
    </row>
    <row r="1494" spans="3:13" ht="18.75">
      <c r="C1494" s="735"/>
      <c r="D1494" s="555" t="s">
        <v>3258</v>
      </c>
      <c r="E1494" s="757">
        <v>0.81736111111111109</v>
      </c>
      <c r="F1494" s="731">
        <v>43169</v>
      </c>
      <c r="G1494" s="730">
        <v>0.69097222222222221</v>
      </c>
      <c r="H1494" s="555" t="s">
        <v>3264</v>
      </c>
      <c r="I1494" s="555" t="s">
        <v>61</v>
      </c>
      <c r="J1494" s="751" t="s">
        <v>2753</v>
      </c>
      <c r="K1494" s="555" t="s">
        <v>22</v>
      </c>
      <c r="L1494" s="555" t="s">
        <v>45</v>
      </c>
      <c r="M1494" s="555" t="s">
        <v>3265</v>
      </c>
    </row>
    <row r="1495" spans="3:13" ht="18.75">
      <c r="C1495" s="735"/>
      <c r="D1495" s="555" t="s">
        <v>3266</v>
      </c>
      <c r="E1495" s="757">
        <v>0</v>
      </c>
      <c r="F1495" s="731">
        <v>43196</v>
      </c>
      <c r="G1495" s="730">
        <v>0.45833333333333331</v>
      </c>
      <c r="H1495" s="555" t="s">
        <v>2802</v>
      </c>
      <c r="I1495" s="555" t="s">
        <v>61</v>
      </c>
      <c r="J1495" s="751" t="s">
        <v>2910</v>
      </c>
      <c r="K1495" s="555" t="s">
        <v>100</v>
      </c>
      <c r="L1495" s="555" t="s">
        <v>3055</v>
      </c>
      <c r="M1495" s="555" t="s">
        <v>3055</v>
      </c>
    </row>
    <row r="1496" spans="3:13" ht="18.75">
      <c r="C1496" s="735"/>
      <c r="D1496" s="555" t="s">
        <v>3268</v>
      </c>
      <c r="E1496" s="757">
        <v>0.36805555555555558</v>
      </c>
      <c r="F1496" s="731">
        <v>43173</v>
      </c>
      <c r="G1496" s="730">
        <v>0.97361111111111109</v>
      </c>
      <c r="H1496" s="555" t="s">
        <v>2795</v>
      </c>
      <c r="I1496" s="555" t="s">
        <v>61</v>
      </c>
      <c r="J1496" s="751" t="s">
        <v>2753</v>
      </c>
      <c r="K1496" s="555" t="s">
        <v>22</v>
      </c>
      <c r="L1496" s="555" t="s">
        <v>45</v>
      </c>
      <c r="M1496" s="555" t="s">
        <v>3270</v>
      </c>
    </row>
    <row r="1497" spans="3:13" ht="18.75">
      <c r="C1497" s="735"/>
      <c r="D1497" s="555" t="s">
        <v>3268</v>
      </c>
      <c r="E1497" s="757">
        <v>6.9444444444444441E-3</v>
      </c>
      <c r="F1497" s="731">
        <v>43172</v>
      </c>
      <c r="G1497" s="730">
        <v>2.361111111111111E-2</v>
      </c>
      <c r="H1497" s="555" t="s">
        <v>2900</v>
      </c>
      <c r="I1497" s="555" t="s">
        <v>124</v>
      </c>
      <c r="J1497" s="751" t="s">
        <v>2910</v>
      </c>
      <c r="K1497" s="555" t="s">
        <v>2118</v>
      </c>
      <c r="L1497" s="555" t="s">
        <v>3055</v>
      </c>
      <c r="M1497" s="555" t="s">
        <v>3055</v>
      </c>
    </row>
    <row r="1498" spans="3:13" ht="18.75">
      <c r="C1498" s="735"/>
      <c r="D1498" s="555" t="s">
        <v>3271</v>
      </c>
      <c r="E1498" s="757">
        <v>0.9784722222222223</v>
      </c>
      <c r="F1498" s="731">
        <v>43179</v>
      </c>
      <c r="G1498" s="730">
        <v>0.15069444444444444</v>
      </c>
      <c r="H1498" s="555" t="s">
        <v>3273</v>
      </c>
      <c r="I1498" s="555" t="s">
        <v>63</v>
      </c>
      <c r="J1498" s="751" t="s">
        <v>2753</v>
      </c>
      <c r="K1498" s="555" t="s">
        <v>22</v>
      </c>
      <c r="L1498" s="555" t="s">
        <v>3274</v>
      </c>
      <c r="M1498" s="555" t="s">
        <v>3275</v>
      </c>
    </row>
    <row r="1499" spans="3:13" ht="18.75">
      <c r="C1499" s="735"/>
      <c r="D1499" s="555" t="s">
        <v>3272</v>
      </c>
      <c r="E1499" s="757">
        <v>0.79166666666666663</v>
      </c>
      <c r="F1499" s="731">
        <v>43184</v>
      </c>
      <c r="G1499" s="730">
        <v>0.27083333333333331</v>
      </c>
      <c r="H1499" s="555" t="s">
        <v>3277</v>
      </c>
      <c r="I1499" s="555" t="s">
        <v>3143</v>
      </c>
      <c r="J1499" s="751" t="s">
        <v>2753</v>
      </c>
      <c r="K1499" s="555" t="s">
        <v>22</v>
      </c>
      <c r="L1499" s="555" t="s">
        <v>3278</v>
      </c>
      <c r="M1499" s="555" t="s">
        <v>3279</v>
      </c>
    </row>
    <row r="1500" spans="3:13" ht="18.75">
      <c r="C1500" s="735"/>
      <c r="D1500" s="555" t="s">
        <v>3280</v>
      </c>
      <c r="E1500" s="757">
        <v>0.9375</v>
      </c>
      <c r="F1500" s="731">
        <v>43185</v>
      </c>
      <c r="G1500" s="730">
        <v>0.83333333333333337</v>
      </c>
      <c r="H1500" s="555" t="s">
        <v>3256</v>
      </c>
      <c r="I1500" s="555" t="s">
        <v>3143</v>
      </c>
      <c r="J1500" s="751" t="s">
        <v>2753</v>
      </c>
      <c r="K1500" s="555" t="s">
        <v>22</v>
      </c>
      <c r="L1500" s="555" t="s">
        <v>45</v>
      </c>
      <c r="M1500" s="555" t="s">
        <v>3282</v>
      </c>
    </row>
    <row r="1501" spans="3:13" ht="18.75">
      <c r="C1501" s="735"/>
      <c r="D1501" s="555" t="s">
        <v>3281</v>
      </c>
      <c r="E1501" s="757">
        <v>0.12847222222222224</v>
      </c>
      <c r="F1501" s="731">
        <v>43185</v>
      </c>
      <c r="G1501" s="730">
        <v>0.14930555555555555</v>
      </c>
      <c r="H1501" s="555" t="s">
        <v>2945</v>
      </c>
      <c r="I1501" s="555" t="s">
        <v>124</v>
      </c>
      <c r="J1501" s="751" t="s">
        <v>2910</v>
      </c>
      <c r="K1501" s="555" t="s">
        <v>100</v>
      </c>
      <c r="L1501" s="555" t="s">
        <v>3055</v>
      </c>
      <c r="M1501" s="555" t="s">
        <v>3055</v>
      </c>
    </row>
    <row r="1502" spans="3:13" ht="18.75">
      <c r="C1502" s="735"/>
      <c r="D1502" s="555" t="s">
        <v>3283</v>
      </c>
      <c r="E1502" s="757">
        <v>0.625</v>
      </c>
      <c r="F1502" s="731">
        <v>43187</v>
      </c>
      <c r="G1502" s="730">
        <v>0.66666666666666663</v>
      </c>
      <c r="H1502" s="555" t="s">
        <v>3284</v>
      </c>
      <c r="I1502" s="555" t="s">
        <v>124</v>
      </c>
      <c r="J1502" s="751" t="s">
        <v>2910</v>
      </c>
      <c r="K1502" s="555" t="s">
        <v>100</v>
      </c>
      <c r="L1502" s="555" t="s">
        <v>3285</v>
      </c>
      <c r="M1502" s="555" t="s">
        <v>3286</v>
      </c>
    </row>
    <row r="1503" spans="3:13" ht="18.75">
      <c r="C1503" s="735"/>
      <c r="D1503" s="555" t="s">
        <v>3287</v>
      </c>
      <c r="E1503" s="757">
        <v>0.46875</v>
      </c>
      <c r="F1503" s="731">
        <v>43193</v>
      </c>
      <c r="G1503" s="730">
        <v>0.47916666666666669</v>
      </c>
      <c r="H1503" s="555" t="s">
        <v>2945</v>
      </c>
      <c r="I1503" s="555" t="s">
        <v>124</v>
      </c>
      <c r="J1503" s="751" t="s">
        <v>2910</v>
      </c>
      <c r="K1503" s="555" t="s">
        <v>100</v>
      </c>
      <c r="L1503" s="555" t="s">
        <v>3055</v>
      </c>
      <c r="M1503" s="555" t="s">
        <v>3055</v>
      </c>
    </row>
    <row r="1504" spans="3:13" ht="18.75">
      <c r="C1504" s="735"/>
      <c r="D1504" s="555" t="s">
        <v>3288</v>
      </c>
      <c r="E1504" s="757">
        <v>0.6958333333333333</v>
      </c>
      <c r="F1504" s="731">
        <v>43197</v>
      </c>
      <c r="G1504" s="730">
        <v>0.26527777777777778</v>
      </c>
      <c r="H1504" s="555" t="s">
        <v>2868</v>
      </c>
      <c r="I1504" s="555" t="s">
        <v>61</v>
      </c>
      <c r="J1504" s="751" t="s">
        <v>2753</v>
      </c>
      <c r="K1504" s="555" t="s">
        <v>22</v>
      </c>
      <c r="L1504" s="555" t="s">
        <v>45</v>
      </c>
      <c r="M1504" s="555" t="s">
        <v>3290</v>
      </c>
    </row>
    <row r="1505" spans="3:13" ht="18.75">
      <c r="C1505" s="735"/>
      <c r="D1505" s="555" t="s">
        <v>3291</v>
      </c>
      <c r="E1505" s="757">
        <v>3.4722222222222224E-2</v>
      </c>
      <c r="F1505" s="731">
        <v>43195</v>
      </c>
      <c r="G1505" s="730">
        <v>0.66666666666666663</v>
      </c>
      <c r="H1505" s="555" t="s">
        <v>2984</v>
      </c>
      <c r="I1505" s="555" t="s">
        <v>61</v>
      </c>
      <c r="J1505" s="751" t="s">
        <v>2753</v>
      </c>
      <c r="K1505" s="555" t="s">
        <v>22</v>
      </c>
      <c r="L1505" s="555" t="s">
        <v>45</v>
      </c>
      <c r="M1505" s="555" t="s">
        <v>3292</v>
      </c>
    </row>
    <row r="1506" spans="3:13" ht="18.75">
      <c r="C1506" s="735"/>
      <c r="D1506" s="555" t="s">
        <v>3293</v>
      </c>
      <c r="E1506" s="757">
        <v>0.42152777777777778</v>
      </c>
      <c r="F1506" s="731">
        <v>43199</v>
      </c>
      <c r="G1506" s="730">
        <v>0.66666666666666663</v>
      </c>
      <c r="H1506" s="555" t="s">
        <v>3284</v>
      </c>
      <c r="I1506" s="555" t="s">
        <v>124</v>
      </c>
      <c r="J1506" s="751" t="s">
        <v>2910</v>
      </c>
      <c r="K1506" s="555" t="s">
        <v>100</v>
      </c>
      <c r="L1506" s="555" t="s">
        <v>3055</v>
      </c>
      <c r="M1506" s="555" t="s">
        <v>3055</v>
      </c>
    </row>
    <row r="1507" spans="3:13" ht="18.75">
      <c r="C1507" s="735"/>
      <c r="D1507" s="555" t="s">
        <v>3293</v>
      </c>
      <c r="E1507" s="757">
        <v>0.51111111111111118</v>
      </c>
      <c r="F1507" s="731">
        <v>43199</v>
      </c>
      <c r="G1507" s="730">
        <v>0.57777777777777783</v>
      </c>
      <c r="H1507" s="555" t="s">
        <v>2831</v>
      </c>
      <c r="I1507" s="555" t="s">
        <v>124</v>
      </c>
      <c r="J1507" s="751" t="s">
        <v>2769</v>
      </c>
      <c r="K1507" s="555" t="s">
        <v>2483</v>
      </c>
      <c r="L1507" s="555" t="s">
        <v>3294</v>
      </c>
      <c r="M1507" s="555" t="s">
        <v>3295</v>
      </c>
    </row>
    <row r="1508" spans="3:13" ht="18.75">
      <c r="C1508" s="735"/>
      <c r="D1508" s="555" t="s">
        <v>3293</v>
      </c>
      <c r="E1508" s="757">
        <v>0.4694444444444445</v>
      </c>
      <c r="F1508" s="731" t="s">
        <v>45</v>
      </c>
      <c r="G1508" s="730" t="s">
        <v>45</v>
      </c>
      <c r="H1508" s="555" t="s">
        <v>2865</v>
      </c>
      <c r="I1508" s="555" t="s">
        <v>124</v>
      </c>
      <c r="J1508" s="751" t="s">
        <v>2769</v>
      </c>
      <c r="K1508" s="555" t="s">
        <v>2483</v>
      </c>
      <c r="L1508" s="555" t="s">
        <v>3296</v>
      </c>
      <c r="M1508" s="555" t="s">
        <v>3297</v>
      </c>
    </row>
    <row r="1509" spans="3:13" ht="18.75">
      <c r="C1509" s="735"/>
      <c r="D1509" s="555" t="s">
        <v>3293</v>
      </c>
      <c r="E1509" s="757">
        <v>0.96527777777777779</v>
      </c>
      <c r="F1509" s="731">
        <v>43200</v>
      </c>
      <c r="G1509" s="730">
        <v>0.28263888888888888</v>
      </c>
      <c r="H1509" s="555" t="s">
        <v>3299</v>
      </c>
      <c r="I1509" s="555" t="s">
        <v>301</v>
      </c>
      <c r="J1509" s="751" t="s">
        <v>2915</v>
      </c>
      <c r="K1509" s="555" t="s">
        <v>2343</v>
      </c>
      <c r="L1509" s="555" t="s">
        <v>3300</v>
      </c>
      <c r="M1509" s="555" t="s">
        <v>3301</v>
      </c>
    </row>
    <row r="1510" spans="3:13" ht="18.75">
      <c r="C1510" s="735"/>
      <c r="D1510" s="555" t="s">
        <v>3302</v>
      </c>
      <c r="E1510" s="757">
        <v>0.39583333333333331</v>
      </c>
      <c r="F1510" s="731">
        <v>43204</v>
      </c>
      <c r="G1510" s="730">
        <v>0.41666666666666669</v>
      </c>
      <c r="H1510" s="555" t="s">
        <v>3303</v>
      </c>
      <c r="I1510" s="555" t="s">
        <v>63</v>
      </c>
      <c r="J1510" s="751" t="s">
        <v>2753</v>
      </c>
      <c r="K1510" s="555" t="s">
        <v>22</v>
      </c>
      <c r="L1510" s="555" t="s">
        <v>45</v>
      </c>
      <c r="M1510" s="555" t="s">
        <v>3304</v>
      </c>
    </row>
    <row r="1511" spans="3:13" ht="18.75">
      <c r="C1511" s="735"/>
      <c r="D1511" s="555" t="s">
        <v>3305</v>
      </c>
      <c r="E1511" s="757">
        <v>0.3125</v>
      </c>
      <c r="F1511" s="731">
        <v>43208</v>
      </c>
      <c r="G1511" s="730">
        <v>0.3125</v>
      </c>
      <c r="H1511" s="555" t="s">
        <v>3307</v>
      </c>
      <c r="I1511" s="555" t="s">
        <v>3143</v>
      </c>
      <c r="J1511" s="751" t="s">
        <v>2753</v>
      </c>
      <c r="K1511" s="555" t="s">
        <v>22</v>
      </c>
      <c r="L1511" s="555" t="s">
        <v>45</v>
      </c>
      <c r="M1511" s="555" t="s">
        <v>3308</v>
      </c>
    </row>
    <row r="1512" spans="3:13" ht="18.75">
      <c r="C1512" s="735"/>
      <c r="D1512" s="555" t="s">
        <v>3305</v>
      </c>
      <c r="E1512" s="757">
        <v>0.71805555555555556</v>
      </c>
      <c r="F1512" s="731">
        <v>43205</v>
      </c>
      <c r="G1512" s="730">
        <v>0.97569444444444453</v>
      </c>
      <c r="H1512" s="555" t="s">
        <v>2832</v>
      </c>
      <c r="I1512" s="555" t="s">
        <v>63</v>
      </c>
      <c r="J1512" s="751" t="s">
        <v>2753</v>
      </c>
      <c r="K1512" s="555" t="s">
        <v>22</v>
      </c>
      <c r="L1512" s="555" t="s">
        <v>45</v>
      </c>
      <c r="M1512" s="555" t="s">
        <v>3309</v>
      </c>
    </row>
    <row r="1513" spans="3:13" ht="18.75">
      <c r="C1513" s="735"/>
      <c r="D1513" s="555" t="s">
        <v>3310</v>
      </c>
      <c r="E1513" s="757">
        <v>0.61944444444444446</v>
      </c>
      <c r="F1513" s="731">
        <v>43222</v>
      </c>
      <c r="G1513" s="730">
        <v>0.67638888888888893</v>
      </c>
      <c r="H1513" s="555" t="s">
        <v>2928</v>
      </c>
      <c r="I1513" s="555" t="s">
        <v>63</v>
      </c>
      <c r="J1513" s="751" t="s">
        <v>2910</v>
      </c>
      <c r="K1513" s="555" t="s">
        <v>100</v>
      </c>
      <c r="L1513" s="555" t="s">
        <v>3055</v>
      </c>
      <c r="M1513" s="555" t="s">
        <v>3055</v>
      </c>
    </row>
    <row r="1514" spans="3:13" ht="18.75">
      <c r="C1514" s="735"/>
      <c r="D1514" s="555" t="s">
        <v>3311</v>
      </c>
      <c r="E1514" s="757">
        <v>0.58333333333333337</v>
      </c>
      <c r="F1514" s="731">
        <v>43225</v>
      </c>
      <c r="G1514" s="730">
        <v>0.39583333333333331</v>
      </c>
      <c r="H1514" s="555" t="s">
        <v>3313</v>
      </c>
      <c r="I1514" s="555" t="s">
        <v>3143</v>
      </c>
      <c r="J1514" s="751" t="s">
        <v>2753</v>
      </c>
      <c r="K1514" s="555" t="s">
        <v>22</v>
      </c>
      <c r="L1514" s="555" t="s">
        <v>45</v>
      </c>
      <c r="M1514" s="555" t="s">
        <v>3251</v>
      </c>
    </row>
    <row r="1515" spans="3:13" ht="18.75">
      <c r="C1515" s="735"/>
      <c r="D1515" s="555" t="s">
        <v>3311</v>
      </c>
      <c r="E1515" s="757">
        <v>0.5</v>
      </c>
      <c r="F1515" s="731">
        <v>43226</v>
      </c>
      <c r="G1515" s="730">
        <v>0.54166666666666663</v>
      </c>
      <c r="H1515" s="555" t="s">
        <v>3307</v>
      </c>
      <c r="I1515" s="555" t="s">
        <v>3143</v>
      </c>
      <c r="J1515" s="751" t="s">
        <v>2753</v>
      </c>
      <c r="K1515" s="555" t="s">
        <v>22</v>
      </c>
      <c r="L1515" s="555" t="s">
        <v>45</v>
      </c>
      <c r="M1515" s="555" t="s">
        <v>3315</v>
      </c>
    </row>
    <row r="1516" spans="3:13" ht="18.75">
      <c r="C1516" s="735"/>
      <c r="D1516" s="555" t="s">
        <v>3311</v>
      </c>
      <c r="E1516" s="757">
        <v>0.84027777777777779</v>
      </c>
      <c r="F1516" s="731" t="s">
        <v>45</v>
      </c>
      <c r="G1516" s="730" t="s">
        <v>45</v>
      </c>
      <c r="H1516" s="555" t="s">
        <v>2868</v>
      </c>
      <c r="I1516" s="555" t="s">
        <v>61</v>
      </c>
      <c r="J1516" s="751" t="s">
        <v>2753</v>
      </c>
      <c r="K1516" s="555" t="s">
        <v>22</v>
      </c>
      <c r="L1516" s="555" t="s">
        <v>45</v>
      </c>
      <c r="M1516" s="555" t="s">
        <v>3316</v>
      </c>
    </row>
    <row r="1517" spans="3:13" ht="18.75">
      <c r="C1517" s="735"/>
      <c r="D1517" s="555" t="s">
        <v>3311</v>
      </c>
      <c r="E1517" s="757">
        <v>0.96527777777777779</v>
      </c>
      <c r="F1517" s="731">
        <v>43225</v>
      </c>
      <c r="G1517" s="730">
        <v>2.7777777777777776E-2</v>
      </c>
      <c r="H1517" s="555" t="s">
        <v>3317</v>
      </c>
      <c r="I1517" s="555" t="s">
        <v>61</v>
      </c>
      <c r="J1517" s="751" t="s">
        <v>2753</v>
      </c>
      <c r="K1517" s="555" t="s">
        <v>22</v>
      </c>
      <c r="L1517" s="555" t="s">
        <v>45</v>
      </c>
      <c r="M1517" s="555" t="s">
        <v>3318</v>
      </c>
    </row>
    <row r="1518" spans="3:13" ht="18.75">
      <c r="C1518" s="735"/>
      <c r="D1518" s="555" t="s">
        <v>3312</v>
      </c>
      <c r="E1518" s="757">
        <v>0.1875</v>
      </c>
      <c r="F1518" s="731">
        <v>43225</v>
      </c>
      <c r="G1518" s="730">
        <v>0.64583333333333337</v>
      </c>
      <c r="H1518" s="555" t="s">
        <v>3319</v>
      </c>
      <c r="I1518" s="555" t="s">
        <v>61</v>
      </c>
      <c r="J1518" s="751" t="s">
        <v>2753</v>
      </c>
      <c r="K1518" s="555" t="s">
        <v>22</v>
      </c>
      <c r="L1518" s="555" t="s">
        <v>45</v>
      </c>
      <c r="M1518" s="555" t="s">
        <v>3320</v>
      </c>
    </row>
    <row r="1519" spans="3:13" ht="18.75">
      <c r="C1519" s="735"/>
      <c r="D1519" s="623" t="s">
        <v>3321</v>
      </c>
      <c r="E1519" s="758">
        <v>0.4375</v>
      </c>
      <c r="F1519" s="731">
        <v>43227</v>
      </c>
      <c r="G1519" s="730">
        <v>0.44166666666666665</v>
      </c>
      <c r="H1519" s="623" t="s">
        <v>2869</v>
      </c>
      <c r="I1519" s="623" t="s">
        <v>61</v>
      </c>
      <c r="J1519" s="624" t="s">
        <v>2910</v>
      </c>
      <c r="K1519" s="624" t="s">
        <v>2150</v>
      </c>
      <c r="L1519" s="623" t="s">
        <v>3055</v>
      </c>
      <c r="M1519" s="623" t="s">
        <v>3055</v>
      </c>
    </row>
    <row r="1520" spans="3:13" ht="18.75">
      <c r="C1520" s="735"/>
      <c r="D1520" s="623" t="s">
        <v>3322</v>
      </c>
      <c r="E1520" s="758">
        <v>0.66666666666666663</v>
      </c>
      <c r="F1520" s="731">
        <v>43228</v>
      </c>
      <c r="G1520" s="730">
        <v>0.66736111111111107</v>
      </c>
      <c r="H1520" s="623" t="s">
        <v>3323</v>
      </c>
      <c r="I1520" s="623" t="s">
        <v>124</v>
      </c>
      <c r="J1520" s="624" t="s">
        <v>2910</v>
      </c>
      <c r="K1520" s="624" t="s">
        <v>2293</v>
      </c>
      <c r="L1520" s="623" t="s">
        <v>3055</v>
      </c>
      <c r="M1520" s="623" t="s">
        <v>3055</v>
      </c>
    </row>
    <row r="1521" spans="3:13" ht="18.75">
      <c r="C1521" s="735"/>
      <c r="D1521" s="555" t="s">
        <v>3324</v>
      </c>
      <c r="E1521" s="757">
        <v>0.79722222222222217</v>
      </c>
      <c r="F1521" s="731" t="s">
        <v>45</v>
      </c>
      <c r="G1521" s="730" t="s">
        <v>45</v>
      </c>
      <c r="H1521" s="555" t="s">
        <v>3325</v>
      </c>
      <c r="I1521" s="555" t="s">
        <v>63</v>
      </c>
      <c r="J1521" s="751" t="s">
        <v>2753</v>
      </c>
      <c r="K1521" s="555" t="s">
        <v>22</v>
      </c>
      <c r="L1521" s="555" t="s">
        <v>45</v>
      </c>
      <c r="M1521" s="555" t="s">
        <v>3326</v>
      </c>
    </row>
    <row r="1522" spans="3:13" ht="18.75">
      <c r="C1522" s="735"/>
      <c r="D1522" s="555" t="s">
        <v>3327</v>
      </c>
      <c r="E1522" s="757">
        <v>0.61805555555555558</v>
      </c>
      <c r="F1522" s="731" t="s">
        <v>45</v>
      </c>
      <c r="G1522" s="730" t="s">
        <v>45</v>
      </c>
      <c r="H1522" s="555" t="s">
        <v>3328</v>
      </c>
      <c r="I1522" s="555" t="s">
        <v>3143</v>
      </c>
      <c r="J1522" s="751" t="s">
        <v>2753</v>
      </c>
      <c r="K1522" s="555" t="s">
        <v>22</v>
      </c>
      <c r="L1522" s="555" t="s">
        <v>45</v>
      </c>
      <c r="M1522" s="555" t="s">
        <v>3329</v>
      </c>
    </row>
    <row r="1523" spans="3:13" ht="18.75">
      <c r="C1523" s="735"/>
      <c r="D1523" s="555" t="s">
        <v>3327</v>
      </c>
      <c r="E1523" s="757">
        <v>0.66666666666666663</v>
      </c>
      <c r="F1523" s="731" t="s">
        <v>45</v>
      </c>
      <c r="G1523" s="730" t="s">
        <v>45</v>
      </c>
      <c r="H1523" s="555" t="s">
        <v>3330</v>
      </c>
      <c r="I1523" s="555" t="s">
        <v>61</v>
      </c>
      <c r="J1523" s="751" t="s">
        <v>2753</v>
      </c>
      <c r="K1523" s="555" t="s">
        <v>22</v>
      </c>
      <c r="L1523" s="555" t="s">
        <v>45</v>
      </c>
      <c r="M1523" s="555" t="s">
        <v>3331</v>
      </c>
    </row>
    <row r="1524" spans="3:13" ht="18.75">
      <c r="C1524" s="735"/>
      <c r="D1524" s="555" t="s">
        <v>3327</v>
      </c>
      <c r="E1524" s="757">
        <v>0.72569444444444453</v>
      </c>
      <c r="F1524" s="731" t="s">
        <v>45</v>
      </c>
      <c r="G1524" s="730" t="s">
        <v>45</v>
      </c>
      <c r="H1524" s="555" t="s">
        <v>2833</v>
      </c>
      <c r="I1524" s="555" t="s">
        <v>3143</v>
      </c>
      <c r="J1524" s="751" t="s">
        <v>2753</v>
      </c>
      <c r="K1524" s="555" t="s">
        <v>22</v>
      </c>
      <c r="L1524" s="555" t="s">
        <v>45</v>
      </c>
      <c r="M1524" s="555" t="s">
        <v>3332</v>
      </c>
    </row>
    <row r="1525" spans="3:13" ht="18.75">
      <c r="C1525" s="735"/>
      <c r="D1525" s="555" t="s">
        <v>3327</v>
      </c>
      <c r="E1525" s="757">
        <v>0.7597222222222223</v>
      </c>
      <c r="F1525" s="731">
        <v>43235</v>
      </c>
      <c r="G1525" s="730">
        <v>0.79166666666666663</v>
      </c>
      <c r="H1525" s="555" t="s">
        <v>3245</v>
      </c>
      <c r="I1525" s="555" t="s">
        <v>3143</v>
      </c>
      <c r="J1525" s="751" t="s">
        <v>2753</v>
      </c>
      <c r="K1525" s="555" t="s">
        <v>22</v>
      </c>
      <c r="L1525" s="555" t="s">
        <v>45</v>
      </c>
      <c r="M1525" s="555" t="s">
        <v>3333</v>
      </c>
    </row>
    <row r="1526" spans="3:13" ht="18.75">
      <c r="C1526" s="735"/>
      <c r="D1526" s="555" t="s">
        <v>3327</v>
      </c>
      <c r="E1526" s="757">
        <v>0.77430555555555547</v>
      </c>
      <c r="F1526" s="731">
        <v>43238</v>
      </c>
      <c r="G1526" s="730">
        <v>0.6645833333333333</v>
      </c>
      <c r="H1526" s="555" t="s">
        <v>2834</v>
      </c>
      <c r="I1526" s="555" t="s">
        <v>61</v>
      </c>
      <c r="J1526" s="751" t="s">
        <v>2753</v>
      </c>
      <c r="K1526" s="555" t="s">
        <v>22</v>
      </c>
      <c r="L1526" s="555" t="s">
        <v>45</v>
      </c>
      <c r="M1526" s="555" t="s">
        <v>3263</v>
      </c>
    </row>
    <row r="1527" spans="3:13" ht="18.75">
      <c r="C1527" s="735"/>
      <c r="D1527" s="555" t="s">
        <v>3327</v>
      </c>
      <c r="E1527" s="757">
        <v>0.625</v>
      </c>
      <c r="F1527" s="731">
        <v>43238</v>
      </c>
      <c r="G1527" s="730">
        <v>0.57500000000000007</v>
      </c>
      <c r="H1527" s="555" t="s">
        <v>3335</v>
      </c>
      <c r="I1527" s="555" t="s">
        <v>61</v>
      </c>
      <c r="J1527" s="751" t="s">
        <v>2910</v>
      </c>
      <c r="K1527" s="555" t="s">
        <v>100</v>
      </c>
      <c r="L1527" s="555" t="s">
        <v>3055</v>
      </c>
      <c r="M1527" s="555" t="s">
        <v>3055</v>
      </c>
    </row>
    <row r="1528" spans="3:13" ht="18.75">
      <c r="C1528" s="735"/>
      <c r="D1528" s="555" t="s">
        <v>3327</v>
      </c>
      <c r="E1528" s="757">
        <v>0.71875</v>
      </c>
      <c r="F1528" s="731" t="s">
        <v>45</v>
      </c>
      <c r="G1528" s="730" t="s">
        <v>45</v>
      </c>
      <c r="H1528" s="555" t="s">
        <v>2868</v>
      </c>
      <c r="I1528" s="555" t="s">
        <v>61</v>
      </c>
      <c r="J1528" s="751" t="s">
        <v>2753</v>
      </c>
      <c r="K1528" s="555" t="s">
        <v>22</v>
      </c>
      <c r="L1528" s="555" t="s">
        <v>45</v>
      </c>
      <c r="M1528" s="555" t="s">
        <v>3336</v>
      </c>
    </row>
    <row r="1529" spans="3:13" ht="18.75">
      <c r="C1529" s="735"/>
      <c r="D1529" s="555" t="s">
        <v>3337</v>
      </c>
      <c r="E1529" s="757">
        <v>4.9305555555555554E-2</v>
      </c>
      <c r="F1529" s="731" t="s">
        <v>45</v>
      </c>
      <c r="G1529" s="730" t="s">
        <v>45</v>
      </c>
      <c r="H1529" s="555" t="s">
        <v>3338</v>
      </c>
      <c r="I1529" s="555" t="s">
        <v>124</v>
      </c>
      <c r="J1529" s="751" t="s">
        <v>2753</v>
      </c>
      <c r="K1529" s="555" t="s">
        <v>22</v>
      </c>
      <c r="L1529" s="555" t="s">
        <v>3339</v>
      </c>
      <c r="M1529" s="555" t="s">
        <v>3340</v>
      </c>
    </row>
    <row r="1530" spans="3:13" ht="18.75">
      <c r="C1530" s="735"/>
      <c r="D1530" s="555" t="s">
        <v>3337</v>
      </c>
      <c r="E1530" s="757">
        <v>4.9305555555555554E-2</v>
      </c>
      <c r="F1530" s="731">
        <v>43238</v>
      </c>
      <c r="G1530" s="730">
        <v>2.6388888888888889E-2</v>
      </c>
      <c r="H1530" s="555" t="s">
        <v>2945</v>
      </c>
      <c r="I1530" s="555" t="s">
        <v>124</v>
      </c>
      <c r="J1530" s="751" t="s">
        <v>2753</v>
      </c>
      <c r="K1530" s="555" t="s">
        <v>2968</v>
      </c>
      <c r="L1530" s="555" t="s">
        <v>3341</v>
      </c>
      <c r="M1530" s="555" t="s">
        <v>3340</v>
      </c>
    </row>
    <row r="1531" spans="3:13" ht="18.75">
      <c r="C1531" s="735"/>
      <c r="D1531" s="555" t="s">
        <v>3342</v>
      </c>
      <c r="E1531" s="757">
        <v>0.77777777777777779</v>
      </c>
      <c r="F1531" s="731">
        <v>43247</v>
      </c>
      <c r="G1531" s="730">
        <v>0.99305555555555547</v>
      </c>
      <c r="H1531" s="555" t="s">
        <v>2809</v>
      </c>
      <c r="I1531" s="555" t="s">
        <v>1352</v>
      </c>
      <c r="J1531" s="751" t="s">
        <v>2753</v>
      </c>
      <c r="K1531" s="555" t="s">
        <v>22</v>
      </c>
      <c r="L1531" s="555" t="s">
        <v>45</v>
      </c>
      <c r="M1531" s="555" t="s">
        <v>3344</v>
      </c>
    </row>
    <row r="1532" spans="3:13" ht="18.75">
      <c r="C1532" s="735"/>
      <c r="D1532" s="555" t="s">
        <v>3345</v>
      </c>
      <c r="E1532" s="757">
        <v>0.20833333333333334</v>
      </c>
      <c r="F1532" s="731">
        <v>43253</v>
      </c>
      <c r="G1532" s="730">
        <v>0.45833333333333331</v>
      </c>
      <c r="H1532" s="555" t="s">
        <v>3346</v>
      </c>
      <c r="I1532" s="555" t="s">
        <v>3347</v>
      </c>
      <c r="J1532" s="751" t="s">
        <v>2753</v>
      </c>
      <c r="K1532" s="555" t="s">
        <v>22</v>
      </c>
      <c r="L1532" s="555" t="s">
        <v>45</v>
      </c>
      <c r="M1532" s="555" t="s">
        <v>3348</v>
      </c>
    </row>
    <row r="1533" spans="3:13" ht="18.75">
      <c r="C1533" s="735"/>
      <c r="D1533" s="555" t="s">
        <v>3349</v>
      </c>
      <c r="E1533" s="757">
        <v>0.36805555555555558</v>
      </c>
      <c r="F1533" s="731">
        <v>43255</v>
      </c>
      <c r="G1533" s="730">
        <v>0.58333333333333337</v>
      </c>
      <c r="H1533" s="555" t="s">
        <v>3182</v>
      </c>
      <c r="I1533" s="555" t="s">
        <v>301</v>
      </c>
      <c r="J1533" s="751" t="s">
        <v>2910</v>
      </c>
      <c r="K1533" s="555" t="s">
        <v>100</v>
      </c>
      <c r="L1533" s="555" t="s">
        <v>3055</v>
      </c>
      <c r="M1533" s="555" t="s">
        <v>3055</v>
      </c>
    </row>
    <row r="1534" spans="3:13" ht="18.75">
      <c r="C1534" s="735"/>
      <c r="D1534" s="555" t="s">
        <v>3350</v>
      </c>
      <c r="E1534" s="757">
        <v>0.41250000000000003</v>
      </c>
      <c r="F1534" s="731">
        <v>43260</v>
      </c>
      <c r="G1534" s="730">
        <v>0.5083333333333333</v>
      </c>
      <c r="H1534" s="555" t="s">
        <v>2904</v>
      </c>
      <c r="I1534" s="555" t="s">
        <v>63</v>
      </c>
      <c r="J1534" s="751" t="s">
        <v>3351</v>
      </c>
      <c r="K1534" s="555" t="s">
        <v>2764</v>
      </c>
      <c r="L1534" s="555" t="s">
        <v>3055</v>
      </c>
      <c r="M1534" s="555" t="s">
        <v>3055</v>
      </c>
    </row>
    <row r="1535" spans="3:13" ht="18.75">
      <c r="C1535" s="735"/>
      <c r="D1535" s="555" t="s">
        <v>3352</v>
      </c>
      <c r="E1535" s="757">
        <v>0.60069444444444442</v>
      </c>
      <c r="F1535" s="731">
        <v>43262</v>
      </c>
      <c r="G1535" s="730">
        <v>0.24861111111111112</v>
      </c>
      <c r="H1535" s="555" t="s">
        <v>3354</v>
      </c>
      <c r="I1535" s="555" t="s">
        <v>63</v>
      </c>
      <c r="J1535" s="751" t="s">
        <v>3351</v>
      </c>
      <c r="K1535" s="555" t="s">
        <v>2764</v>
      </c>
      <c r="L1535" s="555" t="s">
        <v>45</v>
      </c>
      <c r="M1535" s="555" t="s">
        <v>45</v>
      </c>
    </row>
    <row r="1536" spans="3:13" ht="18.75">
      <c r="C1536" s="735"/>
      <c r="D1536" s="555" t="s">
        <v>3355</v>
      </c>
      <c r="E1536" s="757">
        <v>0.67708333333333337</v>
      </c>
      <c r="F1536" s="731" t="s">
        <v>45</v>
      </c>
      <c r="G1536" s="730" t="s">
        <v>45</v>
      </c>
      <c r="H1536" s="555" t="s">
        <v>2817</v>
      </c>
      <c r="I1536" s="555" t="s">
        <v>124</v>
      </c>
      <c r="J1536" s="751" t="s">
        <v>3356</v>
      </c>
      <c r="K1536" s="555" t="s">
        <v>100</v>
      </c>
      <c r="L1536" s="555" t="s">
        <v>3055</v>
      </c>
      <c r="M1536" s="555" t="s">
        <v>3055</v>
      </c>
    </row>
    <row r="1537" spans="3:13" ht="18.75">
      <c r="C1537" s="735"/>
      <c r="D1537" s="555" t="s">
        <v>3355</v>
      </c>
      <c r="E1537" s="757">
        <v>0.625</v>
      </c>
      <c r="F1537" s="731">
        <v>43263</v>
      </c>
      <c r="G1537" s="730">
        <v>0.63541666666666663</v>
      </c>
      <c r="H1537" s="555" t="s">
        <v>3357</v>
      </c>
      <c r="I1537" s="555" t="s">
        <v>124</v>
      </c>
      <c r="J1537" s="751" t="s">
        <v>3356</v>
      </c>
      <c r="K1537" s="555" t="s">
        <v>100</v>
      </c>
      <c r="L1537" s="555" t="s">
        <v>3055</v>
      </c>
      <c r="M1537" s="555" t="s">
        <v>3055</v>
      </c>
    </row>
    <row r="1538" spans="3:13" ht="18.75">
      <c r="C1538" s="735"/>
      <c r="D1538" s="555" t="s">
        <v>3358</v>
      </c>
      <c r="E1538" s="757">
        <v>0.76388888888888884</v>
      </c>
      <c r="F1538" s="731">
        <v>43270</v>
      </c>
      <c r="G1538" s="730">
        <v>1.0416666666666666E-2</v>
      </c>
      <c r="H1538" s="555" t="s">
        <v>2984</v>
      </c>
      <c r="I1538" s="555" t="s">
        <v>61</v>
      </c>
      <c r="J1538" s="751" t="s">
        <v>2753</v>
      </c>
      <c r="K1538" s="555" t="s">
        <v>22</v>
      </c>
      <c r="L1538" s="555" t="s">
        <v>45</v>
      </c>
      <c r="M1538" s="555" t="s">
        <v>3360</v>
      </c>
    </row>
    <row r="1539" spans="3:13" ht="18.75">
      <c r="C1539" s="735"/>
      <c r="D1539" s="555" t="s">
        <v>3361</v>
      </c>
      <c r="E1539" s="757">
        <v>0.95694444444444438</v>
      </c>
      <c r="F1539" s="731">
        <v>43272</v>
      </c>
      <c r="G1539" s="730">
        <v>0.25347222222222221</v>
      </c>
      <c r="H1539" s="555" t="s">
        <v>3299</v>
      </c>
      <c r="I1539" s="555" t="s">
        <v>301</v>
      </c>
      <c r="J1539" s="751" t="s">
        <v>3363</v>
      </c>
      <c r="K1539" s="555" t="s">
        <v>2483</v>
      </c>
      <c r="L1539" s="555" t="s">
        <v>3364</v>
      </c>
      <c r="M1539" s="555" t="s">
        <v>3301</v>
      </c>
    </row>
    <row r="1540" spans="3:13" ht="18.75">
      <c r="C1540" s="735"/>
      <c r="D1540" s="555" t="s">
        <v>3365</v>
      </c>
      <c r="E1540" s="757">
        <v>0.60972222222222217</v>
      </c>
      <c r="F1540" s="731" t="s">
        <v>45</v>
      </c>
      <c r="G1540" s="730" t="s">
        <v>45</v>
      </c>
      <c r="H1540" s="555" t="s">
        <v>2853</v>
      </c>
      <c r="I1540" s="555" t="s">
        <v>124</v>
      </c>
      <c r="J1540" s="751" t="s">
        <v>3366</v>
      </c>
      <c r="K1540" s="555" t="s">
        <v>22</v>
      </c>
      <c r="L1540" s="555" t="s">
        <v>3367</v>
      </c>
      <c r="M1540" s="555" t="s">
        <v>3368</v>
      </c>
    </row>
    <row r="1541" spans="3:13" ht="18.75">
      <c r="C1541" s="735"/>
      <c r="D1541" s="555" t="s">
        <v>3369</v>
      </c>
      <c r="E1541" s="757">
        <v>0.60416666666666663</v>
      </c>
      <c r="F1541" s="731">
        <v>43278</v>
      </c>
      <c r="G1541" s="730">
        <v>0.60625000000000007</v>
      </c>
      <c r="H1541" s="555" t="s">
        <v>3370</v>
      </c>
      <c r="I1541" s="555" t="s">
        <v>61</v>
      </c>
      <c r="J1541" s="751" t="s">
        <v>3371</v>
      </c>
      <c r="K1541" s="555" t="s">
        <v>2118</v>
      </c>
      <c r="L1541" s="555" t="s">
        <v>3055</v>
      </c>
      <c r="M1541" s="555" t="s">
        <v>3055</v>
      </c>
    </row>
    <row r="1542" spans="3:13" ht="18.75">
      <c r="C1542" s="735"/>
      <c r="D1542" s="555" t="s">
        <v>3372</v>
      </c>
      <c r="E1542" s="757">
        <v>0.77500000000000002</v>
      </c>
      <c r="F1542" s="731">
        <v>43282</v>
      </c>
      <c r="G1542" s="730">
        <v>0.29166666666666669</v>
      </c>
      <c r="H1542" s="555" t="s">
        <v>3374</v>
      </c>
      <c r="I1542" s="555" t="s">
        <v>63</v>
      </c>
      <c r="J1542" s="751" t="s">
        <v>2753</v>
      </c>
      <c r="K1542" s="555" t="s">
        <v>22</v>
      </c>
      <c r="L1542" s="555" t="s">
        <v>45</v>
      </c>
      <c r="M1542" s="555" t="s">
        <v>3326</v>
      </c>
    </row>
    <row r="1543" spans="3:13" ht="18.75">
      <c r="C1543" s="735"/>
      <c r="D1543" s="555" t="s">
        <v>3372</v>
      </c>
      <c r="E1543" s="757">
        <v>0.61805555555555558</v>
      </c>
      <c r="F1543" s="731">
        <v>43280</v>
      </c>
      <c r="G1543" s="730">
        <v>0.375</v>
      </c>
      <c r="H1543" s="555" t="s">
        <v>3273</v>
      </c>
      <c r="I1543" s="555" t="s">
        <v>63</v>
      </c>
      <c r="J1543" s="751" t="s">
        <v>2753</v>
      </c>
      <c r="K1543" s="555" t="s">
        <v>22</v>
      </c>
      <c r="L1543" s="555" t="s">
        <v>3376</v>
      </c>
      <c r="M1543" s="555" t="s">
        <v>3377</v>
      </c>
    </row>
    <row r="1544" spans="3:13" ht="18.75">
      <c r="C1544" s="735"/>
      <c r="D1544" s="555" t="s">
        <v>3375</v>
      </c>
      <c r="E1544" s="757">
        <v>0.31597222222222221</v>
      </c>
      <c r="F1544" s="731">
        <v>43280</v>
      </c>
      <c r="G1544" s="730">
        <v>0.39583333333333331</v>
      </c>
      <c r="H1544" s="555" t="s">
        <v>3378</v>
      </c>
      <c r="I1544" s="555" t="s">
        <v>674</v>
      </c>
      <c r="J1544" s="751" t="s">
        <v>3379</v>
      </c>
      <c r="K1544" s="555" t="s">
        <v>22</v>
      </c>
      <c r="L1544" s="555" t="s">
        <v>3380</v>
      </c>
      <c r="M1544" s="555" t="s">
        <v>45</v>
      </c>
    </row>
    <row r="1545" spans="3:13" ht="18.75">
      <c r="C1545" s="735"/>
      <c r="D1545" s="555" t="s">
        <v>3375</v>
      </c>
      <c r="E1545" s="757">
        <v>0.15138888888888888</v>
      </c>
      <c r="F1545" s="731" t="s">
        <v>45</v>
      </c>
      <c r="G1545" s="730" t="s">
        <v>45</v>
      </c>
      <c r="H1545" s="555" t="s">
        <v>3354</v>
      </c>
      <c r="I1545" s="555" t="s">
        <v>63</v>
      </c>
      <c r="J1545" s="751" t="s">
        <v>3381</v>
      </c>
      <c r="K1545" s="555" t="s">
        <v>2764</v>
      </c>
      <c r="L1545" s="555" t="s">
        <v>45</v>
      </c>
      <c r="M1545" s="555" t="s">
        <v>45</v>
      </c>
    </row>
    <row r="1546" spans="3:13" ht="18.75">
      <c r="C1546" s="735"/>
      <c r="D1546" s="555" t="s">
        <v>3382</v>
      </c>
      <c r="E1546" s="757">
        <v>0.52083333333333337</v>
      </c>
      <c r="F1546" s="731">
        <v>43281</v>
      </c>
      <c r="G1546" s="730">
        <v>0.52152777777777781</v>
      </c>
      <c r="H1546" s="555" t="s">
        <v>2967</v>
      </c>
      <c r="I1546" s="555" t="s">
        <v>124</v>
      </c>
      <c r="J1546" s="751" t="s">
        <v>3356</v>
      </c>
      <c r="K1546" s="555" t="s">
        <v>100</v>
      </c>
      <c r="L1546" s="555" t="s">
        <v>3055</v>
      </c>
      <c r="M1546" s="555" t="s">
        <v>3055</v>
      </c>
    </row>
    <row r="1547" spans="3:13" ht="18.75">
      <c r="C1547" s="735"/>
      <c r="D1547" s="555" t="s">
        <v>3382</v>
      </c>
      <c r="E1547" s="757">
        <v>0.44791666666666669</v>
      </c>
      <c r="F1547" s="731">
        <v>43281</v>
      </c>
      <c r="G1547" s="730">
        <v>0.4777777777777778</v>
      </c>
      <c r="H1547" s="555" t="s">
        <v>3383</v>
      </c>
      <c r="I1547" s="555" t="s">
        <v>1352</v>
      </c>
      <c r="J1547" s="751" t="s">
        <v>3381</v>
      </c>
      <c r="K1547" s="555" t="s">
        <v>2764</v>
      </c>
      <c r="L1547" s="555" t="s">
        <v>3055</v>
      </c>
      <c r="M1547" s="555" t="s">
        <v>3055</v>
      </c>
    </row>
    <row r="1548" spans="3:13" ht="18.75">
      <c r="C1548" s="735"/>
      <c r="D1548" s="555" t="s">
        <v>3384</v>
      </c>
      <c r="E1548" s="757">
        <v>0.91666666666666663</v>
      </c>
      <c r="F1548" s="731">
        <v>43285</v>
      </c>
      <c r="G1548" s="730">
        <v>0.9375</v>
      </c>
      <c r="H1548" s="555" t="s">
        <v>3385</v>
      </c>
      <c r="I1548" s="555" t="s">
        <v>124</v>
      </c>
      <c r="J1548" s="751" t="s">
        <v>3356</v>
      </c>
      <c r="K1548" s="555" t="s">
        <v>100</v>
      </c>
      <c r="L1548" s="555" t="s">
        <v>45</v>
      </c>
      <c r="M1548" s="555" t="s">
        <v>3386</v>
      </c>
    </row>
    <row r="1549" spans="3:13" ht="18.75">
      <c r="C1549" s="735"/>
      <c r="D1549" s="555" t="s">
        <v>3384</v>
      </c>
      <c r="E1549" s="757">
        <v>0.74583333333333324</v>
      </c>
      <c r="F1549" s="731">
        <v>43285</v>
      </c>
      <c r="G1549" s="730">
        <v>0.80555555555555547</v>
      </c>
      <c r="H1549" s="555" t="s">
        <v>3189</v>
      </c>
      <c r="I1549" s="555" t="s">
        <v>63</v>
      </c>
      <c r="J1549" s="751" t="s">
        <v>3387</v>
      </c>
      <c r="K1549" s="555" t="s">
        <v>2764</v>
      </c>
      <c r="L1549" s="555" t="s">
        <v>3055</v>
      </c>
      <c r="M1549" s="555" t="s">
        <v>3055</v>
      </c>
    </row>
    <row r="1550" spans="3:13" ht="18.75">
      <c r="C1550" s="735"/>
      <c r="D1550" s="555" t="s">
        <v>3388</v>
      </c>
      <c r="E1550" s="757">
        <v>0.54861111111111105</v>
      </c>
      <c r="F1550" s="731">
        <v>43290</v>
      </c>
      <c r="G1550" s="730">
        <v>0.61458333333333337</v>
      </c>
      <c r="H1550" s="555" t="s">
        <v>3389</v>
      </c>
      <c r="I1550" s="555" t="s">
        <v>124</v>
      </c>
      <c r="J1550" s="751" t="s">
        <v>3387</v>
      </c>
      <c r="K1550" s="555" t="s">
        <v>2764</v>
      </c>
      <c r="L1550" s="555" t="s">
        <v>3055</v>
      </c>
      <c r="M1550" s="555" t="s">
        <v>3055</v>
      </c>
    </row>
    <row r="1551" spans="3:13" ht="18.75">
      <c r="C1551" s="735"/>
      <c r="D1551" s="555" t="s">
        <v>3390</v>
      </c>
      <c r="E1551" s="757">
        <v>0.65277777777777779</v>
      </c>
      <c r="F1551" s="731">
        <v>43292</v>
      </c>
      <c r="G1551" s="730">
        <v>0.66666666666666663</v>
      </c>
      <c r="H1551" s="555" t="s">
        <v>3189</v>
      </c>
      <c r="I1551" s="555" t="s">
        <v>63</v>
      </c>
      <c r="J1551" s="751" t="s">
        <v>3379</v>
      </c>
      <c r="K1551" s="555" t="s">
        <v>2483</v>
      </c>
      <c r="L1551" s="555" t="s">
        <v>3391</v>
      </c>
      <c r="M1551" s="555" t="s">
        <v>3392</v>
      </c>
    </row>
    <row r="1552" spans="3:13" ht="18.75">
      <c r="C1552" s="735"/>
      <c r="D1552" s="555" t="s">
        <v>3390</v>
      </c>
      <c r="E1552" s="757">
        <v>4.027777777777778E-2</v>
      </c>
      <c r="F1552" s="731" t="s">
        <v>45</v>
      </c>
      <c r="G1552" s="730" t="s">
        <v>45</v>
      </c>
      <c r="H1552" s="555" t="s">
        <v>2945</v>
      </c>
      <c r="I1552" s="555" t="s">
        <v>124</v>
      </c>
      <c r="J1552" s="751" t="s">
        <v>2780</v>
      </c>
      <c r="K1552" s="555" t="s">
        <v>1138</v>
      </c>
      <c r="L1552" s="555" t="s">
        <v>3055</v>
      </c>
      <c r="M1552" s="555" t="s">
        <v>3055</v>
      </c>
    </row>
    <row r="1553" spans="3:13" ht="18.75">
      <c r="C1553" s="735"/>
      <c r="D1553" s="555" t="s">
        <v>3393</v>
      </c>
      <c r="E1553" s="757">
        <v>0.43055555555555558</v>
      </c>
      <c r="F1553" s="731" t="s">
        <v>45</v>
      </c>
      <c r="G1553" s="730" t="s">
        <v>45</v>
      </c>
      <c r="H1553" s="555" t="s">
        <v>2895</v>
      </c>
      <c r="I1553" s="555" t="s">
        <v>3143</v>
      </c>
      <c r="J1553" s="751" t="s">
        <v>3387</v>
      </c>
      <c r="K1553" s="555" t="s">
        <v>2764</v>
      </c>
      <c r="L1553" s="555" t="s">
        <v>45</v>
      </c>
      <c r="M1553" s="555" t="s">
        <v>45</v>
      </c>
    </row>
    <row r="1554" spans="3:13" ht="18.75">
      <c r="C1554" s="735"/>
      <c r="D1554" s="555" t="s">
        <v>3394</v>
      </c>
      <c r="E1554" s="757">
        <v>0.21875</v>
      </c>
      <c r="F1554" s="731" t="s">
        <v>45</v>
      </c>
      <c r="G1554" s="730" t="s">
        <v>45</v>
      </c>
      <c r="H1554" s="555" t="s">
        <v>2953</v>
      </c>
      <c r="I1554" s="555" t="s">
        <v>124</v>
      </c>
      <c r="J1554" s="751" t="s">
        <v>2780</v>
      </c>
      <c r="K1554" s="555" t="s">
        <v>1138</v>
      </c>
      <c r="L1554" s="555" t="s">
        <v>3055</v>
      </c>
      <c r="M1554" s="555" t="s">
        <v>3055</v>
      </c>
    </row>
    <row r="1555" spans="3:13" ht="18.75">
      <c r="C1555" s="735"/>
      <c r="D1555" s="555" t="s">
        <v>3395</v>
      </c>
      <c r="E1555" s="757">
        <v>0.72777777777777775</v>
      </c>
      <c r="F1555" s="731">
        <v>43299</v>
      </c>
      <c r="G1555" s="730">
        <v>0.72986111111111107</v>
      </c>
      <c r="H1555" s="555" t="s">
        <v>2933</v>
      </c>
      <c r="I1555" s="555" t="s">
        <v>124</v>
      </c>
      <c r="J1555" s="751" t="s">
        <v>3396</v>
      </c>
      <c r="K1555" s="555" t="s">
        <v>2990</v>
      </c>
      <c r="L1555" s="555" t="s">
        <v>45</v>
      </c>
      <c r="M1555" s="555" t="s">
        <v>45</v>
      </c>
    </row>
    <row r="1556" spans="3:13" ht="18.75">
      <c r="C1556" s="735"/>
      <c r="D1556" s="555" t="s">
        <v>3395</v>
      </c>
      <c r="E1556" s="757">
        <v>0.16666666666666666</v>
      </c>
      <c r="F1556" s="731" t="s">
        <v>45</v>
      </c>
      <c r="G1556" s="730" t="s">
        <v>45</v>
      </c>
      <c r="H1556" s="555" t="s">
        <v>3397</v>
      </c>
      <c r="I1556" s="555" t="s">
        <v>124</v>
      </c>
      <c r="J1556" s="751" t="s">
        <v>2780</v>
      </c>
      <c r="K1556" s="555" t="s">
        <v>1138</v>
      </c>
      <c r="L1556" s="555" t="s">
        <v>3055</v>
      </c>
      <c r="M1556" s="555" t="s">
        <v>3055</v>
      </c>
    </row>
    <row r="1557" spans="3:13" ht="18.75">
      <c r="C1557" s="735"/>
      <c r="D1557" s="555" t="s">
        <v>3398</v>
      </c>
      <c r="E1557" s="757">
        <v>0.85069444444444453</v>
      </c>
      <c r="F1557" s="731" t="s">
        <v>45</v>
      </c>
      <c r="G1557" s="730" t="s">
        <v>45</v>
      </c>
      <c r="H1557" s="555" t="s">
        <v>3354</v>
      </c>
      <c r="I1557" s="555" t="s">
        <v>63</v>
      </c>
      <c r="J1557" s="751" t="s">
        <v>3387</v>
      </c>
      <c r="K1557" s="555" t="s">
        <v>2764</v>
      </c>
      <c r="L1557" s="555" t="s">
        <v>45</v>
      </c>
      <c r="M1557" s="555" t="s">
        <v>45</v>
      </c>
    </row>
    <row r="1558" spans="3:13" ht="18.75">
      <c r="C1558" s="735"/>
      <c r="D1558" s="555" t="s">
        <v>3398</v>
      </c>
      <c r="E1558" s="757">
        <v>0.52638888888888891</v>
      </c>
      <c r="F1558" s="731">
        <v>43300</v>
      </c>
      <c r="G1558" s="730">
        <v>0.55694444444444446</v>
      </c>
      <c r="H1558" s="555" t="s">
        <v>3399</v>
      </c>
      <c r="I1558" s="555" t="s">
        <v>63</v>
      </c>
      <c r="J1558" s="751" t="s">
        <v>3387</v>
      </c>
      <c r="K1558" s="555" t="s">
        <v>2764</v>
      </c>
      <c r="L1558" s="555" t="s">
        <v>3055</v>
      </c>
      <c r="M1558" s="555" t="s">
        <v>3055</v>
      </c>
    </row>
    <row r="1559" spans="3:13" ht="18.75">
      <c r="C1559" s="735"/>
      <c r="D1559" s="555" t="s">
        <v>3400</v>
      </c>
      <c r="E1559" s="757">
        <v>0.53194444444444444</v>
      </c>
      <c r="F1559" s="731">
        <v>43301</v>
      </c>
      <c r="G1559" s="730">
        <v>0.5625</v>
      </c>
      <c r="H1559" s="555" t="s">
        <v>3401</v>
      </c>
      <c r="I1559" s="555" t="s">
        <v>61</v>
      </c>
      <c r="J1559" s="751" t="s">
        <v>3402</v>
      </c>
      <c r="K1559" s="555" t="s">
        <v>2764</v>
      </c>
      <c r="L1559" s="555" t="s">
        <v>3055</v>
      </c>
      <c r="M1559" s="555" t="s">
        <v>3055</v>
      </c>
    </row>
    <row r="1560" spans="3:13" ht="18.75">
      <c r="C1560" s="735"/>
      <c r="D1560" s="555" t="s">
        <v>3400</v>
      </c>
      <c r="E1560" s="757">
        <v>0.67986111111111114</v>
      </c>
      <c r="F1560" s="731">
        <v>43301</v>
      </c>
      <c r="G1560" s="730">
        <v>0.70000000000000007</v>
      </c>
      <c r="H1560" s="555" t="s">
        <v>3354</v>
      </c>
      <c r="I1560" s="555" t="s">
        <v>63</v>
      </c>
      <c r="J1560" s="751" t="s">
        <v>2753</v>
      </c>
      <c r="K1560" s="555" t="s">
        <v>22</v>
      </c>
      <c r="L1560" s="555" t="s">
        <v>45</v>
      </c>
      <c r="M1560" s="555" t="s">
        <v>3403</v>
      </c>
    </row>
    <row r="1561" spans="3:13" ht="18.75">
      <c r="C1561" s="735"/>
      <c r="D1561" s="555" t="s">
        <v>3404</v>
      </c>
      <c r="E1561" s="757">
        <v>0.19791666666666666</v>
      </c>
      <c r="F1561" s="731">
        <v>43302</v>
      </c>
      <c r="G1561" s="730">
        <v>0.46875</v>
      </c>
      <c r="H1561" s="555" t="s">
        <v>3405</v>
      </c>
      <c r="I1561" s="555" t="s">
        <v>63</v>
      </c>
      <c r="J1561" s="751" t="s">
        <v>2753</v>
      </c>
      <c r="K1561" s="555" t="s">
        <v>22</v>
      </c>
      <c r="L1561" s="555" t="s">
        <v>45</v>
      </c>
      <c r="M1561" s="555" t="s">
        <v>3406</v>
      </c>
    </row>
    <row r="1562" spans="3:13" ht="18.75">
      <c r="C1562" s="735"/>
      <c r="D1562" s="555" t="s">
        <v>3404</v>
      </c>
      <c r="E1562" s="757">
        <v>0.30555555555555552</v>
      </c>
      <c r="F1562" s="731">
        <v>43302</v>
      </c>
      <c r="G1562" s="730">
        <v>0.47916666666666669</v>
      </c>
      <c r="H1562" s="555" t="s">
        <v>2904</v>
      </c>
      <c r="I1562" s="555" t="s">
        <v>63</v>
      </c>
      <c r="J1562" s="751" t="s">
        <v>2753</v>
      </c>
      <c r="K1562" s="555" t="s">
        <v>22</v>
      </c>
      <c r="L1562" s="555" t="s">
        <v>3407</v>
      </c>
      <c r="M1562" s="555" t="s">
        <v>3408</v>
      </c>
    </row>
    <row r="1563" spans="3:13" ht="18.75">
      <c r="C1563" s="735"/>
      <c r="D1563" s="555" t="s">
        <v>3409</v>
      </c>
      <c r="E1563" s="757">
        <v>0.17777777777777778</v>
      </c>
      <c r="F1563" s="731">
        <v>43304</v>
      </c>
      <c r="G1563" s="730">
        <v>0.18680555555555556</v>
      </c>
      <c r="H1563" s="555" t="s">
        <v>3410</v>
      </c>
      <c r="I1563" s="555" t="s">
        <v>301</v>
      </c>
      <c r="J1563" s="751" t="s">
        <v>3411</v>
      </c>
      <c r="K1563" s="555" t="s">
        <v>2990</v>
      </c>
      <c r="L1563" s="555" t="s">
        <v>3412</v>
      </c>
      <c r="M1563" s="555" t="s">
        <v>45</v>
      </c>
    </row>
    <row r="1564" spans="3:13" ht="18.75">
      <c r="C1564" s="735"/>
      <c r="D1564" s="555" t="s">
        <v>3413</v>
      </c>
      <c r="E1564" s="757">
        <v>0.85</v>
      </c>
      <c r="F1564" s="731" t="s">
        <v>45</v>
      </c>
      <c r="G1564" s="730" t="s">
        <v>45</v>
      </c>
      <c r="H1564" s="555" t="s">
        <v>3414</v>
      </c>
      <c r="I1564" s="555" t="s">
        <v>124</v>
      </c>
      <c r="J1564" s="751" t="s">
        <v>3415</v>
      </c>
      <c r="K1564" s="555" t="s">
        <v>3416</v>
      </c>
      <c r="L1564" s="555" t="s">
        <v>45</v>
      </c>
      <c r="M1564" s="555" t="s">
        <v>45</v>
      </c>
    </row>
    <row r="1565" spans="3:13" ht="18.75">
      <c r="C1565" s="735"/>
      <c r="D1565" s="555" t="s">
        <v>3417</v>
      </c>
      <c r="E1565" s="757">
        <v>0.68611111111111101</v>
      </c>
      <c r="F1565" s="731">
        <v>43308</v>
      </c>
      <c r="G1565" s="730">
        <v>0.68958333333333333</v>
      </c>
      <c r="H1565" s="555" t="s">
        <v>3370</v>
      </c>
      <c r="I1565" s="555" t="s">
        <v>61</v>
      </c>
      <c r="J1565" s="751" t="s">
        <v>3411</v>
      </c>
      <c r="K1565" s="555" t="s">
        <v>2990</v>
      </c>
      <c r="L1565" s="555" t="s">
        <v>3055</v>
      </c>
      <c r="M1565" s="555" t="s">
        <v>3055</v>
      </c>
    </row>
    <row r="1566" spans="3:13" ht="18.75">
      <c r="C1566" s="735"/>
      <c r="D1566" s="555" t="s">
        <v>3417</v>
      </c>
      <c r="E1566" s="757">
        <v>0.39861111111111108</v>
      </c>
      <c r="F1566" s="731">
        <v>43308</v>
      </c>
      <c r="G1566" s="730">
        <v>0.41041666666666665</v>
      </c>
      <c r="H1566" s="555" t="s">
        <v>2862</v>
      </c>
      <c r="I1566" s="555" t="s">
        <v>124</v>
      </c>
      <c r="J1566" s="751" t="s">
        <v>3366</v>
      </c>
      <c r="K1566" s="555" t="s">
        <v>2764</v>
      </c>
      <c r="L1566" s="555" t="s">
        <v>45</v>
      </c>
      <c r="M1566" s="555" t="s">
        <v>45</v>
      </c>
    </row>
    <row r="1567" spans="3:13" ht="18.75">
      <c r="C1567" s="735"/>
      <c r="D1567" s="555" t="s">
        <v>3418</v>
      </c>
      <c r="E1567" s="757">
        <v>0.96597222222222223</v>
      </c>
      <c r="F1567" s="731">
        <v>43310</v>
      </c>
      <c r="G1567" s="730">
        <v>7.7083333333333337E-2</v>
      </c>
      <c r="H1567" s="555" t="s">
        <v>3420</v>
      </c>
      <c r="I1567" s="555" t="s">
        <v>124</v>
      </c>
      <c r="J1567" s="751" t="s">
        <v>3387</v>
      </c>
      <c r="K1567" s="555" t="s">
        <v>2764</v>
      </c>
      <c r="L1567" s="555" t="s">
        <v>3055</v>
      </c>
      <c r="M1567" s="555" t="s">
        <v>3055</v>
      </c>
    </row>
    <row r="1568" spans="3:13" ht="18.75">
      <c r="C1568" s="735"/>
      <c r="D1568" s="555" t="s">
        <v>3419</v>
      </c>
      <c r="E1568" s="757">
        <v>0.60625000000000007</v>
      </c>
      <c r="F1568" s="731">
        <v>43310</v>
      </c>
      <c r="G1568" s="730">
        <v>0.76597222222222217</v>
      </c>
      <c r="H1568" s="555" t="s">
        <v>2945</v>
      </c>
      <c r="I1568" s="555" t="s">
        <v>124</v>
      </c>
      <c r="J1568" s="751" t="s">
        <v>2753</v>
      </c>
      <c r="K1568" s="555" t="s">
        <v>3416</v>
      </c>
      <c r="L1568" s="555" t="s">
        <v>3421</v>
      </c>
      <c r="M1568" s="555" t="s">
        <v>3422</v>
      </c>
    </row>
    <row r="1569" spans="3:13" ht="18.75">
      <c r="C1569" s="735"/>
      <c r="D1569" s="555" t="s">
        <v>3423</v>
      </c>
      <c r="E1569" s="757">
        <v>0.27083333333333331</v>
      </c>
      <c r="F1569" s="731">
        <v>43311</v>
      </c>
      <c r="G1569" s="730">
        <v>0.95833333333333337</v>
      </c>
      <c r="H1569" s="555" t="s">
        <v>3424</v>
      </c>
      <c r="I1569" s="555" t="s">
        <v>124</v>
      </c>
      <c r="J1569" s="751" t="s">
        <v>2753</v>
      </c>
      <c r="K1569" s="555" t="s">
        <v>22</v>
      </c>
      <c r="L1569" s="555" t="s">
        <v>45</v>
      </c>
      <c r="M1569" s="555" t="s">
        <v>3075</v>
      </c>
    </row>
    <row r="1570" spans="3:13" ht="18.75">
      <c r="C1570" s="735"/>
      <c r="D1570" s="555" t="s">
        <v>3425</v>
      </c>
      <c r="E1570" s="757">
        <v>0.48888888888888887</v>
      </c>
      <c r="F1570" s="731">
        <v>43312</v>
      </c>
      <c r="G1570" s="730">
        <v>0.59513888888888888</v>
      </c>
      <c r="H1570" s="555" t="s">
        <v>3357</v>
      </c>
      <c r="I1570" s="555" t="s">
        <v>124</v>
      </c>
      <c r="J1570" s="751" t="s">
        <v>3356</v>
      </c>
      <c r="K1570" s="555" t="s">
        <v>2118</v>
      </c>
      <c r="L1570" s="555" t="s">
        <v>45</v>
      </c>
      <c r="M1570" s="555" t="s">
        <v>45</v>
      </c>
    </row>
    <row r="1571" spans="3:13" ht="18.75">
      <c r="C1571" s="735"/>
      <c r="D1571" s="555" t="s">
        <v>3426</v>
      </c>
      <c r="E1571" s="757">
        <v>0.38263888888888892</v>
      </c>
      <c r="F1571" s="731">
        <v>43313</v>
      </c>
      <c r="G1571" s="730">
        <v>0.45555555555555555</v>
      </c>
      <c r="H1571" s="555" t="s">
        <v>3427</v>
      </c>
      <c r="I1571" s="555" t="s">
        <v>124</v>
      </c>
      <c r="J1571" s="751" t="s">
        <v>3428</v>
      </c>
      <c r="K1571" s="555" t="s">
        <v>100</v>
      </c>
      <c r="L1571" s="555" t="s">
        <v>3055</v>
      </c>
      <c r="M1571" s="555" t="s">
        <v>3055</v>
      </c>
    </row>
    <row r="1572" spans="3:13" ht="18.75">
      <c r="C1572" s="735"/>
      <c r="D1572" s="555" t="s">
        <v>3429</v>
      </c>
      <c r="E1572" s="757">
        <v>0.34722222222222227</v>
      </c>
      <c r="F1572" s="731">
        <v>43316</v>
      </c>
      <c r="G1572" s="730">
        <v>0.34791666666666665</v>
      </c>
      <c r="H1572" s="555" t="s">
        <v>3357</v>
      </c>
      <c r="I1572" s="555" t="s">
        <v>124</v>
      </c>
      <c r="J1572" s="751" t="s">
        <v>3356</v>
      </c>
      <c r="K1572" s="555" t="s">
        <v>100</v>
      </c>
      <c r="L1572" s="555" t="s">
        <v>45</v>
      </c>
      <c r="M1572" s="555" t="s">
        <v>45</v>
      </c>
    </row>
    <row r="1573" spans="3:13" ht="18.75">
      <c r="C1573" s="735"/>
      <c r="D1573" s="555" t="s">
        <v>3430</v>
      </c>
      <c r="E1573" s="757">
        <v>5.6944444444444443E-2</v>
      </c>
      <c r="F1573" s="731">
        <v>43319</v>
      </c>
      <c r="G1573" s="730">
        <v>8.2638888888888887E-2</v>
      </c>
      <c r="H1573" s="555" t="s">
        <v>2894</v>
      </c>
      <c r="I1573" s="555" t="s">
        <v>124</v>
      </c>
      <c r="J1573" s="751" t="s">
        <v>3431</v>
      </c>
      <c r="K1573" s="555" t="s">
        <v>3416</v>
      </c>
      <c r="L1573" s="555" t="s">
        <v>3432</v>
      </c>
      <c r="M1573" s="555" t="s">
        <v>3433</v>
      </c>
    </row>
    <row r="1574" spans="3:13" ht="18.75">
      <c r="C1574" s="735"/>
      <c r="D1574" s="555" t="s">
        <v>3430</v>
      </c>
      <c r="E1574" s="757">
        <v>5.6944444444444443E-2</v>
      </c>
      <c r="F1574" s="731">
        <v>43319</v>
      </c>
      <c r="G1574" s="730">
        <v>0.7944444444444444</v>
      </c>
      <c r="H1574" s="555" t="s">
        <v>2894</v>
      </c>
      <c r="I1574" s="555" t="s">
        <v>124</v>
      </c>
      <c r="J1574" s="751" t="s">
        <v>3431</v>
      </c>
      <c r="K1574" s="555" t="s">
        <v>3416</v>
      </c>
      <c r="L1574" s="555" t="s">
        <v>3434</v>
      </c>
      <c r="M1574" s="555" t="s">
        <v>3435</v>
      </c>
    </row>
    <row r="1575" spans="3:13" ht="18.75">
      <c r="C1575" s="735"/>
      <c r="D1575" s="555" t="s">
        <v>3436</v>
      </c>
      <c r="E1575" s="757">
        <v>0.875</v>
      </c>
      <c r="F1575" s="731">
        <v>43326</v>
      </c>
      <c r="G1575" s="730">
        <v>0.87569444444444444</v>
      </c>
      <c r="H1575" s="555" t="s">
        <v>3437</v>
      </c>
      <c r="I1575" s="555" t="s">
        <v>63</v>
      </c>
      <c r="J1575" s="751" t="s">
        <v>3402</v>
      </c>
      <c r="K1575" s="555" t="s">
        <v>2118</v>
      </c>
      <c r="L1575" s="555" t="s">
        <v>3055</v>
      </c>
      <c r="M1575" s="555" t="s">
        <v>3055</v>
      </c>
    </row>
    <row r="1576" spans="3:13" ht="18.75">
      <c r="C1576" s="735"/>
      <c r="D1576" s="555" t="s">
        <v>3438</v>
      </c>
      <c r="E1576" s="757">
        <v>0</v>
      </c>
      <c r="F1576" s="731">
        <v>43327</v>
      </c>
      <c r="G1576" s="730">
        <v>4.1666666666666664E-2</v>
      </c>
      <c r="H1576" s="555" t="s">
        <v>3439</v>
      </c>
      <c r="I1576" s="555" t="s">
        <v>63</v>
      </c>
      <c r="J1576" s="751" t="s">
        <v>3356</v>
      </c>
      <c r="K1576" s="555" t="s">
        <v>100</v>
      </c>
      <c r="L1576" s="555" t="s">
        <v>3055</v>
      </c>
      <c r="M1576" s="555" t="s">
        <v>3055</v>
      </c>
    </row>
    <row r="1577" spans="3:13" ht="18.75">
      <c r="C1577" s="735"/>
      <c r="D1577" s="555" t="s">
        <v>3440</v>
      </c>
      <c r="E1577" s="757">
        <v>0.54652777777777783</v>
      </c>
      <c r="F1577" s="731">
        <v>43329</v>
      </c>
      <c r="G1577" s="730">
        <v>0.56944444444444442</v>
      </c>
      <c r="H1577" s="555" t="s">
        <v>2945</v>
      </c>
      <c r="I1577" s="555" t="s">
        <v>124</v>
      </c>
      <c r="J1577" s="751" t="s">
        <v>3387</v>
      </c>
      <c r="K1577" s="555" t="s">
        <v>2764</v>
      </c>
      <c r="L1577" s="555" t="s">
        <v>3055</v>
      </c>
      <c r="M1577" s="555" t="s">
        <v>3055</v>
      </c>
    </row>
    <row r="1578" spans="3:13" ht="18.75">
      <c r="C1578" s="735"/>
      <c r="D1578" s="555" t="s">
        <v>3441</v>
      </c>
      <c r="E1578" s="757">
        <v>0.63888888888888895</v>
      </c>
      <c r="F1578" s="731">
        <v>43331</v>
      </c>
      <c r="G1578" s="730">
        <v>0.63958333333333328</v>
      </c>
      <c r="H1578" s="555" t="s">
        <v>3442</v>
      </c>
      <c r="I1578" s="555" t="s">
        <v>124</v>
      </c>
      <c r="J1578" s="751" t="s">
        <v>3356</v>
      </c>
      <c r="K1578" s="555" t="s">
        <v>100</v>
      </c>
      <c r="L1578" s="555" t="s">
        <v>3055</v>
      </c>
      <c r="M1578" s="555" t="s">
        <v>3055</v>
      </c>
    </row>
    <row r="1579" spans="3:13" ht="18.75">
      <c r="C1579" s="735"/>
      <c r="D1579" s="555" t="s">
        <v>3443</v>
      </c>
      <c r="E1579" s="757">
        <v>0.94861111111111107</v>
      </c>
      <c r="F1579" s="731">
        <v>43333</v>
      </c>
      <c r="G1579" s="730">
        <v>9.7222222222222224E-3</v>
      </c>
      <c r="H1579" s="555" t="s">
        <v>2866</v>
      </c>
      <c r="I1579" s="555" t="s">
        <v>63</v>
      </c>
      <c r="J1579" s="751" t="s">
        <v>3387</v>
      </c>
      <c r="K1579" s="555" t="s">
        <v>2764</v>
      </c>
      <c r="L1579" s="555" t="s">
        <v>3055</v>
      </c>
      <c r="M1579" s="555" t="s">
        <v>3055</v>
      </c>
    </row>
    <row r="1580" spans="3:13" ht="18.75">
      <c r="C1580" s="735"/>
      <c r="D1580" s="555" t="s">
        <v>3445</v>
      </c>
      <c r="E1580" s="757">
        <v>0.51666666666666672</v>
      </c>
      <c r="F1580" s="731">
        <v>43336</v>
      </c>
      <c r="G1580" s="730">
        <v>0.54097222222222219</v>
      </c>
      <c r="H1580" s="555" t="s">
        <v>3446</v>
      </c>
      <c r="I1580" s="555" t="s">
        <v>63</v>
      </c>
      <c r="J1580" s="751" t="s">
        <v>3447</v>
      </c>
      <c r="K1580" s="555" t="s">
        <v>2764</v>
      </c>
      <c r="L1580" s="555" t="s">
        <v>3055</v>
      </c>
      <c r="M1580" s="555" t="s">
        <v>3055</v>
      </c>
    </row>
    <row r="1581" spans="3:13" ht="18.75">
      <c r="C1581" s="735"/>
      <c r="D1581" s="555" t="s">
        <v>3448</v>
      </c>
      <c r="E1581" s="757">
        <v>0.91666666666666663</v>
      </c>
      <c r="F1581" s="731">
        <v>43339</v>
      </c>
      <c r="G1581" s="730">
        <v>0.20555555555555557</v>
      </c>
      <c r="H1581" s="555" t="s">
        <v>3450</v>
      </c>
      <c r="I1581" s="555" t="s">
        <v>3143</v>
      </c>
      <c r="J1581" s="751" t="s">
        <v>3451</v>
      </c>
      <c r="K1581" s="555" t="s">
        <v>22</v>
      </c>
      <c r="L1581" s="555" t="s">
        <v>45</v>
      </c>
      <c r="M1581" s="555" t="s">
        <v>3452</v>
      </c>
    </row>
    <row r="1582" spans="3:13" ht="18.75">
      <c r="C1582" s="735"/>
      <c r="D1582" s="555" t="s">
        <v>3453</v>
      </c>
      <c r="E1582" s="757">
        <v>0.9868055555555556</v>
      </c>
      <c r="F1582" s="731">
        <v>43341</v>
      </c>
      <c r="G1582" s="730">
        <v>9.0277777777777787E-3</v>
      </c>
      <c r="H1582" s="555" t="s">
        <v>3455</v>
      </c>
      <c r="I1582" s="555" t="s">
        <v>3143</v>
      </c>
      <c r="J1582" s="751" t="s">
        <v>3447</v>
      </c>
      <c r="K1582" s="555" t="s">
        <v>2764</v>
      </c>
      <c r="L1582" s="555" t="s">
        <v>3055</v>
      </c>
      <c r="M1582" s="555" t="s">
        <v>3055</v>
      </c>
    </row>
    <row r="1583" spans="3:13" ht="18.75">
      <c r="C1583" s="735"/>
      <c r="D1583" s="555" t="s">
        <v>3453</v>
      </c>
      <c r="E1583" s="757">
        <v>0.83333333333333337</v>
      </c>
      <c r="F1583" s="731">
        <v>43342</v>
      </c>
      <c r="G1583" s="730">
        <v>0.62430555555555556</v>
      </c>
      <c r="H1583" s="555" t="s">
        <v>3457</v>
      </c>
      <c r="I1583" s="555" t="s">
        <v>3143</v>
      </c>
      <c r="J1583" s="751" t="s">
        <v>3451</v>
      </c>
      <c r="K1583" s="555" t="s">
        <v>22</v>
      </c>
      <c r="L1583" s="555" t="s">
        <v>45</v>
      </c>
      <c r="M1583" s="555" t="s">
        <v>3458</v>
      </c>
    </row>
    <row r="1584" spans="3:13" ht="18.75">
      <c r="C1584" s="735"/>
      <c r="D1584" s="555" t="s">
        <v>3454</v>
      </c>
      <c r="E1584" s="757">
        <v>0.14375000000000002</v>
      </c>
      <c r="F1584" s="731">
        <v>43341</v>
      </c>
      <c r="G1584" s="730">
        <v>0.16666666666666666</v>
      </c>
      <c r="H1584" s="555" t="s">
        <v>3459</v>
      </c>
      <c r="I1584" s="555" t="s">
        <v>3143</v>
      </c>
      <c r="J1584" s="751" t="s">
        <v>3460</v>
      </c>
      <c r="K1584" s="555" t="s">
        <v>2118</v>
      </c>
      <c r="L1584" s="555" t="s">
        <v>3055</v>
      </c>
      <c r="M1584" s="555" t="s">
        <v>3055</v>
      </c>
    </row>
    <row r="1585" spans="3:13" ht="18.75">
      <c r="C1585" s="735"/>
      <c r="D1585" s="555" t="s">
        <v>3454</v>
      </c>
      <c r="E1585" s="757">
        <v>0</v>
      </c>
      <c r="F1585" s="731">
        <v>43342</v>
      </c>
      <c r="G1585" s="730">
        <v>0</v>
      </c>
      <c r="H1585" s="555" t="s">
        <v>3461</v>
      </c>
      <c r="I1585" s="555" t="s">
        <v>63</v>
      </c>
      <c r="J1585" s="751" t="s">
        <v>3451</v>
      </c>
      <c r="K1585" s="555" t="s">
        <v>22</v>
      </c>
      <c r="L1585" s="555" t="s">
        <v>45</v>
      </c>
      <c r="M1585" s="555" t="s">
        <v>3462</v>
      </c>
    </row>
    <row r="1586" spans="3:13" ht="18.75">
      <c r="C1586" s="735"/>
      <c r="D1586" s="555" t="s">
        <v>3454</v>
      </c>
      <c r="E1586" s="757">
        <v>0.375</v>
      </c>
      <c r="F1586" s="731">
        <v>43341</v>
      </c>
      <c r="G1586" s="730">
        <v>0.37916666666666665</v>
      </c>
      <c r="H1586" s="555" t="s">
        <v>3405</v>
      </c>
      <c r="I1586" s="555" t="s">
        <v>63</v>
      </c>
      <c r="J1586" s="751" t="s">
        <v>3402</v>
      </c>
      <c r="K1586" s="555" t="s">
        <v>2118</v>
      </c>
      <c r="L1586" s="555" t="s">
        <v>3055</v>
      </c>
      <c r="M1586" s="555" t="s">
        <v>3055</v>
      </c>
    </row>
    <row r="1587" spans="3:13" ht="18.75">
      <c r="C1587" s="735"/>
      <c r="D1587" s="555" t="s">
        <v>3456</v>
      </c>
      <c r="E1587" s="757">
        <v>0.5</v>
      </c>
      <c r="F1587" s="731">
        <v>43342</v>
      </c>
      <c r="G1587" s="730">
        <v>0.51388888888888895</v>
      </c>
      <c r="H1587" s="555" t="s">
        <v>2945</v>
      </c>
      <c r="I1587" s="555" t="s">
        <v>124</v>
      </c>
      <c r="J1587" s="751" t="s">
        <v>3463</v>
      </c>
      <c r="K1587" s="555" t="s">
        <v>100</v>
      </c>
      <c r="L1587" s="555" t="s">
        <v>3055</v>
      </c>
      <c r="M1587" s="555" t="s">
        <v>3055</v>
      </c>
    </row>
    <row r="1588" spans="3:13" ht="18.75">
      <c r="C1588" s="735"/>
      <c r="D1588" s="555" t="s">
        <v>3464</v>
      </c>
      <c r="E1588" s="757">
        <v>0.62986111111111109</v>
      </c>
      <c r="F1588" s="731">
        <v>43343</v>
      </c>
      <c r="G1588" s="730">
        <v>0.64652777777777781</v>
      </c>
      <c r="H1588" s="555" t="s">
        <v>2933</v>
      </c>
      <c r="I1588" s="555" t="s">
        <v>124</v>
      </c>
      <c r="J1588" s="751" t="s">
        <v>3411</v>
      </c>
      <c r="K1588" s="555" t="s">
        <v>3465</v>
      </c>
      <c r="L1588" s="555" t="s">
        <v>3466</v>
      </c>
      <c r="M1588" s="555" t="s">
        <v>3240</v>
      </c>
    </row>
    <row r="1589" spans="3:13" ht="18.75">
      <c r="C1589" s="735"/>
      <c r="D1589" s="555" t="s">
        <v>3464</v>
      </c>
      <c r="E1589" s="757">
        <v>0.77361111111111114</v>
      </c>
      <c r="F1589" s="731">
        <v>43343</v>
      </c>
      <c r="G1589" s="730">
        <v>0.77777777777777779</v>
      </c>
      <c r="H1589" s="555" t="s">
        <v>3241</v>
      </c>
      <c r="I1589" s="555" t="s">
        <v>61</v>
      </c>
      <c r="J1589" s="751" t="s">
        <v>3460</v>
      </c>
      <c r="K1589" s="555" t="s">
        <v>2118</v>
      </c>
      <c r="L1589" s="555" t="s">
        <v>3055</v>
      </c>
      <c r="M1589" s="555" t="s">
        <v>3055</v>
      </c>
    </row>
    <row r="1590" spans="3:13" ht="18.75">
      <c r="C1590" s="735"/>
      <c r="D1590" s="555" t="s">
        <v>3467</v>
      </c>
      <c r="E1590" s="757">
        <v>0</v>
      </c>
      <c r="F1590" s="731">
        <v>43344</v>
      </c>
      <c r="G1590" s="730">
        <v>0.64027777777777783</v>
      </c>
      <c r="H1590" s="555" t="s">
        <v>3405</v>
      </c>
      <c r="I1590" s="555" t="s">
        <v>3347</v>
      </c>
      <c r="J1590" s="751" t="s">
        <v>3402</v>
      </c>
      <c r="K1590" s="555" t="s">
        <v>2118</v>
      </c>
      <c r="L1590" s="555" t="s">
        <v>3055</v>
      </c>
      <c r="M1590" s="555" t="s">
        <v>3055</v>
      </c>
    </row>
    <row r="1591" spans="3:13" ht="18.75">
      <c r="C1591" s="735"/>
      <c r="D1591" s="555" t="s">
        <v>3468</v>
      </c>
      <c r="E1591" s="757">
        <v>0.54166666666666663</v>
      </c>
      <c r="F1591" s="731">
        <v>43348</v>
      </c>
      <c r="G1591" s="730">
        <v>0.54236111111111118</v>
      </c>
      <c r="H1591" s="555" t="s">
        <v>3357</v>
      </c>
      <c r="I1591" s="555" t="s">
        <v>124</v>
      </c>
      <c r="J1591" s="751" t="s">
        <v>3356</v>
      </c>
      <c r="K1591" s="555" t="s">
        <v>100</v>
      </c>
      <c r="L1591" s="555" t="s">
        <v>45</v>
      </c>
      <c r="M1591" s="555" t="s">
        <v>45</v>
      </c>
    </row>
    <row r="1592" spans="3:13" ht="18.75">
      <c r="C1592" s="735"/>
      <c r="D1592" s="555" t="s">
        <v>3469</v>
      </c>
      <c r="E1592" s="757">
        <v>0.1013888888888889</v>
      </c>
      <c r="F1592" s="731">
        <v>43349</v>
      </c>
      <c r="G1592" s="730">
        <v>0.10208333333333335</v>
      </c>
      <c r="H1592" s="555" t="s">
        <v>3470</v>
      </c>
      <c r="I1592" s="555" t="s">
        <v>301</v>
      </c>
      <c r="J1592" s="751" t="s">
        <v>3411</v>
      </c>
      <c r="K1592" s="555" t="s">
        <v>2483</v>
      </c>
      <c r="L1592" s="555" t="s">
        <v>3055</v>
      </c>
      <c r="M1592" s="555" t="s">
        <v>3055</v>
      </c>
    </row>
    <row r="1593" spans="3:13" ht="18.75">
      <c r="C1593" s="735"/>
      <c r="D1593" s="555" t="s">
        <v>3471</v>
      </c>
      <c r="E1593" s="757">
        <v>0.91666666666666663</v>
      </c>
      <c r="F1593" s="731">
        <v>43355</v>
      </c>
      <c r="G1593" s="730">
        <v>0.92013888888888884</v>
      </c>
      <c r="H1593" s="555" t="s">
        <v>2919</v>
      </c>
      <c r="I1593" s="555" t="s">
        <v>1352</v>
      </c>
      <c r="J1593" s="751" t="s">
        <v>3402</v>
      </c>
      <c r="K1593" s="555" t="s">
        <v>2118</v>
      </c>
      <c r="L1593" s="555" t="s">
        <v>3055</v>
      </c>
      <c r="M1593" s="555" t="s">
        <v>3055</v>
      </c>
    </row>
    <row r="1594" spans="3:13" ht="18.75">
      <c r="C1594" s="735"/>
      <c r="D1594" s="555" t="s">
        <v>3472</v>
      </c>
      <c r="E1594" s="757">
        <v>0.87222222222222223</v>
      </c>
      <c r="F1594" s="731">
        <v>43363</v>
      </c>
      <c r="G1594" s="730">
        <v>0.79166666666666663</v>
      </c>
      <c r="H1594" s="555" t="s">
        <v>2832</v>
      </c>
      <c r="I1594" s="555" t="s">
        <v>63</v>
      </c>
      <c r="J1594" s="751" t="s">
        <v>3451</v>
      </c>
      <c r="K1594" s="555" t="s">
        <v>22</v>
      </c>
      <c r="L1594" s="555" t="s">
        <v>45</v>
      </c>
      <c r="M1594" s="555" t="s">
        <v>3474</v>
      </c>
    </row>
    <row r="1595" spans="3:13" ht="18.75">
      <c r="C1595" s="735"/>
      <c r="D1595" s="555" t="s">
        <v>3472</v>
      </c>
      <c r="E1595" s="757">
        <v>0.85416666666666663</v>
      </c>
      <c r="F1595" s="731">
        <v>43362</v>
      </c>
      <c r="G1595" s="730">
        <v>0.70833333333333337</v>
      </c>
      <c r="H1595" s="555" t="s">
        <v>2928</v>
      </c>
      <c r="I1595" s="555" t="s">
        <v>63</v>
      </c>
      <c r="J1595" s="751" t="s">
        <v>3451</v>
      </c>
      <c r="K1595" s="555" t="s">
        <v>22</v>
      </c>
      <c r="L1595" s="555" t="s">
        <v>3296</v>
      </c>
      <c r="M1595" s="555" t="s">
        <v>3244</v>
      </c>
    </row>
    <row r="1596" spans="3:13" ht="18.75">
      <c r="C1596" s="735"/>
      <c r="D1596" s="555" t="s">
        <v>3476</v>
      </c>
      <c r="E1596" s="757">
        <v>0.625</v>
      </c>
      <c r="F1596" s="731">
        <v>43358</v>
      </c>
      <c r="G1596" s="730">
        <v>0.75</v>
      </c>
      <c r="H1596" s="555" t="s">
        <v>3477</v>
      </c>
      <c r="I1596" s="555" t="s">
        <v>63</v>
      </c>
      <c r="J1596" s="751" t="s">
        <v>3478</v>
      </c>
      <c r="K1596" s="555" t="s">
        <v>2764</v>
      </c>
      <c r="L1596" s="555" t="s">
        <v>3479</v>
      </c>
      <c r="M1596" s="555" t="s">
        <v>3209</v>
      </c>
    </row>
    <row r="1597" spans="3:13" ht="18.75">
      <c r="C1597" s="735"/>
      <c r="D1597" s="555" t="s">
        <v>3476</v>
      </c>
      <c r="E1597" s="757">
        <v>4.5138888888888888E-2</v>
      </c>
      <c r="F1597" s="731">
        <v>43360</v>
      </c>
      <c r="G1597" s="730">
        <v>0.66666666666666663</v>
      </c>
      <c r="H1597" s="555" t="s">
        <v>3481</v>
      </c>
      <c r="I1597" s="555" t="s">
        <v>63</v>
      </c>
      <c r="J1597" s="751" t="s">
        <v>3451</v>
      </c>
      <c r="K1597" s="555" t="s">
        <v>22</v>
      </c>
      <c r="L1597" s="555" t="s">
        <v>45</v>
      </c>
      <c r="M1597" s="555" t="s">
        <v>3482</v>
      </c>
    </row>
    <row r="1598" spans="3:13" ht="18.75">
      <c r="C1598" s="735"/>
      <c r="D1598" s="555" t="s">
        <v>3476</v>
      </c>
      <c r="E1598" s="757">
        <v>0.625</v>
      </c>
      <c r="F1598" s="731">
        <v>43358</v>
      </c>
      <c r="G1598" s="730">
        <v>0.75</v>
      </c>
      <c r="H1598" s="555" t="s">
        <v>2866</v>
      </c>
      <c r="I1598" s="555" t="s">
        <v>63</v>
      </c>
      <c r="J1598" s="751" t="s">
        <v>3478</v>
      </c>
      <c r="K1598" s="555" t="s">
        <v>2764</v>
      </c>
      <c r="L1598" s="555" t="s">
        <v>45</v>
      </c>
      <c r="M1598" s="555" t="s">
        <v>45</v>
      </c>
    </row>
    <row r="1599" spans="3:13" ht="18.75">
      <c r="C1599" s="735"/>
      <c r="D1599" s="555" t="s">
        <v>3483</v>
      </c>
      <c r="E1599" s="757">
        <v>0.33333333333333331</v>
      </c>
      <c r="F1599" s="731">
        <v>43361</v>
      </c>
      <c r="G1599" s="730">
        <v>0.81944444444444453</v>
      </c>
      <c r="H1599" s="555" t="s">
        <v>2832</v>
      </c>
      <c r="I1599" s="555" t="s">
        <v>63</v>
      </c>
      <c r="J1599" s="751" t="s">
        <v>3451</v>
      </c>
      <c r="K1599" s="555" t="s">
        <v>22</v>
      </c>
      <c r="L1599" s="555" t="s">
        <v>45</v>
      </c>
      <c r="M1599" s="555" t="s">
        <v>3240</v>
      </c>
    </row>
    <row r="1600" spans="3:13" ht="18.75">
      <c r="C1600" s="735"/>
      <c r="D1600" s="555" t="s">
        <v>3475</v>
      </c>
      <c r="E1600" s="757">
        <v>0.45833333333333331</v>
      </c>
      <c r="F1600" s="731">
        <v>43363</v>
      </c>
      <c r="G1600" s="730">
        <v>0.5</v>
      </c>
      <c r="H1600" s="555" t="s">
        <v>3485</v>
      </c>
      <c r="I1600" s="555" t="s">
        <v>3143</v>
      </c>
      <c r="J1600" s="751" t="s">
        <v>3387</v>
      </c>
      <c r="K1600" s="555" t="s">
        <v>2764</v>
      </c>
      <c r="L1600" s="555" t="s">
        <v>3055</v>
      </c>
      <c r="M1600" s="555" t="s">
        <v>3055</v>
      </c>
    </row>
    <row r="1601" spans="3:13" ht="18.75">
      <c r="C1601" s="735"/>
      <c r="D1601" s="555" t="s">
        <v>3473</v>
      </c>
      <c r="E1601" s="757">
        <v>0.52708333333333335</v>
      </c>
      <c r="F1601" s="731" t="s">
        <v>45</v>
      </c>
      <c r="G1601" s="730" t="s">
        <v>45</v>
      </c>
      <c r="H1601" s="555" t="s">
        <v>2817</v>
      </c>
      <c r="I1601" s="555" t="s">
        <v>124</v>
      </c>
      <c r="J1601" s="751" t="s">
        <v>3356</v>
      </c>
      <c r="K1601" s="555" t="s">
        <v>100</v>
      </c>
      <c r="L1601" s="555" t="s">
        <v>3055</v>
      </c>
      <c r="M1601" s="555" t="s">
        <v>3055</v>
      </c>
    </row>
    <row r="1602" spans="3:13" ht="18.75">
      <c r="C1602" s="735"/>
      <c r="D1602" s="555" t="s">
        <v>3486</v>
      </c>
      <c r="E1602" s="757">
        <v>0.64097222222222217</v>
      </c>
      <c r="F1602" s="731">
        <v>43365</v>
      </c>
      <c r="G1602" s="730">
        <v>0.95833333333333337</v>
      </c>
      <c r="H1602" s="555" t="s">
        <v>2967</v>
      </c>
      <c r="I1602" s="555" t="s">
        <v>124</v>
      </c>
      <c r="J1602" s="751" t="s">
        <v>3411</v>
      </c>
      <c r="K1602" s="555" t="s">
        <v>3416</v>
      </c>
      <c r="L1602" s="555" t="s">
        <v>3487</v>
      </c>
      <c r="M1602" s="555" t="s">
        <v>3488</v>
      </c>
    </row>
    <row r="1603" spans="3:13" ht="18.75">
      <c r="C1603" s="735"/>
      <c r="D1603" s="555" t="s">
        <v>3489</v>
      </c>
      <c r="E1603" s="757">
        <v>2.2916666666666669E-2</v>
      </c>
      <c r="F1603" s="731">
        <v>43368</v>
      </c>
      <c r="G1603" s="730">
        <v>0.13194444444444445</v>
      </c>
      <c r="H1603" s="555" t="s">
        <v>3461</v>
      </c>
      <c r="I1603" s="555" t="s">
        <v>63</v>
      </c>
      <c r="J1603" s="751" t="s">
        <v>3387</v>
      </c>
      <c r="K1603" s="555" t="s">
        <v>2764</v>
      </c>
      <c r="L1603" s="555" t="s">
        <v>3055</v>
      </c>
      <c r="M1603" s="555" t="s">
        <v>3055</v>
      </c>
    </row>
    <row r="1604" spans="3:13" ht="18.75">
      <c r="C1604" s="735"/>
      <c r="D1604" s="555" t="s">
        <v>3490</v>
      </c>
      <c r="E1604" s="757">
        <v>0.57916666666666672</v>
      </c>
      <c r="F1604" s="731">
        <v>43369</v>
      </c>
      <c r="G1604" s="730">
        <v>0.74861111111111101</v>
      </c>
      <c r="H1604" s="555" t="s">
        <v>2809</v>
      </c>
      <c r="I1604" s="555" t="s">
        <v>1352</v>
      </c>
      <c r="J1604" s="751" t="s">
        <v>3411</v>
      </c>
      <c r="K1604" s="555" t="s">
        <v>2483</v>
      </c>
      <c r="L1604" s="555" t="s">
        <v>3055</v>
      </c>
      <c r="M1604" s="555" t="s">
        <v>3055</v>
      </c>
    </row>
    <row r="1605" spans="3:13" ht="18.75">
      <c r="C1605" s="735"/>
      <c r="D1605" s="555" t="s">
        <v>3491</v>
      </c>
      <c r="E1605" s="757">
        <v>0.79027777777777775</v>
      </c>
      <c r="F1605" s="731">
        <v>43371</v>
      </c>
      <c r="G1605" s="730">
        <v>0.81180555555555556</v>
      </c>
      <c r="H1605" s="555" t="s">
        <v>2895</v>
      </c>
      <c r="I1605" s="555" t="s">
        <v>3143</v>
      </c>
      <c r="J1605" s="751" t="s">
        <v>3387</v>
      </c>
      <c r="K1605" s="555" t="s">
        <v>2764</v>
      </c>
      <c r="L1605" s="555" t="s">
        <v>3055</v>
      </c>
      <c r="M1605" s="555" t="s">
        <v>3055</v>
      </c>
    </row>
    <row r="1606" spans="3:13" ht="18.75">
      <c r="C1606" s="735"/>
      <c r="D1606" s="555" t="s">
        <v>3492</v>
      </c>
      <c r="E1606" s="757">
        <v>0.53055555555555556</v>
      </c>
      <c r="F1606" s="731">
        <v>43374</v>
      </c>
      <c r="G1606" s="730">
        <v>0.73055555555555562</v>
      </c>
      <c r="H1606" s="555" t="s">
        <v>3493</v>
      </c>
      <c r="I1606" s="555" t="s">
        <v>3143</v>
      </c>
      <c r="J1606" s="751" t="s">
        <v>3387</v>
      </c>
      <c r="K1606" s="555" t="s">
        <v>2764</v>
      </c>
      <c r="L1606" s="555" t="s">
        <v>45</v>
      </c>
      <c r="M1606" s="555" t="s">
        <v>45</v>
      </c>
    </row>
    <row r="1607" spans="3:13" ht="18.75">
      <c r="C1607" s="735"/>
      <c r="D1607" s="555" t="s">
        <v>3494</v>
      </c>
      <c r="E1607" s="757">
        <v>0.31805555555555554</v>
      </c>
      <c r="F1607" s="731">
        <v>43376</v>
      </c>
      <c r="G1607" s="730">
        <v>0.32500000000000001</v>
      </c>
      <c r="H1607" s="555" t="s">
        <v>3461</v>
      </c>
      <c r="I1607" s="555" t="s">
        <v>63</v>
      </c>
      <c r="J1607" s="751" t="s">
        <v>3387</v>
      </c>
      <c r="K1607" s="555" t="s">
        <v>2764</v>
      </c>
      <c r="L1607" s="555" t="s">
        <v>3055</v>
      </c>
      <c r="M1607" s="555" t="s">
        <v>3055</v>
      </c>
    </row>
    <row r="1608" spans="3:13" ht="18.75">
      <c r="C1608" s="735"/>
      <c r="D1608" s="555" t="s">
        <v>3495</v>
      </c>
      <c r="E1608" s="757">
        <v>0.25</v>
      </c>
      <c r="F1608" s="731">
        <v>43377</v>
      </c>
      <c r="G1608" s="730">
        <v>0.33333333333333331</v>
      </c>
      <c r="H1608" s="555" t="s">
        <v>3496</v>
      </c>
      <c r="I1608" s="555" t="s">
        <v>3347</v>
      </c>
      <c r="J1608" s="751" t="s">
        <v>3402</v>
      </c>
      <c r="K1608" s="555" t="s">
        <v>100</v>
      </c>
      <c r="L1608" s="555" t="s">
        <v>3497</v>
      </c>
      <c r="M1608" s="555" t="s">
        <v>3498</v>
      </c>
    </row>
    <row r="1609" spans="3:13" ht="18.75">
      <c r="C1609" s="735"/>
      <c r="D1609" s="555" t="s">
        <v>3495</v>
      </c>
      <c r="E1609" s="757">
        <v>0.66736111111111107</v>
      </c>
      <c r="F1609" s="731">
        <v>43377</v>
      </c>
      <c r="G1609" s="730">
        <v>0.76736111111111116</v>
      </c>
      <c r="H1609" s="555" t="s">
        <v>2945</v>
      </c>
      <c r="I1609" s="555" t="s">
        <v>124</v>
      </c>
      <c r="J1609" s="751" t="s">
        <v>2910</v>
      </c>
      <c r="K1609" s="555" t="s">
        <v>2118</v>
      </c>
      <c r="L1609" s="555" t="s">
        <v>3055</v>
      </c>
      <c r="M1609" s="555" t="s">
        <v>3055</v>
      </c>
    </row>
    <row r="1610" spans="3:13" ht="18.75">
      <c r="C1610" s="735"/>
      <c r="D1610" s="555" t="s">
        <v>3499</v>
      </c>
      <c r="E1610" s="757">
        <v>0.84166666666666667</v>
      </c>
      <c r="F1610" s="731">
        <v>43382</v>
      </c>
      <c r="G1610" s="730">
        <v>0.8833333333333333</v>
      </c>
      <c r="H1610" s="555" t="s">
        <v>3500</v>
      </c>
      <c r="I1610" s="555" t="s">
        <v>124</v>
      </c>
      <c r="J1610" s="751" t="s">
        <v>3501</v>
      </c>
      <c r="K1610" s="555" t="s">
        <v>2764</v>
      </c>
      <c r="L1610" s="555" t="s">
        <v>3055</v>
      </c>
      <c r="M1610" s="555" t="s">
        <v>3055</v>
      </c>
    </row>
    <row r="1611" spans="3:13" ht="18.75">
      <c r="C1611" s="735"/>
      <c r="D1611" s="555" t="s">
        <v>3502</v>
      </c>
      <c r="E1611" s="757">
        <v>0.4993055555555555</v>
      </c>
      <c r="F1611" s="731" t="s">
        <v>45</v>
      </c>
      <c r="G1611" s="730" t="s">
        <v>45</v>
      </c>
      <c r="H1611" s="555" t="s">
        <v>3503</v>
      </c>
      <c r="I1611" s="555" t="s">
        <v>301</v>
      </c>
      <c r="J1611" s="751" t="s">
        <v>2753</v>
      </c>
      <c r="K1611" s="555" t="s">
        <v>22</v>
      </c>
      <c r="L1611" s="555" t="s">
        <v>3504</v>
      </c>
      <c r="M1611" s="555" t="s">
        <v>3505</v>
      </c>
    </row>
    <row r="1612" spans="3:13" ht="18.75">
      <c r="C1612" s="735"/>
      <c r="D1612" s="555" t="s">
        <v>3502</v>
      </c>
      <c r="E1612" s="757">
        <v>0.66666666666666663</v>
      </c>
      <c r="F1612" s="731">
        <v>43392</v>
      </c>
      <c r="G1612" s="730">
        <v>0.25</v>
      </c>
      <c r="H1612" s="555" t="s">
        <v>2901</v>
      </c>
      <c r="I1612" s="555" t="s">
        <v>301</v>
      </c>
      <c r="J1612" s="751" t="s">
        <v>2753</v>
      </c>
      <c r="K1612" s="555" t="s">
        <v>22</v>
      </c>
      <c r="L1612" s="555" t="s">
        <v>3507</v>
      </c>
      <c r="M1612" s="555" t="s">
        <v>3508</v>
      </c>
    </row>
    <row r="1613" spans="3:13" ht="18.75">
      <c r="C1613" s="735"/>
      <c r="D1613" s="555" t="s">
        <v>3502</v>
      </c>
      <c r="E1613" s="757">
        <v>0.70833333333333337</v>
      </c>
      <c r="F1613" s="731">
        <v>43388</v>
      </c>
      <c r="G1613" s="730">
        <v>0.20833333333333334</v>
      </c>
      <c r="H1613" s="555" t="s">
        <v>2865</v>
      </c>
      <c r="I1613" s="555" t="s">
        <v>124</v>
      </c>
      <c r="J1613" s="751" t="s">
        <v>2910</v>
      </c>
      <c r="K1613" s="555" t="s">
        <v>100</v>
      </c>
      <c r="L1613" s="555" t="s">
        <v>3055</v>
      </c>
      <c r="M1613" s="555" t="s">
        <v>3055</v>
      </c>
    </row>
    <row r="1614" spans="3:13" ht="18.75">
      <c r="C1614" s="735"/>
      <c r="D1614" s="555" t="s">
        <v>3502</v>
      </c>
      <c r="E1614" s="757">
        <v>0.58333333333333337</v>
      </c>
      <c r="F1614" s="731">
        <v>43384</v>
      </c>
      <c r="G1614" s="730">
        <v>0.25</v>
      </c>
      <c r="H1614" s="555" t="s">
        <v>2901</v>
      </c>
      <c r="I1614" s="555" t="s">
        <v>301</v>
      </c>
      <c r="J1614" s="751" t="s">
        <v>2753</v>
      </c>
      <c r="K1614" s="555" t="s">
        <v>22</v>
      </c>
      <c r="L1614" s="555" t="s">
        <v>3511</v>
      </c>
      <c r="M1614" s="555" t="s">
        <v>3512</v>
      </c>
    </row>
    <row r="1615" spans="3:13" ht="18.75">
      <c r="C1615" s="735"/>
      <c r="D1615" s="555" t="s">
        <v>3502</v>
      </c>
      <c r="E1615" s="757">
        <v>0.23680555555555557</v>
      </c>
      <c r="F1615" s="731">
        <v>43383</v>
      </c>
      <c r="G1615" s="730">
        <v>0.32916666666666666</v>
      </c>
      <c r="H1615" s="555" t="s">
        <v>2959</v>
      </c>
      <c r="I1615" s="555" t="s">
        <v>61</v>
      </c>
      <c r="J1615" s="751" t="s">
        <v>3387</v>
      </c>
      <c r="K1615" s="555" t="s">
        <v>2764</v>
      </c>
      <c r="L1615" s="555" t="s">
        <v>3055</v>
      </c>
      <c r="M1615" s="555" t="s">
        <v>3055</v>
      </c>
    </row>
    <row r="1616" spans="3:13" ht="18.75">
      <c r="C1616" s="735"/>
      <c r="D1616" s="555" t="s">
        <v>3510</v>
      </c>
      <c r="E1616" s="757">
        <v>0.6958333333333333</v>
      </c>
      <c r="F1616" s="731">
        <v>43385</v>
      </c>
      <c r="G1616" s="730">
        <v>0.875</v>
      </c>
      <c r="H1616" s="555" t="s">
        <v>2832</v>
      </c>
      <c r="I1616" s="555" t="s">
        <v>63</v>
      </c>
      <c r="J1616" s="751" t="s">
        <v>2753</v>
      </c>
      <c r="K1616" s="555" t="s">
        <v>22</v>
      </c>
      <c r="L1616" s="555" t="s">
        <v>45</v>
      </c>
      <c r="M1616" s="555" t="s">
        <v>3514</v>
      </c>
    </row>
    <row r="1617" spans="3:13" ht="18.75">
      <c r="C1617" s="735"/>
      <c r="D1617" s="555" t="s">
        <v>3510</v>
      </c>
      <c r="E1617" s="757">
        <v>0.78819444444444453</v>
      </c>
      <c r="F1617" s="731">
        <v>43385</v>
      </c>
      <c r="G1617" s="730">
        <v>0.5</v>
      </c>
      <c r="H1617" s="555" t="s">
        <v>2928</v>
      </c>
      <c r="I1617" s="555" t="s">
        <v>63</v>
      </c>
      <c r="J1617" s="751" t="s">
        <v>2753</v>
      </c>
      <c r="K1617" s="555" t="s">
        <v>22</v>
      </c>
      <c r="L1617" s="555" t="s">
        <v>45</v>
      </c>
      <c r="M1617" s="555" t="s">
        <v>3515</v>
      </c>
    </row>
    <row r="1618" spans="3:13" ht="18.75">
      <c r="C1618" s="735"/>
      <c r="D1618" s="555" t="s">
        <v>3510</v>
      </c>
      <c r="E1618" s="757">
        <v>0.55208333333333337</v>
      </c>
      <c r="F1618" s="731" t="s">
        <v>45</v>
      </c>
      <c r="G1618" s="730" t="s">
        <v>45</v>
      </c>
      <c r="H1618" s="555" t="s">
        <v>2832</v>
      </c>
      <c r="I1618" s="555" t="s">
        <v>63</v>
      </c>
      <c r="J1618" s="751" t="s">
        <v>2753</v>
      </c>
      <c r="K1618" s="555" t="s">
        <v>22</v>
      </c>
      <c r="L1618" s="555" t="s">
        <v>45</v>
      </c>
      <c r="M1618" s="555" t="s">
        <v>3516</v>
      </c>
    </row>
    <row r="1619" spans="3:13" ht="18.75">
      <c r="C1619" s="735"/>
      <c r="D1619" s="555" t="s">
        <v>3510</v>
      </c>
      <c r="E1619" s="757">
        <v>0.30624999999999997</v>
      </c>
      <c r="F1619" s="731">
        <v>43384</v>
      </c>
      <c r="G1619" s="730">
        <v>0.625</v>
      </c>
      <c r="H1619" s="555" t="s">
        <v>2896</v>
      </c>
      <c r="I1619" s="555" t="s">
        <v>63</v>
      </c>
      <c r="J1619" s="751" t="s">
        <v>2753</v>
      </c>
      <c r="K1619" s="555" t="s">
        <v>22</v>
      </c>
      <c r="L1619" s="555" t="s">
        <v>45</v>
      </c>
      <c r="M1619" s="555" t="s">
        <v>3517</v>
      </c>
    </row>
    <row r="1620" spans="3:13" ht="18.75">
      <c r="C1620" s="735"/>
      <c r="D1620" s="555" t="s">
        <v>3513</v>
      </c>
      <c r="E1620" s="757">
        <v>0.15</v>
      </c>
      <c r="F1620" s="731">
        <v>43385</v>
      </c>
      <c r="G1620" s="730">
        <v>0.5805555555555556</v>
      </c>
      <c r="H1620" s="555" t="s">
        <v>3518</v>
      </c>
      <c r="I1620" s="555" t="s">
        <v>3143</v>
      </c>
      <c r="J1620" s="751" t="s">
        <v>3411</v>
      </c>
      <c r="K1620" s="555" t="s">
        <v>2483</v>
      </c>
      <c r="L1620" s="555" t="s">
        <v>3055</v>
      </c>
      <c r="M1620" s="555" t="s">
        <v>3055</v>
      </c>
    </row>
    <row r="1621" spans="3:13" ht="18.75">
      <c r="C1621" s="735"/>
      <c r="D1621" s="555" t="s">
        <v>3519</v>
      </c>
      <c r="E1621" s="757">
        <v>0.9243055555555556</v>
      </c>
      <c r="F1621" s="731" t="s">
        <v>45</v>
      </c>
      <c r="G1621" s="730" t="s">
        <v>45</v>
      </c>
      <c r="H1621" s="555" t="s">
        <v>2945</v>
      </c>
      <c r="I1621" s="555" t="s">
        <v>124</v>
      </c>
      <c r="J1621" s="751" t="s">
        <v>2753</v>
      </c>
      <c r="K1621" s="555" t="s">
        <v>3416</v>
      </c>
      <c r="L1621" s="555" t="s">
        <v>45</v>
      </c>
      <c r="M1621" s="555" t="s">
        <v>3237</v>
      </c>
    </row>
    <row r="1622" spans="3:13" ht="18.75">
      <c r="C1622" s="735"/>
      <c r="D1622" s="555" t="s">
        <v>3520</v>
      </c>
      <c r="E1622" s="757">
        <v>0.17708333333333334</v>
      </c>
      <c r="F1622" s="731">
        <v>43389</v>
      </c>
      <c r="G1622" s="730">
        <v>0.71597222222222223</v>
      </c>
      <c r="H1622" s="555" t="s">
        <v>3521</v>
      </c>
      <c r="I1622" s="555" t="s">
        <v>61</v>
      </c>
      <c r="J1622" s="751" t="s">
        <v>2753</v>
      </c>
      <c r="K1622" s="555" t="s">
        <v>22</v>
      </c>
      <c r="L1622" s="555" t="s">
        <v>45</v>
      </c>
      <c r="M1622" s="555" t="s">
        <v>3522</v>
      </c>
    </row>
    <row r="1623" spans="3:13" ht="18.75">
      <c r="C1623" s="735"/>
      <c r="D1623" s="555" t="s">
        <v>3523</v>
      </c>
      <c r="E1623" s="757">
        <v>1.1111111111111112E-2</v>
      </c>
      <c r="F1623" s="731">
        <v>43394</v>
      </c>
      <c r="G1623" s="730">
        <v>0.67638888888888893</v>
      </c>
      <c r="H1623" s="555" t="s">
        <v>3524</v>
      </c>
      <c r="I1623" s="555" t="s">
        <v>3143</v>
      </c>
      <c r="J1623" s="751" t="s">
        <v>2753</v>
      </c>
      <c r="K1623" s="555" t="s">
        <v>22</v>
      </c>
      <c r="L1623" s="555" t="s">
        <v>45</v>
      </c>
      <c r="M1623" s="555" t="s">
        <v>3525</v>
      </c>
    </row>
    <row r="1624" spans="3:13" ht="18.75">
      <c r="C1624" s="735"/>
      <c r="D1624" s="555" t="s">
        <v>3526</v>
      </c>
      <c r="E1624" s="757">
        <v>0.43402777777777773</v>
      </c>
      <c r="F1624" s="731">
        <v>43395</v>
      </c>
      <c r="G1624" s="730">
        <v>0.4381944444444445</v>
      </c>
      <c r="H1624" s="555" t="s">
        <v>2831</v>
      </c>
      <c r="I1624" s="555" t="s">
        <v>124</v>
      </c>
      <c r="J1624" s="751" t="s">
        <v>3356</v>
      </c>
      <c r="K1624" s="555" t="s">
        <v>100</v>
      </c>
      <c r="L1624" s="555" t="s">
        <v>3055</v>
      </c>
      <c r="M1624" s="555" t="s">
        <v>3055</v>
      </c>
    </row>
    <row r="1625" spans="3:13" ht="18.75">
      <c r="C1625" s="735"/>
      <c r="D1625" s="555" t="s">
        <v>3527</v>
      </c>
      <c r="E1625" s="757">
        <v>0.52222222222222225</v>
      </c>
      <c r="F1625" s="731">
        <v>43397</v>
      </c>
      <c r="G1625" s="730">
        <v>0.56458333333333333</v>
      </c>
      <c r="H1625" s="555" t="s">
        <v>3528</v>
      </c>
      <c r="I1625" s="555" t="s">
        <v>3143</v>
      </c>
      <c r="J1625" s="751" t="s">
        <v>3387</v>
      </c>
      <c r="K1625" s="555" t="s">
        <v>2764</v>
      </c>
      <c r="L1625" s="555" t="s">
        <v>3055</v>
      </c>
      <c r="M1625" s="555" t="s">
        <v>3055</v>
      </c>
    </row>
    <row r="1626" spans="3:13" ht="18.75">
      <c r="C1626" s="735"/>
      <c r="D1626" s="555" t="s">
        <v>3529</v>
      </c>
      <c r="E1626" s="757">
        <v>0.20833333333333334</v>
      </c>
      <c r="F1626" s="731">
        <v>43411</v>
      </c>
      <c r="G1626" s="730">
        <v>0.29166666666666669</v>
      </c>
      <c r="H1626" s="555" t="s">
        <v>3414</v>
      </c>
      <c r="I1626" s="555" t="s">
        <v>124</v>
      </c>
      <c r="J1626" s="751" t="s">
        <v>2910</v>
      </c>
      <c r="K1626" s="555" t="s">
        <v>100</v>
      </c>
      <c r="L1626" s="555" t="s">
        <v>3055</v>
      </c>
      <c r="M1626" s="555" t="s">
        <v>3055</v>
      </c>
    </row>
    <row r="1627" spans="3:13" ht="18.75">
      <c r="C1627" s="735"/>
      <c r="D1627" s="555" t="s">
        <v>3529</v>
      </c>
      <c r="E1627" s="757">
        <v>0.36041666666666666</v>
      </c>
      <c r="F1627" s="731" t="s">
        <v>45</v>
      </c>
      <c r="G1627" s="730" t="s">
        <v>45</v>
      </c>
      <c r="H1627" s="555" t="s">
        <v>3531</v>
      </c>
      <c r="I1627" s="555" t="s">
        <v>674</v>
      </c>
      <c r="J1627" s="751" t="s">
        <v>2910</v>
      </c>
      <c r="K1627" s="555" t="s">
        <v>100</v>
      </c>
      <c r="L1627" s="555" t="s">
        <v>3055</v>
      </c>
      <c r="M1627" s="555" t="s">
        <v>3055</v>
      </c>
    </row>
    <row r="1628" spans="3:13" ht="18.75">
      <c r="C1628" s="735"/>
      <c r="D1628" s="555" t="s">
        <v>3532</v>
      </c>
      <c r="E1628" s="757">
        <v>0.58472222222222225</v>
      </c>
      <c r="F1628" s="731">
        <v>43403</v>
      </c>
      <c r="G1628" s="730">
        <v>0.61249999999999993</v>
      </c>
      <c r="H1628" s="555" t="s">
        <v>3533</v>
      </c>
      <c r="I1628" s="555" t="s">
        <v>3143</v>
      </c>
      <c r="J1628" s="751" t="s">
        <v>3387</v>
      </c>
      <c r="K1628" s="555" t="s">
        <v>2764</v>
      </c>
      <c r="L1628" s="555" t="s">
        <v>3055</v>
      </c>
      <c r="M1628" s="555" t="s">
        <v>3055</v>
      </c>
    </row>
    <row r="1629" spans="3:13" ht="18.75">
      <c r="C1629" s="735"/>
      <c r="D1629" s="555" t="s">
        <v>3534</v>
      </c>
      <c r="E1629" s="757">
        <v>0.8125</v>
      </c>
      <c r="F1629" s="731">
        <v>43405</v>
      </c>
      <c r="G1629" s="730">
        <v>0.78819444444444453</v>
      </c>
      <c r="H1629" s="555" t="s">
        <v>2809</v>
      </c>
      <c r="I1629" s="555" t="s">
        <v>1352</v>
      </c>
      <c r="J1629" s="751" t="s">
        <v>2753</v>
      </c>
      <c r="K1629" s="555" t="s">
        <v>22</v>
      </c>
      <c r="L1629" s="555" t="s">
        <v>3536</v>
      </c>
      <c r="M1629" s="555" t="s">
        <v>3537</v>
      </c>
    </row>
    <row r="1630" spans="3:13" ht="18.75">
      <c r="C1630" s="735"/>
      <c r="D1630" s="555" t="s">
        <v>3538</v>
      </c>
      <c r="E1630" s="757">
        <v>0.40972222222222227</v>
      </c>
      <c r="F1630" s="731" t="s">
        <v>45</v>
      </c>
      <c r="G1630" s="730" t="s">
        <v>45</v>
      </c>
      <c r="H1630" s="555" t="s">
        <v>3531</v>
      </c>
      <c r="I1630" s="555" t="s">
        <v>674</v>
      </c>
      <c r="J1630" s="751" t="s">
        <v>3463</v>
      </c>
      <c r="K1630" s="555" t="s">
        <v>100</v>
      </c>
      <c r="L1630" s="555" t="s">
        <v>3055</v>
      </c>
      <c r="M1630" s="555" t="s">
        <v>3055</v>
      </c>
    </row>
    <row r="1631" spans="3:13" ht="18.75">
      <c r="C1631" s="735"/>
      <c r="D1631" s="555" t="s">
        <v>3539</v>
      </c>
      <c r="E1631" s="757">
        <v>0.24513888888888888</v>
      </c>
      <c r="F1631" s="731">
        <v>43407</v>
      </c>
      <c r="G1631" s="730">
        <v>0.24791666666666667</v>
      </c>
      <c r="H1631" s="555" t="s">
        <v>3461</v>
      </c>
      <c r="I1631" s="555" t="s">
        <v>63</v>
      </c>
      <c r="J1631" s="751" t="s">
        <v>3387</v>
      </c>
      <c r="K1631" s="555" t="s">
        <v>2764</v>
      </c>
      <c r="L1631" s="555" t="s">
        <v>3055</v>
      </c>
      <c r="M1631" s="555" t="s">
        <v>3055</v>
      </c>
    </row>
    <row r="1632" spans="3:13" ht="18.75">
      <c r="C1632" s="735"/>
      <c r="D1632" s="555" t="s">
        <v>3539</v>
      </c>
      <c r="E1632" s="757">
        <v>0.72222222222222221</v>
      </c>
      <c r="F1632" s="731">
        <v>43408</v>
      </c>
      <c r="G1632" s="730">
        <v>0.60416666666666663</v>
      </c>
      <c r="H1632" s="555" t="s">
        <v>3541</v>
      </c>
      <c r="I1632" s="555" t="s">
        <v>61</v>
      </c>
      <c r="J1632" s="751" t="s">
        <v>3451</v>
      </c>
      <c r="K1632" s="555" t="s">
        <v>22</v>
      </c>
      <c r="L1632" s="555" t="s">
        <v>45</v>
      </c>
      <c r="M1632" s="555" t="s">
        <v>3542</v>
      </c>
    </row>
    <row r="1633" spans="3:13" ht="18.75">
      <c r="C1633" s="735"/>
      <c r="D1633" s="555" t="s">
        <v>3543</v>
      </c>
      <c r="E1633" s="757">
        <v>0.40902777777777777</v>
      </c>
      <c r="F1633" s="731">
        <v>43413</v>
      </c>
      <c r="G1633" s="730">
        <v>0.58680555555555558</v>
      </c>
      <c r="H1633" s="555" t="s">
        <v>3189</v>
      </c>
      <c r="I1633" s="555" t="s">
        <v>63</v>
      </c>
      <c r="J1633" s="751" t="s">
        <v>3451</v>
      </c>
      <c r="K1633" s="555" t="s">
        <v>22</v>
      </c>
      <c r="L1633" s="555" t="s">
        <v>45</v>
      </c>
      <c r="M1633" s="555" t="s">
        <v>3545</v>
      </c>
    </row>
    <row r="1634" spans="3:13" ht="18.75">
      <c r="C1634" s="735"/>
      <c r="D1634" s="555" t="s">
        <v>3546</v>
      </c>
      <c r="E1634" s="757">
        <v>0.30277777777777776</v>
      </c>
      <c r="F1634" s="731">
        <v>43432</v>
      </c>
      <c r="G1634" s="730">
        <v>0.68888888888888899</v>
      </c>
      <c r="H1634" s="555" t="s">
        <v>2894</v>
      </c>
      <c r="I1634" s="555" t="s">
        <v>124</v>
      </c>
      <c r="J1634" s="751" t="s">
        <v>3366</v>
      </c>
      <c r="K1634" s="555" t="s">
        <v>3465</v>
      </c>
      <c r="L1634" s="555" t="s">
        <v>3548</v>
      </c>
      <c r="M1634" s="555" t="s">
        <v>3549</v>
      </c>
    </row>
    <row r="1635" spans="3:13" ht="18.75">
      <c r="C1635" s="735"/>
      <c r="D1635" s="555" t="s">
        <v>3546</v>
      </c>
      <c r="E1635" s="757">
        <v>0.66666666666666663</v>
      </c>
      <c r="F1635" s="731" t="s">
        <v>45</v>
      </c>
      <c r="G1635" s="730" t="s">
        <v>45</v>
      </c>
      <c r="H1635" s="555" t="s">
        <v>3550</v>
      </c>
      <c r="I1635" s="555" t="s">
        <v>124</v>
      </c>
      <c r="J1635" s="751" t="s">
        <v>3356</v>
      </c>
      <c r="K1635" s="555" t="s">
        <v>100</v>
      </c>
      <c r="L1635" s="555" t="s">
        <v>3055</v>
      </c>
      <c r="M1635" s="555" t="s">
        <v>3055</v>
      </c>
    </row>
    <row r="1636" spans="3:13" ht="18.75">
      <c r="C1636" s="735"/>
      <c r="D1636" s="555" t="s">
        <v>3544</v>
      </c>
      <c r="E1636" s="757">
        <v>0.37638888888888888</v>
      </c>
      <c r="F1636" s="731">
        <v>43413</v>
      </c>
      <c r="G1636" s="730">
        <v>0.43263888888888885</v>
      </c>
      <c r="H1636" s="555" t="s">
        <v>3551</v>
      </c>
      <c r="I1636" s="555" t="s">
        <v>674</v>
      </c>
      <c r="J1636" s="751" t="s">
        <v>3387</v>
      </c>
      <c r="K1636" s="555" t="s">
        <v>2764</v>
      </c>
      <c r="L1636" s="555" t="s">
        <v>3055</v>
      </c>
      <c r="M1636" s="555" t="s">
        <v>3055</v>
      </c>
    </row>
    <row r="1637" spans="3:13" ht="18.75">
      <c r="C1637" s="735"/>
      <c r="D1637" s="555" t="s">
        <v>3552</v>
      </c>
      <c r="E1637" s="757">
        <v>0.70972222222222225</v>
      </c>
      <c r="F1637" s="731">
        <v>43418</v>
      </c>
      <c r="G1637" s="730">
        <v>0.625</v>
      </c>
      <c r="H1637" s="555" t="s">
        <v>3554</v>
      </c>
      <c r="I1637" s="555" t="s">
        <v>674</v>
      </c>
      <c r="J1637" s="751" t="s">
        <v>2780</v>
      </c>
      <c r="K1637" s="555" t="s">
        <v>1138</v>
      </c>
      <c r="L1637" s="555" t="s">
        <v>3055</v>
      </c>
      <c r="M1637" s="555" t="s">
        <v>3055</v>
      </c>
    </row>
    <row r="1638" spans="3:13" ht="18.75">
      <c r="C1638" s="735"/>
      <c r="D1638" s="555" t="s">
        <v>3555</v>
      </c>
      <c r="E1638" s="757">
        <v>0.7631944444444444</v>
      </c>
      <c r="F1638" s="731">
        <v>43417</v>
      </c>
      <c r="G1638" s="730">
        <v>0.81944444444444453</v>
      </c>
      <c r="H1638" s="555" t="s">
        <v>3556</v>
      </c>
      <c r="I1638" s="555" t="s">
        <v>3347</v>
      </c>
      <c r="J1638" s="751" t="s">
        <v>3387</v>
      </c>
      <c r="K1638" s="555" t="s">
        <v>2764</v>
      </c>
      <c r="L1638" s="555" t="s">
        <v>3055</v>
      </c>
      <c r="M1638" s="555" t="s">
        <v>3055</v>
      </c>
    </row>
    <row r="1639" spans="3:13" ht="18.75">
      <c r="C1639" s="735"/>
      <c r="D1639" s="555" t="s">
        <v>3557</v>
      </c>
      <c r="E1639" s="757">
        <v>0.4513888888888889</v>
      </c>
      <c r="F1639" s="731">
        <v>43421</v>
      </c>
      <c r="G1639" s="730">
        <v>0.54999999999999993</v>
      </c>
      <c r="H1639" s="555" t="s">
        <v>3256</v>
      </c>
      <c r="I1639" s="555" t="s">
        <v>3143</v>
      </c>
      <c r="J1639" s="751" t="s">
        <v>3451</v>
      </c>
      <c r="K1639" s="555" t="s">
        <v>22</v>
      </c>
      <c r="L1639" s="555" t="s">
        <v>45</v>
      </c>
      <c r="M1639" s="555" t="s">
        <v>3559</v>
      </c>
    </row>
    <row r="1640" spans="3:13" ht="18.75">
      <c r="C1640" s="735"/>
      <c r="D1640" s="555" t="s">
        <v>3557</v>
      </c>
      <c r="E1640" s="757">
        <v>0.14097222222222222</v>
      </c>
      <c r="F1640" s="731">
        <v>43419</v>
      </c>
      <c r="G1640" s="730">
        <v>0.73263888888888884</v>
      </c>
      <c r="H1640" s="555" t="s">
        <v>3354</v>
      </c>
      <c r="I1640" s="555" t="s">
        <v>63</v>
      </c>
      <c r="J1640" s="751" t="s">
        <v>3451</v>
      </c>
      <c r="K1640" s="555" t="s">
        <v>22</v>
      </c>
      <c r="L1640" s="555" t="s">
        <v>45</v>
      </c>
      <c r="M1640" s="555" t="s">
        <v>3560</v>
      </c>
    </row>
    <row r="1641" spans="3:13" ht="18.75">
      <c r="C1641" s="735"/>
      <c r="D1641" s="555" t="s">
        <v>3557</v>
      </c>
      <c r="E1641" s="757">
        <v>0.22777777777777777</v>
      </c>
      <c r="F1641" s="731">
        <v>43419</v>
      </c>
      <c r="G1641" s="730">
        <v>0.3576388888888889</v>
      </c>
      <c r="H1641" s="555" t="s">
        <v>3561</v>
      </c>
      <c r="I1641" s="555" t="s">
        <v>3143</v>
      </c>
      <c r="J1641" s="751" t="s">
        <v>3451</v>
      </c>
      <c r="K1641" s="555" t="s">
        <v>22</v>
      </c>
      <c r="L1641" s="555" t="s">
        <v>45</v>
      </c>
      <c r="M1641" s="555" t="s">
        <v>3508</v>
      </c>
    </row>
    <row r="1642" spans="3:13" ht="18.75">
      <c r="C1642" s="735"/>
      <c r="D1642" s="555" t="s">
        <v>3557</v>
      </c>
      <c r="E1642" s="757">
        <v>0.23472222222222219</v>
      </c>
      <c r="F1642" s="731">
        <v>43420</v>
      </c>
      <c r="G1642" s="730">
        <v>0.25</v>
      </c>
      <c r="H1642" s="555" t="s">
        <v>3563</v>
      </c>
      <c r="I1642" s="555" t="s">
        <v>63</v>
      </c>
      <c r="J1642" s="751" t="s">
        <v>3451</v>
      </c>
      <c r="K1642" s="555" t="s">
        <v>22</v>
      </c>
      <c r="L1642" s="555" t="s">
        <v>45</v>
      </c>
      <c r="M1642" s="555" t="s">
        <v>3564</v>
      </c>
    </row>
    <row r="1643" spans="3:13" ht="18.75">
      <c r="C1643" s="735"/>
      <c r="D1643" s="555" t="s">
        <v>3565</v>
      </c>
      <c r="E1643" s="757">
        <v>0.54861111111111105</v>
      </c>
      <c r="F1643" s="731" t="s">
        <v>45</v>
      </c>
      <c r="G1643" s="730" t="s">
        <v>45</v>
      </c>
      <c r="H1643" s="555" t="s">
        <v>3566</v>
      </c>
      <c r="I1643" s="555" t="s">
        <v>674</v>
      </c>
      <c r="J1643" s="751" t="s">
        <v>3356</v>
      </c>
      <c r="K1643" s="555" t="s">
        <v>100</v>
      </c>
      <c r="L1643" s="555" t="s">
        <v>3082</v>
      </c>
      <c r="M1643" s="555" t="s">
        <v>3055</v>
      </c>
    </row>
    <row r="1644" spans="3:13" ht="18.75">
      <c r="C1644" s="735"/>
      <c r="D1644" s="555" t="s">
        <v>3567</v>
      </c>
      <c r="E1644" s="757">
        <v>0.9375</v>
      </c>
      <c r="F1644" s="731">
        <v>43432</v>
      </c>
      <c r="G1644" s="730">
        <v>0.84513888888888899</v>
      </c>
      <c r="H1644" s="555" t="s">
        <v>3568</v>
      </c>
      <c r="I1644" s="555" t="s">
        <v>63</v>
      </c>
      <c r="J1644" s="751" t="s">
        <v>3451</v>
      </c>
      <c r="K1644" s="555" t="s">
        <v>22</v>
      </c>
      <c r="L1644" s="555" t="s">
        <v>45</v>
      </c>
      <c r="M1644" s="555" t="s">
        <v>3569</v>
      </c>
    </row>
    <row r="1645" spans="3:13" ht="18.75">
      <c r="C1645" s="735"/>
      <c r="D1645" s="555" t="s">
        <v>3570</v>
      </c>
      <c r="E1645" s="757">
        <v>0.33333333333333331</v>
      </c>
      <c r="F1645" s="731">
        <v>43432</v>
      </c>
      <c r="G1645" s="730">
        <v>0.70138888888888884</v>
      </c>
      <c r="H1645" s="555" t="s">
        <v>3571</v>
      </c>
      <c r="I1645" s="555" t="s">
        <v>61</v>
      </c>
      <c r="J1645" s="751" t="s">
        <v>3451</v>
      </c>
      <c r="K1645" s="555" t="s">
        <v>22</v>
      </c>
      <c r="L1645" s="555" t="s">
        <v>45</v>
      </c>
      <c r="M1645" s="555" t="s">
        <v>3572</v>
      </c>
    </row>
    <row r="1646" spans="3:13" ht="18.75">
      <c r="C1646" s="735"/>
      <c r="D1646" s="555" t="s">
        <v>3573</v>
      </c>
      <c r="E1646" s="757">
        <v>0.40277777777777773</v>
      </c>
      <c r="F1646" s="731">
        <v>43438</v>
      </c>
      <c r="G1646" s="730">
        <v>0.72013888888888899</v>
      </c>
      <c r="H1646" s="555" t="s">
        <v>3245</v>
      </c>
      <c r="I1646" s="555" t="s">
        <v>3143</v>
      </c>
      <c r="J1646" s="751" t="s">
        <v>3356</v>
      </c>
      <c r="K1646" s="751" t="s">
        <v>100</v>
      </c>
      <c r="L1646" s="555" t="s">
        <v>3055</v>
      </c>
      <c r="M1646" s="555" t="s">
        <v>3055</v>
      </c>
    </row>
    <row r="1647" spans="3:13" ht="18.75">
      <c r="C1647" s="735"/>
      <c r="D1647" s="555" t="s">
        <v>3573</v>
      </c>
      <c r="E1647" s="757">
        <v>0.68263888888888891</v>
      </c>
      <c r="F1647" s="731">
        <v>43435</v>
      </c>
      <c r="G1647" s="730">
        <v>0.71458333333333324</v>
      </c>
      <c r="H1647" s="555" t="s">
        <v>3575</v>
      </c>
      <c r="I1647" s="555" t="s">
        <v>301</v>
      </c>
      <c r="J1647" s="751" t="s">
        <v>3387</v>
      </c>
      <c r="K1647" s="751" t="s">
        <v>2764</v>
      </c>
      <c r="L1647" s="555" t="s">
        <v>3055</v>
      </c>
      <c r="M1647" s="555" t="s">
        <v>3055</v>
      </c>
    </row>
    <row r="1648" spans="3:13" ht="18.75">
      <c r="C1648" s="735"/>
      <c r="D1648" s="555" t="s">
        <v>3576</v>
      </c>
      <c r="E1648" s="757">
        <v>0.67847222222222225</v>
      </c>
      <c r="F1648" s="731">
        <v>43436</v>
      </c>
      <c r="G1648" s="730">
        <v>0.85416666666666663</v>
      </c>
      <c r="H1648" s="555" t="s">
        <v>3252</v>
      </c>
      <c r="I1648" s="555" t="s">
        <v>3143</v>
      </c>
      <c r="J1648" s="751" t="s">
        <v>3387</v>
      </c>
      <c r="K1648" s="751" t="s">
        <v>2764</v>
      </c>
      <c r="L1648" s="555" t="s">
        <v>3055</v>
      </c>
      <c r="M1648" s="555" t="s">
        <v>3055</v>
      </c>
    </row>
    <row r="1649" spans="3:13" ht="18.75">
      <c r="C1649" s="735"/>
      <c r="D1649" s="555" t="s">
        <v>3577</v>
      </c>
      <c r="E1649" s="757">
        <v>0.13541666666666666</v>
      </c>
      <c r="F1649" s="731">
        <v>43437</v>
      </c>
      <c r="G1649" s="730">
        <v>0.15555555555555556</v>
      </c>
      <c r="H1649" s="555" t="s">
        <v>2919</v>
      </c>
      <c r="I1649" s="555" t="s">
        <v>1352</v>
      </c>
      <c r="J1649" s="751" t="s">
        <v>3411</v>
      </c>
      <c r="K1649" s="751" t="s">
        <v>2483</v>
      </c>
      <c r="L1649" s="555" t="s">
        <v>3578</v>
      </c>
      <c r="M1649" s="555" t="s">
        <v>45</v>
      </c>
    </row>
    <row r="1650" spans="3:13" ht="18.75">
      <c r="C1650" s="735"/>
      <c r="D1650" s="555" t="s">
        <v>3579</v>
      </c>
      <c r="E1650" s="757">
        <v>0.33333333333333331</v>
      </c>
      <c r="F1650" s="731">
        <v>43440</v>
      </c>
      <c r="G1650" s="730">
        <v>0.33333333333333331</v>
      </c>
      <c r="H1650" s="555" t="s">
        <v>3581</v>
      </c>
      <c r="I1650" s="555" t="s">
        <v>63</v>
      </c>
      <c r="J1650" s="751" t="s">
        <v>3356</v>
      </c>
      <c r="K1650" s="751" t="s">
        <v>100</v>
      </c>
      <c r="L1650" s="555" t="s">
        <v>3055</v>
      </c>
      <c r="M1650" s="555" t="s">
        <v>3055</v>
      </c>
    </row>
    <row r="1651" spans="3:13" ht="18.75">
      <c r="C1651" s="735"/>
      <c r="D1651" s="555" t="s">
        <v>3579</v>
      </c>
      <c r="E1651" s="757">
        <v>0.53333333333333333</v>
      </c>
      <c r="F1651" s="731">
        <v>43439</v>
      </c>
      <c r="G1651" s="730">
        <v>0.53402777777777777</v>
      </c>
      <c r="H1651" s="555" t="s">
        <v>2967</v>
      </c>
      <c r="I1651" s="555" t="s">
        <v>124</v>
      </c>
      <c r="J1651" s="751" t="s">
        <v>3356</v>
      </c>
      <c r="K1651" s="751" t="s">
        <v>100</v>
      </c>
      <c r="L1651" s="555" t="s">
        <v>3055</v>
      </c>
      <c r="M1651" s="555" t="s">
        <v>3055</v>
      </c>
    </row>
    <row r="1652" spans="3:13" ht="18.75">
      <c r="C1652" s="735"/>
      <c r="D1652" s="555" t="s">
        <v>3582</v>
      </c>
      <c r="E1652" s="757">
        <v>0.13194444444444445</v>
      </c>
      <c r="F1652" s="731">
        <v>43441</v>
      </c>
      <c r="G1652" s="730">
        <v>0.19097222222222221</v>
      </c>
      <c r="H1652" s="555" t="s">
        <v>3583</v>
      </c>
      <c r="I1652" s="555" t="s">
        <v>124</v>
      </c>
      <c r="J1652" s="751" t="s">
        <v>3463</v>
      </c>
      <c r="K1652" s="751" t="s">
        <v>2293</v>
      </c>
      <c r="L1652" s="555" t="s">
        <v>3055</v>
      </c>
      <c r="M1652" s="555" t="s">
        <v>3055</v>
      </c>
    </row>
    <row r="1653" spans="3:13" ht="18.75">
      <c r="C1653" s="735"/>
      <c r="D1653" s="555" t="s">
        <v>3584</v>
      </c>
      <c r="E1653" s="757">
        <v>0.14930555555555555</v>
      </c>
      <c r="F1653" s="731">
        <v>43444</v>
      </c>
      <c r="G1653" s="730">
        <v>0.98958333333333337</v>
      </c>
      <c r="H1653" s="555" t="s">
        <v>2928</v>
      </c>
      <c r="I1653" s="555" t="s">
        <v>63</v>
      </c>
      <c r="J1653" s="751" t="s">
        <v>3451</v>
      </c>
      <c r="K1653" s="751" t="s">
        <v>2990</v>
      </c>
      <c r="L1653" s="555" t="s">
        <v>45</v>
      </c>
      <c r="M1653" s="555" t="s">
        <v>3240</v>
      </c>
    </row>
    <row r="1654" spans="3:13" ht="18.75">
      <c r="C1654" s="735"/>
      <c r="D1654" s="555" t="s">
        <v>3584</v>
      </c>
      <c r="E1654" s="757">
        <v>0.97777777777777775</v>
      </c>
      <c r="F1654" s="731">
        <v>43444</v>
      </c>
      <c r="G1654" s="730">
        <v>6.25E-2</v>
      </c>
      <c r="H1654" s="555" t="s">
        <v>3586</v>
      </c>
      <c r="I1654" s="555" t="s">
        <v>63</v>
      </c>
      <c r="J1654" s="751" t="s">
        <v>3356</v>
      </c>
      <c r="K1654" s="751" t="s">
        <v>100</v>
      </c>
      <c r="L1654" s="555" t="s">
        <v>3055</v>
      </c>
      <c r="M1654" s="555" t="s">
        <v>3055</v>
      </c>
    </row>
    <row r="1655" spans="3:13" ht="18.75">
      <c r="C1655" s="735"/>
      <c r="D1655" s="555" t="s">
        <v>3584</v>
      </c>
      <c r="E1655" s="757">
        <v>0.36180555555555555</v>
      </c>
      <c r="F1655" s="731">
        <v>43443</v>
      </c>
      <c r="G1655" s="730">
        <v>0.75</v>
      </c>
      <c r="H1655" s="555" t="s">
        <v>2928</v>
      </c>
      <c r="I1655" s="555" t="s">
        <v>63</v>
      </c>
      <c r="J1655" s="751" t="s">
        <v>3451</v>
      </c>
      <c r="K1655" s="751" t="s">
        <v>22</v>
      </c>
      <c r="L1655" s="555" t="s">
        <v>45</v>
      </c>
      <c r="M1655" s="555" t="s">
        <v>3340</v>
      </c>
    </row>
    <row r="1656" spans="3:13" ht="18.75">
      <c r="C1656" s="735"/>
      <c r="D1656" s="555" t="s">
        <v>3584</v>
      </c>
      <c r="E1656" s="757">
        <v>1.5972222222222224E-2</v>
      </c>
      <c r="F1656" s="731">
        <v>43443</v>
      </c>
      <c r="G1656" s="730">
        <v>0.49583333333333335</v>
      </c>
      <c r="H1656" s="555" t="s">
        <v>3273</v>
      </c>
      <c r="I1656" s="555" t="s">
        <v>63</v>
      </c>
      <c r="J1656" s="751" t="s">
        <v>3451</v>
      </c>
      <c r="K1656" s="751" t="s">
        <v>22</v>
      </c>
      <c r="L1656" s="555" t="s">
        <v>3587</v>
      </c>
      <c r="M1656" s="555" t="s">
        <v>3588</v>
      </c>
    </row>
    <row r="1657" spans="3:13" ht="18.75">
      <c r="C1657" s="735"/>
      <c r="D1657" s="555" t="s">
        <v>3589</v>
      </c>
      <c r="E1657" s="757">
        <v>0.29166666666666669</v>
      </c>
      <c r="F1657" s="731">
        <v>43447</v>
      </c>
      <c r="G1657" s="730">
        <v>0.58333333333333337</v>
      </c>
      <c r="H1657" s="555" t="s">
        <v>2808</v>
      </c>
      <c r="I1657" s="555" t="s">
        <v>124</v>
      </c>
      <c r="J1657" s="751" t="s">
        <v>3463</v>
      </c>
      <c r="K1657" s="751" t="s">
        <v>100</v>
      </c>
      <c r="L1657" s="555" t="s">
        <v>3055</v>
      </c>
      <c r="M1657" s="555" t="s">
        <v>3055</v>
      </c>
    </row>
    <row r="1658" spans="3:13" ht="18.75">
      <c r="C1658" s="735"/>
      <c r="D1658" s="555" t="s">
        <v>3589</v>
      </c>
      <c r="E1658" s="757">
        <v>0.38194444444444442</v>
      </c>
      <c r="F1658" s="731">
        <v>43445</v>
      </c>
      <c r="G1658" s="730">
        <v>0.43472222222222223</v>
      </c>
      <c r="H1658" s="555" t="s">
        <v>3591</v>
      </c>
      <c r="I1658" s="555" t="s">
        <v>1352</v>
      </c>
      <c r="J1658" s="751" t="s">
        <v>3387</v>
      </c>
      <c r="K1658" s="751" t="s">
        <v>2764</v>
      </c>
      <c r="L1658" s="555" t="s">
        <v>3055</v>
      </c>
      <c r="M1658" s="555" t="s">
        <v>3055</v>
      </c>
    </row>
    <row r="1659" spans="3:13" ht="18.75">
      <c r="C1659" s="735"/>
      <c r="D1659" s="555" t="s">
        <v>3592</v>
      </c>
      <c r="E1659" s="757">
        <v>0.41666666666666669</v>
      </c>
      <c r="F1659" s="731">
        <v>43446</v>
      </c>
      <c r="G1659" s="730">
        <v>0.4381944444444445</v>
      </c>
      <c r="H1659" s="555" t="s">
        <v>3593</v>
      </c>
      <c r="I1659" s="555" t="s">
        <v>124</v>
      </c>
      <c r="J1659" s="751" t="s">
        <v>3463</v>
      </c>
      <c r="K1659" s="751" t="s">
        <v>100</v>
      </c>
      <c r="L1659" s="555" t="s">
        <v>3055</v>
      </c>
      <c r="M1659" s="555" t="s">
        <v>3055</v>
      </c>
    </row>
    <row r="1660" spans="3:13" ht="18.75">
      <c r="C1660" s="735"/>
      <c r="D1660" s="555" t="s">
        <v>3590</v>
      </c>
      <c r="E1660" s="757">
        <v>0.41666666666666669</v>
      </c>
      <c r="F1660" s="731" t="s">
        <v>45</v>
      </c>
      <c r="G1660" s="730" t="s">
        <v>45</v>
      </c>
      <c r="H1660" s="555" t="s">
        <v>3594</v>
      </c>
      <c r="I1660" s="555" t="s">
        <v>124</v>
      </c>
      <c r="J1660" s="751" t="s">
        <v>3402</v>
      </c>
      <c r="K1660" s="751" t="s">
        <v>2118</v>
      </c>
      <c r="L1660" s="555" t="s">
        <v>3055</v>
      </c>
      <c r="M1660" s="555" t="s">
        <v>3055</v>
      </c>
    </row>
    <row r="1661" spans="3:13" ht="18.75">
      <c r="C1661" s="735"/>
      <c r="D1661" s="555" t="s">
        <v>3595</v>
      </c>
      <c r="E1661" s="757">
        <v>0.66666666666666663</v>
      </c>
      <c r="F1661" s="731">
        <v>43451</v>
      </c>
      <c r="G1661" s="730">
        <v>8.3333333333333329E-2</v>
      </c>
      <c r="H1661" s="555" t="s">
        <v>3597</v>
      </c>
      <c r="I1661" s="555" t="s">
        <v>124</v>
      </c>
      <c r="J1661" s="751" t="s">
        <v>3451</v>
      </c>
      <c r="K1661" s="751" t="s">
        <v>22</v>
      </c>
      <c r="L1661" s="555" t="s">
        <v>45</v>
      </c>
      <c r="M1661" s="555" t="s">
        <v>3560</v>
      </c>
    </row>
    <row r="1662" spans="3:13" ht="18.75">
      <c r="C1662" s="735"/>
      <c r="D1662" s="555" t="s">
        <v>3595</v>
      </c>
      <c r="E1662" s="757">
        <v>0.75</v>
      </c>
      <c r="F1662" s="731" t="s">
        <v>45</v>
      </c>
      <c r="G1662" s="730" t="s">
        <v>45</v>
      </c>
      <c r="H1662" s="555" t="s">
        <v>2813</v>
      </c>
      <c r="I1662" s="555" t="s">
        <v>124</v>
      </c>
      <c r="J1662" s="751" t="s">
        <v>3451</v>
      </c>
      <c r="K1662" s="751" t="s">
        <v>22</v>
      </c>
      <c r="L1662" s="555" t="s">
        <v>3110</v>
      </c>
      <c r="M1662" s="555" t="s">
        <v>3237</v>
      </c>
    </row>
    <row r="1663" spans="3:13" ht="18.75">
      <c r="C1663" s="735"/>
      <c r="D1663" s="555" t="s">
        <v>3595</v>
      </c>
      <c r="E1663" s="757">
        <v>0.3611111111111111</v>
      </c>
      <c r="F1663" s="731">
        <v>43448</v>
      </c>
      <c r="G1663" s="730">
        <v>0.41666666666666669</v>
      </c>
      <c r="H1663" s="555" t="s">
        <v>3598</v>
      </c>
      <c r="I1663" s="555" t="s">
        <v>1352</v>
      </c>
      <c r="J1663" s="751" t="s">
        <v>3402</v>
      </c>
      <c r="K1663" s="751" t="s">
        <v>2118</v>
      </c>
      <c r="L1663" s="555" t="s">
        <v>3055</v>
      </c>
      <c r="M1663" s="555" t="s">
        <v>3055</v>
      </c>
    </row>
    <row r="1664" spans="3:13" ht="18.75">
      <c r="C1664" s="735"/>
      <c r="D1664" s="555" t="s">
        <v>3599</v>
      </c>
      <c r="E1664" s="757">
        <v>0.3659722222222222</v>
      </c>
      <c r="F1664" s="731">
        <v>43452</v>
      </c>
      <c r="G1664" s="730">
        <v>0.3666666666666667</v>
      </c>
      <c r="H1664" s="555" t="s">
        <v>3600</v>
      </c>
      <c r="I1664" s="555" t="s">
        <v>124</v>
      </c>
      <c r="J1664" s="751" t="s">
        <v>3463</v>
      </c>
      <c r="K1664" s="751" t="s">
        <v>100</v>
      </c>
      <c r="L1664" s="555" t="s">
        <v>3055</v>
      </c>
      <c r="M1664" s="555" t="s">
        <v>3055</v>
      </c>
    </row>
    <row r="1665" spans="3:13" ht="18.75">
      <c r="C1665" s="735"/>
      <c r="D1665" s="555" t="s">
        <v>3601</v>
      </c>
      <c r="E1665" s="757">
        <v>0.39583333333333331</v>
      </c>
      <c r="F1665" s="731">
        <v>43454</v>
      </c>
      <c r="G1665" s="730">
        <v>0.70833333333333337</v>
      </c>
      <c r="H1665" s="555" t="s">
        <v>3602</v>
      </c>
      <c r="I1665" s="555" t="s">
        <v>124</v>
      </c>
      <c r="J1665" s="751" t="s">
        <v>3451</v>
      </c>
      <c r="K1665" s="751" t="s">
        <v>22</v>
      </c>
      <c r="L1665" s="555" t="s">
        <v>45</v>
      </c>
      <c r="M1665" s="555" t="s">
        <v>3603</v>
      </c>
    </row>
    <row r="1666" spans="3:13" ht="18.75">
      <c r="C1666" s="735"/>
      <c r="D1666" s="555" t="s">
        <v>3604</v>
      </c>
      <c r="E1666" s="757">
        <v>4.1666666666666664E-2</v>
      </c>
      <c r="F1666" s="731">
        <v>43468</v>
      </c>
      <c r="G1666" s="730">
        <v>0.43541666666666662</v>
      </c>
      <c r="H1666" s="555" t="s">
        <v>3357</v>
      </c>
      <c r="I1666" s="555" t="s">
        <v>124</v>
      </c>
      <c r="J1666" s="751" t="s">
        <v>3463</v>
      </c>
      <c r="K1666" s="751" t="s">
        <v>100</v>
      </c>
      <c r="L1666" s="555" t="s">
        <v>3055</v>
      </c>
      <c r="M1666" s="555" t="s">
        <v>3055</v>
      </c>
    </row>
    <row r="1667" spans="3:13" ht="18.75">
      <c r="C1667" s="735"/>
      <c r="D1667" s="555" t="s">
        <v>3606</v>
      </c>
      <c r="E1667" s="757">
        <v>0.8833333333333333</v>
      </c>
      <c r="F1667" s="731">
        <v>43461</v>
      </c>
      <c r="G1667" s="730">
        <v>0.88611111111111107</v>
      </c>
      <c r="H1667" s="555" t="s">
        <v>3370</v>
      </c>
      <c r="I1667" s="555" t="s">
        <v>61</v>
      </c>
      <c r="J1667" s="751" t="s">
        <v>3411</v>
      </c>
      <c r="K1667" s="751" t="s">
        <v>2483</v>
      </c>
      <c r="L1667" s="555" t="s">
        <v>45</v>
      </c>
      <c r="M1667" s="555" t="s">
        <v>45</v>
      </c>
    </row>
    <row r="1668" spans="3:13" ht="18.75">
      <c r="C1668" s="735"/>
      <c r="D1668" s="555" t="s">
        <v>3606</v>
      </c>
      <c r="E1668" s="757">
        <v>3.472222222222222E-3</v>
      </c>
      <c r="F1668" s="731">
        <v>43461</v>
      </c>
      <c r="G1668" s="730">
        <v>4.5138888888888888E-2</v>
      </c>
      <c r="H1668" s="555" t="s">
        <v>3607</v>
      </c>
      <c r="I1668" s="555" t="s">
        <v>3143</v>
      </c>
      <c r="J1668" s="751" t="s">
        <v>3387</v>
      </c>
      <c r="K1668" s="751" t="s">
        <v>2764</v>
      </c>
      <c r="L1668" s="555" t="s">
        <v>3055</v>
      </c>
      <c r="M1668" s="555" t="s">
        <v>3055</v>
      </c>
    </row>
    <row r="1669" spans="3:13" ht="18.75">
      <c r="C1669" s="735"/>
      <c r="D1669" s="555" t="s">
        <v>3606</v>
      </c>
      <c r="E1669" s="757">
        <v>0.53472222222222221</v>
      </c>
      <c r="F1669" s="731">
        <v>43461</v>
      </c>
      <c r="G1669" s="730">
        <v>0.54166666666666663</v>
      </c>
      <c r="H1669" s="555" t="s">
        <v>3357</v>
      </c>
      <c r="I1669" s="555" t="s">
        <v>124</v>
      </c>
      <c r="J1669" s="751" t="s">
        <v>3356</v>
      </c>
      <c r="K1669" s="751" t="s">
        <v>100</v>
      </c>
      <c r="L1669" s="555" t="s">
        <v>3055</v>
      </c>
      <c r="M1669" s="555" t="s">
        <v>3055</v>
      </c>
    </row>
    <row r="1670" spans="3:13" ht="18.75">
      <c r="C1670" s="735"/>
      <c r="D1670" s="555" t="s">
        <v>3608</v>
      </c>
      <c r="E1670" s="757">
        <v>0.48680555555555555</v>
      </c>
      <c r="F1670" s="731">
        <v>43464</v>
      </c>
      <c r="G1670" s="730">
        <v>0.55555555555555558</v>
      </c>
      <c r="H1670" s="555" t="s">
        <v>2801</v>
      </c>
      <c r="I1670" s="555" t="s">
        <v>124</v>
      </c>
      <c r="J1670" s="751" t="s">
        <v>3387</v>
      </c>
      <c r="K1670" s="751" t="s">
        <v>2764</v>
      </c>
      <c r="L1670" s="555" t="s">
        <v>3055</v>
      </c>
      <c r="M1670" s="555" t="s">
        <v>3055</v>
      </c>
    </row>
    <row r="1671" spans="3:13" ht="18.75">
      <c r="C1671" s="735"/>
      <c r="D1671" s="555" t="s">
        <v>3610</v>
      </c>
      <c r="E1671" s="757">
        <v>0.55486111111111114</v>
      </c>
      <c r="F1671" s="731">
        <v>43470</v>
      </c>
      <c r="G1671" s="730">
        <v>0.62986111111111109</v>
      </c>
      <c r="H1671" s="555" t="s">
        <v>2853</v>
      </c>
      <c r="I1671" s="555" t="s">
        <v>124</v>
      </c>
      <c r="J1671" s="751" t="s">
        <v>3611</v>
      </c>
      <c r="K1671" s="555" t="s">
        <v>2764</v>
      </c>
      <c r="L1671" s="555" t="s">
        <v>3055</v>
      </c>
      <c r="M1671" s="555" t="s">
        <v>45</v>
      </c>
    </row>
    <row r="1672" spans="3:13" ht="18.75">
      <c r="C1672" s="735"/>
      <c r="D1672" s="555" t="s">
        <v>3612</v>
      </c>
      <c r="E1672" s="757">
        <v>0.125</v>
      </c>
      <c r="F1672" s="731">
        <v>43474</v>
      </c>
      <c r="G1672" s="730">
        <v>0.29166666666666669</v>
      </c>
      <c r="H1672" s="555" t="s">
        <v>2853</v>
      </c>
      <c r="I1672" s="555" t="s">
        <v>124</v>
      </c>
      <c r="J1672" s="751" t="s">
        <v>3451</v>
      </c>
      <c r="K1672" s="555" t="s">
        <v>22</v>
      </c>
      <c r="L1672" s="555" t="s">
        <v>3614</v>
      </c>
      <c r="M1672" s="555" t="s">
        <v>3615</v>
      </c>
    </row>
    <row r="1673" spans="3:13" ht="18.75">
      <c r="C1673" s="735"/>
      <c r="D1673" s="555" t="s">
        <v>3612</v>
      </c>
      <c r="E1673" s="757">
        <v>0.74722222222222223</v>
      </c>
      <c r="F1673" s="731">
        <v>43471</v>
      </c>
      <c r="G1673" s="730">
        <v>0.91111111111111109</v>
      </c>
      <c r="H1673" s="555" t="s">
        <v>3616</v>
      </c>
      <c r="I1673" s="555" t="s">
        <v>124</v>
      </c>
      <c r="J1673" s="751" t="s">
        <v>3451</v>
      </c>
      <c r="K1673" s="555" t="s">
        <v>22</v>
      </c>
      <c r="L1673" s="555" t="s">
        <v>3296</v>
      </c>
      <c r="M1673" s="555" t="s">
        <v>3617</v>
      </c>
    </row>
    <row r="1674" spans="3:13" ht="18.75">
      <c r="C1674" s="735"/>
      <c r="D1674" s="555" t="s">
        <v>3612</v>
      </c>
      <c r="E1674" s="757">
        <v>4.1666666666666664E-2</v>
      </c>
      <c r="F1674" s="731">
        <v>43471</v>
      </c>
      <c r="G1674" s="730">
        <v>0.5</v>
      </c>
      <c r="H1674" s="555" t="s">
        <v>3618</v>
      </c>
      <c r="I1674" s="555" t="s">
        <v>124</v>
      </c>
      <c r="J1674" s="751" t="s">
        <v>3451</v>
      </c>
      <c r="K1674" s="555" t="s">
        <v>22</v>
      </c>
      <c r="L1674" s="555" t="s">
        <v>45</v>
      </c>
      <c r="M1674" s="555" t="s">
        <v>3615</v>
      </c>
    </row>
    <row r="1675" spans="3:13" ht="18.75">
      <c r="C1675" s="735"/>
      <c r="D1675" s="555" t="s">
        <v>3619</v>
      </c>
      <c r="E1675" s="757">
        <v>0.87291666666666667</v>
      </c>
      <c r="F1675" s="731">
        <v>43472</v>
      </c>
      <c r="G1675" s="730">
        <v>0.89722222222222225</v>
      </c>
      <c r="H1675" s="555" t="s">
        <v>3307</v>
      </c>
      <c r="I1675" s="555" t="s">
        <v>3143</v>
      </c>
      <c r="J1675" s="751" t="s">
        <v>3387</v>
      </c>
      <c r="K1675" s="555" t="s">
        <v>2764</v>
      </c>
      <c r="L1675" s="555" t="s">
        <v>3055</v>
      </c>
      <c r="M1675" s="555" t="s">
        <v>3055</v>
      </c>
    </row>
    <row r="1676" spans="3:13" ht="18.75">
      <c r="C1676" s="735"/>
      <c r="D1676" s="555" t="s">
        <v>3613</v>
      </c>
      <c r="E1676" s="757">
        <v>0.49652777777777773</v>
      </c>
      <c r="F1676" s="731">
        <v>43474</v>
      </c>
      <c r="G1676" s="730">
        <v>0.49722222222222223</v>
      </c>
      <c r="H1676" s="555" t="s">
        <v>3620</v>
      </c>
      <c r="I1676" s="555" t="s">
        <v>124</v>
      </c>
      <c r="J1676" s="751" t="s">
        <v>3402</v>
      </c>
      <c r="K1676" s="555" t="s">
        <v>2118</v>
      </c>
      <c r="L1676" s="555" t="s">
        <v>3055</v>
      </c>
      <c r="M1676" s="555" t="s">
        <v>3055</v>
      </c>
    </row>
    <row r="1677" spans="3:13" ht="18.75">
      <c r="C1677" s="735"/>
      <c r="D1677" s="555" t="s">
        <v>3621</v>
      </c>
      <c r="E1677" s="757">
        <v>0.5131944444444444</v>
      </c>
      <c r="F1677" s="731">
        <v>43475</v>
      </c>
      <c r="G1677" s="730">
        <v>0.53333333333333333</v>
      </c>
      <c r="H1677" s="555" t="s">
        <v>3622</v>
      </c>
      <c r="I1677" s="555" t="s">
        <v>124</v>
      </c>
      <c r="J1677" s="751" t="s">
        <v>3411</v>
      </c>
      <c r="K1677" s="555" t="s">
        <v>2764</v>
      </c>
      <c r="L1677" s="555" t="s">
        <v>3623</v>
      </c>
      <c r="M1677" s="555" t="s">
        <v>3082</v>
      </c>
    </row>
    <row r="1678" spans="3:13" ht="18.75">
      <c r="C1678" s="735"/>
      <c r="D1678" s="555" t="s">
        <v>3624</v>
      </c>
      <c r="E1678" s="757">
        <v>0.48333333333333334</v>
      </c>
      <c r="F1678" s="731">
        <v>43476</v>
      </c>
      <c r="G1678" s="730">
        <v>0.52986111111111112</v>
      </c>
      <c r="H1678" s="555" t="s">
        <v>2959</v>
      </c>
      <c r="I1678" s="555" t="s">
        <v>3143</v>
      </c>
      <c r="J1678" s="751" t="s">
        <v>3387</v>
      </c>
      <c r="K1678" s="555" t="s">
        <v>2764</v>
      </c>
      <c r="L1678" s="555" t="s">
        <v>3055</v>
      </c>
      <c r="M1678" s="555" t="s">
        <v>3055</v>
      </c>
    </row>
    <row r="1679" spans="3:13" ht="18.75">
      <c r="C1679" s="735"/>
      <c r="D1679" s="555" t="s">
        <v>3625</v>
      </c>
      <c r="E1679" s="757">
        <v>0.47916666666666669</v>
      </c>
      <c r="F1679" s="731">
        <v>43478</v>
      </c>
      <c r="G1679" s="730">
        <v>0.91666666666666663</v>
      </c>
      <c r="H1679" s="555" t="s">
        <v>3627</v>
      </c>
      <c r="I1679" s="555" t="s">
        <v>3347</v>
      </c>
      <c r="J1679" s="751" t="s">
        <v>3451</v>
      </c>
      <c r="K1679" s="555" t="s">
        <v>22</v>
      </c>
      <c r="L1679" s="555" t="s">
        <v>45</v>
      </c>
      <c r="M1679" s="555" t="s">
        <v>3628</v>
      </c>
    </row>
    <row r="1680" spans="3:13" ht="18.75">
      <c r="C1680" s="735"/>
      <c r="D1680" s="555" t="s">
        <v>3625</v>
      </c>
      <c r="E1680" s="757">
        <v>0.47916666666666669</v>
      </c>
      <c r="F1680" s="731" t="s">
        <v>45</v>
      </c>
      <c r="G1680" s="730" t="s">
        <v>45</v>
      </c>
      <c r="H1680" s="555" t="s">
        <v>3629</v>
      </c>
      <c r="I1680" s="555" t="s">
        <v>63</v>
      </c>
      <c r="J1680" s="751" t="s">
        <v>3451</v>
      </c>
      <c r="K1680" s="555" t="s">
        <v>22</v>
      </c>
      <c r="L1680" s="555" t="s">
        <v>45</v>
      </c>
      <c r="M1680" s="555" t="s">
        <v>3630</v>
      </c>
    </row>
    <row r="1681" spans="3:13" ht="18.75">
      <c r="C1681" s="735"/>
      <c r="D1681" s="555" t="s">
        <v>3625</v>
      </c>
      <c r="E1681" s="757">
        <v>0.80555555555555547</v>
      </c>
      <c r="F1681" s="731">
        <v>43477</v>
      </c>
      <c r="G1681" s="730">
        <v>0.90138888888888891</v>
      </c>
      <c r="H1681" s="555" t="s">
        <v>3631</v>
      </c>
      <c r="I1681" s="555" t="s">
        <v>61</v>
      </c>
      <c r="J1681" s="751" t="s">
        <v>3387</v>
      </c>
      <c r="K1681" s="555" t="s">
        <v>2764</v>
      </c>
      <c r="L1681" s="555" t="s">
        <v>3055</v>
      </c>
      <c r="M1681" s="555" t="s">
        <v>3055</v>
      </c>
    </row>
    <row r="1682" spans="3:13" ht="18.75">
      <c r="C1682" s="735"/>
      <c r="D1682" s="555" t="s">
        <v>3626</v>
      </c>
      <c r="E1682" s="757">
        <v>0.22916666666666666</v>
      </c>
      <c r="F1682" s="731">
        <v>43480</v>
      </c>
      <c r="G1682" s="730">
        <v>0.70833333333333337</v>
      </c>
      <c r="H1682" s="555" t="s">
        <v>2832</v>
      </c>
      <c r="I1682" s="555" t="s">
        <v>63</v>
      </c>
      <c r="J1682" s="751" t="s">
        <v>3451</v>
      </c>
      <c r="K1682" s="555" t="s">
        <v>22</v>
      </c>
      <c r="L1682" s="555" t="s">
        <v>3633</v>
      </c>
      <c r="M1682" s="555" t="s">
        <v>45</v>
      </c>
    </row>
    <row r="1683" spans="3:13" ht="18.75">
      <c r="C1683" s="735"/>
      <c r="D1683" s="555" t="s">
        <v>3634</v>
      </c>
      <c r="E1683" s="757">
        <v>0.46527777777777773</v>
      </c>
      <c r="F1683" s="731" t="s">
        <v>45</v>
      </c>
      <c r="G1683" s="730" t="s">
        <v>45</v>
      </c>
      <c r="H1683" s="555" t="s">
        <v>3307</v>
      </c>
      <c r="I1683" s="555" t="s">
        <v>3143</v>
      </c>
      <c r="J1683" s="751" t="s">
        <v>3463</v>
      </c>
      <c r="K1683" s="555" t="s">
        <v>2293</v>
      </c>
      <c r="L1683" s="555" t="s">
        <v>45</v>
      </c>
      <c r="M1683" s="555" t="s">
        <v>45</v>
      </c>
    </row>
    <row r="1684" spans="3:13" ht="18.75">
      <c r="C1684" s="735"/>
      <c r="D1684" s="555" t="s">
        <v>3632</v>
      </c>
      <c r="E1684" s="757">
        <v>0.33333333333333331</v>
      </c>
      <c r="F1684" s="731">
        <v>43480</v>
      </c>
      <c r="G1684" s="730">
        <v>0.3347222222222222</v>
      </c>
      <c r="H1684" s="555" t="s">
        <v>3245</v>
      </c>
      <c r="I1684" s="555" t="s">
        <v>3143</v>
      </c>
      <c r="J1684" s="751" t="s">
        <v>3463</v>
      </c>
      <c r="K1684" s="555" t="s">
        <v>100</v>
      </c>
      <c r="L1684" s="555" t="s">
        <v>3055</v>
      </c>
      <c r="M1684" s="555" t="s">
        <v>3055</v>
      </c>
    </row>
    <row r="1685" spans="3:13" ht="18.75">
      <c r="C1685" s="735"/>
      <c r="D1685" s="555" t="s">
        <v>3635</v>
      </c>
      <c r="E1685" s="757">
        <v>0.72638888888888886</v>
      </c>
      <c r="F1685" s="731">
        <v>43482</v>
      </c>
      <c r="G1685" s="730">
        <v>0.5131944444444444</v>
      </c>
      <c r="H1685" s="555" t="s">
        <v>2945</v>
      </c>
      <c r="I1685" s="555" t="s">
        <v>124</v>
      </c>
      <c r="J1685" s="751" t="s">
        <v>3451</v>
      </c>
      <c r="K1685" s="555" t="s">
        <v>22</v>
      </c>
      <c r="L1685" s="555" t="s">
        <v>3637</v>
      </c>
      <c r="M1685" s="555" t="s">
        <v>3638</v>
      </c>
    </row>
    <row r="1686" spans="3:13" ht="18.75">
      <c r="C1686" s="735"/>
      <c r="D1686" s="555" t="s">
        <v>3635</v>
      </c>
      <c r="E1686" s="757">
        <v>0.22152777777777777</v>
      </c>
      <c r="F1686" s="731">
        <v>43481</v>
      </c>
      <c r="G1686" s="730">
        <v>0.30138888888888887</v>
      </c>
      <c r="H1686" s="555" t="s">
        <v>3639</v>
      </c>
      <c r="I1686" s="555" t="s">
        <v>1352</v>
      </c>
      <c r="J1686" s="751" t="s">
        <v>3387</v>
      </c>
      <c r="K1686" s="555" t="s">
        <v>2764</v>
      </c>
      <c r="L1686" s="555" t="s">
        <v>3055</v>
      </c>
      <c r="M1686" s="555" t="s">
        <v>3055</v>
      </c>
    </row>
    <row r="1687" spans="3:13" ht="18.75">
      <c r="C1687" s="735"/>
      <c r="D1687" s="555" t="s">
        <v>3640</v>
      </c>
      <c r="E1687" s="757">
        <v>0.91249999999999998</v>
      </c>
      <c r="F1687" s="731">
        <v>43484</v>
      </c>
      <c r="G1687" s="730">
        <v>1.3194444444444444E-2</v>
      </c>
      <c r="H1687" s="555" t="s">
        <v>3642</v>
      </c>
      <c r="I1687" s="555" t="s">
        <v>674</v>
      </c>
      <c r="J1687" s="751" t="s">
        <v>3411</v>
      </c>
      <c r="K1687" s="555" t="s">
        <v>2483</v>
      </c>
      <c r="L1687" s="555" t="s">
        <v>3643</v>
      </c>
      <c r="M1687" s="555" t="s">
        <v>45</v>
      </c>
    </row>
    <row r="1688" spans="3:13" ht="18.75">
      <c r="C1688" s="735"/>
      <c r="D1688" s="555" t="s">
        <v>3644</v>
      </c>
      <c r="E1688" s="757">
        <v>0.30972222222222223</v>
      </c>
      <c r="F1688" s="731">
        <v>43488</v>
      </c>
      <c r="G1688" s="730">
        <v>0.71180555555555547</v>
      </c>
      <c r="H1688" s="555" t="s">
        <v>3645</v>
      </c>
      <c r="I1688" s="555" t="s">
        <v>124</v>
      </c>
      <c r="J1688" s="751" t="s">
        <v>3411</v>
      </c>
      <c r="K1688" s="555" t="s">
        <v>2764</v>
      </c>
      <c r="L1688" s="555" t="s">
        <v>3055</v>
      </c>
      <c r="M1688" s="555" t="s">
        <v>3055</v>
      </c>
    </row>
    <row r="1689" spans="3:13" ht="18.75">
      <c r="C1689" s="735"/>
      <c r="D1689" s="555" t="s">
        <v>3646</v>
      </c>
      <c r="E1689" s="757">
        <v>0.19375000000000001</v>
      </c>
      <c r="F1689" s="731">
        <v>43489</v>
      </c>
      <c r="G1689" s="730">
        <v>0.21944444444444444</v>
      </c>
      <c r="H1689" s="555" t="s">
        <v>2895</v>
      </c>
      <c r="I1689" s="555" t="s">
        <v>3143</v>
      </c>
      <c r="J1689" s="751" t="s">
        <v>3387</v>
      </c>
      <c r="K1689" s="555" t="s">
        <v>2764</v>
      </c>
      <c r="L1689" s="555" t="s">
        <v>3055</v>
      </c>
      <c r="M1689" s="555" t="s">
        <v>3055</v>
      </c>
    </row>
    <row r="1690" spans="3:13" ht="18.75">
      <c r="C1690" s="735"/>
      <c r="D1690" s="555" t="s">
        <v>3647</v>
      </c>
      <c r="E1690" s="757">
        <v>0.56597222222222221</v>
      </c>
      <c r="F1690" s="731">
        <v>43493</v>
      </c>
      <c r="G1690" s="730">
        <v>0.56944444444444442</v>
      </c>
      <c r="H1690" s="555" t="s">
        <v>3648</v>
      </c>
      <c r="I1690" s="555" t="s">
        <v>124</v>
      </c>
      <c r="J1690" s="751" t="s">
        <v>3356</v>
      </c>
      <c r="K1690" s="555" t="s">
        <v>2293</v>
      </c>
      <c r="L1690" s="555" t="s">
        <v>3055</v>
      </c>
      <c r="M1690" s="555" t="s">
        <v>3055</v>
      </c>
    </row>
    <row r="1691" spans="3:13" ht="18.75">
      <c r="C1691" s="735"/>
      <c r="D1691" s="555" t="s">
        <v>3649</v>
      </c>
      <c r="E1691" s="757">
        <v>0.77361111111111114</v>
      </c>
      <c r="F1691" s="731">
        <v>43494</v>
      </c>
      <c r="G1691" s="730">
        <v>0.77500000000000002</v>
      </c>
      <c r="H1691" s="555" t="s">
        <v>3650</v>
      </c>
      <c r="I1691" s="555" t="s">
        <v>63</v>
      </c>
      <c r="J1691" s="751" t="s">
        <v>3411</v>
      </c>
      <c r="K1691" s="555" t="s">
        <v>2483</v>
      </c>
      <c r="L1691" s="555" t="s">
        <v>45</v>
      </c>
      <c r="M1691" s="555" t="s">
        <v>45</v>
      </c>
    </row>
    <row r="1692" spans="3:13" ht="18.75">
      <c r="C1692" s="735"/>
      <c r="D1692" s="555" t="s">
        <v>3651</v>
      </c>
      <c r="E1692" s="757">
        <v>0.6875</v>
      </c>
      <c r="F1692" s="731" t="s">
        <v>45</v>
      </c>
      <c r="G1692" s="730" t="s">
        <v>45</v>
      </c>
      <c r="H1692" s="555" t="s">
        <v>2853</v>
      </c>
      <c r="I1692" s="555" t="s">
        <v>124</v>
      </c>
      <c r="J1692" s="751" t="s">
        <v>3463</v>
      </c>
      <c r="K1692" s="555" t="s">
        <v>100</v>
      </c>
      <c r="L1692" s="555" t="s">
        <v>3055</v>
      </c>
      <c r="M1692" s="555" t="s">
        <v>3055</v>
      </c>
    </row>
    <row r="1693" spans="3:13" ht="18.75">
      <c r="C1693" s="735"/>
      <c r="D1693" s="555" t="s">
        <v>3651</v>
      </c>
      <c r="E1693" s="757">
        <v>0.18263888888888891</v>
      </c>
      <c r="F1693" s="731">
        <v>43498</v>
      </c>
      <c r="G1693" s="730">
        <v>0.375</v>
      </c>
      <c r="H1693" s="555" t="s">
        <v>3653</v>
      </c>
      <c r="I1693" s="555" t="s">
        <v>63</v>
      </c>
      <c r="J1693" s="751" t="s">
        <v>3654</v>
      </c>
      <c r="K1693" s="555" t="s">
        <v>1138</v>
      </c>
      <c r="L1693" s="555" t="s">
        <v>45</v>
      </c>
      <c r="M1693" s="555" t="s">
        <v>45</v>
      </c>
    </row>
    <row r="1694" spans="3:13" ht="18.75">
      <c r="C1694" s="735"/>
      <c r="D1694" s="555" t="s">
        <v>3651</v>
      </c>
      <c r="E1694" s="757">
        <v>0.39583333333333331</v>
      </c>
      <c r="F1694" s="731">
        <v>43496</v>
      </c>
      <c r="G1694" s="730">
        <v>0.75</v>
      </c>
      <c r="H1694" s="555" t="s">
        <v>3307</v>
      </c>
      <c r="I1694" s="555" t="s">
        <v>3143</v>
      </c>
      <c r="J1694" s="751" t="s">
        <v>3478</v>
      </c>
      <c r="K1694" s="555" t="s">
        <v>22</v>
      </c>
      <c r="L1694" s="555" t="s">
        <v>45</v>
      </c>
      <c r="M1694" s="555" t="s">
        <v>45</v>
      </c>
    </row>
    <row r="1695" spans="3:13" ht="18.75">
      <c r="C1695" s="735"/>
      <c r="D1695" s="555" t="s">
        <v>3651</v>
      </c>
      <c r="E1695" s="757">
        <v>0.29166666666666669</v>
      </c>
      <c r="F1695" s="731">
        <v>43495</v>
      </c>
      <c r="G1695" s="730">
        <v>0.33888888888888885</v>
      </c>
      <c r="H1695" s="555" t="s">
        <v>3656</v>
      </c>
      <c r="I1695" s="555" t="s">
        <v>63</v>
      </c>
      <c r="J1695" s="751" t="s">
        <v>3654</v>
      </c>
      <c r="K1695" s="555" t="s">
        <v>22</v>
      </c>
      <c r="L1695" s="555" t="s">
        <v>45</v>
      </c>
      <c r="M1695" s="555" t="s">
        <v>45</v>
      </c>
    </row>
    <row r="1696" spans="3:13" ht="18.75">
      <c r="C1696" s="735"/>
      <c r="D1696" s="555" t="s">
        <v>3655</v>
      </c>
      <c r="E1696" s="757">
        <v>0.8979166666666667</v>
      </c>
      <c r="F1696" s="731">
        <v>43496</v>
      </c>
      <c r="G1696" s="730">
        <v>0.89861111111111114</v>
      </c>
      <c r="H1696" s="555" t="s">
        <v>2945</v>
      </c>
      <c r="I1696" s="555" t="s">
        <v>124</v>
      </c>
      <c r="J1696" s="751" t="s">
        <v>3356</v>
      </c>
      <c r="K1696" s="555" t="s">
        <v>100</v>
      </c>
      <c r="L1696" s="555" t="s">
        <v>3055</v>
      </c>
      <c r="M1696" s="555" t="s">
        <v>3055</v>
      </c>
    </row>
    <row r="1697" spans="3:13" ht="18.75">
      <c r="C1697" s="735"/>
      <c r="D1697" s="555" t="s">
        <v>3657</v>
      </c>
      <c r="E1697" s="757">
        <v>0.99791666666666667</v>
      </c>
      <c r="F1697" s="731">
        <v>43498</v>
      </c>
      <c r="G1697" s="730">
        <v>0.36736111111111108</v>
      </c>
      <c r="H1697" s="555" t="s">
        <v>2346</v>
      </c>
      <c r="I1697" s="555" t="s">
        <v>124</v>
      </c>
      <c r="J1697" s="751" t="s">
        <v>3356</v>
      </c>
      <c r="K1697" s="555" t="s">
        <v>100</v>
      </c>
      <c r="L1697" s="555" t="s">
        <v>45</v>
      </c>
      <c r="M1697" s="555" t="s">
        <v>3081</v>
      </c>
    </row>
    <row r="1698" spans="3:13" ht="18.75">
      <c r="C1698" s="735"/>
      <c r="D1698" s="555" t="s">
        <v>3657</v>
      </c>
      <c r="E1698" s="757">
        <v>0.23263888888888887</v>
      </c>
      <c r="F1698" s="731">
        <v>43497</v>
      </c>
      <c r="G1698" s="730">
        <v>0.25694444444444448</v>
      </c>
      <c r="H1698" s="555" t="s">
        <v>2113</v>
      </c>
      <c r="I1698" s="555" t="s">
        <v>61</v>
      </c>
      <c r="J1698" s="751" t="s">
        <v>3387</v>
      </c>
      <c r="K1698" s="555" t="s">
        <v>2764</v>
      </c>
      <c r="L1698" s="555" t="s">
        <v>3055</v>
      </c>
      <c r="M1698" s="555" t="s">
        <v>3055</v>
      </c>
    </row>
    <row r="1699" spans="3:13" ht="18.75">
      <c r="C1699" s="735"/>
      <c r="D1699" s="555" t="s">
        <v>3652</v>
      </c>
      <c r="E1699" s="757">
        <v>0.43611111111111112</v>
      </c>
      <c r="F1699" s="731">
        <v>43498</v>
      </c>
      <c r="G1699" s="730">
        <v>0.4368055555555555</v>
      </c>
      <c r="H1699" s="555" t="s">
        <v>18</v>
      </c>
      <c r="I1699" s="555" t="s">
        <v>124</v>
      </c>
      <c r="J1699" s="751" t="s">
        <v>3463</v>
      </c>
      <c r="K1699" s="555" t="s">
        <v>100</v>
      </c>
      <c r="L1699" s="555" t="s">
        <v>3055</v>
      </c>
      <c r="M1699" s="555" t="s">
        <v>3055</v>
      </c>
    </row>
    <row r="1700" spans="3:13" ht="18.75">
      <c r="C1700" s="735"/>
      <c r="D1700" s="555" t="s">
        <v>3658</v>
      </c>
      <c r="E1700" s="757">
        <v>0.76180555555555562</v>
      </c>
      <c r="F1700" s="731">
        <v>43501</v>
      </c>
      <c r="G1700" s="730">
        <v>0.85138888888888886</v>
      </c>
      <c r="H1700" s="555" t="s">
        <v>18</v>
      </c>
      <c r="I1700" s="555" t="s">
        <v>124</v>
      </c>
      <c r="J1700" s="751" t="s">
        <v>3431</v>
      </c>
      <c r="K1700" s="555" t="s">
        <v>22</v>
      </c>
      <c r="L1700" s="555" t="s">
        <v>3659</v>
      </c>
      <c r="M1700" s="555" t="s">
        <v>3660</v>
      </c>
    </row>
    <row r="1701" spans="3:13" ht="18.75">
      <c r="C1701" s="735"/>
      <c r="D1701" s="555" t="s">
        <v>3661</v>
      </c>
      <c r="E1701" s="757">
        <v>0.31875000000000003</v>
      </c>
      <c r="F1701" s="731">
        <v>43503</v>
      </c>
      <c r="G1701" s="730">
        <v>0.31944444444444448</v>
      </c>
      <c r="H1701" s="555" t="s">
        <v>48</v>
      </c>
      <c r="I1701" s="555" t="s">
        <v>63</v>
      </c>
      <c r="J1701" s="751" t="s">
        <v>3411</v>
      </c>
      <c r="K1701" s="555" t="s">
        <v>2990</v>
      </c>
      <c r="L1701" s="555" t="s">
        <v>3175</v>
      </c>
      <c r="M1701" s="555" t="s">
        <v>3662</v>
      </c>
    </row>
    <row r="1702" spans="3:13" ht="18.75">
      <c r="C1702" s="735"/>
      <c r="D1702" s="555" t="s">
        <v>3661</v>
      </c>
      <c r="E1702" s="757">
        <v>0.37152777777777773</v>
      </c>
      <c r="F1702" s="731">
        <v>43505</v>
      </c>
      <c r="G1702" s="730">
        <v>0.6875</v>
      </c>
      <c r="H1702" s="555" t="s">
        <v>1833</v>
      </c>
      <c r="I1702" s="555" t="s">
        <v>3143</v>
      </c>
      <c r="J1702" s="751" t="s">
        <v>3451</v>
      </c>
      <c r="K1702" s="555" t="s">
        <v>22</v>
      </c>
      <c r="L1702" s="555" t="s">
        <v>45</v>
      </c>
      <c r="M1702" s="555" t="s">
        <v>3664</v>
      </c>
    </row>
    <row r="1703" spans="3:13" ht="18.75">
      <c r="C1703" s="735"/>
      <c r="D1703" s="555" t="s">
        <v>3665</v>
      </c>
      <c r="E1703" s="757">
        <v>0.41666666666666669</v>
      </c>
      <c r="F1703" s="731">
        <v>43504</v>
      </c>
      <c r="G1703" s="730">
        <v>0.4375</v>
      </c>
      <c r="H1703" s="555" t="s">
        <v>171</v>
      </c>
      <c r="I1703" s="555" t="s">
        <v>3143</v>
      </c>
      <c r="J1703" s="751" t="s">
        <v>3402</v>
      </c>
      <c r="K1703" s="555" t="s">
        <v>100</v>
      </c>
      <c r="L1703" s="555" t="s">
        <v>3055</v>
      </c>
      <c r="M1703" s="555" t="s">
        <v>3055</v>
      </c>
    </row>
    <row r="1704" spans="3:13" ht="18.75">
      <c r="C1704" s="735"/>
      <c r="D1704" s="555" t="s">
        <v>3665</v>
      </c>
      <c r="E1704" s="757">
        <v>0.77083333333333337</v>
      </c>
      <c r="F1704" s="731" t="s">
        <v>45</v>
      </c>
      <c r="G1704" s="730" t="s">
        <v>45</v>
      </c>
      <c r="H1704" s="555" t="s">
        <v>2575</v>
      </c>
      <c r="I1704" s="555" t="s">
        <v>124</v>
      </c>
      <c r="J1704" s="751" t="s">
        <v>3451</v>
      </c>
      <c r="K1704" s="555" t="s">
        <v>22</v>
      </c>
      <c r="L1704" s="555" t="s">
        <v>45</v>
      </c>
      <c r="M1704" s="555" t="s">
        <v>3666</v>
      </c>
    </row>
    <row r="1705" spans="3:13" ht="18.75">
      <c r="C1705" s="735"/>
      <c r="D1705" s="555" t="s">
        <v>3667</v>
      </c>
      <c r="E1705" s="757">
        <v>0.11666666666666665</v>
      </c>
      <c r="F1705" s="731">
        <v>43511</v>
      </c>
      <c r="G1705" s="730">
        <v>1.9444444444444445E-2</v>
      </c>
      <c r="H1705" s="555" t="s">
        <v>18</v>
      </c>
      <c r="I1705" s="555" t="s">
        <v>124</v>
      </c>
      <c r="J1705" s="751" t="s">
        <v>3451</v>
      </c>
      <c r="K1705" s="555" t="s">
        <v>22</v>
      </c>
      <c r="L1705" s="555" t="s">
        <v>3669</v>
      </c>
      <c r="M1705" s="555" t="s">
        <v>3670</v>
      </c>
    </row>
    <row r="1706" spans="3:13" ht="18.75">
      <c r="C1706" s="735"/>
      <c r="D1706" s="555" t="s">
        <v>3671</v>
      </c>
      <c r="E1706" s="757">
        <v>0.36805555555555558</v>
      </c>
      <c r="F1706" s="731">
        <v>43510</v>
      </c>
      <c r="G1706" s="730">
        <v>0.50694444444444442</v>
      </c>
      <c r="H1706" s="555" t="s">
        <v>2288</v>
      </c>
      <c r="I1706" s="555" t="s">
        <v>3143</v>
      </c>
      <c r="J1706" s="751" t="s">
        <v>3402</v>
      </c>
      <c r="K1706" s="555" t="s">
        <v>100</v>
      </c>
      <c r="L1706" s="555" t="s">
        <v>3055</v>
      </c>
      <c r="M1706" s="555" t="s">
        <v>3055</v>
      </c>
    </row>
    <row r="1707" spans="3:13" ht="18.75">
      <c r="C1707" s="735"/>
      <c r="D1707" s="555" t="s">
        <v>3671</v>
      </c>
      <c r="E1707" s="757">
        <v>0.51041666666666663</v>
      </c>
      <c r="F1707" s="731">
        <v>43510</v>
      </c>
      <c r="G1707" s="730">
        <v>0.51111111111111118</v>
      </c>
      <c r="H1707" s="555" t="s">
        <v>1320</v>
      </c>
      <c r="I1707" s="555" t="s">
        <v>124</v>
      </c>
      <c r="J1707" s="751" t="s">
        <v>3463</v>
      </c>
      <c r="K1707" s="555" t="s">
        <v>100</v>
      </c>
      <c r="L1707" s="555" t="s">
        <v>3055</v>
      </c>
      <c r="M1707" s="555" t="s">
        <v>3055</v>
      </c>
    </row>
    <row r="1708" spans="3:13" ht="18.75">
      <c r="C1708" s="735"/>
      <c r="D1708" s="555" t="s">
        <v>3672</v>
      </c>
      <c r="E1708" s="757">
        <v>0.40625</v>
      </c>
      <c r="F1708" s="731" t="s">
        <v>45</v>
      </c>
      <c r="G1708" s="730" t="s">
        <v>45</v>
      </c>
      <c r="H1708" s="555" t="s">
        <v>166</v>
      </c>
      <c r="I1708" s="555" t="s">
        <v>1352</v>
      </c>
      <c r="J1708" s="751" t="s">
        <v>3356</v>
      </c>
      <c r="K1708" s="555" t="s">
        <v>100</v>
      </c>
      <c r="L1708" s="555" t="s">
        <v>3055</v>
      </c>
      <c r="M1708" s="555" t="s">
        <v>3055</v>
      </c>
    </row>
    <row r="1709" spans="3:13" ht="18.75">
      <c r="C1709" s="735"/>
      <c r="D1709" s="555" t="s">
        <v>3673</v>
      </c>
      <c r="E1709" s="757">
        <v>0.53472222222222221</v>
      </c>
      <c r="F1709" s="731">
        <v>43516</v>
      </c>
      <c r="G1709" s="730">
        <v>0.56388888888888888</v>
      </c>
      <c r="H1709" s="555" t="s">
        <v>3674</v>
      </c>
      <c r="I1709" s="555" t="s">
        <v>674</v>
      </c>
      <c r="J1709" s="751" t="s">
        <v>3387</v>
      </c>
      <c r="K1709" s="555" t="s">
        <v>2764</v>
      </c>
      <c r="L1709" s="555" t="s">
        <v>3675</v>
      </c>
      <c r="M1709" s="555" t="s">
        <v>3055</v>
      </c>
    </row>
    <row r="1710" spans="3:13" ht="18.75">
      <c r="C1710" s="735"/>
      <c r="D1710" s="555" t="s">
        <v>3676</v>
      </c>
      <c r="E1710" s="757">
        <v>0.58680555555555558</v>
      </c>
      <c r="F1710" s="731" t="s">
        <v>45</v>
      </c>
      <c r="G1710" s="730" t="s">
        <v>45</v>
      </c>
      <c r="H1710" s="555" t="s">
        <v>2004</v>
      </c>
      <c r="I1710" s="555" t="s">
        <v>63</v>
      </c>
      <c r="J1710" s="751" t="s">
        <v>3411</v>
      </c>
      <c r="K1710" s="555" t="s">
        <v>2990</v>
      </c>
      <c r="L1710" s="555" t="s">
        <v>45</v>
      </c>
      <c r="M1710" s="555" t="s">
        <v>45</v>
      </c>
    </row>
    <row r="1711" spans="3:13" ht="18.75">
      <c r="C1711" s="735"/>
      <c r="D1711" s="555" t="s">
        <v>3677</v>
      </c>
      <c r="E1711" s="757">
        <v>0.75</v>
      </c>
      <c r="F1711" s="731">
        <v>43521</v>
      </c>
      <c r="G1711" s="730">
        <v>0.91666666666666663</v>
      </c>
      <c r="H1711" s="555" t="s">
        <v>171</v>
      </c>
      <c r="I1711" s="555" t="s">
        <v>3143</v>
      </c>
      <c r="J1711" s="751" t="s">
        <v>3451</v>
      </c>
      <c r="K1711" s="555" t="s">
        <v>22</v>
      </c>
      <c r="L1711" s="555" t="s">
        <v>45</v>
      </c>
      <c r="M1711" s="555" t="s">
        <v>3679</v>
      </c>
    </row>
    <row r="1712" spans="3:13" ht="18.75">
      <c r="C1712" s="735"/>
      <c r="D1712" s="555" t="s">
        <v>3677</v>
      </c>
      <c r="E1712" s="757">
        <v>0.47291666666666665</v>
      </c>
      <c r="F1712" s="731">
        <v>43522</v>
      </c>
      <c r="G1712" s="730">
        <v>0.7284722222222223</v>
      </c>
      <c r="H1712" s="555" t="s">
        <v>3681</v>
      </c>
      <c r="I1712" s="555" t="s">
        <v>3143</v>
      </c>
      <c r="J1712" s="751" t="s">
        <v>3451</v>
      </c>
      <c r="K1712" s="555" t="s">
        <v>22</v>
      </c>
      <c r="L1712" s="555" t="s">
        <v>45</v>
      </c>
      <c r="M1712" s="555" t="s">
        <v>3682</v>
      </c>
    </row>
    <row r="1713" spans="3:13" ht="18.75">
      <c r="C1713" s="735"/>
      <c r="D1713" s="555" t="s">
        <v>3677</v>
      </c>
      <c r="E1713" s="757">
        <v>0.78263888888888899</v>
      </c>
      <c r="F1713" s="731">
        <v>43521</v>
      </c>
      <c r="G1713" s="730">
        <v>0.57986111111111105</v>
      </c>
      <c r="H1713" s="555" t="s">
        <v>171</v>
      </c>
      <c r="I1713" s="555" t="s">
        <v>3143</v>
      </c>
      <c r="J1713" s="751" t="s">
        <v>3451</v>
      </c>
      <c r="K1713" s="555" t="s">
        <v>22</v>
      </c>
      <c r="L1713" s="555" t="s">
        <v>45</v>
      </c>
      <c r="M1713" s="555" t="s">
        <v>3683</v>
      </c>
    </row>
    <row r="1714" spans="3:13" ht="18.75">
      <c r="C1714" s="735"/>
      <c r="D1714" s="555" t="s">
        <v>3677</v>
      </c>
      <c r="E1714" s="757">
        <v>0.52152777777777781</v>
      </c>
      <c r="F1714" s="731">
        <v>43520</v>
      </c>
      <c r="G1714" s="730">
        <v>0.62291666666666667</v>
      </c>
      <c r="H1714" s="555" t="s">
        <v>160</v>
      </c>
      <c r="I1714" s="555" t="s">
        <v>3143</v>
      </c>
      <c r="J1714" s="751" t="s">
        <v>3451</v>
      </c>
      <c r="K1714" s="555" t="s">
        <v>22</v>
      </c>
      <c r="L1714" s="555" t="s">
        <v>45</v>
      </c>
      <c r="M1714" s="555" t="s">
        <v>3684</v>
      </c>
    </row>
    <row r="1715" spans="3:13" ht="18.75">
      <c r="C1715" s="735"/>
      <c r="D1715" s="555" t="s">
        <v>3677</v>
      </c>
      <c r="E1715" s="757">
        <v>0.60625000000000007</v>
      </c>
      <c r="F1715" s="731">
        <v>43520</v>
      </c>
      <c r="G1715" s="730">
        <v>0.75208333333333333</v>
      </c>
      <c r="H1715" s="555" t="s">
        <v>171</v>
      </c>
      <c r="I1715" s="555" t="s">
        <v>3143</v>
      </c>
      <c r="J1715" s="751" t="s">
        <v>3451</v>
      </c>
      <c r="K1715" s="555" t="s">
        <v>22</v>
      </c>
      <c r="L1715" s="555" t="s">
        <v>45</v>
      </c>
      <c r="M1715" s="555" t="s">
        <v>3685</v>
      </c>
    </row>
    <row r="1716" spans="3:13" ht="18.75">
      <c r="C1716" s="735"/>
      <c r="D1716" s="555" t="s">
        <v>3677</v>
      </c>
      <c r="E1716" s="757">
        <v>0.83472222222222225</v>
      </c>
      <c r="F1716" s="731">
        <v>43521</v>
      </c>
      <c r="G1716" s="730">
        <v>0.60416666666666663</v>
      </c>
      <c r="H1716" s="555" t="s">
        <v>1833</v>
      </c>
      <c r="I1716" s="555" t="s">
        <v>3143</v>
      </c>
      <c r="J1716" s="751" t="s">
        <v>3451</v>
      </c>
      <c r="K1716" s="555" t="s">
        <v>22</v>
      </c>
      <c r="L1716" s="555" t="s">
        <v>45</v>
      </c>
      <c r="M1716" s="555" t="s">
        <v>3073</v>
      </c>
    </row>
    <row r="1717" spans="3:13" ht="18.75">
      <c r="C1717" s="735"/>
      <c r="D1717" s="555" t="s">
        <v>3678</v>
      </c>
      <c r="E1717" s="757">
        <v>0.32291666666666669</v>
      </c>
      <c r="F1717" s="731">
        <v>43521</v>
      </c>
      <c r="G1717" s="730">
        <v>0.77777777777777779</v>
      </c>
      <c r="H1717" s="555" t="s">
        <v>2113</v>
      </c>
      <c r="I1717" s="555" t="s">
        <v>61</v>
      </c>
      <c r="J1717" s="751" t="s">
        <v>3411</v>
      </c>
      <c r="K1717" s="555" t="s">
        <v>2483</v>
      </c>
      <c r="L1717" s="555" t="s">
        <v>3055</v>
      </c>
      <c r="M1717" s="555" t="s">
        <v>3055</v>
      </c>
    </row>
    <row r="1718" spans="3:13" ht="18.75">
      <c r="C1718" s="735"/>
      <c r="D1718" s="555" t="s">
        <v>3678</v>
      </c>
      <c r="E1718" s="757">
        <v>0.56597222222222221</v>
      </c>
      <c r="F1718" s="731">
        <v>43522</v>
      </c>
      <c r="G1718" s="730">
        <v>0.11805555555555557</v>
      </c>
      <c r="H1718" s="555" t="s">
        <v>3686</v>
      </c>
      <c r="I1718" s="555" t="s">
        <v>61</v>
      </c>
      <c r="J1718" s="751" t="s">
        <v>3451</v>
      </c>
      <c r="K1718" s="555" t="s">
        <v>22</v>
      </c>
      <c r="L1718" s="555" t="s">
        <v>45</v>
      </c>
      <c r="M1718" s="555" t="s">
        <v>3687</v>
      </c>
    </row>
    <row r="1719" spans="3:13" ht="18.75">
      <c r="C1719" s="735"/>
      <c r="D1719" s="555" t="s">
        <v>3688</v>
      </c>
      <c r="E1719" s="757">
        <v>0.47569444444444442</v>
      </c>
      <c r="F1719" s="731">
        <v>43523</v>
      </c>
      <c r="G1719" s="730">
        <v>0.73541666666666661</v>
      </c>
      <c r="H1719" s="555" t="s">
        <v>2678</v>
      </c>
      <c r="I1719" s="555" t="s">
        <v>674</v>
      </c>
      <c r="J1719" s="751" t="s">
        <v>3411</v>
      </c>
      <c r="K1719" s="555" t="s">
        <v>2483</v>
      </c>
      <c r="L1719" s="555" t="s">
        <v>3055</v>
      </c>
      <c r="M1719" s="555" t="s">
        <v>3055</v>
      </c>
    </row>
    <row r="1720" spans="3:13" ht="18.75">
      <c r="C1720" s="735"/>
      <c r="D1720" s="555" t="s">
        <v>3688</v>
      </c>
      <c r="E1720" s="757">
        <v>0.89930555555555547</v>
      </c>
      <c r="F1720" s="731">
        <v>43523</v>
      </c>
      <c r="G1720" s="730">
        <v>0.90625</v>
      </c>
      <c r="H1720" s="555" t="s">
        <v>108</v>
      </c>
      <c r="I1720" s="555" t="s">
        <v>63</v>
      </c>
      <c r="J1720" s="751" t="s">
        <v>3402</v>
      </c>
      <c r="K1720" s="555" t="s">
        <v>2118</v>
      </c>
      <c r="L1720" s="555" t="s">
        <v>3055</v>
      </c>
      <c r="M1720" s="555" t="s">
        <v>3055</v>
      </c>
    </row>
    <row r="1721" spans="3:13" ht="18.75">
      <c r="C1721" s="735"/>
      <c r="D1721" s="555" t="s">
        <v>3689</v>
      </c>
      <c r="E1721" s="757">
        <v>0.29305555555555557</v>
      </c>
      <c r="F1721" s="731">
        <v>43524</v>
      </c>
      <c r="G1721" s="730">
        <v>0.31458333333333333</v>
      </c>
      <c r="H1721" s="555" t="s">
        <v>3690</v>
      </c>
      <c r="I1721" s="555" t="s">
        <v>3347</v>
      </c>
      <c r="J1721" s="751" t="s">
        <v>3387</v>
      </c>
      <c r="K1721" s="555" t="s">
        <v>2764</v>
      </c>
      <c r="L1721" s="555" t="s">
        <v>3055</v>
      </c>
      <c r="M1721" s="555" t="s">
        <v>3055</v>
      </c>
    </row>
    <row r="1722" spans="3:13" ht="18.75">
      <c r="C1722" s="735"/>
      <c r="D1722" s="555" t="s">
        <v>3691</v>
      </c>
      <c r="E1722" s="757">
        <v>0.48541666666666666</v>
      </c>
      <c r="F1722" s="731">
        <v>43532</v>
      </c>
      <c r="G1722" s="730">
        <v>0.70277777777777783</v>
      </c>
      <c r="H1722" s="555" t="s">
        <v>3693</v>
      </c>
      <c r="I1722" s="555" t="s">
        <v>3347</v>
      </c>
      <c r="J1722" s="751" t="s">
        <v>3356</v>
      </c>
      <c r="K1722" s="555" t="s">
        <v>100</v>
      </c>
      <c r="L1722" s="555" t="s">
        <v>3055</v>
      </c>
      <c r="M1722" s="555" t="s">
        <v>3055</v>
      </c>
    </row>
    <row r="1723" spans="3:13" ht="18.75">
      <c r="C1723" s="735"/>
      <c r="D1723" s="555" t="s">
        <v>3694</v>
      </c>
      <c r="E1723" s="757">
        <v>0.3833333333333333</v>
      </c>
      <c r="F1723" s="731">
        <v>43529</v>
      </c>
      <c r="G1723" s="730">
        <v>0.7895833333333333</v>
      </c>
      <c r="H1723" s="555" t="s">
        <v>3695</v>
      </c>
      <c r="I1723" s="555" t="s">
        <v>124</v>
      </c>
      <c r="J1723" s="751" t="s">
        <v>3696</v>
      </c>
      <c r="K1723" s="555" t="s">
        <v>2764</v>
      </c>
      <c r="L1723" s="555" t="s">
        <v>3055</v>
      </c>
      <c r="M1723" s="555" t="s">
        <v>3055</v>
      </c>
    </row>
    <row r="1724" spans="3:13" ht="18.75">
      <c r="C1724" s="735"/>
      <c r="D1724" s="555" t="s">
        <v>3697</v>
      </c>
      <c r="E1724" s="757">
        <v>0.66041666666666665</v>
      </c>
      <c r="F1724" s="731">
        <v>43540</v>
      </c>
      <c r="G1724" s="730">
        <v>0.75</v>
      </c>
      <c r="H1724" s="555" t="s">
        <v>2919</v>
      </c>
      <c r="I1724" s="555" t="s">
        <v>1352</v>
      </c>
      <c r="J1724" s="751" t="s">
        <v>3451</v>
      </c>
      <c r="K1724" s="555" t="s">
        <v>2990</v>
      </c>
      <c r="L1724" s="555" t="s">
        <v>3261</v>
      </c>
      <c r="M1724" s="555" t="s">
        <v>3699</v>
      </c>
    </row>
    <row r="1725" spans="3:13" ht="18.75">
      <c r="C1725" s="735"/>
      <c r="D1725" s="555" t="s">
        <v>3697</v>
      </c>
      <c r="E1725" s="757">
        <v>0.47847222222222219</v>
      </c>
      <c r="F1725" s="731">
        <v>43538</v>
      </c>
      <c r="G1725" s="730">
        <v>0.88263888888888886</v>
      </c>
      <c r="H1725" s="555" t="s">
        <v>3701</v>
      </c>
      <c r="I1725" s="555" t="s">
        <v>124</v>
      </c>
      <c r="J1725" s="751" t="s">
        <v>3451</v>
      </c>
      <c r="K1725" s="555" t="s">
        <v>22</v>
      </c>
      <c r="L1725" s="555" t="s">
        <v>3702</v>
      </c>
      <c r="M1725" s="555" t="s">
        <v>3703</v>
      </c>
    </row>
    <row r="1726" spans="3:13" ht="18.75">
      <c r="C1726" s="735"/>
      <c r="D1726" s="555" t="s">
        <v>3697</v>
      </c>
      <c r="E1726" s="757">
        <v>0.24305555555555555</v>
      </c>
      <c r="F1726" s="731">
        <v>43537</v>
      </c>
      <c r="G1726" s="730">
        <v>0.4375</v>
      </c>
      <c r="H1726" s="555" t="s">
        <v>3704</v>
      </c>
      <c r="I1726" s="555" t="s">
        <v>1352</v>
      </c>
      <c r="J1726" s="751" t="s">
        <v>3451</v>
      </c>
      <c r="K1726" s="555" t="s">
        <v>22</v>
      </c>
      <c r="L1726" s="555" t="s">
        <v>45</v>
      </c>
      <c r="M1726" s="555" t="s">
        <v>3705</v>
      </c>
    </row>
    <row r="1727" spans="3:13" ht="18.75">
      <c r="C1727" s="735"/>
      <c r="D1727" s="555" t="s">
        <v>3697</v>
      </c>
      <c r="E1727" s="757">
        <v>0.625</v>
      </c>
      <c r="F1727" s="731">
        <v>43538</v>
      </c>
      <c r="G1727" s="730">
        <v>0</v>
      </c>
      <c r="H1727" s="555" t="s">
        <v>3706</v>
      </c>
      <c r="I1727" s="555" t="s">
        <v>1352</v>
      </c>
      <c r="J1727" s="751" t="s">
        <v>3451</v>
      </c>
      <c r="K1727" s="555" t="s">
        <v>2990</v>
      </c>
      <c r="L1727" s="555" t="s">
        <v>45</v>
      </c>
      <c r="M1727" s="555" t="s">
        <v>3707</v>
      </c>
    </row>
    <row r="1728" spans="3:13" ht="18.75">
      <c r="C1728" s="735"/>
      <c r="D1728" s="555" t="s">
        <v>3697</v>
      </c>
      <c r="E1728" s="757">
        <v>0.25833333333333336</v>
      </c>
      <c r="F1728" s="731">
        <v>43537</v>
      </c>
      <c r="G1728" s="730">
        <v>0.2590277777777778</v>
      </c>
      <c r="H1728" s="555" t="s">
        <v>2967</v>
      </c>
      <c r="I1728" s="555" t="s">
        <v>124</v>
      </c>
      <c r="J1728" s="751" t="s">
        <v>3356</v>
      </c>
      <c r="K1728" s="555" t="s">
        <v>100</v>
      </c>
      <c r="L1728" s="555" t="s">
        <v>3055</v>
      </c>
      <c r="M1728" s="555" t="s">
        <v>3055</v>
      </c>
    </row>
    <row r="1729" spans="3:13" ht="18.75">
      <c r="C1729" s="735"/>
      <c r="D1729" s="555" t="s">
        <v>3708</v>
      </c>
      <c r="E1729" s="757">
        <v>0.95347222222222217</v>
      </c>
      <c r="F1729" s="731">
        <v>43543</v>
      </c>
      <c r="G1729" s="730">
        <v>0.95416666666666661</v>
      </c>
      <c r="H1729" s="555" t="s">
        <v>3693</v>
      </c>
      <c r="I1729" s="555" t="s">
        <v>3347</v>
      </c>
      <c r="J1729" s="751" t="s">
        <v>3356</v>
      </c>
      <c r="K1729" s="555" t="s">
        <v>100</v>
      </c>
      <c r="L1729" s="555" t="s">
        <v>3055</v>
      </c>
      <c r="M1729" s="555" t="s">
        <v>3055</v>
      </c>
    </row>
    <row r="1730" spans="3:13" ht="18.75">
      <c r="C1730" s="735"/>
      <c r="D1730" s="555" t="s">
        <v>3709</v>
      </c>
      <c r="E1730" s="757">
        <v>0.41666666666666669</v>
      </c>
      <c r="F1730" s="731">
        <v>43545</v>
      </c>
      <c r="G1730" s="730">
        <v>0.4201388888888889</v>
      </c>
      <c r="H1730" s="555" t="s">
        <v>2831</v>
      </c>
      <c r="I1730" s="555" t="s">
        <v>124</v>
      </c>
      <c r="J1730" s="751" t="s">
        <v>3710</v>
      </c>
      <c r="K1730" s="555" t="s">
        <v>100</v>
      </c>
      <c r="L1730" s="555" t="s">
        <v>3055</v>
      </c>
      <c r="M1730" s="555" t="s">
        <v>3055</v>
      </c>
    </row>
    <row r="1731" spans="3:13" ht="18.75">
      <c r="C1731" s="735"/>
      <c r="D1731" s="555" t="s">
        <v>3711</v>
      </c>
      <c r="E1731" s="757">
        <v>0.32430555555555557</v>
      </c>
      <c r="F1731" s="731">
        <v>43549</v>
      </c>
      <c r="G1731" s="730">
        <v>0.32500000000000001</v>
      </c>
      <c r="H1731" s="555" t="s">
        <v>3712</v>
      </c>
      <c r="I1731" s="555" t="s">
        <v>124</v>
      </c>
      <c r="J1731" s="751" t="s">
        <v>3710</v>
      </c>
      <c r="K1731" s="555" t="s">
        <v>2293</v>
      </c>
      <c r="L1731" s="555" t="s">
        <v>3432</v>
      </c>
      <c r="M1731" s="555" t="s">
        <v>45</v>
      </c>
    </row>
    <row r="1732" spans="3:13" ht="18.75">
      <c r="C1732" s="735"/>
      <c r="D1732" s="555" t="s">
        <v>3713</v>
      </c>
      <c r="E1732" s="757">
        <v>0.98333333333333339</v>
      </c>
      <c r="F1732" s="731">
        <v>43554</v>
      </c>
      <c r="G1732" s="730">
        <v>8.3333333333333329E-2</v>
      </c>
      <c r="H1732" s="555" t="s">
        <v>3715</v>
      </c>
      <c r="I1732" s="555" t="s">
        <v>124</v>
      </c>
      <c r="J1732" s="751" t="s">
        <v>3710</v>
      </c>
      <c r="K1732" s="555" t="s">
        <v>2118</v>
      </c>
      <c r="L1732" s="555" t="s">
        <v>3055</v>
      </c>
      <c r="M1732" s="555" t="s">
        <v>3055</v>
      </c>
    </row>
    <row r="1733" spans="3:13" ht="18.75">
      <c r="C1733" s="735"/>
      <c r="D1733" s="555" t="s">
        <v>3716</v>
      </c>
      <c r="E1733" s="757">
        <v>0.59375</v>
      </c>
      <c r="F1733" s="731">
        <v>43561</v>
      </c>
      <c r="G1733" s="730">
        <v>0.72222222222222221</v>
      </c>
      <c r="H1733" s="555" t="s">
        <v>3718</v>
      </c>
      <c r="I1733" s="555" t="s">
        <v>124</v>
      </c>
      <c r="J1733" s="751" t="s">
        <v>3356</v>
      </c>
      <c r="K1733" s="555" t="s">
        <v>2293</v>
      </c>
      <c r="L1733" s="555" t="s">
        <v>3055</v>
      </c>
      <c r="M1733" s="555" t="s">
        <v>3055</v>
      </c>
    </row>
    <row r="1734" spans="3:13" ht="18.75">
      <c r="C1734" s="735"/>
      <c r="D1734" s="555" t="s">
        <v>3716</v>
      </c>
      <c r="E1734" s="757">
        <v>0.28541666666666665</v>
      </c>
      <c r="F1734" s="731">
        <v>43556</v>
      </c>
      <c r="G1734" s="730">
        <v>0.32847222222222222</v>
      </c>
      <c r="H1734" s="555" t="s">
        <v>3719</v>
      </c>
      <c r="I1734" s="555" t="s">
        <v>61</v>
      </c>
      <c r="J1734" s="751" t="s">
        <v>3387</v>
      </c>
      <c r="K1734" s="555" t="s">
        <v>2764</v>
      </c>
      <c r="L1734" s="555" t="s">
        <v>3055</v>
      </c>
      <c r="M1734" s="555" t="s">
        <v>3055</v>
      </c>
    </row>
    <row r="1735" spans="3:13" ht="18.75">
      <c r="C1735" s="735"/>
      <c r="D1735" s="555" t="s">
        <v>3716</v>
      </c>
      <c r="E1735" s="757">
        <v>0.28541666666666665</v>
      </c>
      <c r="F1735" s="731">
        <v>43556</v>
      </c>
      <c r="G1735" s="730">
        <v>0.32847222222222222</v>
      </c>
      <c r="H1735" s="555" t="s">
        <v>3720</v>
      </c>
      <c r="I1735" s="555" t="s">
        <v>61</v>
      </c>
      <c r="J1735" s="751" t="s">
        <v>3387</v>
      </c>
      <c r="K1735" s="555" t="s">
        <v>2764</v>
      </c>
      <c r="L1735" s="555" t="s">
        <v>3055</v>
      </c>
      <c r="M1735" s="555" t="s">
        <v>3055</v>
      </c>
    </row>
    <row r="1736" spans="3:13" ht="18.75">
      <c r="C1736" s="735"/>
      <c r="D1736" s="555" t="s">
        <v>3721</v>
      </c>
      <c r="E1736" s="757">
        <v>0.35625000000000001</v>
      </c>
      <c r="F1736" s="731">
        <v>43557</v>
      </c>
      <c r="G1736" s="730">
        <v>0.375</v>
      </c>
      <c r="H1736" s="555" t="s">
        <v>3357</v>
      </c>
      <c r="I1736" s="555" t="s">
        <v>124</v>
      </c>
      <c r="J1736" s="751" t="s">
        <v>3356</v>
      </c>
      <c r="K1736" s="555" t="s">
        <v>100</v>
      </c>
      <c r="L1736" s="555" t="s">
        <v>3055</v>
      </c>
      <c r="M1736" s="555" t="s">
        <v>3055</v>
      </c>
    </row>
    <row r="1737" spans="3:13" ht="18.75">
      <c r="C1737" s="735"/>
      <c r="D1737" s="555" t="s">
        <v>3721</v>
      </c>
      <c r="E1737" s="757">
        <v>0.42708333333333331</v>
      </c>
      <c r="F1737" s="731">
        <v>43557</v>
      </c>
      <c r="G1737" s="730">
        <v>0.42777777777777781</v>
      </c>
      <c r="H1737" s="555" t="s">
        <v>2831</v>
      </c>
      <c r="I1737" s="555" t="s">
        <v>124</v>
      </c>
      <c r="J1737" s="751" t="s">
        <v>3463</v>
      </c>
      <c r="K1737" s="555" t="s">
        <v>100</v>
      </c>
      <c r="L1737" s="555" t="s">
        <v>3055</v>
      </c>
      <c r="M1737" s="555" t="s">
        <v>3055</v>
      </c>
    </row>
    <row r="1738" spans="3:13" ht="18.75">
      <c r="C1738" s="735"/>
      <c r="D1738" s="555" t="s">
        <v>3722</v>
      </c>
      <c r="E1738" s="757">
        <v>0.21875</v>
      </c>
      <c r="F1738" s="731">
        <v>43558</v>
      </c>
      <c r="G1738" s="730">
        <v>0.52708333333333335</v>
      </c>
      <c r="H1738" s="555" t="s">
        <v>3397</v>
      </c>
      <c r="I1738" s="555" t="s">
        <v>124</v>
      </c>
      <c r="J1738" s="751" t="s">
        <v>3654</v>
      </c>
      <c r="K1738" s="555" t="s">
        <v>1138</v>
      </c>
      <c r="L1738" s="555" t="s">
        <v>3055</v>
      </c>
      <c r="M1738" s="555" t="s">
        <v>3055</v>
      </c>
    </row>
    <row r="1739" spans="3:13" ht="18.75">
      <c r="C1739" s="735"/>
      <c r="D1739" s="555" t="s">
        <v>3723</v>
      </c>
      <c r="E1739" s="757">
        <v>0.42569444444444443</v>
      </c>
      <c r="F1739" s="731">
        <v>43559</v>
      </c>
      <c r="G1739" s="730">
        <v>0.50555555555555554</v>
      </c>
      <c r="H1739" s="555" t="s">
        <v>3427</v>
      </c>
      <c r="I1739" s="555" t="s">
        <v>124</v>
      </c>
      <c r="J1739" s="751" t="s">
        <v>3411</v>
      </c>
      <c r="K1739" s="555" t="s">
        <v>2483</v>
      </c>
      <c r="L1739" s="555" t="s">
        <v>3055</v>
      </c>
      <c r="M1739" s="555" t="s">
        <v>3055</v>
      </c>
    </row>
    <row r="1740" spans="3:13" ht="18.75">
      <c r="C1740" s="735"/>
      <c r="D1740" s="555" t="s">
        <v>3724</v>
      </c>
      <c r="E1740" s="757">
        <v>0.57361111111111118</v>
      </c>
      <c r="F1740" s="731">
        <v>43563</v>
      </c>
      <c r="G1740" s="730">
        <v>0.74305555555555547</v>
      </c>
      <c r="H1740" s="555" t="s">
        <v>2919</v>
      </c>
      <c r="I1740" s="555" t="s">
        <v>1352</v>
      </c>
      <c r="J1740" s="751" t="s">
        <v>3451</v>
      </c>
      <c r="K1740" s="555" t="s">
        <v>22</v>
      </c>
      <c r="L1740" s="555" t="s">
        <v>3726</v>
      </c>
      <c r="M1740" s="555" t="s">
        <v>3727</v>
      </c>
    </row>
    <row r="1741" spans="3:13" ht="18.75">
      <c r="C1741" s="735"/>
      <c r="D1741" s="555" t="s">
        <v>3728</v>
      </c>
      <c r="E1741" s="757">
        <v>0.4993055555555555</v>
      </c>
      <c r="F1741" s="731">
        <v>43565</v>
      </c>
      <c r="G1741" s="730">
        <v>0.5</v>
      </c>
      <c r="H1741" s="555" t="s">
        <v>3325</v>
      </c>
      <c r="I1741" s="555" t="s">
        <v>63</v>
      </c>
      <c r="J1741" s="751" t="s">
        <v>3402</v>
      </c>
      <c r="K1741" s="555" t="s">
        <v>2118</v>
      </c>
      <c r="L1741" s="555" t="s">
        <v>3055</v>
      </c>
      <c r="M1741" s="555" t="s">
        <v>3055</v>
      </c>
    </row>
    <row r="1742" spans="3:13" ht="18.75">
      <c r="C1742" s="735"/>
      <c r="D1742" s="555" t="s">
        <v>3729</v>
      </c>
      <c r="E1742" s="757">
        <v>0.82500000000000007</v>
      </c>
      <c r="F1742" s="731">
        <v>43566</v>
      </c>
      <c r="G1742" s="730">
        <v>0.83333333333333337</v>
      </c>
      <c r="H1742" s="555" t="s">
        <v>3730</v>
      </c>
      <c r="I1742" s="555" t="s">
        <v>124</v>
      </c>
      <c r="J1742" s="751" t="s">
        <v>3411</v>
      </c>
      <c r="K1742" s="555" t="s">
        <v>2483</v>
      </c>
      <c r="L1742" s="555" t="s">
        <v>3055</v>
      </c>
      <c r="M1742" s="555" t="s">
        <v>3055</v>
      </c>
    </row>
    <row r="1743" spans="3:13" ht="18.75">
      <c r="C1743" s="735"/>
      <c r="D1743" s="555" t="s">
        <v>3731</v>
      </c>
      <c r="E1743" s="757">
        <v>0.47222222222222227</v>
      </c>
      <c r="F1743" s="731">
        <v>43567</v>
      </c>
      <c r="G1743" s="730">
        <v>0.53194444444444444</v>
      </c>
      <c r="H1743" s="555" t="s">
        <v>3732</v>
      </c>
      <c r="I1743" s="555" t="s">
        <v>674</v>
      </c>
      <c r="J1743" s="751" t="s">
        <v>3411</v>
      </c>
      <c r="K1743" s="555" t="s">
        <v>2483</v>
      </c>
      <c r="L1743" s="555" t="s">
        <v>3055</v>
      </c>
      <c r="M1743" s="555" t="s">
        <v>3055</v>
      </c>
    </row>
    <row r="1744" spans="3:13" ht="18.75">
      <c r="C1744" s="735"/>
      <c r="D1744" s="555" t="s">
        <v>3733</v>
      </c>
      <c r="E1744" s="757">
        <v>0.76041666666666663</v>
      </c>
      <c r="F1744" s="731">
        <v>43568</v>
      </c>
      <c r="G1744" s="730">
        <v>0.96875</v>
      </c>
      <c r="H1744" s="555" t="s">
        <v>3734</v>
      </c>
      <c r="I1744" s="555" t="s">
        <v>63</v>
      </c>
      <c r="J1744" s="751" t="s">
        <v>3451</v>
      </c>
      <c r="K1744" s="555" t="s">
        <v>22</v>
      </c>
      <c r="L1744" s="555" t="s">
        <v>45</v>
      </c>
      <c r="M1744" s="555" t="s">
        <v>3735</v>
      </c>
    </row>
    <row r="1745" spans="3:13" ht="18.75">
      <c r="C1745" s="735"/>
      <c r="D1745" s="555" t="s">
        <v>3736</v>
      </c>
      <c r="E1745" s="757">
        <v>0.19097222222222221</v>
      </c>
      <c r="F1745" s="731">
        <v>43570</v>
      </c>
      <c r="G1745" s="730">
        <v>0.61111111111111105</v>
      </c>
      <c r="H1745" s="555" t="s">
        <v>3325</v>
      </c>
      <c r="I1745" s="555" t="s">
        <v>63</v>
      </c>
      <c r="J1745" s="751" t="s">
        <v>3451</v>
      </c>
      <c r="K1745" s="555" t="s">
        <v>22</v>
      </c>
      <c r="L1745" s="555" t="s">
        <v>45</v>
      </c>
      <c r="M1745" s="555" t="s">
        <v>3737</v>
      </c>
    </row>
    <row r="1746" spans="3:13" ht="18.75">
      <c r="C1746" s="735"/>
      <c r="D1746" s="555" t="s">
        <v>3736</v>
      </c>
      <c r="E1746" s="757">
        <v>0.41666666666666669</v>
      </c>
      <c r="F1746" s="731">
        <v>43570</v>
      </c>
      <c r="G1746" s="730">
        <v>0.58333333333333337</v>
      </c>
      <c r="H1746" s="555" t="s">
        <v>3738</v>
      </c>
      <c r="I1746" s="555" t="s">
        <v>674</v>
      </c>
      <c r="J1746" s="751" t="s">
        <v>3356</v>
      </c>
      <c r="K1746" s="555" t="s">
        <v>100</v>
      </c>
      <c r="L1746" s="555" t="s">
        <v>3055</v>
      </c>
      <c r="M1746" s="555" t="s">
        <v>3055</v>
      </c>
    </row>
    <row r="1747" spans="3:13" ht="18.75">
      <c r="C1747" s="735"/>
      <c r="D1747" s="555" t="s">
        <v>3739</v>
      </c>
      <c r="E1747" s="757">
        <v>0.4375</v>
      </c>
      <c r="F1747" s="731">
        <v>43571</v>
      </c>
      <c r="G1747" s="730">
        <v>0.45833333333333331</v>
      </c>
      <c r="H1747" s="555" t="s">
        <v>3357</v>
      </c>
      <c r="I1747" s="555" t="s">
        <v>124</v>
      </c>
      <c r="J1747" s="751" t="s">
        <v>3356</v>
      </c>
      <c r="K1747" s="555" t="s">
        <v>100</v>
      </c>
      <c r="L1747" s="555" t="s">
        <v>3055</v>
      </c>
      <c r="M1747" s="555" t="s">
        <v>3055</v>
      </c>
    </row>
    <row r="1748" spans="3:13" ht="18.75">
      <c r="C1748" s="735"/>
      <c r="D1748" s="555" t="s">
        <v>3740</v>
      </c>
      <c r="E1748" s="757">
        <v>0.81805555555555554</v>
      </c>
      <c r="F1748" s="731">
        <v>43572</v>
      </c>
      <c r="G1748" s="730">
        <v>0.99444444444444446</v>
      </c>
      <c r="H1748" s="555" t="s">
        <v>3741</v>
      </c>
      <c r="I1748" s="555" t="s">
        <v>124</v>
      </c>
      <c r="J1748" s="751" t="s">
        <v>3387</v>
      </c>
      <c r="K1748" s="555" t="s">
        <v>2764</v>
      </c>
      <c r="L1748" s="555" t="s">
        <v>3055</v>
      </c>
      <c r="M1748" s="555" t="s">
        <v>3055</v>
      </c>
    </row>
    <row r="1749" spans="3:13" ht="18.75">
      <c r="C1749" s="735"/>
      <c r="D1749" s="555" t="s">
        <v>3742</v>
      </c>
      <c r="E1749" s="757">
        <v>0.83888888888888891</v>
      </c>
      <c r="F1749" s="731">
        <v>43574</v>
      </c>
      <c r="G1749" s="730">
        <v>0.45833333333333331</v>
      </c>
      <c r="H1749" s="555" t="s">
        <v>3744</v>
      </c>
      <c r="I1749" s="555" t="s">
        <v>124</v>
      </c>
      <c r="J1749" s="751" t="s">
        <v>3411</v>
      </c>
      <c r="K1749" s="555" t="s">
        <v>2483</v>
      </c>
      <c r="L1749" s="555" t="s">
        <v>3055</v>
      </c>
      <c r="M1749" s="555" t="s">
        <v>3055</v>
      </c>
    </row>
    <row r="1750" spans="3:13" ht="18.75">
      <c r="C1750" s="735"/>
      <c r="D1750" s="555" t="s">
        <v>3742</v>
      </c>
      <c r="E1750" s="757">
        <v>0.82986111111111116</v>
      </c>
      <c r="F1750" s="731">
        <v>43574</v>
      </c>
      <c r="G1750" s="730">
        <v>0.7284722222222223</v>
      </c>
      <c r="H1750" s="555" t="s">
        <v>3745</v>
      </c>
      <c r="I1750" s="555" t="s">
        <v>63</v>
      </c>
      <c r="J1750" s="751" t="s">
        <v>3451</v>
      </c>
      <c r="K1750" s="555" t="s">
        <v>22</v>
      </c>
      <c r="L1750" s="555" t="s">
        <v>3746</v>
      </c>
      <c r="M1750" s="555" t="s">
        <v>3747</v>
      </c>
    </row>
    <row r="1751" spans="3:13" ht="18.75">
      <c r="C1751" s="735"/>
      <c r="D1751" s="555" t="s">
        <v>3748</v>
      </c>
      <c r="E1751" s="757">
        <v>0.44444444444444442</v>
      </c>
      <c r="F1751" s="731">
        <v>43576</v>
      </c>
      <c r="G1751" s="730">
        <v>0.44791666666666669</v>
      </c>
      <c r="H1751" s="555" t="s">
        <v>2831</v>
      </c>
      <c r="I1751" s="555" t="s">
        <v>124</v>
      </c>
      <c r="J1751" s="751" t="s">
        <v>3356</v>
      </c>
      <c r="K1751" s="555" t="s">
        <v>100</v>
      </c>
      <c r="L1751" s="555" t="s">
        <v>3055</v>
      </c>
      <c r="M1751" s="555" t="s">
        <v>3055</v>
      </c>
    </row>
    <row r="1752" spans="3:13" ht="18.75">
      <c r="C1752" s="735"/>
      <c r="D1752" s="555" t="s">
        <v>3749</v>
      </c>
      <c r="E1752" s="757">
        <v>0.75208333333333333</v>
      </c>
      <c r="F1752" s="731">
        <v>43580</v>
      </c>
      <c r="G1752" s="730">
        <v>0.77222222222222225</v>
      </c>
      <c r="H1752" s="555" t="s">
        <v>3424</v>
      </c>
      <c r="I1752" s="555" t="s">
        <v>124</v>
      </c>
      <c r="J1752" s="751" t="s">
        <v>3750</v>
      </c>
      <c r="K1752" s="555" t="s">
        <v>2905</v>
      </c>
      <c r="L1752" s="555" t="s">
        <v>3751</v>
      </c>
      <c r="M1752" s="555" t="s">
        <v>3752</v>
      </c>
    </row>
    <row r="1753" spans="3:13" ht="18.75">
      <c r="C1753" s="735"/>
      <c r="D1753" s="555" t="s">
        <v>3753</v>
      </c>
      <c r="E1753" s="757">
        <v>4.1666666666666664E-2</v>
      </c>
      <c r="F1753" s="731">
        <v>43581</v>
      </c>
      <c r="G1753" s="730">
        <v>0.56041666666666667</v>
      </c>
      <c r="H1753" s="555" t="s">
        <v>3245</v>
      </c>
      <c r="I1753" s="555" t="s">
        <v>3143</v>
      </c>
      <c r="J1753" s="751" t="s">
        <v>3411</v>
      </c>
      <c r="K1753" s="555" t="s">
        <v>2483</v>
      </c>
      <c r="L1753" s="555" t="s">
        <v>3754</v>
      </c>
      <c r="M1753" s="555" t="s">
        <v>3755</v>
      </c>
    </row>
    <row r="1754" spans="3:13" ht="18.75">
      <c r="C1754" s="735"/>
      <c r="D1754" s="555" t="s">
        <v>3753</v>
      </c>
      <c r="E1754" s="757">
        <v>0.7402777777777777</v>
      </c>
      <c r="F1754" s="731">
        <v>43582</v>
      </c>
      <c r="G1754" s="730">
        <v>0.49236111111111108</v>
      </c>
      <c r="H1754" s="555" t="s">
        <v>2832</v>
      </c>
      <c r="I1754" s="555" t="s">
        <v>63</v>
      </c>
      <c r="J1754" s="751" t="s">
        <v>3451</v>
      </c>
      <c r="K1754" s="555" t="s">
        <v>22</v>
      </c>
      <c r="L1754" s="555" t="s">
        <v>45</v>
      </c>
      <c r="M1754" s="555" t="s">
        <v>3757</v>
      </c>
    </row>
    <row r="1755" spans="3:13" ht="18.75">
      <c r="C1755" s="735"/>
      <c r="D1755" s="555" t="s">
        <v>3753</v>
      </c>
      <c r="E1755" s="757">
        <v>0.63611111111111118</v>
      </c>
      <c r="F1755" s="731">
        <v>43581</v>
      </c>
      <c r="G1755" s="730">
        <v>0.63680555555555551</v>
      </c>
      <c r="H1755" s="555" t="s">
        <v>3758</v>
      </c>
      <c r="I1755" s="555" t="s">
        <v>61</v>
      </c>
      <c r="J1755" s="751" t="s">
        <v>3411</v>
      </c>
      <c r="K1755" s="555" t="s">
        <v>2990</v>
      </c>
      <c r="L1755" s="555" t="s">
        <v>3055</v>
      </c>
      <c r="M1755" s="555" t="s">
        <v>3055</v>
      </c>
    </row>
    <row r="1756" spans="3:13" ht="18.75">
      <c r="C1756" s="735"/>
      <c r="D1756" s="555" t="s">
        <v>3759</v>
      </c>
      <c r="E1756" s="757">
        <v>0.56944444444444442</v>
      </c>
      <c r="F1756" s="731">
        <v>43583</v>
      </c>
      <c r="G1756" s="730">
        <v>0.61736111111111114</v>
      </c>
      <c r="H1756" s="555" t="s">
        <v>2896</v>
      </c>
      <c r="I1756" s="555" t="s">
        <v>63</v>
      </c>
      <c r="J1756" s="751" t="s">
        <v>3387</v>
      </c>
      <c r="K1756" s="555" t="s">
        <v>2764</v>
      </c>
      <c r="L1756" s="555" t="s">
        <v>3055</v>
      </c>
      <c r="M1756" s="555" t="s">
        <v>3055</v>
      </c>
    </row>
    <row r="1757" spans="3:13" ht="18.75">
      <c r="C1757" s="735"/>
      <c r="D1757" s="555" t="s">
        <v>3759</v>
      </c>
      <c r="E1757" s="757">
        <v>0.4465277777777778</v>
      </c>
      <c r="F1757" s="731">
        <v>43584</v>
      </c>
      <c r="G1757" s="730">
        <v>8.7500000000000008E-2</v>
      </c>
      <c r="H1757" s="555" t="s">
        <v>2895</v>
      </c>
      <c r="I1757" s="555" t="s">
        <v>3143</v>
      </c>
      <c r="J1757" s="751" t="s">
        <v>3411</v>
      </c>
      <c r="K1757" s="555" t="s">
        <v>2483</v>
      </c>
      <c r="L1757" s="555" t="s">
        <v>3055</v>
      </c>
      <c r="M1757" s="555" t="s">
        <v>3055</v>
      </c>
    </row>
    <row r="1758" spans="3:13" ht="18.75">
      <c r="C1758" s="735"/>
      <c r="D1758" s="555" t="s">
        <v>3760</v>
      </c>
      <c r="E1758" s="757">
        <v>0.72013888888888899</v>
      </c>
      <c r="F1758" s="731">
        <v>43585</v>
      </c>
      <c r="G1758" s="730">
        <v>0.39027777777777778</v>
      </c>
      <c r="H1758" s="555" t="s">
        <v>3762</v>
      </c>
      <c r="I1758" s="555" t="s">
        <v>63</v>
      </c>
      <c r="J1758" s="751" t="s">
        <v>3356</v>
      </c>
      <c r="K1758" s="555" t="s">
        <v>100</v>
      </c>
      <c r="L1758" s="555" t="s">
        <v>3055</v>
      </c>
      <c r="M1758" s="555" t="s">
        <v>3055</v>
      </c>
    </row>
    <row r="1759" spans="3:13" ht="18.75">
      <c r="C1759" s="735"/>
      <c r="D1759" s="555" t="s">
        <v>3761</v>
      </c>
      <c r="E1759" s="757">
        <v>0.51736111111111105</v>
      </c>
      <c r="F1759" s="731">
        <v>43585</v>
      </c>
      <c r="G1759" s="730">
        <v>0.5493055555555556</v>
      </c>
      <c r="H1759" s="555" t="s">
        <v>3561</v>
      </c>
      <c r="I1759" s="555" t="s">
        <v>3143</v>
      </c>
      <c r="J1759" s="751" t="s">
        <v>3387</v>
      </c>
      <c r="K1759" s="555" t="s">
        <v>2764</v>
      </c>
      <c r="L1759" s="555" t="s">
        <v>3055</v>
      </c>
      <c r="M1759" s="555" t="s">
        <v>3055</v>
      </c>
    </row>
    <row r="1760" spans="3:13" ht="18.75">
      <c r="C1760" s="735"/>
      <c r="D1760" s="555" t="s">
        <v>3763</v>
      </c>
      <c r="E1760" s="757">
        <v>0.39027777777777778</v>
      </c>
      <c r="F1760" s="731">
        <v>43593</v>
      </c>
      <c r="G1760" s="730">
        <v>0.41388888888888892</v>
      </c>
      <c r="H1760" s="555" t="s">
        <v>3764</v>
      </c>
      <c r="I1760" s="555" t="s">
        <v>3143</v>
      </c>
      <c r="J1760" s="751" t="s">
        <v>3411</v>
      </c>
      <c r="K1760" s="555" t="s">
        <v>2483</v>
      </c>
      <c r="L1760" s="555" t="s">
        <v>3765</v>
      </c>
      <c r="M1760" s="555" t="s">
        <v>3081</v>
      </c>
    </row>
    <row r="1761" spans="3:13" ht="18.75">
      <c r="C1761" s="735"/>
      <c r="D1761" s="555" t="s">
        <v>3763</v>
      </c>
      <c r="E1761" s="757">
        <v>0.65972222222222221</v>
      </c>
      <c r="F1761" s="731">
        <v>43598</v>
      </c>
      <c r="G1761" s="730">
        <v>0</v>
      </c>
      <c r="H1761" s="555" t="s">
        <v>3767</v>
      </c>
      <c r="I1761" s="555" t="s">
        <v>3347</v>
      </c>
      <c r="J1761" s="751" t="s">
        <v>3451</v>
      </c>
      <c r="K1761" s="555" t="s">
        <v>3768</v>
      </c>
      <c r="L1761" s="555" t="s">
        <v>45</v>
      </c>
      <c r="M1761" s="555" t="s">
        <v>3769</v>
      </c>
    </row>
    <row r="1762" spans="3:13" ht="18.75">
      <c r="C1762" s="735"/>
      <c r="D1762" s="555" t="s">
        <v>3770</v>
      </c>
      <c r="E1762" s="757">
        <v>0.74652777777777779</v>
      </c>
      <c r="F1762" s="731">
        <v>43596</v>
      </c>
      <c r="G1762" s="730">
        <v>0.86805555555555547</v>
      </c>
      <c r="H1762" s="555" t="s">
        <v>2809</v>
      </c>
      <c r="I1762" s="555" t="s">
        <v>1352</v>
      </c>
      <c r="J1762" s="751" t="s">
        <v>3451</v>
      </c>
      <c r="K1762" s="555" t="s">
        <v>22</v>
      </c>
      <c r="L1762" s="555" t="s">
        <v>3772</v>
      </c>
      <c r="M1762" s="555" t="s">
        <v>3773</v>
      </c>
    </row>
    <row r="1763" spans="3:13" ht="18.75">
      <c r="C1763" s="735"/>
      <c r="D1763" s="555" t="s">
        <v>3770</v>
      </c>
      <c r="E1763" s="757">
        <v>0.79583333333333339</v>
      </c>
      <c r="F1763" s="731">
        <v>43595</v>
      </c>
      <c r="G1763" s="730">
        <v>0.12291666666666667</v>
      </c>
      <c r="H1763" s="555" t="s">
        <v>2809</v>
      </c>
      <c r="I1763" s="555" t="s">
        <v>1352</v>
      </c>
      <c r="J1763" s="751" t="s">
        <v>3411</v>
      </c>
      <c r="K1763" s="555" t="s">
        <v>2990</v>
      </c>
      <c r="L1763" s="555" t="s">
        <v>3055</v>
      </c>
      <c r="M1763" s="555" t="s">
        <v>3055</v>
      </c>
    </row>
    <row r="1764" spans="3:13" ht="18.75">
      <c r="C1764" s="735"/>
      <c r="D1764" s="555" t="s">
        <v>3774</v>
      </c>
      <c r="E1764" s="757">
        <v>8.3333333333333329E-2</v>
      </c>
      <c r="F1764" s="731">
        <v>43595</v>
      </c>
      <c r="G1764" s="730">
        <v>0.51041666666666663</v>
      </c>
      <c r="H1764" s="555" t="s">
        <v>2919</v>
      </c>
      <c r="I1764" s="555" t="s">
        <v>1352</v>
      </c>
      <c r="J1764" s="751" t="s">
        <v>3451</v>
      </c>
      <c r="K1764" s="555" t="s">
        <v>22</v>
      </c>
      <c r="L1764" s="555" t="s">
        <v>45</v>
      </c>
      <c r="M1764" s="555" t="s">
        <v>3775</v>
      </c>
    </row>
    <row r="1765" spans="3:13" ht="18.75">
      <c r="C1765" s="735"/>
      <c r="D1765" s="555" t="s">
        <v>3771</v>
      </c>
      <c r="E1765" s="757">
        <v>0.58888888888888891</v>
      </c>
      <c r="F1765" s="731">
        <v>43596</v>
      </c>
      <c r="G1765" s="730">
        <v>0.625</v>
      </c>
      <c r="H1765" s="555" t="s">
        <v>3357</v>
      </c>
      <c r="I1765" s="555" t="s">
        <v>124</v>
      </c>
      <c r="J1765" s="751" t="s">
        <v>3356</v>
      </c>
      <c r="K1765" s="555" t="s">
        <v>100</v>
      </c>
      <c r="L1765" s="555" t="s">
        <v>3055</v>
      </c>
      <c r="M1765" s="555" t="s">
        <v>3055</v>
      </c>
    </row>
    <row r="1766" spans="3:13" ht="18.75">
      <c r="C1766" s="735"/>
      <c r="D1766" s="555" t="s">
        <v>3776</v>
      </c>
      <c r="E1766" s="757">
        <v>0.50694444444444442</v>
      </c>
      <c r="F1766" s="731">
        <v>43600</v>
      </c>
      <c r="G1766" s="730">
        <v>0.50763888888888886</v>
      </c>
      <c r="H1766" s="555" t="s">
        <v>3524</v>
      </c>
      <c r="I1766" s="555" t="s">
        <v>3143</v>
      </c>
      <c r="J1766" s="751" t="s">
        <v>3402</v>
      </c>
      <c r="K1766" s="555" t="s">
        <v>2118</v>
      </c>
      <c r="L1766" s="555" t="s">
        <v>45</v>
      </c>
      <c r="M1766" s="555" t="s">
        <v>45</v>
      </c>
    </row>
    <row r="1767" spans="3:13" ht="18.75">
      <c r="C1767" s="735"/>
      <c r="D1767" s="555" t="s">
        <v>3777</v>
      </c>
      <c r="E1767" s="757">
        <v>0.65625</v>
      </c>
      <c r="F1767" s="731">
        <v>43605</v>
      </c>
      <c r="G1767" s="730">
        <v>0.16666666666666666</v>
      </c>
      <c r="H1767" s="555" t="s">
        <v>3779</v>
      </c>
      <c r="I1767" s="555" t="s">
        <v>1352</v>
      </c>
      <c r="J1767" s="751" t="s">
        <v>3451</v>
      </c>
      <c r="K1767" s="555" t="s">
        <v>22</v>
      </c>
      <c r="L1767" s="555" t="s">
        <v>45</v>
      </c>
      <c r="M1767" s="555" t="s">
        <v>3780</v>
      </c>
    </row>
    <row r="1768" spans="3:13" ht="18.75">
      <c r="C1768" s="735"/>
      <c r="D1768" s="555" t="s">
        <v>3777</v>
      </c>
      <c r="E1768" s="757">
        <v>7.9861111111111105E-2</v>
      </c>
      <c r="F1768" s="731">
        <v>43603</v>
      </c>
      <c r="G1768" s="730">
        <v>0.62916666666666665</v>
      </c>
      <c r="H1768" s="555" t="s">
        <v>3781</v>
      </c>
      <c r="I1768" s="555" t="s">
        <v>124</v>
      </c>
      <c r="J1768" s="751" t="s">
        <v>3463</v>
      </c>
      <c r="K1768" s="555" t="s">
        <v>100</v>
      </c>
      <c r="L1768" s="555" t="s">
        <v>3219</v>
      </c>
      <c r="M1768" s="555" t="s">
        <v>3055</v>
      </c>
    </row>
    <row r="1769" spans="3:13" ht="18.75">
      <c r="C1769" s="735"/>
      <c r="D1769" s="555" t="s">
        <v>3782</v>
      </c>
      <c r="E1769" s="757">
        <v>0.70486111111111116</v>
      </c>
      <c r="F1769" s="731">
        <v>43608</v>
      </c>
      <c r="G1769" s="730">
        <v>0.98611111111111116</v>
      </c>
      <c r="H1769" s="555" t="s">
        <v>3325</v>
      </c>
      <c r="I1769" s="555" t="s">
        <v>63</v>
      </c>
      <c r="J1769" s="751" t="s">
        <v>3451</v>
      </c>
      <c r="K1769" s="555" t="s">
        <v>22</v>
      </c>
      <c r="L1769" s="555" t="s">
        <v>45</v>
      </c>
      <c r="M1769" s="555" t="s">
        <v>3462</v>
      </c>
    </row>
    <row r="1770" spans="3:13" ht="18.75">
      <c r="C1770" s="735"/>
      <c r="D1770" s="555" t="s">
        <v>3782</v>
      </c>
      <c r="E1770" s="757">
        <v>4.9305555555555554E-2</v>
      </c>
      <c r="F1770" s="731">
        <v>43608</v>
      </c>
      <c r="G1770" s="730">
        <v>0.5</v>
      </c>
      <c r="H1770" s="555" t="s">
        <v>3561</v>
      </c>
      <c r="I1770" s="555" t="s">
        <v>3143</v>
      </c>
      <c r="J1770" s="751" t="s">
        <v>3411</v>
      </c>
      <c r="K1770" s="555" t="s">
        <v>2990</v>
      </c>
      <c r="L1770" s="555" t="s">
        <v>3055</v>
      </c>
      <c r="M1770" s="555" t="s">
        <v>3055</v>
      </c>
    </row>
    <row r="1771" spans="3:13" ht="18.75">
      <c r="C1771" s="735"/>
      <c r="D1771" s="555" t="s">
        <v>3783</v>
      </c>
      <c r="E1771" s="757">
        <v>0.31111111111111112</v>
      </c>
      <c r="F1771" s="731">
        <v>43609</v>
      </c>
      <c r="G1771" s="730">
        <v>0.35416666666666669</v>
      </c>
      <c r="H1771" s="555" t="s">
        <v>3784</v>
      </c>
      <c r="I1771" s="555" t="s">
        <v>63</v>
      </c>
      <c r="J1771" s="751" t="s">
        <v>3387</v>
      </c>
      <c r="K1771" s="555" t="s">
        <v>2764</v>
      </c>
      <c r="L1771" s="555" t="s">
        <v>3055</v>
      </c>
      <c r="M1771" s="555" t="s">
        <v>3055</v>
      </c>
    </row>
    <row r="1772" spans="3:13" ht="18.75">
      <c r="C1772" s="735"/>
      <c r="D1772" s="555" t="s">
        <v>3783</v>
      </c>
      <c r="E1772" s="757">
        <v>0.83958333333333324</v>
      </c>
      <c r="F1772" s="731">
        <v>43610</v>
      </c>
      <c r="G1772" s="730">
        <v>0.59930555555555554</v>
      </c>
      <c r="H1772" s="555" t="s">
        <v>3786</v>
      </c>
      <c r="I1772" s="555" t="s">
        <v>674</v>
      </c>
      <c r="J1772" s="751" t="s">
        <v>3387</v>
      </c>
      <c r="K1772" s="555" t="s">
        <v>2764</v>
      </c>
      <c r="L1772" s="555" t="s">
        <v>3055</v>
      </c>
      <c r="M1772" s="555" t="s">
        <v>3055</v>
      </c>
    </row>
    <row r="1773" spans="3:13" ht="18.75">
      <c r="C1773" s="735"/>
      <c r="D1773" s="555" t="s">
        <v>3783</v>
      </c>
      <c r="E1773" s="757">
        <v>0.90763888888888899</v>
      </c>
      <c r="F1773" s="731">
        <v>43609</v>
      </c>
      <c r="G1773" s="730">
        <v>0.99861111111111101</v>
      </c>
      <c r="H1773" s="555" t="s">
        <v>2945</v>
      </c>
      <c r="I1773" s="555" t="s">
        <v>124</v>
      </c>
      <c r="J1773" s="751" t="s">
        <v>3366</v>
      </c>
      <c r="K1773" s="555" t="s">
        <v>22</v>
      </c>
      <c r="L1773" s="555" t="s">
        <v>3787</v>
      </c>
      <c r="M1773" s="555" t="s">
        <v>3788</v>
      </c>
    </row>
    <row r="1774" spans="3:13" ht="18.75">
      <c r="C1774" s="735"/>
      <c r="D1774" s="555" t="s">
        <v>3789</v>
      </c>
      <c r="E1774" s="757">
        <v>0.92152777777777783</v>
      </c>
      <c r="F1774" s="731">
        <v>43613</v>
      </c>
      <c r="G1774" s="730">
        <v>0.125</v>
      </c>
      <c r="H1774" s="555" t="s">
        <v>3791</v>
      </c>
      <c r="I1774" s="555" t="s">
        <v>3143</v>
      </c>
      <c r="J1774" s="751" t="s">
        <v>3451</v>
      </c>
      <c r="K1774" s="555" t="s">
        <v>2990</v>
      </c>
      <c r="L1774" s="555" t="s">
        <v>3792</v>
      </c>
      <c r="M1774" s="555" t="s">
        <v>3340</v>
      </c>
    </row>
    <row r="1775" spans="3:13" ht="18.75">
      <c r="C1775" s="735"/>
      <c r="D1775" s="555" t="s">
        <v>3793</v>
      </c>
      <c r="E1775" s="757">
        <v>0.7631944444444444</v>
      </c>
      <c r="F1775" s="731">
        <v>43618</v>
      </c>
      <c r="G1775" s="730">
        <v>0.86319444444444438</v>
      </c>
      <c r="H1775" s="555" t="s">
        <v>2945</v>
      </c>
      <c r="I1775" s="555" t="s">
        <v>124</v>
      </c>
      <c r="J1775" s="751" t="s">
        <v>3431</v>
      </c>
      <c r="K1775" s="555" t="s">
        <v>2990</v>
      </c>
      <c r="L1775" s="555" t="s">
        <v>45</v>
      </c>
      <c r="M1775" s="555" t="s">
        <v>45</v>
      </c>
    </row>
    <row r="1776" spans="3:13" ht="18.75">
      <c r="C1776" s="735"/>
      <c r="D1776" s="555" t="s">
        <v>3794</v>
      </c>
      <c r="E1776" s="757">
        <v>0.42708333333333331</v>
      </c>
      <c r="F1776" s="731">
        <v>43620</v>
      </c>
      <c r="G1776" s="730">
        <v>0.55208333333333337</v>
      </c>
      <c r="H1776" s="555" t="s">
        <v>3795</v>
      </c>
      <c r="I1776" s="555" t="s">
        <v>124</v>
      </c>
      <c r="J1776" s="751" t="s">
        <v>3402</v>
      </c>
      <c r="K1776" s="555" t="s">
        <v>2118</v>
      </c>
      <c r="L1776" s="555" t="s">
        <v>3055</v>
      </c>
      <c r="M1776" s="555" t="s">
        <v>3055</v>
      </c>
    </row>
    <row r="1777" spans="3:13" ht="18.75">
      <c r="C1777" s="735"/>
      <c r="D1777" s="555" t="s">
        <v>3796</v>
      </c>
      <c r="E1777" s="757">
        <v>0.35902777777777778</v>
      </c>
      <c r="F1777" s="731">
        <v>43621</v>
      </c>
      <c r="G1777" s="730">
        <v>0.3611111111111111</v>
      </c>
      <c r="H1777" s="555" t="s">
        <v>2850</v>
      </c>
      <c r="I1777" s="555" t="s">
        <v>124</v>
      </c>
      <c r="J1777" s="751" t="s">
        <v>3402</v>
      </c>
      <c r="K1777" s="555" t="s">
        <v>100</v>
      </c>
      <c r="L1777" s="555" t="s">
        <v>3055</v>
      </c>
      <c r="M1777" s="555" t="s">
        <v>3055</v>
      </c>
    </row>
    <row r="1778" spans="3:13" ht="18.75">
      <c r="C1778" s="735"/>
      <c r="D1778" s="555" t="s">
        <v>3796</v>
      </c>
      <c r="E1778" s="757">
        <v>0.42777777777777781</v>
      </c>
      <c r="F1778" s="731">
        <v>43621</v>
      </c>
      <c r="G1778" s="730">
        <v>0.4284722222222222</v>
      </c>
      <c r="H1778" s="555" t="s">
        <v>3797</v>
      </c>
      <c r="I1778" s="555" t="s">
        <v>674</v>
      </c>
      <c r="J1778" s="751" t="s">
        <v>3356</v>
      </c>
      <c r="K1778" s="555" t="s">
        <v>100</v>
      </c>
      <c r="L1778" s="555" t="s">
        <v>3055</v>
      </c>
      <c r="M1778" s="555" t="s">
        <v>3055</v>
      </c>
    </row>
    <row r="1779" spans="3:13" ht="18.75">
      <c r="C1779" s="735"/>
      <c r="D1779" s="555" t="s">
        <v>3796</v>
      </c>
      <c r="E1779" s="757">
        <v>0.4069444444444445</v>
      </c>
      <c r="F1779" s="731">
        <v>43621</v>
      </c>
      <c r="G1779" s="730">
        <v>0.5</v>
      </c>
      <c r="H1779" s="555" t="s">
        <v>3357</v>
      </c>
      <c r="I1779" s="555" t="s">
        <v>124</v>
      </c>
      <c r="J1779" s="751" t="s">
        <v>3356</v>
      </c>
      <c r="K1779" s="555" t="s">
        <v>100</v>
      </c>
      <c r="L1779" s="555" t="s">
        <v>3055</v>
      </c>
      <c r="M1779" s="555" t="s">
        <v>3055</v>
      </c>
    </row>
    <row r="1780" spans="3:13" ht="18.75">
      <c r="C1780" s="735"/>
      <c r="D1780" s="555" t="s">
        <v>3798</v>
      </c>
      <c r="E1780" s="757">
        <v>0.75624999999999998</v>
      </c>
      <c r="F1780" s="731">
        <v>43622</v>
      </c>
      <c r="G1780" s="730">
        <v>0.77430555555555547</v>
      </c>
      <c r="H1780" s="555" t="s">
        <v>3162</v>
      </c>
      <c r="I1780" s="555" t="s">
        <v>1352</v>
      </c>
      <c r="J1780" s="751" t="s">
        <v>3451</v>
      </c>
      <c r="K1780" s="555" t="s">
        <v>22</v>
      </c>
      <c r="L1780" s="555" t="s">
        <v>45</v>
      </c>
      <c r="M1780" s="555" t="s">
        <v>3799</v>
      </c>
    </row>
    <row r="1781" spans="3:13" ht="18.75">
      <c r="C1781" s="735"/>
      <c r="D1781" s="555" t="s">
        <v>3800</v>
      </c>
      <c r="E1781" s="757">
        <v>0.61319444444444449</v>
      </c>
      <c r="F1781" s="731">
        <v>43623</v>
      </c>
      <c r="G1781" s="730">
        <v>0.68055555555555547</v>
      </c>
      <c r="H1781" s="555" t="s">
        <v>3801</v>
      </c>
      <c r="I1781" s="555" t="s">
        <v>1352</v>
      </c>
      <c r="J1781" s="751" t="s">
        <v>3411</v>
      </c>
      <c r="K1781" s="555" t="s">
        <v>2483</v>
      </c>
      <c r="L1781" s="555" t="s">
        <v>3643</v>
      </c>
      <c r="M1781" s="555" t="s">
        <v>3081</v>
      </c>
    </row>
    <row r="1782" spans="3:13" ht="18.75">
      <c r="C1782" s="735"/>
      <c r="D1782" s="555" t="s">
        <v>3802</v>
      </c>
      <c r="E1782" s="757">
        <v>0.65972222222222221</v>
      </c>
      <c r="F1782" s="731">
        <v>43624</v>
      </c>
      <c r="G1782" s="730">
        <v>0.81944444444444453</v>
      </c>
      <c r="H1782" s="555" t="s">
        <v>3803</v>
      </c>
      <c r="I1782" s="555" t="s">
        <v>1352</v>
      </c>
      <c r="J1782" s="751" t="s">
        <v>3411</v>
      </c>
      <c r="K1782" s="555" t="s">
        <v>2483</v>
      </c>
      <c r="L1782" s="555" t="s">
        <v>3055</v>
      </c>
      <c r="M1782" s="555" t="s">
        <v>3055</v>
      </c>
    </row>
    <row r="1783" spans="3:13" ht="18.75">
      <c r="C1783" s="735"/>
      <c r="D1783" s="555" t="s">
        <v>3804</v>
      </c>
      <c r="E1783" s="757">
        <v>0.61458333333333337</v>
      </c>
      <c r="F1783" s="731">
        <v>43629</v>
      </c>
      <c r="G1783" s="730">
        <v>0.9375</v>
      </c>
      <c r="H1783" s="555" t="s">
        <v>3806</v>
      </c>
      <c r="I1783" s="555" t="s">
        <v>1352</v>
      </c>
      <c r="J1783" s="751" t="s">
        <v>3451</v>
      </c>
      <c r="K1783" s="555" t="s">
        <v>22</v>
      </c>
      <c r="L1783" s="555" t="s">
        <v>45</v>
      </c>
      <c r="M1783" s="555" t="s">
        <v>3807</v>
      </c>
    </row>
    <row r="1784" spans="3:13" ht="18.75">
      <c r="C1784" s="735"/>
      <c r="D1784" s="555" t="s">
        <v>3808</v>
      </c>
      <c r="E1784" s="757">
        <v>0.63263888888888886</v>
      </c>
      <c r="F1784" s="731">
        <v>43627</v>
      </c>
      <c r="G1784" s="730">
        <v>0.70833333333333337</v>
      </c>
      <c r="H1784" s="555" t="s">
        <v>3809</v>
      </c>
      <c r="I1784" s="555" t="s">
        <v>674</v>
      </c>
      <c r="J1784" s="751" t="s">
        <v>3356</v>
      </c>
      <c r="K1784" s="555" t="s">
        <v>100</v>
      </c>
      <c r="L1784" s="555" t="s">
        <v>3055</v>
      </c>
      <c r="M1784" s="555" t="s">
        <v>3055</v>
      </c>
    </row>
    <row r="1785" spans="3:13" ht="18.75">
      <c r="C1785" s="735"/>
      <c r="D1785" s="555" t="s">
        <v>3808</v>
      </c>
      <c r="E1785" s="757">
        <v>0.32777777777777778</v>
      </c>
      <c r="F1785" s="731">
        <v>43627</v>
      </c>
      <c r="G1785" s="730">
        <v>0.32847222222222222</v>
      </c>
      <c r="H1785" s="555" t="s">
        <v>2865</v>
      </c>
      <c r="I1785" s="555" t="s">
        <v>124</v>
      </c>
      <c r="J1785" s="751" t="s">
        <v>3463</v>
      </c>
      <c r="K1785" s="555" t="s">
        <v>100</v>
      </c>
      <c r="L1785" s="555" t="s">
        <v>3055</v>
      </c>
      <c r="M1785" s="555" t="s">
        <v>3055</v>
      </c>
    </row>
    <row r="1786" spans="3:13" ht="18.75">
      <c r="C1786" s="735"/>
      <c r="D1786" s="555" t="s">
        <v>3810</v>
      </c>
      <c r="E1786" s="757">
        <v>0.62222222222222223</v>
      </c>
      <c r="F1786" s="731">
        <v>43628</v>
      </c>
      <c r="G1786" s="730">
        <v>0.65972222222222221</v>
      </c>
      <c r="H1786" s="555" t="s">
        <v>3811</v>
      </c>
      <c r="I1786" s="555" t="s">
        <v>124</v>
      </c>
      <c r="J1786" s="751" t="s">
        <v>3750</v>
      </c>
      <c r="K1786" s="555" t="s">
        <v>2905</v>
      </c>
      <c r="L1786" s="555" t="s">
        <v>3812</v>
      </c>
      <c r="M1786" s="555" t="s">
        <v>3813</v>
      </c>
    </row>
    <row r="1787" spans="3:13" ht="18.75">
      <c r="C1787" s="735"/>
      <c r="D1787" s="555" t="s">
        <v>3814</v>
      </c>
      <c r="E1787" s="757">
        <v>8.3333333333333329E-2</v>
      </c>
      <c r="F1787" s="731">
        <v>43633</v>
      </c>
      <c r="G1787" s="730">
        <v>0.99930555555555556</v>
      </c>
      <c r="H1787" s="555" t="s">
        <v>3816</v>
      </c>
      <c r="I1787" s="555" t="s">
        <v>1352</v>
      </c>
      <c r="J1787" s="751" t="s">
        <v>3451</v>
      </c>
      <c r="K1787" s="555" t="s">
        <v>22</v>
      </c>
      <c r="L1787" s="555" t="s">
        <v>45</v>
      </c>
      <c r="M1787" s="555" t="s">
        <v>3817</v>
      </c>
    </row>
    <row r="1788" spans="3:13" ht="18.75">
      <c r="C1788" s="735"/>
      <c r="D1788" s="555" t="s">
        <v>3814</v>
      </c>
      <c r="E1788" s="757">
        <v>0.1423611111111111</v>
      </c>
      <c r="F1788" s="731" t="s">
        <v>45</v>
      </c>
      <c r="G1788" s="730" t="s">
        <v>45</v>
      </c>
      <c r="H1788" s="555" t="s">
        <v>3693</v>
      </c>
      <c r="I1788" s="555" t="s">
        <v>3347</v>
      </c>
      <c r="J1788" s="751" t="s">
        <v>3411</v>
      </c>
      <c r="K1788" s="555" t="s">
        <v>2990</v>
      </c>
      <c r="L1788" s="555" t="s">
        <v>45</v>
      </c>
      <c r="M1788" s="555" t="s">
        <v>45</v>
      </c>
    </row>
    <row r="1789" spans="3:13" ht="18.75">
      <c r="C1789" s="735"/>
      <c r="D1789" s="555" t="s">
        <v>3818</v>
      </c>
      <c r="E1789" s="757">
        <v>0.26458333333333334</v>
      </c>
      <c r="F1789" s="731">
        <v>43634</v>
      </c>
      <c r="G1789" s="730">
        <v>0.27777777777777779</v>
      </c>
      <c r="H1789" s="555" t="s">
        <v>3819</v>
      </c>
      <c r="I1789" s="555" t="s">
        <v>124</v>
      </c>
      <c r="J1789" s="751" t="s">
        <v>3402</v>
      </c>
      <c r="K1789" s="555" t="s">
        <v>2118</v>
      </c>
      <c r="L1789" s="555" t="s">
        <v>3055</v>
      </c>
      <c r="M1789" s="555" t="s">
        <v>3055</v>
      </c>
    </row>
    <row r="1790" spans="3:13" ht="18.75">
      <c r="C1790" s="735"/>
      <c r="D1790" s="555" t="s">
        <v>3820</v>
      </c>
      <c r="E1790" s="757">
        <v>0.45833333333333331</v>
      </c>
      <c r="F1790" s="731">
        <v>43635</v>
      </c>
      <c r="G1790" s="730">
        <v>0.45902777777777781</v>
      </c>
      <c r="H1790" s="555" t="s">
        <v>3693</v>
      </c>
      <c r="I1790" s="555" t="s">
        <v>3347</v>
      </c>
      <c r="J1790" s="751" t="s">
        <v>3356</v>
      </c>
      <c r="K1790" s="555" t="s">
        <v>100</v>
      </c>
      <c r="L1790" s="555" t="s">
        <v>3055</v>
      </c>
      <c r="M1790" s="555" t="s">
        <v>3055</v>
      </c>
    </row>
    <row r="1791" spans="3:13" ht="18.75">
      <c r="C1791" s="735"/>
      <c r="D1791" s="555" t="s">
        <v>3820</v>
      </c>
      <c r="E1791" s="757">
        <v>0.9375</v>
      </c>
      <c r="F1791" s="731">
        <v>43636</v>
      </c>
      <c r="G1791" s="730">
        <v>0.79166666666666663</v>
      </c>
      <c r="H1791" s="555" t="s">
        <v>3405</v>
      </c>
      <c r="I1791" s="555" t="s">
        <v>3347</v>
      </c>
      <c r="J1791" s="751" t="s">
        <v>3451</v>
      </c>
      <c r="K1791" s="555" t="s">
        <v>22</v>
      </c>
      <c r="L1791" s="555" t="s">
        <v>45</v>
      </c>
      <c r="M1791" s="555" t="s">
        <v>3822</v>
      </c>
    </row>
    <row r="1792" spans="3:13" ht="18.75">
      <c r="C1792" s="735"/>
      <c r="D1792" s="555" t="s">
        <v>3820</v>
      </c>
      <c r="E1792" s="757">
        <v>0.625</v>
      </c>
      <c r="F1792" s="731" t="s">
        <v>45</v>
      </c>
      <c r="G1792" s="730" t="s">
        <v>45</v>
      </c>
      <c r="H1792" s="555" t="s">
        <v>2817</v>
      </c>
      <c r="I1792" s="555" t="s">
        <v>124</v>
      </c>
      <c r="J1792" s="751" t="s">
        <v>3356</v>
      </c>
      <c r="K1792" s="555" t="s">
        <v>100</v>
      </c>
      <c r="L1792" s="555" t="s">
        <v>3055</v>
      </c>
      <c r="M1792" s="555" t="s">
        <v>3055</v>
      </c>
    </row>
    <row r="1793" spans="3:13" ht="18.75">
      <c r="C1793" s="735"/>
      <c r="D1793" s="555" t="s">
        <v>3821</v>
      </c>
      <c r="E1793" s="757">
        <v>0.6743055555555556</v>
      </c>
      <c r="F1793" s="731">
        <v>43637</v>
      </c>
      <c r="G1793" s="730">
        <v>0.53125</v>
      </c>
      <c r="H1793" s="555" t="s">
        <v>3325</v>
      </c>
      <c r="I1793" s="555" t="s">
        <v>63</v>
      </c>
      <c r="J1793" s="751" t="s">
        <v>3451</v>
      </c>
      <c r="K1793" s="555" t="s">
        <v>22</v>
      </c>
      <c r="L1793" s="555" t="s">
        <v>45</v>
      </c>
      <c r="M1793" s="555" t="s">
        <v>3237</v>
      </c>
    </row>
    <row r="1794" spans="3:13" ht="18.75">
      <c r="C1794" s="735"/>
      <c r="D1794" s="555" t="s">
        <v>3823</v>
      </c>
      <c r="E1794" s="757">
        <v>0.77500000000000002</v>
      </c>
      <c r="F1794" s="731">
        <v>43637</v>
      </c>
      <c r="G1794" s="730">
        <v>0.81041666666666667</v>
      </c>
      <c r="H1794" s="555" t="s">
        <v>2959</v>
      </c>
      <c r="I1794" s="555" t="s">
        <v>61</v>
      </c>
      <c r="J1794" s="751" t="s">
        <v>3387</v>
      </c>
      <c r="K1794" s="555" t="s">
        <v>2764</v>
      </c>
      <c r="L1794" s="555" t="s">
        <v>3055</v>
      </c>
      <c r="M1794" s="555" t="s">
        <v>3055</v>
      </c>
    </row>
    <row r="1795" spans="3:13" ht="18.75">
      <c r="C1795" s="735"/>
      <c r="D1795" s="555" t="s">
        <v>3823</v>
      </c>
      <c r="E1795" s="757">
        <v>0.80208333333333337</v>
      </c>
      <c r="F1795" s="731" t="s">
        <v>45</v>
      </c>
      <c r="G1795" s="730" t="s">
        <v>45</v>
      </c>
      <c r="H1795" s="555" t="s">
        <v>3824</v>
      </c>
      <c r="I1795" s="555" t="s">
        <v>63</v>
      </c>
      <c r="J1795" s="751" t="s">
        <v>3431</v>
      </c>
      <c r="K1795" s="555" t="s">
        <v>22</v>
      </c>
      <c r="L1795" s="555" t="s">
        <v>45</v>
      </c>
      <c r="M1795" s="555" t="s">
        <v>3240</v>
      </c>
    </row>
    <row r="1796" spans="3:13" ht="18.75">
      <c r="C1796" s="735"/>
      <c r="D1796" s="555" t="s">
        <v>3823</v>
      </c>
      <c r="E1796" s="757">
        <v>0.41666666666666669</v>
      </c>
      <c r="F1796" s="731">
        <v>43637</v>
      </c>
      <c r="G1796" s="730">
        <v>0.45833333333333331</v>
      </c>
      <c r="H1796" s="555" t="s">
        <v>3357</v>
      </c>
      <c r="I1796" s="555" t="s">
        <v>124</v>
      </c>
      <c r="J1796" s="751" t="s">
        <v>3356</v>
      </c>
      <c r="K1796" s="555" t="s">
        <v>100</v>
      </c>
      <c r="L1796" s="555" t="s">
        <v>3055</v>
      </c>
      <c r="M1796" s="555" t="s">
        <v>3055</v>
      </c>
    </row>
    <row r="1797" spans="3:13" ht="18.75">
      <c r="C1797" s="735"/>
      <c r="D1797" s="555" t="s">
        <v>3825</v>
      </c>
      <c r="E1797" s="757">
        <v>0.8652777777777777</v>
      </c>
      <c r="F1797" s="731">
        <v>43639</v>
      </c>
      <c r="G1797" s="730">
        <v>2.0833333333333332E-2</v>
      </c>
      <c r="H1797" s="555" t="s">
        <v>3273</v>
      </c>
      <c r="I1797" s="555" t="s">
        <v>63</v>
      </c>
      <c r="J1797" s="751" t="s">
        <v>3451</v>
      </c>
      <c r="K1797" s="555" t="s">
        <v>22</v>
      </c>
      <c r="L1797" s="555" t="s">
        <v>3827</v>
      </c>
      <c r="M1797" s="555" t="s">
        <v>3828</v>
      </c>
    </row>
    <row r="1798" spans="3:13" ht="18.75">
      <c r="C1798" s="735"/>
      <c r="D1798" s="555" t="s">
        <v>3826</v>
      </c>
      <c r="E1798" s="757">
        <v>0.91666666666666663</v>
      </c>
      <c r="F1798" s="731">
        <v>43641</v>
      </c>
      <c r="G1798" s="730">
        <v>0.95833333333333337</v>
      </c>
      <c r="H1798" s="555" t="s">
        <v>3830</v>
      </c>
      <c r="I1798" s="555" t="s">
        <v>1352</v>
      </c>
      <c r="J1798" s="751" t="s">
        <v>3451</v>
      </c>
      <c r="K1798" s="555" t="s">
        <v>22</v>
      </c>
      <c r="L1798" s="555" t="s">
        <v>45</v>
      </c>
      <c r="M1798" s="555" t="s">
        <v>3831</v>
      </c>
    </row>
    <row r="1799" spans="3:13" ht="18.75">
      <c r="C1799" s="735"/>
      <c r="D1799" s="555" t="s">
        <v>3826</v>
      </c>
      <c r="E1799" s="757">
        <v>0.21736111111111112</v>
      </c>
      <c r="F1799" s="731">
        <v>43639</v>
      </c>
      <c r="G1799" s="730">
        <v>0.45694444444444443</v>
      </c>
      <c r="H1799" s="555" t="s">
        <v>3405</v>
      </c>
      <c r="I1799" s="555" t="s">
        <v>3347</v>
      </c>
      <c r="J1799" s="751" t="s">
        <v>3411</v>
      </c>
      <c r="K1799" s="555" t="s">
        <v>2483</v>
      </c>
      <c r="L1799" s="555" t="s">
        <v>3832</v>
      </c>
      <c r="M1799" s="555" t="s">
        <v>3833</v>
      </c>
    </row>
    <row r="1800" spans="3:13" ht="18.75">
      <c r="C1800" s="735"/>
      <c r="D1800" s="555" t="s">
        <v>3834</v>
      </c>
      <c r="E1800" s="757">
        <v>0.40277777777777773</v>
      </c>
      <c r="F1800" s="731">
        <v>43640</v>
      </c>
      <c r="G1800" s="730">
        <v>0.63680555555555551</v>
      </c>
      <c r="H1800" s="555" t="s">
        <v>3835</v>
      </c>
      <c r="I1800" s="555" t="s">
        <v>3347</v>
      </c>
      <c r="J1800" s="751" t="s">
        <v>3447</v>
      </c>
      <c r="K1800" s="555" t="s">
        <v>2764</v>
      </c>
      <c r="L1800" s="555" t="s">
        <v>3055</v>
      </c>
      <c r="M1800" s="555" t="s">
        <v>3055</v>
      </c>
    </row>
    <row r="1801" spans="3:13" ht="18.75">
      <c r="C1801" s="735"/>
      <c r="D1801" s="555" t="s">
        <v>3834</v>
      </c>
      <c r="E1801" s="757">
        <v>0.22916666666666666</v>
      </c>
      <c r="F1801" s="731">
        <v>43640</v>
      </c>
      <c r="G1801" s="730">
        <v>0.36458333333333331</v>
      </c>
      <c r="H1801" s="555" t="s">
        <v>3405</v>
      </c>
      <c r="I1801" s="555" t="s">
        <v>3347</v>
      </c>
      <c r="J1801" s="751" t="s">
        <v>3451</v>
      </c>
      <c r="K1801" s="555" t="s">
        <v>22</v>
      </c>
      <c r="L1801" s="555" t="s">
        <v>45</v>
      </c>
      <c r="M1801" s="555" t="s">
        <v>3836</v>
      </c>
    </row>
    <row r="1802" spans="3:13" ht="18.75">
      <c r="C1802" s="735"/>
      <c r="D1802" s="555" t="s">
        <v>3837</v>
      </c>
      <c r="E1802" s="757">
        <v>0.58194444444444449</v>
      </c>
      <c r="F1802" s="731">
        <v>43642</v>
      </c>
      <c r="G1802" s="730">
        <v>0.5854166666666667</v>
      </c>
      <c r="H1802" s="555" t="s">
        <v>3838</v>
      </c>
      <c r="I1802" s="555" t="s">
        <v>674</v>
      </c>
      <c r="J1802" s="751" t="s">
        <v>3411</v>
      </c>
      <c r="K1802" s="555" t="s">
        <v>2483</v>
      </c>
      <c r="L1802" s="555" t="s">
        <v>3839</v>
      </c>
      <c r="M1802" s="555" t="s">
        <v>3055</v>
      </c>
    </row>
    <row r="1803" spans="3:13" ht="18.75">
      <c r="C1803" s="735"/>
      <c r="D1803" s="555" t="s">
        <v>3840</v>
      </c>
      <c r="E1803" s="757">
        <v>0.60069444444444442</v>
      </c>
      <c r="F1803" s="731" t="s">
        <v>45</v>
      </c>
      <c r="G1803" s="730" t="s">
        <v>45</v>
      </c>
      <c r="H1803" s="555" t="s">
        <v>3841</v>
      </c>
      <c r="I1803" s="555" t="s">
        <v>124</v>
      </c>
      <c r="J1803" s="751" t="s">
        <v>3411</v>
      </c>
      <c r="K1803" s="555" t="s">
        <v>2483</v>
      </c>
      <c r="L1803" s="555" t="s">
        <v>3055</v>
      </c>
      <c r="M1803" s="555" t="s">
        <v>3055</v>
      </c>
    </row>
    <row r="1804" spans="3:13" ht="18.75">
      <c r="C1804" s="735"/>
      <c r="D1804" s="555" t="s">
        <v>3842</v>
      </c>
      <c r="E1804" s="757">
        <v>0.63541666666666663</v>
      </c>
      <c r="F1804" s="731">
        <v>43646</v>
      </c>
      <c r="G1804" s="730">
        <v>0.67708333333333337</v>
      </c>
      <c r="H1804" s="555" t="s">
        <v>3843</v>
      </c>
      <c r="I1804" s="555" t="s">
        <v>61</v>
      </c>
      <c r="J1804" s="751" t="s">
        <v>3451</v>
      </c>
      <c r="K1804" s="555" t="s">
        <v>22</v>
      </c>
      <c r="L1804" s="555" t="s">
        <v>3844</v>
      </c>
      <c r="M1804" s="555" t="s">
        <v>3845</v>
      </c>
    </row>
    <row r="1805" spans="3:13" ht="18.75">
      <c r="C1805" s="735"/>
      <c r="D1805" s="555" t="s">
        <v>3842</v>
      </c>
      <c r="E1805" s="757">
        <v>0.64583333333333337</v>
      </c>
      <c r="F1805" s="731">
        <v>43646</v>
      </c>
      <c r="G1805" s="730">
        <v>0.85416666666666663</v>
      </c>
      <c r="H1805" s="555" t="s">
        <v>3846</v>
      </c>
      <c r="I1805" s="555" t="s">
        <v>63</v>
      </c>
      <c r="J1805" s="751" t="s">
        <v>3451</v>
      </c>
      <c r="K1805" s="555" t="s">
        <v>22</v>
      </c>
      <c r="L1805" s="555" t="s">
        <v>45</v>
      </c>
      <c r="M1805" s="555" t="s">
        <v>3462</v>
      </c>
    </row>
    <row r="1806" spans="3:13" ht="18.75">
      <c r="C1806" s="735"/>
      <c r="D1806" s="555" t="s">
        <v>3847</v>
      </c>
      <c r="E1806" s="757">
        <v>0.54166666666666663</v>
      </c>
      <c r="F1806" s="731">
        <v>43648</v>
      </c>
      <c r="G1806" s="730">
        <v>0.55694444444444446</v>
      </c>
      <c r="H1806" s="555" t="s">
        <v>2847</v>
      </c>
      <c r="I1806" s="555" t="s">
        <v>124</v>
      </c>
      <c r="J1806" s="751" t="s">
        <v>3356</v>
      </c>
      <c r="K1806" s="555" t="s">
        <v>100</v>
      </c>
      <c r="L1806" s="555" t="s">
        <v>3055</v>
      </c>
      <c r="M1806" s="555" t="s">
        <v>3055</v>
      </c>
    </row>
    <row r="1807" spans="3:13" ht="18.75">
      <c r="C1807" s="735"/>
      <c r="D1807" s="555" t="s">
        <v>3848</v>
      </c>
      <c r="E1807" s="757">
        <v>0.91666666666666663</v>
      </c>
      <c r="F1807" s="731">
        <v>43653</v>
      </c>
      <c r="G1807" s="730">
        <v>0.58124999999999993</v>
      </c>
      <c r="H1807" s="555" t="s">
        <v>3850</v>
      </c>
      <c r="I1807" s="555" t="s">
        <v>63</v>
      </c>
      <c r="J1807" s="751" t="s">
        <v>3463</v>
      </c>
      <c r="K1807" s="555" t="s">
        <v>100</v>
      </c>
      <c r="L1807" s="555" t="s">
        <v>45</v>
      </c>
      <c r="M1807" s="555" t="s">
        <v>3851</v>
      </c>
    </row>
    <row r="1808" spans="3:13" ht="18.75">
      <c r="C1808" s="735"/>
      <c r="D1808" s="555" t="s">
        <v>3852</v>
      </c>
      <c r="E1808" s="757">
        <v>8.2638888888888887E-2</v>
      </c>
      <c r="F1808" s="731">
        <v>43655</v>
      </c>
      <c r="G1808" s="730">
        <v>0.65972222222222221</v>
      </c>
      <c r="H1808" s="555" t="s">
        <v>3853</v>
      </c>
      <c r="I1808" s="555" t="s">
        <v>3347</v>
      </c>
      <c r="J1808" s="751" t="s">
        <v>3356</v>
      </c>
      <c r="K1808" s="555" t="s">
        <v>100</v>
      </c>
      <c r="L1808" s="555" t="s">
        <v>3055</v>
      </c>
      <c r="M1808" s="555" t="s">
        <v>3055</v>
      </c>
    </row>
    <row r="1809" spans="3:13" ht="18.75">
      <c r="C1809" s="735"/>
      <c r="D1809" s="555" t="s">
        <v>3854</v>
      </c>
      <c r="E1809" s="757">
        <v>0.50694444444444442</v>
      </c>
      <c r="F1809" s="731">
        <v>43658</v>
      </c>
      <c r="G1809" s="730">
        <v>0.52083333333333337</v>
      </c>
      <c r="H1809" s="555" t="s">
        <v>3856</v>
      </c>
      <c r="I1809" s="555" t="s">
        <v>1352</v>
      </c>
      <c r="J1809" s="751" t="s">
        <v>3451</v>
      </c>
      <c r="K1809" s="555" t="s">
        <v>22</v>
      </c>
      <c r="L1809" s="555" t="s">
        <v>45</v>
      </c>
      <c r="M1809" s="555" t="s">
        <v>3295</v>
      </c>
    </row>
    <row r="1810" spans="3:13" ht="18.75">
      <c r="C1810" s="735"/>
      <c r="D1810" s="555" t="s">
        <v>3854</v>
      </c>
      <c r="E1810" s="757">
        <v>0.5</v>
      </c>
      <c r="F1810" s="731">
        <v>43656</v>
      </c>
      <c r="G1810" s="730">
        <v>0.51041666666666663</v>
      </c>
      <c r="H1810" s="555" t="s">
        <v>2831</v>
      </c>
      <c r="I1810" s="555" t="s">
        <v>124</v>
      </c>
      <c r="J1810" s="751" t="s">
        <v>3356</v>
      </c>
      <c r="K1810" s="555" t="s">
        <v>100</v>
      </c>
      <c r="L1810" s="555" t="s">
        <v>3055</v>
      </c>
      <c r="M1810" s="555" t="s">
        <v>3055</v>
      </c>
    </row>
    <row r="1811" spans="3:13" ht="18.75">
      <c r="C1811" s="735"/>
      <c r="D1811" s="555" t="s">
        <v>3857</v>
      </c>
      <c r="E1811" s="757">
        <v>0.46388888888888885</v>
      </c>
      <c r="F1811" s="731">
        <v>43657</v>
      </c>
      <c r="G1811" s="730">
        <v>0.46736111111111112</v>
      </c>
      <c r="H1811" s="555" t="s">
        <v>3858</v>
      </c>
      <c r="I1811" s="555" t="s">
        <v>1352</v>
      </c>
      <c r="J1811" s="751" t="s">
        <v>3411</v>
      </c>
      <c r="K1811" s="555" t="s">
        <v>2483</v>
      </c>
      <c r="L1811" s="555" t="s">
        <v>3859</v>
      </c>
      <c r="M1811" s="555" t="s">
        <v>3860</v>
      </c>
    </row>
    <row r="1812" spans="3:13" ht="18.75">
      <c r="C1812" s="735"/>
      <c r="D1812" s="555" t="s">
        <v>3861</v>
      </c>
      <c r="E1812" s="757">
        <v>0.99652777777777779</v>
      </c>
      <c r="F1812" s="731">
        <v>43660</v>
      </c>
      <c r="G1812" s="730">
        <v>0.54166666666666663</v>
      </c>
      <c r="H1812" s="555" t="s">
        <v>3863</v>
      </c>
      <c r="I1812" s="555" t="s">
        <v>63</v>
      </c>
      <c r="J1812" s="751" t="s">
        <v>3451</v>
      </c>
      <c r="K1812" s="555" t="s">
        <v>22</v>
      </c>
      <c r="L1812" s="555" t="s">
        <v>45</v>
      </c>
      <c r="M1812" s="555" t="s">
        <v>3864</v>
      </c>
    </row>
    <row r="1813" spans="3:13" ht="18.75">
      <c r="C1813" s="735"/>
      <c r="D1813" s="555" t="s">
        <v>3861</v>
      </c>
      <c r="E1813" s="757">
        <v>0.30208333333333331</v>
      </c>
      <c r="F1813" s="731">
        <v>43660</v>
      </c>
      <c r="G1813" s="730">
        <v>0.70833333333333337</v>
      </c>
      <c r="H1813" s="555" t="s">
        <v>2866</v>
      </c>
      <c r="I1813" s="555" t="s">
        <v>63</v>
      </c>
      <c r="J1813" s="751" t="s">
        <v>3451</v>
      </c>
      <c r="K1813" s="555" t="s">
        <v>22</v>
      </c>
      <c r="L1813" s="555" t="s">
        <v>45</v>
      </c>
      <c r="M1813" s="555" t="s">
        <v>3865</v>
      </c>
    </row>
    <row r="1814" spans="3:13" ht="18.75">
      <c r="C1814" s="735"/>
      <c r="D1814" s="555" t="s">
        <v>3861</v>
      </c>
      <c r="E1814" s="757">
        <v>0.78263888888888899</v>
      </c>
      <c r="F1814" s="731">
        <v>43659</v>
      </c>
      <c r="G1814" s="730">
        <v>0.98402777777777783</v>
      </c>
      <c r="H1814" s="555" t="s">
        <v>3370</v>
      </c>
      <c r="I1814" s="555" t="s">
        <v>61</v>
      </c>
      <c r="J1814" s="751" t="s">
        <v>3379</v>
      </c>
      <c r="K1814" s="555" t="s">
        <v>2483</v>
      </c>
      <c r="L1814" s="555" t="s">
        <v>3866</v>
      </c>
      <c r="M1814" s="555" t="s">
        <v>3867</v>
      </c>
    </row>
    <row r="1815" spans="3:13" ht="18.75">
      <c r="C1815" s="735"/>
      <c r="D1815" s="555" t="s">
        <v>3868</v>
      </c>
      <c r="E1815" s="757">
        <v>0.59166666666666667</v>
      </c>
      <c r="F1815" s="731">
        <v>43663</v>
      </c>
      <c r="G1815" s="730">
        <v>0.60416666666666663</v>
      </c>
      <c r="H1815" s="555" t="s">
        <v>3835</v>
      </c>
      <c r="I1815" s="555" t="s">
        <v>3347</v>
      </c>
      <c r="J1815" s="751" t="s">
        <v>3402</v>
      </c>
      <c r="K1815" s="555" t="s">
        <v>2118</v>
      </c>
      <c r="L1815" s="555" t="s">
        <v>3055</v>
      </c>
      <c r="M1815" s="555" t="s">
        <v>3055</v>
      </c>
    </row>
    <row r="1816" spans="3:13" ht="18.75">
      <c r="C1816" s="735"/>
      <c r="D1816" s="555" t="s">
        <v>3869</v>
      </c>
      <c r="E1816" s="757">
        <v>0.79166666666666663</v>
      </c>
      <c r="F1816" s="731">
        <v>43667</v>
      </c>
      <c r="G1816" s="730">
        <v>0.83333333333333337</v>
      </c>
      <c r="H1816" s="555" t="s">
        <v>3307</v>
      </c>
      <c r="I1816" s="555" t="s">
        <v>3143</v>
      </c>
      <c r="J1816" s="751" t="s">
        <v>3451</v>
      </c>
      <c r="K1816" s="555" t="s">
        <v>22</v>
      </c>
      <c r="L1816" s="555" t="s">
        <v>45</v>
      </c>
      <c r="M1816" s="555" t="s">
        <v>3871</v>
      </c>
    </row>
    <row r="1817" spans="3:13" ht="18.75">
      <c r="C1817" s="735"/>
      <c r="D1817" s="555" t="s">
        <v>3869</v>
      </c>
      <c r="E1817" s="757">
        <v>0.41319444444444442</v>
      </c>
      <c r="F1817" s="731">
        <v>43665</v>
      </c>
      <c r="G1817" s="730">
        <v>0.54166666666666663</v>
      </c>
      <c r="H1817" s="555" t="s">
        <v>3872</v>
      </c>
      <c r="I1817" s="555" t="s">
        <v>674</v>
      </c>
      <c r="J1817" s="751" t="s">
        <v>3447</v>
      </c>
      <c r="K1817" s="555" t="s">
        <v>2764</v>
      </c>
      <c r="L1817" s="555" t="s">
        <v>45</v>
      </c>
      <c r="M1817" s="555" t="s">
        <v>45</v>
      </c>
    </row>
    <row r="1818" spans="3:13" ht="18.75">
      <c r="C1818" s="735"/>
      <c r="D1818" s="555" t="s">
        <v>3873</v>
      </c>
      <c r="E1818" s="757">
        <v>0.31736111111111115</v>
      </c>
      <c r="F1818" s="731">
        <v>43666</v>
      </c>
      <c r="G1818" s="730">
        <v>0.3888888888888889</v>
      </c>
      <c r="H1818" s="555" t="s">
        <v>3439</v>
      </c>
      <c r="I1818" s="555" t="s">
        <v>63</v>
      </c>
      <c r="J1818" s="751" t="s">
        <v>3874</v>
      </c>
      <c r="K1818" s="555" t="s">
        <v>2118</v>
      </c>
      <c r="L1818" s="555" t="s">
        <v>3055</v>
      </c>
      <c r="M1818" s="555" t="s">
        <v>3055</v>
      </c>
    </row>
    <row r="1819" spans="3:13" ht="18.75">
      <c r="C1819" s="735"/>
      <c r="D1819" s="555" t="s">
        <v>3873</v>
      </c>
      <c r="E1819" s="757">
        <v>0.49652777777777773</v>
      </c>
      <c r="F1819" s="731">
        <v>43669</v>
      </c>
      <c r="G1819" s="730">
        <v>0</v>
      </c>
      <c r="H1819" s="555" t="s">
        <v>3876</v>
      </c>
      <c r="I1819" s="555" t="s">
        <v>3143</v>
      </c>
      <c r="J1819" s="751" t="s">
        <v>3451</v>
      </c>
      <c r="K1819" s="555" t="s">
        <v>22</v>
      </c>
      <c r="L1819" s="555" t="s">
        <v>3110</v>
      </c>
      <c r="M1819" s="555" t="s">
        <v>3240</v>
      </c>
    </row>
    <row r="1820" spans="3:13" ht="18.75">
      <c r="C1820" s="735"/>
      <c r="D1820" s="555" t="s">
        <v>3873</v>
      </c>
      <c r="E1820" s="757">
        <v>0.125</v>
      </c>
      <c r="F1820" s="731">
        <v>43668</v>
      </c>
      <c r="G1820" s="730">
        <v>0.29166666666666669</v>
      </c>
      <c r="H1820" s="555" t="s">
        <v>3878</v>
      </c>
      <c r="I1820" s="555" t="s">
        <v>3143</v>
      </c>
      <c r="J1820" s="751" t="s">
        <v>3451</v>
      </c>
      <c r="K1820" s="555" t="s">
        <v>22</v>
      </c>
      <c r="L1820" s="555" t="s">
        <v>45</v>
      </c>
      <c r="M1820" s="555" t="s">
        <v>3058</v>
      </c>
    </row>
    <row r="1821" spans="3:13" ht="18.75">
      <c r="C1821" s="735"/>
      <c r="D1821" s="555" t="s">
        <v>3870</v>
      </c>
      <c r="E1821" s="757">
        <v>0.95833333333333337</v>
      </c>
      <c r="F1821" s="731">
        <v>43668</v>
      </c>
      <c r="G1821" s="730">
        <v>0.87083333333333324</v>
      </c>
      <c r="H1821" s="555" t="s">
        <v>3879</v>
      </c>
      <c r="I1821" s="555" t="s">
        <v>61</v>
      </c>
      <c r="J1821" s="751" t="s">
        <v>3451</v>
      </c>
      <c r="K1821" s="555" t="s">
        <v>22</v>
      </c>
      <c r="L1821" s="555" t="s">
        <v>3880</v>
      </c>
      <c r="M1821" s="555" t="s">
        <v>3881</v>
      </c>
    </row>
    <row r="1822" spans="3:13" ht="18.75">
      <c r="C1822" s="735"/>
      <c r="D1822" s="555" t="s">
        <v>3877</v>
      </c>
      <c r="E1822" s="757">
        <v>0.66666666666666663</v>
      </c>
      <c r="F1822" s="731">
        <v>43670</v>
      </c>
      <c r="G1822" s="730">
        <v>0.95833333333333337</v>
      </c>
      <c r="H1822" s="555" t="s">
        <v>3883</v>
      </c>
      <c r="I1822" s="555" t="s">
        <v>3143</v>
      </c>
      <c r="J1822" s="751" t="s">
        <v>3451</v>
      </c>
      <c r="K1822" s="555" t="s">
        <v>22</v>
      </c>
      <c r="L1822" s="555" t="s">
        <v>45</v>
      </c>
      <c r="M1822" s="555" t="s">
        <v>3603</v>
      </c>
    </row>
    <row r="1823" spans="3:13" ht="18.75">
      <c r="C1823" s="735"/>
      <c r="D1823" s="555" t="s">
        <v>3877</v>
      </c>
      <c r="E1823" s="757">
        <v>0.74305555555555547</v>
      </c>
      <c r="F1823" s="731">
        <v>43671</v>
      </c>
      <c r="G1823" s="730">
        <v>0.55208333333333337</v>
      </c>
      <c r="H1823" s="555" t="s">
        <v>3885</v>
      </c>
      <c r="I1823" s="555" t="s">
        <v>3143</v>
      </c>
      <c r="J1823" s="751" t="s">
        <v>3451</v>
      </c>
      <c r="K1823" s="555" t="s">
        <v>22</v>
      </c>
      <c r="L1823" s="555" t="s">
        <v>3886</v>
      </c>
      <c r="M1823" s="555" t="s">
        <v>3887</v>
      </c>
    </row>
    <row r="1824" spans="3:13" ht="18.75">
      <c r="C1824" s="735"/>
      <c r="D1824" s="555" t="s">
        <v>3875</v>
      </c>
      <c r="E1824" s="757">
        <v>0.99652777777777779</v>
      </c>
      <c r="F1824" s="731">
        <v>43669</v>
      </c>
      <c r="G1824" s="730">
        <v>0.99722222222222223</v>
      </c>
      <c r="H1824" s="555" t="s">
        <v>3642</v>
      </c>
      <c r="I1824" s="555" t="s">
        <v>674</v>
      </c>
      <c r="J1824" s="751" t="s">
        <v>3411</v>
      </c>
      <c r="K1824" s="555" t="s">
        <v>2483</v>
      </c>
      <c r="L1824" s="555" t="s">
        <v>3055</v>
      </c>
      <c r="M1824" s="555" t="s">
        <v>3055</v>
      </c>
    </row>
    <row r="1825" spans="3:13" ht="18.75">
      <c r="C1825" s="735"/>
      <c r="D1825" s="555" t="s">
        <v>3875</v>
      </c>
      <c r="E1825" s="757">
        <v>0.14027777777777778</v>
      </c>
      <c r="F1825" s="731">
        <v>43669</v>
      </c>
      <c r="G1825" s="730">
        <v>0.23611111111111113</v>
      </c>
      <c r="H1825" s="555" t="s">
        <v>3888</v>
      </c>
      <c r="I1825" s="555" t="s">
        <v>124</v>
      </c>
      <c r="J1825" s="751" t="s">
        <v>3356</v>
      </c>
      <c r="K1825" s="555" t="s">
        <v>100</v>
      </c>
      <c r="L1825" s="555" t="s">
        <v>45</v>
      </c>
      <c r="M1825" s="555" t="s">
        <v>3889</v>
      </c>
    </row>
    <row r="1826" spans="3:13" ht="18.75">
      <c r="C1826" s="735"/>
      <c r="D1826" s="555" t="s">
        <v>3875</v>
      </c>
      <c r="E1826" s="757">
        <v>0.99652777777777779</v>
      </c>
      <c r="F1826" s="731">
        <v>43670</v>
      </c>
      <c r="G1826" s="730">
        <v>0.22361111111111109</v>
      </c>
      <c r="H1826" s="555" t="s">
        <v>3890</v>
      </c>
      <c r="I1826" s="555" t="s">
        <v>674</v>
      </c>
      <c r="J1826" s="751" t="s">
        <v>3411</v>
      </c>
      <c r="K1826" s="555" t="s">
        <v>2483</v>
      </c>
      <c r="L1826" s="555" t="s">
        <v>3055</v>
      </c>
      <c r="M1826" s="555" t="s">
        <v>3055</v>
      </c>
    </row>
    <row r="1827" spans="3:13" ht="18.75">
      <c r="C1827" s="735"/>
      <c r="D1827" s="555" t="s">
        <v>3875</v>
      </c>
      <c r="E1827" s="757">
        <v>0.65208333333333335</v>
      </c>
      <c r="F1827" s="731">
        <v>43669</v>
      </c>
      <c r="G1827" s="730">
        <v>0.79166666666666663</v>
      </c>
      <c r="H1827" s="555" t="s">
        <v>3335</v>
      </c>
      <c r="I1827" s="555" t="s">
        <v>61</v>
      </c>
      <c r="J1827" s="751" t="s">
        <v>3451</v>
      </c>
      <c r="K1827" s="555" t="s">
        <v>22</v>
      </c>
      <c r="L1827" s="555" t="s">
        <v>3891</v>
      </c>
      <c r="M1827" s="555" t="s">
        <v>3892</v>
      </c>
    </row>
    <row r="1828" spans="3:13" ht="18.75">
      <c r="C1828" s="735"/>
      <c r="D1828" s="555" t="s">
        <v>3882</v>
      </c>
      <c r="E1828" s="757">
        <v>0.5625</v>
      </c>
      <c r="F1828" s="731">
        <v>43670</v>
      </c>
      <c r="G1828" s="730">
        <v>0.56319444444444444</v>
      </c>
      <c r="H1828" s="555" t="s">
        <v>3648</v>
      </c>
      <c r="I1828" s="555" t="s">
        <v>124</v>
      </c>
      <c r="J1828" s="751" t="s">
        <v>3356</v>
      </c>
      <c r="K1828" s="555" t="s">
        <v>100</v>
      </c>
      <c r="L1828" s="555" t="s">
        <v>45</v>
      </c>
      <c r="M1828" s="555" t="s">
        <v>3081</v>
      </c>
    </row>
    <row r="1829" spans="3:13" ht="18.75">
      <c r="C1829" s="735"/>
      <c r="D1829" s="555" t="s">
        <v>3882</v>
      </c>
      <c r="E1829" s="757">
        <v>0.33402777777777781</v>
      </c>
      <c r="F1829" s="731">
        <v>43670</v>
      </c>
      <c r="G1829" s="730">
        <v>0.53402777777777777</v>
      </c>
      <c r="H1829" s="555" t="s">
        <v>2959</v>
      </c>
      <c r="I1829" s="555" t="s">
        <v>61</v>
      </c>
      <c r="J1829" s="751" t="s">
        <v>3387</v>
      </c>
      <c r="K1829" s="555" t="s">
        <v>2764</v>
      </c>
      <c r="L1829" s="555" t="s">
        <v>3055</v>
      </c>
      <c r="M1829" s="555" t="s">
        <v>3055</v>
      </c>
    </row>
    <row r="1830" spans="3:13" ht="18.75">
      <c r="C1830" s="735"/>
      <c r="D1830" s="555" t="s">
        <v>3893</v>
      </c>
      <c r="E1830" s="757">
        <v>0.78333333333333333</v>
      </c>
      <c r="F1830" s="731">
        <v>43674</v>
      </c>
      <c r="G1830" s="730">
        <v>0.8041666666666667</v>
      </c>
      <c r="H1830" s="555" t="s">
        <v>3307</v>
      </c>
      <c r="I1830" s="555" t="s">
        <v>3143</v>
      </c>
      <c r="J1830" s="751" t="s">
        <v>3387</v>
      </c>
      <c r="K1830" s="555" t="s">
        <v>2764</v>
      </c>
      <c r="L1830" s="555" t="s">
        <v>3055</v>
      </c>
      <c r="M1830" s="555" t="s">
        <v>3055</v>
      </c>
    </row>
    <row r="1831" spans="3:13" ht="18.75">
      <c r="C1831" s="735"/>
      <c r="D1831" s="555" t="s">
        <v>3894</v>
      </c>
      <c r="E1831" s="757">
        <v>0.36458333333333331</v>
      </c>
      <c r="F1831" s="731">
        <v>43676</v>
      </c>
      <c r="G1831" s="730">
        <v>0.40625</v>
      </c>
      <c r="H1831" s="555" t="s">
        <v>2866</v>
      </c>
      <c r="I1831" s="555" t="s">
        <v>63</v>
      </c>
      <c r="J1831" s="751" t="s">
        <v>3411</v>
      </c>
      <c r="K1831" s="555" t="s">
        <v>2990</v>
      </c>
      <c r="L1831" s="555" t="s">
        <v>45</v>
      </c>
      <c r="M1831" s="555" t="s">
        <v>3895</v>
      </c>
    </row>
    <row r="1832" spans="3:13" ht="18.75">
      <c r="C1832" s="735"/>
      <c r="D1832" s="555" t="s">
        <v>3896</v>
      </c>
      <c r="E1832" s="757">
        <v>0.76666666666666661</v>
      </c>
      <c r="F1832" s="731">
        <v>43679</v>
      </c>
      <c r="G1832" s="730">
        <v>0.81111111111111101</v>
      </c>
      <c r="H1832" s="555" t="s">
        <v>2862</v>
      </c>
      <c r="I1832" s="555" t="s">
        <v>124</v>
      </c>
      <c r="J1832" s="751" t="s">
        <v>3447</v>
      </c>
      <c r="K1832" s="555" t="s">
        <v>2764</v>
      </c>
      <c r="L1832" s="555" t="s">
        <v>3055</v>
      </c>
      <c r="M1832" s="555" t="s">
        <v>3055</v>
      </c>
    </row>
    <row r="1833" spans="3:13" ht="18.75">
      <c r="C1833" s="735"/>
      <c r="D1833" s="555" t="s">
        <v>3896</v>
      </c>
      <c r="E1833" s="757">
        <v>7.5694444444444439E-2</v>
      </c>
      <c r="F1833" s="731">
        <v>43679</v>
      </c>
      <c r="G1833" s="730">
        <v>7.9861111111111105E-2</v>
      </c>
      <c r="H1833" s="555" t="s">
        <v>3897</v>
      </c>
      <c r="I1833" s="555" t="s">
        <v>674</v>
      </c>
      <c r="J1833" s="751" t="s">
        <v>3411</v>
      </c>
      <c r="K1833" s="555" t="s">
        <v>2483</v>
      </c>
      <c r="L1833" s="555" t="s">
        <v>3055</v>
      </c>
      <c r="M1833" s="555" t="s">
        <v>3055</v>
      </c>
    </row>
    <row r="1834" spans="3:13" ht="18.75">
      <c r="C1834" s="735"/>
      <c r="D1834" s="555" t="s">
        <v>3898</v>
      </c>
      <c r="E1834" s="757">
        <v>0.72430555555555554</v>
      </c>
      <c r="F1834" s="731">
        <v>43683</v>
      </c>
      <c r="G1834" s="730">
        <v>1.3888888888888889E-3</v>
      </c>
      <c r="H1834" s="555" t="s">
        <v>3900</v>
      </c>
      <c r="I1834" s="555" t="s">
        <v>124</v>
      </c>
      <c r="J1834" s="751" t="s">
        <v>3411</v>
      </c>
      <c r="K1834" s="555" t="s">
        <v>2483</v>
      </c>
      <c r="L1834" s="555" t="s">
        <v>3901</v>
      </c>
      <c r="M1834" s="555" t="s">
        <v>45</v>
      </c>
    </row>
    <row r="1835" spans="3:13" ht="18.75">
      <c r="C1835" s="735"/>
      <c r="D1835" s="555" t="s">
        <v>3902</v>
      </c>
      <c r="E1835" s="757">
        <v>0.625</v>
      </c>
      <c r="F1835" s="731">
        <v>43684</v>
      </c>
      <c r="G1835" s="730">
        <v>0.64583333333333337</v>
      </c>
      <c r="H1835" s="555" t="s">
        <v>3357</v>
      </c>
      <c r="I1835" s="555" t="s">
        <v>124</v>
      </c>
      <c r="J1835" s="751" t="s">
        <v>3356</v>
      </c>
      <c r="K1835" s="555" t="s">
        <v>100</v>
      </c>
      <c r="L1835" s="555" t="s">
        <v>3055</v>
      </c>
      <c r="M1835" s="555" t="s">
        <v>3055</v>
      </c>
    </row>
    <row r="1836" spans="3:13" ht="18.75">
      <c r="C1836" s="735"/>
      <c r="D1836" s="555" t="s">
        <v>3902</v>
      </c>
      <c r="E1836" s="757">
        <v>0.3611111111111111</v>
      </c>
      <c r="F1836" s="731" t="s">
        <v>45</v>
      </c>
      <c r="G1836" s="730" t="s">
        <v>45</v>
      </c>
      <c r="H1836" s="555" t="s">
        <v>3903</v>
      </c>
      <c r="I1836" s="555" t="s">
        <v>124</v>
      </c>
      <c r="J1836" s="751" t="s">
        <v>3402</v>
      </c>
      <c r="K1836" s="555" t="s">
        <v>100</v>
      </c>
      <c r="L1836" s="555" t="s">
        <v>3055</v>
      </c>
      <c r="M1836" s="555" t="s">
        <v>3055</v>
      </c>
    </row>
    <row r="1837" spans="3:13" ht="18.75">
      <c r="C1837" s="735"/>
      <c r="D1837" s="555" t="s">
        <v>3902</v>
      </c>
      <c r="E1837" s="757">
        <v>0.39583333333333331</v>
      </c>
      <c r="F1837" s="731">
        <v>43684</v>
      </c>
      <c r="G1837" s="730">
        <v>0.46875</v>
      </c>
      <c r="H1837" s="555" t="s">
        <v>2959</v>
      </c>
      <c r="I1837" s="555" t="s">
        <v>61</v>
      </c>
      <c r="J1837" s="751" t="s">
        <v>3387</v>
      </c>
      <c r="K1837" s="555" t="s">
        <v>2764</v>
      </c>
      <c r="L1837" s="555" t="s">
        <v>3055</v>
      </c>
      <c r="M1837" s="555" t="s">
        <v>3055</v>
      </c>
    </row>
    <row r="1838" spans="3:13" ht="18.75">
      <c r="C1838" s="735"/>
      <c r="D1838" s="555" t="s">
        <v>3904</v>
      </c>
      <c r="E1838" s="757">
        <v>0.6777777777777777</v>
      </c>
      <c r="F1838" s="731">
        <v>43685</v>
      </c>
      <c r="G1838" s="730">
        <v>0.94513888888888886</v>
      </c>
      <c r="H1838" s="555" t="s">
        <v>2895</v>
      </c>
      <c r="I1838" s="555" t="s">
        <v>3143</v>
      </c>
      <c r="J1838" s="751" t="s">
        <v>3411</v>
      </c>
      <c r="K1838" s="555" t="s">
        <v>2990</v>
      </c>
      <c r="L1838" s="555" t="s">
        <v>45</v>
      </c>
      <c r="M1838" s="555" t="s">
        <v>3905</v>
      </c>
    </row>
    <row r="1839" spans="3:13" ht="18.75">
      <c r="C1839" s="735"/>
      <c r="D1839" s="555" t="s">
        <v>3906</v>
      </c>
      <c r="E1839" s="757">
        <v>0.41180555555555554</v>
      </c>
      <c r="F1839" s="731">
        <v>43686</v>
      </c>
      <c r="G1839" s="730">
        <v>0.44861111111111113</v>
      </c>
      <c r="H1839" s="555" t="s">
        <v>3591</v>
      </c>
      <c r="I1839" s="555" t="s">
        <v>1352</v>
      </c>
      <c r="J1839" s="751" t="s">
        <v>3402</v>
      </c>
      <c r="K1839" s="555" t="s">
        <v>2118</v>
      </c>
      <c r="L1839" s="555" t="s">
        <v>3055</v>
      </c>
      <c r="M1839" s="555" t="s">
        <v>3055</v>
      </c>
    </row>
    <row r="1840" spans="3:13" ht="18.75">
      <c r="C1840" s="735"/>
      <c r="D1840" s="555" t="s">
        <v>3907</v>
      </c>
      <c r="E1840" s="757">
        <v>0.6743055555555556</v>
      </c>
      <c r="F1840" s="731">
        <v>43687</v>
      </c>
      <c r="G1840" s="730">
        <v>0.69861111111111107</v>
      </c>
      <c r="H1840" s="555" t="s">
        <v>3307</v>
      </c>
      <c r="I1840" s="555" t="s">
        <v>3143</v>
      </c>
      <c r="J1840" s="751" t="s">
        <v>3387</v>
      </c>
      <c r="K1840" s="555" t="s">
        <v>2764</v>
      </c>
      <c r="L1840" s="555" t="s">
        <v>3055</v>
      </c>
      <c r="M1840" s="555" t="s">
        <v>3055</v>
      </c>
    </row>
    <row r="1841" spans="3:13" ht="18.75">
      <c r="C1841" s="735"/>
      <c r="D1841" s="555" t="s">
        <v>3907</v>
      </c>
      <c r="E1841" s="757">
        <v>0.83263888888888893</v>
      </c>
      <c r="F1841" s="731">
        <v>43687</v>
      </c>
      <c r="G1841" s="730">
        <v>0.87777777777777777</v>
      </c>
      <c r="H1841" s="555" t="s">
        <v>3307</v>
      </c>
      <c r="I1841" s="555" t="s">
        <v>3143</v>
      </c>
      <c r="J1841" s="751" t="s">
        <v>3387</v>
      </c>
      <c r="K1841" s="555" t="s">
        <v>2764</v>
      </c>
      <c r="L1841" s="555" t="s">
        <v>3055</v>
      </c>
      <c r="M1841" s="555" t="s">
        <v>3055</v>
      </c>
    </row>
    <row r="1842" spans="3:13" ht="18.75">
      <c r="C1842" s="735"/>
      <c r="D1842" s="555" t="s">
        <v>3908</v>
      </c>
      <c r="E1842" s="757">
        <v>0.41666666666666669</v>
      </c>
      <c r="F1842" s="731">
        <v>43690</v>
      </c>
      <c r="G1842" s="730">
        <v>0.45833333333333331</v>
      </c>
      <c r="H1842" s="555" t="s">
        <v>3909</v>
      </c>
      <c r="I1842" s="555" t="s">
        <v>124</v>
      </c>
      <c r="J1842" s="751" t="s">
        <v>3910</v>
      </c>
      <c r="K1842" s="555" t="s">
        <v>100</v>
      </c>
      <c r="L1842" s="555" t="s">
        <v>3055</v>
      </c>
      <c r="M1842" s="555" t="s">
        <v>3055</v>
      </c>
    </row>
    <row r="1843" spans="3:13" ht="18.75">
      <c r="C1843" s="735"/>
      <c r="D1843" s="555" t="s">
        <v>3908</v>
      </c>
      <c r="E1843" s="757">
        <v>0</v>
      </c>
      <c r="F1843" s="731" t="s">
        <v>45</v>
      </c>
      <c r="G1843" s="730" t="s">
        <v>45</v>
      </c>
      <c r="H1843" s="555" t="s">
        <v>3911</v>
      </c>
      <c r="I1843" s="555" t="s">
        <v>674</v>
      </c>
      <c r="J1843" s="751" t="s">
        <v>3356</v>
      </c>
      <c r="K1843" s="555" t="s">
        <v>100</v>
      </c>
      <c r="L1843" s="555" t="s">
        <v>45</v>
      </c>
      <c r="M1843" s="555" t="s">
        <v>45</v>
      </c>
    </row>
    <row r="1844" spans="3:13" ht="18.75">
      <c r="C1844" s="735"/>
      <c r="D1844" s="555" t="s">
        <v>3908</v>
      </c>
      <c r="E1844" s="757">
        <v>0.63194444444444442</v>
      </c>
      <c r="F1844" s="731">
        <v>43690</v>
      </c>
      <c r="G1844" s="730">
        <v>0.72916666666666663</v>
      </c>
      <c r="H1844" s="555" t="s">
        <v>2797</v>
      </c>
      <c r="I1844" s="555" t="s">
        <v>1352</v>
      </c>
      <c r="J1844" s="751" t="s">
        <v>3478</v>
      </c>
      <c r="K1844" s="555" t="s">
        <v>22</v>
      </c>
      <c r="L1844" s="555" t="s">
        <v>45</v>
      </c>
      <c r="M1844" s="555" t="s">
        <v>45</v>
      </c>
    </row>
    <row r="1845" spans="3:13" ht="18.75">
      <c r="C1845" s="735"/>
      <c r="D1845" s="555" t="s">
        <v>3912</v>
      </c>
      <c r="E1845" s="757">
        <v>0.35416666666666669</v>
      </c>
      <c r="F1845" s="731" t="s">
        <v>45</v>
      </c>
      <c r="G1845" s="730" t="s">
        <v>45</v>
      </c>
      <c r="H1845" s="555" t="s">
        <v>2869</v>
      </c>
      <c r="I1845" s="555" t="s">
        <v>61</v>
      </c>
      <c r="J1845" s="751" t="s">
        <v>3654</v>
      </c>
      <c r="K1845" s="555" t="s">
        <v>1138</v>
      </c>
      <c r="L1845" s="555" t="s">
        <v>3751</v>
      </c>
      <c r="M1845" s="555" t="s">
        <v>45</v>
      </c>
    </row>
    <row r="1846" spans="3:13" ht="18.75">
      <c r="C1846" s="735"/>
      <c r="D1846" s="555" t="s">
        <v>3912</v>
      </c>
      <c r="E1846" s="757">
        <v>0.9604166666666667</v>
      </c>
      <c r="F1846" s="731">
        <v>43693</v>
      </c>
      <c r="G1846" s="730">
        <v>2.5694444444444447E-2</v>
      </c>
      <c r="H1846" s="555" t="s">
        <v>3914</v>
      </c>
      <c r="I1846" s="555" t="s">
        <v>124</v>
      </c>
      <c r="J1846" s="751" t="s">
        <v>3451</v>
      </c>
      <c r="K1846" s="555" t="s">
        <v>2490</v>
      </c>
      <c r="L1846" s="555" t="s">
        <v>3278</v>
      </c>
      <c r="M1846" s="555" t="s">
        <v>3915</v>
      </c>
    </row>
    <row r="1847" spans="3:13" ht="18.75">
      <c r="C1847" s="735"/>
      <c r="D1847" s="555" t="s">
        <v>3912</v>
      </c>
      <c r="E1847" s="757">
        <v>0.45833333333333331</v>
      </c>
      <c r="F1847" s="731">
        <v>43692</v>
      </c>
      <c r="G1847" s="730">
        <v>0.64583333333333337</v>
      </c>
      <c r="H1847" s="555" t="s">
        <v>3916</v>
      </c>
      <c r="I1847" s="555" t="s">
        <v>63</v>
      </c>
      <c r="J1847" s="751" t="s">
        <v>3356</v>
      </c>
      <c r="K1847" s="555" t="s">
        <v>100</v>
      </c>
      <c r="L1847" s="555" t="s">
        <v>3055</v>
      </c>
      <c r="M1847" s="555" t="s">
        <v>3055</v>
      </c>
    </row>
    <row r="1848" spans="3:13" ht="18.75">
      <c r="C1848" s="735"/>
      <c r="D1848" s="555" t="s">
        <v>3912</v>
      </c>
      <c r="E1848" s="757">
        <v>0.63263888888888886</v>
      </c>
      <c r="F1848" s="731">
        <v>43692</v>
      </c>
      <c r="G1848" s="730">
        <v>0.75</v>
      </c>
      <c r="H1848" s="555" t="s">
        <v>2919</v>
      </c>
      <c r="I1848" s="555" t="s">
        <v>1352</v>
      </c>
      <c r="J1848" s="751" t="s">
        <v>3478</v>
      </c>
      <c r="K1848" s="555" t="s">
        <v>22</v>
      </c>
      <c r="L1848" s="555" t="s">
        <v>45</v>
      </c>
      <c r="M1848" s="555" t="s">
        <v>45</v>
      </c>
    </row>
    <row r="1849" spans="3:13" ht="18.75">
      <c r="C1849" s="735"/>
      <c r="D1849" s="555" t="s">
        <v>3912</v>
      </c>
      <c r="E1849" s="757">
        <v>0.12986111111111112</v>
      </c>
      <c r="F1849" s="731">
        <v>43692</v>
      </c>
      <c r="G1849" s="730">
        <v>0.16388888888888889</v>
      </c>
      <c r="H1849" s="555" t="s">
        <v>3917</v>
      </c>
      <c r="I1849" s="555" t="s">
        <v>3143</v>
      </c>
      <c r="J1849" s="751" t="s">
        <v>3387</v>
      </c>
      <c r="K1849" s="555" t="s">
        <v>2764</v>
      </c>
      <c r="L1849" s="555" t="s">
        <v>3055</v>
      </c>
      <c r="M1849" s="555" t="s">
        <v>3055</v>
      </c>
    </row>
    <row r="1850" spans="3:13" ht="18.75">
      <c r="C1850" s="735"/>
      <c r="D1850" s="555" t="s">
        <v>3918</v>
      </c>
      <c r="E1850" s="757">
        <v>0.69930555555555562</v>
      </c>
      <c r="F1850" s="731">
        <v>43330</v>
      </c>
      <c r="G1850" s="730">
        <v>0.95833333333333337</v>
      </c>
      <c r="H1850" s="555" t="s">
        <v>2919</v>
      </c>
      <c r="I1850" s="555" t="s">
        <v>1352</v>
      </c>
      <c r="J1850" s="751" t="s">
        <v>3379</v>
      </c>
      <c r="K1850" s="555" t="s">
        <v>2490</v>
      </c>
      <c r="L1850" s="555" t="s">
        <v>3920</v>
      </c>
      <c r="M1850" s="555" t="s">
        <v>3921</v>
      </c>
    </row>
    <row r="1851" spans="3:13" ht="18.75">
      <c r="C1851" s="735"/>
      <c r="D1851" s="555" t="s">
        <v>3918</v>
      </c>
      <c r="E1851" s="757">
        <v>0.6875</v>
      </c>
      <c r="F1851" s="731">
        <v>43695</v>
      </c>
      <c r="G1851" s="730">
        <v>0.91666666666666663</v>
      </c>
      <c r="H1851" s="555" t="s">
        <v>2919</v>
      </c>
      <c r="I1851" s="555" t="s">
        <v>1352</v>
      </c>
      <c r="J1851" s="751" t="s">
        <v>3451</v>
      </c>
      <c r="K1851" s="555" t="s">
        <v>3922</v>
      </c>
      <c r="L1851" s="555" t="s">
        <v>3923</v>
      </c>
      <c r="M1851" s="555" t="s">
        <v>3545</v>
      </c>
    </row>
    <row r="1852" spans="3:13" ht="18.75">
      <c r="C1852" s="735"/>
      <c r="D1852" s="555" t="s">
        <v>3918</v>
      </c>
      <c r="E1852" s="757">
        <v>0.66597222222222219</v>
      </c>
      <c r="F1852" s="731">
        <v>43695</v>
      </c>
      <c r="G1852" s="730">
        <v>0.95833333333333337</v>
      </c>
      <c r="H1852" s="555" t="s">
        <v>3767</v>
      </c>
      <c r="I1852" s="555" t="s">
        <v>3347</v>
      </c>
      <c r="J1852" s="751" t="s">
        <v>3750</v>
      </c>
      <c r="K1852" s="555" t="s">
        <v>2483</v>
      </c>
      <c r="L1852" s="555" t="s">
        <v>3924</v>
      </c>
      <c r="M1852" s="555" t="s">
        <v>3921</v>
      </c>
    </row>
    <row r="1853" spans="3:13" ht="18.75">
      <c r="C1853" s="735"/>
      <c r="D1853" s="555" t="s">
        <v>3925</v>
      </c>
      <c r="E1853" s="757">
        <v>0.33055555555555555</v>
      </c>
      <c r="F1853" s="731" t="s">
        <v>45</v>
      </c>
      <c r="G1853" s="730" t="s">
        <v>45</v>
      </c>
      <c r="H1853" s="555" t="s">
        <v>2895</v>
      </c>
      <c r="I1853" s="555" t="s">
        <v>3143</v>
      </c>
      <c r="J1853" s="751" t="s">
        <v>3356</v>
      </c>
      <c r="K1853" s="555" t="s">
        <v>100</v>
      </c>
      <c r="L1853" s="555" t="s">
        <v>45</v>
      </c>
      <c r="M1853" s="555" t="s">
        <v>3926</v>
      </c>
    </row>
    <row r="1854" spans="3:13" ht="18.75">
      <c r="C1854" s="735"/>
      <c r="D1854" s="555" t="s">
        <v>3925</v>
      </c>
      <c r="E1854" s="757">
        <v>0.64583333333333337</v>
      </c>
      <c r="F1854" s="731" t="s">
        <v>45</v>
      </c>
      <c r="G1854" s="730" t="s">
        <v>45</v>
      </c>
      <c r="H1854" s="555" t="s">
        <v>2855</v>
      </c>
      <c r="I1854" s="555" t="s">
        <v>61</v>
      </c>
      <c r="J1854" s="751" t="s">
        <v>3463</v>
      </c>
      <c r="K1854" s="555" t="s">
        <v>100</v>
      </c>
      <c r="L1854" s="555" t="s">
        <v>3055</v>
      </c>
      <c r="M1854" s="555" t="s">
        <v>3055</v>
      </c>
    </row>
    <row r="1855" spans="3:13" ht="18.75">
      <c r="C1855" s="735"/>
      <c r="D1855" s="555" t="s">
        <v>3927</v>
      </c>
      <c r="E1855" s="757">
        <v>0.67361111111111116</v>
      </c>
      <c r="F1855" s="731">
        <v>43701</v>
      </c>
      <c r="G1855" s="730">
        <v>0.81111111111111101</v>
      </c>
      <c r="H1855" s="555" t="s">
        <v>2853</v>
      </c>
      <c r="I1855" s="555" t="s">
        <v>124</v>
      </c>
      <c r="J1855" s="751" t="s">
        <v>3928</v>
      </c>
      <c r="K1855" s="555" t="s">
        <v>2118</v>
      </c>
      <c r="L1855" s="555" t="s">
        <v>3055</v>
      </c>
      <c r="M1855" s="555" t="s">
        <v>3055</v>
      </c>
    </row>
    <row r="1856" spans="3:13" ht="18.75">
      <c r="C1856" s="735"/>
      <c r="D1856" s="555" t="s">
        <v>3929</v>
      </c>
      <c r="E1856" s="757">
        <v>7.2222222222222229E-2</v>
      </c>
      <c r="F1856" s="731">
        <v>43702</v>
      </c>
      <c r="G1856" s="730">
        <v>9.7222222222222224E-2</v>
      </c>
      <c r="H1856" s="555" t="s">
        <v>2801</v>
      </c>
      <c r="I1856" s="555" t="s">
        <v>124</v>
      </c>
      <c r="J1856" s="751" t="s">
        <v>3402</v>
      </c>
      <c r="K1856" s="555" t="s">
        <v>2118</v>
      </c>
      <c r="L1856" s="555" t="s">
        <v>3055</v>
      </c>
      <c r="M1856" s="555" t="s">
        <v>3055</v>
      </c>
    </row>
    <row r="1857" spans="3:13" ht="18.75">
      <c r="C1857" s="735"/>
      <c r="D1857" s="555" t="s">
        <v>3930</v>
      </c>
      <c r="E1857" s="757">
        <v>0.38125000000000003</v>
      </c>
      <c r="F1857" s="731">
        <v>43703</v>
      </c>
      <c r="G1857" s="730">
        <v>0.56527777777777777</v>
      </c>
      <c r="H1857" s="555" t="s">
        <v>3931</v>
      </c>
      <c r="I1857" s="555" t="s">
        <v>674</v>
      </c>
      <c r="J1857" s="751" t="s">
        <v>3411</v>
      </c>
      <c r="K1857" s="555" t="s">
        <v>2483</v>
      </c>
      <c r="L1857" s="555" t="s">
        <v>3055</v>
      </c>
      <c r="M1857" s="555" t="s">
        <v>3055</v>
      </c>
    </row>
    <row r="1858" spans="3:13" ht="18.75">
      <c r="C1858" s="735"/>
      <c r="D1858" s="555" t="s">
        <v>3930</v>
      </c>
      <c r="E1858" s="757">
        <v>0.79166666666666663</v>
      </c>
      <c r="F1858" s="731">
        <v>43704</v>
      </c>
      <c r="G1858" s="730">
        <v>0.125</v>
      </c>
      <c r="H1858" s="555" t="s">
        <v>3693</v>
      </c>
      <c r="I1858" s="555" t="s">
        <v>3347</v>
      </c>
      <c r="J1858" s="751" t="s">
        <v>3451</v>
      </c>
      <c r="K1858" s="555" t="s">
        <v>2990</v>
      </c>
      <c r="L1858" s="555" t="s">
        <v>45</v>
      </c>
      <c r="M1858" s="555" t="s">
        <v>3234</v>
      </c>
    </row>
    <row r="1859" spans="3:13" ht="18.75">
      <c r="C1859" s="735"/>
      <c r="D1859" s="555" t="s">
        <v>3930</v>
      </c>
      <c r="E1859" s="757">
        <v>0.79166666666666663</v>
      </c>
      <c r="F1859" s="731">
        <v>43706</v>
      </c>
      <c r="G1859" s="730">
        <v>0.54166666666666663</v>
      </c>
      <c r="H1859" s="555" t="s">
        <v>3693</v>
      </c>
      <c r="I1859" s="555" t="s">
        <v>3347</v>
      </c>
      <c r="J1859" s="751" t="s">
        <v>3451</v>
      </c>
      <c r="K1859" s="555" t="s">
        <v>22</v>
      </c>
      <c r="L1859" s="555" t="s">
        <v>45</v>
      </c>
      <c r="M1859" s="555" t="s">
        <v>3934</v>
      </c>
    </row>
    <row r="1860" spans="3:13" ht="18.75">
      <c r="C1860" s="735"/>
      <c r="D1860" s="555" t="s">
        <v>3933</v>
      </c>
      <c r="E1860" s="757">
        <v>0.97916666666666663</v>
      </c>
      <c r="F1860" s="731">
        <v>43707</v>
      </c>
      <c r="G1860" s="730">
        <v>0.72916666666666663</v>
      </c>
      <c r="H1860" s="555" t="s">
        <v>3307</v>
      </c>
      <c r="I1860" s="555" t="s">
        <v>3143</v>
      </c>
      <c r="J1860" s="751" t="s">
        <v>3387</v>
      </c>
      <c r="K1860" s="555" t="s">
        <v>2764</v>
      </c>
      <c r="L1860" s="555" t="s">
        <v>3055</v>
      </c>
      <c r="M1860" s="555" t="s">
        <v>3055</v>
      </c>
    </row>
    <row r="1861" spans="3:13" ht="18.75">
      <c r="C1861" s="735"/>
      <c r="D1861" s="555" t="s">
        <v>3936</v>
      </c>
      <c r="E1861" s="757">
        <v>0.62847222222222221</v>
      </c>
      <c r="F1861" s="731">
        <v>43708</v>
      </c>
      <c r="G1861" s="730">
        <v>0.65694444444444444</v>
      </c>
      <c r="H1861" s="555" t="s">
        <v>3937</v>
      </c>
      <c r="I1861" s="555" t="s">
        <v>3143</v>
      </c>
      <c r="J1861" s="751" t="s">
        <v>3387</v>
      </c>
      <c r="K1861" s="555" t="s">
        <v>2764</v>
      </c>
      <c r="L1861" s="555" t="s">
        <v>3055</v>
      </c>
      <c r="M1861" s="555" t="s">
        <v>3055</v>
      </c>
    </row>
    <row r="1862" spans="3:13" ht="18.75">
      <c r="C1862" s="735"/>
      <c r="D1862" s="555" t="s">
        <v>3936</v>
      </c>
      <c r="E1862" s="757">
        <v>0.66666666666666663</v>
      </c>
      <c r="F1862" s="731">
        <v>43710</v>
      </c>
      <c r="G1862" s="730">
        <v>0.25</v>
      </c>
      <c r="H1862" s="555" t="s">
        <v>3939</v>
      </c>
      <c r="I1862" s="555" t="s">
        <v>124</v>
      </c>
      <c r="J1862" s="751" t="s">
        <v>3356</v>
      </c>
      <c r="K1862" s="555" t="s">
        <v>100</v>
      </c>
      <c r="L1862" s="555" t="s">
        <v>3055</v>
      </c>
      <c r="M1862" s="555" t="s">
        <v>3055</v>
      </c>
    </row>
    <row r="1863" spans="3:13" ht="18.75">
      <c r="C1863" s="735"/>
      <c r="D1863" s="555" t="s">
        <v>3940</v>
      </c>
      <c r="E1863" s="757">
        <v>0.60416666666666663</v>
      </c>
      <c r="F1863" s="731">
        <v>43714</v>
      </c>
      <c r="G1863" s="730">
        <v>0.75</v>
      </c>
      <c r="H1863" s="555" t="s">
        <v>2919</v>
      </c>
      <c r="I1863" s="555" t="s">
        <v>1352</v>
      </c>
      <c r="J1863" s="751" t="s">
        <v>3478</v>
      </c>
      <c r="K1863" s="555" t="s">
        <v>22</v>
      </c>
      <c r="L1863" s="555" t="s">
        <v>45</v>
      </c>
      <c r="M1863" s="555" t="s">
        <v>45</v>
      </c>
    </row>
    <row r="1864" spans="3:13" ht="18.75">
      <c r="C1864" s="735"/>
      <c r="D1864" s="555" t="s">
        <v>3940</v>
      </c>
      <c r="E1864" s="757">
        <v>0.46736111111111112</v>
      </c>
      <c r="F1864" s="731">
        <v>43712</v>
      </c>
      <c r="G1864" s="730">
        <v>0.49791666666666662</v>
      </c>
      <c r="H1864" s="555" t="s">
        <v>3942</v>
      </c>
      <c r="I1864" s="555" t="s">
        <v>3143</v>
      </c>
      <c r="J1864" s="751" t="s">
        <v>3387</v>
      </c>
      <c r="K1864" s="555" t="s">
        <v>2764</v>
      </c>
      <c r="L1864" s="555" t="s">
        <v>3055</v>
      </c>
      <c r="M1864" s="555" t="s">
        <v>3055</v>
      </c>
    </row>
    <row r="1865" spans="3:13" ht="18.75">
      <c r="C1865" s="735"/>
      <c r="D1865" s="555" t="s">
        <v>3943</v>
      </c>
      <c r="E1865" s="757">
        <v>0.91666666666666663</v>
      </c>
      <c r="F1865" s="731">
        <v>43714</v>
      </c>
      <c r="G1865" s="730">
        <v>0.5</v>
      </c>
      <c r="H1865" s="555" t="s">
        <v>2928</v>
      </c>
      <c r="I1865" s="555" t="s">
        <v>63</v>
      </c>
      <c r="J1865" s="751" t="s">
        <v>3451</v>
      </c>
      <c r="K1865" s="555" t="s">
        <v>22</v>
      </c>
      <c r="L1865" s="555" t="s">
        <v>3175</v>
      </c>
      <c r="M1865" s="555" t="s">
        <v>3944</v>
      </c>
    </row>
    <row r="1866" spans="3:13" ht="18.75">
      <c r="C1866" s="735"/>
      <c r="D1866" s="555" t="s">
        <v>3943</v>
      </c>
      <c r="E1866" s="757">
        <v>0.94166666666666676</v>
      </c>
      <c r="F1866" s="731">
        <v>43714</v>
      </c>
      <c r="G1866" s="730">
        <v>0.66666666666666663</v>
      </c>
      <c r="H1866" s="555" t="s">
        <v>2832</v>
      </c>
      <c r="I1866" s="555" t="s">
        <v>63</v>
      </c>
      <c r="J1866" s="751" t="s">
        <v>3451</v>
      </c>
      <c r="K1866" s="555" t="s">
        <v>22</v>
      </c>
      <c r="L1866" s="555" t="s">
        <v>45</v>
      </c>
      <c r="M1866" s="555" t="s">
        <v>3945</v>
      </c>
    </row>
    <row r="1867" spans="3:13" ht="18.75">
      <c r="C1867" s="735"/>
      <c r="D1867" s="555" t="s">
        <v>3943</v>
      </c>
      <c r="E1867" s="757">
        <v>0.17708333333333334</v>
      </c>
      <c r="F1867" s="731">
        <v>43713</v>
      </c>
      <c r="G1867" s="730">
        <v>0.63680555555555551</v>
      </c>
      <c r="H1867" s="555" t="s">
        <v>2896</v>
      </c>
      <c r="I1867" s="555" t="s">
        <v>63</v>
      </c>
      <c r="J1867" s="751" t="s">
        <v>3451</v>
      </c>
      <c r="K1867" s="555" t="s">
        <v>22</v>
      </c>
      <c r="L1867" s="555" t="s">
        <v>45</v>
      </c>
      <c r="M1867" s="555" t="s">
        <v>3946</v>
      </c>
    </row>
    <row r="1868" spans="3:13" ht="18.75">
      <c r="C1868" s="735"/>
      <c r="D1868" s="555" t="s">
        <v>3943</v>
      </c>
      <c r="E1868" s="757">
        <v>0.42222222222222222</v>
      </c>
      <c r="F1868" s="731">
        <v>43713</v>
      </c>
      <c r="G1868" s="730">
        <v>0.50555555555555554</v>
      </c>
      <c r="H1868" s="555" t="s">
        <v>2959</v>
      </c>
      <c r="I1868" s="555" t="s">
        <v>61</v>
      </c>
      <c r="J1868" s="751" t="s">
        <v>3387</v>
      </c>
      <c r="K1868" s="555" t="s">
        <v>2764</v>
      </c>
      <c r="L1868" s="555" t="s">
        <v>3055</v>
      </c>
      <c r="M1868" s="555" t="s">
        <v>3055</v>
      </c>
    </row>
    <row r="1869" spans="3:13" ht="18.75">
      <c r="C1869" s="735"/>
      <c r="D1869" s="555" t="s">
        <v>3941</v>
      </c>
      <c r="E1869" s="757">
        <v>0.34722222222222227</v>
      </c>
      <c r="F1869" s="731" t="s">
        <v>45</v>
      </c>
      <c r="G1869" s="730" t="s">
        <v>45</v>
      </c>
      <c r="H1869" s="555" t="s">
        <v>2928</v>
      </c>
      <c r="I1869" s="555" t="s">
        <v>63</v>
      </c>
      <c r="J1869" s="751" t="s">
        <v>3451</v>
      </c>
      <c r="K1869" s="555" t="s">
        <v>22</v>
      </c>
      <c r="L1869" s="555" t="s">
        <v>45</v>
      </c>
      <c r="M1869" s="555" t="s">
        <v>3947</v>
      </c>
    </row>
    <row r="1870" spans="3:13" ht="18.75">
      <c r="C1870" s="735"/>
      <c r="D1870" s="555" t="s">
        <v>3948</v>
      </c>
      <c r="E1870" s="757">
        <v>0.89027777777777783</v>
      </c>
      <c r="F1870" s="731">
        <v>43718</v>
      </c>
      <c r="G1870" s="730">
        <v>0.89097222222222217</v>
      </c>
      <c r="H1870" s="555" t="s">
        <v>2937</v>
      </c>
      <c r="I1870" s="555" t="s">
        <v>124</v>
      </c>
      <c r="J1870" s="751" t="s">
        <v>3411</v>
      </c>
      <c r="K1870" s="555" t="s">
        <v>2483</v>
      </c>
      <c r="L1870" s="555" t="s">
        <v>3949</v>
      </c>
      <c r="M1870" s="555" t="s">
        <v>3055</v>
      </c>
    </row>
    <row r="1871" spans="3:13" ht="18.75">
      <c r="C1871" s="735"/>
      <c r="D1871" s="555" t="s">
        <v>3950</v>
      </c>
      <c r="E1871" s="757">
        <v>0.94097222222222221</v>
      </c>
      <c r="F1871" s="731">
        <v>43719</v>
      </c>
      <c r="G1871" s="730">
        <v>0.99930555555555556</v>
      </c>
      <c r="H1871" s="555" t="s">
        <v>3951</v>
      </c>
      <c r="I1871" s="555" t="s">
        <v>3143</v>
      </c>
      <c r="J1871" s="751" t="s">
        <v>3451</v>
      </c>
      <c r="K1871" s="555" t="s">
        <v>22</v>
      </c>
      <c r="L1871" s="555" t="s">
        <v>45</v>
      </c>
      <c r="M1871" s="555" t="s">
        <v>3952</v>
      </c>
    </row>
    <row r="1872" spans="3:13" ht="18.75">
      <c r="C1872" s="735"/>
      <c r="D1872" s="555" t="s">
        <v>3953</v>
      </c>
      <c r="E1872" s="757">
        <v>0.10486111111111111</v>
      </c>
      <c r="F1872" s="731">
        <v>43724</v>
      </c>
      <c r="G1872" s="730">
        <v>0.70833333333333337</v>
      </c>
      <c r="H1872" s="555" t="s">
        <v>3189</v>
      </c>
      <c r="I1872" s="555" t="s">
        <v>63</v>
      </c>
      <c r="J1872" s="751" t="s">
        <v>3447</v>
      </c>
      <c r="K1872" s="555" t="s">
        <v>2764</v>
      </c>
      <c r="L1872" s="555" t="s">
        <v>3055</v>
      </c>
      <c r="M1872" s="555" t="s">
        <v>3055</v>
      </c>
    </row>
    <row r="1873" spans="3:13" ht="18.75">
      <c r="C1873" s="735"/>
      <c r="D1873" s="555" t="s">
        <v>3955</v>
      </c>
      <c r="E1873" s="757">
        <v>0.77777777777777779</v>
      </c>
      <c r="F1873" s="731">
        <v>43727</v>
      </c>
      <c r="G1873" s="730">
        <v>0.78194444444444444</v>
      </c>
      <c r="H1873" s="555" t="s">
        <v>3956</v>
      </c>
      <c r="I1873" s="555" t="s">
        <v>674</v>
      </c>
      <c r="J1873" s="751" t="s">
        <v>3402</v>
      </c>
      <c r="K1873" s="555" t="s">
        <v>100</v>
      </c>
      <c r="L1873" s="555" t="s">
        <v>3055</v>
      </c>
      <c r="M1873" s="555" t="s">
        <v>3055</v>
      </c>
    </row>
    <row r="1874" spans="3:13" ht="18.75">
      <c r="C1874" s="735"/>
      <c r="D1874" s="555" t="s">
        <v>3955</v>
      </c>
      <c r="E1874" s="757">
        <v>0.24652777777777779</v>
      </c>
      <c r="F1874" s="731">
        <v>43727</v>
      </c>
      <c r="G1874" s="730">
        <v>0.60416666666666663</v>
      </c>
      <c r="H1874" s="555" t="s">
        <v>3957</v>
      </c>
      <c r="I1874" s="555" t="s">
        <v>124</v>
      </c>
      <c r="J1874" s="751" t="s">
        <v>3654</v>
      </c>
      <c r="K1874" s="555" t="s">
        <v>1138</v>
      </c>
      <c r="L1874" s="555" t="s">
        <v>3055</v>
      </c>
      <c r="M1874" s="555" t="s">
        <v>3055</v>
      </c>
    </row>
    <row r="1875" spans="3:13" ht="18.75">
      <c r="C1875" s="735"/>
      <c r="D1875" s="555" t="s">
        <v>3958</v>
      </c>
      <c r="E1875" s="757">
        <v>1.4583333333333332E-2</v>
      </c>
      <c r="F1875" s="731">
        <v>43728</v>
      </c>
      <c r="G1875" s="730">
        <v>0.50277777777777777</v>
      </c>
      <c r="H1875" s="555" t="s">
        <v>3835</v>
      </c>
      <c r="I1875" s="555" t="s">
        <v>3347</v>
      </c>
      <c r="J1875" s="751" t="s">
        <v>3447</v>
      </c>
      <c r="K1875" s="555" t="s">
        <v>2764</v>
      </c>
      <c r="L1875" s="555" t="s">
        <v>3055</v>
      </c>
      <c r="M1875" s="555" t="s">
        <v>3055</v>
      </c>
    </row>
    <row r="1876" spans="3:13" ht="18.75">
      <c r="C1876" s="735"/>
      <c r="D1876" s="555" t="s">
        <v>3959</v>
      </c>
      <c r="E1876" s="757">
        <v>0.66388888888888886</v>
      </c>
      <c r="F1876" s="731">
        <v>43734</v>
      </c>
      <c r="G1876" s="730">
        <v>0.80902777777777779</v>
      </c>
      <c r="H1876" s="555" t="s">
        <v>2801</v>
      </c>
      <c r="I1876" s="555" t="s">
        <v>124</v>
      </c>
      <c r="J1876" s="751" t="s">
        <v>3356</v>
      </c>
      <c r="K1876" s="555" t="s">
        <v>100</v>
      </c>
      <c r="L1876" s="555" t="s">
        <v>3055</v>
      </c>
      <c r="M1876" s="555" t="s">
        <v>3055</v>
      </c>
    </row>
    <row r="1877" spans="3:13" ht="18.75">
      <c r="C1877" s="735"/>
      <c r="D1877" s="555" t="s">
        <v>3961</v>
      </c>
      <c r="E1877" s="757">
        <v>0.72569444444444453</v>
      </c>
      <c r="F1877" s="731">
        <v>43733</v>
      </c>
      <c r="G1877" s="730">
        <v>0.76111111111111107</v>
      </c>
      <c r="H1877" s="555" t="s">
        <v>3962</v>
      </c>
      <c r="I1877" s="555" t="s">
        <v>674</v>
      </c>
      <c r="J1877" s="751" t="s">
        <v>3402</v>
      </c>
      <c r="K1877" s="555" t="s">
        <v>2118</v>
      </c>
      <c r="L1877" s="555" t="s">
        <v>3055</v>
      </c>
      <c r="M1877" s="555" t="s">
        <v>3055</v>
      </c>
    </row>
    <row r="1878" spans="3:13" ht="18.75">
      <c r="C1878" s="735"/>
      <c r="D1878" s="555" t="s">
        <v>3961</v>
      </c>
      <c r="E1878" s="757">
        <v>0.15763888888888888</v>
      </c>
      <c r="F1878" s="731">
        <v>43733</v>
      </c>
      <c r="G1878" s="730">
        <v>0.65277777777777779</v>
      </c>
      <c r="H1878" s="555" t="s">
        <v>3963</v>
      </c>
      <c r="I1878" s="555" t="s">
        <v>124</v>
      </c>
      <c r="J1878" s="751" t="s">
        <v>3451</v>
      </c>
      <c r="K1878" s="555" t="s">
        <v>22</v>
      </c>
      <c r="L1878" s="555" t="s">
        <v>3889</v>
      </c>
      <c r="M1878" s="555" t="s">
        <v>3964</v>
      </c>
    </row>
    <row r="1879" spans="3:13" ht="18.75">
      <c r="C1879" s="735"/>
      <c r="D1879" s="555" t="s">
        <v>3961</v>
      </c>
      <c r="E1879" s="757">
        <v>0.41597222222222219</v>
      </c>
      <c r="F1879" s="731">
        <v>43733</v>
      </c>
      <c r="G1879" s="730">
        <v>0.41666666666666669</v>
      </c>
      <c r="H1879" s="555" t="s">
        <v>2919</v>
      </c>
      <c r="I1879" s="555" t="s">
        <v>1352</v>
      </c>
      <c r="J1879" s="751" t="s">
        <v>3356</v>
      </c>
      <c r="K1879" s="555" t="s">
        <v>100</v>
      </c>
      <c r="L1879" s="555" t="s">
        <v>45</v>
      </c>
      <c r="M1879" s="555" t="s">
        <v>45</v>
      </c>
    </row>
    <row r="1880" spans="3:13" ht="18.75">
      <c r="C1880" s="735"/>
      <c r="D1880" s="555" t="s">
        <v>3960</v>
      </c>
      <c r="E1880" s="757">
        <v>0.60486111111111118</v>
      </c>
      <c r="F1880" s="731">
        <v>43734</v>
      </c>
      <c r="G1880" s="730">
        <v>0.63472222222222219</v>
      </c>
      <c r="H1880" s="555" t="s">
        <v>3965</v>
      </c>
      <c r="I1880" s="555" t="s">
        <v>3143</v>
      </c>
      <c r="J1880" s="751" t="s">
        <v>3387</v>
      </c>
      <c r="K1880" s="555" t="s">
        <v>2764</v>
      </c>
      <c r="L1880" s="555" t="s">
        <v>3055</v>
      </c>
      <c r="M1880" s="555" t="s">
        <v>3055</v>
      </c>
    </row>
    <row r="1881" spans="3:13" ht="18.75">
      <c r="C1881" s="735"/>
      <c r="D1881" s="555" t="s">
        <v>3966</v>
      </c>
      <c r="E1881" s="757">
        <v>0.31805555555555554</v>
      </c>
      <c r="F1881" s="731" t="s">
        <v>45</v>
      </c>
      <c r="G1881" s="730" t="s">
        <v>45</v>
      </c>
      <c r="H1881" s="555" t="s">
        <v>3967</v>
      </c>
      <c r="I1881" s="555" t="s">
        <v>124</v>
      </c>
      <c r="J1881" s="751" t="s">
        <v>3451</v>
      </c>
      <c r="K1881" s="555" t="s">
        <v>2490</v>
      </c>
      <c r="L1881" s="555" t="s">
        <v>45</v>
      </c>
      <c r="M1881" s="555" t="s">
        <v>3968</v>
      </c>
    </row>
    <row r="1882" spans="3:13" ht="18.75">
      <c r="C1882" s="735"/>
      <c r="D1882" s="555" t="s">
        <v>3969</v>
      </c>
      <c r="E1882" s="757">
        <v>0.23263888888888887</v>
      </c>
      <c r="F1882" s="731">
        <v>43738</v>
      </c>
      <c r="G1882" s="730">
        <v>0.34027777777777773</v>
      </c>
      <c r="H1882" s="555" t="s">
        <v>2801</v>
      </c>
      <c r="I1882" s="555" t="s">
        <v>124</v>
      </c>
      <c r="J1882" s="751" t="s">
        <v>3447</v>
      </c>
      <c r="K1882" s="555" t="s">
        <v>2764</v>
      </c>
      <c r="L1882" s="555" t="s">
        <v>3055</v>
      </c>
      <c r="M1882" s="555" t="s">
        <v>3055</v>
      </c>
    </row>
    <row r="1883" spans="3:13" ht="18.75">
      <c r="C1883" s="735"/>
      <c r="D1883" s="555" t="s">
        <v>3969</v>
      </c>
      <c r="E1883" s="757">
        <v>0.51180555555555551</v>
      </c>
      <c r="F1883" s="731">
        <v>43738</v>
      </c>
      <c r="G1883" s="730">
        <v>0.54027777777777775</v>
      </c>
      <c r="H1883" s="555" t="s">
        <v>2817</v>
      </c>
      <c r="I1883" s="555" t="s">
        <v>124</v>
      </c>
      <c r="J1883" s="751" t="s">
        <v>3463</v>
      </c>
      <c r="K1883" s="555" t="s">
        <v>2293</v>
      </c>
      <c r="L1883" s="555" t="s">
        <v>3970</v>
      </c>
      <c r="M1883" s="555" t="s">
        <v>3055</v>
      </c>
    </row>
    <row r="1884" spans="3:13" ht="18.75">
      <c r="C1884" s="735"/>
      <c r="D1884" s="555" t="s">
        <v>3969</v>
      </c>
      <c r="E1884" s="757">
        <v>0.45347222222222222</v>
      </c>
      <c r="F1884" s="731">
        <v>43738</v>
      </c>
      <c r="G1884" s="730">
        <v>0.45416666666666666</v>
      </c>
      <c r="H1884" s="555" t="s">
        <v>3971</v>
      </c>
      <c r="I1884" s="555" t="s">
        <v>124</v>
      </c>
      <c r="J1884" s="751" t="s">
        <v>3356</v>
      </c>
      <c r="K1884" s="555" t="s">
        <v>100</v>
      </c>
      <c r="L1884" s="555" t="s">
        <v>3055</v>
      </c>
      <c r="M1884" s="555" t="s">
        <v>3055</v>
      </c>
    </row>
    <row r="1885" spans="3:13" ht="18.75">
      <c r="C1885" s="735"/>
      <c r="D1885" s="555" t="s">
        <v>3972</v>
      </c>
      <c r="E1885" s="757">
        <v>9.0277777777777787E-3</v>
      </c>
      <c r="F1885" s="731">
        <v>43741</v>
      </c>
      <c r="G1885" s="730">
        <v>0.16666666666666666</v>
      </c>
      <c r="H1885" s="555" t="s">
        <v>3973</v>
      </c>
      <c r="I1885" s="555" t="s">
        <v>63</v>
      </c>
      <c r="J1885" s="751" t="s">
        <v>3356</v>
      </c>
      <c r="K1885" s="555" t="s">
        <v>100</v>
      </c>
      <c r="L1885" s="555" t="s">
        <v>3055</v>
      </c>
      <c r="M1885" s="555" t="s">
        <v>3055</v>
      </c>
    </row>
    <row r="1886" spans="3:13" ht="18.75">
      <c r="C1886" s="735"/>
      <c r="D1886" s="555" t="s">
        <v>3974</v>
      </c>
      <c r="E1886" s="757">
        <v>0.21875</v>
      </c>
      <c r="F1886" s="731" t="s">
        <v>45</v>
      </c>
      <c r="G1886" s="730" t="s">
        <v>45</v>
      </c>
      <c r="H1886" s="555" t="s">
        <v>2945</v>
      </c>
      <c r="I1886" s="555" t="s">
        <v>124</v>
      </c>
      <c r="J1886" s="751" t="s">
        <v>3654</v>
      </c>
      <c r="K1886" s="555" t="s">
        <v>1138</v>
      </c>
      <c r="L1886" s="555" t="s">
        <v>3055</v>
      </c>
      <c r="M1886" s="555" t="s">
        <v>3055</v>
      </c>
    </row>
    <row r="1887" spans="3:13" ht="18.75">
      <c r="C1887" s="735"/>
      <c r="D1887" s="555" t="s">
        <v>3975</v>
      </c>
      <c r="E1887" s="757">
        <v>0.21875</v>
      </c>
      <c r="F1887" s="731" t="s">
        <v>45</v>
      </c>
      <c r="G1887" s="730" t="s">
        <v>45</v>
      </c>
      <c r="H1887" s="555" t="s">
        <v>2945</v>
      </c>
      <c r="I1887" s="555" t="s">
        <v>124</v>
      </c>
      <c r="J1887" s="751" t="s">
        <v>3654</v>
      </c>
      <c r="K1887" s="555" t="s">
        <v>1138</v>
      </c>
      <c r="L1887" s="555" t="s">
        <v>3055</v>
      </c>
      <c r="M1887" s="555" t="s">
        <v>3055</v>
      </c>
    </row>
    <row r="1888" spans="3:13" ht="18.75">
      <c r="C1888" s="735"/>
      <c r="D1888" s="555" t="s">
        <v>3975</v>
      </c>
      <c r="E1888" s="757">
        <v>0.61805555555555558</v>
      </c>
      <c r="F1888" s="731">
        <v>43744</v>
      </c>
      <c r="G1888" s="730">
        <v>0.625</v>
      </c>
      <c r="H1888" s="555" t="s">
        <v>3976</v>
      </c>
      <c r="I1888" s="555" t="s">
        <v>1352</v>
      </c>
      <c r="J1888" s="751" t="s">
        <v>3411</v>
      </c>
      <c r="K1888" s="555" t="s">
        <v>2483</v>
      </c>
      <c r="L1888" s="555" t="s">
        <v>45</v>
      </c>
      <c r="M1888" s="555" t="s">
        <v>45</v>
      </c>
    </row>
    <row r="1889" spans="3:13" ht="18.75">
      <c r="C1889" s="735"/>
      <c r="D1889" s="555" t="s">
        <v>3977</v>
      </c>
      <c r="E1889" s="757">
        <v>1.8749999999999999E-2</v>
      </c>
      <c r="F1889" s="731" t="s">
        <v>45</v>
      </c>
      <c r="G1889" s="730" t="s">
        <v>45</v>
      </c>
      <c r="H1889" s="555" t="s">
        <v>2945</v>
      </c>
      <c r="I1889" s="555" t="s">
        <v>124</v>
      </c>
      <c r="J1889" s="751" t="s">
        <v>3451</v>
      </c>
      <c r="K1889" s="555" t="s">
        <v>2990</v>
      </c>
      <c r="L1889" s="555" t="s">
        <v>3978</v>
      </c>
      <c r="M1889" s="555" t="s">
        <v>3979</v>
      </c>
    </row>
    <row r="1890" spans="3:13" ht="18.75">
      <c r="C1890" s="735"/>
      <c r="D1890" s="555" t="s">
        <v>3980</v>
      </c>
      <c r="E1890" s="757">
        <v>8.7500000000000008E-2</v>
      </c>
      <c r="F1890" s="731">
        <v>43748</v>
      </c>
      <c r="G1890" s="730">
        <v>0.21180555555555555</v>
      </c>
      <c r="H1890" s="555" t="s">
        <v>2959</v>
      </c>
      <c r="I1890" s="555" t="s">
        <v>61</v>
      </c>
      <c r="J1890" s="751" t="s">
        <v>3387</v>
      </c>
      <c r="K1890" s="555" t="s">
        <v>2764</v>
      </c>
      <c r="L1890" s="555" t="s">
        <v>3055</v>
      </c>
      <c r="M1890" s="555" t="s">
        <v>3055</v>
      </c>
    </row>
    <row r="1891" spans="3:13" ht="18.75">
      <c r="C1891" s="735"/>
      <c r="D1891" s="555" t="s">
        <v>3980</v>
      </c>
      <c r="E1891" s="757">
        <v>1.5277777777777777E-2</v>
      </c>
      <c r="F1891" s="731">
        <v>43748</v>
      </c>
      <c r="G1891" s="730">
        <v>9.1666666666666674E-2</v>
      </c>
      <c r="H1891" s="555" t="s">
        <v>3701</v>
      </c>
      <c r="I1891" s="555" t="s">
        <v>124</v>
      </c>
      <c r="J1891" s="751" t="s">
        <v>3447</v>
      </c>
      <c r="K1891" s="555" t="s">
        <v>2764</v>
      </c>
      <c r="L1891" s="555" t="s">
        <v>3055</v>
      </c>
      <c r="M1891" s="555" t="s">
        <v>3055</v>
      </c>
    </row>
    <row r="1892" spans="3:13" ht="18.75">
      <c r="C1892" s="735"/>
      <c r="D1892" s="555" t="s">
        <v>3981</v>
      </c>
      <c r="E1892" s="757">
        <v>0.45555555555555555</v>
      </c>
      <c r="F1892" s="731">
        <v>43749</v>
      </c>
      <c r="G1892" s="730">
        <v>0.49027777777777781</v>
      </c>
      <c r="H1892" s="555" t="s">
        <v>3528</v>
      </c>
      <c r="I1892" s="555" t="s">
        <v>3143</v>
      </c>
      <c r="J1892" s="751" t="s">
        <v>3387</v>
      </c>
      <c r="K1892" s="555" t="s">
        <v>2764</v>
      </c>
      <c r="L1892" s="555" t="s">
        <v>3055</v>
      </c>
      <c r="M1892" s="555" t="s">
        <v>3055</v>
      </c>
    </row>
    <row r="1893" spans="3:13" ht="18.75">
      <c r="C1893" s="735"/>
      <c r="D1893" s="555" t="s">
        <v>3982</v>
      </c>
      <c r="E1893" s="757">
        <v>0.625</v>
      </c>
      <c r="F1893" s="731">
        <v>43750</v>
      </c>
      <c r="G1893" s="730">
        <v>0.68125000000000002</v>
      </c>
      <c r="H1893" s="555" t="s">
        <v>2919</v>
      </c>
      <c r="I1893" s="555" t="s">
        <v>1352</v>
      </c>
      <c r="J1893" s="751" t="s">
        <v>3411</v>
      </c>
      <c r="K1893" s="555" t="s">
        <v>2483</v>
      </c>
      <c r="L1893" s="555" t="s">
        <v>3055</v>
      </c>
      <c r="M1893" s="555" t="s">
        <v>3055</v>
      </c>
    </row>
    <row r="1894" spans="3:13" ht="18.75">
      <c r="C1894" s="735"/>
      <c r="D1894" s="555" t="s">
        <v>3983</v>
      </c>
      <c r="E1894" s="757">
        <v>0.13819444444444443</v>
      </c>
      <c r="F1894" s="731">
        <v>43753</v>
      </c>
      <c r="G1894" s="730">
        <v>0.27638888888888885</v>
      </c>
      <c r="H1894" s="555" t="s">
        <v>2895</v>
      </c>
      <c r="I1894" s="555" t="s">
        <v>3143</v>
      </c>
      <c r="J1894" s="751" t="s">
        <v>3411</v>
      </c>
      <c r="K1894" s="555" t="s">
        <v>2483</v>
      </c>
      <c r="L1894" s="555" t="s">
        <v>3055</v>
      </c>
      <c r="M1894" s="555" t="s">
        <v>3055</v>
      </c>
    </row>
    <row r="1895" spans="3:13" ht="18.75">
      <c r="C1895" s="735"/>
      <c r="D1895" s="555" t="s">
        <v>3983</v>
      </c>
      <c r="E1895" s="757">
        <v>0.83124999999999993</v>
      </c>
      <c r="F1895" s="731">
        <v>43753</v>
      </c>
      <c r="G1895" s="730">
        <v>0.86388888888888893</v>
      </c>
      <c r="H1895" s="555" t="s">
        <v>3984</v>
      </c>
      <c r="I1895" s="555" t="s">
        <v>3347</v>
      </c>
      <c r="J1895" s="751" t="s">
        <v>3447</v>
      </c>
      <c r="K1895" s="555" t="s">
        <v>2764</v>
      </c>
      <c r="L1895" s="555" t="s">
        <v>3055</v>
      </c>
      <c r="M1895" s="555" t="s">
        <v>3055</v>
      </c>
    </row>
    <row r="1896" spans="3:13" ht="18.75">
      <c r="C1896" s="735"/>
      <c r="D1896" s="555" t="s">
        <v>3985</v>
      </c>
      <c r="E1896" s="757">
        <v>0.29166666666666669</v>
      </c>
      <c r="F1896" s="731" t="s">
        <v>45</v>
      </c>
      <c r="G1896" s="730" t="s">
        <v>45</v>
      </c>
      <c r="H1896" s="555" t="s">
        <v>3853</v>
      </c>
      <c r="I1896" s="555" t="s">
        <v>3347</v>
      </c>
      <c r="J1896" s="751" t="s">
        <v>3356</v>
      </c>
      <c r="K1896" s="555" t="s">
        <v>100</v>
      </c>
      <c r="L1896" s="555" t="s">
        <v>3055</v>
      </c>
      <c r="M1896" s="555" t="s">
        <v>3055</v>
      </c>
    </row>
    <row r="1897" spans="3:13" ht="18.75">
      <c r="C1897" s="735"/>
      <c r="D1897" s="555" t="s">
        <v>3986</v>
      </c>
      <c r="E1897" s="757">
        <v>3.125E-2</v>
      </c>
      <c r="F1897" s="731">
        <v>43757</v>
      </c>
      <c r="G1897" s="730">
        <v>0.39583333333333331</v>
      </c>
      <c r="H1897" s="555" t="s">
        <v>3521</v>
      </c>
      <c r="I1897" s="555" t="s">
        <v>61</v>
      </c>
      <c r="J1897" s="751" t="s">
        <v>3451</v>
      </c>
      <c r="K1897" s="555" t="s">
        <v>22</v>
      </c>
      <c r="L1897" s="555" t="s">
        <v>45</v>
      </c>
      <c r="M1897" s="555" t="s">
        <v>3988</v>
      </c>
    </row>
    <row r="1898" spans="3:13" ht="18.75">
      <c r="C1898" s="735"/>
      <c r="D1898" s="555" t="s">
        <v>3987</v>
      </c>
      <c r="E1898" s="757">
        <v>0.24791666666666667</v>
      </c>
      <c r="F1898" s="731">
        <v>43757</v>
      </c>
      <c r="G1898" s="730">
        <v>0.58194444444444449</v>
      </c>
      <c r="H1898" s="555" t="s">
        <v>3989</v>
      </c>
      <c r="I1898" s="555" t="s">
        <v>674</v>
      </c>
      <c r="J1898" s="751" t="s">
        <v>3411</v>
      </c>
      <c r="K1898" s="555" t="s">
        <v>2483</v>
      </c>
      <c r="L1898" s="555" t="s">
        <v>3055</v>
      </c>
      <c r="M1898" s="555" t="s">
        <v>3055</v>
      </c>
    </row>
    <row r="1899" spans="3:13" ht="18.75">
      <c r="C1899" s="735"/>
      <c r="D1899" s="555" t="s">
        <v>3987</v>
      </c>
      <c r="E1899" s="757">
        <v>0.58333333333333337</v>
      </c>
      <c r="F1899" s="731">
        <v>43757</v>
      </c>
      <c r="G1899" s="730">
        <v>0.87986111111111109</v>
      </c>
      <c r="H1899" s="555" t="s">
        <v>2920</v>
      </c>
      <c r="I1899" s="555" t="s">
        <v>124</v>
      </c>
      <c r="J1899" s="751" t="s">
        <v>3447</v>
      </c>
      <c r="K1899" s="555" t="s">
        <v>2764</v>
      </c>
      <c r="L1899" s="555" t="s">
        <v>3055</v>
      </c>
      <c r="M1899" s="555" t="s">
        <v>3055</v>
      </c>
    </row>
    <row r="1900" spans="3:13" ht="18.75">
      <c r="C1900" s="735"/>
      <c r="D1900" s="555" t="s">
        <v>3990</v>
      </c>
      <c r="E1900" s="757">
        <v>0.92708333333333337</v>
      </c>
      <c r="F1900" s="731">
        <v>43763</v>
      </c>
      <c r="G1900" s="730">
        <v>8.3333333333333329E-2</v>
      </c>
      <c r="H1900" s="555" t="s">
        <v>3992</v>
      </c>
      <c r="I1900" s="555" t="s">
        <v>1352</v>
      </c>
      <c r="J1900" s="751" t="s">
        <v>3451</v>
      </c>
      <c r="K1900" s="555" t="s">
        <v>22</v>
      </c>
      <c r="L1900" s="555" t="s">
        <v>45</v>
      </c>
      <c r="M1900" s="555" t="s">
        <v>3871</v>
      </c>
    </row>
    <row r="1901" spans="3:13" ht="18.75">
      <c r="C1901" s="735"/>
      <c r="D1901" s="555" t="s">
        <v>3993</v>
      </c>
      <c r="E1901" s="757">
        <v>3.4027777777777775E-2</v>
      </c>
      <c r="F1901" s="731">
        <v>43761</v>
      </c>
      <c r="G1901" s="730">
        <v>0.17013888888888887</v>
      </c>
      <c r="H1901" s="555" t="s">
        <v>3720</v>
      </c>
      <c r="I1901" s="555" t="s">
        <v>61</v>
      </c>
      <c r="J1901" s="751" t="s">
        <v>3387</v>
      </c>
      <c r="K1901" s="555" t="s">
        <v>2764</v>
      </c>
      <c r="L1901" s="555" t="s">
        <v>3055</v>
      </c>
      <c r="M1901" s="555" t="s">
        <v>3055</v>
      </c>
    </row>
    <row r="1902" spans="3:13" ht="18.75">
      <c r="C1902" s="735"/>
      <c r="D1902" s="555" t="s">
        <v>3993</v>
      </c>
      <c r="E1902" s="757">
        <v>3.4027777777777775E-2</v>
      </c>
      <c r="F1902" s="731">
        <v>43761</v>
      </c>
      <c r="G1902" s="730">
        <v>0.17013888888888887</v>
      </c>
      <c r="H1902" s="555" t="s">
        <v>3719</v>
      </c>
      <c r="I1902" s="555" t="s">
        <v>61</v>
      </c>
      <c r="J1902" s="751" t="s">
        <v>3387</v>
      </c>
      <c r="K1902" s="555" t="s">
        <v>2764</v>
      </c>
      <c r="L1902" s="555" t="s">
        <v>3055</v>
      </c>
      <c r="M1902" s="555" t="s">
        <v>3055</v>
      </c>
    </row>
    <row r="1903" spans="3:13" ht="18.75">
      <c r="C1903" s="735"/>
      <c r="D1903" s="555" t="s">
        <v>3993</v>
      </c>
      <c r="E1903" s="757">
        <v>0.60833333333333328</v>
      </c>
      <c r="F1903" s="731" t="s">
        <v>45</v>
      </c>
      <c r="G1903" s="730" t="s">
        <v>45</v>
      </c>
      <c r="H1903" s="555" t="s">
        <v>2945</v>
      </c>
      <c r="I1903" s="555" t="s">
        <v>124</v>
      </c>
      <c r="J1903" s="751" t="s">
        <v>3451</v>
      </c>
      <c r="K1903" s="555" t="s">
        <v>2990</v>
      </c>
      <c r="L1903" s="555" t="s">
        <v>45</v>
      </c>
      <c r="M1903" s="555" t="s">
        <v>3240</v>
      </c>
    </row>
    <row r="1904" spans="3:13" ht="18.75">
      <c r="C1904" s="735"/>
      <c r="D1904" s="555" t="s">
        <v>3994</v>
      </c>
      <c r="E1904" s="757">
        <v>0.70972222222222225</v>
      </c>
      <c r="F1904" s="731">
        <v>43762</v>
      </c>
      <c r="G1904" s="730">
        <v>0.71458333333333324</v>
      </c>
      <c r="H1904" s="555" t="s">
        <v>3995</v>
      </c>
      <c r="I1904" s="555" t="s">
        <v>3143</v>
      </c>
      <c r="J1904" s="751" t="s">
        <v>3411</v>
      </c>
      <c r="K1904" s="555" t="s">
        <v>2483</v>
      </c>
      <c r="L1904" s="555" t="s">
        <v>3055</v>
      </c>
      <c r="M1904" s="555" t="s">
        <v>3055</v>
      </c>
    </row>
    <row r="1905" spans="3:13" ht="18.75">
      <c r="C1905" s="735"/>
      <c r="D1905" s="555" t="s">
        <v>3994</v>
      </c>
      <c r="E1905" s="757">
        <v>0.21875</v>
      </c>
      <c r="F1905" s="731" t="s">
        <v>45</v>
      </c>
      <c r="G1905" s="730" t="s">
        <v>45</v>
      </c>
      <c r="H1905" s="555" t="s">
        <v>2945</v>
      </c>
      <c r="I1905" s="555" t="s">
        <v>124</v>
      </c>
      <c r="J1905" s="751" t="s">
        <v>3654</v>
      </c>
      <c r="K1905" s="555" t="s">
        <v>1138</v>
      </c>
      <c r="L1905" s="555" t="s">
        <v>3055</v>
      </c>
      <c r="M1905" s="555" t="s">
        <v>3055</v>
      </c>
    </row>
    <row r="1906" spans="3:13" ht="18.75">
      <c r="C1906" s="735"/>
      <c r="D1906" s="555" t="s">
        <v>3991</v>
      </c>
      <c r="E1906" s="757">
        <v>0.12013888888888889</v>
      </c>
      <c r="F1906" s="731">
        <v>43763</v>
      </c>
      <c r="G1906" s="730">
        <v>0.19236111111111112</v>
      </c>
      <c r="H1906" s="555" t="s">
        <v>3996</v>
      </c>
      <c r="I1906" s="555" t="s">
        <v>63</v>
      </c>
      <c r="J1906" s="751" t="s">
        <v>3402</v>
      </c>
      <c r="K1906" s="555" t="s">
        <v>2118</v>
      </c>
      <c r="L1906" s="555" t="s">
        <v>3055</v>
      </c>
      <c r="M1906" s="555" t="s">
        <v>3055</v>
      </c>
    </row>
    <row r="1907" spans="3:13" ht="18.75">
      <c r="C1907" s="735"/>
      <c r="D1907" s="555" t="s">
        <v>3997</v>
      </c>
      <c r="E1907" s="757">
        <v>0.76388888888888884</v>
      </c>
      <c r="F1907" s="731">
        <v>43769</v>
      </c>
      <c r="G1907" s="730">
        <v>6.0416666666666667E-2</v>
      </c>
      <c r="H1907" s="555" t="s">
        <v>2945</v>
      </c>
      <c r="I1907" s="555" t="s">
        <v>124</v>
      </c>
      <c r="J1907" s="751" t="s">
        <v>3451</v>
      </c>
      <c r="K1907" s="555" t="s">
        <v>2990</v>
      </c>
      <c r="L1907" s="555" t="s">
        <v>3999</v>
      </c>
      <c r="M1907" s="555" t="s">
        <v>4000</v>
      </c>
    </row>
    <row r="1908" spans="3:13" ht="18.75">
      <c r="C1908" s="735"/>
      <c r="D1908" s="555" t="s">
        <v>3997</v>
      </c>
      <c r="E1908" s="757">
        <v>0.33819444444444446</v>
      </c>
      <c r="F1908" s="731">
        <v>43764</v>
      </c>
      <c r="G1908" s="730">
        <v>0.36458333333333331</v>
      </c>
      <c r="H1908" s="555" t="s">
        <v>2959</v>
      </c>
      <c r="I1908" s="555" t="s">
        <v>61</v>
      </c>
      <c r="J1908" s="751" t="s">
        <v>3387</v>
      </c>
      <c r="K1908" s="555" t="s">
        <v>2764</v>
      </c>
      <c r="L1908" s="555" t="s">
        <v>3055</v>
      </c>
      <c r="M1908" s="555" t="s">
        <v>3055</v>
      </c>
    </row>
    <row r="1909" spans="3:13" ht="18.75">
      <c r="C1909" s="735"/>
      <c r="D1909" s="555" t="s">
        <v>3997</v>
      </c>
      <c r="E1909" s="757">
        <v>0.21875</v>
      </c>
      <c r="F1909" s="731">
        <v>43764</v>
      </c>
      <c r="G1909" s="730">
        <v>0.72986111111111107</v>
      </c>
      <c r="H1909" s="555" t="s">
        <v>2866</v>
      </c>
      <c r="I1909" s="555" t="s">
        <v>63</v>
      </c>
      <c r="J1909" s="751" t="s">
        <v>3451</v>
      </c>
      <c r="K1909" s="555" t="s">
        <v>22</v>
      </c>
      <c r="L1909" s="555" t="s">
        <v>45</v>
      </c>
      <c r="M1909" s="555" t="s">
        <v>4001</v>
      </c>
    </row>
    <row r="1910" spans="3:13" ht="18.75">
      <c r="C1910" s="735"/>
      <c r="D1910" s="555" t="s">
        <v>3997</v>
      </c>
      <c r="E1910" s="757">
        <v>0.75</v>
      </c>
      <c r="F1910" s="731" t="s">
        <v>45</v>
      </c>
      <c r="G1910" s="730" t="s">
        <v>45</v>
      </c>
      <c r="H1910" s="555" t="s">
        <v>3189</v>
      </c>
      <c r="I1910" s="555" t="s">
        <v>63</v>
      </c>
      <c r="J1910" s="751" t="s">
        <v>3451</v>
      </c>
      <c r="K1910" s="555" t="s">
        <v>22</v>
      </c>
      <c r="L1910" s="555" t="s">
        <v>45</v>
      </c>
      <c r="M1910" s="555" t="s">
        <v>3340</v>
      </c>
    </row>
    <row r="1911" spans="3:13" ht="18.75">
      <c r="C1911" s="735"/>
      <c r="D1911" s="555" t="s">
        <v>4002</v>
      </c>
      <c r="E1911" s="757">
        <v>0.57361111111111118</v>
      </c>
      <c r="F1911" s="731">
        <v>43767</v>
      </c>
      <c r="G1911" s="730">
        <v>0.61736111111111114</v>
      </c>
      <c r="H1911" s="555" t="s">
        <v>4003</v>
      </c>
      <c r="I1911" s="555" t="s">
        <v>674</v>
      </c>
      <c r="J1911" s="751" t="s">
        <v>3387</v>
      </c>
      <c r="K1911" s="555" t="s">
        <v>2764</v>
      </c>
      <c r="L1911" s="555" t="s">
        <v>3055</v>
      </c>
      <c r="M1911" s="555" t="s">
        <v>3055</v>
      </c>
    </row>
    <row r="1912" spans="3:13" ht="18.75">
      <c r="C1912" s="735"/>
      <c r="D1912" s="555" t="s">
        <v>4004</v>
      </c>
      <c r="E1912" s="757">
        <v>0.2722222222222222</v>
      </c>
      <c r="F1912" s="731">
        <v>43770</v>
      </c>
      <c r="G1912" s="730">
        <v>0.56180555555555556</v>
      </c>
      <c r="H1912" s="555" t="s">
        <v>4006</v>
      </c>
      <c r="I1912" s="555" t="s">
        <v>124</v>
      </c>
      <c r="J1912" s="751" t="s">
        <v>3451</v>
      </c>
      <c r="K1912" s="555" t="s">
        <v>3768</v>
      </c>
      <c r="L1912" s="555" t="s">
        <v>4007</v>
      </c>
      <c r="M1912" s="555" t="s">
        <v>4008</v>
      </c>
    </row>
    <row r="1913" spans="3:13" ht="18.75">
      <c r="C1913" s="735"/>
      <c r="D1913" s="555" t="s">
        <v>3998</v>
      </c>
      <c r="E1913" s="757">
        <v>0.91666666666666663</v>
      </c>
      <c r="F1913" s="731" t="s">
        <v>45</v>
      </c>
      <c r="G1913" s="730" t="s">
        <v>45</v>
      </c>
      <c r="H1913" s="555" t="s">
        <v>3245</v>
      </c>
      <c r="I1913" s="555" t="s">
        <v>3143</v>
      </c>
      <c r="J1913" s="751" t="s">
        <v>3451</v>
      </c>
      <c r="K1913" s="555" t="s">
        <v>3768</v>
      </c>
      <c r="L1913" s="555" t="s">
        <v>45</v>
      </c>
      <c r="M1913" s="555" t="s">
        <v>4009</v>
      </c>
    </row>
    <row r="1914" spans="3:13" ht="18.75">
      <c r="C1914" s="735"/>
      <c r="D1914" s="555" t="s">
        <v>4005</v>
      </c>
      <c r="E1914" s="757">
        <v>0.98958333333333337</v>
      </c>
      <c r="F1914" s="731">
        <v>43771</v>
      </c>
      <c r="G1914" s="730">
        <v>3.3333333333333333E-2</v>
      </c>
      <c r="H1914" s="555" t="s">
        <v>3719</v>
      </c>
      <c r="I1914" s="555" t="s">
        <v>61</v>
      </c>
      <c r="J1914" s="751" t="s">
        <v>3387</v>
      </c>
      <c r="K1914" s="555" t="s">
        <v>2764</v>
      </c>
      <c r="L1914" s="555" t="s">
        <v>3055</v>
      </c>
      <c r="M1914" s="555" t="s">
        <v>3055</v>
      </c>
    </row>
    <row r="1915" spans="3:13" ht="18.75">
      <c r="C1915" s="735"/>
      <c r="D1915" s="555" t="s">
        <v>4005</v>
      </c>
      <c r="E1915" s="757">
        <v>0.98958333333333337</v>
      </c>
      <c r="F1915" s="731">
        <v>43771</v>
      </c>
      <c r="G1915" s="730">
        <v>3.3333333333333333E-2</v>
      </c>
      <c r="H1915" s="555" t="s">
        <v>3720</v>
      </c>
      <c r="I1915" s="555" t="s">
        <v>61</v>
      </c>
      <c r="J1915" s="751" t="s">
        <v>3387</v>
      </c>
      <c r="K1915" s="555" t="s">
        <v>2764</v>
      </c>
      <c r="L1915" s="555" t="s">
        <v>3055</v>
      </c>
      <c r="M1915" s="555" t="s">
        <v>3055</v>
      </c>
    </row>
    <row r="1916" spans="3:13" ht="18.75">
      <c r="C1916" s="735"/>
      <c r="D1916" s="555" t="s">
        <v>4005</v>
      </c>
      <c r="E1916" s="757">
        <v>4.1666666666666664E-2</v>
      </c>
      <c r="F1916" s="731">
        <v>43772</v>
      </c>
      <c r="G1916" s="730">
        <v>0.54166666666666663</v>
      </c>
      <c r="H1916" s="555" t="s">
        <v>2868</v>
      </c>
      <c r="I1916" s="555" t="s">
        <v>61</v>
      </c>
      <c r="J1916" s="751" t="s">
        <v>3451</v>
      </c>
      <c r="K1916" s="555" t="s">
        <v>22</v>
      </c>
      <c r="L1916" s="555" t="s">
        <v>45</v>
      </c>
      <c r="M1916" s="555" t="s">
        <v>4012</v>
      </c>
    </row>
    <row r="1917" spans="3:13" ht="18.75">
      <c r="C1917" s="735"/>
      <c r="D1917" s="555" t="s">
        <v>4005</v>
      </c>
      <c r="E1917" s="757">
        <v>5.2083333333333336E-2</v>
      </c>
      <c r="F1917" s="731">
        <v>43771</v>
      </c>
      <c r="G1917" s="730">
        <v>0.89583333333333337</v>
      </c>
      <c r="H1917" s="555" t="s">
        <v>4013</v>
      </c>
      <c r="I1917" s="555" t="s">
        <v>61</v>
      </c>
      <c r="J1917" s="751" t="s">
        <v>3451</v>
      </c>
      <c r="K1917" s="555" t="s">
        <v>22</v>
      </c>
      <c r="L1917" s="555" t="s">
        <v>45</v>
      </c>
      <c r="M1917" s="555" t="s">
        <v>4014</v>
      </c>
    </row>
    <row r="1918" spans="3:13" ht="18.75">
      <c r="C1918" s="735"/>
      <c r="D1918" s="555" t="s">
        <v>4005</v>
      </c>
      <c r="E1918" s="757">
        <v>0.11180555555555556</v>
      </c>
      <c r="F1918" s="731" t="s">
        <v>45</v>
      </c>
      <c r="G1918" s="730" t="s">
        <v>45</v>
      </c>
      <c r="H1918" s="555" t="s">
        <v>3719</v>
      </c>
      <c r="I1918" s="555" t="s">
        <v>61</v>
      </c>
      <c r="J1918" s="751" t="s">
        <v>3451</v>
      </c>
      <c r="K1918" s="555" t="s">
        <v>22</v>
      </c>
      <c r="L1918" s="555" t="s">
        <v>45</v>
      </c>
      <c r="M1918" s="555" t="s">
        <v>4015</v>
      </c>
    </row>
    <row r="1919" spans="3:13" ht="18.75">
      <c r="C1919" s="735"/>
      <c r="D1919" s="555" t="s">
        <v>4011</v>
      </c>
      <c r="E1919" s="757">
        <v>0.92847222222222225</v>
      </c>
      <c r="F1919" s="731">
        <v>43773</v>
      </c>
      <c r="G1919" s="730">
        <v>0.46527777777777773</v>
      </c>
      <c r="H1919" s="555" t="s">
        <v>4017</v>
      </c>
      <c r="I1919" s="555" t="s">
        <v>674</v>
      </c>
      <c r="J1919" s="751" t="s">
        <v>3411</v>
      </c>
      <c r="K1919" s="555" t="s">
        <v>2483</v>
      </c>
      <c r="L1919" s="555" t="s">
        <v>3055</v>
      </c>
      <c r="M1919" s="555" t="s">
        <v>3055</v>
      </c>
    </row>
    <row r="1920" spans="3:13" ht="18.75">
      <c r="C1920" s="735"/>
      <c r="D1920" s="555" t="s">
        <v>4018</v>
      </c>
      <c r="E1920" s="757">
        <v>0.37222222222222223</v>
      </c>
      <c r="F1920" s="731">
        <v>43774</v>
      </c>
      <c r="G1920" s="730">
        <v>0.49374999999999997</v>
      </c>
      <c r="H1920" s="555" t="s">
        <v>4019</v>
      </c>
      <c r="I1920" s="555" t="s">
        <v>301</v>
      </c>
      <c r="J1920" s="751" t="s">
        <v>3411</v>
      </c>
      <c r="K1920" s="555" t="s">
        <v>2483</v>
      </c>
      <c r="L1920" s="555" t="s">
        <v>4020</v>
      </c>
      <c r="M1920" s="555" t="s">
        <v>45</v>
      </c>
    </row>
    <row r="1921" spans="3:13" ht="18.75">
      <c r="C1921" s="735"/>
      <c r="D1921" s="555" t="s">
        <v>4018</v>
      </c>
      <c r="E1921" s="757">
        <v>0.35416666666666669</v>
      </c>
      <c r="F1921" s="731">
        <v>43774</v>
      </c>
      <c r="G1921" s="730">
        <v>0.6777777777777777</v>
      </c>
      <c r="H1921" s="555" t="s">
        <v>3561</v>
      </c>
      <c r="I1921" s="555" t="s">
        <v>3143</v>
      </c>
      <c r="J1921" s="751" t="s">
        <v>3356</v>
      </c>
      <c r="K1921" s="555" t="s">
        <v>100</v>
      </c>
      <c r="L1921" s="555" t="s">
        <v>3055</v>
      </c>
      <c r="M1921" s="555" t="s">
        <v>3055</v>
      </c>
    </row>
    <row r="1922" spans="3:13" ht="18.75">
      <c r="C1922" s="735"/>
      <c r="D1922" s="555" t="s">
        <v>4018</v>
      </c>
      <c r="E1922" s="757">
        <v>0.65277777777777779</v>
      </c>
      <c r="F1922" s="731">
        <v>43774</v>
      </c>
      <c r="G1922" s="730">
        <v>0.71597222222222223</v>
      </c>
      <c r="H1922" s="555" t="s">
        <v>4021</v>
      </c>
      <c r="I1922" s="555" t="s">
        <v>124</v>
      </c>
      <c r="J1922" s="751" t="s">
        <v>3356</v>
      </c>
      <c r="K1922" s="555" t="s">
        <v>100</v>
      </c>
      <c r="L1922" s="555" t="s">
        <v>45</v>
      </c>
      <c r="M1922" s="555" t="s">
        <v>4022</v>
      </c>
    </row>
    <row r="1923" spans="3:13" ht="18.75">
      <c r="C1923" s="735"/>
      <c r="D1923" s="555" t="s">
        <v>4023</v>
      </c>
      <c r="E1923" s="757">
        <v>0.24305555555555555</v>
      </c>
      <c r="F1923" s="731">
        <v>43777</v>
      </c>
      <c r="G1923" s="730">
        <v>0.25694444444444448</v>
      </c>
      <c r="H1923" s="555" t="s">
        <v>4024</v>
      </c>
      <c r="I1923" s="555" t="s">
        <v>124</v>
      </c>
      <c r="J1923" s="751" t="s">
        <v>3431</v>
      </c>
      <c r="K1923" s="555" t="s">
        <v>2764</v>
      </c>
      <c r="L1923" s="555" t="s">
        <v>4025</v>
      </c>
      <c r="M1923" s="555" t="s">
        <v>45</v>
      </c>
    </row>
    <row r="1924" spans="3:13" ht="18.75">
      <c r="C1924" s="735"/>
      <c r="D1924" s="555" t="s">
        <v>4026</v>
      </c>
      <c r="E1924" s="757">
        <v>0.6743055555555556</v>
      </c>
      <c r="F1924" s="731">
        <v>43785</v>
      </c>
      <c r="G1924" s="730">
        <v>0.7090277777777777</v>
      </c>
      <c r="H1924" s="555" t="s">
        <v>3712</v>
      </c>
      <c r="I1924" s="555" t="s">
        <v>124</v>
      </c>
      <c r="J1924" s="751" t="s">
        <v>3356</v>
      </c>
      <c r="K1924" s="555" t="s">
        <v>100</v>
      </c>
      <c r="L1924" s="555" t="s">
        <v>3055</v>
      </c>
      <c r="M1924" s="555" t="s">
        <v>3055</v>
      </c>
    </row>
    <row r="1925" spans="3:13" ht="18.75">
      <c r="C1925" s="735"/>
      <c r="D1925" s="555" t="s">
        <v>4026</v>
      </c>
      <c r="E1925" s="757">
        <v>0.25</v>
      </c>
      <c r="F1925" s="731">
        <v>43785</v>
      </c>
      <c r="G1925" s="730">
        <v>0.73958333333333337</v>
      </c>
      <c r="H1925" s="555" t="s">
        <v>4027</v>
      </c>
      <c r="I1925" s="555" t="s">
        <v>1352</v>
      </c>
      <c r="J1925" s="751" t="s">
        <v>3402</v>
      </c>
      <c r="K1925" s="555" t="s">
        <v>2118</v>
      </c>
      <c r="L1925" s="555" t="s">
        <v>3055</v>
      </c>
      <c r="M1925" s="555" t="s">
        <v>3055</v>
      </c>
    </row>
    <row r="1926" spans="3:13" ht="18.75">
      <c r="C1926" s="735"/>
      <c r="D1926" s="555" t="s">
        <v>4028</v>
      </c>
      <c r="E1926" s="757">
        <v>0.40902777777777777</v>
      </c>
      <c r="F1926" s="731">
        <v>43789</v>
      </c>
      <c r="G1926" s="730">
        <v>0.63888888888888895</v>
      </c>
      <c r="H1926" s="555" t="s">
        <v>4029</v>
      </c>
      <c r="I1926" s="555" t="s">
        <v>124</v>
      </c>
      <c r="J1926" s="751" t="s">
        <v>3451</v>
      </c>
      <c r="K1926" s="555" t="s">
        <v>2990</v>
      </c>
      <c r="L1926" s="555" t="s">
        <v>4030</v>
      </c>
      <c r="M1926" s="555" t="s">
        <v>3952</v>
      </c>
    </row>
    <row r="1927" spans="3:13" ht="18.75">
      <c r="C1927" s="735"/>
      <c r="D1927" s="555" t="s">
        <v>4028</v>
      </c>
      <c r="E1927" s="757">
        <v>0.70486111111111116</v>
      </c>
      <c r="F1927" s="731">
        <v>43789</v>
      </c>
      <c r="G1927" s="730">
        <v>0.73402777777777783</v>
      </c>
      <c r="H1927" s="555" t="s">
        <v>2920</v>
      </c>
      <c r="I1927" s="555" t="s">
        <v>124</v>
      </c>
      <c r="J1927" s="751" t="s">
        <v>3447</v>
      </c>
      <c r="K1927" s="555" t="s">
        <v>2764</v>
      </c>
      <c r="L1927" s="555" t="s">
        <v>3055</v>
      </c>
      <c r="M1927" s="555" t="s">
        <v>3055</v>
      </c>
    </row>
    <row r="1928" spans="3:13" ht="18.75">
      <c r="C1928" s="735"/>
      <c r="D1928" s="555" t="s">
        <v>4031</v>
      </c>
      <c r="E1928" s="757">
        <v>0</v>
      </c>
      <c r="F1928" s="731">
        <v>43791</v>
      </c>
      <c r="G1928" s="730">
        <v>4.8611111111111112E-2</v>
      </c>
      <c r="H1928" s="555" t="s">
        <v>3719</v>
      </c>
      <c r="I1928" s="555" t="s">
        <v>61</v>
      </c>
      <c r="J1928" s="751" t="s">
        <v>3387</v>
      </c>
      <c r="K1928" s="555" t="s">
        <v>2764</v>
      </c>
      <c r="L1928" s="555" t="s">
        <v>3055</v>
      </c>
      <c r="M1928" s="555" t="s">
        <v>3055</v>
      </c>
    </row>
    <row r="1929" spans="3:13" ht="18.75">
      <c r="C1929" s="735"/>
      <c r="D1929" s="555" t="s">
        <v>4031</v>
      </c>
      <c r="E1929" s="757">
        <v>0</v>
      </c>
      <c r="F1929" s="731">
        <v>43791</v>
      </c>
      <c r="G1929" s="730">
        <v>4.8611111111111112E-2</v>
      </c>
      <c r="H1929" s="555" t="s">
        <v>3720</v>
      </c>
      <c r="I1929" s="555" t="s">
        <v>61</v>
      </c>
      <c r="J1929" s="751" t="s">
        <v>3387</v>
      </c>
      <c r="K1929" s="555" t="s">
        <v>2764</v>
      </c>
      <c r="L1929" s="555" t="s">
        <v>3055</v>
      </c>
      <c r="M1929" s="555" t="s">
        <v>3055</v>
      </c>
    </row>
    <row r="1930" spans="3:13" ht="18.75">
      <c r="C1930" s="735"/>
      <c r="D1930" s="555" t="s">
        <v>4032</v>
      </c>
      <c r="E1930" s="757">
        <v>0.75486111111111109</v>
      </c>
      <c r="F1930" s="731">
        <v>43796</v>
      </c>
      <c r="G1930" s="730">
        <v>0.51874999999999993</v>
      </c>
      <c r="H1930" s="555" t="s">
        <v>2945</v>
      </c>
      <c r="I1930" s="555" t="s">
        <v>124</v>
      </c>
      <c r="J1930" s="751" t="s">
        <v>3451</v>
      </c>
      <c r="K1930" s="555" t="s">
        <v>22</v>
      </c>
      <c r="L1930" s="555" t="s">
        <v>3296</v>
      </c>
      <c r="M1930" s="555" t="s">
        <v>4034</v>
      </c>
    </row>
    <row r="1931" spans="3:13" ht="18.75">
      <c r="C1931" s="735"/>
      <c r="D1931" s="555" t="s">
        <v>4033</v>
      </c>
      <c r="E1931" s="757">
        <v>0.11388888888888889</v>
      </c>
      <c r="F1931" s="731">
        <v>43796</v>
      </c>
      <c r="G1931" s="730">
        <v>0.66666666666666663</v>
      </c>
      <c r="H1931" s="555" t="s">
        <v>4035</v>
      </c>
      <c r="I1931" s="555" t="s">
        <v>124</v>
      </c>
      <c r="J1931" s="751" t="s">
        <v>3356</v>
      </c>
      <c r="K1931" s="555" t="s">
        <v>100</v>
      </c>
      <c r="L1931" s="555" t="s">
        <v>4036</v>
      </c>
      <c r="M1931" s="555" t="s">
        <v>3082</v>
      </c>
    </row>
    <row r="1932" spans="3:13" ht="18.75">
      <c r="C1932" s="735"/>
      <c r="D1932" s="555" t="s">
        <v>4033</v>
      </c>
      <c r="E1932" s="757">
        <v>0.5</v>
      </c>
      <c r="F1932" s="731">
        <v>43799</v>
      </c>
      <c r="G1932" s="730">
        <v>8.3333333333333329E-2</v>
      </c>
      <c r="H1932" s="555" t="s">
        <v>4038</v>
      </c>
      <c r="I1932" s="555" t="s">
        <v>3143</v>
      </c>
      <c r="J1932" s="751" t="s">
        <v>3451</v>
      </c>
      <c r="K1932" s="555" t="s">
        <v>22</v>
      </c>
      <c r="L1932" s="555" t="s">
        <v>3219</v>
      </c>
      <c r="M1932" s="555" t="s">
        <v>4039</v>
      </c>
    </row>
    <row r="1933" spans="3:13" ht="18.75">
      <c r="C1933" s="735"/>
      <c r="D1933" s="555" t="s">
        <v>4040</v>
      </c>
      <c r="E1933" s="757">
        <v>0</v>
      </c>
      <c r="F1933" s="731">
        <v>43800</v>
      </c>
      <c r="G1933" s="730">
        <v>0</v>
      </c>
      <c r="H1933" s="555" t="s">
        <v>4042</v>
      </c>
      <c r="I1933" s="555" t="s">
        <v>1352</v>
      </c>
      <c r="J1933" s="751" t="s">
        <v>4043</v>
      </c>
      <c r="K1933" s="555" t="s">
        <v>2293</v>
      </c>
      <c r="L1933" s="555" t="s">
        <v>3055</v>
      </c>
      <c r="M1933" s="555" t="s">
        <v>3055</v>
      </c>
    </row>
    <row r="1934" spans="3:13" ht="18.75">
      <c r="C1934" s="735"/>
      <c r="D1934" s="555" t="s">
        <v>4044</v>
      </c>
      <c r="E1934" s="757">
        <v>0.8027777777777777</v>
      </c>
      <c r="F1934" s="731">
        <v>43802</v>
      </c>
      <c r="G1934" s="730">
        <v>0.8256944444444444</v>
      </c>
      <c r="H1934" s="555" t="s">
        <v>4045</v>
      </c>
      <c r="I1934" s="555" t="s">
        <v>63</v>
      </c>
      <c r="J1934" s="751" t="s">
        <v>3387</v>
      </c>
      <c r="K1934" s="555" t="s">
        <v>2764</v>
      </c>
      <c r="L1934" s="555" t="s">
        <v>3055</v>
      </c>
      <c r="M1934" s="555" t="s">
        <v>3055</v>
      </c>
    </row>
    <row r="1935" spans="3:13" ht="18.75">
      <c r="C1935" s="735"/>
      <c r="D1935" s="555" t="s">
        <v>4044</v>
      </c>
      <c r="E1935" s="757">
        <v>0.28819444444444448</v>
      </c>
      <c r="F1935" s="731" t="s">
        <v>45</v>
      </c>
      <c r="G1935" s="730" t="s">
        <v>45</v>
      </c>
      <c r="H1935" s="555" t="s">
        <v>3397</v>
      </c>
      <c r="I1935" s="555" t="s">
        <v>124</v>
      </c>
      <c r="J1935" s="751" t="s">
        <v>3356</v>
      </c>
      <c r="K1935" s="555" t="s">
        <v>100</v>
      </c>
      <c r="L1935" s="555" t="s">
        <v>45</v>
      </c>
      <c r="M1935" s="555" t="s">
        <v>45</v>
      </c>
    </row>
    <row r="1936" spans="3:13" ht="18.75">
      <c r="C1936" s="735"/>
      <c r="D1936" s="555" t="s">
        <v>4046</v>
      </c>
      <c r="E1936" s="757">
        <v>0.70000000000000007</v>
      </c>
      <c r="F1936" s="731">
        <v>43808</v>
      </c>
      <c r="G1936" s="730">
        <v>0.21944444444444444</v>
      </c>
      <c r="H1936" s="555" t="s">
        <v>4048</v>
      </c>
      <c r="I1936" s="555" t="s">
        <v>3143</v>
      </c>
      <c r="J1936" s="751" t="s">
        <v>3447</v>
      </c>
      <c r="K1936" s="555" t="s">
        <v>2764</v>
      </c>
      <c r="L1936" s="555" t="s">
        <v>3055</v>
      </c>
      <c r="M1936" s="555" t="s">
        <v>3055</v>
      </c>
    </row>
    <row r="1937" spans="3:13" ht="18.75">
      <c r="C1937" s="735"/>
      <c r="D1937" s="555" t="s">
        <v>4046</v>
      </c>
      <c r="E1937" s="757">
        <v>0</v>
      </c>
      <c r="F1937" s="731" t="s">
        <v>45</v>
      </c>
      <c r="G1937" s="730" t="s">
        <v>45</v>
      </c>
      <c r="H1937" s="555" t="s">
        <v>4049</v>
      </c>
      <c r="I1937" s="555" t="s">
        <v>124</v>
      </c>
      <c r="J1937" s="751" t="s">
        <v>3402</v>
      </c>
      <c r="K1937" s="555" t="s">
        <v>2118</v>
      </c>
      <c r="L1937" s="555" t="s">
        <v>45</v>
      </c>
      <c r="M1937" s="555" t="s">
        <v>45</v>
      </c>
    </row>
    <row r="1938" spans="3:13" ht="18.75">
      <c r="C1938" s="735"/>
      <c r="D1938" s="555" t="s">
        <v>4050</v>
      </c>
      <c r="E1938" s="757">
        <v>0.25694444444444448</v>
      </c>
      <c r="F1938" s="731">
        <v>43807</v>
      </c>
      <c r="G1938" s="730">
        <v>9.7222222222222224E-2</v>
      </c>
      <c r="H1938" s="555" t="s">
        <v>4052</v>
      </c>
      <c r="I1938" s="555" t="s">
        <v>3347</v>
      </c>
      <c r="J1938" s="751" t="s">
        <v>3428</v>
      </c>
      <c r="K1938" s="555" t="s">
        <v>2293</v>
      </c>
      <c r="L1938" s="555" t="s">
        <v>3082</v>
      </c>
      <c r="M1938" s="555" t="s">
        <v>4053</v>
      </c>
    </row>
    <row r="1939" spans="3:13" ht="18.75">
      <c r="C1939" s="735"/>
      <c r="D1939" s="555" t="s">
        <v>4051</v>
      </c>
      <c r="E1939" s="757">
        <v>0.56944444444444442</v>
      </c>
      <c r="F1939" s="731">
        <v>43807</v>
      </c>
      <c r="G1939" s="730">
        <v>0.57013888888888886</v>
      </c>
      <c r="H1939" s="555" t="s">
        <v>4054</v>
      </c>
      <c r="I1939" s="555" t="s">
        <v>1352</v>
      </c>
      <c r="J1939" s="751" t="s">
        <v>3356</v>
      </c>
      <c r="K1939" s="555" t="s">
        <v>100</v>
      </c>
      <c r="L1939" s="555" t="s">
        <v>3055</v>
      </c>
      <c r="M1939" s="555" t="s">
        <v>3055</v>
      </c>
    </row>
    <row r="1940" spans="3:13" ht="18.75">
      <c r="C1940" s="735"/>
      <c r="D1940" s="555" t="s">
        <v>4055</v>
      </c>
      <c r="E1940" s="757">
        <v>0.87013888888888891</v>
      </c>
      <c r="F1940" s="731">
        <v>43810</v>
      </c>
      <c r="G1940" s="730">
        <v>0.8979166666666667</v>
      </c>
      <c r="H1940" s="555" t="s">
        <v>4052</v>
      </c>
      <c r="I1940" s="555" t="s">
        <v>3347</v>
      </c>
      <c r="J1940" s="751" t="s">
        <v>3428</v>
      </c>
      <c r="K1940" s="555" t="s">
        <v>2293</v>
      </c>
      <c r="L1940" s="555" t="s">
        <v>3081</v>
      </c>
      <c r="M1940" s="555" t="s">
        <v>4056</v>
      </c>
    </row>
    <row r="1941" spans="3:13" ht="18.75">
      <c r="C1941" s="735"/>
      <c r="D1941" s="555" t="s">
        <v>4055</v>
      </c>
      <c r="E1941" s="757">
        <v>0.56041666666666667</v>
      </c>
      <c r="F1941" s="731">
        <v>43810</v>
      </c>
      <c r="G1941" s="730">
        <v>0.57708333333333328</v>
      </c>
      <c r="H1941" s="555" t="s">
        <v>4057</v>
      </c>
      <c r="I1941" s="555" t="s">
        <v>674</v>
      </c>
      <c r="J1941" s="751" t="s">
        <v>3411</v>
      </c>
      <c r="K1941" s="555" t="s">
        <v>2483</v>
      </c>
      <c r="L1941" s="555" t="s">
        <v>4058</v>
      </c>
      <c r="M1941" s="555" t="s">
        <v>3081</v>
      </c>
    </row>
    <row r="1942" spans="3:13" ht="18.75">
      <c r="C1942" s="735"/>
      <c r="D1942" s="555" t="s">
        <v>4055</v>
      </c>
      <c r="E1942" s="757">
        <v>0.55694444444444446</v>
      </c>
      <c r="F1942" s="731">
        <v>43810</v>
      </c>
      <c r="G1942" s="730">
        <v>0.68611111111111101</v>
      </c>
      <c r="H1942" s="555" t="s">
        <v>2959</v>
      </c>
      <c r="I1942" s="555" t="s">
        <v>61</v>
      </c>
      <c r="J1942" s="751" t="s">
        <v>3387</v>
      </c>
      <c r="K1942" s="555" t="s">
        <v>2764</v>
      </c>
      <c r="L1942" s="555" t="s">
        <v>3055</v>
      </c>
      <c r="M1942" s="555" t="s">
        <v>3055</v>
      </c>
    </row>
    <row r="1943" spans="3:13" ht="18.75">
      <c r="C1943" s="735"/>
      <c r="D1943" s="555" t="s">
        <v>4059</v>
      </c>
      <c r="E1943" s="757">
        <v>0.99652777777777779</v>
      </c>
      <c r="F1943" s="731">
        <v>43816</v>
      </c>
      <c r="G1943" s="730">
        <v>7.4305555555555555E-2</v>
      </c>
      <c r="H1943" s="555" t="s">
        <v>2919</v>
      </c>
      <c r="I1943" s="555" t="s">
        <v>1352</v>
      </c>
      <c r="J1943" s="751" t="s">
        <v>3411</v>
      </c>
      <c r="K1943" s="555" t="s">
        <v>2483</v>
      </c>
      <c r="L1943" s="555" t="s">
        <v>3055</v>
      </c>
      <c r="M1943" s="555" t="s">
        <v>3055</v>
      </c>
    </row>
    <row r="1944" spans="3:13" ht="18.75">
      <c r="C1944" s="735"/>
      <c r="D1944" s="555" t="s">
        <v>4061</v>
      </c>
      <c r="E1944" s="757">
        <v>0.60416666666666663</v>
      </c>
      <c r="F1944" s="731">
        <v>43817</v>
      </c>
      <c r="G1944" s="730">
        <v>0.64236111111111105</v>
      </c>
      <c r="H1944" s="555" t="s">
        <v>3639</v>
      </c>
      <c r="I1944" s="555" t="s">
        <v>1352</v>
      </c>
      <c r="J1944" s="751" t="s">
        <v>3447</v>
      </c>
      <c r="K1944" s="555" t="s">
        <v>2764</v>
      </c>
      <c r="L1944" s="555" t="s">
        <v>3055</v>
      </c>
      <c r="M1944" s="555" t="s">
        <v>3055</v>
      </c>
    </row>
    <row r="1945" spans="3:13" ht="18.75">
      <c r="C1945" s="735"/>
      <c r="D1945" s="555" t="s">
        <v>4062</v>
      </c>
      <c r="E1945" s="757">
        <v>0.12361111111111112</v>
      </c>
      <c r="F1945" s="731">
        <v>43818</v>
      </c>
      <c r="G1945" s="730">
        <v>0.15694444444444444</v>
      </c>
      <c r="H1945" s="555" t="s">
        <v>3642</v>
      </c>
      <c r="I1945" s="555" t="s">
        <v>674</v>
      </c>
      <c r="J1945" s="751" t="s">
        <v>3387</v>
      </c>
      <c r="K1945" s="555" t="s">
        <v>2764</v>
      </c>
      <c r="L1945" s="555" t="s">
        <v>3055</v>
      </c>
      <c r="M1945" s="555" t="s">
        <v>3055</v>
      </c>
    </row>
    <row r="1946" spans="3:13" ht="18.75">
      <c r="C1946" s="735"/>
      <c r="D1946" s="555" t="s">
        <v>4063</v>
      </c>
      <c r="E1946" s="757">
        <v>0.64583333333333337</v>
      </c>
      <c r="F1946" s="731">
        <v>43823</v>
      </c>
      <c r="G1946" s="730">
        <v>0.81527777777777777</v>
      </c>
      <c r="H1946" s="555" t="s">
        <v>3461</v>
      </c>
      <c r="I1946" s="555" t="s">
        <v>63</v>
      </c>
      <c r="J1946" s="751" t="s">
        <v>3402</v>
      </c>
      <c r="K1946" s="555" t="s">
        <v>2118</v>
      </c>
      <c r="L1946" s="555" t="s">
        <v>3055</v>
      </c>
      <c r="M1946" s="555" t="s">
        <v>3055</v>
      </c>
    </row>
    <row r="1947" spans="3:13" ht="18.75">
      <c r="C1947" s="735"/>
      <c r="D1947" s="555" t="s">
        <v>4064</v>
      </c>
      <c r="E1947" s="757">
        <v>0.5</v>
      </c>
      <c r="F1947" s="731">
        <v>43830</v>
      </c>
      <c r="G1947" s="730">
        <v>0.54166666666666663</v>
      </c>
      <c r="H1947" s="555" t="s">
        <v>2853</v>
      </c>
      <c r="I1947" s="555" t="s">
        <v>124</v>
      </c>
      <c r="J1947" s="751" t="s">
        <v>3463</v>
      </c>
      <c r="K1947" s="555" t="s">
        <v>100</v>
      </c>
      <c r="L1947" s="555" t="s">
        <v>3055</v>
      </c>
      <c r="M1947" s="555" t="s">
        <v>3055</v>
      </c>
    </row>
    <row r="1948" spans="3:13" ht="18.75">
      <c r="C1948" s="735"/>
      <c r="D1948" s="555" t="s">
        <v>4064</v>
      </c>
      <c r="E1948" s="757">
        <v>0.4604166666666667</v>
      </c>
      <c r="F1948" s="731">
        <v>43831</v>
      </c>
      <c r="G1948" s="730">
        <v>0.45763888888888887</v>
      </c>
      <c r="H1948" s="555" t="s">
        <v>3639</v>
      </c>
      <c r="I1948" s="555" t="s">
        <v>1352</v>
      </c>
      <c r="J1948" s="751" t="s">
        <v>3431</v>
      </c>
      <c r="K1948" s="555" t="s">
        <v>2483</v>
      </c>
      <c r="L1948" s="555" t="s">
        <v>3889</v>
      </c>
      <c r="M1948" s="555" t="s">
        <v>3055</v>
      </c>
    </row>
    <row r="1949" spans="3:13" ht="18.75">
      <c r="C1949" s="735"/>
      <c r="D1949" s="555" t="s">
        <v>4067</v>
      </c>
      <c r="E1949" s="757">
        <v>0.96319444444444446</v>
      </c>
      <c r="F1949" s="731">
        <v>43839</v>
      </c>
      <c r="G1949" s="730">
        <v>0.97152777777777777</v>
      </c>
      <c r="H1949" s="555" t="s">
        <v>4068</v>
      </c>
      <c r="I1949" s="555" t="s">
        <v>3347</v>
      </c>
      <c r="J1949" s="751" t="s">
        <v>3411</v>
      </c>
      <c r="K1949" s="555" t="s">
        <v>2990</v>
      </c>
      <c r="L1949" s="555" t="s">
        <v>3055</v>
      </c>
      <c r="M1949" s="555" t="s">
        <v>3055</v>
      </c>
    </row>
    <row r="1950" spans="3:13" ht="18.75">
      <c r="C1950" s="735"/>
      <c r="D1950" s="555" t="s">
        <v>4067</v>
      </c>
      <c r="E1950" s="757">
        <v>0.86458333333333337</v>
      </c>
      <c r="F1950" s="731">
        <v>43840</v>
      </c>
      <c r="G1950" s="730">
        <v>0.89097222222222217</v>
      </c>
      <c r="H1950" s="555" t="s">
        <v>2801</v>
      </c>
      <c r="I1950" s="555" t="s">
        <v>124</v>
      </c>
      <c r="J1950" s="751" t="s">
        <v>3928</v>
      </c>
      <c r="K1950" s="555" t="s">
        <v>2118</v>
      </c>
      <c r="L1950" s="555" t="s">
        <v>3055</v>
      </c>
      <c r="M1950" s="555" t="s">
        <v>3055</v>
      </c>
    </row>
    <row r="1951" spans="3:13" ht="18.75">
      <c r="C1951" s="735"/>
      <c r="D1951" s="555" t="s">
        <v>4067</v>
      </c>
      <c r="E1951" s="757">
        <v>0.31944444444444448</v>
      </c>
      <c r="F1951" s="731">
        <v>43839</v>
      </c>
      <c r="G1951" s="730">
        <v>0.3666666666666667</v>
      </c>
      <c r="H1951" s="555" t="s">
        <v>4070</v>
      </c>
      <c r="I1951" s="555" t="s">
        <v>674</v>
      </c>
      <c r="J1951" s="751" t="s">
        <v>3387</v>
      </c>
      <c r="K1951" s="555" t="s">
        <v>2764</v>
      </c>
      <c r="L1951" s="555" t="s">
        <v>3055</v>
      </c>
      <c r="M1951" s="555" t="s">
        <v>3055</v>
      </c>
    </row>
    <row r="1952" spans="3:13" ht="18.75">
      <c r="C1952" s="735"/>
      <c r="D1952" s="555" t="s">
        <v>4067</v>
      </c>
      <c r="E1952" s="757">
        <v>0.96319444444444446</v>
      </c>
      <c r="F1952" s="731">
        <v>43839</v>
      </c>
      <c r="G1952" s="730">
        <v>0.97083333333333333</v>
      </c>
      <c r="H1952" s="555" t="s">
        <v>3405</v>
      </c>
      <c r="I1952" s="555" t="s">
        <v>3347</v>
      </c>
      <c r="J1952" s="751" t="s">
        <v>4071</v>
      </c>
      <c r="K1952" s="555" t="s">
        <v>2764</v>
      </c>
      <c r="L1952" s="555" t="s">
        <v>45</v>
      </c>
      <c r="M1952" s="555" t="s">
        <v>45</v>
      </c>
    </row>
    <row r="1953" spans="3:13" ht="18.75">
      <c r="C1953" s="735"/>
      <c r="D1953" s="555" t="s">
        <v>4069</v>
      </c>
      <c r="E1953" s="757">
        <v>0.62013888888888891</v>
      </c>
      <c r="F1953" s="731" t="s">
        <v>45</v>
      </c>
      <c r="G1953" s="730" t="s">
        <v>45</v>
      </c>
      <c r="H1953" s="555" t="s">
        <v>4072</v>
      </c>
      <c r="I1953" s="555" t="s">
        <v>63</v>
      </c>
      <c r="J1953" s="751" t="s">
        <v>3402</v>
      </c>
      <c r="K1953" s="555" t="s">
        <v>2118</v>
      </c>
      <c r="L1953" s="555" t="s">
        <v>45</v>
      </c>
      <c r="M1953" s="555" t="s">
        <v>45</v>
      </c>
    </row>
    <row r="1954" spans="3:13" ht="18.75">
      <c r="C1954" s="735"/>
      <c r="D1954" s="555" t="s">
        <v>4073</v>
      </c>
      <c r="E1954" s="757">
        <v>0.10069444444444443</v>
      </c>
      <c r="F1954" s="731">
        <v>43841</v>
      </c>
      <c r="G1954" s="730">
        <v>0.33055555555555555</v>
      </c>
      <c r="H1954" s="555" t="s">
        <v>4074</v>
      </c>
      <c r="I1954" s="555" t="s">
        <v>3347</v>
      </c>
      <c r="J1954" s="751" t="s">
        <v>3411</v>
      </c>
      <c r="K1954" s="555" t="s">
        <v>2990</v>
      </c>
      <c r="L1954" s="555" t="s">
        <v>4075</v>
      </c>
      <c r="M1954" s="555" t="s">
        <v>4076</v>
      </c>
    </row>
    <row r="1955" spans="3:13" ht="18.75">
      <c r="C1955" s="735"/>
      <c r="D1955" s="555" t="s">
        <v>4073</v>
      </c>
      <c r="E1955" s="757">
        <v>0.95972222222222225</v>
      </c>
      <c r="F1955" s="731">
        <v>43842</v>
      </c>
      <c r="G1955" s="730">
        <v>8.4027777777777771E-2</v>
      </c>
      <c r="H1955" s="555" t="s">
        <v>2832</v>
      </c>
      <c r="I1955" s="555" t="s">
        <v>63</v>
      </c>
      <c r="J1955" s="751" t="s">
        <v>3451</v>
      </c>
      <c r="K1955" s="555" t="s">
        <v>22</v>
      </c>
      <c r="L1955" s="555" t="s">
        <v>45</v>
      </c>
      <c r="M1955" s="555" t="s">
        <v>4078</v>
      </c>
    </row>
    <row r="1956" spans="3:13" ht="18.75">
      <c r="C1956" s="735"/>
      <c r="D1956" s="555" t="s">
        <v>4073</v>
      </c>
      <c r="E1956" s="757">
        <v>0.14583333333333334</v>
      </c>
      <c r="F1956" s="731">
        <v>43841</v>
      </c>
      <c r="G1956" s="730">
        <v>0.72916666666666663</v>
      </c>
      <c r="H1956" s="555" t="s">
        <v>4079</v>
      </c>
      <c r="I1956" s="555" t="s">
        <v>3347</v>
      </c>
      <c r="J1956" s="751" t="s">
        <v>3451</v>
      </c>
      <c r="K1956" s="555" t="s">
        <v>22</v>
      </c>
      <c r="L1956" s="555" t="s">
        <v>45</v>
      </c>
      <c r="M1956" s="555" t="s">
        <v>4080</v>
      </c>
    </row>
    <row r="1957" spans="3:13" ht="18.75">
      <c r="C1957" s="735"/>
      <c r="D1957" s="555" t="s">
        <v>4073</v>
      </c>
      <c r="E1957" s="757">
        <v>0.55555555555555558</v>
      </c>
      <c r="F1957" s="731" t="s">
        <v>45</v>
      </c>
      <c r="G1957" s="730" t="s">
        <v>45</v>
      </c>
      <c r="H1957" s="555" t="s">
        <v>3189</v>
      </c>
      <c r="I1957" s="555" t="s">
        <v>63</v>
      </c>
      <c r="J1957" s="751" t="s">
        <v>4071</v>
      </c>
      <c r="K1957" s="555" t="s">
        <v>22</v>
      </c>
      <c r="L1957" s="555" t="s">
        <v>3497</v>
      </c>
      <c r="M1957" s="555" t="s">
        <v>45</v>
      </c>
    </row>
    <row r="1958" spans="3:13" ht="18.75">
      <c r="C1958" s="735"/>
      <c r="D1958" s="555" t="s">
        <v>4073</v>
      </c>
      <c r="E1958" s="757">
        <v>0.53472222222222221</v>
      </c>
      <c r="F1958" s="731">
        <v>43842</v>
      </c>
      <c r="G1958" s="730">
        <v>0.56458333333333333</v>
      </c>
      <c r="H1958" s="555" t="s">
        <v>3167</v>
      </c>
      <c r="I1958" s="555" t="s">
        <v>63</v>
      </c>
      <c r="J1958" s="751" t="s">
        <v>3451</v>
      </c>
      <c r="K1958" s="555" t="s">
        <v>22</v>
      </c>
      <c r="L1958" s="555" t="s">
        <v>4081</v>
      </c>
      <c r="M1958" s="555" t="s">
        <v>4082</v>
      </c>
    </row>
    <row r="1959" spans="3:13" ht="18.75">
      <c r="C1959" s="735"/>
      <c r="D1959" s="555" t="s">
        <v>4077</v>
      </c>
      <c r="E1959" s="757">
        <v>0.46875</v>
      </c>
      <c r="F1959" s="731">
        <v>43842</v>
      </c>
      <c r="G1959" s="730">
        <v>0.47083333333333338</v>
      </c>
      <c r="H1959" s="555" t="s">
        <v>4083</v>
      </c>
      <c r="I1959" s="555" t="s">
        <v>1352</v>
      </c>
      <c r="J1959" s="751" t="s">
        <v>3402</v>
      </c>
      <c r="K1959" s="555" t="s">
        <v>2118</v>
      </c>
      <c r="L1959" s="555" t="s">
        <v>3055</v>
      </c>
      <c r="M1959" s="555" t="s">
        <v>3055</v>
      </c>
    </row>
    <row r="1960" spans="3:13" ht="18.75">
      <c r="C1960" s="735"/>
      <c r="D1960" s="555" t="s">
        <v>4084</v>
      </c>
      <c r="E1960" s="757">
        <v>0</v>
      </c>
      <c r="F1960" s="731">
        <v>43844</v>
      </c>
      <c r="G1960" s="730">
        <v>4.1666666666666664E-2</v>
      </c>
      <c r="H1960" s="555" t="s">
        <v>3182</v>
      </c>
      <c r="I1960" s="555" t="s">
        <v>301</v>
      </c>
      <c r="J1960" s="751" t="s">
        <v>3402</v>
      </c>
      <c r="K1960" s="555" t="s">
        <v>2118</v>
      </c>
      <c r="L1960" s="555" t="s">
        <v>3055</v>
      </c>
      <c r="M1960" s="555" t="s">
        <v>3055</v>
      </c>
    </row>
    <row r="1961" spans="3:13" ht="18.75">
      <c r="C1961" s="735"/>
      <c r="D1961" s="555" t="s">
        <v>4085</v>
      </c>
      <c r="E1961" s="757">
        <v>0.46249999999999997</v>
      </c>
      <c r="F1961" s="731">
        <v>43846</v>
      </c>
      <c r="G1961" s="730">
        <v>0.48333333333333334</v>
      </c>
      <c r="H1961" s="555" t="s">
        <v>2809</v>
      </c>
      <c r="I1961" s="555" t="s">
        <v>1352</v>
      </c>
      <c r="J1961" s="751" t="s">
        <v>3447</v>
      </c>
      <c r="K1961" s="555" t="s">
        <v>2764</v>
      </c>
      <c r="L1961" s="555" t="s">
        <v>3055</v>
      </c>
      <c r="M1961" s="555" t="s">
        <v>3055</v>
      </c>
    </row>
    <row r="1962" spans="3:13" ht="18.75">
      <c r="C1962" s="735"/>
      <c r="D1962" s="555" t="s">
        <v>4086</v>
      </c>
      <c r="E1962" s="757">
        <v>0.22777777777777777</v>
      </c>
      <c r="F1962" s="731">
        <v>43847</v>
      </c>
      <c r="G1962" s="730">
        <v>0.42569444444444443</v>
      </c>
      <c r="H1962" s="555" t="s">
        <v>3079</v>
      </c>
      <c r="I1962" s="555" t="s">
        <v>124</v>
      </c>
      <c r="J1962" s="751" t="s">
        <v>4071</v>
      </c>
      <c r="K1962" s="555" t="s">
        <v>2990</v>
      </c>
      <c r="L1962" s="555" t="s">
        <v>4087</v>
      </c>
      <c r="M1962" s="555" t="s">
        <v>4088</v>
      </c>
    </row>
    <row r="1963" spans="3:13" ht="18.75">
      <c r="C1963" s="735"/>
      <c r="D1963" s="555" t="s">
        <v>4089</v>
      </c>
      <c r="E1963" s="757">
        <v>0.27083333333333331</v>
      </c>
      <c r="F1963" s="731">
        <v>43850</v>
      </c>
      <c r="G1963" s="730">
        <v>0.27152777777777776</v>
      </c>
      <c r="H1963" s="555" t="s">
        <v>2967</v>
      </c>
      <c r="I1963" s="555" t="s">
        <v>124</v>
      </c>
      <c r="J1963" s="751" t="s">
        <v>3463</v>
      </c>
      <c r="K1963" s="555" t="s">
        <v>100</v>
      </c>
      <c r="L1963" s="555" t="s">
        <v>3055</v>
      </c>
      <c r="M1963" s="555" t="s">
        <v>3055</v>
      </c>
    </row>
    <row r="1964" spans="3:13" ht="18.75">
      <c r="C1964" s="735"/>
      <c r="D1964" s="555" t="s">
        <v>4090</v>
      </c>
      <c r="E1964" s="757">
        <v>0.12291666666666667</v>
      </c>
      <c r="F1964" s="731">
        <v>43852</v>
      </c>
      <c r="G1964" s="730">
        <v>0.13680555555555554</v>
      </c>
      <c r="H1964" s="555" t="s">
        <v>4091</v>
      </c>
      <c r="I1964" s="555" t="s">
        <v>124</v>
      </c>
      <c r="J1964" s="751" t="s">
        <v>3356</v>
      </c>
      <c r="K1964" s="555" t="s">
        <v>2293</v>
      </c>
      <c r="L1964" s="555" t="s">
        <v>3754</v>
      </c>
      <c r="M1964" s="555" t="s">
        <v>4092</v>
      </c>
    </row>
    <row r="1965" spans="3:13" ht="18.75">
      <c r="C1965" s="735"/>
      <c r="D1965" s="555" t="s">
        <v>4093</v>
      </c>
      <c r="E1965" s="757">
        <v>0.97916666666666663</v>
      </c>
      <c r="F1965" s="731">
        <v>43854</v>
      </c>
      <c r="G1965" s="730">
        <v>2.7083333333333334E-2</v>
      </c>
      <c r="H1965" s="555" t="s">
        <v>4095</v>
      </c>
      <c r="I1965" s="555" t="s">
        <v>301</v>
      </c>
      <c r="J1965" s="751" t="s">
        <v>3402</v>
      </c>
      <c r="K1965" s="555" t="s">
        <v>100</v>
      </c>
      <c r="L1965" s="555" t="s">
        <v>3055</v>
      </c>
      <c r="M1965" s="555" t="s">
        <v>3055</v>
      </c>
    </row>
    <row r="1966" spans="3:13" ht="18.75">
      <c r="C1966" s="735"/>
      <c r="D1966" s="555" t="s">
        <v>4094</v>
      </c>
      <c r="E1966" s="757">
        <v>0.19027777777777777</v>
      </c>
      <c r="F1966" s="731" t="s">
        <v>45</v>
      </c>
      <c r="G1966" s="730" t="s">
        <v>45</v>
      </c>
      <c r="H1966" s="555" t="s">
        <v>2945</v>
      </c>
      <c r="I1966" s="555" t="s">
        <v>124</v>
      </c>
      <c r="J1966" s="751" t="s">
        <v>3654</v>
      </c>
      <c r="K1966" s="555" t="s">
        <v>1138</v>
      </c>
      <c r="L1966" s="555" t="s">
        <v>3055</v>
      </c>
      <c r="M1966" s="555" t="s">
        <v>3055</v>
      </c>
    </row>
    <row r="1967" spans="3:13" ht="18.75">
      <c r="C1967" s="735"/>
      <c r="D1967" s="555" t="s">
        <v>4096</v>
      </c>
      <c r="E1967" s="757">
        <v>0.59027777777777779</v>
      </c>
      <c r="F1967" s="731">
        <v>43857</v>
      </c>
      <c r="G1967" s="730">
        <v>0.79027777777777775</v>
      </c>
      <c r="H1967" s="555" t="s">
        <v>4097</v>
      </c>
      <c r="I1967" s="555" t="s">
        <v>674</v>
      </c>
      <c r="J1967" s="751" t="s">
        <v>3387</v>
      </c>
      <c r="K1967" s="555" t="s">
        <v>2764</v>
      </c>
      <c r="L1967" s="555" t="s">
        <v>3155</v>
      </c>
      <c r="M1967" s="555" t="s">
        <v>4098</v>
      </c>
    </row>
    <row r="1968" spans="3:13" ht="18.75">
      <c r="C1968" s="735"/>
      <c r="D1968" s="555" t="s">
        <v>4099</v>
      </c>
      <c r="E1968" s="757">
        <v>0.12569444444444444</v>
      </c>
      <c r="F1968" s="731">
        <v>43860</v>
      </c>
      <c r="G1968" s="730">
        <v>0.19166666666666665</v>
      </c>
      <c r="H1968" s="555" t="s">
        <v>4057</v>
      </c>
      <c r="I1968" s="555" t="s">
        <v>674</v>
      </c>
      <c r="J1968" s="751" t="s">
        <v>3411</v>
      </c>
      <c r="K1968" s="555" t="s">
        <v>2483</v>
      </c>
      <c r="L1968" s="555" t="s">
        <v>4100</v>
      </c>
      <c r="M1968" s="555" t="s">
        <v>3055</v>
      </c>
    </row>
    <row r="1969" spans="3:13" ht="18.75">
      <c r="C1969" s="735"/>
      <c r="D1969" s="555" t="s">
        <v>4101</v>
      </c>
      <c r="E1969" s="757">
        <v>0.40972222222222227</v>
      </c>
      <c r="F1969" s="731">
        <v>43864</v>
      </c>
      <c r="G1969" s="730">
        <v>0.41666666666666669</v>
      </c>
      <c r="H1969" s="555" t="s">
        <v>2945</v>
      </c>
      <c r="I1969" s="555" t="s">
        <v>124</v>
      </c>
      <c r="J1969" s="751" t="s">
        <v>3928</v>
      </c>
      <c r="K1969" s="555" t="s">
        <v>2118</v>
      </c>
      <c r="L1969" s="555" t="s">
        <v>3055</v>
      </c>
      <c r="M1969" s="555" t="s">
        <v>3055</v>
      </c>
    </row>
    <row r="1970" spans="3:13" ht="18.75">
      <c r="C1970" s="735"/>
      <c r="D1970" s="555" t="s">
        <v>4103</v>
      </c>
      <c r="E1970" s="757">
        <v>0.60347222222222219</v>
      </c>
      <c r="F1970" s="731">
        <v>43868</v>
      </c>
      <c r="G1970" s="730">
        <v>0.53055555555555556</v>
      </c>
      <c r="H1970" s="555" t="s">
        <v>2928</v>
      </c>
      <c r="I1970" s="555" t="s">
        <v>63</v>
      </c>
      <c r="J1970" s="751" t="s">
        <v>3451</v>
      </c>
      <c r="K1970" s="555" t="s">
        <v>3768</v>
      </c>
      <c r="L1970" s="555" t="s">
        <v>45</v>
      </c>
      <c r="M1970" s="555" t="s">
        <v>4105</v>
      </c>
    </row>
    <row r="1971" spans="3:13" ht="18.75">
      <c r="C1971" s="735"/>
      <c r="D1971" s="555" t="s">
        <v>4103</v>
      </c>
      <c r="E1971" s="757">
        <v>0.5625</v>
      </c>
      <c r="F1971" s="731">
        <v>43868</v>
      </c>
      <c r="G1971" s="730">
        <v>0.83888888888888891</v>
      </c>
      <c r="H1971" s="555" t="s">
        <v>2832</v>
      </c>
      <c r="I1971" s="555" t="s">
        <v>63</v>
      </c>
      <c r="J1971" s="751" t="s">
        <v>3451</v>
      </c>
      <c r="K1971" s="555" t="s">
        <v>2990</v>
      </c>
      <c r="L1971" s="555" t="s">
        <v>45</v>
      </c>
      <c r="M1971" s="555" t="s">
        <v>4106</v>
      </c>
    </row>
    <row r="1972" spans="3:13" ht="18.75">
      <c r="C1972" s="735"/>
      <c r="D1972" s="555" t="s">
        <v>4104</v>
      </c>
      <c r="E1972" s="757">
        <v>0.68402777777777779</v>
      </c>
      <c r="F1972" s="731">
        <v>43869</v>
      </c>
      <c r="G1972" s="730">
        <v>0.5</v>
      </c>
      <c r="H1972" s="555" t="s">
        <v>2984</v>
      </c>
      <c r="I1972" s="555" t="s">
        <v>61</v>
      </c>
      <c r="J1972" s="751" t="s">
        <v>3451</v>
      </c>
      <c r="K1972" s="555" t="s">
        <v>22</v>
      </c>
      <c r="L1972" s="555" t="s">
        <v>45</v>
      </c>
      <c r="M1972" s="555" t="s">
        <v>4108</v>
      </c>
    </row>
    <row r="1973" spans="3:13" ht="18.75">
      <c r="C1973" s="735"/>
      <c r="D1973" s="555" t="s">
        <v>4104</v>
      </c>
      <c r="E1973" s="757">
        <v>0.61249999999999993</v>
      </c>
      <c r="F1973" s="731">
        <v>43871</v>
      </c>
      <c r="G1973" s="730">
        <v>0.3923611111111111</v>
      </c>
      <c r="H1973" s="555" t="s">
        <v>2868</v>
      </c>
      <c r="I1973" s="555" t="s">
        <v>61</v>
      </c>
      <c r="J1973" s="751" t="s">
        <v>3451</v>
      </c>
      <c r="K1973" s="555" t="s">
        <v>22</v>
      </c>
      <c r="L1973" s="555" t="s">
        <v>45</v>
      </c>
      <c r="M1973" s="555" t="s">
        <v>4110</v>
      </c>
    </row>
    <row r="1974" spans="3:13" ht="18.75">
      <c r="C1974" s="735"/>
      <c r="D1974" s="555" t="s">
        <v>4104</v>
      </c>
      <c r="E1974" s="757">
        <v>0.45833333333333331</v>
      </c>
      <c r="F1974" s="731" t="s">
        <v>45</v>
      </c>
      <c r="G1974" s="730" t="s">
        <v>45</v>
      </c>
      <c r="H1974" s="555" t="s">
        <v>3245</v>
      </c>
      <c r="I1974" s="555" t="s">
        <v>3143</v>
      </c>
      <c r="J1974" s="751" t="s">
        <v>3451</v>
      </c>
      <c r="K1974" s="555" t="s">
        <v>3768</v>
      </c>
      <c r="L1974" s="555" t="s">
        <v>45</v>
      </c>
      <c r="M1974" s="555" t="s">
        <v>4111</v>
      </c>
    </row>
    <row r="1975" spans="3:13" ht="18.75">
      <c r="C1975" s="735"/>
      <c r="D1975" s="555" t="s">
        <v>4104</v>
      </c>
      <c r="E1975" s="757">
        <v>0.3666666666666667</v>
      </c>
      <c r="F1975" s="731" t="s">
        <v>45</v>
      </c>
      <c r="G1975" s="730" t="s">
        <v>45</v>
      </c>
      <c r="H1975" s="555" t="s">
        <v>4112</v>
      </c>
      <c r="I1975" s="555" t="s">
        <v>63</v>
      </c>
      <c r="J1975" s="751" t="s">
        <v>3451</v>
      </c>
      <c r="K1975" s="555" t="s">
        <v>22</v>
      </c>
      <c r="L1975" s="555" t="s">
        <v>45</v>
      </c>
      <c r="M1975" s="555" t="s">
        <v>4113</v>
      </c>
    </row>
    <row r="1976" spans="3:13" ht="18.75">
      <c r="C1976" s="735"/>
      <c r="D1976" s="555" t="s">
        <v>4107</v>
      </c>
      <c r="E1976" s="757">
        <v>0.5805555555555556</v>
      </c>
      <c r="F1976" s="731">
        <v>43869</v>
      </c>
      <c r="G1976" s="730">
        <v>0.62777777777777777</v>
      </c>
      <c r="H1976" s="555" t="s">
        <v>2945</v>
      </c>
      <c r="I1976" s="555" t="s">
        <v>124</v>
      </c>
      <c r="J1976" s="751" t="s">
        <v>3356</v>
      </c>
      <c r="K1976" s="555" t="s">
        <v>100</v>
      </c>
      <c r="L1976" s="555" t="s">
        <v>3055</v>
      </c>
      <c r="M1976" s="555" t="s">
        <v>3055</v>
      </c>
    </row>
    <row r="1977" spans="3:13" ht="18.75">
      <c r="C1977" s="735"/>
      <c r="D1977" s="555" t="s">
        <v>4114</v>
      </c>
      <c r="E1977" s="757">
        <v>0.39583333333333331</v>
      </c>
      <c r="F1977" s="731">
        <v>43870</v>
      </c>
      <c r="G1977" s="730">
        <v>0.90277777777777779</v>
      </c>
      <c r="H1977" s="555" t="s">
        <v>4115</v>
      </c>
      <c r="I1977" s="555" t="s">
        <v>124</v>
      </c>
      <c r="J1977" s="751" t="s">
        <v>3451</v>
      </c>
      <c r="K1977" s="555" t="s">
        <v>22</v>
      </c>
      <c r="L1977" s="555" t="s">
        <v>3198</v>
      </c>
      <c r="M1977" s="555" t="s">
        <v>4116</v>
      </c>
    </row>
    <row r="1978" spans="3:13" ht="18.75">
      <c r="C1978" s="735"/>
      <c r="D1978" s="555" t="s">
        <v>4117</v>
      </c>
      <c r="E1978" s="757">
        <v>0.12013888888888889</v>
      </c>
      <c r="F1978" s="731">
        <v>43872</v>
      </c>
      <c r="G1978" s="730">
        <v>0.5625</v>
      </c>
      <c r="H1978" s="555" t="s">
        <v>4118</v>
      </c>
      <c r="I1978" s="555" t="s">
        <v>1352</v>
      </c>
      <c r="J1978" s="751" t="s">
        <v>3928</v>
      </c>
      <c r="K1978" s="555" t="s">
        <v>2764</v>
      </c>
      <c r="L1978" s="555" t="s">
        <v>3055</v>
      </c>
      <c r="M1978" s="555" t="s">
        <v>3055</v>
      </c>
    </row>
    <row r="1979" spans="3:13" ht="18.75">
      <c r="C1979" s="735"/>
      <c r="D1979" s="555" t="s">
        <v>4117</v>
      </c>
      <c r="E1979" s="757">
        <v>0.30069444444444443</v>
      </c>
      <c r="F1979" s="731">
        <v>43872</v>
      </c>
      <c r="G1979" s="730">
        <v>0.66666666666666663</v>
      </c>
      <c r="H1979" s="555" t="s">
        <v>4119</v>
      </c>
      <c r="I1979" s="555" t="s">
        <v>124</v>
      </c>
      <c r="J1979" s="751" t="s">
        <v>3411</v>
      </c>
      <c r="K1979" s="555" t="s">
        <v>2483</v>
      </c>
      <c r="L1979" s="555" t="s">
        <v>45</v>
      </c>
      <c r="M1979" s="555" t="s">
        <v>3055</v>
      </c>
    </row>
    <row r="1980" spans="3:13" ht="18.75">
      <c r="C1980" s="735"/>
      <c r="D1980" s="555" t="s">
        <v>4120</v>
      </c>
      <c r="E1980" s="757">
        <v>0.31666666666666665</v>
      </c>
      <c r="F1980" s="731">
        <v>43873</v>
      </c>
      <c r="G1980" s="730">
        <v>0.37013888888888885</v>
      </c>
      <c r="H1980" s="555" t="s">
        <v>2959</v>
      </c>
      <c r="I1980" s="555" t="s">
        <v>61</v>
      </c>
      <c r="J1980" s="751" t="s">
        <v>3387</v>
      </c>
      <c r="K1980" s="555" t="s">
        <v>2764</v>
      </c>
      <c r="L1980" s="555" t="s">
        <v>3055</v>
      </c>
      <c r="M1980" s="555" t="s">
        <v>3055</v>
      </c>
    </row>
    <row r="1981" spans="3:13" ht="18.75">
      <c r="C1981" s="735"/>
      <c r="D1981" s="555" t="s">
        <v>4121</v>
      </c>
      <c r="E1981" s="757">
        <v>0.33402777777777781</v>
      </c>
      <c r="F1981" s="731">
        <v>43874</v>
      </c>
      <c r="G1981" s="730">
        <v>0.60972222222222217</v>
      </c>
      <c r="H1981" s="555" t="s">
        <v>2933</v>
      </c>
      <c r="I1981" s="555" t="s">
        <v>124</v>
      </c>
      <c r="J1981" s="751" t="s">
        <v>3356</v>
      </c>
      <c r="K1981" s="555" t="s">
        <v>100</v>
      </c>
      <c r="L1981" s="555" t="s">
        <v>3055</v>
      </c>
      <c r="M1981" s="555" t="s">
        <v>3055</v>
      </c>
    </row>
    <row r="1982" spans="3:13" ht="18.75">
      <c r="C1982" s="735"/>
      <c r="D1982" s="555" t="s">
        <v>4122</v>
      </c>
      <c r="E1982" s="757">
        <v>0.40763888888888888</v>
      </c>
      <c r="F1982" s="731">
        <v>43878</v>
      </c>
      <c r="G1982" s="730">
        <v>0.64652777777777781</v>
      </c>
      <c r="H1982" s="555" t="s">
        <v>3581</v>
      </c>
      <c r="I1982" s="555" t="s">
        <v>63</v>
      </c>
      <c r="J1982" s="751" t="s">
        <v>3356</v>
      </c>
      <c r="K1982" s="555" t="s">
        <v>100</v>
      </c>
      <c r="L1982" s="555" t="s">
        <v>4123</v>
      </c>
      <c r="M1982" s="555" t="s">
        <v>45</v>
      </c>
    </row>
    <row r="1983" spans="3:13" ht="18.75">
      <c r="C1983" s="735"/>
      <c r="D1983" s="555" t="s">
        <v>4122</v>
      </c>
      <c r="E1983" s="757">
        <v>0.5541666666666667</v>
      </c>
      <c r="F1983" s="731">
        <v>43881</v>
      </c>
      <c r="G1983" s="730">
        <v>0.41041666666666665</v>
      </c>
      <c r="H1983" s="555" t="s">
        <v>4125</v>
      </c>
      <c r="I1983" s="555" t="s">
        <v>3143</v>
      </c>
      <c r="J1983" s="751" t="s">
        <v>3463</v>
      </c>
      <c r="K1983" s="555" t="s">
        <v>100</v>
      </c>
      <c r="L1983" s="555" t="s">
        <v>3055</v>
      </c>
      <c r="M1983" s="555" t="s">
        <v>3055</v>
      </c>
    </row>
    <row r="1984" spans="3:13" ht="18.75">
      <c r="C1984" s="735"/>
      <c r="D1984" s="555" t="s">
        <v>4122</v>
      </c>
      <c r="E1984" s="757">
        <v>0.16666666666666666</v>
      </c>
      <c r="F1984" s="731" t="s">
        <v>45</v>
      </c>
      <c r="G1984" s="730" t="s">
        <v>45</v>
      </c>
      <c r="H1984" s="555" t="s">
        <v>4126</v>
      </c>
      <c r="I1984" s="555" t="s">
        <v>124</v>
      </c>
      <c r="J1984" s="751" t="s">
        <v>3451</v>
      </c>
      <c r="K1984" s="555" t="s">
        <v>22</v>
      </c>
      <c r="L1984" s="555" t="s">
        <v>4127</v>
      </c>
      <c r="M1984" s="555" t="s">
        <v>3340</v>
      </c>
    </row>
    <row r="1985" spans="3:13" ht="18.75">
      <c r="C1985" s="735"/>
      <c r="D1985" s="555" t="s">
        <v>4128</v>
      </c>
      <c r="E1985" s="757">
        <v>0.54166666666666663</v>
      </c>
      <c r="F1985" s="731">
        <v>43879</v>
      </c>
      <c r="G1985" s="730">
        <v>0.58333333333333337</v>
      </c>
      <c r="H1985" s="555" t="s">
        <v>3357</v>
      </c>
      <c r="I1985" s="555" t="s">
        <v>124</v>
      </c>
      <c r="J1985" s="751" t="s">
        <v>3463</v>
      </c>
      <c r="K1985" s="555" t="s">
        <v>100</v>
      </c>
      <c r="L1985" s="555" t="s">
        <v>3055</v>
      </c>
      <c r="M1985" s="555" t="s">
        <v>3055</v>
      </c>
    </row>
    <row r="1986" spans="3:13" ht="18.75">
      <c r="C1986" s="735"/>
      <c r="D1986" s="555" t="s">
        <v>4129</v>
      </c>
      <c r="E1986" s="757">
        <v>0.48958333333333331</v>
      </c>
      <c r="F1986" s="731">
        <v>43886</v>
      </c>
      <c r="G1986" s="730">
        <v>0.54166666666666663</v>
      </c>
      <c r="H1986" s="555" t="s">
        <v>2967</v>
      </c>
      <c r="I1986" s="555" t="s">
        <v>124</v>
      </c>
      <c r="J1986" s="751" t="s">
        <v>3356</v>
      </c>
      <c r="K1986" s="555" t="s">
        <v>100</v>
      </c>
      <c r="L1986" s="555" t="s">
        <v>3055</v>
      </c>
      <c r="M1986" s="555" t="s">
        <v>3055</v>
      </c>
    </row>
    <row r="1987" spans="3:13" ht="18.75">
      <c r="C1987" s="735"/>
      <c r="D1987" s="555" t="s">
        <v>4130</v>
      </c>
      <c r="E1987" s="757">
        <v>0.6875</v>
      </c>
      <c r="F1987" s="731">
        <v>43887</v>
      </c>
      <c r="G1987" s="730">
        <v>0.70972222222222225</v>
      </c>
      <c r="H1987" s="555" t="s">
        <v>3693</v>
      </c>
      <c r="I1987" s="555" t="s">
        <v>3347</v>
      </c>
      <c r="J1987" s="751" t="s">
        <v>3387</v>
      </c>
      <c r="K1987" s="555" t="s">
        <v>2764</v>
      </c>
      <c r="L1987" s="555" t="s">
        <v>3055</v>
      </c>
      <c r="M1987" s="555" t="s">
        <v>3055</v>
      </c>
    </row>
    <row r="1988" spans="3:13" ht="18.75">
      <c r="C1988" s="735"/>
      <c r="D1988" s="555" t="s">
        <v>4130</v>
      </c>
      <c r="E1988" s="757">
        <v>0.70833333333333337</v>
      </c>
      <c r="F1988" s="731">
        <v>43887</v>
      </c>
      <c r="G1988" s="730">
        <v>0.75347222222222221</v>
      </c>
      <c r="H1988" s="555" t="s">
        <v>2959</v>
      </c>
      <c r="I1988" s="555" t="s">
        <v>61</v>
      </c>
      <c r="J1988" s="751" t="s">
        <v>3387</v>
      </c>
      <c r="K1988" s="555" t="s">
        <v>2764</v>
      </c>
      <c r="L1988" s="555" t="s">
        <v>3055</v>
      </c>
      <c r="M1988" s="555" t="s">
        <v>3055</v>
      </c>
    </row>
    <row r="1989" spans="3:13" ht="18.75">
      <c r="C1989" s="735"/>
      <c r="D1989" s="555" t="s">
        <v>4130</v>
      </c>
      <c r="E1989" s="757">
        <v>0.47847222222222219</v>
      </c>
      <c r="F1989" s="731">
        <v>43887</v>
      </c>
      <c r="G1989" s="730">
        <v>0.50972222222222219</v>
      </c>
      <c r="H1989" s="555" t="s">
        <v>4131</v>
      </c>
      <c r="I1989" s="555" t="s">
        <v>674</v>
      </c>
      <c r="J1989" s="751" t="s">
        <v>3387</v>
      </c>
      <c r="K1989" s="555" t="s">
        <v>2764</v>
      </c>
      <c r="L1989" s="555" t="s">
        <v>3055</v>
      </c>
      <c r="M1989" s="555" t="s">
        <v>3055</v>
      </c>
    </row>
    <row r="1990" spans="3:13" ht="18.75">
      <c r="C1990" s="735"/>
      <c r="D1990" s="555" t="s">
        <v>4132</v>
      </c>
      <c r="E1990" s="757">
        <v>7.2916666666666671E-2</v>
      </c>
      <c r="F1990" s="731">
        <v>43890</v>
      </c>
      <c r="G1990" s="730">
        <v>0.10416666666666667</v>
      </c>
      <c r="H1990" s="555" t="s">
        <v>4133</v>
      </c>
      <c r="I1990" s="555" t="s">
        <v>124</v>
      </c>
      <c r="J1990" s="751" t="s">
        <v>3387</v>
      </c>
      <c r="K1990" s="555" t="s">
        <v>2764</v>
      </c>
      <c r="L1990" s="555" t="s">
        <v>3055</v>
      </c>
      <c r="M1990" s="555" t="s">
        <v>3055</v>
      </c>
    </row>
    <row r="1991" spans="3:13" ht="18.75">
      <c r="C1991" s="735"/>
      <c r="D1991" s="555" t="s">
        <v>4134</v>
      </c>
      <c r="E1991" s="757">
        <v>0.4770833333333333</v>
      </c>
      <c r="F1991" s="731">
        <v>43891</v>
      </c>
      <c r="G1991" s="730">
        <v>0.90763888888888899</v>
      </c>
      <c r="H1991" s="555" t="s">
        <v>4135</v>
      </c>
      <c r="I1991" s="555" t="s">
        <v>63</v>
      </c>
      <c r="J1991" s="751" t="s">
        <v>3411</v>
      </c>
      <c r="K1991" s="555" t="s">
        <v>2483</v>
      </c>
      <c r="L1991" s="555" t="s">
        <v>4136</v>
      </c>
      <c r="M1991" s="555" t="s">
        <v>4137</v>
      </c>
    </row>
    <row r="1992" spans="3:13" ht="18.75">
      <c r="C1992" s="735"/>
      <c r="D1992" s="555" t="s">
        <v>4134</v>
      </c>
      <c r="E1992" s="757">
        <v>0.92708333333333337</v>
      </c>
      <c r="F1992" s="731" t="s">
        <v>45</v>
      </c>
      <c r="G1992" s="730" t="s">
        <v>45</v>
      </c>
      <c r="H1992" s="555" t="s">
        <v>2868</v>
      </c>
      <c r="I1992" s="555" t="s">
        <v>61</v>
      </c>
      <c r="J1992" s="751" t="s">
        <v>3356</v>
      </c>
      <c r="K1992" s="555" t="s">
        <v>100</v>
      </c>
      <c r="L1992" s="555" t="s">
        <v>3055</v>
      </c>
      <c r="M1992" s="555" t="s">
        <v>3055</v>
      </c>
    </row>
    <row r="1993" spans="3:13" ht="18.75">
      <c r="C1993" s="735"/>
      <c r="D1993" s="555" t="s">
        <v>4134</v>
      </c>
      <c r="E1993" s="757">
        <v>0.33333333333333331</v>
      </c>
      <c r="F1993" s="731" t="s">
        <v>45</v>
      </c>
      <c r="G1993" s="730" t="s">
        <v>45</v>
      </c>
      <c r="H1993" s="555" t="s">
        <v>4138</v>
      </c>
      <c r="I1993" s="555" t="s">
        <v>61</v>
      </c>
      <c r="J1993" s="751" t="s">
        <v>3654</v>
      </c>
      <c r="K1993" s="555" t="s">
        <v>1138</v>
      </c>
      <c r="L1993" s="555" t="s">
        <v>3193</v>
      </c>
      <c r="M1993" s="555" t="s">
        <v>45</v>
      </c>
    </row>
    <row r="1994" spans="3:13" ht="18.75">
      <c r="C1994" s="735"/>
      <c r="D1994" s="555" t="s">
        <v>4139</v>
      </c>
      <c r="E1994" s="757">
        <v>7.1527777777777787E-2</v>
      </c>
      <c r="F1994" s="731">
        <v>43892</v>
      </c>
      <c r="G1994" s="730">
        <v>0.11319444444444444</v>
      </c>
      <c r="H1994" s="555" t="s">
        <v>4133</v>
      </c>
      <c r="I1994" s="555" t="s">
        <v>124</v>
      </c>
      <c r="J1994" s="751" t="s">
        <v>3387</v>
      </c>
      <c r="K1994" s="555" t="s">
        <v>2764</v>
      </c>
      <c r="L1994" s="555" t="s">
        <v>3055</v>
      </c>
      <c r="M1994" s="555" t="s">
        <v>3055</v>
      </c>
    </row>
    <row r="1995" spans="3:13" ht="18.75">
      <c r="C1995" s="735"/>
      <c r="D1995" s="555" t="s">
        <v>4140</v>
      </c>
      <c r="E1995" s="757">
        <v>0.60416666666666663</v>
      </c>
      <c r="F1995" s="731">
        <v>43893</v>
      </c>
      <c r="G1995" s="730">
        <v>0.60486111111111118</v>
      </c>
      <c r="H1995" s="555" t="s">
        <v>4141</v>
      </c>
      <c r="I1995" s="555" t="s">
        <v>63</v>
      </c>
      <c r="J1995" s="751" t="s">
        <v>3356</v>
      </c>
      <c r="K1995" s="555" t="s">
        <v>100</v>
      </c>
      <c r="L1995" s="555" t="s">
        <v>3055</v>
      </c>
      <c r="M1995" s="555" t="s">
        <v>3055</v>
      </c>
    </row>
    <row r="1996" spans="3:13" ht="18.75">
      <c r="C1996" s="735"/>
      <c r="D1996" s="555" t="s">
        <v>4142</v>
      </c>
      <c r="E1996" s="757">
        <v>0.92361111111111116</v>
      </c>
      <c r="F1996" s="731">
        <v>43899</v>
      </c>
      <c r="G1996" s="730">
        <v>4.3055555555555562E-2</v>
      </c>
      <c r="H1996" s="555" t="s">
        <v>4144</v>
      </c>
      <c r="I1996" s="555" t="s">
        <v>1352</v>
      </c>
      <c r="J1996" s="751" t="s">
        <v>3402</v>
      </c>
      <c r="K1996" s="555" t="s">
        <v>2118</v>
      </c>
      <c r="L1996" s="555" t="s">
        <v>3055</v>
      </c>
      <c r="M1996" s="555" t="s">
        <v>3055</v>
      </c>
    </row>
    <row r="1997" spans="3:13" ht="18.75">
      <c r="C1997" s="735"/>
      <c r="D1997" s="555" t="s">
        <v>4145</v>
      </c>
      <c r="E1997" s="757">
        <v>4.3750000000000004E-2</v>
      </c>
      <c r="F1997" s="731">
        <v>43902</v>
      </c>
      <c r="G1997" s="730">
        <v>0.125</v>
      </c>
      <c r="H1997" s="555" t="s">
        <v>3245</v>
      </c>
      <c r="I1997" s="555" t="s">
        <v>3143</v>
      </c>
      <c r="J1997" s="751" t="s">
        <v>3411</v>
      </c>
      <c r="K1997" s="555" t="s">
        <v>2483</v>
      </c>
      <c r="L1997" s="555" t="s">
        <v>3412</v>
      </c>
      <c r="M1997" s="555" t="s">
        <v>4146</v>
      </c>
    </row>
    <row r="1998" spans="3:13" ht="18.75">
      <c r="C1998" s="735"/>
      <c r="D1998" s="555" t="s">
        <v>4147</v>
      </c>
      <c r="E1998" s="757">
        <v>0.50069444444444444</v>
      </c>
      <c r="F1998" s="731">
        <v>43906</v>
      </c>
      <c r="G1998" s="730">
        <v>0.54861111111111105</v>
      </c>
      <c r="H1998" s="555" t="s">
        <v>2945</v>
      </c>
      <c r="I1998" s="555" t="s">
        <v>124</v>
      </c>
      <c r="J1998" s="751" t="s">
        <v>3451</v>
      </c>
      <c r="K1998" s="555" t="s">
        <v>22</v>
      </c>
      <c r="L1998" s="555" t="s">
        <v>4148</v>
      </c>
      <c r="M1998" s="555" t="s">
        <v>4149</v>
      </c>
    </row>
    <row r="1999" spans="3:13" ht="18.75">
      <c r="C1999" s="735"/>
      <c r="D1999" s="555" t="s">
        <v>4147</v>
      </c>
      <c r="E1999" s="757">
        <v>0.33333333333333331</v>
      </c>
      <c r="F1999" s="731">
        <v>43906</v>
      </c>
      <c r="G1999" s="730">
        <v>0.33402777777777781</v>
      </c>
      <c r="H1999" s="555" t="s">
        <v>2967</v>
      </c>
      <c r="I1999" s="555" t="s">
        <v>124</v>
      </c>
      <c r="J1999" s="751" t="s">
        <v>3463</v>
      </c>
      <c r="K1999" s="555" t="s">
        <v>100</v>
      </c>
      <c r="L1999" s="555" t="s">
        <v>3055</v>
      </c>
      <c r="M1999" s="555" t="s">
        <v>3055</v>
      </c>
    </row>
    <row r="2000" spans="3:13" ht="18.75">
      <c r="C2000" s="735"/>
      <c r="D2000" s="555" t="s">
        <v>4147</v>
      </c>
      <c r="E2000" s="757">
        <v>0.33333333333333331</v>
      </c>
      <c r="F2000" s="731">
        <v>43906</v>
      </c>
      <c r="G2000" s="730">
        <v>0.33402777777777781</v>
      </c>
      <c r="H2000" s="555" t="s">
        <v>2967</v>
      </c>
      <c r="I2000" s="555" t="s">
        <v>124</v>
      </c>
      <c r="J2000" s="751" t="s">
        <v>3463</v>
      </c>
      <c r="K2000" s="555" t="s">
        <v>100</v>
      </c>
      <c r="L2000" s="555" t="s">
        <v>3055</v>
      </c>
      <c r="M2000" s="555" t="s">
        <v>3055</v>
      </c>
    </row>
    <row r="2001" spans="3:13" ht="18.75">
      <c r="C2001" s="735"/>
      <c r="D2001" s="555" t="s">
        <v>4150</v>
      </c>
      <c r="E2001" s="757">
        <v>0.4375</v>
      </c>
      <c r="F2001" s="731">
        <v>43907</v>
      </c>
      <c r="G2001" s="730">
        <v>0.48680555555555555</v>
      </c>
      <c r="H2001" s="555" t="s">
        <v>4151</v>
      </c>
      <c r="I2001" s="555" t="s">
        <v>3143</v>
      </c>
      <c r="J2001" s="751" t="s">
        <v>3387</v>
      </c>
      <c r="K2001" s="555" t="s">
        <v>2764</v>
      </c>
      <c r="L2001" s="555" t="s">
        <v>4152</v>
      </c>
      <c r="M2001" s="555" t="s">
        <v>3055</v>
      </c>
    </row>
    <row r="2002" spans="3:13" ht="18.75">
      <c r="C2002" s="735"/>
      <c r="D2002" s="555" t="s">
        <v>4153</v>
      </c>
      <c r="E2002" s="757">
        <v>0.29791666666666666</v>
      </c>
      <c r="F2002" s="731" t="s">
        <v>45</v>
      </c>
      <c r="G2002" s="730" t="s">
        <v>45</v>
      </c>
      <c r="H2002" s="555" t="s">
        <v>2865</v>
      </c>
      <c r="I2002" s="555" t="s">
        <v>124</v>
      </c>
      <c r="J2002" s="751" t="s">
        <v>3451</v>
      </c>
      <c r="K2002" s="555" t="s">
        <v>3416</v>
      </c>
      <c r="L2002" s="555" t="s">
        <v>4154</v>
      </c>
      <c r="M2002" s="555" t="s">
        <v>4155</v>
      </c>
    </row>
    <row r="2003" spans="3:13" ht="18.75">
      <c r="C2003" s="735"/>
      <c r="D2003" s="555" t="s">
        <v>4156</v>
      </c>
      <c r="E2003" s="757">
        <v>0.71180555555555547</v>
      </c>
      <c r="F2003" s="731">
        <v>43909</v>
      </c>
      <c r="G2003" s="730">
        <v>0.73819444444444438</v>
      </c>
      <c r="H2003" s="555" t="s">
        <v>3378</v>
      </c>
      <c r="I2003" s="555" t="s">
        <v>674</v>
      </c>
      <c r="J2003" s="751" t="s">
        <v>3387</v>
      </c>
      <c r="K2003" s="555" t="s">
        <v>2764</v>
      </c>
      <c r="L2003" s="555" t="s">
        <v>3055</v>
      </c>
      <c r="M2003" s="555" t="s">
        <v>3055</v>
      </c>
    </row>
    <row r="2004" spans="3:13" ht="18.75">
      <c r="C2004" s="735"/>
      <c r="D2004" s="555" t="s">
        <v>4157</v>
      </c>
      <c r="E2004" s="757">
        <v>0.93055555555555547</v>
      </c>
      <c r="F2004" s="731">
        <v>43910</v>
      </c>
      <c r="G2004" s="730">
        <v>0.97916666666666663</v>
      </c>
      <c r="H2004" s="555" t="s">
        <v>4158</v>
      </c>
      <c r="I2004" s="555" t="s">
        <v>61</v>
      </c>
      <c r="J2004" s="751" t="s">
        <v>3387</v>
      </c>
      <c r="K2004" s="555" t="s">
        <v>2764</v>
      </c>
      <c r="L2004" s="555" t="s">
        <v>3055</v>
      </c>
      <c r="M2004" s="555" t="s">
        <v>3055</v>
      </c>
    </row>
    <row r="2005" spans="3:13" ht="18.75">
      <c r="C2005" s="735"/>
      <c r="D2005" s="555" t="s">
        <v>4157</v>
      </c>
      <c r="E2005" s="757">
        <v>0.98472222222222217</v>
      </c>
      <c r="F2005" s="731">
        <v>43910</v>
      </c>
      <c r="G2005" s="730">
        <v>0.99930555555555556</v>
      </c>
      <c r="H2005" s="555" t="s">
        <v>2959</v>
      </c>
      <c r="I2005" s="555" t="s">
        <v>61</v>
      </c>
      <c r="J2005" s="751" t="s">
        <v>3387</v>
      </c>
      <c r="K2005" s="555" t="s">
        <v>2764</v>
      </c>
      <c r="L2005" s="555" t="s">
        <v>3055</v>
      </c>
      <c r="M2005" s="555" t="s">
        <v>3055</v>
      </c>
    </row>
    <row r="2006" spans="3:13" ht="18.75">
      <c r="C2006" s="735"/>
      <c r="D2006" s="555" t="s">
        <v>4157</v>
      </c>
      <c r="E2006" s="757">
        <v>0.98958333333333337</v>
      </c>
      <c r="F2006" s="731">
        <v>43911</v>
      </c>
      <c r="G2006" s="730">
        <v>2.0833333333333332E-2</v>
      </c>
      <c r="H2006" s="555" t="s">
        <v>4160</v>
      </c>
      <c r="I2006" s="555" t="s">
        <v>61</v>
      </c>
      <c r="J2006" s="751" t="s">
        <v>3447</v>
      </c>
      <c r="K2006" s="555" t="s">
        <v>2764</v>
      </c>
      <c r="L2006" s="555" t="s">
        <v>3055</v>
      </c>
      <c r="M2006" s="555" t="s">
        <v>3055</v>
      </c>
    </row>
    <row r="2007" spans="3:13" ht="18.75">
      <c r="C2007" s="735"/>
      <c r="D2007" s="555" t="s">
        <v>4161</v>
      </c>
      <c r="E2007" s="757">
        <v>1.0416666666666666E-2</v>
      </c>
      <c r="F2007" s="731">
        <v>43915</v>
      </c>
      <c r="G2007" s="730">
        <v>0.71597222222222223</v>
      </c>
      <c r="H2007" s="555" t="s">
        <v>4163</v>
      </c>
      <c r="I2007" s="555" t="s">
        <v>674</v>
      </c>
      <c r="J2007" s="751" t="s">
        <v>3356</v>
      </c>
      <c r="K2007" s="555" t="s">
        <v>100</v>
      </c>
      <c r="L2007" s="555" t="s">
        <v>3055</v>
      </c>
      <c r="M2007" s="555" t="s">
        <v>3055</v>
      </c>
    </row>
    <row r="2008" spans="3:13" ht="18.75">
      <c r="C2008" s="735"/>
      <c r="D2008" s="555" t="s">
        <v>4161</v>
      </c>
      <c r="E2008" s="757">
        <v>0.59375</v>
      </c>
      <c r="F2008" s="731">
        <v>43913</v>
      </c>
      <c r="G2008" s="730">
        <v>0.69236111111111109</v>
      </c>
      <c r="H2008" s="555" t="s">
        <v>3325</v>
      </c>
      <c r="I2008" s="555" t="s">
        <v>63</v>
      </c>
      <c r="J2008" s="751" t="s">
        <v>3463</v>
      </c>
      <c r="K2008" s="555" t="s">
        <v>2343</v>
      </c>
      <c r="L2008" s="555" t="s">
        <v>45</v>
      </c>
      <c r="M2008" s="555" t="s">
        <v>4164</v>
      </c>
    </row>
    <row r="2009" spans="3:13" ht="18.75">
      <c r="C2009" s="735"/>
      <c r="D2009" s="555" t="s">
        <v>4165</v>
      </c>
      <c r="E2009" s="757">
        <v>0.53125</v>
      </c>
      <c r="F2009" s="731">
        <v>43914</v>
      </c>
      <c r="G2009" s="730">
        <v>0.58333333333333337</v>
      </c>
      <c r="H2009" s="555" t="s">
        <v>4166</v>
      </c>
      <c r="I2009" s="555" t="s">
        <v>124</v>
      </c>
      <c r="J2009" s="751" t="s">
        <v>3402</v>
      </c>
      <c r="K2009" s="555" t="s">
        <v>2118</v>
      </c>
      <c r="L2009" s="555" t="s">
        <v>3055</v>
      </c>
      <c r="M2009" s="555" t="s">
        <v>3055</v>
      </c>
    </row>
    <row r="2010" spans="3:13" ht="18.75">
      <c r="C2010" s="735"/>
      <c r="D2010" s="555" t="s">
        <v>4165</v>
      </c>
      <c r="E2010" s="757">
        <v>0.12152777777777778</v>
      </c>
      <c r="F2010" s="731">
        <v>43914</v>
      </c>
      <c r="G2010" s="730">
        <v>0.28472222222222221</v>
      </c>
      <c r="H2010" s="555" t="s">
        <v>3264</v>
      </c>
      <c r="I2010" s="555" t="s">
        <v>61</v>
      </c>
      <c r="J2010" s="751" t="s">
        <v>3451</v>
      </c>
      <c r="K2010" s="555" t="s">
        <v>22</v>
      </c>
      <c r="L2010" s="555" t="s">
        <v>45</v>
      </c>
      <c r="M2010" s="555" t="s">
        <v>4167</v>
      </c>
    </row>
    <row r="2011" spans="3:13" ht="18.75">
      <c r="C2011" s="735"/>
      <c r="D2011" s="555" t="s">
        <v>4162</v>
      </c>
      <c r="E2011" s="757">
        <v>0.4381944444444445</v>
      </c>
      <c r="F2011" s="731" t="s">
        <v>45</v>
      </c>
      <c r="G2011" s="730" t="s">
        <v>45</v>
      </c>
      <c r="H2011" s="555" t="s">
        <v>2817</v>
      </c>
      <c r="I2011" s="555" t="s">
        <v>124</v>
      </c>
      <c r="J2011" s="751" t="s">
        <v>3356</v>
      </c>
      <c r="K2011" s="555" t="s">
        <v>100</v>
      </c>
      <c r="L2011" s="555" t="s">
        <v>3055</v>
      </c>
      <c r="M2011" s="555" t="s">
        <v>3055</v>
      </c>
    </row>
    <row r="2012" spans="3:13" ht="18.75">
      <c r="C2012" s="735"/>
      <c r="D2012" s="555" t="s">
        <v>4168</v>
      </c>
      <c r="E2012" s="757">
        <v>0.89513888888888893</v>
      </c>
      <c r="F2012" s="731">
        <v>43916</v>
      </c>
      <c r="G2012" s="730">
        <v>0.90763888888888899</v>
      </c>
      <c r="H2012" s="555" t="s">
        <v>2895</v>
      </c>
      <c r="I2012" s="555" t="s">
        <v>3143</v>
      </c>
      <c r="J2012" s="751" t="s">
        <v>3411</v>
      </c>
      <c r="K2012" s="555" t="s">
        <v>2483</v>
      </c>
      <c r="L2012" s="555" t="s">
        <v>4136</v>
      </c>
      <c r="M2012" s="555" t="s">
        <v>4169</v>
      </c>
    </row>
    <row r="2013" spans="3:13" ht="18.75">
      <c r="C2013" s="735"/>
      <c r="D2013" s="555" t="s">
        <v>4170</v>
      </c>
      <c r="E2013" s="757">
        <v>0.54583333333333328</v>
      </c>
      <c r="F2013" s="731">
        <v>43917</v>
      </c>
      <c r="G2013" s="730">
        <v>0.58194444444444449</v>
      </c>
      <c r="H2013" s="555" t="s">
        <v>4171</v>
      </c>
      <c r="I2013" s="555" t="s">
        <v>3143</v>
      </c>
      <c r="J2013" s="751" t="s">
        <v>3387</v>
      </c>
      <c r="K2013" s="555" t="s">
        <v>2764</v>
      </c>
      <c r="L2013" s="555" t="s">
        <v>3055</v>
      </c>
      <c r="M2013" s="555" t="s">
        <v>3055</v>
      </c>
    </row>
    <row r="2014" spans="3:13" ht="18.75">
      <c r="C2014" s="735"/>
      <c r="D2014" s="555" t="s">
        <v>4170</v>
      </c>
      <c r="E2014" s="757">
        <v>0.54583333333333328</v>
      </c>
      <c r="F2014" s="731">
        <v>43917</v>
      </c>
      <c r="G2014" s="730">
        <v>0.58194444444444449</v>
      </c>
      <c r="H2014" s="555" t="s">
        <v>4172</v>
      </c>
      <c r="I2014" s="555" t="s">
        <v>3143</v>
      </c>
      <c r="J2014" s="751" t="s">
        <v>3387</v>
      </c>
      <c r="K2014" s="555" t="s">
        <v>2764</v>
      </c>
      <c r="L2014" s="555" t="s">
        <v>3055</v>
      </c>
      <c r="M2014" s="555" t="s">
        <v>3055</v>
      </c>
    </row>
    <row r="2015" spans="3:13" ht="18.75">
      <c r="C2015" s="735"/>
      <c r="D2015" s="555" t="s">
        <v>4173</v>
      </c>
      <c r="E2015" s="757">
        <v>0.8520833333333333</v>
      </c>
      <c r="F2015" s="731">
        <v>43919</v>
      </c>
      <c r="G2015" s="730">
        <v>0.96111111111111114</v>
      </c>
      <c r="H2015" s="555" t="s">
        <v>3850</v>
      </c>
      <c r="I2015" s="555" t="s">
        <v>63</v>
      </c>
      <c r="J2015" s="751" t="s">
        <v>3411</v>
      </c>
      <c r="K2015" s="555" t="s">
        <v>2483</v>
      </c>
      <c r="L2015" s="555" t="s">
        <v>3497</v>
      </c>
      <c r="M2015" s="555" t="s">
        <v>4174</v>
      </c>
    </row>
    <row r="2016" spans="3:13" ht="18.75">
      <c r="C2016" s="735"/>
      <c r="D2016" s="555" t="s">
        <v>4175</v>
      </c>
      <c r="E2016" s="757">
        <v>0.48958333333333331</v>
      </c>
      <c r="F2016" s="731">
        <v>43921</v>
      </c>
      <c r="G2016" s="730">
        <v>0.83333333333333337</v>
      </c>
      <c r="H2016" s="555" t="s">
        <v>3273</v>
      </c>
      <c r="I2016" s="555" t="s">
        <v>63</v>
      </c>
      <c r="J2016" s="751" t="s">
        <v>3451</v>
      </c>
      <c r="K2016" s="555" t="s">
        <v>22</v>
      </c>
      <c r="L2016" s="555" t="s">
        <v>4176</v>
      </c>
      <c r="M2016" s="555" t="s">
        <v>4177</v>
      </c>
    </row>
    <row r="2017" spans="3:13" ht="18.75">
      <c r="C2017" s="735"/>
      <c r="D2017" s="555" t="s">
        <v>4178</v>
      </c>
      <c r="E2017" s="757">
        <v>0.90486111111111101</v>
      </c>
      <c r="F2017" s="731">
        <v>43922</v>
      </c>
      <c r="G2017" s="730">
        <v>0.9291666666666667</v>
      </c>
      <c r="H2017" s="555" t="s">
        <v>4179</v>
      </c>
      <c r="I2017" s="555" t="s">
        <v>63</v>
      </c>
      <c r="J2017" s="751" t="s">
        <v>3387</v>
      </c>
      <c r="K2017" s="555" t="s">
        <v>2764</v>
      </c>
      <c r="L2017" s="555" t="s">
        <v>3055</v>
      </c>
      <c r="M2017" s="555" t="s">
        <v>3055</v>
      </c>
    </row>
    <row r="2018" spans="3:13" ht="18.75">
      <c r="C2018" s="735"/>
      <c r="D2018" s="555" t="s">
        <v>4180</v>
      </c>
      <c r="E2018" s="757">
        <v>0.77847222222222223</v>
      </c>
      <c r="F2018" s="731">
        <v>43923</v>
      </c>
      <c r="G2018" s="730">
        <v>0.80763888888888891</v>
      </c>
      <c r="H2018" s="555" t="s">
        <v>3591</v>
      </c>
      <c r="I2018" s="555" t="s">
        <v>1352</v>
      </c>
      <c r="J2018" s="751" t="s">
        <v>3387</v>
      </c>
      <c r="K2018" s="555" t="s">
        <v>2764</v>
      </c>
      <c r="L2018" s="555" t="s">
        <v>3055</v>
      </c>
      <c r="M2018" s="555" t="s">
        <v>3055</v>
      </c>
    </row>
    <row r="2019" spans="3:13" ht="18.75">
      <c r="C2019" s="735"/>
      <c r="D2019" s="555" t="s">
        <v>4180</v>
      </c>
      <c r="E2019" s="757">
        <v>0.56736111111111109</v>
      </c>
      <c r="F2019" s="731">
        <v>43923</v>
      </c>
      <c r="G2019" s="730">
        <v>0.61319444444444449</v>
      </c>
      <c r="H2019" s="555" t="s">
        <v>4181</v>
      </c>
      <c r="I2019" s="555" t="s">
        <v>674</v>
      </c>
      <c r="J2019" s="751" t="s">
        <v>3411</v>
      </c>
      <c r="K2019" s="555" t="s">
        <v>2483</v>
      </c>
      <c r="L2019" s="555" t="s">
        <v>3432</v>
      </c>
      <c r="M2019" s="555" t="s">
        <v>45</v>
      </c>
    </row>
    <row r="2020" spans="3:13" ht="18.75">
      <c r="C2020" s="735"/>
      <c r="D2020" s="555" t="s">
        <v>4180</v>
      </c>
      <c r="E2020" s="757">
        <v>0.86458333333333337</v>
      </c>
      <c r="F2020" s="731" t="s">
        <v>45</v>
      </c>
      <c r="G2020" s="730" t="s">
        <v>45</v>
      </c>
      <c r="H2020" s="555" t="s">
        <v>4182</v>
      </c>
      <c r="I2020" s="555" t="s">
        <v>124</v>
      </c>
      <c r="J2020" s="751" t="s">
        <v>3463</v>
      </c>
      <c r="K2020" s="555" t="s">
        <v>100</v>
      </c>
      <c r="L2020" s="555" t="s">
        <v>45</v>
      </c>
      <c r="M2020" s="555" t="s">
        <v>45</v>
      </c>
    </row>
    <row r="2021" spans="3:13" ht="18.75">
      <c r="C2021" s="735"/>
      <c r="D2021" s="555" t="s">
        <v>4183</v>
      </c>
      <c r="E2021" s="757">
        <v>0.3840277777777778</v>
      </c>
      <c r="F2021" s="731" t="s">
        <v>45</v>
      </c>
      <c r="G2021" s="730" t="s">
        <v>45</v>
      </c>
      <c r="H2021" s="555" t="s">
        <v>2817</v>
      </c>
      <c r="I2021" s="555" t="s">
        <v>124</v>
      </c>
      <c r="J2021" s="751" t="s">
        <v>3356</v>
      </c>
      <c r="K2021" s="555" t="s">
        <v>100</v>
      </c>
      <c r="L2021" s="555" t="s">
        <v>3055</v>
      </c>
      <c r="M2021" s="555" t="s">
        <v>3055</v>
      </c>
    </row>
    <row r="2022" spans="3:13" ht="18.75">
      <c r="C2022" s="735"/>
      <c r="D2022" s="555" t="s">
        <v>4184</v>
      </c>
      <c r="E2022" s="757">
        <v>0.10416666666666667</v>
      </c>
      <c r="F2022" s="731">
        <v>43926</v>
      </c>
      <c r="G2022" s="730">
        <v>0.12569444444444444</v>
      </c>
      <c r="H2022" s="555" t="s">
        <v>4185</v>
      </c>
      <c r="I2022" s="555" t="s">
        <v>1352</v>
      </c>
      <c r="J2022" s="751" t="s">
        <v>3402</v>
      </c>
      <c r="K2022" s="555" t="s">
        <v>2118</v>
      </c>
      <c r="L2022" s="555" t="s">
        <v>3055</v>
      </c>
      <c r="M2022" s="555" t="s">
        <v>3055</v>
      </c>
    </row>
    <row r="2023" spans="3:13" ht="18.75">
      <c r="C2023" s="735"/>
      <c r="D2023" s="555" t="s">
        <v>4184</v>
      </c>
      <c r="E2023" s="757">
        <v>0.65694444444444444</v>
      </c>
      <c r="F2023" s="731">
        <v>43926</v>
      </c>
      <c r="G2023" s="730">
        <v>0.73263888888888884</v>
      </c>
      <c r="H2023" s="555" t="s">
        <v>2819</v>
      </c>
      <c r="I2023" s="555" t="s">
        <v>124</v>
      </c>
      <c r="J2023" s="751" t="s">
        <v>4071</v>
      </c>
      <c r="K2023" s="555" t="s">
        <v>22</v>
      </c>
      <c r="L2023" s="555" t="s">
        <v>3754</v>
      </c>
      <c r="M2023" s="555" t="s">
        <v>4186</v>
      </c>
    </row>
    <row r="2024" spans="3:13" ht="18.75">
      <c r="C2024" s="735"/>
      <c r="D2024" s="555" t="s">
        <v>4187</v>
      </c>
      <c r="E2024" s="757">
        <v>0.98541666666666661</v>
      </c>
      <c r="F2024" s="731">
        <v>43928</v>
      </c>
      <c r="G2024" s="730">
        <v>0.9902777777777777</v>
      </c>
      <c r="H2024" s="555" t="s">
        <v>2853</v>
      </c>
      <c r="I2024" s="555" t="s">
        <v>124</v>
      </c>
      <c r="J2024" s="751" t="s">
        <v>3411</v>
      </c>
      <c r="K2024" s="555" t="s">
        <v>2483</v>
      </c>
      <c r="L2024" s="555" t="s">
        <v>3055</v>
      </c>
      <c r="M2024" s="555" t="s">
        <v>3055</v>
      </c>
    </row>
    <row r="2025" spans="3:13" ht="18.75">
      <c r="C2025" s="735"/>
      <c r="D2025" s="555" t="s">
        <v>4188</v>
      </c>
      <c r="E2025" s="757">
        <v>0.9145833333333333</v>
      </c>
      <c r="F2025" s="731">
        <v>43930</v>
      </c>
      <c r="G2025" s="730">
        <v>0.3743055555555555</v>
      </c>
      <c r="H2025" s="555" t="s">
        <v>4048</v>
      </c>
      <c r="I2025" s="555" t="s">
        <v>3143</v>
      </c>
      <c r="J2025" s="751" t="s">
        <v>3451</v>
      </c>
      <c r="K2025" s="555" t="s">
        <v>22</v>
      </c>
      <c r="L2025" s="555" t="s">
        <v>45</v>
      </c>
      <c r="M2025" s="555" t="s">
        <v>4190</v>
      </c>
    </row>
    <row r="2026" spans="3:13" ht="18.75">
      <c r="C2026" s="735"/>
      <c r="D2026" s="555" t="s">
        <v>4188</v>
      </c>
      <c r="E2026" s="757">
        <v>0.91875000000000007</v>
      </c>
      <c r="F2026" s="731">
        <v>43930</v>
      </c>
      <c r="G2026" s="730">
        <v>0.31666666666666665</v>
      </c>
      <c r="H2026" s="555" t="s">
        <v>3561</v>
      </c>
      <c r="I2026" s="555" t="s">
        <v>3143</v>
      </c>
      <c r="J2026" s="751" t="s">
        <v>3451</v>
      </c>
      <c r="K2026" s="555" t="s">
        <v>22</v>
      </c>
      <c r="L2026" s="555" t="s">
        <v>45</v>
      </c>
      <c r="M2026" s="555" t="s">
        <v>4034</v>
      </c>
    </row>
    <row r="2027" spans="3:13" ht="18.75">
      <c r="C2027" s="735"/>
      <c r="D2027" s="555" t="s">
        <v>4188</v>
      </c>
      <c r="E2027" s="757">
        <v>5.6250000000000001E-2</v>
      </c>
      <c r="F2027" s="731">
        <v>43929</v>
      </c>
      <c r="G2027" s="730">
        <v>0.16388888888888889</v>
      </c>
      <c r="H2027" s="555" t="s">
        <v>2895</v>
      </c>
      <c r="I2027" s="555" t="s">
        <v>124</v>
      </c>
      <c r="J2027" s="751" t="s">
        <v>3451</v>
      </c>
      <c r="K2027" s="555" t="s">
        <v>22</v>
      </c>
      <c r="L2027" s="555" t="s">
        <v>45</v>
      </c>
      <c r="M2027" s="555" t="s">
        <v>4191</v>
      </c>
    </row>
    <row r="2028" spans="3:13" ht="18.75">
      <c r="C2028" s="735"/>
      <c r="D2028" s="555" t="s">
        <v>4189</v>
      </c>
      <c r="E2028" s="757">
        <v>0.80902777777777779</v>
      </c>
      <c r="F2028" s="731">
        <v>43931</v>
      </c>
      <c r="G2028" s="730">
        <v>0.14583333333333334</v>
      </c>
      <c r="H2028" s="555" t="s">
        <v>2809</v>
      </c>
      <c r="I2028" s="555" t="s">
        <v>1352</v>
      </c>
      <c r="J2028" s="751" t="s">
        <v>3451</v>
      </c>
      <c r="K2028" s="555" t="s">
        <v>22</v>
      </c>
      <c r="L2028" s="555" t="s">
        <v>45</v>
      </c>
      <c r="M2028" s="555" t="s">
        <v>3234</v>
      </c>
    </row>
    <row r="2029" spans="3:13" ht="18.75">
      <c r="C2029" s="735"/>
      <c r="D2029" s="555" t="s">
        <v>4189</v>
      </c>
      <c r="E2029" s="757">
        <v>0.81944444444444453</v>
      </c>
      <c r="F2029" s="731">
        <v>43932</v>
      </c>
      <c r="G2029" s="730">
        <v>0.91666666666666663</v>
      </c>
      <c r="H2029" s="555" t="s">
        <v>2959</v>
      </c>
      <c r="I2029" s="555" t="s">
        <v>61</v>
      </c>
      <c r="J2029" s="751" t="s">
        <v>3451</v>
      </c>
      <c r="K2029" s="555" t="s">
        <v>22</v>
      </c>
      <c r="L2029" s="555" t="s">
        <v>45</v>
      </c>
      <c r="M2029" s="555" t="s">
        <v>3817</v>
      </c>
    </row>
    <row r="2030" spans="3:13" ht="18.75">
      <c r="C2030" s="735"/>
      <c r="D2030" s="555" t="s">
        <v>4189</v>
      </c>
      <c r="E2030" s="757">
        <v>0.31527777777777777</v>
      </c>
      <c r="F2030" s="731">
        <v>43930</v>
      </c>
      <c r="G2030" s="730">
        <v>0.73611111111111116</v>
      </c>
      <c r="H2030" s="555" t="s">
        <v>3872</v>
      </c>
      <c r="I2030" s="555" t="s">
        <v>3143</v>
      </c>
      <c r="J2030" s="751" t="s">
        <v>3447</v>
      </c>
      <c r="K2030" s="555" t="s">
        <v>2764</v>
      </c>
      <c r="L2030" s="555" t="s">
        <v>3055</v>
      </c>
      <c r="M2030" s="555" t="s">
        <v>3055</v>
      </c>
    </row>
    <row r="2031" spans="3:13" ht="18.75">
      <c r="C2031" s="735"/>
      <c r="D2031" s="555" t="s">
        <v>4192</v>
      </c>
      <c r="E2031" s="757">
        <v>0.41666666666666669</v>
      </c>
      <c r="F2031" s="731">
        <v>43931</v>
      </c>
      <c r="G2031" s="730">
        <v>0.67986111111111114</v>
      </c>
      <c r="H2031" s="555" t="s">
        <v>2959</v>
      </c>
      <c r="I2031" s="555" t="s">
        <v>61</v>
      </c>
      <c r="J2031" s="751" t="s">
        <v>3387</v>
      </c>
      <c r="K2031" s="555" t="s">
        <v>2764</v>
      </c>
      <c r="L2031" s="555" t="s">
        <v>3055</v>
      </c>
      <c r="M2031" s="555" t="s">
        <v>3055</v>
      </c>
    </row>
    <row r="2032" spans="3:13" ht="18.75">
      <c r="C2032" s="735"/>
      <c r="D2032" s="555" t="s">
        <v>4192</v>
      </c>
      <c r="E2032" s="757">
        <v>0.66666666666666663</v>
      </c>
      <c r="F2032" s="731" t="s">
        <v>45</v>
      </c>
      <c r="G2032" s="730" t="s">
        <v>45</v>
      </c>
      <c r="H2032" s="555" t="s">
        <v>4194</v>
      </c>
      <c r="I2032" s="555" t="s">
        <v>124</v>
      </c>
      <c r="J2032" s="751" t="s">
        <v>3356</v>
      </c>
      <c r="K2032" s="555" t="s">
        <v>100</v>
      </c>
      <c r="L2032" s="555" t="s">
        <v>3055</v>
      </c>
      <c r="M2032" s="555" t="s">
        <v>3055</v>
      </c>
    </row>
    <row r="2033" spans="3:13" ht="18.75">
      <c r="C2033" s="735"/>
      <c r="D2033" s="555" t="s">
        <v>4193</v>
      </c>
      <c r="E2033" s="757">
        <v>0.47500000000000003</v>
      </c>
      <c r="F2033" s="731">
        <v>43932</v>
      </c>
      <c r="G2033" s="730">
        <v>0.48749999999999999</v>
      </c>
      <c r="H2033" s="555" t="s">
        <v>4195</v>
      </c>
      <c r="I2033" s="555" t="s">
        <v>124</v>
      </c>
      <c r="J2033" s="751" t="s">
        <v>3411</v>
      </c>
      <c r="K2033" s="555" t="s">
        <v>2483</v>
      </c>
      <c r="L2033" s="555" t="s">
        <v>3055</v>
      </c>
      <c r="M2033" s="555" t="s">
        <v>3055</v>
      </c>
    </row>
    <row r="2034" spans="3:13" ht="18.75">
      <c r="C2034" s="735"/>
      <c r="D2034" s="555" t="s">
        <v>4193</v>
      </c>
      <c r="E2034" s="757">
        <v>0.73611111111111116</v>
      </c>
      <c r="F2034" s="731">
        <v>43932</v>
      </c>
      <c r="G2034" s="730">
        <v>0.74375000000000002</v>
      </c>
      <c r="H2034" s="555" t="s">
        <v>4196</v>
      </c>
      <c r="I2034" s="555" t="s">
        <v>124</v>
      </c>
      <c r="J2034" s="751" t="s">
        <v>3463</v>
      </c>
      <c r="K2034" s="555" t="s">
        <v>2118</v>
      </c>
      <c r="L2034" s="555" t="s">
        <v>45</v>
      </c>
      <c r="M2034" s="555" t="s">
        <v>45</v>
      </c>
    </row>
    <row r="2035" spans="3:13" ht="18.75">
      <c r="C2035" s="735"/>
      <c r="D2035" s="555" t="s">
        <v>4197</v>
      </c>
      <c r="E2035" s="757">
        <v>0.86458333333333337</v>
      </c>
      <c r="F2035" s="731" t="s">
        <v>45</v>
      </c>
      <c r="G2035" s="730" t="s">
        <v>45</v>
      </c>
      <c r="H2035" s="555" t="s">
        <v>3405</v>
      </c>
      <c r="I2035" s="555" t="s">
        <v>3347</v>
      </c>
      <c r="J2035" s="751" t="s">
        <v>3451</v>
      </c>
      <c r="K2035" s="555" t="s">
        <v>22</v>
      </c>
      <c r="L2035" s="555" t="s">
        <v>45</v>
      </c>
      <c r="M2035" s="555" t="s">
        <v>4198</v>
      </c>
    </row>
    <row r="2036" spans="3:13" ht="18.75">
      <c r="C2036" s="735"/>
      <c r="D2036" s="555" t="s">
        <v>4197</v>
      </c>
      <c r="E2036" s="757">
        <v>0.54166666666666663</v>
      </c>
      <c r="F2036" s="731">
        <v>43933</v>
      </c>
      <c r="G2036" s="730">
        <v>0.81041666666666667</v>
      </c>
      <c r="H2036" s="555" t="s">
        <v>4199</v>
      </c>
      <c r="I2036" s="555" t="s">
        <v>63</v>
      </c>
      <c r="J2036" s="751" t="s">
        <v>3387</v>
      </c>
      <c r="K2036" s="555" t="s">
        <v>22</v>
      </c>
      <c r="L2036" s="555" t="s">
        <v>4200</v>
      </c>
      <c r="M2036" s="555" t="s">
        <v>4201</v>
      </c>
    </row>
    <row r="2037" spans="3:13" ht="18.75">
      <c r="C2037" s="735"/>
      <c r="D2037" s="555" t="s">
        <v>4197</v>
      </c>
      <c r="E2037" s="757">
        <v>0.85416666666666663</v>
      </c>
      <c r="F2037" s="731">
        <v>43935</v>
      </c>
      <c r="G2037" s="730">
        <v>0.375</v>
      </c>
      <c r="H2037" s="555" t="s">
        <v>3405</v>
      </c>
      <c r="I2037" s="555" t="s">
        <v>3347</v>
      </c>
      <c r="J2037" s="751" t="s">
        <v>3451</v>
      </c>
      <c r="K2037" s="555" t="s">
        <v>22</v>
      </c>
      <c r="L2037" s="555" t="s">
        <v>45</v>
      </c>
      <c r="M2037" s="555" t="s">
        <v>4203</v>
      </c>
    </row>
    <row r="2038" spans="3:13" ht="18.75">
      <c r="C2038" s="735"/>
      <c r="D2038" s="555" t="s">
        <v>4197</v>
      </c>
      <c r="E2038" s="757">
        <v>0.89444444444444438</v>
      </c>
      <c r="F2038" s="731">
        <v>43936</v>
      </c>
      <c r="G2038" s="730">
        <v>0.5</v>
      </c>
      <c r="H2038" s="555" t="s">
        <v>3256</v>
      </c>
      <c r="I2038" s="555" t="s">
        <v>3143</v>
      </c>
      <c r="J2038" s="751" t="s">
        <v>3451</v>
      </c>
      <c r="K2038" s="555" t="s">
        <v>22</v>
      </c>
      <c r="L2038" s="555" t="s">
        <v>45</v>
      </c>
      <c r="M2038" s="555" t="s">
        <v>3564</v>
      </c>
    </row>
    <row r="2039" spans="3:13" ht="18.75">
      <c r="C2039" s="735"/>
      <c r="D2039" s="555" t="s">
        <v>4197</v>
      </c>
      <c r="E2039" s="757">
        <v>0.70833333333333337</v>
      </c>
      <c r="F2039" s="731">
        <v>43935</v>
      </c>
      <c r="G2039" s="730">
        <v>5.9027777777777783E-2</v>
      </c>
      <c r="H2039" s="555" t="s">
        <v>4205</v>
      </c>
      <c r="I2039" s="555" t="s">
        <v>63</v>
      </c>
      <c r="J2039" s="751" t="s">
        <v>3451</v>
      </c>
      <c r="K2039" s="555" t="s">
        <v>22</v>
      </c>
      <c r="L2039" s="555" t="s">
        <v>4206</v>
      </c>
      <c r="M2039" s="555" t="s">
        <v>4207</v>
      </c>
    </row>
    <row r="2040" spans="3:13" ht="18.75">
      <c r="C2040" s="735"/>
      <c r="D2040" s="555" t="s">
        <v>4197</v>
      </c>
      <c r="E2040" s="757">
        <v>0.75902777777777775</v>
      </c>
      <c r="F2040" s="731">
        <v>43934</v>
      </c>
      <c r="G2040" s="730">
        <v>0.64097222222222217</v>
      </c>
      <c r="H2040" s="555" t="s">
        <v>2919</v>
      </c>
      <c r="I2040" s="555" t="s">
        <v>1352</v>
      </c>
      <c r="J2040" s="751" t="s">
        <v>3451</v>
      </c>
      <c r="K2040" s="555" t="s">
        <v>22</v>
      </c>
      <c r="L2040" s="555" t="s">
        <v>45</v>
      </c>
      <c r="M2040" s="555" t="s">
        <v>4209</v>
      </c>
    </row>
    <row r="2041" spans="3:13" ht="18.75">
      <c r="C2041" s="735"/>
      <c r="D2041" s="555" t="s">
        <v>4208</v>
      </c>
      <c r="E2041" s="757">
        <v>0.14583333333333334</v>
      </c>
      <c r="F2041" s="731">
        <v>43935</v>
      </c>
      <c r="G2041" s="730">
        <v>0.76250000000000007</v>
      </c>
      <c r="H2041" s="555" t="s">
        <v>2832</v>
      </c>
      <c r="I2041" s="555" t="s">
        <v>63</v>
      </c>
      <c r="J2041" s="751" t="s">
        <v>3451</v>
      </c>
      <c r="K2041" s="555" t="s">
        <v>22</v>
      </c>
      <c r="L2041" s="555" t="s">
        <v>45</v>
      </c>
      <c r="M2041" s="555" t="s">
        <v>4210</v>
      </c>
    </row>
    <row r="2042" spans="3:13" ht="18.75">
      <c r="C2042" s="735"/>
      <c r="D2042" s="555" t="s">
        <v>4208</v>
      </c>
      <c r="E2042" s="757">
        <v>3.125E-2</v>
      </c>
      <c r="F2042" s="731">
        <v>43934</v>
      </c>
      <c r="G2042" s="730">
        <v>0.125</v>
      </c>
      <c r="H2042" s="555" t="s">
        <v>4072</v>
      </c>
      <c r="I2042" s="555" t="s">
        <v>63</v>
      </c>
      <c r="J2042" s="751" t="s">
        <v>3451</v>
      </c>
      <c r="K2042" s="555" t="s">
        <v>22</v>
      </c>
      <c r="L2042" s="555" t="s">
        <v>45</v>
      </c>
      <c r="M2042" s="555" t="s">
        <v>3263</v>
      </c>
    </row>
    <row r="2043" spans="3:13" ht="18.75">
      <c r="C2043" s="735"/>
      <c r="D2043" s="555" t="s">
        <v>4208</v>
      </c>
      <c r="E2043" s="757">
        <v>0.33888888888888885</v>
      </c>
      <c r="F2043" s="731" t="s">
        <v>45</v>
      </c>
      <c r="G2043" s="730" t="s">
        <v>45</v>
      </c>
      <c r="H2043" s="555" t="s">
        <v>2896</v>
      </c>
      <c r="I2043" s="555" t="s">
        <v>63</v>
      </c>
      <c r="J2043" s="751" t="s">
        <v>3451</v>
      </c>
      <c r="K2043" s="555" t="s">
        <v>22</v>
      </c>
      <c r="L2043" s="555" t="s">
        <v>45</v>
      </c>
      <c r="M2043" s="555" t="s">
        <v>4211</v>
      </c>
    </row>
    <row r="2044" spans="3:13" ht="18.75">
      <c r="C2044" s="735"/>
      <c r="D2044" s="555" t="s">
        <v>4208</v>
      </c>
      <c r="E2044" s="757">
        <v>0.43402777777777773</v>
      </c>
      <c r="F2044" s="731">
        <v>43934</v>
      </c>
      <c r="G2044" s="730">
        <v>0.78819444444444453</v>
      </c>
      <c r="H2044" s="555" t="s">
        <v>2928</v>
      </c>
      <c r="I2044" s="555" t="s">
        <v>63</v>
      </c>
      <c r="J2044" s="751" t="s">
        <v>3451</v>
      </c>
      <c r="K2044" s="555" t="s">
        <v>22</v>
      </c>
      <c r="L2044" s="555" t="s">
        <v>45</v>
      </c>
      <c r="M2044" s="555" t="s">
        <v>3234</v>
      </c>
    </row>
    <row r="2045" spans="3:13" ht="18.75">
      <c r="C2045" s="735"/>
      <c r="D2045" s="555" t="s">
        <v>4208</v>
      </c>
      <c r="E2045" s="757">
        <v>0.54513888888888895</v>
      </c>
      <c r="F2045" s="731">
        <v>43935</v>
      </c>
      <c r="G2045" s="730">
        <v>0.66666666666666663</v>
      </c>
      <c r="H2045" s="555" t="s">
        <v>2984</v>
      </c>
      <c r="I2045" s="555" t="s">
        <v>61</v>
      </c>
      <c r="J2045" s="751" t="s">
        <v>3451</v>
      </c>
      <c r="K2045" s="555" t="s">
        <v>22</v>
      </c>
      <c r="L2045" s="555" t="s">
        <v>45</v>
      </c>
      <c r="M2045" s="555" t="s">
        <v>4212</v>
      </c>
    </row>
    <row r="2046" spans="3:13" ht="18.75">
      <c r="C2046" s="735"/>
      <c r="D2046" s="555" t="s">
        <v>4208</v>
      </c>
      <c r="E2046" s="757">
        <v>0.31319444444444444</v>
      </c>
      <c r="F2046" s="731">
        <v>43934</v>
      </c>
      <c r="G2046" s="730">
        <v>0.58333333333333337</v>
      </c>
      <c r="H2046" s="555" t="s">
        <v>2832</v>
      </c>
      <c r="I2046" s="555" t="s">
        <v>63</v>
      </c>
      <c r="J2046" s="751" t="s">
        <v>3451</v>
      </c>
      <c r="K2046" s="555" t="s">
        <v>22</v>
      </c>
      <c r="L2046" s="555" t="s">
        <v>45</v>
      </c>
      <c r="M2046" s="555" t="s">
        <v>45</v>
      </c>
    </row>
    <row r="2047" spans="3:13" ht="18.75">
      <c r="C2047" s="735"/>
      <c r="D2047" s="555" t="s">
        <v>4213</v>
      </c>
      <c r="E2047" s="757">
        <v>0.47916666666666669</v>
      </c>
      <c r="F2047" s="731">
        <v>43937</v>
      </c>
      <c r="G2047" s="730">
        <v>0.65625</v>
      </c>
      <c r="H2047" s="555" t="s">
        <v>2904</v>
      </c>
      <c r="I2047" s="555" t="s">
        <v>63</v>
      </c>
      <c r="J2047" s="751" t="s">
        <v>3356</v>
      </c>
      <c r="K2047" s="555" t="s">
        <v>100</v>
      </c>
      <c r="L2047" s="555" t="s">
        <v>3055</v>
      </c>
      <c r="M2047" s="555" t="s">
        <v>3055</v>
      </c>
    </row>
    <row r="2048" spans="3:13" ht="18.75">
      <c r="C2048" s="735"/>
      <c r="D2048" s="555" t="s">
        <v>4214</v>
      </c>
      <c r="E2048" s="757">
        <v>0.81805555555555554</v>
      </c>
      <c r="F2048" s="731" t="s">
        <v>45</v>
      </c>
      <c r="G2048" s="730" t="s">
        <v>45</v>
      </c>
      <c r="H2048" s="555" t="s">
        <v>3795</v>
      </c>
      <c r="I2048" s="555" t="s">
        <v>124</v>
      </c>
      <c r="J2048" s="751" t="s">
        <v>3356</v>
      </c>
      <c r="K2048" s="555" t="s">
        <v>100</v>
      </c>
      <c r="L2048" s="555" t="s">
        <v>3055</v>
      </c>
      <c r="M2048" s="555" t="s">
        <v>3055</v>
      </c>
    </row>
    <row r="2049" spans="3:13" ht="18.75">
      <c r="C2049" s="735"/>
      <c r="D2049" s="555" t="s">
        <v>4215</v>
      </c>
      <c r="E2049" s="757">
        <v>5.1388888888888894E-2</v>
      </c>
      <c r="F2049" s="731">
        <v>43941</v>
      </c>
      <c r="G2049" s="730">
        <v>0.48749999999999999</v>
      </c>
      <c r="H2049" s="555" t="s">
        <v>4057</v>
      </c>
      <c r="I2049" s="555" t="s">
        <v>674</v>
      </c>
      <c r="J2049" s="751" t="s">
        <v>3402</v>
      </c>
      <c r="K2049" s="555" t="s">
        <v>2118</v>
      </c>
      <c r="L2049" s="555" t="s">
        <v>3055</v>
      </c>
      <c r="M2049" s="555" t="s">
        <v>3055</v>
      </c>
    </row>
    <row r="2050" spans="3:13" ht="18.75">
      <c r="C2050" s="735"/>
      <c r="D2050" s="555" t="s">
        <v>4216</v>
      </c>
      <c r="E2050" s="757">
        <v>0.52916666666666667</v>
      </c>
      <c r="F2050" s="731">
        <v>43941</v>
      </c>
      <c r="G2050" s="730">
        <v>0.56041666666666667</v>
      </c>
      <c r="H2050" s="555" t="s">
        <v>4217</v>
      </c>
      <c r="I2050" s="555" t="s">
        <v>674</v>
      </c>
      <c r="J2050" s="751" t="s">
        <v>3356</v>
      </c>
      <c r="K2050" s="555" t="s">
        <v>100</v>
      </c>
      <c r="L2050" s="555" t="s">
        <v>3055</v>
      </c>
      <c r="M2050" s="555" t="s">
        <v>3055</v>
      </c>
    </row>
    <row r="2051" spans="3:13" ht="18.75">
      <c r="C2051" s="735"/>
      <c r="D2051" s="555" t="s">
        <v>4216</v>
      </c>
      <c r="E2051" s="757">
        <v>4.0972222222222222E-2</v>
      </c>
      <c r="F2051" s="731">
        <v>43941</v>
      </c>
      <c r="G2051" s="730">
        <v>0.3611111111111111</v>
      </c>
      <c r="H2051" s="555" t="s">
        <v>3745</v>
      </c>
      <c r="I2051" s="555" t="s">
        <v>63</v>
      </c>
      <c r="J2051" s="751" t="s">
        <v>3451</v>
      </c>
      <c r="K2051" s="555" t="s">
        <v>22</v>
      </c>
      <c r="L2051" s="555" t="s">
        <v>4218</v>
      </c>
      <c r="M2051" s="555" t="s">
        <v>4219</v>
      </c>
    </row>
    <row r="2052" spans="3:13" ht="18.75">
      <c r="C2052" s="735"/>
      <c r="D2052" s="555" t="s">
        <v>4220</v>
      </c>
      <c r="E2052" s="757">
        <v>0.1875</v>
      </c>
      <c r="F2052" s="731">
        <v>43944</v>
      </c>
      <c r="G2052" s="730">
        <v>0.29166666666666669</v>
      </c>
      <c r="H2052" s="555" t="s">
        <v>4221</v>
      </c>
      <c r="I2052" s="555" t="s">
        <v>63</v>
      </c>
      <c r="J2052" s="751" t="s">
        <v>3451</v>
      </c>
      <c r="K2052" s="555" t="s">
        <v>22</v>
      </c>
      <c r="L2052" s="555" t="s">
        <v>45</v>
      </c>
      <c r="M2052" s="555" t="s">
        <v>4222</v>
      </c>
    </row>
    <row r="2053" spans="3:13" ht="18.75">
      <c r="C2053" s="735"/>
      <c r="D2053" s="555" t="s">
        <v>4220</v>
      </c>
      <c r="E2053" s="757">
        <v>0.33333333333333331</v>
      </c>
      <c r="F2053" s="731">
        <v>43944</v>
      </c>
      <c r="G2053" s="730">
        <v>0.98611111111111116</v>
      </c>
      <c r="H2053" s="555" t="s">
        <v>2974</v>
      </c>
      <c r="I2053" s="555" t="s">
        <v>63</v>
      </c>
      <c r="J2053" s="751" t="s">
        <v>3451</v>
      </c>
      <c r="K2053" s="555" t="s">
        <v>22</v>
      </c>
      <c r="L2053" s="555" t="s">
        <v>4223</v>
      </c>
      <c r="M2053" s="555" t="s">
        <v>4224</v>
      </c>
    </row>
    <row r="2054" spans="3:13" ht="18.75">
      <c r="C2054" s="735"/>
      <c r="D2054" s="555" t="s">
        <v>4225</v>
      </c>
      <c r="E2054" s="757">
        <v>0.91666666666666663</v>
      </c>
      <c r="F2054" s="731" t="s">
        <v>45</v>
      </c>
      <c r="G2054" s="730" t="s">
        <v>45</v>
      </c>
      <c r="H2054" s="555" t="s">
        <v>4194</v>
      </c>
      <c r="I2054" s="555" t="s">
        <v>124</v>
      </c>
      <c r="J2054" s="751" t="s">
        <v>3356</v>
      </c>
      <c r="K2054" s="555" t="s">
        <v>100</v>
      </c>
      <c r="L2054" s="555" t="s">
        <v>3055</v>
      </c>
      <c r="M2054" s="555" t="s">
        <v>3055</v>
      </c>
    </row>
    <row r="2055" spans="3:13" ht="18.75">
      <c r="C2055" s="735"/>
      <c r="D2055" s="555" t="s">
        <v>4225</v>
      </c>
      <c r="E2055" s="757">
        <v>0.875</v>
      </c>
      <c r="F2055" s="731">
        <v>43945</v>
      </c>
      <c r="G2055" s="730">
        <v>0.8979166666666667</v>
      </c>
      <c r="H2055" s="555" t="s">
        <v>4226</v>
      </c>
      <c r="I2055" s="555" t="s">
        <v>124</v>
      </c>
      <c r="J2055" s="751" t="s">
        <v>4071</v>
      </c>
      <c r="K2055" s="555" t="s">
        <v>2764</v>
      </c>
      <c r="L2055" s="555" t="s">
        <v>3432</v>
      </c>
      <c r="M2055" s="555" t="s">
        <v>4227</v>
      </c>
    </row>
    <row r="2056" spans="3:13" ht="18.75">
      <c r="C2056" s="735"/>
      <c r="D2056" s="555" t="s">
        <v>4228</v>
      </c>
      <c r="E2056" s="757">
        <v>0.89236111111111116</v>
      </c>
      <c r="F2056" s="731">
        <v>43946</v>
      </c>
      <c r="G2056" s="730">
        <v>0.91388888888888886</v>
      </c>
      <c r="H2056" s="555" t="s">
        <v>2947</v>
      </c>
      <c r="I2056" s="555" t="s">
        <v>124</v>
      </c>
      <c r="J2056" s="751" t="s">
        <v>3356</v>
      </c>
      <c r="K2056" s="555" t="s">
        <v>100</v>
      </c>
      <c r="L2056" s="555" t="s">
        <v>3055</v>
      </c>
      <c r="M2056" s="555" t="s">
        <v>3055</v>
      </c>
    </row>
    <row r="2057" spans="3:13" ht="18.75">
      <c r="C2057" s="735"/>
      <c r="D2057" s="555" t="s">
        <v>4229</v>
      </c>
      <c r="E2057" s="757">
        <v>6.805555555555555E-2</v>
      </c>
      <c r="F2057" s="731" t="s">
        <v>45</v>
      </c>
      <c r="G2057" s="730" t="s">
        <v>45</v>
      </c>
      <c r="H2057" s="555" t="s">
        <v>2901</v>
      </c>
      <c r="I2057" s="555" t="s">
        <v>301</v>
      </c>
      <c r="J2057" s="751" t="s">
        <v>3451</v>
      </c>
      <c r="K2057" s="555" t="s">
        <v>22</v>
      </c>
      <c r="L2057" s="555" t="s">
        <v>45</v>
      </c>
      <c r="M2057" s="555" t="s">
        <v>3336</v>
      </c>
    </row>
    <row r="2058" spans="3:13" ht="18.75">
      <c r="C2058" s="735"/>
      <c r="D2058" s="555" t="s">
        <v>4230</v>
      </c>
      <c r="E2058" s="757">
        <v>0.8340277777777777</v>
      </c>
      <c r="F2058" s="731">
        <v>43949</v>
      </c>
      <c r="G2058" s="730">
        <v>0.97291666666666676</v>
      </c>
      <c r="H2058" s="555" t="s">
        <v>4231</v>
      </c>
      <c r="I2058" s="555" t="s">
        <v>1352</v>
      </c>
      <c r="J2058" s="751" t="s">
        <v>3411</v>
      </c>
      <c r="K2058" s="555" t="s">
        <v>2483</v>
      </c>
      <c r="L2058" s="555" t="s">
        <v>4232</v>
      </c>
      <c r="M2058" s="555" t="s">
        <v>3081</v>
      </c>
    </row>
    <row r="2059" spans="3:13" ht="18.75">
      <c r="C2059" s="735"/>
      <c r="D2059" s="555" t="s">
        <v>4233</v>
      </c>
      <c r="E2059" s="757">
        <v>0.25</v>
      </c>
      <c r="F2059" s="731">
        <v>43950</v>
      </c>
      <c r="G2059" s="730">
        <v>0.52152777777777781</v>
      </c>
      <c r="H2059" s="555" t="s">
        <v>2866</v>
      </c>
      <c r="I2059" s="555" t="s">
        <v>63</v>
      </c>
      <c r="J2059" s="751" t="s">
        <v>3451</v>
      </c>
      <c r="K2059" s="555" t="s">
        <v>22</v>
      </c>
      <c r="L2059" s="555" t="s">
        <v>45</v>
      </c>
      <c r="M2059" s="555" t="s">
        <v>4234</v>
      </c>
    </row>
    <row r="2060" spans="3:13" ht="18.75">
      <c r="C2060" s="735"/>
      <c r="D2060" s="555" t="s">
        <v>4233</v>
      </c>
      <c r="E2060" s="757">
        <v>0.24652777777777779</v>
      </c>
      <c r="F2060" s="731">
        <v>43950</v>
      </c>
      <c r="G2060" s="730">
        <v>0.79166666666666663</v>
      </c>
      <c r="H2060" s="555" t="s">
        <v>2809</v>
      </c>
      <c r="I2060" s="555" t="s">
        <v>1352</v>
      </c>
      <c r="J2060" s="751" t="s">
        <v>3451</v>
      </c>
      <c r="K2060" s="555" t="s">
        <v>22</v>
      </c>
      <c r="L2060" s="555" t="s">
        <v>45</v>
      </c>
      <c r="M2060" s="555" t="s">
        <v>4235</v>
      </c>
    </row>
    <row r="2061" spans="3:13" ht="18.75">
      <c r="C2061" s="735"/>
      <c r="D2061" s="555" t="s">
        <v>4236</v>
      </c>
      <c r="E2061" s="757">
        <v>0.625</v>
      </c>
      <c r="F2061" s="731" t="s">
        <v>45</v>
      </c>
      <c r="G2061" s="730" t="s">
        <v>45</v>
      </c>
      <c r="H2061" s="555" t="s">
        <v>4237</v>
      </c>
      <c r="I2061" s="555" t="s">
        <v>3143</v>
      </c>
      <c r="J2061" s="751" t="s">
        <v>3451</v>
      </c>
      <c r="K2061" s="555" t="s">
        <v>22</v>
      </c>
      <c r="L2061" s="555" t="s">
        <v>45</v>
      </c>
      <c r="M2061" s="555" t="s">
        <v>4238</v>
      </c>
    </row>
    <row r="2062" spans="3:13" ht="18.75">
      <c r="C2062" s="735"/>
      <c r="D2062" s="555" t="s">
        <v>4239</v>
      </c>
      <c r="E2062" s="757">
        <v>0.4993055555555555</v>
      </c>
      <c r="F2062" s="731">
        <v>43958</v>
      </c>
      <c r="G2062" s="730">
        <v>0.83333333333333337</v>
      </c>
      <c r="H2062" s="555" t="s">
        <v>4241</v>
      </c>
      <c r="I2062" s="555" t="s">
        <v>63</v>
      </c>
      <c r="J2062" s="751" t="s">
        <v>3451</v>
      </c>
      <c r="K2062" s="555" t="s">
        <v>22</v>
      </c>
      <c r="L2062" s="555" t="s">
        <v>3198</v>
      </c>
      <c r="M2062" s="555" t="s">
        <v>4098</v>
      </c>
    </row>
    <row r="2063" spans="3:13" ht="18.75">
      <c r="C2063" s="735"/>
      <c r="D2063" s="555" t="s">
        <v>4242</v>
      </c>
      <c r="E2063" s="757">
        <v>0.57291666666666663</v>
      </c>
      <c r="F2063" s="731">
        <v>43959</v>
      </c>
      <c r="G2063" s="730">
        <v>0.57361111111111118</v>
      </c>
      <c r="H2063" s="555" t="s">
        <v>3420</v>
      </c>
      <c r="I2063" s="555" t="s">
        <v>124</v>
      </c>
      <c r="J2063" s="751" t="s">
        <v>3356</v>
      </c>
      <c r="K2063" s="555" t="s">
        <v>100</v>
      </c>
      <c r="L2063" s="555" t="s">
        <v>3055</v>
      </c>
      <c r="M2063" s="555" t="s">
        <v>3055</v>
      </c>
    </row>
    <row r="2064" spans="3:13" ht="18.75">
      <c r="C2064" s="735"/>
      <c r="D2064" s="555" t="s">
        <v>4243</v>
      </c>
      <c r="E2064" s="757">
        <v>0.96944444444444444</v>
      </c>
      <c r="F2064" s="731">
        <v>43965</v>
      </c>
      <c r="G2064" s="730">
        <v>0.57777777777777783</v>
      </c>
      <c r="H2064" s="555" t="s">
        <v>4245</v>
      </c>
      <c r="I2064" s="555" t="s">
        <v>3143</v>
      </c>
      <c r="J2064" s="751" t="s">
        <v>3447</v>
      </c>
      <c r="K2064" s="555" t="s">
        <v>2764</v>
      </c>
      <c r="L2064" s="555" t="s">
        <v>3055</v>
      </c>
      <c r="M2064" s="555" t="s">
        <v>3055</v>
      </c>
    </row>
    <row r="2065" spans="3:13" ht="18.75">
      <c r="C2065" s="735"/>
      <c r="D2065" s="555" t="s">
        <v>4243</v>
      </c>
      <c r="E2065" s="757">
        <v>0.21666666666666667</v>
      </c>
      <c r="F2065" s="731">
        <v>43964</v>
      </c>
      <c r="G2065" s="730">
        <v>0.58819444444444446</v>
      </c>
      <c r="H2065" s="555" t="s">
        <v>2853</v>
      </c>
      <c r="I2065" s="555" t="s">
        <v>124</v>
      </c>
      <c r="J2065" s="751" t="s">
        <v>3411</v>
      </c>
      <c r="K2065" s="555" t="s">
        <v>2483</v>
      </c>
      <c r="L2065" s="555" t="s">
        <v>3055</v>
      </c>
      <c r="M2065" s="555" t="s">
        <v>3055</v>
      </c>
    </row>
    <row r="2066" spans="3:13" ht="18.75">
      <c r="C2066" s="735"/>
      <c r="D2066" s="555" t="s">
        <v>4244</v>
      </c>
      <c r="E2066" s="757">
        <v>0.47430555555555554</v>
      </c>
      <c r="F2066" s="731">
        <v>43965</v>
      </c>
      <c r="G2066" s="730">
        <v>0.47569444444444442</v>
      </c>
      <c r="H2066" s="555" t="s">
        <v>4246</v>
      </c>
      <c r="I2066" s="555" t="s">
        <v>124</v>
      </c>
      <c r="J2066" s="751" t="s">
        <v>3463</v>
      </c>
      <c r="K2066" s="555" t="s">
        <v>100</v>
      </c>
      <c r="L2066" s="555" t="s">
        <v>3055</v>
      </c>
      <c r="M2066" s="555" t="s">
        <v>3055</v>
      </c>
    </row>
    <row r="2067" spans="3:13" ht="18.75">
      <c r="C2067" s="735"/>
      <c r="D2067" s="555" t="s">
        <v>4247</v>
      </c>
      <c r="E2067" s="757">
        <v>0.74652777777777779</v>
      </c>
      <c r="F2067" s="731">
        <v>43968</v>
      </c>
      <c r="G2067" s="730">
        <v>0.75</v>
      </c>
      <c r="H2067" s="555" t="s">
        <v>3174</v>
      </c>
      <c r="I2067" s="555" t="s">
        <v>61</v>
      </c>
      <c r="J2067" s="751" t="s">
        <v>3451</v>
      </c>
      <c r="K2067" s="555" t="s">
        <v>22</v>
      </c>
      <c r="L2067" s="555" t="s">
        <v>45</v>
      </c>
      <c r="M2067" s="555" t="s">
        <v>4249</v>
      </c>
    </row>
    <row r="2068" spans="3:13" ht="18.75">
      <c r="C2068" s="735"/>
      <c r="D2068" s="555" t="s">
        <v>4250</v>
      </c>
      <c r="E2068" s="757">
        <v>0</v>
      </c>
      <c r="F2068" s="731">
        <v>43967</v>
      </c>
      <c r="G2068" s="730">
        <v>2.0833333333333332E-2</v>
      </c>
      <c r="H2068" s="555" t="s">
        <v>4185</v>
      </c>
      <c r="I2068" s="555" t="s">
        <v>1352</v>
      </c>
      <c r="J2068" s="751" t="s">
        <v>3402</v>
      </c>
      <c r="K2068" s="555" t="s">
        <v>2118</v>
      </c>
      <c r="L2068" s="555" t="s">
        <v>3055</v>
      </c>
      <c r="M2068" s="555" t="s">
        <v>3055</v>
      </c>
    </row>
    <row r="2069" spans="3:13" ht="18.75">
      <c r="C2069" s="735"/>
      <c r="D2069" s="555" t="s">
        <v>4251</v>
      </c>
      <c r="E2069" s="757">
        <v>0.99375000000000002</v>
      </c>
      <c r="F2069" s="731">
        <v>43970</v>
      </c>
      <c r="G2069" s="730">
        <v>0.19236111111111112</v>
      </c>
      <c r="H2069" s="555" t="s">
        <v>2896</v>
      </c>
      <c r="I2069" s="555" t="s">
        <v>63</v>
      </c>
      <c r="J2069" s="751" t="s">
        <v>3387</v>
      </c>
      <c r="K2069" s="555" t="s">
        <v>2764</v>
      </c>
      <c r="L2069" s="555" t="s">
        <v>3055</v>
      </c>
      <c r="M2069" s="555" t="s">
        <v>3055</v>
      </c>
    </row>
    <row r="2070" spans="3:13" ht="18.75">
      <c r="C2070" s="735"/>
      <c r="D2070" s="555" t="s">
        <v>4251</v>
      </c>
      <c r="E2070" s="757">
        <v>0.39374999999999999</v>
      </c>
      <c r="F2070" s="731">
        <v>43969</v>
      </c>
      <c r="G2070" s="730">
        <v>0.42708333333333331</v>
      </c>
      <c r="H2070" s="555" t="s">
        <v>4119</v>
      </c>
      <c r="I2070" s="555" t="s">
        <v>124</v>
      </c>
      <c r="J2070" s="751" t="s">
        <v>3447</v>
      </c>
      <c r="K2070" s="555" t="s">
        <v>2764</v>
      </c>
      <c r="L2070" s="555" t="s">
        <v>3055</v>
      </c>
      <c r="M2070" s="555" t="s">
        <v>3055</v>
      </c>
    </row>
    <row r="2071" spans="3:13" ht="18.75">
      <c r="C2071" s="735"/>
      <c r="D2071" s="555" t="s">
        <v>4252</v>
      </c>
      <c r="E2071" s="757">
        <v>0.83611111111111114</v>
      </c>
      <c r="F2071" s="731">
        <v>43970</v>
      </c>
      <c r="G2071" s="730">
        <v>0.91666666666666663</v>
      </c>
      <c r="H2071" s="555" t="s">
        <v>4253</v>
      </c>
      <c r="I2071" s="555" t="s">
        <v>63</v>
      </c>
      <c r="J2071" s="751" t="s">
        <v>3356</v>
      </c>
      <c r="K2071" s="555" t="s">
        <v>100</v>
      </c>
      <c r="L2071" s="555" t="s">
        <v>3643</v>
      </c>
      <c r="M2071" s="555" t="s">
        <v>4254</v>
      </c>
    </row>
    <row r="2072" spans="3:13" ht="18.75">
      <c r="C2072" s="735"/>
      <c r="D2072" s="555" t="s">
        <v>4252</v>
      </c>
      <c r="E2072" s="757">
        <v>0.34513888888888888</v>
      </c>
      <c r="F2072" s="731">
        <v>43970</v>
      </c>
      <c r="G2072" s="730">
        <v>0.34583333333333338</v>
      </c>
      <c r="H2072" s="555" t="s">
        <v>3971</v>
      </c>
      <c r="I2072" s="555" t="s">
        <v>124</v>
      </c>
      <c r="J2072" s="751" t="s">
        <v>3356</v>
      </c>
      <c r="K2072" s="555" t="s">
        <v>100</v>
      </c>
      <c r="L2072" s="555" t="s">
        <v>3055</v>
      </c>
      <c r="M2072" s="555" t="s">
        <v>3055</v>
      </c>
    </row>
    <row r="2073" spans="3:13" ht="18.75">
      <c r="C2073" s="735"/>
      <c r="D2073" s="555" t="s">
        <v>4252</v>
      </c>
      <c r="E2073" s="757">
        <v>0.57291666666666663</v>
      </c>
      <c r="F2073" s="731">
        <v>43970</v>
      </c>
      <c r="G2073" s="730">
        <v>0.57361111111111118</v>
      </c>
      <c r="H2073" s="555" t="s">
        <v>3405</v>
      </c>
      <c r="I2073" s="555" t="s">
        <v>3347</v>
      </c>
      <c r="J2073" s="751" t="s">
        <v>3402</v>
      </c>
      <c r="K2073" s="555" t="s">
        <v>2118</v>
      </c>
      <c r="L2073" s="555" t="s">
        <v>3055</v>
      </c>
      <c r="M2073" s="555" t="s">
        <v>3055</v>
      </c>
    </row>
    <row r="2074" spans="3:13" ht="18.75">
      <c r="C2074" s="735"/>
      <c r="D2074" s="555" t="s">
        <v>4255</v>
      </c>
      <c r="E2074" s="757">
        <v>0.48680555555555555</v>
      </c>
      <c r="F2074" s="731" t="s">
        <v>45</v>
      </c>
      <c r="G2074" s="730" t="s">
        <v>45</v>
      </c>
      <c r="H2074" s="555" t="s">
        <v>2817</v>
      </c>
      <c r="I2074" s="555" t="s">
        <v>124</v>
      </c>
      <c r="J2074" s="751" t="s">
        <v>3356</v>
      </c>
      <c r="K2074" s="555" t="s">
        <v>100</v>
      </c>
      <c r="L2074" s="555" t="s">
        <v>3055</v>
      </c>
      <c r="M2074" s="555" t="s">
        <v>3055</v>
      </c>
    </row>
    <row r="2075" spans="3:13" ht="18.75">
      <c r="C2075" s="735"/>
      <c r="D2075" s="555" t="s">
        <v>4256</v>
      </c>
      <c r="E2075" s="757">
        <v>0.69097222222222221</v>
      </c>
      <c r="F2075" s="731">
        <v>43974</v>
      </c>
      <c r="G2075" s="730">
        <v>0.64513888888888882</v>
      </c>
      <c r="H2075" s="555" t="s">
        <v>2832</v>
      </c>
      <c r="I2075" s="555" t="s">
        <v>63</v>
      </c>
      <c r="J2075" s="751" t="s">
        <v>3451</v>
      </c>
      <c r="K2075" s="555" t="s">
        <v>22</v>
      </c>
      <c r="L2075" s="555" t="s">
        <v>45</v>
      </c>
      <c r="M2075" s="555" t="s">
        <v>4258</v>
      </c>
    </row>
    <row r="2076" spans="3:13" ht="18.75">
      <c r="C2076" s="735"/>
      <c r="D2076" s="555" t="s">
        <v>4259</v>
      </c>
      <c r="E2076" s="757">
        <v>0.69791666666666663</v>
      </c>
      <c r="F2076" s="731" t="s">
        <v>45</v>
      </c>
      <c r="G2076" s="730" t="s">
        <v>45</v>
      </c>
      <c r="H2076" s="555" t="s">
        <v>2206</v>
      </c>
      <c r="I2076" s="555" t="s">
        <v>3347</v>
      </c>
      <c r="J2076" s="751" t="s">
        <v>3451</v>
      </c>
      <c r="K2076" s="555" t="s">
        <v>22</v>
      </c>
      <c r="L2076" s="555" t="s">
        <v>45</v>
      </c>
      <c r="M2076" s="555" t="s">
        <v>3952</v>
      </c>
    </row>
    <row r="2077" spans="3:13" ht="18.75">
      <c r="C2077" s="735"/>
      <c r="D2077" s="555" t="s">
        <v>4260</v>
      </c>
      <c r="E2077" s="757">
        <v>0.45694444444444443</v>
      </c>
      <c r="F2077" s="731">
        <v>43976</v>
      </c>
      <c r="G2077" s="730">
        <v>0.54166666666666663</v>
      </c>
      <c r="H2077" s="555" t="s">
        <v>4261</v>
      </c>
      <c r="I2077" s="555" t="s">
        <v>1352</v>
      </c>
      <c r="J2077" s="751" t="s">
        <v>3411</v>
      </c>
      <c r="K2077" s="555" t="s">
        <v>2483</v>
      </c>
      <c r="L2077" s="555" t="s">
        <v>3643</v>
      </c>
      <c r="M2077" s="555" t="s">
        <v>4262</v>
      </c>
    </row>
    <row r="2078" spans="3:13" ht="18.75">
      <c r="C2078" s="735"/>
      <c r="D2078" s="555" t="s">
        <v>4263</v>
      </c>
      <c r="E2078" s="757">
        <v>0.71875</v>
      </c>
      <c r="F2078" s="731">
        <v>43980</v>
      </c>
      <c r="G2078" s="730">
        <v>0.27083333333333331</v>
      </c>
      <c r="H2078" s="555" t="s">
        <v>2809</v>
      </c>
      <c r="I2078" s="555" t="s">
        <v>1352</v>
      </c>
      <c r="J2078" s="751" t="s">
        <v>3451</v>
      </c>
      <c r="K2078" s="555" t="s">
        <v>22</v>
      </c>
      <c r="L2078" s="555" t="s">
        <v>45</v>
      </c>
      <c r="M2078" s="555" t="s">
        <v>4265</v>
      </c>
    </row>
    <row r="2079" spans="3:13" ht="18.75">
      <c r="C2079" s="735"/>
      <c r="D2079" s="555" t="s">
        <v>4263</v>
      </c>
      <c r="E2079" s="757">
        <v>0.72222222222222221</v>
      </c>
      <c r="F2079" s="731" t="s">
        <v>45</v>
      </c>
      <c r="G2079" s="730" t="s">
        <v>45</v>
      </c>
      <c r="H2079" s="555" t="s">
        <v>2919</v>
      </c>
      <c r="I2079" s="555" t="s">
        <v>1352</v>
      </c>
      <c r="J2079" s="751" t="s">
        <v>3451</v>
      </c>
      <c r="K2079" s="555" t="s">
        <v>22</v>
      </c>
      <c r="L2079" s="555" t="s">
        <v>45</v>
      </c>
      <c r="M2079" s="555" t="s">
        <v>4266</v>
      </c>
    </row>
    <row r="2080" spans="3:13" ht="18.75">
      <c r="C2080" s="735"/>
      <c r="D2080" s="555" t="s">
        <v>4264</v>
      </c>
      <c r="E2080" s="757">
        <v>0.7090277777777777</v>
      </c>
      <c r="F2080" s="731">
        <v>43980</v>
      </c>
      <c r="G2080" s="730">
        <v>0.7895833333333333</v>
      </c>
      <c r="H2080" s="555" t="s">
        <v>4267</v>
      </c>
      <c r="I2080" s="555" t="s">
        <v>3143</v>
      </c>
      <c r="J2080" s="751" t="s">
        <v>3411</v>
      </c>
      <c r="K2080" s="555" t="s">
        <v>2483</v>
      </c>
      <c r="L2080" s="555" t="s">
        <v>3055</v>
      </c>
      <c r="M2080" s="555" t="s">
        <v>3055</v>
      </c>
    </row>
    <row r="2081" spans="3:13" ht="18.75">
      <c r="C2081" s="735"/>
      <c r="D2081" s="555" t="s">
        <v>4264</v>
      </c>
      <c r="E2081" s="757">
        <v>0.72916666666666663</v>
      </c>
      <c r="F2081" s="731">
        <v>43982</v>
      </c>
      <c r="G2081" s="730">
        <v>0.75</v>
      </c>
      <c r="H2081" s="555" t="s">
        <v>4269</v>
      </c>
      <c r="I2081" s="555" t="s">
        <v>674</v>
      </c>
      <c r="J2081" s="751" t="s">
        <v>3874</v>
      </c>
      <c r="K2081" s="555" t="s">
        <v>2764</v>
      </c>
      <c r="L2081" s="555" t="s">
        <v>3055</v>
      </c>
      <c r="M2081" s="555" t="s">
        <v>3055</v>
      </c>
    </row>
    <row r="2082" spans="3:13" ht="18.75">
      <c r="C2082" s="735"/>
      <c r="D2082" s="555" t="s">
        <v>4264</v>
      </c>
      <c r="E2082" s="757">
        <v>0.90069444444444446</v>
      </c>
      <c r="F2082" s="731">
        <v>43981</v>
      </c>
      <c r="G2082" s="730">
        <v>0.18680555555555556</v>
      </c>
      <c r="H2082" s="555" t="s">
        <v>4271</v>
      </c>
      <c r="I2082" s="555" t="s">
        <v>3143</v>
      </c>
      <c r="J2082" s="751" t="s">
        <v>3356</v>
      </c>
      <c r="K2082" s="555" t="s">
        <v>100</v>
      </c>
      <c r="L2082" s="555" t="s">
        <v>3055</v>
      </c>
      <c r="M2082" s="555" t="s">
        <v>3055</v>
      </c>
    </row>
    <row r="2083" spans="3:13" ht="18.75">
      <c r="C2083" s="735"/>
      <c r="D2083" s="555" t="s">
        <v>4270</v>
      </c>
      <c r="E2083" s="757">
        <v>0.93055555555555547</v>
      </c>
      <c r="F2083" s="731">
        <v>43981</v>
      </c>
      <c r="G2083" s="730">
        <v>0.95833333333333337</v>
      </c>
      <c r="H2083" s="555" t="s">
        <v>3162</v>
      </c>
      <c r="I2083" s="555" t="s">
        <v>1352</v>
      </c>
      <c r="J2083" s="751" t="s">
        <v>3447</v>
      </c>
      <c r="K2083" s="555" t="s">
        <v>2764</v>
      </c>
      <c r="L2083" s="555" t="s">
        <v>3055</v>
      </c>
      <c r="M2083" s="555" t="s">
        <v>3055</v>
      </c>
    </row>
    <row r="2084" spans="3:13" ht="18.75">
      <c r="C2084" s="735"/>
      <c r="D2084" s="555" t="s">
        <v>4268</v>
      </c>
      <c r="E2084" s="757">
        <v>0.89583333333333337</v>
      </c>
      <c r="F2084" s="731">
        <v>43983</v>
      </c>
      <c r="G2084" s="730">
        <v>4.1666666666666664E-2</v>
      </c>
      <c r="H2084" s="555" t="s">
        <v>4253</v>
      </c>
      <c r="I2084" s="555" t="s">
        <v>63</v>
      </c>
      <c r="J2084" s="751" t="s">
        <v>3356</v>
      </c>
      <c r="K2084" s="555" t="s">
        <v>100</v>
      </c>
      <c r="L2084" s="555" t="s">
        <v>3055</v>
      </c>
      <c r="M2084" s="555" t="s">
        <v>3055</v>
      </c>
    </row>
    <row r="2085" spans="3:13" ht="18.75">
      <c r="C2085" s="735"/>
      <c r="D2085" s="555" t="s">
        <v>4268</v>
      </c>
      <c r="E2085" s="757">
        <v>1.0416666666666666E-2</v>
      </c>
      <c r="F2085" s="731" t="s">
        <v>45</v>
      </c>
      <c r="G2085" s="730" t="s">
        <v>45</v>
      </c>
      <c r="H2085" s="555" t="s">
        <v>3245</v>
      </c>
      <c r="I2085" s="555" t="s">
        <v>3143</v>
      </c>
      <c r="J2085" s="751" t="s">
        <v>3874</v>
      </c>
      <c r="K2085" s="555" t="s">
        <v>100</v>
      </c>
      <c r="L2085" s="555" t="s">
        <v>3055</v>
      </c>
      <c r="M2085" s="555" t="s">
        <v>3055</v>
      </c>
    </row>
    <row r="2086" spans="3:13" ht="18.75">
      <c r="C2086" s="735"/>
      <c r="D2086" s="555" t="s">
        <v>4273</v>
      </c>
      <c r="E2086" s="757">
        <v>0.60833333333333328</v>
      </c>
      <c r="F2086" s="731">
        <v>43984</v>
      </c>
      <c r="G2086" s="730">
        <v>0.60902777777777783</v>
      </c>
      <c r="H2086" s="555" t="s">
        <v>4274</v>
      </c>
      <c r="I2086" s="555" t="s">
        <v>124</v>
      </c>
      <c r="J2086" s="751" t="s">
        <v>3356</v>
      </c>
      <c r="K2086" s="555" t="s">
        <v>100</v>
      </c>
      <c r="L2086" s="555" t="s">
        <v>45</v>
      </c>
      <c r="M2086" s="555" t="s">
        <v>3055</v>
      </c>
    </row>
    <row r="2087" spans="3:13" ht="18.75">
      <c r="C2087" s="735"/>
      <c r="D2087" s="555" t="s">
        <v>4275</v>
      </c>
      <c r="E2087" s="757">
        <v>0.54166666666666663</v>
      </c>
      <c r="F2087" s="731">
        <v>43988</v>
      </c>
      <c r="G2087" s="730">
        <v>0.6875</v>
      </c>
      <c r="H2087" s="555" t="s">
        <v>2833</v>
      </c>
      <c r="I2087" s="555" t="s">
        <v>3143</v>
      </c>
      <c r="J2087" s="751" t="s">
        <v>3451</v>
      </c>
      <c r="K2087" s="555" t="s">
        <v>22</v>
      </c>
      <c r="L2087" s="555" t="s">
        <v>3278</v>
      </c>
      <c r="M2087" s="555" t="s">
        <v>4113</v>
      </c>
    </row>
    <row r="2088" spans="3:13" ht="18.75">
      <c r="C2088" s="735"/>
      <c r="D2088" s="555" t="s">
        <v>4275</v>
      </c>
      <c r="E2088" s="757">
        <v>0.52083333333333337</v>
      </c>
      <c r="F2088" s="731">
        <v>43985</v>
      </c>
      <c r="G2088" s="730">
        <v>0.75</v>
      </c>
      <c r="H2088" s="555" t="s">
        <v>4237</v>
      </c>
      <c r="I2088" s="555" t="s">
        <v>3143</v>
      </c>
      <c r="J2088" s="751" t="s">
        <v>3451</v>
      </c>
      <c r="K2088" s="555" t="s">
        <v>22</v>
      </c>
      <c r="L2088" s="555" t="s">
        <v>45</v>
      </c>
      <c r="M2088" s="555" t="s">
        <v>4277</v>
      </c>
    </row>
    <row r="2089" spans="3:13" ht="18.75">
      <c r="C2089" s="735"/>
      <c r="D2089" s="555" t="s">
        <v>4275</v>
      </c>
      <c r="E2089" s="757">
        <v>0.70624999999999993</v>
      </c>
      <c r="F2089" s="731">
        <v>43985</v>
      </c>
      <c r="G2089" s="730">
        <v>0.7284722222222223</v>
      </c>
      <c r="H2089" s="555" t="s">
        <v>3786</v>
      </c>
      <c r="I2089" s="555" t="s">
        <v>674</v>
      </c>
      <c r="J2089" s="751" t="s">
        <v>3387</v>
      </c>
      <c r="K2089" s="555" t="s">
        <v>2764</v>
      </c>
      <c r="L2089" s="555" t="s">
        <v>3055</v>
      </c>
      <c r="M2089" s="555" t="s">
        <v>3055</v>
      </c>
    </row>
    <row r="2090" spans="3:13" ht="18.75">
      <c r="C2090" s="735"/>
      <c r="D2090" s="555" t="s">
        <v>4275</v>
      </c>
      <c r="E2090" s="757">
        <v>0.56666666666666665</v>
      </c>
      <c r="F2090" s="731">
        <v>43985</v>
      </c>
      <c r="G2090" s="730">
        <v>0.6875</v>
      </c>
      <c r="H2090" s="555" t="s">
        <v>2833</v>
      </c>
      <c r="I2090" s="555" t="s">
        <v>3143</v>
      </c>
      <c r="J2090" s="751" t="s">
        <v>3451</v>
      </c>
      <c r="K2090" s="555" t="s">
        <v>22</v>
      </c>
      <c r="L2090" s="555" t="s">
        <v>45</v>
      </c>
      <c r="M2090" s="555" t="s">
        <v>4278</v>
      </c>
    </row>
    <row r="2091" spans="3:13" ht="18.75">
      <c r="C2091" s="735"/>
      <c r="D2091" s="555" t="s">
        <v>4279</v>
      </c>
      <c r="E2091" s="757">
        <v>0.47291666666666665</v>
      </c>
      <c r="F2091" s="731">
        <v>43991</v>
      </c>
      <c r="G2091" s="730">
        <v>0.50069444444444444</v>
      </c>
      <c r="H2091" s="555" t="s">
        <v>2853</v>
      </c>
      <c r="I2091" s="555" t="s">
        <v>124</v>
      </c>
      <c r="J2091" s="751" t="s">
        <v>3411</v>
      </c>
      <c r="K2091" s="555" t="s">
        <v>2483</v>
      </c>
      <c r="L2091" s="555" t="s">
        <v>3055</v>
      </c>
      <c r="M2091" s="555" t="s">
        <v>3055</v>
      </c>
    </row>
    <row r="2092" spans="3:13" ht="18.75">
      <c r="C2092" s="735"/>
      <c r="D2092" s="555" t="s">
        <v>4280</v>
      </c>
      <c r="E2092" s="757">
        <v>0.8125</v>
      </c>
      <c r="F2092" s="731" t="s">
        <v>45</v>
      </c>
      <c r="G2092" s="730" t="s">
        <v>45</v>
      </c>
      <c r="H2092" s="555" t="s">
        <v>4281</v>
      </c>
      <c r="I2092" s="555" t="s">
        <v>3143</v>
      </c>
      <c r="J2092" s="751" t="s">
        <v>3451</v>
      </c>
      <c r="K2092" s="555" t="s">
        <v>22</v>
      </c>
      <c r="L2092" s="555" t="s">
        <v>45</v>
      </c>
      <c r="M2092" s="555" t="s">
        <v>4282</v>
      </c>
    </row>
    <row r="2093" spans="3:13" ht="18.75">
      <c r="C2093" s="735"/>
      <c r="D2093" s="555" t="s">
        <v>4280</v>
      </c>
      <c r="E2093" s="757">
        <v>0.51527777777777783</v>
      </c>
      <c r="F2093" s="731">
        <v>43992</v>
      </c>
      <c r="G2093" s="730">
        <v>0.70833333333333337</v>
      </c>
      <c r="H2093" s="555" t="s">
        <v>4283</v>
      </c>
      <c r="I2093" s="555" t="s">
        <v>3143</v>
      </c>
      <c r="J2093" s="751" t="s">
        <v>3451</v>
      </c>
      <c r="K2093" s="555" t="s">
        <v>22</v>
      </c>
      <c r="L2093" s="555" t="s">
        <v>45</v>
      </c>
      <c r="M2093" s="555" t="s">
        <v>4284</v>
      </c>
    </row>
    <row r="2094" spans="3:13" ht="18.75">
      <c r="C2094" s="735"/>
      <c r="D2094" s="555" t="s">
        <v>4280</v>
      </c>
      <c r="E2094" s="757">
        <v>0.72499999999999998</v>
      </c>
      <c r="F2094" s="731">
        <v>43993</v>
      </c>
      <c r="G2094" s="730">
        <v>0.75</v>
      </c>
      <c r="H2094" s="555" t="s">
        <v>4286</v>
      </c>
      <c r="I2094" s="555" t="s">
        <v>3143</v>
      </c>
      <c r="J2094" s="751" t="s">
        <v>3451</v>
      </c>
      <c r="K2094" s="555" t="s">
        <v>22</v>
      </c>
      <c r="L2094" s="555" t="s">
        <v>45</v>
      </c>
      <c r="M2094" s="555" t="s">
        <v>4287</v>
      </c>
    </row>
    <row r="2095" spans="3:13" ht="18.75">
      <c r="C2095" s="735"/>
      <c r="D2095" s="555" t="s">
        <v>4288</v>
      </c>
      <c r="E2095" s="757">
        <v>0.34791666666666665</v>
      </c>
      <c r="F2095" s="731">
        <v>43994</v>
      </c>
      <c r="G2095" s="730">
        <v>0.34861111111111115</v>
      </c>
      <c r="H2095" s="555" t="s">
        <v>4289</v>
      </c>
      <c r="I2095" s="555" t="s">
        <v>3143</v>
      </c>
      <c r="J2095" s="751" t="s">
        <v>3463</v>
      </c>
      <c r="K2095" s="555" t="s">
        <v>100</v>
      </c>
      <c r="L2095" s="555" t="s">
        <v>3055</v>
      </c>
      <c r="M2095" s="555" t="s">
        <v>3055</v>
      </c>
    </row>
    <row r="2096" spans="3:13" ht="18.75">
      <c r="C2096" s="735"/>
      <c r="D2096" s="555" t="s">
        <v>4290</v>
      </c>
      <c r="E2096" s="757">
        <v>0.50763888888888886</v>
      </c>
      <c r="F2096" s="731">
        <v>44004</v>
      </c>
      <c r="G2096" s="730">
        <v>0.34097222222222223</v>
      </c>
      <c r="H2096" s="555" t="s">
        <v>3500</v>
      </c>
      <c r="I2096" s="555" t="s">
        <v>124</v>
      </c>
      <c r="J2096" s="751" t="s">
        <v>3402</v>
      </c>
      <c r="K2096" s="555" t="s">
        <v>2293</v>
      </c>
      <c r="L2096" s="555" t="s">
        <v>3055</v>
      </c>
      <c r="M2096" s="555" t="s">
        <v>3055</v>
      </c>
    </row>
    <row r="2097" spans="3:13" ht="18.75">
      <c r="C2097" s="735"/>
      <c r="D2097" s="555" t="s">
        <v>4290</v>
      </c>
      <c r="E2097" s="757">
        <v>0.85555555555555562</v>
      </c>
      <c r="F2097" s="731">
        <v>44000</v>
      </c>
      <c r="G2097" s="730">
        <v>0.85763888888888884</v>
      </c>
      <c r="H2097" s="555" t="s">
        <v>4292</v>
      </c>
      <c r="I2097" s="555" t="s">
        <v>63</v>
      </c>
      <c r="J2097" s="751" t="s">
        <v>3356</v>
      </c>
      <c r="K2097" s="555" t="s">
        <v>2293</v>
      </c>
      <c r="L2097" s="555" t="s">
        <v>3055</v>
      </c>
      <c r="M2097" s="555" t="s">
        <v>3055</v>
      </c>
    </row>
    <row r="2098" spans="3:13" ht="18.75">
      <c r="C2098" s="735"/>
      <c r="D2098" s="555" t="s">
        <v>4293</v>
      </c>
      <c r="E2098" s="757">
        <v>5.2777777777777778E-2</v>
      </c>
      <c r="F2098" s="731">
        <v>44003</v>
      </c>
      <c r="G2098" s="730">
        <v>0.78125</v>
      </c>
      <c r="H2098" s="555" t="s">
        <v>2892</v>
      </c>
      <c r="I2098" s="555" t="s">
        <v>3143</v>
      </c>
      <c r="J2098" s="751" t="s">
        <v>3356</v>
      </c>
      <c r="K2098" s="555" t="s">
        <v>100</v>
      </c>
      <c r="L2098" s="555" t="s">
        <v>3055</v>
      </c>
      <c r="M2098" s="555" t="s">
        <v>3055</v>
      </c>
    </row>
    <row r="2099" spans="3:13" ht="18.75">
      <c r="C2099" s="735"/>
      <c r="D2099" s="555" t="s">
        <v>4291</v>
      </c>
      <c r="E2099" s="757">
        <v>0.48888888888888887</v>
      </c>
      <c r="F2099" s="731">
        <v>44004</v>
      </c>
      <c r="G2099" s="730">
        <v>0.52916666666666667</v>
      </c>
      <c r="H2099" s="555" t="s">
        <v>4294</v>
      </c>
      <c r="I2099" s="555" t="s">
        <v>3143</v>
      </c>
      <c r="J2099" s="751" t="s">
        <v>3387</v>
      </c>
      <c r="K2099" s="555" t="s">
        <v>2764</v>
      </c>
      <c r="L2099" s="555" t="s">
        <v>3055</v>
      </c>
      <c r="M2099" s="555" t="s">
        <v>3055</v>
      </c>
    </row>
    <row r="2100" spans="3:13" ht="18.75">
      <c r="C2100" s="735"/>
      <c r="D2100" s="555" t="s">
        <v>4295</v>
      </c>
      <c r="E2100" s="757">
        <v>0.40277777777777773</v>
      </c>
      <c r="F2100" s="731">
        <v>44007</v>
      </c>
      <c r="G2100" s="730">
        <v>0.45833333333333331</v>
      </c>
      <c r="H2100" s="555" t="s">
        <v>4296</v>
      </c>
      <c r="I2100" s="555" t="s">
        <v>63</v>
      </c>
      <c r="J2100" s="751" t="s">
        <v>3402</v>
      </c>
      <c r="K2100" s="555" t="s">
        <v>2118</v>
      </c>
      <c r="L2100" s="555" t="s">
        <v>45</v>
      </c>
      <c r="M2100" s="555" t="s">
        <v>3055</v>
      </c>
    </row>
    <row r="2101" spans="3:13" ht="18.75">
      <c r="C2101" s="735"/>
      <c r="D2101" s="555" t="s">
        <v>4297</v>
      </c>
      <c r="E2101" s="757">
        <v>0.68055555555555547</v>
      </c>
      <c r="F2101" s="731">
        <v>44011</v>
      </c>
      <c r="G2101" s="730">
        <v>0.625</v>
      </c>
      <c r="H2101" s="555" t="s">
        <v>4299</v>
      </c>
      <c r="I2101" s="555" t="s">
        <v>674</v>
      </c>
      <c r="J2101" s="751" t="s">
        <v>3356</v>
      </c>
      <c r="K2101" s="555" t="s">
        <v>100</v>
      </c>
      <c r="L2101" s="555" t="s">
        <v>3055</v>
      </c>
      <c r="M2101" s="555" t="s">
        <v>3055</v>
      </c>
    </row>
    <row r="2102" spans="3:13" ht="18.75">
      <c r="C2102" s="735"/>
      <c r="D2102" s="555" t="s">
        <v>4297</v>
      </c>
      <c r="E2102" s="757">
        <v>0.53263888888888888</v>
      </c>
      <c r="F2102" s="731">
        <v>44008</v>
      </c>
      <c r="G2102" s="730">
        <v>0.57847222222222217</v>
      </c>
      <c r="H2102" s="555" t="s">
        <v>3591</v>
      </c>
      <c r="I2102" s="555" t="s">
        <v>1352</v>
      </c>
      <c r="J2102" s="751" t="s">
        <v>3387</v>
      </c>
      <c r="K2102" s="555" t="s">
        <v>2764</v>
      </c>
      <c r="L2102" s="555" t="s">
        <v>3055</v>
      </c>
      <c r="M2102" s="555" t="s">
        <v>3055</v>
      </c>
    </row>
    <row r="2103" spans="3:13" ht="18.75">
      <c r="C2103" s="735"/>
      <c r="D2103" s="555" t="s">
        <v>4300</v>
      </c>
      <c r="E2103" s="757">
        <v>0.66666666666666663</v>
      </c>
      <c r="F2103" s="731">
        <v>44010</v>
      </c>
      <c r="G2103" s="730">
        <v>0.10208333333333335</v>
      </c>
      <c r="H2103" s="555" t="s">
        <v>3273</v>
      </c>
      <c r="I2103" s="555" t="s">
        <v>63</v>
      </c>
      <c r="J2103" s="751" t="s">
        <v>3451</v>
      </c>
      <c r="K2103" s="555" t="s">
        <v>22</v>
      </c>
      <c r="L2103" s="555" t="s">
        <v>4302</v>
      </c>
      <c r="M2103" s="555" t="s">
        <v>4303</v>
      </c>
    </row>
    <row r="2104" spans="3:13" ht="18.75">
      <c r="C2104" s="735"/>
      <c r="D2104" s="555" t="s">
        <v>4298</v>
      </c>
      <c r="E2104" s="757">
        <v>0.60555555555555551</v>
      </c>
      <c r="F2104" s="731">
        <v>44011</v>
      </c>
      <c r="G2104" s="730">
        <v>0.69097222222222221</v>
      </c>
      <c r="H2104" s="555" t="s">
        <v>4304</v>
      </c>
      <c r="I2104" s="555" t="s">
        <v>3347</v>
      </c>
      <c r="J2104" s="751" t="s">
        <v>3411</v>
      </c>
      <c r="K2104" s="555" t="s">
        <v>2483</v>
      </c>
      <c r="L2104" s="555" t="s">
        <v>3055</v>
      </c>
      <c r="M2104" s="555" t="s">
        <v>3055</v>
      </c>
    </row>
    <row r="2105" spans="3:13" ht="18.75">
      <c r="C2105" s="735"/>
      <c r="D2105" s="555" t="s">
        <v>4305</v>
      </c>
      <c r="E2105" s="757">
        <v>0.43611111111111112</v>
      </c>
      <c r="F2105" s="731">
        <v>44012</v>
      </c>
      <c r="G2105" s="730">
        <v>0.4368055555555555</v>
      </c>
      <c r="H2105" s="555" t="s">
        <v>2933</v>
      </c>
      <c r="I2105" s="555" t="s">
        <v>124</v>
      </c>
      <c r="J2105" s="751" t="s">
        <v>3402</v>
      </c>
      <c r="K2105" s="555" t="s">
        <v>100</v>
      </c>
      <c r="L2105" s="555" t="s">
        <v>3055</v>
      </c>
      <c r="M2105" s="555" t="s">
        <v>3055</v>
      </c>
    </row>
    <row r="2106" spans="3:13" ht="18.75">
      <c r="C2106" s="735"/>
      <c r="D2106" s="555" t="s">
        <v>4306</v>
      </c>
      <c r="E2106" s="757">
        <v>0.80972222222222223</v>
      </c>
      <c r="F2106" s="731">
        <v>44013</v>
      </c>
      <c r="G2106" s="730">
        <v>0.8222222222222223</v>
      </c>
      <c r="H2106" s="555" t="s">
        <v>3245</v>
      </c>
      <c r="I2106" s="555" t="s">
        <v>3143</v>
      </c>
      <c r="J2106" s="751" t="s">
        <v>3411</v>
      </c>
      <c r="K2106" s="555" t="s">
        <v>2483</v>
      </c>
      <c r="L2106" s="555" t="s">
        <v>3548</v>
      </c>
      <c r="M2106" s="555" t="s">
        <v>4307</v>
      </c>
    </row>
    <row r="2107" spans="3:13" ht="18.75">
      <c r="C2107" s="735"/>
      <c r="D2107" s="555" t="s">
        <v>4308</v>
      </c>
      <c r="E2107" s="757">
        <v>0.85416666666666663</v>
      </c>
      <c r="F2107" s="731" t="s">
        <v>45</v>
      </c>
      <c r="G2107" s="730" t="s">
        <v>45</v>
      </c>
      <c r="H2107" s="555" t="s">
        <v>2894</v>
      </c>
      <c r="I2107" s="555" t="s">
        <v>124</v>
      </c>
      <c r="J2107" s="751" t="s">
        <v>3654</v>
      </c>
      <c r="K2107" s="555" t="s">
        <v>1138</v>
      </c>
      <c r="L2107" s="555" t="s">
        <v>3055</v>
      </c>
      <c r="M2107" s="555" t="s">
        <v>3055</v>
      </c>
    </row>
    <row r="2108" spans="3:13" ht="18.75">
      <c r="C2108" s="735"/>
      <c r="D2108" s="555" t="s">
        <v>4309</v>
      </c>
      <c r="E2108" s="757">
        <v>0.5180555555555556</v>
      </c>
      <c r="F2108" s="731" t="s">
        <v>45</v>
      </c>
      <c r="G2108" s="730" t="s">
        <v>45</v>
      </c>
      <c r="H2108" s="555" t="s">
        <v>4310</v>
      </c>
      <c r="I2108" s="555" t="s">
        <v>61</v>
      </c>
      <c r="J2108" s="751" t="s">
        <v>3402</v>
      </c>
      <c r="K2108" s="555" t="s">
        <v>2118</v>
      </c>
      <c r="L2108" s="555" t="s">
        <v>3055</v>
      </c>
      <c r="M2108" s="555" t="s">
        <v>3055</v>
      </c>
    </row>
    <row r="2109" spans="3:13" ht="18.75">
      <c r="C2109" s="735"/>
      <c r="D2109" s="555" t="s">
        <v>4309</v>
      </c>
      <c r="E2109" s="757">
        <v>0.78125</v>
      </c>
      <c r="F2109" s="731">
        <v>44018</v>
      </c>
      <c r="G2109" s="730">
        <v>0.8208333333333333</v>
      </c>
      <c r="H2109" s="555" t="s">
        <v>3917</v>
      </c>
      <c r="I2109" s="555" t="s">
        <v>3143</v>
      </c>
      <c r="J2109" s="751" t="s">
        <v>3387</v>
      </c>
      <c r="K2109" s="555" t="s">
        <v>2764</v>
      </c>
      <c r="L2109" s="555" t="s">
        <v>3055</v>
      </c>
      <c r="M2109" s="555" t="s">
        <v>3055</v>
      </c>
    </row>
    <row r="2110" spans="3:13" ht="18.75">
      <c r="C2110" s="735"/>
      <c r="D2110" s="555" t="s">
        <v>4311</v>
      </c>
      <c r="E2110" s="757">
        <v>0.48472222222222222</v>
      </c>
      <c r="F2110" s="731">
        <v>44019</v>
      </c>
      <c r="G2110" s="730">
        <v>0.76666666666666661</v>
      </c>
      <c r="H2110" s="555" t="s">
        <v>2967</v>
      </c>
      <c r="I2110" s="555" t="s">
        <v>124</v>
      </c>
      <c r="J2110" s="751" t="s">
        <v>3411</v>
      </c>
      <c r="K2110" s="555" t="s">
        <v>2483</v>
      </c>
      <c r="L2110" s="555" t="s">
        <v>3055</v>
      </c>
      <c r="M2110" s="555" t="s">
        <v>3055</v>
      </c>
    </row>
    <row r="2111" spans="3:13" ht="18.75">
      <c r="C2111" s="735"/>
      <c r="D2111" s="555" t="s">
        <v>4311</v>
      </c>
      <c r="E2111" s="757">
        <v>0.54791666666666672</v>
      </c>
      <c r="F2111" s="731">
        <v>44020</v>
      </c>
      <c r="G2111" s="730">
        <v>0.34513888888888888</v>
      </c>
      <c r="H2111" s="555" t="s">
        <v>2900</v>
      </c>
      <c r="I2111" s="555" t="s">
        <v>124</v>
      </c>
      <c r="J2111" s="751" t="s">
        <v>3411</v>
      </c>
      <c r="K2111" s="555" t="s">
        <v>2483</v>
      </c>
      <c r="L2111" s="555" t="s">
        <v>3055</v>
      </c>
      <c r="M2111" s="555" t="s">
        <v>3055</v>
      </c>
    </row>
    <row r="2112" spans="3:13" ht="18.75">
      <c r="C2112" s="735"/>
      <c r="D2112" s="555" t="s">
        <v>4311</v>
      </c>
      <c r="E2112" s="757">
        <v>0.80347222222222225</v>
      </c>
      <c r="F2112" s="731">
        <v>44019</v>
      </c>
      <c r="G2112" s="730">
        <v>0.99236111111111114</v>
      </c>
      <c r="H2112" s="555" t="s">
        <v>4313</v>
      </c>
      <c r="I2112" s="555" t="s">
        <v>3143</v>
      </c>
      <c r="J2112" s="751" t="s">
        <v>3411</v>
      </c>
      <c r="K2112" s="555" t="s">
        <v>2990</v>
      </c>
      <c r="L2112" s="555" t="s">
        <v>45</v>
      </c>
      <c r="M2112" s="555" t="s">
        <v>45</v>
      </c>
    </row>
    <row r="2113" spans="3:13" ht="18.75">
      <c r="C2113" s="735"/>
      <c r="D2113" s="555" t="s">
        <v>4312</v>
      </c>
      <c r="E2113" s="757">
        <v>0.9194444444444444</v>
      </c>
      <c r="F2113" s="731" t="s">
        <v>45</v>
      </c>
      <c r="G2113" s="730" t="s">
        <v>45</v>
      </c>
      <c r="H2113" s="555" t="s">
        <v>2919</v>
      </c>
      <c r="I2113" s="555" t="s">
        <v>1352</v>
      </c>
      <c r="J2113" s="751" t="s">
        <v>3402</v>
      </c>
      <c r="K2113" s="555" t="s">
        <v>2293</v>
      </c>
      <c r="L2113" s="555" t="s">
        <v>3055</v>
      </c>
      <c r="M2113" s="555" t="s">
        <v>3055</v>
      </c>
    </row>
    <row r="2114" spans="3:13" ht="18.75">
      <c r="C2114" s="735"/>
      <c r="D2114" s="555" t="s">
        <v>4312</v>
      </c>
      <c r="E2114" s="757">
        <v>0.78125</v>
      </c>
      <c r="F2114" s="731" t="s">
        <v>45</v>
      </c>
      <c r="G2114" s="730" t="s">
        <v>45</v>
      </c>
      <c r="H2114" s="555" t="s">
        <v>2945</v>
      </c>
      <c r="I2114" s="555" t="s">
        <v>124</v>
      </c>
      <c r="J2114" s="751" t="s">
        <v>3654</v>
      </c>
      <c r="K2114" s="555" t="s">
        <v>1138</v>
      </c>
      <c r="L2114" s="555" t="s">
        <v>3055</v>
      </c>
      <c r="M2114" s="555" t="s">
        <v>3055</v>
      </c>
    </row>
    <row r="2115" spans="3:13" ht="18.75">
      <c r="C2115" s="735"/>
      <c r="D2115" s="555" t="s">
        <v>4314</v>
      </c>
      <c r="E2115" s="757">
        <v>0.63124999999999998</v>
      </c>
      <c r="F2115" s="731" t="s">
        <v>45</v>
      </c>
      <c r="G2115" s="730" t="s">
        <v>45</v>
      </c>
      <c r="H2115" s="555" t="s">
        <v>4315</v>
      </c>
      <c r="I2115" s="555" t="s">
        <v>124</v>
      </c>
      <c r="J2115" s="751" t="s">
        <v>3402</v>
      </c>
      <c r="K2115" s="555" t="s">
        <v>2118</v>
      </c>
      <c r="L2115" s="555" t="s">
        <v>3055</v>
      </c>
      <c r="M2115" s="555" t="s">
        <v>3055</v>
      </c>
    </row>
    <row r="2116" spans="3:13" ht="18.75">
      <c r="C2116" s="735"/>
      <c r="D2116" s="555" t="s">
        <v>4316</v>
      </c>
      <c r="E2116" s="757">
        <v>0.97916666666666663</v>
      </c>
      <c r="F2116" s="731">
        <v>44024</v>
      </c>
      <c r="G2116" s="730">
        <v>0.27083333333333331</v>
      </c>
      <c r="H2116" s="555" t="s">
        <v>4318</v>
      </c>
      <c r="I2116" s="555" t="s">
        <v>3347</v>
      </c>
      <c r="J2116" s="751" t="s">
        <v>3451</v>
      </c>
      <c r="K2116" s="555" t="s">
        <v>22</v>
      </c>
      <c r="L2116" s="555" t="s">
        <v>45</v>
      </c>
      <c r="M2116" s="555" t="s">
        <v>3780</v>
      </c>
    </row>
    <row r="2117" spans="3:13" ht="18.75">
      <c r="C2117" s="735"/>
      <c r="D2117" s="555" t="s">
        <v>4316</v>
      </c>
      <c r="E2117" s="757">
        <v>0.89583333333333337</v>
      </c>
      <c r="F2117" s="731" t="s">
        <v>45</v>
      </c>
      <c r="G2117" s="730" t="s">
        <v>45</v>
      </c>
      <c r="H2117" s="555" t="s">
        <v>3693</v>
      </c>
      <c r="I2117" s="555" t="s">
        <v>3347</v>
      </c>
      <c r="J2117" s="751" t="s">
        <v>3451</v>
      </c>
      <c r="K2117" s="555" t="s">
        <v>22</v>
      </c>
      <c r="L2117" s="555" t="s">
        <v>45</v>
      </c>
      <c r="M2117" s="555" t="s">
        <v>4319</v>
      </c>
    </row>
    <row r="2118" spans="3:13" ht="18.75">
      <c r="C2118" s="735"/>
      <c r="D2118" s="555" t="s">
        <v>4316</v>
      </c>
      <c r="E2118" s="757">
        <v>0.20486111111111113</v>
      </c>
      <c r="F2118" s="731" t="s">
        <v>45</v>
      </c>
      <c r="G2118" s="730" t="s">
        <v>45</v>
      </c>
      <c r="H2118" s="555" t="s">
        <v>2945</v>
      </c>
      <c r="I2118" s="555" t="s">
        <v>124</v>
      </c>
      <c r="J2118" s="751" t="s">
        <v>3654</v>
      </c>
      <c r="K2118" s="555" t="s">
        <v>1138</v>
      </c>
      <c r="L2118" s="555" t="s">
        <v>3055</v>
      </c>
      <c r="M2118" s="555" t="s">
        <v>3055</v>
      </c>
    </row>
    <row r="2119" spans="3:13" ht="18.75">
      <c r="C2119" s="735"/>
      <c r="D2119" s="555" t="s">
        <v>4317</v>
      </c>
      <c r="E2119" s="757">
        <v>0.1875</v>
      </c>
      <c r="F2119" s="731">
        <v>44025</v>
      </c>
      <c r="G2119" s="730">
        <v>0.20833333333333334</v>
      </c>
      <c r="H2119" s="555" t="s">
        <v>4321</v>
      </c>
      <c r="I2119" s="555" t="s">
        <v>1352</v>
      </c>
      <c r="J2119" s="751" t="s">
        <v>3451</v>
      </c>
      <c r="K2119" s="555" t="s">
        <v>22</v>
      </c>
      <c r="L2119" s="555" t="s">
        <v>45</v>
      </c>
      <c r="M2119" s="555" t="s">
        <v>4322</v>
      </c>
    </row>
    <row r="2120" spans="3:13" ht="18.75">
      <c r="C2120" s="735"/>
      <c r="D2120" s="555" t="s">
        <v>4317</v>
      </c>
      <c r="E2120" s="757">
        <v>0.58888888888888891</v>
      </c>
      <c r="F2120" s="731">
        <v>44024</v>
      </c>
      <c r="G2120" s="730">
        <v>0.86388888888888893</v>
      </c>
      <c r="H2120" s="555" t="s">
        <v>3795</v>
      </c>
      <c r="I2120" s="555" t="s">
        <v>124</v>
      </c>
      <c r="J2120" s="751" t="s">
        <v>3356</v>
      </c>
      <c r="K2120" s="555" t="s">
        <v>2293</v>
      </c>
      <c r="L2120" s="555" t="s">
        <v>4323</v>
      </c>
      <c r="M2120" s="555" t="s">
        <v>3367</v>
      </c>
    </row>
    <row r="2121" spans="3:13" ht="18.75">
      <c r="C2121" s="735"/>
      <c r="D2121" s="555" t="s">
        <v>4320</v>
      </c>
      <c r="E2121" s="757">
        <v>0.6875</v>
      </c>
      <c r="F2121" s="731">
        <v>44025</v>
      </c>
      <c r="G2121" s="730">
        <v>0.68819444444444444</v>
      </c>
      <c r="H2121" s="555" t="s">
        <v>4296</v>
      </c>
      <c r="I2121" s="555" t="s">
        <v>63</v>
      </c>
      <c r="J2121" s="751" t="s">
        <v>3402</v>
      </c>
      <c r="K2121" s="555" t="s">
        <v>2118</v>
      </c>
      <c r="L2121" s="555" t="s">
        <v>3055</v>
      </c>
      <c r="M2121" s="555" t="s">
        <v>3055</v>
      </c>
    </row>
    <row r="2122" spans="3:13" ht="18.75">
      <c r="C2122" s="735"/>
      <c r="D2122" s="555" t="s">
        <v>4324</v>
      </c>
      <c r="E2122" s="757">
        <v>0.59444444444444444</v>
      </c>
      <c r="F2122" s="731">
        <v>44026</v>
      </c>
      <c r="G2122" s="730">
        <v>0.62013888888888891</v>
      </c>
      <c r="H2122" s="555" t="s">
        <v>2945</v>
      </c>
      <c r="I2122" s="555" t="s">
        <v>124</v>
      </c>
      <c r="J2122" s="751" t="s">
        <v>3387</v>
      </c>
      <c r="K2122" s="555" t="s">
        <v>2764</v>
      </c>
      <c r="L2122" s="555" t="s">
        <v>3055</v>
      </c>
      <c r="M2122" s="555" t="s">
        <v>3055</v>
      </c>
    </row>
    <row r="2123" spans="3:13" ht="18.75">
      <c r="C2123" s="735"/>
      <c r="D2123" s="555" t="s">
        <v>4325</v>
      </c>
      <c r="E2123" s="757">
        <v>0.45833333333333331</v>
      </c>
      <c r="F2123" s="731">
        <v>44027</v>
      </c>
      <c r="G2123" s="730">
        <v>0.47222222222222227</v>
      </c>
      <c r="H2123" s="555" t="s">
        <v>4296</v>
      </c>
      <c r="I2123" s="555" t="s">
        <v>63</v>
      </c>
      <c r="J2123" s="751" t="s">
        <v>3402</v>
      </c>
      <c r="K2123" s="555" t="s">
        <v>2118</v>
      </c>
      <c r="L2123" s="555" t="s">
        <v>45</v>
      </c>
      <c r="M2123" s="555" t="s">
        <v>3055</v>
      </c>
    </row>
    <row r="2124" spans="3:13" ht="18.75">
      <c r="C2124" s="735"/>
      <c r="D2124" s="555" t="s">
        <v>4326</v>
      </c>
      <c r="E2124" s="757">
        <v>0.36736111111111108</v>
      </c>
      <c r="F2124" s="731">
        <v>44028</v>
      </c>
      <c r="G2124" s="730">
        <v>0.46249999999999997</v>
      </c>
      <c r="H2124" s="555" t="s">
        <v>3786</v>
      </c>
      <c r="I2124" s="555" t="s">
        <v>674</v>
      </c>
      <c r="J2124" s="751" t="s">
        <v>3387</v>
      </c>
      <c r="K2124" s="555" t="s">
        <v>2764</v>
      </c>
      <c r="L2124" s="555" t="s">
        <v>4327</v>
      </c>
      <c r="M2124" s="555" t="s">
        <v>3055</v>
      </c>
    </row>
    <row r="2125" spans="3:13" ht="18.75">
      <c r="C2125" s="735"/>
      <c r="D2125" s="555" t="s">
        <v>4328</v>
      </c>
      <c r="E2125" s="757">
        <v>0.95833333333333337</v>
      </c>
      <c r="F2125" s="731">
        <v>44029</v>
      </c>
      <c r="G2125" s="730">
        <v>0.97916666666666663</v>
      </c>
      <c r="H2125" s="555" t="s">
        <v>3693</v>
      </c>
      <c r="I2125" s="555" t="s">
        <v>3347</v>
      </c>
      <c r="J2125" s="751" t="s">
        <v>3356</v>
      </c>
      <c r="K2125" s="555" t="s">
        <v>100</v>
      </c>
      <c r="L2125" s="555" t="s">
        <v>3055</v>
      </c>
      <c r="M2125" s="555" t="s">
        <v>3055</v>
      </c>
    </row>
    <row r="2126" spans="3:13" ht="18.75">
      <c r="C2126" s="735"/>
      <c r="D2126" s="555" t="s">
        <v>4328</v>
      </c>
      <c r="E2126" s="757">
        <v>0.80833333333333324</v>
      </c>
      <c r="F2126" s="731" t="s">
        <v>45</v>
      </c>
      <c r="G2126" s="730" t="s">
        <v>45</v>
      </c>
      <c r="H2126" s="555" t="s">
        <v>2868</v>
      </c>
      <c r="I2126" s="555" t="s">
        <v>61</v>
      </c>
      <c r="J2126" s="751" t="s">
        <v>3402</v>
      </c>
      <c r="K2126" s="555" t="s">
        <v>2118</v>
      </c>
      <c r="L2126" s="555" t="s">
        <v>3055</v>
      </c>
      <c r="M2126" s="555" t="s">
        <v>3055</v>
      </c>
    </row>
    <row r="2127" spans="3:13" ht="18.75">
      <c r="C2127" s="735"/>
      <c r="D2127" s="555" t="s">
        <v>4329</v>
      </c>
      <c r="E2127" s="757">
        <v>0.60416666666666663</v>
      </c>
      <c r="F2127" s="731">
        <v>44033</v>
      </c>
      <c r="G2127" s="730">
        <v>0.78333333333333333</v>
      </c>
      <c r="H2127" s="555" t="s">
        <v>3307</v>
      </c>
      <c r="I2127" s="555" t="s">
        <v>3143</v>
      </c>
      <c r="J2127" s="751" t="s">
        <v>3451</v>
      </c>
      <c r="K2127" s="555" t="s">
        <v>22</v>
      </c>
      <c r="L2127" s="555" t="s">
        <v>45</v>
      </c>
      <c r="M2127" s="555" t="s">
        <v>4331</v>
      </c>
    </row>
    <row r="2128" spans="3:13" ht="18.75">
      <c r="C2128" s="735"/>
      <c r="D2128" s="555" t="s">
        <v>4329</v>
      </c>
      <c r="E2128" s="757">
        <v>0.4375</v>
      </c>
      <c r="F2128" s="731" t="s">
        <v>45</v>
      </c>
      <c r="G2128" s="730" t="s">
        <v>45</v>
      </c>
      <c r="H2128" s="555" t="s">
        <v>4332</v>
      </c>
      <c r="I2128" s="555" t="s">
        <v>61</v>
      </c>
      <c r="J2128" s="751" t="s">
        <v>3654</v>
      </c>
      <c r="K2128" s="555" t="s">
        <v>1138</v>
      </c>
      <c r="L2128" s="555" t="s">
        <v>3193</v>
      </c>
      <c r="M2128" s="555"/>
    </row>
    <row r="2129" spans="3:13" ht="18.75">
      <c r="C2129" s="735"/>
      <c r="D2129" s="555" t="s">
        <v>4333</v>
      </c>
      <c r="E2129" s="757">
        <v>3.9583333333333331E-2</v>
      </c>
      <c r="F2129" s="731">
        <v>44032</v>
      </c>
      <c r="G2129" s="730">
        <v>0.10694444444444444</v>
      </c>
      <c r="H2129" s="555" t="s">
        <v>3591</v>
      </c>
      <c r="I2129" s="555" t="s">
        <v>1352</v>
      </c>
      <c r="J2129" s="751" t="s">
        <v>3356</v>
      </c>
      <c r="K2129" s="555" t="s">
        <v>2118</v>
      </c>
      <c r="L2129" s="555" t="s">
        <v>4334</v>
      </c>
      <c r="M2129" s="555" t="s">
        <v>4335</v>
      </c>
    </row>
    <row r="2130" spans="3:13" ht="18.75">
      <c r="C2130" s="735"/>
      <c r="D2130" s="555" t="s">
        <v>4330</v>
      </c>
      <c r="E2130" s="757">
        <v>0.49513888888888885</v>
      </c>
      <c r="F2130" s="731">
        <v>44033</v>
      </c>
      <c r="G2130" s="730">
        <v>0.54166666666666663</v>
      </c>
      <c r="H2130" s="555" t="s">
        <v>3903</v>
      </c>
      <c r="I2130" s="555" t="s">
        <v>124</v>
      </c>
      <c r="J2130" s="751" t="s">
        <v>3356</v>
      </c>
      <c r="K2130" s="555" t="s">
        <v>100</v>
      </c>
      <c r="L2130" s="555" t="s">
        <v>4136</v>
      </c>
      <c r="M2130" s="555" t="s">
        <v>4336</v>
      </c>
    </row>
    <row r="2131" spans="3:13" ht="18.75">
      <c r="C2131" s="735"/>
      <c r="D2131" s="555" t="s">
        <v>4337</v>
      </c>
      <c r="E2131" s="757">
        <v>0.47916666666666669</v>
      </c>
      <c r="F2131" s="731">
        <v>44034</v>
      </c>
      <c r="G2131" s="730">
        <v>0.59652777777777777</v>
      </c>
      <c r="H2131" s="555" t="s">
        <v>4338</v>
      </c>
      <c r="I2131" s="555" t="s">
        <v>3143</v>
      </c>
      <c r="J2131" s="751" t="s">
        <v>3411</v>
      </c>
      <c r="K2131" s="555" t="s">
        <v>2483</v>
      </c>
      <c r="L2131" s="555" t="s">
        <v>3055</v>
      </c>
      <c r="M2131" s="555" t="s">
        <v>3055</v>
      </c>
    </row>
    <row r="2132" spans="3:13" ht="18.75">
      <c r="C2132" s="735"/>
      <c r="D2132" s="555" t="s">
        <v>4339</v>
      </c>
      <c r="E2132" s="757">
        <v>0.35069444444444442</v>
      </c>
      <c r="F2132" s="731" t="s">
        <v>45</v>
      </c>
      <c r="G2132" s="730" t="s">
        <v>45</v>
      </c>
      <c r="H2132" s="555" t="s">
        <v>4340</v>
      </c>
      <c r="I2132" s="555" t="s">
        <v>61</v>
      </c>
      <c r="J2132" s="751" t="s">
        <v>3402</v>
      </c>
      <c r="K2132" s="555" t="s">
        <v>2118</v>
      </c>
      <c r="L2132" s="555" t="s">
        <v>3055</v>
      </c>
      <c r="M2132" s="555" t="s">
        <v>3055</v>
      </c>
    </row>
    <row r="2133" spans="3:13" ht="18.75">
      <c r="C2133" s="735"/>
      <c r="D2133" s="555" t="s">
        <v>4341</v>
      </c>
      <c r="E2133" s="757">
        <v>0.875</v>
      </c>
      <c r="F2133" s="731">
        <v>44038</v>
      </c>
      <c r="G2133" s="730">
        <v>0.66666666666666663</v>
      </c>
      <c r="H2133" s="555" t="s">
        <v>4343</v>
      </c>
      <c r="I2133" s="555" t="s">
        <v>1352</v>
      </c>
      <c r="J2133" s="751" t="s">
        <v>3451</v>
      </c>
      <c r="K2133" s="555" t="s">
        <v>22</v>
      </c>
      <c r="L2133" s="555" t="s">
        <v>4344</v>
      </c>
      <c r="M2133" s="555" t="s">
        <v>4345</v>
      </c>
    </row>
    <row r="2134" spans="3:13" ht="18.75">
      <c r="C2134" s="735"/>
      <c r="D2134" s="555" t="s">
        <v>4341</v>
      </c>
      <c r="E2134" s="757">
        <v>0.83194444444444438</v>
      </c>
      <c r="F2134" s="731">
        <v>44039</v>
      </c>
      <c r="G2134" s="730">
        <v>0.79166666666666663</v>
      </c>
      <c r="H2134" s="555" t="s">
        <v>4347</v>
      </c>
      <c r="I2134" s="555" t="s">
        <v>1352</v>
      </c>
      <c r="J2134" s="751" t="s">
        <v>3451</v>
      </c>
      <c r="K2134" s="555" t="s">
        <v>22</v>
      </c>
      <c r="L2134" s="555" t="s">
        <v>45</v>
      </c>
      <c r="M2134" s="555" t="s">
        <v>4348</v>
      </c>
    </row>
    <row r="2135" spans="3:13" ht="18.75">
      <c r="C2135" s="735"/>
      <c r="D2135" s="555" t="s">
        <v>4349</v>
      </c>
      <c r="E2135" s="757">
        <v>0.625</v>
      </c>
      <c r="F2135" s="731">
        <v>44040</v>
      </c>
      <c r="G2135" s="730">
        <v>0.95833333333333337</v>
      </c>
      <c r="H2135" s="555" t="s">
        <v>4350</v>
      </c>
      <c r="I2135" s="555" t="s">
        <v>3143</v>
      </c>
      <c r="J2135" s="751" t="s">
        <v>3447</v>
      </c>
      <c r="K2135" s="555" t="s">
        <v>2764</v>
      </c>
      <c r="L2135" s="555" t="s">
        <v>3055</v>
      </c>
      <c r="M2135" s="555" t="s">
        <v>3055</v>
      </c>
    </row>
    <row r="2136" spans="3:13" ht="18.75">
      <c r="C2136" s="735"/>
      <c r="D2136" s="555" t="s">
        <v>4351</v>
      </c>
      <c r="E2136" s="757">
        <v>0.74583333333333324</v>
      </c>
      <c r="F2136" s="731">
        <v>44042</v>
      </c>
      <c r="G2136" s="730">
        <v>0.84583333333333333</v>
      </c>
      <c r="H2136" s="555" t="s">
        <v>3890</v>
      </c>
      <c r="I2136" s="555" t="s">
        <v>674</v>
      </c>
      <c r="J2136" s="751" t="s">
        <v>3411</v>
      </c>
      <c r="K2136" s="555" t="s">
        <v>2483</v>
      </c>
      <c r="L2136" s="555" t="s">
        <v>3055</v>
      </c>
      <c r="M2136" s="555" t="s">
        <v>3055</v>
      </c>
    </row>
    <row r="2137" spans="3:13" ht="18.75">
      <c r="C2137" s="735"/>
      <c r="D2137" s="555" t="s">
        <v>4352</v>
      </c>
      <c r="E2137" s="757">
        <v>0.4680555555555555</v>
      </c>
      <c r="F2137" s="731">
        <v>44053</v>
      </c>
      <c r="G2137" s="730">
        <v>0.8930555555555556</v>
      </c>
      <c r="H2137" s="555" t="s">
        <v>4354</v>
      </c>
      <c r="I2137" s="555" t="s">
        <v>1352</v>
      </c>
      <c r="J2137" s="751" t="s">
        <v>3478</v>
      </c>
      <c r="K2137" s="555" t="s">
        <v>22</v>
      </c>
      <c r="L2137" s="555" t="s">
        <v>45</v>
      </c>
      <c r="M2137" s="555" t="s">
        <v>45</v>
      </c>
    </row>
    <row r="2138" spans="3:13" ht="18.75">
      <c r="C2138" s="735"/>
      <c r="D2138" s="555" t="s">
        <v>4352</v>
      </c>
      <c r="E2138" s="757">
        <v>0.3444444444444445</v>
      </c>
      <c r="F2138" s="731">
        <v>44044</v>
      </c>
      <c r="G2138" s="730">
        <v>0.38541666666666669</v>
      </c>
      <c r="H2138" s="555" t="s">
        <v>4355</v>
      </c>
      <c r="I2138" s="555" t="s">
        <v>124</v>
      </c>
      <c r="J2138" s="751" t="s">
        <v>3387</v>
      </c>
      <c r="K2138" s="555" t="s">
        <v>2764</v>
      </c>
      <c r="L2138" s="555" t="s">
        <v>3055</v>
      </c>
      <c r="M2138" s="555" t="s">
        <v>3055</v>
      </c>
    </row>
    <row r="2139" spans="3:13" ht="18.75">
      <c r="C2139" s="735"/>
      <c r="D2139" s="555" t="s">
        <v>4352</v>
      </c>
      <c r="E2139" s="757">
        <v>0</v>
      </c>
      <c r="F2139" s="731">
        <v>44044</v>
      </c>
      <c r="G2139" s="730">
        <v>6.9444444444444447E-4</v>
      </c>
      <c r="H2139" s="555" t="s">
        <v>4356</v>
      </c>
      <c r="I2139" s="555" t="s">
        <v>1352</v>
      </c>
      <c r="J2139" s="751" t="s">
        <v>4043</v>
      </c>
      <c r="K2139" s="555" t="s">
        <v>22</v>
      </c>
      <c r="L2139" s="555" t="s">
        <v>45</v>
      </c>
      <c r="M2139" s="555" t="s">
        <v>45</v>
      </c>
    </row>
    <row r="2140" spans="3:13" ht="18.75">
      <c r="C2140" s="735"/>
      <c r="D2140" s="555" t="s">
        <v>4357</v>
      </c>
      <c r="E2140" s="757">
        <v>0.82152777777777775</v>
      </c>
      <c r="F2140" s="731">
        <v>44045</v>
      </c>
      <c r="G2140" s="730">
        <v>0.93541666666666667</v>
      </c>
      <c r="H2140" s="555" t="s">
        <v>4358</v>
      </c>
      <c r="I2140" s="555" t="s">
        <v>63</v>
      </c>
      <c r="J2140" s="751" t="s">
        <v>3411</v>
      </c>
      <c r="K2140" s="555" t="s">
        <v>2483</v>
      </c>
      <c r="L2140" s="555" t="s">
        <v>3055</v>
      </c>
      <c r="M2140" s="555" t="s">
        <v>3055</v>
      </c>
    </row>
    <row r="2141" spans="3:13" ht="18.75">
      <c r="C2141" s="735"/>
      <c r="D2141" s="555" t="s">
        <v>4359</v>
      </c>
      <c r="E2141" s="757">
        <v>0.33333333333333331</v>
      </c>
      <c r="F2141" s="731">
        <v>44046</v>
      </c>
      <c r="G2141" s="730">
        <v>0.54166666666666663</v>
      </c>
      <c r="H2141" s="555" t="s">
        <v>4360</v>
      </c>
      <c r="I2141" s="555" t="s">
        <v>1352</v>
      </c>
      <c r="J2141" s="751" t="s">
        <v>3356</v>
      </c>
      <c r="K2141" s="555" t="s">
        <v>100</v>
      </c>
      <c r="L2141" s="555" t="s">
        <v>3055</v>
      </c>
      <c r="M2141" s="555" t="s">
        <v>3055</v>
      </c>
    </row>
    <row r="2142" spans="3:13" ht="18.75">
      <c r="C2142" s="735"/>
      <c r="D2142" s="555" t="s">
        <v>4359</v>
      </c>
      <c r="E2142" s="757">
        <v>0.96875</v>
      </c>
      <c r="F2142" s="731">
        <v>44049</v>
      </c>
      <c r="G2142" s="730">
        <v>0.29166666666666669</v>
      </c>
      <c r="H2142" s="555" t="s">
        <v>2832</v>
      </c>
      <c r="I2142" s="555" t="s">
        <v>63</v>
      </c>
      <c r="J2142" s="751" t="s">
        <v>3451</v>
      </c>
      <c r="K2142" s="555" t="s">
        <v>22</v>
      </c>
      <c r="L2142" s="555" t="s">
        <v>45</v>
      </c>
      <c r="M2142" s="555" t="s">
        <v>3817</v>
      </c>
    </row>
    <row r="2143" spans="3:13" ht="18.75">
      <c r="C2143" s="735"/>
      <c r="D2143" s="555" t="s">
        <v>4359</v>
      </c>
      <c r="E2143" s="757">
        <v>0.95972222222222225</v>
      </c>
      <c r="F2143" s="731" t="s">
        <v>45</v>
      </c>
      <c r="G2143" s="730" t="s">
        <v>45</v>
      </c>
      <c r="H2143" s="555" t="s">
        <v>2928</v>
      </c>
      <c r="I2143" s="555" t="s">
        <v>63</v>
      </c>
      <c r="J2143" s="751" t="s">
        <v>4362</v>
      </c>
      <c r="K2143" s="555" t="s">
        <v>22</v>
      </c>
      <c r="L2143" s="555" t="s">
        <v>45</v>
      </c>
      <c r="M2143" s="555" t="s">
        <v>45</v>
      </c>
    </row>
    <row r="2144" spans="3:13" ht="18.75">
      <c r="C2144" s="735"/>
      <c r="D2144" s="555" t="s">
        <v>4363</v>
      </c>
      <c r="E2144" s="757">
        <v>0.5</v>
      </c>
      <c r="F2144" s="731">
        <v>44050</v>
      </c>
      <c r="G2144" s="730">
        <v>0.25</v>
      </c>
      <c r="H2144" s="555" t="s">
        <v>4365</v>
      </c>
      <c r="I2144" s="555" t="s">
        <v>61</v>
      </c>
      <c r="J2144" s="751" t="s">
        <v>3451</v>
      </c>
      <c r="K2144" s="555" t="s">
        <v>22</v>
      </c>
      <c r="L2144" s="555" t="s">
        <v>45</v>
      </c>
      <c r="M2144" s="555" t="s">
        <v>3058</v>
      </c>
    </row>
    <row r="2145" spans="3:13" ht="18.75">
      <c r="C2145" s="735"/>
      <c r="D2145" s="555" t="s">
        <v>4363</v>
      </c>
      <c r="E2145" s="757">
        <v>0.54166666666666663</v>
      </c>
      <c r="F2145" s="731">
        <v>44047</v>
      </c>
      <c r="G2145" s="730">
        <v>0.99930555555555556</v>
      </c>
      <c r="H2145" s="555" t="s">
        <v>4366</v>
      </c>
      <c r="I2145" s="555" t="s">
        <v>61</v>
      </c>
      <c r="J2145" s="751" t="s">
        <v>3451</v>
      </c>
      <c r="K2145" s="555" t="s">
        <v>22</v>
      </c>
      <c r="L2145" s="555" t="s">
        <v>4367</v>
      </c>
      <c r="M2145" s="555" t="s">
        <v>3209</v>
      </c>
    </row>
    <row r="2146" spans="3:13" ht="18.75">
      <c r="C2146" s="735"/>
      <c r="D2146" s="555" t="s">
        <v>4363</v>
      </c>
      <c r="E2146" s="757">
        <v>0.47222222222222227</v>
      </c>
      <c r="F2146" s="731">
        <v>44050</v>
      </c>
      <c r="G2146" s="730">
        <v>0.4548611111111111</v>
      </c>
      <c r="H2146" s="555" t="s">
        <v>2833</v>
      </c>
      <c r="I2146" s="555" t="s">
        <v>3143</v>
      </c>
      <c r="J2146" s="751" t="s">
        <v>3451</v>
      </c>
      <c r="K2146" s="555" t="s">
        <v>22</v>
      </c>
      <c r="L2146" s="555" t="s">
        <v>3880</v>
      </c>
      <c r="M2146" s="555" t="s">
        <v>4368</v>
      </c>
    </row>
    <row r="2147" spans="3:13" ht="18.75">
      <c r="C2147" s="735"/>
      <c r="D2147" s="555" t="s">
        <v>4363</v>
      </c>
      <c r="E2147" s="757">
        <v>0.375</v>
      </c>
      <c r="F2147" s="731">
        <v>44048</v>
      </c>
      <c r="G2147" s="730">
        <v>0.75</v>
      </c>
      <c r="H2147" s="555" t="s">
        <v>2830</v>
      </c>
      <c r="I2147" s="555" t="s">
        <v>3143</v>
      </c>
      <c r="J2147" s="751" t="s">
        <v>3451</v>
      </c>
      <c r="K2147" s="555" t="s">
        <v>22</v>
      </c>
      <c r="L2147" s="555" t="s">
        <v>45</v>
      </c>
      <c r="M2147" s="555" t="s">
        <v>3462</v>
      </c>
    </row>
    <row r="2148" spans="3:13" ht="18.75">
      <c r="C2148" s="735"/>
      <c r="D2148" s="555" t="s">
        <v>4363</v>
      </c>
      <c r="E2148" s="757">
        <v>0.58333333333333337</v>
      </c>
      <c r="F2148" s="731">
        <v>44051</v>
      </c>
      <c r="G2148" s="730">
        <v>0.5</v>
      </c>
      <c r="H2148" s="555" t="s">
        <v>4371</v>
      </c>
      <c r="I2148" s="555" t="s">
        <v>61</v>
      </c>
      <c r="J2148" s="751" t="s">
        <v>3451</v>
      </c>
      <c r="K2148" s="555" t="s">
        <v>22</v>
      </c>
      <c r="L2148" s="555" t="s">
        <v>45</v>
      </c>
      <c r="M2148" s="555" t="s">
        <v>4372</v>
      </c>
    </row>
    <row r="2149" spans="3:13" ht="18.75">
      <c r="C2149" s="735"/>
      <c r="D2149" s="555" t="s">
        <v>4363</v>
      </c>
      <c r="E2149" s="757">
        <v>0.19513888888888889</v>
      </c>
      <c r="F2149" s="731">
        <v>44048</v>
      </c>
      <c r="G2149" s="730">
        <v>0.68472222222222223</v>
      </c>
      <c r="H2149" s="555" t="s">
        <v>3325</v>
      </c>
      <c r="I2149" s="555" t="s">
        <v>63</v>
      </c>
      <c r="J2149" s="751" t="s">
        <v>3451</v>
      </c>
      <c r="K2149" s="555" t="s">
        <v>22</v>
      </c>
      <c r="L2149" s="555" t="s">
        <v>45</v>
      </c>
      <c r="M2149" s="555" t="s">
        <v>4373</v>
      </c>
    </row>
    <row r="2150" spans="3:13" ht="18.75">
      <c r="C2150" s="735"/>
      <c r="D2150" s="555" t="s">
        <v>4363</v>
      </c>
      <c r="E2150" s="757">
        <v>0.51250000000000007</v>
      </c>
      <c r="F2150" s="731">
        <v>44051</v>
      </c>
      <c r="G2150" s="730">
        <v>0.72986111111111107</v>
      </c>
      <c r="H2150" s="555" t="s">
        <v>2833</v>
      </c>
      <c r="I2150" s="555" t="s">
        <v>3143</v>
      </c>
      <c r="J2150" s="751" t="s">
        <v>3451</v>
      </c>
      <c r="K2150" s="555" t="s">
        <v>22</v>
      </c>
      <c r="L2150" s="555" t="s">
        <v>45</v>
      </c>
      <c r="M2150" s="555" t="s">
        <v>4374</v>
      </c>
    </row>
    <row r="2151" spans="3:13" ht="18.75">
      <c r="C2151" s="735"/>
      <c r="D2151" s="555" t="s">
        <v>4363</v>
      </c>
      <c r="E2151" s="757">
        <v>0.60763888888888895</v>
      </c>
      <c r="F2151" s="731">
        <v>44053</v>
      </c>
      <c r="G2151" s="730">
        <v>0.45833333333333331</v>
      </c>
      <c r="H2151" s="555" t="s">
        <v>3719</v>
      </c>
      <c r="I2151" s="555" t="s">
        <v>61</v>
      </c>
      <c r="J2151" s="751" t="s">
        <v>3451</v>
      </c>
      <c r="K2151" s="555" t="s">
        <v>22</v>
      </c>
      <c r="L2151" s="555" t="s">
        <v>45</v>
      </c>
      <c r="M2151" s="555" t="s">
        <v>4375</v>
      </c>
    </row>
    <row r="2152" spans="3:13" ht="18.75">
      <c r="C2152" s="735"/>
      <c r="D2152" s="555" t="s">
        <v>4363</v>
      </c>
      <c r="E2152" s="757">
        <v>0.63541666666666663</v>
      </c>
      <c r="F2152" s="731">
        <v>44050</v>
      </c>
      <c r="G2152" s="730">
        <v>0.43541666666666662</v>
      </c>
      <c r="H2152" s="555" t="s">
        <v>3139</v>
      </c>
      <c r="I2152" s="555" t="s">
        <v>61</v>
      </c>
      <c r="J2152" s="751" t="s">
        <v>3451</v>
      </c>
      <c r="K2152" s="555" t="s">
        <v>22</v>
      </c>
      <c r="L2152" s="555" t="s">
        <v>3944</v>
      </c>
      <c r="M2152" s="555" t="s">
        <v>4376</v>
      </c>
    </row>
    <row r="2153" spans="3:13" ht="18.75">
      <c r="C2153" s="735"/>
      <c r="D2153" s="555" t="s">
        <v>4363</v>
      </c>
      <c r="E2153" s="757">
        <v>0.56319444444444444</v>
      </c>
      <c r="F2153" s="731" t="s">
        <v>45</v>
      </c>
      <c r="G2153" s="730" t="s">
        <v>45</v>
      </c>
      <c r="H2153" s="555" t="s">
        <v>4377</v>
      </c>
      <c r="I2153" s="555" t="s">
        <v>61</v>
      </c>
      <c r="J2153" s="751" t="s">
        <v>3451</v>
      </c>
      <c r="K2153" s="555" t="s">
        <v>22</v>
      </c>
      <c r="L2153" s="555" t="s">
        <v>45</v>
      </c>
      <c r="M2153" s="555" t="s">
        <v>4378</v>
      </c>
    </row>
    <row r="2154" spans="3:13" ht="18.75">
      <c r="C2154" s="735"/>
      <c r="D2154" s="555" t="s">
        <v>4363</v>
      </c>
      <c r="E2154" s="757">
        <v>0.25069444444444444</v>
      </c>
      <c r="F2154" s="731">
        <v>44049</v>
      </c>
      <c r="G2154" s="730">
        <v>0.64583333333333337</v>
      </c>
      <c r="H2154" s="555" t="s">
        <v>4379</v>
      </c>
      <c r="I2154" s="555" t="s">
        <v>63</v>
      </c>
      <c r="J2154" s="751" t="s">
        <v>3451</v>
      </c>
      <c r="K2154" s="555" t="s">
        <v>22</v>
      </c>
      <c r="L2154" s="555" t="s">
        <v>4380</v>
      </c>
      <c r="M2154" s="555" t="s">
        <v>4381</v>
      </c>
    </row>
    <row r="2155" spans="3:13" ht="18.75">
      <c r="C2155" s="735"/>
      <c r="D2155" s="555" t="s">
        <v>4363</v>
      </c>
      <c r="E2155" s="757">
        <v>0.5</v>
      </c>
      <c r="F2155" s="731" t="s">
        <v>45</v>
      </c>
      <c r="G2155" s="730" t="s">
        <v>45</v>
      </c>
      <c r="H2155" s="555" t="s">
        <v>4237</v>
      </c>
      <c r="I2155" s="555" t="s">
        <v>3143</v>
      </c>
      <c r="J2155" s="751" t="s">
        <v>3451</v>
      </c>
      <c r="K2155" s="555" t="s">
        <v>22</v>
      </c>
      <c r="L2155" s="555" t="s">
        <v>45</v>
      </c>
      <c r="M2155" s="555" t="s">
        <v>4382</v>
      </c>
    </row>
    <row r="2156" spans="3:13" ht="18.75">
      <c r="C2156" s="735"/>
      <c r="D2156" s="555" t="s">
        <v>4363</v>
      </c>
      <c r="E2156" s="757">
        <v>0.4375</v>
      </c>
      <c r="F2156" s="731" t="s">
        <v>45</v>
      </c>
      <c r="G2156" s="730" t="s">
        <v>45</v>
      </c>
      <c r="H2156" s="555" t="s">
        <v>2833</v>
      </c>
      <c r="I2156" s="555" t="s">
        <v>3143</v>
      </c>
      <c r="J2156" s="751" t="s">
        <v>3451</v>
      </c>
      <c r="K2156" s="555" t="s">
        <v>22</v>
      </c>
      <c r="L2156" s="555" t="s">
        <v>45</v>
      </c>
      <c r="M2156" s="555" t="s">
        <v>3340</v>
      </c>
    </row>
    <row r="2157" spans="3:13" ht="18.75">
      <c r="C2157" s="735"/>
      <c r="D2157" s="555" t="s">
        <v>4363</v>
      </c>
      <c r="E2157" s="757">
        <v>0.60763888888888895</v>
      </c>
      <c r="F2157" s="731" t="s">
        <v>45</v>
      </c>
      <c r="G2157" s="730" t="s">
        <v>45</v>
      </c>
      <c r="H2157" s="555" t="s">
        <v>2868</v>
      </c>
      <c r="I2157" s="555" t="s">
        <v>61</v>
      </c>
      <c r="J2157" s="751" t="s">
        <v>3451</v>
      </c>
      <c r="K2157" s="555" t="s">
        <v>22</v>
      </c>
      <c r="L2157" s="555" t="s">
        <v>45</v>
      </c>
      <c r="M2157" s="555" t="s">
        <v>4375</v>
      </c>
    </row>
    <row r="2158" spans="3:13" ht="18.75">
      <c r="C2158" s="735"/>
      <c r="D2158" s="555" t="s">
        <v>4369</v>
      </c>
      <c r="E2158" s="757">
        <v>0.74861111111111101</v>
      </c>
      <c r="F2158" s="731">
        <v>44048</v>
      </c>
      <c r="G2158" s="730">
        <v>0.87013888888888891</v>
      </c>
      <c r="H2158" s="555" t="s">
        <v>4383</v>
      </c>
      <c r="I2158" s="555" t="s">
        <v>1352</v>
      </c>
      <c r="J2158" s="751" t="s">
        <v>3411</v>
      </c>
      <c r="K2158" s="555" t="s">
        <v>2483</v>
      </c>
      <c r="L2158" s="555" t="s">
        <v>4384</v>
      </c>
      <c r="M2158" s="555" t="s">
        <v>4385</v>
      </c>
    </row>
    <row r="2159" spans="3:13" ht="18.75">
      <c r="C2159" s="735"/>
      <c r="D2159" s="555" t="s">
        <v>4364</v>
      </c>
      <c r="E2159" s="757">
        <v>0.21736111111111112</v>
      </c>
      <c r="F2159" s="731" t="s">
        <v>45</v>
      </c>
      <c r="G2159" s="730" t="s">
        <v>45</v>
      </c>
      <c r="H2159" s="555" t="s">
        <v>4386</v>
      </c>
      <c r="I2159" s="555" t="s">
        <v>61</v>
      </c>
      <c r="J2159" s="751" t="s">
        <v>3910</v>
      </c>
      <c r="K2159" s="555" t="s">
        <v>22</v>
      </c>
      <c r="L2159" s="555" t="s">
        <v>3198</v>
      </c>
      <c r="M2159" s="555" t="s">
        <v>4387</v>
      </c>
    </row>
    <row r="2160" spans="3:13" ht="18.75">
      <c r="C2160" s="735"/>
      <c r="D2160" s="555" t="s">
        <v>4353</v>
      </c>
      <c r="E2160" s="757">
        <v>0.45833333333333331</v>
      </c>
      <c r="F2160" s="731">
        <v>44053</v>
      </c>
      <c r="G2160" s="730">
        <v>0.66666666666666663</v>
      </c>
      <c r="H2160" s="555" t="s">
        <v>4388</v>
      </c>
      <c r="I2160" s="555" t="s">
        <v>674</v>
      </c>
      <c r="J2160" s="751" t="s">
        <v>4389</v>
      </c>
      <c r="K2160" s="555" t="s">
        <v>22</v>
      </c>
      <c r="L2160" s="555" t="s">
        <v>4390</v>
      </c>
      <c r="M2160" s="555" t="s">
        <v>45</v>
      </c>
    </row>
    <row r="2161" spans="3:13" ht="18.75">
      <c r="C2161" s="735"/>
      <c r="D2161" s="555" t="s">
        <v>4353</v>
      </c>
      <c r="E2161" s="757">
        <v>0.66666666666666663</v>
      </c>
      <c r="F2161" s="731">
        <v>44056</v>
      </c>
      <c r="G2161" s="730">
        <v>0.625</v>
      </c>
      <c r="H2161" s="555" t="s">
        <v>4392</v>
      </c>
      <c r="I2161" s="555" t="s">
        <v>63</v>
      </c>
      <c r="J2161" s="751" t="s">
        <v>3451</v>
      </c>
      <c r="K2161" s="555" t="s">
        <v>22</v>
      </c>
      <c r="L2161" s="555" t="s">
        <v>45</v>
      </c>
      <c r="M2161" s="555" t="s">
        <v>4393</v>
      </c>
    </row>
    <row r="2162" spans="3:13" ht="18.75">
      <c r="C2162" s="735"/>
      <c r="D2162" s="555" t="s">
        <v>4353</v>
      </c>
      <c r="E2162" s="757">
        <v>0.53402777777777777</v>
      </c>
      <c r="F2162" s="731" t="s">
        <v>45</v>
      </c>
      <c r="G2162" s="730" t="s">
        <v>45</v>
      </c>
      <c r="H2162" s="555" t="s">
        <v>4394</v>
      </c>
      <c r="I2162" s="555" t="s">
        <v>674</v>
      </c>
      <c r="J2162" s="751" t="s">
        <v>4362</v>
      </c>
      <c r="K2162" s="555" t="s">
        <v>22</v>
      </c>
      <c r="L2162" s="555" t="s">
        <v>45</v>
      </c>
      <c r="M2162" s="555" t="s">
        <v>45</v>
      </c>
    </row>
    <row r="2163" spans="3:13" ht="18.75">
      <c r="C2163" s="735"/>
      <c r="D2163" s="555" t="s">
        <v>4353</v>
      </c>
      <c r="E2163" s="757">
        <v>0.94374999999999998</v>
      </c>
      <c r="F2163" s="731">
        <v>44056</v>
      </c>
      <c r="G2163" s="730">
        <v>0.65833333333333333</v>
      </c>
      <c r="H2163" s="555" t="s">
        <v>3561</v>
      </c>
      <c r="I2163" s="555" t="s">
        <v>3143</v>
      </c>
      <c r="J2163" s="751" t="s">
        <v>3451</v>
      </c>
      <c r="K2163" s="555" t="s">
        <v>22</v>
      </c>
      <c r="L2163" s="555" t="s">
        <v>45</v>
      </c>
      <c r="M2163" s="555" t="s">
        <v>4395</v>
      </c>
    </row>
    <row r="2164" spans="3:13" ht="18.75">
      <c r="C2164" s="735"/>
      <c r="D2164" s="555" t="s">
        <v>4353</v>
      </c>
      <c r="E2164" s="757">
        <v>0.60416666666666663</v>
      </c>
      <c r="F2164" s="731" t="s">
        <v>45</v>
      </c>
      <c r="G2164" s="730" t="s">
        <v>45</v>
      </c>
      <c r="H2164" s="555" t="s">
        <v>4396</v>
      </c>
      <c r="I2164" s="555" t="s">
        <v>63</v>
      </c>
      <c r="J2164" s="751" t="s">
        <v>3451</v>
      </c>
      <c r="K2164" s="555" t="s">
        <v>22</v>
      </c>
      <c r="L2164" s="555" t="s">
        <v>45</v>
      </c>
      <c r="M2164" s="555" t="s">
        <v>4397</v>
      </c>
    </row>
    <row r="2165" spans="3:13" ht="18.75">
      <c r="C2165" s="735"/>
      <c r="D2165" s="555" t="s">
        <v>4353</v>
      </c>
      <c r="E2165" s="757">
        <v>0.93402777777777779</v>
      </c>
      <c r="F2165" s="731">
        <v>44053</v>
      </c>
      <c r="G2165" s="730">
        <v>0.95972222222222225</v>
      </c>
      <c r="H2165" s="555" t="s">
        <v>4398</v>
      </c>
      <c r="I2165" s="555" t="s">
        <v>61</v>
      </c>
      <c r="J2165" s="751" t="s">
        <v>3387</v>
      </c>
      <c r="K2165" s="555" t="s">
        <v>2764</v>
      </c>
      <c r="L2165" s="555" t="s">
        <v>3055</v>
      </c>
      <c r="M2165" s="555" t="s">
        <v>3055</v>
      </c>
    </row>
    <row r="2166" spans="3:13" ht="18.75">
      <c r="C2166" s="735"/>
      <c r="D2166" s="555" t="s">
        <v>4353</v>
      </c>
      <c r="E2166" s="757">
        <v>0.52638888888888891</v>
      </c>
      <c r="F2166" s="731" t="s">
        <v>45</v>
      </c>
      <c r="G2166" s="730" t="s">
        <v>45</v>
      </c>
      <c r="H2166" s="555" t="s">
        <v>4394</v>
      </c>
      <c r="I2166" s="555" t="s">
        <v>674</v>
      </c>
      <c r="J2166" s="751" t="s">
        <v>3910</v>
      </c>
      <c r="K2166" s="555" t="s">
        <v>22</v>
      </c>
      <c r="L2166" s="555" t="s">
        <v>4399</v>
      </c>
      <c r="M2166" s="555" t="s">
        <v>3297</v>
      </c>
    </row>
    <row r="2167" spans="3:13" ht="18.75">
      <c r="C2167" s="735"/>
      <c r="D2167" s="555" t="s">
        <v>4353</v>
      </c>
      <c r="E2167" s="757">
        <v>0.41666666666666669</v>
      </c>
      <c r="F2167" s="731" t="s">
        <v>45</v>
      </c>
      <c r="G2167" s="730" t="s">
        <v>45</v>
      </c>
      <c r="H2167" s="555" t="s">
        <v>4400</v>
      </c>
      <c r="I2167" s="555" t="s">
        <v>674</v>
      </c>
      <c r="J2167" s="751" t="s">
        <v>3451</v>
      </c>
      <c r="K2167" s="555" t="s">
        <v>22</v>
      </c>
      <c r="L2167" s="555" t="s">
        <v>4401</v>
      </c>
      <c r="M2167" s="555" t="s">
        <v>3315</v>
      </c>
    </row>
    <row r="2168" spans="3:13" ht="18.75">
      <c r="C2168" s="735"/>
      <c r="D2168" s="555" t="s">
        <v>4391</v>
      </c>
      <c r="E2168" s="757">
        <v>0.57708333333333328</v>
      </c>
      <c r="F2168" s="731">
        <v>44056</v>
      </c>
      <c r="G2168" s="730">
        <v>0.68541666666666667</v>
      </c>
      <c r="H2168" s="555" t="s">
        <v>4402</v>
      </c>
      <c r="I2168" s="555" t="s">
        <v>1352</v>
      </c>
      <c r="J2168" s="751" t="s">
        <v>3750</v>
      </c>
      <c r="K2168" s="555" t="s">
        <v>2764</v>
      </c>
      <c r="L2168" s="555" t="s">
        <v>4403</v>
      </c>
      <c r="M2168" s="555" t="s">
        <v>4404</v>
      </c>
    </row>
    <row r="2169" spans="3:13" ht="18.75">
      <c r="C2169" s="735"/>
      <c r="D2169" s="555" t="s">
        <v>4405</v>
      </c>
      <c r="E2169" s="757">
        <v>0.77500000000000002</v>
      </c>
      <c r="F2169" s="731">
        <v>44057</v>
      </c>
      <c r="G2169" s="730">
        <v>0.86249999999999993</v>
      </c>
      <c r="H2169" s="555" t="s">
        <v>2945</v>
      </c>
      <c r="I2169" s="555" t="s">
        <v>124</v>
      </c>
      <c r="J2169" s="751" t="s">
        <v>3750</v>
      </c>
      <c r="K2169" s="555" t="s">
        <v>2764</v>
      </c>
      <c r="L2169" s="555" t="s">
        <v>4406</v>
      </c>
      <c r="M2169" s="555" t="s">
        <v>4407</v>
      </c>
    </row>
    <row r="2170" spans="3:13" ht="18.75">
      <c r="C2170" s="735"/>
      <c r="D2170" s="555" t="s">
        <v>4405</v>
      </c>
      <c r="E2170" s="757">
        <v>0.69374999999999998</v>
      </c>
      <c r="F2170" s="731">
        <v>44057</v>
      </c>
      <c r="G2170" s="730">
        <v>0.73749999999999993</v>
      </c>
      <c r="H2170" s="555" t="s">
        <v>4408</v>
      </c>
      <c r="I2170" s="555" t="s">
        <v>63</v>
      </c>
      <c r="J2170" s="751" t="s">
        <v>3411</v>
      </c>
      <c r="K2170" s="555" t="s">
        <v>2483</v>
      </c>
      <c r="L2170" s="555" t="s">
        <v>4409</v>
      </c>
      <c r="M2170" s="555" t="s">
        <v>4410</v>
      </c>
    </row>
    <row r="2171" spans="3:13" ht="18.75">
      <c r="C2171" s="735"/>
      <c r="D2171" s="555" t="s">
        <v>4405</v>
      </c>
      <c r="E2171" s="757">
        <v>0.71875</v>
      </c>
      <c r="F2171" s="731">
        <v>44058</v>
      </c>
      <c r="G2171" s="730">
        <v>0.875</v>
      </c>
      <c r="H2171" s="555" t="s">
        <v>2945</v>
      </c>
      <c r="I2171" s="555" t="s">
        <v>124</v>
      </c>
      <c r="J2171" s="751" t="s">
        <v>3750</v>
      </c>
      <c r="K2171" s="555" t="s">
        <v>22</v>
      </c>
      <c r="L2171" s="555" t="s">
        <v>4412</v>
      </c>
      <c r="M2171" s="555" t="s">
        <v>45</v>
      </c>
    </row>
    <row r="2172" spans="3:13" ht="18.75">
      <c r="C2172" s="735"/>
      <c r="D2172" s="555" t="s">
        <v>4405</v>
      </c>
      <c r="E2172" s="757">
        <v>0.78125</v>
      </c>
      <c r="F2172" s="731">
        <v>44057</v>
      </c>
      <c r="G2172" s="730">
        <v>0.8833333333333333</v>
      </c>
      <c r="H2172" s="555" t="s">
        <v>4413</v>
      </c>
      <c r="I2172" s="555" t="s">
        <v>124</v>
      </c>
      <c r="J2172" s="751" t="s">
        <v>3750</v>
      </c>
      <c r="K2172" s="555" t="s">
        <v>2764</v>
      </c>
      <c r="L2172" s="555" t="s">
        <v>4414</v>
      </c>
      <c r="M2172" s="555" t="s">
        <v>3679</v>
      </c>
    </row>
    <row r="2173" spans="3:13" ht="18.75">
      <c r="C2173" s="735"/>
      <c r="D2173" s="555" t="s">
        <v>4405</v>
      </c>
      <c r="E2173" s="757">
        <v>0.83333333333333337</v>
      </c>
      <c r="F2173" s="731">
        <v>44059</v>
      </c>
      <c r="G2173" s="730">
        <v>0.70833333333333337</v>
      </c>
      <c r="H2173" s="555" t="s">
        <v>4416</v>
      </c>
      <c r="I2173" s="555" t="s">
        <v>674</v>
      </c>
      <c r="J2173" s="751" t="s">
        <v>3451</v>
      </c>
      <c r="K2173" s="555" t="s">
        <v>22</v>
      </c>
      <c r="L2173" s="555" t="s">
        <v>45</v>
      </c>
      <c r="M2173" s="555" t="s">
        <v>3237</v>
      </c>
    </row>
    <row r="2174" spans="3:13" ht="18.75">
      <c r="C2174" s="735"/>
      <c r="D2174" s="555" t="s">
        <v>4411</v>
      </c>
      <c r="E2174" s="757">
        <v>0.76736111111111116</v>
      </c>
      <c r="F2174" s="731">
        <v>44058</v>
      </c>
      <c r="G2174" s="730">
        <v>0.8222222222222223</v>
      </c>
      <c r="H2174" s="555" t="s">
        <v>2945</v>
      </c>
      <c r="I2174" s="555" t="s">
        <v>124</v>
      </c>
      <c r="J2174" s="751" t="s">
        <v>3750</v>
      </c>
      <c r="K2174" s="555" t="s">
        <v>2764</v>
      </c>
      <c r="L2174" s="555" t="s">
        <v>4417</v>
      </c>
      <c r="M2174" s="555" t="s">
        <v>4407</v>
      </c>
    </row>
    <row r="2175" spans="3:13" ht="18.75">
      <c r="C2175" s="735"/>
      <c r="D2175" s="555" t="s">
        <v>4411</v>
      </c>
      <c r="E2175" s="757">
        <v>0.62013888888888891</v>
      </c>
      <c r="F2175" s="731">
        <v>44058</v>
      </c>
      <c r="G2175" s="730">
        <v>0.83333333333333337</v>
      </c>
      <c r="H2175" s="555" t="s">
        <v>2945</v>
      </c>
      <c r="I2175" s="555" t="s">
        <v>124</v>
      </c>
      <c r="J2175" s="751" t="s">
        <v>3750</v>
      </c>
      <c r="K2175" s="555" t="s">
        <v>22</v>
      </c>
      <c r="L2175" s="555" t="s">
        <v>4418</v>
      </c>
      <c r="M2175" s="555" t="s">
        <v>45</v>
      </c>
    </row>
    <row r="2176" spans="3:13" ht="18.75">
      <c r="C2176" s="735"/>
      <c r="D2176" s="555" t="s">
        <v>4411</v>
      </c>
      <c r="E2176" s="757">
        <v>0.625</v>
      </c>
      <c r="F2176" s="731">
        <v>44058</v>
      </c>
      <c r="G2176" s="730">
        <v>0.82291666666666663</v>
      </c>
      <c r="H2176" s="555" t="s">
        <v>4419</v>
      </c>
      <c r="I2176" s="555" t="s">
        <v>124</v>
      </c>
      <c r="J2176" s="751" t="s">
        <v>3750</v>
      </c>
      <c r="K2176" s="555" t="s">
        <v>2764</v>
      </c>
      <c r="L2176" s="555" t="s">
        <v>3110</v>
      </c>
      <c r="M2176" s="555" t="s">
        <v>3340</v>
      </c>
    </row>
    <row r="2177" spans="3:13" ht="18.75">
      <c r="C2177" s="735"/>
      <c r="D2177" s="555" t="s">
        <v>4411</v>
      </c>
      <c r="E2177" s="757">
        <v>0.70833333333333337</v>
      </c>
      <c r="F2177" s="731" t="s">
        <v>45</v>
      </c>
      <c r="G2177" s="730" t="s">
        <v>45</v>
      </c>
      <c r="H2177" s="555" t="s">
        <v>2813</v>
      </c>
      <c r="I2177" s="555" t="s">
        <v>124</v>
      </c>
      <c r="J2177" s="751" t="s">
        <v>3463</v>
      </c>
      <c r="K2177" s="555" t="s">
        <v>100</v>
      </c>
      <c r="L2177" s="555" t="s">
        <v>3055</v>
      </c>
      <c r="M2177" s="555" t="s">
        <v>3643</v>
      </c>
    </row>
    <row r="2178" spans="3:13" ht="18.75">
      <c r="C2178" s="735"/>
      <c r="D2178" s="555" t="s">
        <v>4411</v>
      </c>
      <c r="E2178" s="757">
        <v>0.7368055555555556</v>
      </c>
      <c r="F2178" s="731">
        <v>44058</v>
      </c>
      <c r="G2178" s="730">
        <v>0.78333333333333333</v>
      </c>
      <c r="H2178" s="555" t="s">
        <v>3179</v>
      </c>
      <c r="I2178" s="555" t="s">
        <v>61</v>
      </c>
      <c r="J2178" s="751" t="s">
        <v>3402</v>
      </c>
      <c r="K2178" s="555" t="s">
        <v>2118</v>
      </c>
      <c r="L2178" s="555" t="s">
        <v>3055</v>
      </c>
      <c r="M2178" s="555" t="s">
        <v>3055</v>
      </c>
    </row>
    <row r="2179" spans="3:13" ht="18.75">
      <c r="C2179" s="735"/>
      <c r="D2179" s="555" t="s">
        <v>4415</v>
      </c>
      <c r="E2179" s="757">
        <v>0.83333333333333337</v>
      </c>
      <c r="F2179" s="731">
        <v>44061</v>
      </c>
      <c r="G2179" s="730">
        <v>0.875</v>
      </c>
      <c r="H2179" s="555" t="s">
        <v>4421</v>
      </c>
      <c r="I2179" s="555" t="s">
        <v>1352</v>
      </c>
      <c r="J2179" s="751" t="s">
        <v>3451</v>
      </c>
      <c r="K2179" s="555" t="s">
        <v>22</v>
      </c>
      <c r="L2179" s="555" t="s">
        <v>45</v>
      </c>
      <c r="M2179" s="555" t="s">
        <v>3315</v>
      </c>
    </row>
    <row r="2180" spans="3:13" ht="18.75">
      <c r="C2180" s="735"/>
      <c r="D2180" s="555" t="s">
        <v>4415</v>
      </c>
      <c r="E2180" s="757">
        <v>0.15555555555555556</v>
      </c>
      <c r="F2180" s="731">
        <v>44060</v>
      </c>
      <c r="G2180" s="730">
        <v>0.59583333333333333</v>
      </c>
      <c r="H2180" s="555" t="s">
        <v>2945</v>
      </c>
      <c r="I2180" s="555" t="s">
        <v>124</v>
      </c>
      <c r="J2180" s="751" t="s">
        <v>3451</v>
      </c>
      <c r="K2180" s="555" t="s">
        <v>22</v>
      </c>
      <c r="L2180" s="555" t="s">
        <v>4423</v>
      </c>
      <c r="M2180" s="555" t="s">
        <v>4424</v>
      </c>
    </row>
    <row r="2181" spans="3:13" ht="18.75">
      <c r="C2181" s="735"/>
      <c r="D2181" s="555" t="s">
        <v>4415</v>
      </c>
      <c r="E2181" s="757">
        <v>0.72916666666666663</v>
      </c>
      <c r="F2181" s="731">
        <v>44059</v>
      </c>
      <c r="G2181" s="730">
        <v>0.79861111111111116</v>
      </c>
      <c r="H2181" s="555" t="s">
        <v>2945</v>
      </c>
      <c r="I2181" s="555" t="s">
        <v>124</v>
      </c>
      <c r="J2181" s="751" t="s">
        <v>3478</v>
      </c>
      <c r="K2181" s="555" t="s">
        <v>22</v>
      </c>
      <c r="L2181" s="555" t="s">
        <v>4425</v>
      </c>
      <c r="M2181" s="555" t="s">
        <v>45</v>
      </c>
    </row>
    <row r="2182" spans="3:13" ht="18.75">
      <c r="C2182" s="735"/>
      <c r="D2182" s="555" t="s">
        <v>4422</v>
      </c>
      <c r="E2182" s="757">
        <v>0.34791666666666665</v>
      </c>
      <c r="F2182" s="731">
        <v>44060</v>
      </c>
      <c r="G2182" s="730">
        <v>0.3756944444444445</v>
      </c>
      <c r="H2182" s="555" t="s">
        <v>4426</v>
      </c>
      <c r="I2182" s="555" t="s">
        <v>124</v>
      </c>
      <c r="J2182" s="751" t="s">
        <v>4071</v>
      </c>
      <c r="K2182" s="555" t="s">
        <v>22</v>
      </c>
      <c r="L2182" s="555" t="s">
        <v>3082</v>
      </c>
      <c r="M2182" s="555" t="s">
        <v>3082</v>
      </c>
    </row>
    <row r="2183" spans="3:13" ht="18.75">
      <c r="C2183" s="735"/>
      <c r="D2183" s="555" t="s">
        <v>4422</v>
      </c>
      <c r="E2183" s="757">
        <v>0.62847222222222221</v>
      </c>
      <c r="F2183" s="731">
        <v>44060</v>
      </c>
      <c r="G2183" s="730">
        <v>0.89166666666666661</v>
      </c>
      <c r="H2183" s="555" t="s">
        <v>2945</v>
      </c>
      <c r="I2183" s="555" t="s">
        <v>124</v>
      </c>
      <c r="J2183" s="751" t="s">
        <v>3478</v>
      </c>
      <c r="K2183" s="555" t="s">
        <v>22</v>
      </c>
      <c r="L2183" s="555" t="s">
        <v>4427</v>
      </c>
      <c r="M2183" s="555" t="s">
        <v>45</v>
      </c>
    </row>
    <row r="2184" spans="3:13" ht="18.75">
      <c r="C2184" s="735"/>
      <c r="D2184" s="555" t="s">
        <v>4420</v>
      </c>
      <c r="E2184" s="757">
        <v>0.79166666666666663</v>
      </c>
      <c r="F2184" s="731">
        <v>44061</v>
      </c>
      <c r="G2184" s="730">
        <v>0.8125</v>
      </c>
      <c r="H2184" s="555" t="s">
        <v>4428</v>
      </c>
      <c r="I2184" s="555" t="s">
        <v>124</v>
      </c>
      <c r="J2184" s="751" t="s">
        <v>3874</v>
      </c>
      <c r="K2184" s="555" t="s">
        <v>4429</v>
      </c>
      <c r="L2184" s="555" t="s">
        <v>3055</v>
      </c>
      <c r="M2184" s="555" t="s">
        <v>3055</v>
      </c>
    </row>
    <row r="2185" spans="3:13" ht="18.75">
      <c r="C2185" s="735"/>
      <c r="D2185" s="555" t="s">
        <v>4420</v>
      </c>
      <c r="E2185" s="757">
        <v>0.58333333333333337</v>
      </c>
      <c r="F2185" s="731">
        <v>44061</v>
      </c>
      <c r="G2185" s="730">
        <v>0.875</v>
      </c>
      <c r="H2185" s="555" t="s">
        <v>4430</v>
      </c>
      <c r="I2185" s="555" t="s">
        <v>124</v>
      </c>
      <c r="J2185" s="751" t="s">
        <v>3478</v>
      </c>
      <c r="K2185" s="555" t="s">
        <v>22</v>
      </c>
      <c r="L2185" s="555" t="s">
        <v>4431</v>
      </c>
      <c r="M2185" s="555" t="s">
        <v>4432</v>
      </c>
    </row>
    <row r="2186" spans="3:13" ht="18.75">
      <c r="C2186" s="735"/>
      <c r="D2186" s="555" t="s">
        <v>4420</v>
      </c>
      <c r="E2186" s="757">
        <v>0.91319444444444453</v>
      </c>
      <c r="F2186" s="731">
        <v>44061</v>
      </c>
      <c r="G2186" s="730">
        <v>0.92361111111111116</v>
      </c>
      <c r="H2186" s="555" t="s">
        <v>2920</v>
      </c>
      <c r="I2186" s="555" t="s">
        <v>124</v>
      </c>
      <c r="J2186" s="751" t="s">
        <v>3447</v>
      </c>
      <c r="K2186" s="555" t="s">
        <v>2764</v>
      </c>
      <c r="L2186" s="555" t="s">
        <v>3055</v>
      </c>
      <c r="M2186" s="555" t="s">
        <v>3055</v>
      </c>
    </row>
    <row r="2187" spans="3:13" ht="18.75">
      <c r="C2187" s="735"/>
      <c r="D2187" s="555" t="s">
        <v>4420</v>
      </c>
      <c r="E2187" s="757">
        <v>0.5625</v>
      </c>
      <c r="F2187" s="731">
        <v>44061</v>
      </c>
      <c r="G2187" s="730">
        <v>0.85416666666666663</v>
      </c>
      <c r="H2187" s="555" t="s">
        <v>2945</v>
      </c>
      <c r="I2187" s="555" t="s">
        <v>124</v>
      </c>
      <c r="J2187" s="751" t="s">
        <v>3478</v>
      </c>
      <c r="K2187" s="555" t="s">
        <v>22</v>
      </c>
      <c r="L2187" s="555" t="s">
        <v>4433</v>
      </c>
      <c r="M2187" s="555" t="s">
        <v>45</v>
      </c>
    </row>
    <row r="2188" spans="3:13" ht="18.75">
      <c r="C2188" s="735"/>
      <c r="D2188" s="555" t="s">
        <v>4420</v>
      </c>
      <c r="E2188" s="757">
        <v>0.61388888888888882</v>
      </c>
      <c r="F2188" s="731">
        <v>44061</v>
      </c>
      <c r="G2188" s="730">
        <v>0.63472222222222219</v>
      </c>
      <c r="H2188" s="555" t="s">
        <v>4434</v>
      </c>
      <c r="I2188" s="555" t="s">
        <v>1352</v>
      </c>
      <c r="J2188" s="751" t="s">
        <v>3411</v>
      </c>
      <c r="K2188" s="555" t="s">
        <v>2483</v>
      </c>
      <c r="L2188" s="555" t="s">
        <v>4435</v>
      </c>
      <c r="M2188" s="555" t="s">
        <v>4436</v>
      </c>
    </row>
    <row r="2189" spans="3:13" ht="18.75">
      <c r="C2189" s="735"/>
      <c r="D2189" s="555" t="s">
        <v>4420</v>
      </c>
      <c r="E2189" s="757">
        <v>0.60416666666666663</v>
      </c>
      <c r="F2189" s="731" t="s">
        <v>45</v>
      </c>
      <c r="G2189" s="730" t="s">
        <v>45</v>
      </c>
      <c r="H2189" s="555" t="s">
        <v>3741</v>
      </c>
      <c r="I2189" s="555" t="s">
        <v>124</v>
      </c>
      <c r="J2189" s="751" t="s">
        <v>3478</v>
      </c>
      <c r="K2189" s="555" t="s">
        <v>22</v>
      </c>
      <c r="L2189" s="555" t="s">
        <v>3055</v>
      </c>
      <c r="M2189" s="555" t="s">
        <v>45</v>
      </c>
    </row>
    <row r="2190" spans="3:13" ht="18.75">
      <c r="C2190" s="735"/>
      <c r="D2190" s="555" t="s">
        <v>4437</v>
      </c>
      <c r="E2190" s="757">
        <v>6.0416666666666667E-2</v>
      </c>
      <c r="F2190" s="731">
        <v>44062</v>
      </c>
      <c r="G2190" s="730">
        <v>0.12708333333333333</v>
      </c>
      <c r="H2190" s="555" t="s">
        <v>4438</v>
      </c>
      <c r="I2190" s="555" t="s">
        <v>3143</v>
      </c>
      <c r="J2190" s="751" t="s">
        <v>3411</v>
      </c>
      <c r="K2190" s="555" t="s">
        <v>2483</v>
      </c>
      <c r="L2190" s="555" t="s">
        <v>4075</v>
      </c>
      <c r="M2190" s="555" t="s">
        <v>4439</v>
      </c>
    </row>
    <row r="2191" spans="3:13" ht="18.75">
      <c r="C2191" s="735"/>
      <c r="D2191" s="555" t="s">
        <v>4437</v>
      </c>
      <c r="E2191" s="757">
        <v>0.58333333333333337</v>
      </c>
      <c r="F2191" s="731">
        <v>44062</v>
      </c>
      <c r="G2191" s="730">
        <v>0.875</v>
      </c>
      <c r="H2191" s="555" t="s">
        <v>3424</v>
      </c>
      <c r="I2191" s="555" t="s">
        <v>124</v>
      </c>
      <c r="J2191" s="751" t="s">
        <v>3478</v>
      </c>
      <c r="K2191" s="555" t="s">
        <v>22</v>
      </c>
      <c r="L2191" s="555" t="s">
        <v>4440</v>
      </c>
      <c r="M2191" s="555" t="s">
        <v>3055</v>
      </c>
    </row>
    <row r="2192" spans="3:13" ht="18.75">
      <c r="C2192" s="735"/>
      <c r="D2192" s="555" t="s">
        <v>4437</v>
      </c>
      <c r="E2192" s="757">
        <v>0.58333333333333337</v>
      </c>
      <c r="F2192" s="731">
        <v>44062</v>
      </c>
      <c r="G2192" s="730">
        <v>0.875</v>
      </c>
      <c r="H2192" s="555" t="s">
        <v>4430</v>
      </c>
      <c r="I2192" s="555" t="s">
        <v>124</v>
      </c>
      <c r="J2192" s="751" t="s">
        <v>3478</v>
      </c>
      <c r="K2192" s="555" t="s">
        <v>22</v>
      </c>
      <c r="L2192" s="555" t="s">
        <v>4110</v>
      </c>
      <c r="M2192" s="555" t="s">
        <v>4432</v>
      </c>
    </row>
    <row r="2193" spans="3:13" ht="18.75">
      <c r="C2193" s="735"/>
      <c r="D2193" s="555" t="s">
        <v>4437</v>
      </c>
      <c r="E2193" s="757">
        <v>0.5</v>
      </c>
      <c r="F2193" s="731">
        <v>44062</v>
      </c>
      <c r="G2193" s="730">
        <v>0.875</v>
      </c>
      <c r="H2193" s="555" t="s">
        <v>2945</v>
      </c>
      <c r="I2193" s="555" t="s">
        <v>124</v>
      </c>
      <c r="J2193" s="751" t="s">
        <v>3478</v>
      </c>
      <c r="K2193" s="555" t="s">
        <v>22</v>
      </c>
      <c r="L2193" s="555" t="s">
        <v>45</v>
      </c>
      <c r="M2193" s="555" t="s">
        <v>45</v>
      </c>
    </row>
    <row r="2194" spans="3:13" ht="18.75">
      <c r="C2194" s="735"/>
      <c r="D2194" s="555" t="s">
        <v>4441</v>
      </c>
      <c r="E2194" s="757">
        <v>2.0833333333333333E-3</v>
      </c>
      <c r="F2194" s="731">
        <v>44063</v>
      </c>
      <c r="G2194" s="730">
        <v>0.58680555555555558</v>
      </c>
      <c r="H2194" s="555" t="s">
        <v>2959</v>
      </c>
      <c r="I2194" s="555" t="s">
        <v>61</v>
      </c>
      <c r="J2194" s="751" t="s">
        <v>3387</v>
      </c>
      <c r="K2194" s="555" t="s">
        <v>2764</v>
      </c>
      <c r="L2194" s="555" t="s">
        <v>3055</v>
      </c>
      <c r="M2194" s="555" t="s">
        <v>3055</v>
      </c>
    </row>
    <row r="2195" spans="3:13" ht="18.75">
      <c r="C2195" s="735"/>
      <c r="D2195" s="555" t="s">
        <v>4441</v>
      </c>
      <c r="E2195" s="757">
        <v>0.38680555555555557</v>
      </c>
      <c r="F2195" s="731">
        <v>44063</v>
      </c>
      <c r="G2195" s="730">
        <v>0.5708333333333333</v>
      </c>
      <c r="H2195" s="555" t="s">
        <v>4442</v>
      </c>
      <c r="I2195" s="555" t="s">
        <v>63</v>
      </c>
      <c r="J2195" s="751" t="s">
        <v>3356</v>
      </c>
      <c r="K2195" s="555" t="s">
        <v>100</v>
      </c>
      <c r="L2195" s="555" t="s">
        <v>3055</v>
      </c>
      <c r="M2195" s="555" t="s">
        <v>3055</v>
      </c>
    </row>
    <row r="2196" spans="3:13" ht="18.75">
      <c r="C2196" s="735"/>
      <c r="D2196" s="555" t="s">
        <v>4441</v>
      </c>
      <c r="E2196" s="757">
        <v>0.64513888888888882</v>
      </c>
      <c r="F2196" s="731">
        <v>44063</v>
      </c>
      <c r="G2196" s="730">
        <v>0.65208333333333335</v>
      </c>
      <c r="H2196" s="555" t="s">
        <v>4443</v>
      </c>
      <c r="I2196" s="555" t="s">
        <v>674</v>
      </c>
      <c r="J2196" s="751" t="s">
        <v>3411</v>
      </c>
      <c r="K2196" s="555" t="s">
        <v>2483</v>
      </c>
      <c r="L2196" s="555" t="s">
        <v>3880</v>
      </c>
      <c r="M2196" s="555" t="s">
        <v>45</v>
      </c>
    </row>
    <row r="2197" spans="3:13" ht="18.75">
      <c r="C2197" s="735"/>
      <c r="D2197" s="555" t="s">
        <v>4444</v>
      </c>
      <c r="E2197" s="757">
        <v>0.92499999999999993</v>
      </c>
      <c r="F2197" s="731">
        <v>44066</v>
      </c>
      <c r="G2197" s="730">
        <v>0.92708333333333337</v>
      </c>
      <c r="H2197" s="555" t="s">
        <v>4445</v>
      </c>
      <c r="I2197" s="555" t="s">
        <v>3143</v>
      </c>
      <c r="J2197" s="751" t="s">
        <v>3356</v>
      </c>
      <c r="K2197" s="555" t="s">
        <v>2118</v>
      </c>
      <c r="L2197" s="555" t="s">
        <v>3055</v>
      </c>
      <c r="M2197" s="555" t="s">
        <v>3055</v>
      </c>
    </row>
    <row r="2198" spans="3:13" ht="18.75">
      <c r="C2198" s="735"/>
      <c r="D2198" s="555" t="s">
        <v>4444</v>
      </c>
      <c r="E2198" s="757">
        <v>0.4375</v>
      </c>
      <c r="F2198" s="731" t="s">
        <v>45</v>
      </c>
      <c r="G2198" s="730" t="s">
        <v>45</v>
      </c>
      <c r="H2198" s="555" t="s">
        <v>4446</v>
      </c>
      <c r="I2198" s="555" t="s">
        <v>1352</v>
      </c>
      <c r="J2198" s="751" t="s">
        <v>3478</v>
      </c>
      <c r="K2198" s="555" t="s">
        <v>22</v>
      </c>
      <c r="L2198" s="555" t="s">
        <v>45</v>
      </c>
      <c r="M2198" s="555" t="s">
        <v>45</v>
      </c>
    </row>
    <row r="2199" spans="3:13" ht="18.75">
      <c r="C2199" s="735"/>
      <c r="D2199" s="555" t="s">
        <v>4447</v>
      </c>
      <c r="E2199" s="757">
        <v>0.95833333333333337</v>
      </c>
      <c r="F2199" s="731">
        <v>44067</v>
      </c>
      <c r="G2199" s="730">
        <v>0.99930555555555556</v>
      </c>
      <c r="H2199" s="555" t="s">
        <v>4448</v>
      </c>
      <c r="I2199" s="555" t="s">
        <v>1352</v>
      </c>
      <c r="J2199" s="751" t="s">
        <v>3402</v>
      </c>
      <c r="K2199" s="555" t="s">
        <v>4429</v>
      </c>
      <c r="L2199" s="555" t="s">
        <v>3055</v>
      </c>
      <c r="M2199" s="555" t="s">
        <v>3055</v>
      </c>
    </row>
    <row r="2200" spans="3:13" ht="18.75">
      <c r="C2200" s="735"/>
      <c r="D2200" s="555" t="s">
        <v>4449</v>
      </c>
      <c r="E2200" s="757">
        <v>0.11319444444444444</v>
      </c>
      <c r="F2200" s="731">
        <v>44068</v>
      </c>
      <c r="G2200" s="730">
        <v>0.3215277777777778</v>
      </c>
      <c r="H2200" s="555" t="s">
        <v>3701</v>
      </c>
      <c r="I2200" s="555" t="s">
        <v>124</v>
      </c>
      <c r="J2200" s="751" t="s">
        <v>3874</v>
      </c>
      <c r="K2200" s="555" t="s">
        <v>100</v>
      </c>
      <c r="L2200" s="555" t="s">
        <v>3055</v>
      </c>
      <c r="M2200" s="555" t="s">
        <v>3055</v>
      </c>
    </row>
    <row r="2201" spans="3:13" ht="18.75">
      <c r="C2201" s="735"/>
      <c r="D2201" s="555" t="s">
        <v>4450</v>
      </c>
      <c r="E2201" s="757">
        <v>0.20833333333333334</v>
      </c>
      <c r="F2201" s="731">
        <v>44077</v>
      </c>
      <c r="G2201" s="730">
        <v>0.5</v>
      </c>
      <c r="H2201" s="555" t="s">
        <v>2866</v>
      </c>
      <c r="I2201" s="555" t="s">
        <v>63</v>
      </c>
      <c r="J2201" s="751" t="s">
        <v>3451</v>
      </c>
      <c r="K2201" s="555" t="s">
        <v>22</v>
      </c>
      <c r="L2201" s="555" t="s">
        <v>3110</v>
      </c>
      <c r="M2201" s="555" t="s">
        <v>3240</v>
      </c>
    </row>
    <row r="2202" spans="3:13" ht="18.75">
      <c r="C2202" s="735"/>
      <c r="D2202" s="555" t="s">
        <v>4450</v>
      </c>
      <c r="E2202" s="757">
        <v>0.29166666666666669</v>
      </c>
      <c r="F2202" s="731">
        <v>44073</v>
      </c>
      <c r="G2202" s="730">
        <v>0.79166666666666663</v>
      </c>
      <c r="H2202" s="555" t="s">
        <v>3399</v>
      </c>
      <c r="I2202" s="555" t="s">
        <v>63</v>
      </c>
      <c r="J2202" s="751" t="s">
        <v>4453</v>
      </c>
      <c r="K2202" s="555" t="s">
        <v>22</v>
      </c>
      <c r="L2202" s="555" t="s">
        <v>4454</v>
      </c>
      <c r="M2202" s="555" t="s">
        <v>45</v>
      </c>
    </row>
    <row r="2203" spans="3:13" ht="18.75">
      <c r="C2203" s="735"/>
      <c r="D2203" s="555" t="s">
        <v>4450</v>
      </c>
      <c r="E2203" s="757">
        <v>0.53055555555555556</v>
      </c>
      <c r="F2203" s="731">
        <v>44070</v>
      </c>
      <c r="G2203" s="730">
        <v>0.95833333333333337</v>
      </c>
      <c r="H2203" s="555" t="s">
        <v>2919</v>
      </c>
      <c r="I2203" s="555" t="s">
        <v>1352</v>
      </c>
      <c r="J2203" s="751" t="s">
        <v>3478</v>
      </c>
      <c r="K2203" s="555" t="s">
        <v>22</v>
      </c>
      <c r="L2203" s="555" t="s">
        <v>45</v>
      </c>
      <c r="M2203" s="555" t="s">
        <v>45</v>
      </c>
    </row>
    <row r="2204" spans="3:13" ht="18.75">
      <c r="C2204" s="735"/>
      <c r="D2204" s="555" t="s">
        <v>4450</v>
      </c>
      <c r="E2204" s="757">
        <v>0.50416666666666665</v>
      </c>
      <c r="F2204" s="731">
        <v>44070</v>
      </c>
      <c r="G2204" s="730">
        <v>0.9506944444444444</v>
      </c>
      <c r="H2204" s="555" t="s">
        <v>2919</v>
      </c>
      <c r="I2204" s="555" t="s">
        <v>1352</v>
      </c>
      <c r="J2204" s="751" t="s">
        <v>3750</v>
      </c>
      <c r="K2204" s="555" t="s">
        <v>22</v>
      </c>
      <c r="L2204" s="555" t="s">
        <v>4455</v>
      </c>
      <c r="M2204" s="555" t="s">
        <v>45</v>
      </c>
    </row>
    <row r="2205" spans="3:13" ht="18.75">
      <c r="C2205" s="735"/>
      <c r="D2205" s="555" t="s">
        <v>4450</v>
      </c>
      <c r="E2205" s="757">
        <v>0.31944444444444448</v>
      </c>
      <c r="F2205" s="731">
        <v>44074</v>
      </c>
      <c r="G2205" s="730">
        <v>0.31944444444444448</v>
      </c>
      <c r="H2205" s="555" t="s">
        <v>3767</v>
      </c>
      <c r="I2205" s="555" t="s">
        <v>63</v>
      </c>
      <c r="J2205" s="751" t="s">
        <v>3451</v>
      </c>
      <c r="K2205" s="555" t="s">
        <v>22</v>
      </c>
      <c r="L2205" s="555" t="s">
        <v>45</v>
      </c>
      <c r="M2205" s="555" t="s">
        <v>4098</v>
      </c>
    </row>
    <row r="2206" spans="3:13" ht="18.75">
      <c r="C2206" s="735"/>
      <c r="D2206" s="555" t="s">
        <v>4450</v>
      </c>
      <c r="E2206" s="757">
        <v>5.2083333333333336E-2</v>
      </c>
      <c r="F2206" s="731" t="s">
        <v>45</v>
      </c>
      <c r="G2206" s="730" t="s">
        <v>45</v>
      </c>
      <c r="H2206" s="555" t="s">
        <v>4457</v>
      </c>
      <c r="I2206" s="555" t="s">
        <v>1352</v>
      </c>
      <c r="J2206" s="751" t="s">
        <v>3451</v>
      </c>
      <c r="K2206" s="555" t="s">
        <v>22</v>
      </c>
      <c r="L2206" s="555" t="s">
        <v>45</v>
      </c>
      <c r="M2206" s="555" t="s">
        <v>4458</v>
      </c>
    </row>
    <row r="2207" spans="3:13" ht="18.75">
      <c r="C2207" s="735"/>
      <c r="D2207" s="555" t="s">
        <v>4450</v>
      </c>
      <c r="E2207" s="757">
        <v>0.31944444444444448</v>
      </c>
      <c r="F2207" s="731">
        <v>44074</v>
      </c>
      <c r="G2207" s="730">
        <v>0.14791666666666667</v>
      </c>
      <c r="H2207" s="555" t="s">
        <v>3767</v>
      </c>
      <c r="I2207" s="555" t="s">
        <v>63</v>
      </c>
      <c r="J2207" s="751" t="s">
        <v>3451</v>
      </c>
      <c r="K2207" s="555" t="s">
        <v>22</v>
      </c>
      <c r="L2207" s="555" t="s">
        <v>45</v>
      </c>
      <c r="M2207" s="555" t="s">
        <v>4459</v>
      </c>
    </row>
    <row r="2208" spans="3:13" ht="18.75">
      <c r="C2208" s="735"/>
      <c r="D2208" s="555" t="s">
        <v>4450</v>
      </c>
      <c r="E2208" s="757">
        <v>0.50138888888888888</v>
      </c>
      <c r="F2208" s="731">
        <v>44070</v>
      </c>
      <c r="G2208" s="730">
        <v>0.95416666666666661</v>
      </c>
      <c r="H2208" s="555" t="s">
        <v>2919</v>
      </c>
      <c r="I2208" s="555" t="s">
        <v>1352</v>
      </c>
      <c r="J2208" s="751" t="s">
        <v>3750</v>
      </c>
      <c r="K2208" s="555" t="s">
        <v>22</v>
      </c>
      <c r="L2208" s="555" t="s">
        <v>4460</v>
      </c>
      <c r="M2208" s="555" t="s">
        <v>45</v>
      </c>
    </row>
    <row r="2209" spans="3:13" ht="18.75">
      <c r="C2209" s="735"/>
      <c r="D2209" s="555" t="s">
        <v>4450</v>
      </c>
      <c r="E2209" s="757">
        <v>0.52013888888888882</v>
      </c>
      <c r="F2209" s="731">
        <v>44070</v>
      </c>
      <c r="G2209" s="730">
        <v>0.54097222222222219</v>
      </c>
      <c r="H2209" s="555" t="s">
        <v>4461</v>
      </c>
      <c r="I2209" s="555" t="s">
        <v>674</v>
      </c>
      <c r="J2209" s="751" t="s">
        <v>3387</v>
      </c>
      <c r="K2209" s="555" t="s">
        <v>2764</v>
      </c>
      <c r="L2209" s="555" t="s">
        <v>3055</v>
      </c>
      <c r="M2209" s="555" t="s">
        <v>3055</v>
      </c>
    </row>
    <row r="2210" spans="3:13" ht="18.75">
      <c r="C2210" s="735"/>
      <c r="D2210" s="555" t="s">
        <v>4450</v>
      </c>
      <c r="E2210" s="757">
        <v>0.71597222222222223</v>
      </c>
      <c r="F2210" s="731">
        <v>44071</v>
      </c>
      <c r="G2210" s="730">
        <v>0.41666666666666669</v>
      </c>
      <c r="H2210" s="555" t="s">
        <v>3139</v>
      </c>
      <c r="I2210" s="555" t="s">
        <v>61</v>
      </c>
      <c r="J2210" s="751" t="s">
        <v>3451</v>
      </c>
      <c r="K2210" s="555" t="s">
        <v>22</v>
      </c>
      <c r="L2210" s="555" t="s">
        <v>3093</v>
      </c>
      <c r="M2210" s="555" t="s">
        <v>4463</v>
      </c>
    </row>
    <row r="2211" spans="3:13" ht="18.75">
      <c r="C2211" s="735"/>
      <c r="D2211" s="555" t="s">
        <v>4450</v>
      </c>
      <c r="E2211" s="757">
        <v>0.55833333333333335</v>
      </c>
      <c r="F2211" s="731" t="s">
        <v>45</v>
      </c>
      <c r="G2211" s="730" t="s">
        <v>45</v>
      </c>
      <c r="H2211" s="555" t="s">
        <v>4464</v>
      </c>
      <c r="I2211" s="555" t="s">
        <v>1352</v>
      </c>
      <c r="J2211" s="751" t="s">
        <v>3750</v>
      </c>
      <c r="K2211" s="555" t="s">
        <v>22</v>
      </c>
      <c r="L2211" s="555" t="s">
        <v>4465</v>
      </c>
      <c r="M2211" s="555" t="s">
        <v>45</v>
      </c>
    </row>
    <row r="2212" spans="3:13" ht="18.75">
      <c r="C2212" s="735"/>
      <c r="D2212" s="555" t="s">
        <v>4450</v>
      </c>
      <c r="E2212" s="757">
        <v>0.50416666666666665</v>
      </c>
      <c r="F2212" s="731" t="s">
        <v>45</v>
      </c>
      <c r="G2212" s="730" t="s">
        <v>45</v>
      </c>
      <c r="H2212" s="555" t="s">
        <v>2919</v>
      </c>
      <c r="I2212" s="555" t="s">
        <v>1352</v>
      </c>
      <c r="J2212" s="751" t="s">
        <v>3750</v>
      </c>
      <c r="K2212" s="555" t="s">
        <v>22</v>
      </c>
      <c r="L2212" s="555" t="s">
        <v>3380</v>
      </c>
      <c r="M2212" s="555" t="s">
        <v>45</v>
      </c>
    </row>
    <row r="2213" spans="3:13" ht="18.75">
      <c r="C2213" s="735"/>
      <c r="D2213" s="555" t="s">
        <v>4450</v>
      </c>
      <c r="E2213" s="757">
        <v>0.25</v>
      </c>
      <c r="F2213" s="731">
        <v>44070</v>
      </c>
      <c r="G2213" s="730">
        <v>0.25347222222222221</v>
      </c>
      <c r="H2213" s="555" t="s">
        <v>4445</v>
      </c>
      <c r="I2213" s="555" t="s">
        <v>3143</v>
      </c>
      <c r="J2213" s="751" t="s">
        <v>3402</v>
      </c>
      <c r="K2213" s="555" t="s">
        <v>2118</v>
      </c>
      <c r="L2213" s="555" t="s">
        <v>4466</v>
      </c>
      <c r="M2213" s="555" t="s">
        <v>45</v>
      </c>
    </row>
    <row r="2214" spans="3:13" ht="18.75">
      <c r="C2214" s="735"/>
      <c r="D2214" s="555" t="s">
        <v>4450</v>
      </c>
      <c r="E2214" s="757">
        <v>0.13472222222222222</v>
      </c>
      <c r="F2214" s="731" t="s">
        <v>45</v>
      </c>
      <c r="G2214" s="730" t="s">
        <v>45</v>
      </c>
      <c r="H2214" s="555" t="s">
        <v>4467</v>
      </c>
      <c r="I2214" s="555" t="s">
        <v>63</v>
      </c>
      <c r="J2214" s="751" t="s">
        <v>3451</v>
      </c>
      <c r="K2214" s="555" t="s">
        <v>22</v>
      </c>
      <c r="L2214" s="555" t="s">
        <v>45</v>
      </c>
      <c r="M2214" s="555" t="s">
        <v>45</v>
      </c>
    </row>
    <row r="2215" spans="3:13" ht="18.75">
      <c r="C2215" s="735"/>
      <c r="D2215" s="555" t="s">
        <v>4462</v>
      </c>
      <c r="E2215" s="757">
        <v>0.68541666666666667</v>
      </c>
      <c r="F2215" s="731">
        <v>44071</v>
      </c>
      <c r="G2215" s="730">
        <v>0.80972222222222223</v>
      </c>
      <c r="H2215" s="555" t="s">
        <v>4468</v>
      </c>
      <c r="I2215" s="555" t="s">
        <v>124</v>
      </c>
      <c r="J2215" s="751" t="s">
        <v>3396</v>
      </c>
      <c r="K2215" s="555" t="s">
        <v>22</v>
      </c>
      <c r="L2215" s="555" t="s">
        <v>3055</v>
      </c>
      <c r="M2215" s="555" t="s">
        <v>3055</v>
      </c>
    </row>
    <row r="2216" spans="3:13" ht="18.75">
      <c r="C2216" s="735"/>
      <c r="D2216" s="555" t="s">
        <v>4462</v>
      </c>
      <c r="E2216" s="757">
        <v>1.7361111111111112E-2</v>
      </c>
      <c r="F2216" s="731">
        <v>44071</v>
      </c>
      <c r="G2216" s="730">
        <v>4.1666666666666664E-2</v>
      </c>
      <c r="H2216" s="555" t="s">
        <v>2959</v>
      </c>
      <c r="I2216" s="555" t="s">
        <v>61</v>
      </c>
      <c r="J2216" s="751" t="s">
        <v>3387</v>
      </c>
      <c r="K2216" s="555" t="s">
        <v>2764</v>
      </c>
      <c r="L2216" s="555" t="s">
        <v>3055</v>
      </c>
      <c r="M2216" s="555" t="s">
        <v>3055</v>
      </c>
    </row>
    <row r="2217" spans="3:13" ht="18.75">
      <c r="C2217" s="735"/>
      <c r="D2217" s="555" t="s">
        <v>4469</v>
      </c>
      <c r="E2217" s="757">
        <v>0.14930555555555555</v>
      </c>
      <c r="F2217" s="731">
        <v>44072</v>
      </c>
      <c r="G2217" s="730">
        <v>0.23958333333333334</v>
      </c>
      <c r="H2217" s="555" t="s">
        <v>2919</v>
      </c>
      <c r="I2217" s="555" t="s">
        <v>1352</v>
      </c>
      <c r="J2217" s="751" t="s">
        <v>3387</v>
      </c>
      <c r="K2217" s="555" t="s">
        <v>22</v>
      </c>
      <c r="L2217" s="555" t="s">
        <v>45</v>
      </c>
      <c r="M2217" s="555" t="s">
        <v>45</v>
      </c>
    </row>
    <row r="2218" spans="3:13" ht="18.75">
      <c r="C2218" s="735"/>
      <c r="D2218" s="555" t="s">
        <v>4456</v>
      </c>
      <c r="E2218" s="757">
        <v>0.375</v>
      </c>
      <c r="F2218" s="731">
        <v>44074</v>
      </c>
      <c r="G2218" s="730">
        <v>0.66180555555555554</v>
      </c>
      <c r="H2218" s="555" t="s">
        <v>2853</v>
      </c>
      <c r="I2218" s="555" t="s">
        <v>124</v>
      </c>
      <c r="J2218" s="751" t="s">
        <v>3356</v>
      </c>
      <c r="K2218" s="555" t="s">
        <v>100</v>
      </c>
      <c r="L2218" s="555" t="s">
        <v>3055</v>
      </c>
      <c r="M2218" s="555" t="s">
        <v>3055</v>
      </c>
    </row>
    <row r="2219" spans="3:13" ht="18.75">
      <c r="C2219" s="735"/>
      <c r="D2219" s="555" t="s">
        <v>4470</v>
      </c>
      <c r="E2219" s="757">
        <v>0.5444444444444444</v>
      </c>
      <c r="F2219" s="731">
        <v>44075</v>
      </c>
      <c r="G2219" s="730">
        <v>0.54513888888888895</v>
      </c>
      <c r="H2219" s="555" t="s">
        <v>2967</v>
      </c>
      <c r="I2219" s="555" t="s">
        <v>124</v>
      </c>
      <c r="J2219" s="751" t="s">
        <v>3402</v>
      </c>
      <c r="K2219" s="555" t="s">
        <v>2118</v>
      </c>
      <c r="L2219" s="555" t="s">
        <v>3055</v>
      </c>
      <c r="M2219" s="555" t="s">
        <v>3055</v>
      </c>
    </row>
    <row r="2220" spans="3:13" ht="18.75">
      <c r="C2220" s="735"/>
      <c r="D2220" s="555" t="s">
        <v>4451</v>
      </c>
      <c r="E2220" s="757">
        <v>0.57361111111111118</v>
      </c>
      <c r="F2220" s="731">
        <v>44077</v>
      </c>
      <c r="G2220" s="730">
        <v>0.94930555555555562</v>
      </c>
      <c r="H2220" s="555" t="s">
        <v>2853</v>
      </c>
      <c r="I2220" s="555" t="s">
        <v>124</v>
      </c>
      <c r="J2220" s="751" t="s">
        <v>3411</v>
      </c>
      <c r="K2220" s="555" t="s">
        <v>2483</v>
      </c>
      <c r="L2220" s="555" t="s">
        <v>45</v>
      </c>
      <c r="M2220" s="555" t="s">
        <v>45</v>
      </c>
    </row>
    <row r="2221" spans="3:13" ht="18.75">
      <c r="C2221" s="735"/>
      <c r="D2221" s="555" t="s">
        <v>4471</v>
      </c>
      <c r="E2221" s="757">
        <v>4.6527777777777779E-2</v>
      </c>
      <c r="F2221" s="731">
        <v>44078</v>
      </c>
      <c r="G2221" s="730">
        <v>6.7361111111111108E-2</v>
      </c>
      <c r="H2221" s="555" t="s">
        <v>3410</v>
      </c>
      <c r="I2221" s="555" t="s">
        <v>301</v>
      </c>
      <c r="J2221" s="751" t="s">
        <v>3447</v>
      </c>
      <c r="K2221" s="555" t="s">
        <v>2764</v>
      </c>
      <c r="L2221" s="555" t="s">
        <v>3055</v>
      </c>
      <c r="M2221" s="555" t="s">
        <v>3055</v>
      </c>
    </row>
    <row r="2222" spans="3:13" ht="18.75">
      <c r="C2222" s="735"/>
      <c r="D2222" s="555" t="s">
        <v>4472</v>
      </c>
      <c r="E2222" s="757">
        <v>0.72222222222222221</v>
      </c>
      <c r="F2222" s="731">
        <v>44079</v>
      </c>
      <c r="G2222" s="730">
        <v>0.85902777777777783</v>
      </c>
      <c r="H2222" s="555" t="s">
        <v>2945</v>
      </c>
      <c r="I2222" s="555" t="s">
        <v>124</v>
      </c>
      <c r="J2222" s="751" t="s">
        <v>3478</v>
      </c>
      <c r="K2222" s="555" t="s">
        <v>22</v>
      </c>
      <c r="L2222" s="555" t="s">
        <v>4473</v>
      </c>
      <c r="M2222" s="555" t="s">
        <v>45</v>
      </c>
    </row>
    <row r="2223" spans="3:13" ht="18.75">
      <c r="C2223" s="735"/>
      <c r="D2223" s="555" t="s">
        <v>4472</v>
      </c>
      <c r="E2223" s="757">
        <v>0.72569444444444453</v>
      </c>
      <c r="F2223" s="731">
        <v>44079</v>
      </c>
      <c r="G2223" s="730">
        <v>0.87152777777777779</v>
      </c>
      <c r="H2223" s="555" t="s">
        <v>2920</v>
      </c>
      <c r="I2223" s="555" t="s">
        <v>124</v>
      </c>
      <c r="J2223" s="751" t="s">
        <v>3750</v>
      </c>
      <c r="K2223" s="555" t="s">
        <v>22</v>
      </c>
      <c r="L2223" s="555" t="s">
        <v>3093</v>
      </c>
      <c r="M2223" s="555" t="s">
        <v>3111</v>
      </c>
    </row>
    <row r="2224" spans="3:13" ht="18.75">
      <c r="C2224" s="735"/>
      <c r="D2224" s="555" t="s">
        <v>4474</v>
      </c>
      <c r="E2224" s="757">
        <v>0.66666666666666663</v>
      </c>
      <c r="F2224" s="731">
        <v>44080</v>
      </c>
      <c r="G2224" s="730">
        <v>0.875</v>
      </c>
      <c r="H2224" s="555" t="s">
        <v>4430</v>
      </c>
      <c r="I2224" s="555" t="s">
        <v>124</v>
      </c>
      <c r="J2224" s="751" t="s">
        <v>3478</v>
      </c>
      <c r="K2224" s="555" t="s">
        <v>22</v>
      </c>
      <c r="L2224" s="555" t="s">
        <v>4475</v>
      </c>
      <c r="M2224" s="555" t="s">
        <v>4432</v>
      </c>
    </row>
    <row r="2225" spans="3:13" ht="18.75">
      <c r="C2225" s="735"/>
      <c r="D2225" s="555" t="s">
        <v>4474</v>
      </c>
      <c r="E2225" s="757">
        <v>0.6875</v>
      </c>
      <c r="F2225" s="731">
        <v>44080</v>
      </c>
      <c r="G2225" s="730">
        <v>0.87847222222222221</v>
      </c>
      <c r="H2225" s="555" t="s">
        <v>2945</v>
      </c>
      <c r="I2225" s="555" t="s">
        <v>124</v>
      </c>
      <c r="J2225" s="751" t="s">
        <v>3478</v>
      </c>
      <c r="K2225" s="555" t="s">
        <v>2764</v>
      </c>
      <c r="L2225" s="555" t="s">
        <v>4476</v>
      </c>
      <c r="M2225" s="555" t="s">
        <v>45</v>
      </c>
    </row>
    <row r="2226" spans="3:13" ht="18.75">
      <c r="C2226" s="735"/>
      <c r="D2226" s="555" t="s">
        <v>4474</v>
      </c>
      <c r="E2226" s="757">
        <v>0.73333333333333339</v>
      </c>
      <c r="F2226" s="731">
        <v>44080</v>
      </c>
      <c r="G2226" s="730">
        <v>0.81041666666666667</v>
      </c>
      <c r="H2226" s="555" t="s">
        <v>4477</v>
      </c>
      <c r="I2226" s="555" t="s">
        <v>124</v>
      </c>
      <c r="J2226" s="751" t="s">
        <v>3396</v>
      </c>
      <c r="K2226" s="555" t="s">
        <v>2764</v>
      </c>
      <c r="L2226" s="555" t="s">
        <v>3055</v>
      </c>
      <c r="M2226" s="555" t="s">
        <v>3055</v>
      </c>
    </row>
    <row r="2227" spans="3:13" ht="18.75">
      <c r="C2227" s="735"/>
      <c r="D2227" s="555" t="s">
        <v>4474</v>
      </c>
      <c r="E2227" s="757">
        <v>0.70833333333333337</v>
      </c>
      <c r="F2227" s="731">
        <v>44081</v>
      </c>
      <c r="G2227" s="730">
        <v>0.125</v>
      </c>
      <c r="H2227" s="555" t="s">
        <v>2967</v>
      </c>
      <c r="I2227" s="555" t="s">
        <v>124</v>
      </c>
      <c r="J2227" s="751" t="s">
        <v>3451</v>
      </c>
      <c r="K2227" s="555" t="s">
        <v>22</v>
      </c>
      <c r="L2227" s="555" t="s">
        <v>45</v>
      </c>
      <c r="M2227" s="555" t="s">
        <v>3331</v>
      </c>
    </row>
    <row r="2228" spans="3:13" ht="18.75">
      <c r="C2228" s="735"/>
      <c r="D2228" s="555" t="s">
        <v>4478</v>
      </c>
      <c r="E2228" s="757">
        <v>0.94444444444444453</v>
      </c>
      <c r="F2228" s="731">
        <v>44083</v>
      </c>
      <c r="G2228" s="730">
        <v>0.72499999999999998</v>
      </c>
      <c r="H2228" s="555" t="s">
        <v>2945</v>
      </c>
      <c r="I2228" s="555" t="s">
        <v>124</v>
      </c>
      <c r="J2228" s="751" t="s">
        <v>3451</v>
      </c>
      <c r="K2228" s="555" t="s">
        <v>2483</v>
      </c>
      <c r="L2228" s="555" t="s">
        <v>4480</v>
      </c>
      <c r="M2228" s="555" t="s">
        <v>4481</v>
      </c>
    </row>
    <row r="2229" spans="3:13" ht="18.75">
      <c r="C2229" s="735"/>
      <c r="D2229" s="555" t="s">
        <v>4478</v>
      </c>
      <c r="E2229" s="757">
        <v>0.75</v>
      </c>
      <c r="F2229" s="731">
        <v>44082</v>
      </c>
      <c r="G2229" s="730">
        <v>0.75</v>
      </c>
      <c r="H2229" s="555" t="s">
        <v>4483</v>
      </c>
      <c r="I2229" s="555" t="s">
        <v>124</v>
      </c>
      <c r="J2229" s="751" t="s">
        <v>3451</v>
      </c>
      <c r="K2229" s="555" t="s">
        <v>22</v>
      </c>
      <c r="L2229" s="555" t="s">
        <v>45</v>
      </c>
      <c r="M2229" s="555" t="s">
        <v>4484</v>
      </c>
    </row>
    <row r="2230" spans="3:13" ht="18.75">
      <c r="C2230" s="735"/>
      <c r="D2230" s="555" t="s">
        <v>4478</v>
      </c>
      <c r="E2230" s="757">
        <v>0.3840277777777778</v>
      </c>
      <c r="F2230" s="731">
        <v>44082</v>
      </c>
      <c r="G2230" s="730">
        <v>0.25</v>
      </c>
      <c r="H2230" s="555" t="s">
        <v>2853</v>
      </c>
      <c r="I2230" s="555" t="s">
        <v>124</v>
      </c>
      <c r="J2230" s="751" t="s">
        <v>4453</v>
      </c>
      <c r="K2230" s="555" t="s">
        <v>3416</v>
      </c>
      <c r="L2230" s="555" t="s">
        <v>3278</v>
      </c>
      <c r="M2230" s="555" t="s">
        <v>4485</v>
      </c>
    </row>
    <row r="2231" spans="3:13" ht="18.75">
      <c r="C2231" s="735"/>
      <c r="D2231" s="555" t="s">
        <v>4478</v>
      </c>
      <c r="E2231" s="757">
        <v>0.79513888888888884</v>
      </c>
      <c r="F2231" s="731">
        <v>44082</v>
      </c>
      <c r="G2231" s="730">
        <v>0.91666666666666663</v>
      </c>
      <c r="H2231" s="555" t="s">
        <v>4486</v>
      </c>
      <c r="I2231" s="555" t="s">
        <v>124</v>
      </c>
      <c r="J2231" s="751" t="s">
        <v>3451</v>
      </c>
      <c r="K2231" s="555" t="s">
        <v>22</v>
      </c>
      <c r="L2231" s="555" t="s">
        <v>4487</v>
      </c>
      <c r="M2231" s="555" t="s">
        <v>4488</v>
      </c>
    </row>
    <row r="2232" spans="3:13" ht="18.75">
      <c r="C2232" s="735"/>
      <c r="D2232" s="555" t="s">
        <v>4482</v>
      </c>
      <c r="E2232" s="757">
        <v>0.40972222222222227</v>
      </c>
      <c r="F2232" s="731">
        <v>44082</v>
      </c>
      <c r="G2232" s="730">
        <v>0.45555555555555555</v>
      </c>
      <c r="H2232" s="555" t="s">
        <v>4489</v>
      </c>
      <c r="I2232" s="555" t="s">
        <v>3143</v>
      </c>
      <c r="J2232" s="751" t="s">
        <v>3387</v>
      </c>
      <c r="K2232" s="555" t="s">
        <v>2764</v>
      </c>
      <c r="L2232" s="555" t="s">
        <v>4490</v>
      </c>
      <c r="M2232" s="555" t="s">
        <v>3055</v>
      </c>
    </row>
    <row r="2233" spans="3:13" ht="18.75">
      <c r="C2233" s="735"/>
      <c r="D2233" s="555" t="s">
        <v>4479</v>
      </c>
      <c r="E2233" s="757">
        <v>0.9277777777777777</v>
      </c>
      <c r="F2233" s="731">
        <v>44085</v>
      </c>
      <c r="G2233" s="730">
        <v>0.34513888888888888</v>
      </c>
      <c r="H2233" s="555" t="s">
        <v>4017</v>
      </c>
      <c r="I2233" s="555" t="s">
        <v>674</v>
      </c>
      <c r="J2233" s="751" t="s">
        <v>3402</v>
      </c>
      <c r="K2233" s="555" t="s">
        <v>2118</v>
      </c>
      <c r="L2233" s="555" t="s">
        <v>3055</v>
      </c>
      <c r="M2233" s="555" t="s">
        <v>3055</v>
      </c>
    </row>
    <row r="2234" spans="3:13" ht="18.75">
      <c r="C2234" s="735"/>
      <c r="D2234" s="555" t="s">
        <v>4479</v>
      </c>
      <c r="E2234" s="757">
        <v>0.47361111111111115</v>
      </c>
      <c r="F2234" s="731">
        <v>44083</v>
      </c>
      <c r="G2234" s="730">
        <v>0.5444444444444444</v>
      </c>
      <c r="H2234" s="555" t="s">
        <v>4492</v>
      </c>
      <c r="I2234" s="555" t="s">
        <v>124</v>
      </c>
      <c r="J2234" s="751" t="s">
        <v>3411</v>
      </c>
      <c r="K2234" s="555" t="s">
        <v>3416</v>
      </c>
      <c r="L2234" s="555" t="s">
        <v>3055</v>
      </c>
      <c r="M2234" s="555" t="s">
        <v>3055</v>
      </c>
    </row>
    <row r="2235" spans="3:13" ht="18.75">
      <c r="C2235" s="735"/>
      <c r="D2235" s="555" t="s">
        <v>4493</v>
      </c>
      <c r="E2235" s="757">
        <v>0.91666666666666663</v>
      </c>
      <c r="F2235" s="731">
        <v>44094</v>
      </c>
      <c r="G2235" s="730">
        <v>0.625</v>
      </c>
      <c r="H2235" s="555" t="s">
        <v>4495</v>
      </c>
      <c r="I2235" s="555" t="s">
        <v>63</v>
      </c>
      <c r="J2235" s="751" t="s">
        <v>3451</v>
      </c>
      <c r="K2235" s="555" t="s">
        <v>2990</v>
      </c>
      <c r="L2235" s="555" t="s">
        <v>4496</v>
      </c>
      <c r="M2235" s="555" t="s">
        <v>4497</v>
      </c>
    </row>
    <row r="2236" spans="3:13" ht="18.75">
      <c r="C2236" s="735"/>
      <c r="D2236" s="555" t="s">
        <v>4493</v>
      </c>
      <c r="E2236" s="757">
        <v>0.62777777777777777</v>
      </c>
      <c r="F2236" s="731">
        <v>44089</v>
      </c>
      <c r="G2236" s="730">
        <v>0.65069444444444446</v>
      </c>
      <c r="H2236" s="555" t="s">
        <v>4097</v>
      </c>
      <c r="I2236" s="555" t="s">
        <v>674</v>
      </c>
      <c r="J2236" s="751" t="s">
        <v>3387</v>
      </c>
      <c r="K2236" s="555" t="s">
        <v>2764</v>
      </c>
      <c r="L2236" s="555" t="s">
        <v>3055</v>
      </c>
      <c r="M2236" s="555" t="s">
        <v>3055</v>
      </c>
    </row>
    <row r="2237" spans="3:13" ht="18.75">
      <c r="C2237" s="735"/>
      <c r="D2237" s="555" t="s">
        <v>4498</v>
      </c>
      <c r="E2237" s="757">
        <v>0.29166666666666669</v>
      </c>
      <c r="F2237" s="731">
        <v>44092</v>
      </c>
      <c r="G2237" s="730">
        <v>0.25</v>
      </c>
      <c r="H2237" s="555" t="s">
        <v>4500</v>
      </c>
      <c r="I2237" s="555" t="s">
        <v>301</v>
      </c>
      <c r="J2237" s="751" t="s">
        <v>3447</v>
      </c>
      <c r="K2237" s="555" t="s">
        <v>2764</v>
      </c>
      <c r="L2237" s="555" t="s">
        <v>3055</v>
      </c>
      <c r="M2237" s="555" t="s">
        <v>3055</v>
      </c>
    </row>
    <row r="2238" spans="3:13" ht="18.75">
      <c r="C2238" s="735"/>
      <c r="D2238" s="555" t="s">
        <v>4498</v>
      </c>
      <c r="E2238" s="757">
        <v>0.125</v>
      </c>
      <c r="F2238" s="731">
        <v>44095</v>
      </c>
      <c r="G2238" s="730">
        <v>0.33333333333333331</v>
      </c>
      <c r="H2238" s="555" t="s">
        <v>4502</v>
      </c>
      <c r="I2238" s="555" t="s">
        <v>63</v>
      </c>
      <c r="J2238" s="751" t="s">
        <v>3451</v>
      </c>
      <c r="K2238" s="555" t="s">
        <v>22</v>
      </c>
      <c r="L2238" s="555" t="s">
        <v>3055</v>
      </c>
      <c r="M2238" s="555" t="s">
        <v>4503</v>
      </c>
    </row>
    <row r="2239" spans="3:13" ht="18.75">
      <c r="C2239" s="735"/>
      <c r="D2239" s="555" t="s">
        <v>4498</v>
      </c>
      <c r="E2239" s="757">
        <v>8.9583333333333334E-2</v>
      </c>
      <c r="F2239" s="731">
        <v>44090</v>
      </c>
      <c r="G2239" s="730">
        <v>9.7222222222222224E-2</v>
      </c>
      <c r="H2239" s="555" t="s">
        <v>4504</v>
      </c>
      <c r="I2239" s="555" t="s">
        <v>61</v>
      </c>
      <c r="J2239" s="751" t="s">
        <v>3356</v>
      </c>
      <c r="K2239" s="555" t="s">
        <v>100</v>
      </c>
      <c r="L2239" s="555" t="s">
        <v>3055</v>
      </c>
      <c r="M2239" s="555" t="s">
        <v>3055</v>
      </c>
    </row>
    <row r="2240" spans="3:13" ht="18.75">
      <c r="C2240" s="735"/>
      <c r="D2240" s="555" t="s">
        <v>4494</v>
      </c>
      <c r="E2240" s="757">
        <v>0.8340277777777777</v>
      </c>
      <c r="F2240" s="731">
        <v>44095</v>
      </c>
      <c r="G2240" s="730">
        <v>0.65555555555555556</v>
      </c>
      <c r="H2240" s="555" t="s">
        <v>4505</v>
      </c>
      <c r="I2240" s="555" t="s">
        <v>3347</v>
      </c>
      <c r="J2240" s="751" t="s">
        <v>3356</v>
      </c>
      <c r="K2240" s="555" t="s">
        <v>2293</v>
      </c>
      <c r="L2240" s="555" t="s">
        <v>3055</v>
      </c>
      <c r="M2240" s="555" t="s">
        <v>45</v>
      </c>
    </row>
    <row r="2241" spans="3:13" ht="18.75">
      <c r="C2241" s="735"/>
      <c r="D2241" s="555" t="s">
        <v>4506</v>
      </c>
      <c r="E2241" s="757">
        <v>0.41805555555555557</v>
      </c>
      <c r="F2241" s="731">
        <v>44096</v>
      </c>
      <c r="G2241" s="730">
        <v>0.54027777777777775</v>
      </c>
      <c r="H2241" s="555" t="s">
        <v>2945</v>
      </c>
      <c r="I2241" s="555" t="s">
        <v>124</v>
      </c>
      <c r="J2241" s="751" t="s">
        <v>4071</v>
      </c>
      <c r="K2241" s="555" t="s">
        <v>2764</v>
      </c>
      <c r="L2241" s="555" t="s">
        <v>3643</v>
      </c>
      <c r="M2241" s="555" t="s">
        <v>4507</v>
      </c>
    </row>
    <row r="2242" spans="3:13" ht="18.75">
      <c r="C2242" s="735"/>
      <c r="D2242" s="555" t="s">
        <v>4508</v>
      </c>
      <c r="E2242" s="757">
        <v>0.5</v>
      </c>
      <c r="F2242" s="731">
        <v>44097</v>
      </c>
      <c r="G2242" s="730">
        <v>0.54166666666666663</v>
      </c>
      <c r="H2242" s="555" t="s">
        <v>2833</v>
      </c>
      <c r="I2242" s="555" t="s">
        <v>3143</v>
      </c>
      <c r="J2242" s="751" t="s">
        <v>3356</v>
      </c>
      <c r="K2242" s="555" t="s">
        <v>100</v>
      </c>
      <c r="L2242" s="555" t="s">
        <v>3055</v>
      </c>
      <c r="M2242" s="555" t="s">
        <v>3055</v>
      </c>
    </row>
    <row r="2243" spans="3:13" ht="18.75">
      <c r="C2243" s="735"/>
      <c r="D2243" s="555" t="s">
        <v>4509</v>
      </c>
      <c r="E2243" s="757">
        <v>0.22013888888888888</v>
      </c>
      <c r="F2243" s="731">
        <v>44100</v>
      </c>
      <c r="G2243" s="730">
        <v>0.23680555555555557</v>
      </c>
      <c r="H2243" s="555" t="s">
        <v>2817</v>
      </c>
      <c r="I2243" s="555" t="s">
        <v>124</v>
      </c>
      <c r="J2243" s="751" t="s">
        <v>3402</v>
      </c>
      <c r="K2243" s="555" t="s">
        <v>2293</v>
      </c>
      <c r="L2243" s="555" t="s">
        <v>3859</v>
      </c>
      <c r="M2243" s="555" t="s">
        <v>4510</v>
      </c>
    </row>
    <row r="2244" spans="3:13" ht="18.75">
      <c r="C2244" s="735"/>
      <c r="D2244" s="555" t="s">
        <v>4511</v>
      </c>
      <c r="E2244" s="757">
        <v>0.76874999999999993</v>
      </c>
      <c r="F2244" s="731">
        <v>44102</v>
      </c>
      <c r="G2244" s="730">
        <v>0.63680555555555551</v>
      </c>
      <c r="H2244" s="555" t="s">
        <v>2945</v>
      </c>
      <c r="I2244" s="555" t="s">
        <v>124</v>
      </c>
      <c r="J2244" s="751" t="s">
        <v>3451</v>
      </c>
      <c r="K2244" s="555" t="s">
        <v>3416</v>
      </c>
      <c r="L2244" s="555" t="s">
        <v>3095</v>
      </c>
      <c r="M2244" s="555" t="s">
        <v>4513</v>
      </c>
    </row>
    <row r="2245" spans="3:13" ht="18.75">
      <c r="C2245" s="735"/>
      <c r="D2245" s="555" t="s">
        <v>4514</v>
      </c>
      <c r="E2245" s="757">
        <v>0.24652777777777779</v>
      </c>
      <c r="F2245" s="731">
        <v>44104</v>
      </c>
      <c r="G2245" s="730">
        <v>0.97916666666666663</v>
      </c>
      <c r="H2245" s="555" t="s">
        <v>4515</v>
      </c>
      <c r="I2245" s="555" t="s">
        <v>61</v>
      </c>
      <c r="J2245" s="751" t="s">
        <v>3451</v>
      </c>
      <c r="K2245" s="555" t="s">
        <v>22</v>
      </c>
      <c r="L2245" s="555" t="s">
        <v>45</v>
      </c>
      <c r="M2245" s="555" t="s">
        <v>4516</v>
      </c>
    </row>
    <row r="2246" spans="3:13" ht="18.75">
      <c r="C2246" s="735"/>
      <c r="D2246" s="555" t="s">
        <v>4517</v>
      </c>
      <c r="E2246" s="757">
        <v>0.8125</v>
      </c>
      <c r="F2246" s="731">
        <v>44108</v>
      </c>
      <c r="G2246" s="730">
        <v>0.27083333333333331</v>
      </c>
      <c r="H2246" s="555" t="s">
        <v>3437</v>
      </c>
      <c r="I2246" s="555" t="s">
        <v>63</v>
      </c>
      <c r="J2246" s="751" t="s">
        <v>3402</v>
      </c>
      <c r="K2246" s="555" t="s">
        <v>2118</v>
      </c>
      <c r="L2246" s="555" t="s">
        <v>3055</v>
      </c>
      <c r="M2246" s="555" t="s">
        <v>3055</v>
      </c>
    </row>
    <row r="2247" spans="3:13" ht="18.75">
      <c r="C2247" s="735"/>
      <c r="D2247" s="555" t="s">
        <v>4519</v>
      </c>
      <c r="E2247" s="757">
        <v>0.57291666666666663</v>
      </c>
      <c r="F2247" s="731">
        <v>44111</v>
      </c>
      <c r="G2247" s="730">
        <v>0.58263888888888882</v>
      </c>
      <c r="H2247" s="555" t="s">
        <v>4520</v>
      </c>
      <c r="I2247" s="555" t="s">
        <v>63</v>
      </c>
      <c r="J2247" s="751" t="s">
        <v>3411</v>
      </c>
      <c r="K2247" s="555" t="s">
        <v>2483</v>
      </c>
      <c r="L2247" s="555" t="s">
        <v>4521</v>
      </c>
      <c r="M2247" s="555" t="s">
        <v>4522</v>
      </c>
    </row>
    <row r="2248" spans="3:13" ht="18.75">
      <c r="C2248" s="735"/>
      <c r="D2248" s="555" t="s">
        <v>4519</v>
      </c>
      <c r="E2248" s="757">
        <v>0.66666666666666663</v>
      </c>
      <c r="F2248" s="731" t="s">
        <v>45</v>
      </c>
      <c r="G2248" s="730" t="s">
        <v>45</v>
      </c>
      <c r="H2248" s="555" t="s">
        <v>4398</v>
      </c>
      <c r="I2248" s="555" t="s">
        <v>61</v>
      </c>
      <c r="J2248" s="751" t="s">
        <v>3451</v>
      </c>
      <c r="K2248" s="555" t="s">
        <v>22</v>
      </c>
      <c r="L2248" s="555" t="s">
        <v>45</v>
      </c>
      <c r="M2248" s="555" t="s">
        <v>4110</v>
      </c>
    </row>
    <row r="2249" spans="3:13" ht="18.75">
      <c r="C2249" s="735"/>
      <c r="D2249" s="555" t="s">
        <v>4519</v>
      </c>
      <c r="E2249" s="757">
        <v>0.78472222222222221</v>
      </c>
      <c r="F2249" s="731">
        <v>44113</v>
      </c>
      <c r="G2249" s="730">
        <v>0.625</v>
      </c>
      <c r="H2249" s="555" t="s">
        <v>3264</v>
      </c>
      <c r="I2249" s="555" t="s">
        <v>61</v>
      </c>
      <c r="J2249" s="751" t="s">
        <v>3451</v>
      </c>
      <c r="K2249" s="555" t="s">
        <v>22</v>
      </c>
      <c r="L2249" s="555" t="s">
        <v>45</v>
      </c>
      <c r="M2249" s="555" t="s">
        <v>4524</v>
      </c>
    </row>
    <row r="2250" spans="3:13" ht="18.75">
      <c r="C2250" s="735"/>
      <c r="D2250" s="555" t="s">
        <v>4523</v>
      </c>
      <c r="E2250" s="757">
        <v>0.44722222222222219</v>
      </c>
      <c r="F2250" s="731">
        <v>44113</v>
      </c>
      <c r="G2250" s="730">
        <v>0.93402777777777779</v>
      </c>
      <c r="H2250" s="555" t="s">
        <v>2900</v>
      </c>
      <c r="I2250" s="555" t="s">
        <v>124</v>
      </c>
      <c r="J2250" s="751" t="s">
        <v>3411</v>
      </c>
      <c r="K2250" s="555" t="s">
        <v>2483</v>
      </c>
      <c r="L2250" s="555" t="s">
        <v>3055</v>
      </c>
      <c r="M2250" s="555" t="s">
        <v>3055</v>
      </c>
    </row>
    <row r="2251" spans="3:13" ht="18.75">
      <c r="C2251" s="735"/>
      <c r="D2251" s="555" t="s">
        <v>4523</v>
      </c>
      <c r="E2251" s="757">
        <v>0.83333333333333337</v>
      </c>
      <c r="F2251" s="731">
        <v>44119</v>
      </c>
      <c r="G2251" s="730">
        <v>0.29166666666666669</v>
      </c>
      <c r="H2251" s="555" t="s">
        <v>2866</v>
      </c>
      <c r="I2251" s="555" t="s">
        <v>63</v>
      </c>
      <c r="J2251" s="751" t="s">
        <v>3451</v>
      </c>
      <c r="K2251" s="555" t="s">
        <v>22</v>
      </c>
      <c r="L2251" s="555" t="s">
        <v>3110</v>
      </c>
      <c r="M2251" s="555" t="s">
        <v>3240</v>
      </c>
    </row>
    <row r="2252" spans="3:13" ht="18.75">
      <c r="C2252" s="735"/>
      <c r="D2252" s="555" t="s">
        <v>4523</v>
      </c>
      <c r="E2252" s="757">
        <v>0.82638888888888884</v>
      </c>
      <c r="F2252" s="731">
        <v>44115</v>
      </c>
      <c r="G2252" s="730">
        <v>0.63124999999999998</v>
      </c>
      <c r="H2252" s="555" t="s">
        <v>4527</v>
      </c>
      <c r="I2252" s="555" t="s">
        <v>63</v>
      </c>
      <c r="J2252" s="751" t="s">
        <v>3451</v>
      </c>
      <c r="K2252" s="555" t="s">
        <v>22</v>
      </c>
      <c r="L2252" s="555" t="s">
        <v>45</v>
      </c>
      <c r="M2252" s="555" t="s">
        <v>4528</v>
      </c>
    </row>
    <row r="2253" spans="3:13" ht="18.75">
      <c r="C2253" s="735"/>
      <c r="D2253" s="555" t="s">
        <v>4523</v>
      </c>
      <c r="E2253" s="757">
        <v>0.72916666666666663</v>
      </c>
      <c r="F2253" s="731">
        <v>44114</v>
      </c>
      <c r="G2253" s="730">
        <v>0.75</v>
      </c>
      <c r="H2253" s="555" t="s">
        <v>4530</v>
      </c>
      <c r="I2253" s="555" t="s">
        <v>63</v>
      </c>
      <c r="J2253" s="751" t="s">
        <v>3451</v>
      </c>
      <c r="K2253" s="555" t="s">
        <v>22</v>
      </c>
      <c r="L2253" s="555" t="s">
        <v>45</v>
      </c>
      <c r="M2253" s="555" t="s">
        <v>4531</v>
      </c>
    </row>
    <row r="2254" spans="3:13" ht="18.75">
      <c r="C2254" s="735"/>
      <c r="D2254" s="555" t="s">
        <v>4523</v>
      </c>
      <c r="E2254" s="757">
        <v>0.83333333333333337</v>
      </c>
      <c r="F2254" s="731">
        <v>44114</v>
      </c>
      <c r="G2254" s="730">
        <v>0.25</v>
      </c>
      <c r="H2254" s="555" t="s">
        <v>4532</v>
      </c>
      <c r="I2254" s="555" t="s">
        <v>63</v>
      </c>
      <c r="J2254" s="751" t="s">
        <v>3451</v>
      </c>
      <c r="K2254" s="555" t="s">
        <v>22</v>
      </c>
      <c r="L2254" s="555" t="s">
        <v>45</v>
      </c>
      <c r="M2254" s="555" t="s">
        <v>3240</v>
      </c>
    </row>
    <row r="2255" spans="3:13" ht="18.75">
      <c r="C2255" s="735"/>
      <c r="D2255" s="555" t="s">
        <v>4529</v>
      </c>
      <c r="E2255" s="757">
        <v>0.96527777777777779</v>
      </c>
      <c r="F2255" s="731">
        <v>44114</v>
      </c>
      <c r="G2255" s="730">
        <v>0.96875</v>
      </c>
      <c r="H2255" s="555" t="s">
        <v>4468</v>
      </c>
      <c r="I2255" s="555" t="s">
        <v>124</v>
      </c>
      <c r="J2255" s="751" t="s">
        <v>3411</v>
      </c>
      <c r="K2255" s="555" t="s">
        <v>2483</v>
      </c>
      <c r="L2255" s="555" t="s">
        <v>3055</v>
      </c>
      <c r="M2255" s="555" t="s">
        <v>3055</v>
      </c>
    </row>
    <row r="2256" spans="3:13" ht="18.75">
      <c r="C2256" s="735"/>
      <c r="D2256" s="555" t="s">
        <v>4529</v>
      </c>
      <c r="E2256" s="757">
        <v>0.33680555555555558</v>
      </c>
      <c r="F2256" s="731">
        <v>44114</v>
      </c>
      <c r="G2256" s="730">
        <v>0.5</v>
      </c>
      <c r="H2256" s="555" t="s">
        <v>4119</v>
      </c>
      <c r="I2256" s="555" t="s">
        <v>124</v>
      </c>
      <c r="J2256" s="751" t="s">
        <v>3447</v>
      </c>
      <c r="K2256" s="555" t="s">
        <v>2764</v>
      </c>
      <c r="L2256" s="555" t="s">
        <v>3055</v>
      </c>
      <c r="M2256" s="555" t="s">
        <v>3055</v>
      </c>
    </row>
    <row r="2257" spans="3:13" ht="18.75">
      <c r="C2257" s="735"/>
      <c r="D2257" s="555" t="s">
        <v>4529</v>
      </c>
      <c r="E2257" s="757">
        <v>9.8611111111111108E-2</v>
      </c>
      <c r="F2257" s="731">
        <v>44114</v>
      </c>
      <c r="G2257" s="730">
        <v>0.20833333333333334</v>
      </c>
      <c r="H2257" s="555" t="s">
        <v>4532</v>
      </c>
      <c r="I2257" s="555" t="s">
        <v>63</v>
      </c>
      <c r="J2257" s="751" t="s">
        <v>3387</v>
      </c>
      <c r="K2257" s="555" t="s">
        <v>22</v>
      </c>
      <c r="L2257" s="555" t="s">
        <v>45</v>
      </c>
      <c r="M2257" s="555" t="s">
        <v>45</v>
      </c>
    </row>
    <row r="2258" spans="3:13" ht="18.75">
      <c r="C2258" s="735"/>
      <c r="D2258" s="555" t="s">
        <v>4533</v>
      </c>
      <c r="E2258" s="757">
        <v>0.17083333333333331</v>
      </c>
      <c r="F2258" s="731">
        <v>44116</v>
      </c>
      <c r="G2258" s="730">
        <v>0.17152777777777775</v>
      </c>
      <c r="H2258" s="555" t="s">
        <v>4534</v>
      </c>
      <c r="I2258" s="555" t="s">
        <v>301</v>
      </c>
      <c r="J2258" s="751" t="s">
        <v>3411</v>
      </c>
      <c r="K2258" s="555" t="s">
        <v>2483</v>
      </c>
      <c r="L2258" s="555" t="s">
        <v>3055</v>
      </c>
      <c r="M2258" s="555" t="s">
        <v>3055</v>
      </c>
    </row>
    <row r="2259" spans="3:13" ht="18.75">
      <c r="C2259" s="735"/>
      <c r="D2259" s="555" t="s">
        <v>4535</v>
      </c>
      <c r="E2259" s="757">
        <v>0.55138888888888882</v>
      </c>
      <c r="F2259" s="731">
        <v>44118</v>
      </c>
      <c r="G2259" s="730">
        <v>0.58333333333333337</v>
      </c>
      <c r="H2259" s="555" t="s">
        <v>4537</v>
      </c>
      <c r="I2259" s="555" t="s">
        <v>124</v>
      </c>
      <c r="J2259" s="751" t="s">
        <v>3451</v>
      </c>
      <c r="K2259" s="555" t="s">
        <v>22</v>
      </c>
      <c r="L2259" s="555" t="s">
        <v>45</v>
      </c>
      <c r="M2259" s="555" t="s">
        <v>4538</v>
      </c>
    </row>
    <row r="2260" spans="3:13" ht="18.75">
      <c r="C2260" s="735"/>
      <c r="D2260" s="555" t="s">
        <v>4536</v>
      </c>
      <c r="E2260" s="757">
        <v>0.7680555555555556</v>
      </c>
      <c r="F2260" s="731">
        <v>44119</v>
      </c>
      <c r="G2260" s="730">
        <v>0.5493055555555556</v>
      </c>
      <c r="H2260" s="555" t="s">
        <v>3801</v>
      </c>
      <c r="I2260" s="555" t="s">
        <v>1352</v>
      </c>
      <c r="J2260" s="751" t="s">
        <v>3411</v>
      </c>
      <c r="K2260" s="555" t="s">
        <v>2483</v>
      </c>
      <c r="L2260" s="555" t="s">
        <v>4058</v>
      </c>
      <c r="M2260" s="555" t="s">
        <v>45</v>
      </c>
    </row>
    <row r="2261" spans="3:13" ht="18.75">
      <c r="C2261" s="735"/>
      <c r="D2261" s="555" t="s">
        <v>4525</v>
      </c>
      <c r="E2261" s="757">
        <v>0.98819444444444438</v>
      </c>
      <c r="F2261" s="731" t="s">
        <v>45</v>
      </c>
      <c r="G2261" s="730" t="s">
        <v>45</v>
      </c>
      <c r="H2261" s="555" t="s">
        <v>3284</v>
      </c>
      <c r="I2261" s="555" t="s">
        <v>124</v>
      </c>
      <c r="J2261" s="751" t="s">
        <v>3356</v>
      </c>
      <c r="K2261" s="555" t="s">
        <v>100</v>
      </c>
      <c r="L2261" s="555" t="s">
        <v>3055</v>
      </c>
      <c r="M2261" s="555" t="s">
        <v>3055</v>
      </c>
    </row>
    <row r="2262" spans="3:13" ht="18.75">
      <c r="C2262" s="735"/>
      <c r="D2262" s="555" t="s">
        <v>4525</v>
      </c>
      <c r="E2262" s="757">
        <v>0.70138888888888884</v>
      </c>
      <c r="F2262" s="731" t="s">
        <v>45</v>
      </c>
      <c r="G2262" s="730" t="s">
        <v>45</v>
      </c>
      <c r="H2262" s="555" t="s">
        <v>3307</v>
      </c>
      <c r="I2262" s="555" t="s">
        <v>3143</v>
      </c>
      <c r="J2262" s="751" t="s">
        <v>3447</v>
      </c>
      <c r="K2262" s="555" t="s">
        <v>2764</v>
      </c>
      <c r="L2262" s="555" t="s">
        <v>3055</v>
      </c>
      <c r="M2262" s="555" t="s">
        <v>3055</v>
      </c>
    </row>
    <row r="2263" spans="3:13" ht="18.75">
      <c r="C2263" s="735"/>
      <c r="D2263" s="555" t="s">
        <v>4539</v>
      </c>
      <c r="E2263" s="757">
        <v>0.58333333333333337</v>
      </c>
      <c r="F2263" s="731">
        <v>44120</v>
      </c>
      <c r="G2263" s="730">
        <v>0.66666666666666663</v>
      </c>
      <c r="H2263" s="555" t="s">
        <v>3354</v>
      </c>
      <c r="I2263" s="555" t="s">
        <v>63</v>
      </c>
      <c r="J2263" s="751" t="s">
        <v>3356</v>
      </c>
      <c r="K2263" s="555" t="s">
        <v>100</v>
      </c>
      <c r="L2263" s="555" t="s">
        <v>4540</v>
      </c>
      <c r="M2263" s="555" t="s">
        <v>3055</v>
      </c>
    </row>
    <row r="2264" spans="3:13" ht="18.75">
      <c r="C2264" s="735"/>
      <c r="D2264" s="555" t="s">
        <v>4541</v>
      </c>
      <c r="E2264" s="757">
        <v>0.78333333333333333</v>
      </c>
      <c r="F2264" s="731">
        <v>44124</v>
      </c>
      <c r="G2264" s="730">
        <v>0.78402777777777777</v>
      </c>
      <c r="H2264" s="555" t="s">
        <v>4542</v>
      </c>
      <c r="I2264" s="555" t="s">
        <v>63</v>
      </c>
      <c r="J2264" s="751" t="s">
        <v>3411</v>
      </c>
      <c r="K2264" s="555" t="s">
        <v>2483</v>
      </c>
      <c r="L2264" s="555" t="s">
        <v>3055</v>
      </c>
      <c r="M2264" s="555" t="s">
        <v>3055</v>
      </c>
    </row>
    <row r="2265" spans="3:13" ht="18.75">
      <c r="C2265" s="735"/>
      <c r="D2265" s="555" t="s">
        <v>4543</v>
      </c>
      <c r="E2265" s="757">
        <v>0.33333333333333331</v>
      </c>
      <c r="F2265" s="731">
        <v>44126</v>
      </c>
      <c r="G2265" s="730">
        <v>0.33402777777777781</v>
      </c>
      <c r="H2265" s="555" t="s">
        <v>4492</v>
      </c>
      <c r="I2265" s="555" t="s">
        <v>124</v>
      </c>
      <c r="J2265" s="751" t="s">
        <v>3402</v>
      </c>
      <c r="K2265" s="555" t="s">
        <v>2118</v>
      </c>
      <c r="L2265" s="555" t="s">
        <v>3055</v>
      </c>
      <c r="M2265" s="555" t="s">
        <v>3055</v>
      </c>
    </row>
    <row r="2266" spans="3:13" ht="18.75">
      <c r="C2266" s="735"/>
      <c r="D2266" s="555" t="s">
        <v>4543</v>
      </c>
      <c r="E2266" s="757">
        <v>0.95000000000000007</v>
      </c>
      <c r="F2266" s="731">
        <v>44126</v>
      </c>
      <c r="G2266" s="730">
        <v>0.9819444444444444</v>
      </c>
      <c r="H2266" s="555" t="s">
        <v>3410</v>
      </c>
      <c r="I2266" s="555" t="s">
        <v>301</v>
      </c>
      <c r="J2266" s="751" t="s">
        <v>3447</v>
      </c>
      <c r="K2266" s="555" t="s">
        <v>2764</v>
      </c>
      <c r="L2266" s="555" t="s">
        <v>3055</v>
      </c>
      <c r="M2266" s="555" t="s">
        <v>3055</v>
      </c>
    </row>
    <row r="2267" spans="3:13" ht="18.75">
      <c r="C2267" s="735"/>
      <c r="D2267" s="555" t="s">
        <v>4544</v>
      </c>
      <c r="E2267" s="757">
        <v>0.65416666666666667</v>
      </c>
      <c r="F2267" s="731">
        <v>44127</v>
      </c>
      <c r="G2267" s="730">
        <v>0.96597222222222223</v>
      </c>
      <c r="H2267" s="555" t="s">
        <v>2895</v>
      </c>
      <c r="I2267" s="555" t="s">
        <v>3143</v>
      </c>
      <c r="J2267" s="751" t="s">
        <v>3411</v>
      </c>
      <c r="K2267" s="555" t="s">
        <v>2483</v>
      </c>
      <c r="L2267" s="555" t="s">
        <v>45</v>
      </c>
      <c r="M2267" s="555" t="s">
        <v>45</v>
      </c>
    </row>
    <row r="2268" spans="3:13" ht="18.75">
      <c r="C2268" s="735"/>
      <c r="D2268" s="555" t="s">
        <v>4544</v>
      </c>
      <c r="E2268" s="757">
        <v>0.65694444444444444</v>
      </c>
      <c r="F2268" s="731">
        <v>44127</v>
      </c>
      <c r="G2268" s="730">
        <v>0.9604166666666667</v>
      </c>
      <c r="H2268" s="555" t="s">
        <v>2809</v>
      </c>
      <c r="I2268" s="555" t="s">
        <v>1352</v>
      </c>
      <c r="J2268" s="751" t="s">
        <v>3451</v>
      </c>
      <c r="K2268" s="555" t="s">
        <v>22</v>
      </c>
      <c r="L2268" s="555" t="s">
        <v>45</v>
      </c>
      <c r="M2268" s="555" t="s">
        <v>4545</v>
      </c>
    </row>
    <row r="2269" spans="3:13" ht="18.75">
      <c r="C2269" s="735"/>
      <c r="D2269" s="555" t="s">
        <v>4546</v>
      </c>
      <c r="E2269" s="757">
        <v>0.84236111111111101</v>
      </c>
      <c r="F2269" s="731">
        <v>44128</v>
      </c>
      <c r="G2269" s="730">
        <v>0.95277777777777783</v>
      </c>
      <c r="H2269" s="555" t="s">
        <v>4269</v>
      </c>
      <c r="I2269" s="555" t="s">
        <v>674</v>
      </c>
      <c r="J2269" s="751" t="s">
        <v>3411</v>
      </c>
      <c r="K2269" s="555" t="s">
        <v>2483</v>
      </c>
      <c r="L2269" s="555" t="s">
        <v>3081</v>
      </c>
      <c r="M2269" s="555" t="s">
        <v>3497</v>
      </c>
    </row>
    <row r="2270" spans="3:13" ht="18.75">
      <c r="C2270" s="735"/>
      <c r="D2270" s="555" t="s">
        <v>4547</v>
      </c>
      <c r="E2270" s="757">
        <v>0.60555555555555551</v>
      </c>
      <c r="F2270" s="731">
        <v>44131</v>
      </c>
      <c r="G2270" s="730">
        <v>0.75</v>
      </c>
      <c r="H2270" s="555" t="s">
        <v>2945</v>
      </c>
      <c r="I2270" s="555" t="s">
        <v>124</v>
      </c>
      <c r="J2270" s="751" t="s">
        <v>3451</v>
      </c>
      <c r="K2270" s="555" t="s">
        <v>22</v>
      </c>
      <c r="L2270" s="555" t="s">
        <v>4549</v>
      </c>
      <c r="M2270" s="555" t="s">
        <v>4550</v>
      </c>
    </row>
    <row r="2271" spans="3:13" ht="18.75">
      <c r="C2271" s="735"/>
      <c r="D2271" s="555" t="s">
        <v>4547</v>
      </c>
      <c r="E2271" s="757">
        <v>0.1423611111111111</v>
      </c>
      <c r="F2271" s="731">
        <v>44129</v>
      </c>
      <c r="G2271" s="730">
        <v>0.15625</v>
      </c>
      <c r="H2271" s="555" t="s">
        <v>4551</v>
      </c>
      <c r="I2271" s="555" t="s">
        <v>674</v>
      </c>
      <c r="J2271" s="751" t="s">
        <v>3356</v>
      </c>
      <c r="K2271" s="555" t="s">
        <v>2118</v>
      </c>
      <c r="L2271" s="555" t="s">
        <v>3055</v>
      </c>
      <c r="M2271" s="555" t="s">
        <v>3055</v>
      </c>
    </row>
    <row r="2272" spans="3:13" ht="18.75">
      <c r="C2272" s="735"/>
      <c r="D2272" s="555" t="s">
        <v>4552</v>
      </c>
      <c r="E2272" s="757">
        <v>0.54166666666666663</v>
      </c>
      <c r="F2272" s="731">
        <v>44142</v>
      </c>
      <c r="G2272" s="730">
        <v>0.79166666666666663</v>
      </c>
      <c r="H2272" s="555" t="s">
        <v>4554</v>
      </c>
      <c r="I2272" s="555" t="s">
        <v>3347</v>
      </c>
      <c r="J2272" s="751" t="s">
        <v>3451</v>
      </c>
      <c r="K2272" s="555" t="s">
        <v>22</v>
      </c>
      <c r="L2272" s="555" t="s">
        <v>45</v>
      </c>
      <c r="M2272" s="555" t="s">
        <v>4555</v>
      </c>
    </row>
    <row r="2273" spans="3:13" ht="18.75">
      <c r="C2273" s="735"/>
      <c r="D2273" s="555" t="s">
        <v>4552</v>
      </c>
      <c r="E2273" s="757">
        <v>0.47500000000000003</v>
      </c>
      <c r="F2273" s="731">
        <v>44131</v>
      </c>
      <c r="G2273" s="730">
        <v>0.69652777777777775</v>
      </c>
      <c r="H2273" s="555" t="s">
        <v>4556</v>
      </c>
      <c r="I2273" s="555" t="s">
        <v>124</v>
      </c>
      <c r="J2273" s="751" t="s">
        <v>3451</v>
      </c>
      <c r="K2273" s="555" t="s">
        <v>22</v>
      </c>
      <c r="L2273" s="555" t="s">
        <v>45</v>
      </c>
      <c r="M2273" s="555" t="s">
        <v>4557</v>
      </c>
    </row>
    <row r="2274" spans="3:13" ht="18.75">
      <c r="C2274" s="735"/>
      <c r="D2274" s="555" t="s">
        <v>4552</v>
      </c>
      <c r="E2274" s="757">
        <v>0.39444444444444443</v>
      </c>
      <c r="F2274" s="731">
        <v>44130</v>
      </c>
      <c r="G2274" s="730">
        <v>0.51388888888888895</v>
      </c>
      <c r="H2274" s="555" t="s">
        <v>2900</v>
      </c>
      <c r="I2274" s="555" t="s">
        <v>124</v>
      </c>
      <c r="J2274" s="751" t="s">
        <v>3411</v>
      </c>
      <c r="K2274" s="555" t="s">
        <v>2483</v>
      </c>
      <c r="L2274" s="555" t="s">
        <v>4100</v>
      </c>
      <c r="M2274" s="555" t="s">
        <v>4510</v>
      </c>
    </row>
    <row r="2275" spans="3:13" ht="18.75">
      <c r="C2275" s="735"/>
      <c r="D2275" s="555" t="s">
        <v>4552</v>
      </c>
      <c r="E2275" s="757">
        <v>0.41666666666666669</v>
      </c>
      <c r="F2275" s="731">
        <v>44130</v>
      </c>
      <c r="G2275" s="730">
        <v>0.42708333333333331</v>
      </c>
      <c r="H2275" s="555" t="s">
        <v>3354</v>
      </c>
      <c r="I2275" s="555" t="s">
        <v>63</v>
      </c>
      <c r="J2275" s="751" t="s">
        <v>3356</v>
      </c>
      <c r="K2275" s="555" t="s">
        <v>100</v>
      </c>
      <c r="L2275" s="555" t="s">
        <v>4558</v>
      </c>
      <c r="M2275" s="555" t="s">
        <v>3055</v>
      </c>
    </row>
    <row r="2276" spans="3:13" ht="18.75">
      <c r="C2276" s="735"/>
      <c r="D2276" s="555" t="s">
        <v>4548</v>
      </c>
      <c r="E2276" s="757">
        <v>0.74305555555555547</v>
      </c>
      <c r="F2276" s="731" t="s">
        <v>45</v>
      </c>
      <c r="G2276" s="730" t="s">
        <v>45</v>
      </c>
      <c r="H2276" s="555" t="s">
        <v>3693</v>
      </c>
      <c r="I2276" s="555" t="s">
        <v>3347</v>
      </c>
      <c r="J2276" s="751" t="s">
        <v>3451</v>
      </c>
      <c r="K2276" s="555" t="s">
        <v>22</v>
      </c>
      <c r="L2276" s="555" t="s">
        <v>45</v>
      </c>
      <c r="M2276" s="555" t="s">
        <v>4559</v>
      </c>
    </row>
    <row r="2277" spans="3:13" ht="18.75">
      <c r="C2277" s="735"/>
      <c r="D2277" s="555" t="s">
        <v>4560</v>
      </c>
      <c r="E2277" s="757">
        <v>0.90069444444444446</v>
      </c>
      <c r="F2277" s="731">
        <v>44137</v>
      </c>
      <c r="G2277" s="730">
        <v>0.8125</v>
      </c>
      <c r="H2277" s="555" t="s">
        <v>4562</v>
      </c>
      <c r="I2277" s="555" t="s">
        <v>63</v>
      </c>
      <c r="J2277" s="751" t="s">
        <v>3451</v>
      </c>
      <c r="K2277" s="555" t="s">
        <v>22</v>
      </c>
      <c r="L2277" s="555" t="s">
        <v>4563</v>
      </c>
      <c r="M2277" s="555" t="s">
        <v>4564</v>
      </c>
    </row>
    <row r="2278" spans="3:13" ht="18.75">
      <c r="C2278" s="735"/>
      <c r="D2278" s="555" t="s">
        <v>4560</v>
      </c>
      <c r="E2278" s="757">
        <v>0.75</v>
      </c>
      <c r="F2278" s="731">
        <v>44133</v>
      </c>
      <c r="G2278" s="730">
        <v>5.2083333333333336E-2</v>
      </c>
      <c r="H2278" s="555" t="s">
        <v>2866</v>
      </c>
      <c r="I2278" s="555" t="s">
        <v>63</v>
      </c>
      <c r="J2278" s="751" t="s">
        <v>3451</v>
      </c>
      <c r="K2278" s="555" t="s">
        <v>22</v>
      </c>
      <c r="L2278" s="555" t="s">
        <v>45</v>
      </c>
      <c r="M2278" s="555" t="s">
        <v>4566</v>
      </c>
    </row>
    <row r="2279" spans="3:13" ht="18.75">
      <c r="C2279" s="735"/>
      <c r="D2279" s="555" t="s">
        <v>4560</v>
      </c>
      <c r="E2279" s="757">
        <v>0.49513888888888885</v>
      </c>
      <c r="F2279" s="731">
        <v>44132</v>
      </c>
      <c r="G2279" s="730">
        <v>0.6430555555555556</v>
      </c>
      <c r="H2279" s="555" t="s">
        <v>2919</v>
      </c>
      <c r="I2279" s="555" t="s">
        <v>1352</v>
      </c>
      <c r="J2279" s="751" t="s">
        <v>3411</v>
      </c>
      <c r="K2279" s="555" t="s">
        <v>2483</v>
      </c>
      <c r="L2279" s="555" t="s">
        <v>45</v>
      </c>
      <c r="M2279" s="555" t="s">
        <v>45</v>
      </c>
    </row>
    <row r="2280" spans="3:13" ht="18.75">
      <c r="C2280" s="735"/>
      <c r="D2280" s="555" t="s">
        <v>4560</v>
      </c>
      <c r="E2280" s="757">
        <v>0.43611111111111112</v>
      </c>
      <c r="F2280" s="731">
        <v>44132</v>
      </c>
      <c r="G2280" s="730">
        <v>0.4368055555555555</v>
      </c>
      <c r="H2280" s="555" t="s">
        <v>2919</v>
      </c>
      <c r="I2280" s="555" t="s">
        <v>1352</v>
      </c>
      <c r="J2280" s="751" t="s">
        <v>4071</v>
      </c>
      <c r="K2280" s="555" t="s">
        <v>22</v>
      </c>
      <c r="L2280" s="555" t="s">
        <v>45</v>
      </c>
      <c r="M2280" s="555" t="s">
        <v>45</v>
      </c>
    </row>
    <row r="2281" spans="3:13" ht="18.75">
      <c r="C2281" s="735"/>
      <c r="D2281" s="555" t="s">
        <v>4560</v>
      </c>
      <c r="E2281" s="757">
        <v>0.71666666666666667</v>
      </c>
      <c r="F2281" s="731">
        <v>44133</v>
      </c>
      <c r="G2281" s="730">
        <v>0.6875</v>
      </c>
      <c r="H2281" s="555" t="s">
        <v>4567</v>
      </c>
      <c r="I2281" s="555" t="s">
        <v>63</v>
      </c>
      <c r="J2281" s="751" t="s">
        <v>3451</v>
      </c>
      <c r="K2281" s="555" t="s">
        <v>22</v>
      </c>
      <c r="L2281" s="555" t="s">
        <v>45</v>
      </c>
      <c r="M2281" s="555" t="s">
        <v>4568</v>
      </c>
    </row>
    <row r="2282" spans="3:13" ht="18.75">
      <c r="C2282" s="735"/>
      <c r="D2282" s="555" t="s">
        <v>4565</v>
      </c>
      <c r="E2282" s="757">
        <v>0.34375</v>
      </c>
      <c r="F2282" s="731">
        <v>44135</v>
      </c>
      <c r="G2282" s="730">
        <v>0.78125</v>
      </c>
      <c r="H2282" s="555" t="s">
        <v>2832</v>
      </c>
      <c r="I2282" s="555" t="s">
        <v>63</v>
      </c>
      <c r="J2282" s="751" t="s">
        <v>3451</v>
      </c>
      <c r="K2282" s="555" t="s">
        <v>22</v>
      </c>
      <c r="L2282" s="555" t="s">
        <v>45</v>
      </c>
      <c r="M2282" s="555" t="s">
        <v>4570</v>
      </c>
    </row>
    <row r="2283" spans="3:13" ht="18.75">
      <c r="C2283" s="735"/>
      <c r="D2283" s="555" t="s">
        <v>4565</v>
      </c>
      <c r="E2283" s="757">
        <v>0.49861111111111112</v>
      </c>
      <c r="F2283" s="731">
        <v>44133</v>
      </c>
      <c r="G2283" s="730">
        <v>0.54861111111111105</v>
      </c>
      <c r="H2283" s="555" t="s">
        <v>2959</v>
      </c>
      <c r="I2283" s="555" t="s">
        <v>61</v>
      </c>
      <c r="J2283" s="751" t="s">
        <v>3387</v>
      </c>
      <c r="K2283" s="555" t="s">
        <v>2764</v>
      </c>
      <c r="L2283" s="555" t="s">
        <v>3055</v>
      </c>
      <c r="M2283" s="555" t="s">
        <v>3055</v>
      </c>
    </row>
    <row r="2284" spans="3:13" ht="18.75">
      <c r="C2284" s="735"/>
      <c r="D2284" s="555" t="s">
        <v>4565</v>
      </c>
      <c r="E2284" s="757">
        <v>8.3333333333333329E-2</v>
      </c>
      <c r="F2284" s="731">
        <v>44135</v>
      </c>
      <c r="G2284" s="730">
        <v>0.375</v>
      </c>
      <c r="H2284" s="555" t="s">
        <v>4571</v>
      </c>
      <c r="I2284" s="555" t="s">
        <v>63</v>
      </c>
      <c r="J2284" s="751" t="s">
        <v>3451</v>
      </c>
      <c r="K2284" s="555" t="s">
        <v>22</v>
      </c>
      <c r="L2284" s="555" t="s">
        <v>3055</v>
      </c>
      <c r="M2284" s="555" t="s">
        <v>3251</v>
      </c>
    </row>
    <row r="2285" spans="3:13" ht="18.75">
      <c r="C2285" s="735"/>
      <c r="D2285" s="555" t="s">
        <v>4572</v>
      </c>
      <c r="E2285" s="757">
        <v>0.75</v>
      </c>
      <c r="F2285" s="731">
        <v>44136</v>
      </c>
      <c r="G2285" s="730">
        <v>0.75624999999999998</v>
      </c>
      <c r="H2285" s="555" t="s">
        <v>2895</v>
      </c>
      <c r="I2285" s="555" t="s">
        <v>3143</v>
      </c>
      <c r="J2285" s="751" t="s">
        <v>3451</v>
      </c>
      <c r="K2285" s="555" t="s">
        <v>22</v>
      </c>
      <c r="L2285" s="555" t="s">
        <v>45</v>
      </c>
      <c r="M2285" s="555" t="s">
        <v>4573</v>
      </c>
    </row>
    <row r="2286" spans="3:13" ht="18.75">
      <c r="C2286" s="735"/>
      <c r="D2286" s="555" t="s">
        <v>4572</v>
      </c>
      <c r="E2286" s="757">
        <v>0.52152777777777781</v>
      </c>
      <c r="F2286" s="731">
        <v>44136</v>
      </c>
      <c r="G2286" s="730">
        <v>0.52430555555555558</v>
      </c>
      <c r="H2286" s="555" t="s">
        <v>3909</v>
      </c>
      <c r="I2286" s="555" t="s">
        <v>124</v>
      </c>
      <c r="J2286" s="751" t="s">
        <v>3402</v>
      </c>
      <c r="K2286" s="555" t="s">
        <v>2118</v>
      </c>
      <c r="L2286" s="555" t="s">
        <v>3055</v>
      </c>
      <c r="M2286" s="555" t="s">
        <v>3055</v>
      </c>
    </row>
    <row r="2287" spans="3:13" ht="18.75">
      <c r="C2287" s="735"/>
      <c r="D2287" s="555" t="s">
        <v>4561</v>
      </c>
      <c r="E2287" s="757">
        <v>0.46666666666666662</v>
      </c>
      <c r="F2287" s="731">
        <v>44137</v>
      </c>
      <c r="G2287" s="730">
        <v>0.47291666666666665</v>
      </c>
      <c r="H2287" s="555" t="s">
        <v>2901</v>
      </c>
      <c r="I2287" s="555" t="s">
        <v>301</v>
      </c>
      <c r="J2287" s="751" t="s">
        <v>3402</v>
      </c>
      <c r="K2287" s="555" t="s">
        <v>2118</v>
      </c>
      <c r="L2287" s="555" t="s">
        <v>3055</v>
      </c>
      <c r="M2287" s="555" t="s">
        <v>3055</v>
      </c>
    </row>
    <row r="2288" spans="3:13" ht="18.75">
      <c r="C2288" s="735"/>
      <c r="D2288" s="555" t="s">
        <v>4553</v>
      </c>
      <c r="E2288" s="757">
        <v>0.73611111111111116</v>
      </c>
      <c r="F2288" s="731">
        <v>44142</v>
      </c>
      <c r="G2288" s="730">
        <v>0.92361111111111116</v>
      </c>
      <c r="H2288" s="555" t="s">
        <v>2900</v>
      </c>
      <c r="I2288" s="555" t="s">
        <v>124</v>
      </c>
      <c r="J2288" s="751" t="s">
        <v>3411</v>
      </c>
      <c r="K2288" s="555" t="s">
        <v>2483</v>
      </c>
      <c r="L2288" s="555" t="s">
        <v>3055</v>
      </c>
      <c r="M2288" s="555" t="s">
        <v>3055</v>
      </c>
    </row>
    <row r="2289" spans="3:13" ht="18.75">
      <c r="C2289" s="735"/>
      <c r="D2289" s="555" t="s">
        <v>4574</v>
      </c>
      <c r="E2289" s="757">
        <v>0.5</v>
      </c>
      <c r="F2289" s="731">
        <v>44145</v>
      </c>
      <c r="G2289" s="730">
        <v>0.40625</v>
      </c>
      <c r="H2289" s="555" t="s">
        <v>4576</v>
      </c>
      <c r="I2289" s="555" t="s">
        <v>61</v>
      </c>
      <c r="J2289" s="751" t="s">
        <v>3356</v>
      </c>
      <c r="K2289" s="555" t="s">
        <v>100</v>
      </c>
      <c r="L2289" s="555" t="s">
        <v>3055</v>
      </c>
      <c r="M2289" s="555" t="s">
        <v>3055</v>
      </c>
    </row>
    <row r="2290" spans="3:13" ht="18.75">
      <c r="C2290" s="735"/>
      <c r="D2290" s="555" t="s">
        <v>4575</v>
      </c>
      <c r="E2290" s="757">
        <v>0.4458333333333333</v>
      </c>
      <c r="F2290" s="731">
        <v>44145</v>
      </c>
      <c r="G2290" s="730">
        <v>0.53125</v>
      </c>
      <c r="H2290" s="555" t="s">
        <v>3424</v>
      </c>
      <c r="I2290" s="555" t="s">
        <v>124</v>
      </c>
      <c r="J2290" s="751" t="s">
        <v>3387</v>
      </c>
      <c r="K2290" s="555" t="s">
        <v>2764</v>
      </c>
      <c r="L2290" s="555" t="s">
        <v>3055</v>
      </c>
      <c r="M2290" s="555" t="s">
        <v>3055</v>
      </c>
    </row>
    <row r="2291" spans="3:13" ht="18.75">
      <c r="C2291" s="735"/>
      <c r="D2291" s="555" t="s">
        <v>4577</v>
      </c>
      <c r="E2291" s="757">
        <v>1.3888888888888888E-2</v>
      </c>
      <c r="F2291" s="731">
        <v>44148</v>
      </c>
      <c r="G2291" s="730">
        <v>0.33333333333333331</v>
      </c>
      <c r="H2291" s="555" t="s">
        <v>2813</v>
      </c>
      <c r="I2291" s="555" t="s">
        <v>124</v>
      </c>
      <c r="J2291" s="751" t="s">
        <v>3928</v>
      </c>
      <c r="K2291" s="555" t="s">
        <v>2764</v>
      </c>
      <c r="L2291" s="555" t="s">
        <v>3055</v>
      </c>
      <c r="M2291" s="555" t="s">
        <v>3055</v>
      </c>
    </row>
    <row r="2292" spans="3:13" ht="18.75">
      <c r="C2292" s="735"/>
      <c r="D2292" s="555" t="s">
        <v>4578</v>
      </c>
      <c r="E2292" s="757">
        <v>0.31944444444444448</v>
      </c>
      <c r="F2292" s="731" t="s">
        <v>45</v>
      </c>
      <c r="G2292" s="730" t="s">
        <v>45</v>
      </c>
      <c r="H2292" s="555" t="s">
        <v>2849</v>
      </c>
      <c r="I2292" s="555" t="s">
        <v>124</v>
      </c>
      <c r="J2292" s="751" t="s">
        <v>3654</v>
      </c>
      <c r="K2292" s="555" t="s">
        <v>1138</v>
      </c>
      <c r="L2292" s="555" t="s">
        <v>3055</v>
      </c>
      <c r="M2292" s="555" t="s">
        <v>3055</v>
      </c>
    </row>
    <row r="2293" spans="3:13" ht="18.75">
      <c r="C2293" s="735"/>
      <c r="D2293" s="555" t="s">
        <v>4579</v>
      </c>
      <c r="E2293" s="757">
        <v>0.63055555555555554</v>
      </c>
      <c r="F2293" s="731">
        <v>44150</v>
      </c>
      <c r="G2293" s="730">
        <v>0.9375</v>
      </c>
      <c r="H2293" s="555" t="s">
        <v>2895</v>
      </c>
      <c r="I2293" s="555" t="s">
        <v>3143</v>
      </c>
      <c r="J2293" s="751" t="s">
        <v>3451</v>
      </c>
      <c r="K2293" s="555" t="s">
        <v>22</v>
      </c>
      <c r="L2293" s="555" t="s">
        <v>45</v>
      </c>
      <c r="M2293" s="555" t="s">
        <v>4580</v>
      </c>
    </row>
    <row r="2294" spans="3:13" ht="18.75">
      <c r="C2294" s="735"/>
      <c r="D2294" s="555" t="s">
        <v>4579</v>
      </c>
      <c r="E2294" s="757">
        <v>0.61944444444444446</v>
      </c>
      <c r="F2294" s="731">
        <v>44151</v>
      </c>
      <c r="G2294" s="730">
        <v>0.24930555555555556</v>
      </c>
      <c r="H2294" s="555" t="s">
        <v>2895</v>
      </c>
      <c r="I2294" s="555" t="s">
        <v>3143</v>
      </c>
      <c r="J2294" s="751" t="s">
        <v>3451</v>
      </c>
      <c r="K2294" s="555" t="s">
        <v>22</v>
      </c>
      <c r="L2294" s="555" t="s">
        <v>45</v>
      </c>
      <c r="M2294" s="555" t="s">
        <v>4582</v>
      </c>
    </row>
    <row r="2295" spans="3:13" ht="18.75">
      <c r="C2295" s="735"/>
      <c r="D2295" s="555" t="s">
        <v>4579</v>
      </c>
      <c r="E2295" s="757">
        <v>0.52083333333333337</v>
      </c>
      <c r="F2295" s="731">
        <v>44153</v>
      </c>
      <c r="G2295" s="730">
        <v>0.4055555555555555</v>
      </c>
      <c r="H2295" s="555" t="s">
        <v>4584</v>
      </c>
      <c r="I2295" s="555" t="s">
        <v>3143</v>
      </c>
      <c r="J2295" s="751" t="s">
        <v>3451</v>
      </c>
      <c r="K2295" s="555" t="s">
        <v>22</v>
      </c>
      <c r="L2295" s="555" t="s">
        <v>45</v>
      </c>
      <c r="M2295" s="555" t="s">
        <v>3560</v>
      </c>
    </row>
    <row r="2296" spans="3:13" ht="18.75">
      <c r="C2296" s="735"/>
      <c r="D2296" s="555" t="s">
        <v>4579</v>
      </c>
      <c r="E2296" s="757">
        <v>0.65069444444444446</v>
      </c>
      <c r="F2296" s="731">
        <v>44152</v>
      </c>
      <c r="G2296" s="730">
        <v>0.51041666666666663</v>
      </c>
      <c r="H2296" s="555" t="s">
        <v>4586</v>
      </c>
      <c r="I2296" s="555" t="s">
        <v>3143</v>
      </c>
      <c r="J2296" s="751" t="s">
        <v>3451</v>
      </c>
      <c r="K2296" s="555" t="s">
        <v>22</v>
      </c>
      <c r="L2296" s="555" t="s">
        <v>45</v>
      </c>
      <c r="M2296" s="555" t="s">
        <v>4587</v>
      </c>
    </row>
    <row r="2297" spans="3:13" ht="18.75">
      <c r="C2297" s="735"/>
      <c r="D2297" s="555" t="s">
        <v>4579</v>
      </c>
      <c r="E2297" s="757">
        <v>0.96180555555555547</v>
      </c>
      <c r="F2297" s="731">
        <v>44151</v>
      </c>
      <c r="G2297" s="730">
        <v>0.20833333333333334</v>
      </c>
      <c r="H2297" s="555" t="s">
        <v>3264</v>
      </c>
      <c r="I2297" s="555" t="s">
        <v>61</v>
      </c>
      <c r="J2297" s="751" t="s">
        <v>3451</v>
      </c>
      <c r="K2297" s="555" t="s">
        <v>22</v>
      </c>
      <c r="L2297" s="555" t="s">
        <v>45</v>
      </c>
      <c r="M2297" s="555" t="s">
        <v>4588</v>
      </c>
    </row>
    <row r="2298" spans="3:13" ht="18.75">
      <c r="C2298" s="735"/>
      <c r="D2298" s="555" t="s">
        <v>4579</v>
      </c>
      <c r="E2298" s="757">
        <v>0.47916666666666669</v>
      </c>
      <c r="F2298" s="731">
        <v>44151</v>
      </c>
      <c r="G2298" s="730">
        <v>0.1423611111111111</v>
      </c>
      <c r="H2298" s="555" t="s">
        <v>4589</v>
      </c>
      <c r="I2298" s="555" t="s">
        <v>3143</v>
      </c>
      <c r="J2298" s="751" t="s">
        <v>3451</v>
      </c>
      <c r="K2298" s="555" t="s">
        <v>22</v>
      </c>
      <c r="L2298" s="555" t="s">
        <v>45</v>
      </c>
      <c r="M2298" s="555" t="s">
        <v>4368</v>
      </c>
    </row>
    <row r="2299" spans="3:13" ht="18.75">
      <c r="C2299" s="735"/>
      <c r="D2299" s="555" t="s">
        <v>4583</v>
      </c>
      <c r="E2299" s="757">
        <v>0.35416666666666669</v>
      </c>
      <c r="F2299" s="731">
        <v>44153</v>
      </c>
      <c r="G2299" s="730">
        <v>0.4513888888888889</v>
      </c>
      <c r="H2299" s="555" t="s">
        <v>4590</v>
      </c>
      <c r="I2299" s="555" t="s">
        <v>63</v>
      </c>
      <c r="J2299" s="751" t="s">
        <v>3387</v>
      </c>
      <c r="K2299" s="555" t="s">
        <v>2764</v>
      </c>
      <c r="L2299" s="555" t="s">
        <v>3055</v>
      </c>
      <c r="M2299" s="555" t="s">
        <v>3055</v>
      </c>
    </row>
    <row r="2300" spans="3:13" ht="18.75">
      <c r="C2300" s="735"/>
      <c r="D2300" s="555" t="s">
        <v>4583</v>
      </c>
      <c r="E2300" s="757">
        <v>0.43055555555555558</v>
      </c>
      <c r="F2300" s="731">
        <v>44153</v>
      </c>
      <c r="G2300" s="730">
        <v>0.47083333333333338</v>
      </c>
      <c r="H2300" s="555" t="s">
        <v>2959</v>
      </c>
      <c r="I2300" s="555" t="s">
        <v>61</v>
      </c>
      <c r="J2300" s="751" t="s">
        <v>3387</v>
      </c>
      <c r="K2300" s="555" t="s">
        <v>2764</v>
      </c>
      <c r="L2300" s="555" t="s">
        <v>3055</v>
      </c>
      <c r="M2300" s="555" t="s">
        <v>3055</v>
      </c>
    </row>
    <row r="2301" spans="3:13" ht="18.75">
      <c r="C2301" s="735"/>
      <c r="D2301" s="555" t="s">
        <v>4591</v>
      </c>
      <c r="E2301" s="757">
        <v>0.38194444444444442</v>
      </c>
      <c r="F2301" s="731">
        <v>44155</v>
      </c>
      <c r="G2301" s="730">
        <v>0.39027777777777778</v>
      </c>
      <c r="H2301" s="555" t="s">
        <v>4592</v>
      </c>
      <c r="I2301" s="555" t="s">
        <v>1352</v>
      </c>
      <c r="J2301" s="751" t="s">
        <v>3696</v>
      </c>
      <c r="K2301" s="555" t="s">
        <v>2764</v>
      </c>
      <c r="L2301" s="555" t="s">
        <v>3055</v>
      </c>
      <c r="M2301" s="555" t="s">
        <v>45</v>
      </c>
    </row>
    <row r="2302" spans="3:13" ht="18.75">
      <c r="C2302" s="735"/>
      <c r="D2302" s="555" t="s">
        <v>4593</v>
      </c>
      <c r="E2302" s="757">
        <v>0.4993055555555555</v>
      </c>
      <c r="F2302" s="731">
        <v>44156</v>
      </c>
      <c r="G2302" s="730">
        <v>0.54097222222222219</v>
      </c>
      <c r="H2302" s="555" t="s">
        <v>2817</v>
      </c>
      <c r="I2302" s="555" t="s">
        <v>124</v>
      </c>
      <c r="J2302" s="751" t="s">
        <v>3402</v>
      </c>
      <c r="K2302" s="555" t="s">
        <v>2293</v>
      </c>
      <c r="L2302" s="555" t="s">
        <v>4334</v>
      </c>
      <c r="M2302" s="555" t="s">
        <v>4594</v>
      </c>
    </row>
    <row r="2303" spans="3:13" ht="18.75">
      <c r="C2303" s="735"/>
      <c r="D2303" s="555" t="s">
        <v>4595</v>
      </c>
      <c r="E2303" s="757">
        <v>0.24305555555555555</v>
      </c>
      <c r="F2303" s="731">
        <v>44158</v>
      </c>
      <c r="G2303" s="730">
        <v>0.31041666666666667</v>
      </c>
      <c r="H2303" s="555" t="s">
        <v>3872</v>
      </c>
      <c r="I2303" s="555" t="s">
        <v>674</v>
      </c>
      <c r="J2303" s="751" t="s">
        <v>3387</v>
      </c>
      <c r="K2303" s="555" t="s">
        <v>2764</v>
      </c>
      <c r="L2303" s="555" t="s">
        <v>3055</v>
      </c>
      <c r="M2303" s="555" t="s">
        <v>3055</v>
      </c>
    </row>
    <row r="2304" spans="3:13" ht="18.75">
      <c r="C2304" s="735"/>
      <c r="D2304" s="555" t="s">
        <v>4596</v>
      </c>
      <c r="E2304" s="757">
        <v>0.60625000000000007</v>
      </c>
      <c r="F2304" s="731">
        <v>44165</v>
      </c>
      <c r="G2304" s="730">
        <v>0.72222222222222221</v>
      </c>
      <c r="H2304" s="555" t="s">
        <v>4402</v>
      </c>
      <c r="I2304" s="555" t="s">
        <v>1352</v>
      </c>
      <c r="J2304" s="751" t="s">
        <v>3411</v>
      </c>
      <c r="K2304" s="555" t="s">
        <v>2483</v>
      </c>
      <c r="L2304" s="555" t="s">
        <v>3055</v>
      </c>
      <c r="M2304" s="555" t="s">
        <v>3055</v>
      </c>
    </row>
    <row r="2305" spans="3:13" ht="18.75">
      <c r="C2305" s="735"/>
      <c r="D2305" s="555" t="s">
        <v>4596</v>
      </c>
      <c r="E2305" s="757">
        <v>0.68333333333333324</v>
      </c>
      <c r="F2305" s="731">
        <v>44166</v>
      </c>
      <c r="G2305" s="730">
        <v>0.60069444444444442</v>
      </c>
      <c r="H2305" s="555" t="s">
        <v>4598</v>
      </c>
      <c r="I2305" s="555" t="s">
        <v>61</v>
      </c>
      <c r="J2305" s="751" t="s">
        <v>3451</v>
      </c>
      <c r="K2305" s="555" t="s">
        <v>22</v>
      </c>
      <c r="L2305" s="555" t="s">
        <v>45</v>
      </c>
      <c r="M2305" s="555" t="s">
        <v>3945</v>
      </c>
    </row>
    <row r="2306" spans="3:13" ht="18.75">
      <c r="C2306" s="735"/>
      <c r="D2306" s="555" t="s">
        <v>4597</v>
      </c>
      <c r="E2306" s="757">
        <v>0.52222222222222225</v>
      </c>
      <c r="F2306" s="731">
        <v>44166</v>
      </c>
      <c r="G2306" s="730">
        <v>0.95138888888888884</v>
      </c>
      <c r="H2306" s="555" t="s">
        <v>2895</v>
      </c>
      <c r="I2306" s="555" t="s">
        <v>3143</v>
      </c>
      <c r="J2306" s="751" t="s">
        <v>3451</v>
      </c>
      <c r="K2306" s="555" t="s">
        <v>22</v>
      </c>
      <c r="L2306" s="555" t="s">
        <v>45</v>
      </c>
      <c r="M2306" s="555" t="s">
        <v>4599</v>
      </c>
    </row>
    <row r="2307" spans="3:13" ht="18.75">
      <c r="C2307" s="735"/>
      <c r="D2307" s="555" t="s">
        <v>4600</v>
      </c>
      <c r="E2307" s="757">
        <v>0.3756944444444445</v>
      </c>
      <c r="F2307" s="731">
        <v>44168</v>
      </c>
      <c r="G2307" s="730">
        <v>0.37708333333333338</v>
      </c>
      <c r="H2307" s="555" t="s">
        <v>2900</v>
      </c>
      <c r="I2307" s="555" t="s">
        <v>124</v>
      </c>
      <c r="J2307" s="751" t="s">
        <v>3411</v>
      </c>
      <c r="K2307" s="555" t="s">
        <v>2483</v>
      </c>
      <c r="L2307" s="555" t="s">
        <v>4384</v>
      </c>
      <c r="M2307" s="555" t="s">
        <v>3055</v>
      </c>
    </row>
    <row r="2308" spans="3:13" ht="18.75">
      <c r="C2308" s="735"/>
      <c r="D2308" s="555" t="s">
        <v>4600</v>
      </c>
      <c r="E2308" s="757">
        <v>3.0555555555555555E-2</v>
      </c>
      <c r="F2308" s="731">
        <v>44170</v>
      </c>
      <c r="G2308" s="730">
        <v>0.4604166666666667</v>
      </c>
      <c r="H2308" s="555" t="s">
        <v>4355</v>
      </c>
      <c r="I2308" s="555" t="s">
        <v>124</v>
      </c>
      <c r="J2308" s="751" t="s">
        <v>3451</v>
      </c>
      <c r="K2308" s="555" t="s">
        <v>22</v>
      </c>
      <c r="L2308" s="555" t="s">
        <v>4602</v>
      </c>
      <c r="M2308" s="555" t="s">
        <v>4155</v>
      </c>
    </row>
    <row r="2309" spans="3:13" ht="18.75">
      <c r="C2309" s="735"/>
      <c r="D2309" s="555" t="s">
        <v>4600</v>
      </c>
      <c r="E2309" s="757">
        <v>0.45624999999999999</v>
      </c>
      <c r="F2309" s="731">
        <v>44169</v>
      </c>
      <c r="G2309" s="730">
        <v>0.62638888888888888</v>
      </c>
      <c r="H2309" s="555" t="s">
        <v>4604</v>
      </c>
      <c r="I2309" s="555" t="s">
        <v>124</v>
      </c>
      <c r="J2309" s="751" t="s">
        <v>3451</v>
      </c>
      <c r="K2309" s="555" t="s">
        <v>22</v>
      </c>
      <c r="L2309" s="555" t="s">
        <v>3106</v>
      </c>
      <c r="M2309" s="555" t="s">
        <v>4605</v>
      </c>
    </row>
    <row r="2310" spans="3:13" ht="18.75">
      <c r="C2310" s="735"/>
      <c r="D2310" s="555" t="s">
        <v>4601</v>
      </c>
      <c r="E2310" s="757">
        <v>0.69444444444444453</v>
      </c>
      <c r="F2310" s="731" t="s">
        <v>45</v>
      </c>
      <c r="G2310" s="730" t="s">
        <v>45</v>
      </c>
      <c r="H2310" s="555" t="s">
        <v>3264</v>
      </c>
      <c r="I2310" s="555" t="s">
        <v>61</v>
      </c>
      <c r="J2310" s="751" t="s">
        <v>3451</v>
      </c>
      <c r="K2310" s="555" t="s">
        <v>22</v>
      </c>
      <c r="L2310" s="555" t="s">
        <v>45</v>
      </c>
      <c r="M2310" s="555" t="s">
        <v>4606</v>
      </c>
    </row>
    <row r="2311" spans="3:13" ht="18.75">
      <c r="C2311" s="735"/>
      <c r="D2311" s="555" t="s">
        <v>4607</v>
      </c>
      <c r="E2311" s="757">
        <v>0.40625</v>
      </c>
      <c r="F2311" s="731">
        <v>44171</v>
      </c>
      <c r="G2311" s="730">
        <v>0.70833333333333337</v>
      </c>
      <c r="H2311" s="555" t="s">
        <v>3245</v>
      </c>
      <c r="I2311" s="555" t="s">
        <v>3143</v>
      </c>
      <c r="J2311" s="751" t="s">
        <v>3447</v>
      </c>
      <c r="K2311" s="555" t="s">
        <v>2764</v>
      </c>
      <c r="L2311" s="555" t="s">
        <v>3055</v>
      </c>
      <c r="M2311" s="555" t="s">
        <v>3055</v>
      </c>
    </row>
    <row r="2312" spans="3:13" ht="18.75">
      <c r="C2312" s="735"/>
      <c r="D2312" s="555" t="s">
        <v>4608</v>
      </c>
      <c r="E2312" s="757">
        <v>0.75694444444444453</v>
      </c>
      <c r="F2312" s="731">
        <v>44173</v>
      </c>
      <c r="G2312" s="730">
        <v>0.88124999999999998</v>
      </c>
      <c r="H2312" s="555" t="s">
        <v>4610</v>
      </c>
      <c r="I2312" s="555" t="s">
        <v>124</v>
      </c>
      <c r="J2312" s="751" t="s">
        <v>3451</v>
      </c>
      <c r="K2312" s="555" t="s">
        <v>22</v>
      </c>
      <c r="L2312" s="555" t="s">
        <v>4611</v>
      </c>
      <c r="M2312" s="555" t="s">
        <v>4612</v>
      </c>
    </row>
    <row r="2313" spans="3:13" ht="18.75">
      <c r="C2313" s="735"/>
      <c r="D2313" s="555" t="s">
        <v>4609</v>
      </c>
      <c r="E2313" s="757">
        <v>0.40486111111111112</v>
      </c>
      <c r="F2313" s="731">
        <v>44173</v>
      </c>
      <c r="G2313" s="730">
        <v>0.43958333333333338</v>
      </c>
      <c r="H2313" s="555" t="s">
        <v>3528</v>
      </c>
      <c r="I2313" s="555" t="s">
        <v>3143</v>
      </c>
      <c r="J2313" s="751" t="s">
        <v>3387</v>
      </c>
      <c r="K2313" s="555" t="s">
        <v>2764</v>
      </c>
      <c r="L2313" s="555" t="s">
        <v>3055</v>
      </c>
      <c r="M2313" s="555" t="s">
        <v>3055</v>
      </c>
    </row>
    <row r="2314" spans="3:13" ht="18.75">
      <c r="C2314" s="735"/>
      <c r="D2314" s="555" t="s">
        <v>4613</v>
      </c>
      <c r="E2314" s="757">
        <v>0.55555555555555558</v>
      </c>
      <c r="F2314" s="731">
        <v>44174</v>
      </c>
      <c r="G2314" s="730">
        <v>0.60416666666666663</v>
      </c>
      <c r="H2314" s="555" t="s">
        <v>4614</v>
      </c>
      <c r="I2314" s="555" t="s">
        <v>674</v>
      </c>
      <c r="J2314" s="751" t="s">
        <v>3387</v>
      </c>
      <c r="K2314" s="555" t="s">
        <v>2764</v>
      </c>
      <c r="L2314" s="555" t="s">
        <v>3055</v>
      </c>
      <c r="M2314" s="555" t="s">
        <v>3055</v>
      </c>
    </row>
    <row r="2315" spans="3:13" ht="18.75">
      <c r="C2315" s="735"/>
      <c r="D2315" s="555" t="s">
        <v>4615</v>
      </c>
      <c r="E2315" s="757">
        <v>0.6875</v>
      </c>
      <c r="F2315" s="731">
        <v>44177</v>
      </c>
      <c r="G2315" s="730">
        <v>0.20833333333333334</v>
      </c>
      <c r="H2315" s="555" t="s">
        <v>2801</v>
      </c>
      <c r="I2315" s="555" t="s">
        <v>124</v>
      </c>
      <c r="J2315" s="751" t="s">
        <v>3447</v>
      </c>
      <c r="K2315" s="555" t="s">
        <v>2764</v>
      </c>
      <c r="L2315" s="555" t="s">
        <v>3055</v>
      </c>
      <c r="M2315" s="555" t="s">
        <v>3055</v>
      </c>
    </row>
    <row r="2316" spans="3:13" ht="18.75">
      <c r="C2316" s="735"/>
      <c r="D2316" s="555" t="s">
        <v>4617</v>
      </c>
      <c r="E2316" s="757">
        <v>0.95208333333333339</v>
      </c>
      <c r="F2316" s="731">
        <v>44176</v>
      </c>
      <c r="G2316" s="730">
        <v>0.99791666666666667</v>
      </c>
      <c r="H2316" s="555" t="s">
        <v>2809</v>
      </c>
      <c r="I2316" s="555" t="s">
        <v>1352</v>
      </c>
      <c r="J2316" s="751" t="s">
        <v>3387</v>
      </c>
      <c r="K2316" s="555" t="s">
        <v>2764</v>
      </c>
      <c r="L2316" s="555" t="s">
        <v>3055</v>
      </c>
      <c r="M2316" s="555" t="s">
        <v>3055</v>
      </c>
    </row>
    <row r="2317" spans="3:13" ht="18.75">
      <c r="C2317" s="735"/>
      <c r="D2317" s="555" t="s">
        <v>4618</v>
      </c>
      <c r="E2317" s="757">
        <v>0.28263888888888888</v>
      </c>
      <c r="F2317" s="731">
        <v>44178</v>
      </c>
      <c r="G2317" s="730">
        <v>0.31666666666666665</v>
      </c>
      <c r="H2317" s="555" t="s">
        <v>2945</v>
      </c>
      <c r="I2317" s="555" t="s">
        <v>124</v>
      </c>
      <c r="J2317" s="751" t="s">
        <v>4389</v>
      </c>
      <c r="K2317" s="555" t="s">
        <v>2764</v>
      </c>
      <c r="L2317" s="555" t="s">
        <v>4619</v>
      </c>
      <c r="M2317" s="555" t="s">
        <v>4620</v>
      </c>
    </row>
    <row r="2318" spans="3:13" ht="18.75">
      <c r="C2318" s="735"/>
      <c r="D2318" s="555" t="s">
        <v>4621</v>
      </c>
      <c r="E2318" s="757">
        <v>0.45833333333333331</v>
      </c>
      <c r="F2318" s="731" t="s">
        <v>45</v>
      </c>
      <c r="G2318" s="730" t="s">
        <v>45</v>
      </c>
      <c r="H2318" s="555" t="s">
        <v>4622</v>
      </c>
      <c r="I2318" s="555" t="s">
        <v>124</v>
      </c>
      <c r="J2318" s="751" t="s">
        <v>3928</v>
      </c>
      <c r="K2318" s="555" t="s">
        <v>2952</v>
      </c>
      <c r="L2318" s="555" t="s">
        <v>3055</v>
      </c>
      <c r="M2318" s="555" t="s">
        <v>3055</v>
      </c>
    </row>
    <row r="2319" spans="3:13" ht="18.75">
      <c r="C2319" s="735"/>
      <c r="D2319" s="555" t="s">
        <v>4621</v>
      </c>
      <c r="E2319" s="757">
        <v>0.7090277777777777</v>
      </c>
      <c r="F2319" s="731">
        <v>44179</v>
      </c>
      <c r="G2319" s="730">
        <v>0.7319444444444444</v>
      </c>
      <c r="H2319" s="555" t="s">
        <v>2945</v>
      </c>
      <c r="I2319" s="555" t="s">
        <v>124</v>
      </c>
      <c r="J2319" s="751" t="s">
        <v>3387</v>
      </c>
      <c r="K2319" s="555" t="s">
        <v>2764</v>
      </c>
      <c r="L2319" s="555" t="s">
        <v>3055</v>
      </c>
      <c r="M2319" s="555" t="s">
        <v>3055</v>
      </c>
    </row>
    <row r="2320" spans="3:13" ht="18.75">
      <c r="C2320" s="735"/>
      <c r="D2320" s="555" t="s">
        <v>4621</v>
      </c>
      <c r="E2320" s="757">
        <v>6.25E-2</v>
      </c>
      <c r="F2320" s="731" t="s">
        <v>45</v>
      </c>
      <c r="G2320" s="730" t="s">
        <v>45</v>
      </c>
      <c r="H2320" s="555" t="s">
        <v>4623</v>
      </c>
      <c r="I2320" s="555" t="s">
        <v>3143</v>
      </c>
      <c r="J2320" s="751" t="s">
        <v>3928</v>
      </c>
      <c r="K2320" s="555" t="s">
        <v>2952</v>
      </c>
      <c r="L2320" s="555" t="s">
        <v>3055</v>
      </c>
      <c r="M2320" s="555" t="s">
        <v>3055</v>
      </c>
    </row>
    <row r="2321" spans="3:13" ht="18.75">
      <c r="C2321" s="735"/>
      <c r="D2321" s="555" t="s">
        <v>4624</v>
      </c>
      <c r="E2321" s="757">
        <v>0.97222222222222221</v>
      </c>
      <c r="F2321" s="731">
        <v>44182</v>
      </c>
      <c r="G2321" s="730">
        <v>0.30555555555555552</v>
      </c>
      <c r="H2321" s="555" t="s">
        <v>3693</v>
      </c>
      <c r="I2321" s="555" t="s">
        <v>674</v>
      </c>
      <c r="J2321" s="751" t="s">
        <v>3411</v>
      </c>
      <c r="K2321" s="555" t="s">
        <v>2483</v>
      </c>
      <c r="L2321" s="555" t="s">
        <v>45</v>
      </c>
      <c r="M2321" s="555" t="s">
        <v>45</v>
      </c>
    </row>
    <row r="2322" spans="3:13" ht="18.75">
      <c r="C2322" s="735"/>
      <c r="D2322" s="555" t="s">
        <v>4625</v>
      </c>
      <c r="E2322" s="757">
        <v>0.33819444444444446</v>
      </c>
      <c r="F2322" s="731">
        <v>44182</v>
      </c>
      <c r="G2322" s="730">
        <v>0.35555555555555557</v>
      </c>
      <c r="H2322" s="555" t="s">
        <v>2945</v>
      </c>
      <c r="I2322" s="555" t="s">
        <v>124</v>
      </c>
      <c r="J2322" s="751" t="s">
        <v>4071</v>
      </c>
      <c r="K2322" s="555" t="s">
        <v>22</v>
      </c>
      <c r="L2322" s="555" t="s">
        <v>4036</v>
      </c>
      <c r="M2322" s="555" t="s">
        <v>4626</v>
      </c>
    </row>
    <row r="2323" spans="3:13" ht="18.75">
      <c r="C2323" s="735"/>
      <c r="D2323" s="555" t="s">
        <v>4625</v>
      </c>
      <c r="E2323" s="757">
        <v>0.67986111111111114</v>
      </c>
      <c r="F2323" s="731">
        <v>44182</v>
      </c>
      <c r="G2323" s="730">
        <v>0.70624999999999993</v>
      </c>
      <c r="H2323" s="555" t="s">
        <v>3528</v>
      </c>
      <c r="I2323" s="555" t="s">
        <v>3143</v>
      </c>
      <c r="J2323" s="751" t="s">
        <v>3387</v>
      </c>
      <c r="K2323" s="555" t="s">
        <v>2764</v>
      </c>
      <c r="L2323" s="555" t="s">
        <v>3055</v>
      </c>
      <c r="M2323" s="555" t="s">
        <v>3055</v>
      </c>
    </row>
    <row r="2324" spans="3:13" ht="18.75">
      <c r="C2324" s="735"/>
      <c r="D2324" s="555" t="s">
        <v>4627</v>
      </c>
      <c r="E2324" s="757">
        <v>0.27361111111111108</v>
      </c>
      <c r="F2324" s="731">
        <v>44183</v>
      </c>
      <c r="G2324" s="730">
        <v>0.41041666666666665</v>
      </c>
      <c r="H2324" s="555" t="s">
        <v>4119</v>
      </c>
      <c r="I2324" s="555" t="s">
        <v>124</v>
      </c>
      <c r="J2324" s="751" t="s">
        <v>3402</v>
      </c>
      <c r="K2324" s="555" t="s">
        <v>2118</v>
      </c>
      <c r="L2324" s="555" t="s">
        <v>3055</v>
      </c>
      <c r="M2324" s="555" t="s">
        <v>3055</v>
      </c>
    </row>
    <row r="2325" spans="3:13" ht="18.75">
      <c r="C2325" s="735"/>
      <c r="D2325" s="555" t="s">
        <v>4628</v>
      </c>
      <c r="E2325" s="757">
        <v>0.21249999999999999</v>
      </c>
      <c r="F2325" s="731">
        <v>44185</v>
      </c>
      <c r="G2325" s="730">
        <v>0.22361111111111109</v>
      </c>
      <c r="H2325" s="555" t="s">
        <v>2967</v>
      </c>
      <c r="I2325" s="555" t="s">
        <v>124</v>
      </c>
      <c r="J2325" s="751" t="s">
        <v>3928</v>
      </c>
      <c r="K2325" s="555" t="s">
        <v>2952</v>
      </c>
      <c r="L2325" s="555" t="s">
        <v>3055</v>
      </c>
      <c r="M2325" s="555" t="s">
        <v>3055</v>
      </c>
    </row>
    <row r="2326" spans="3:13" ht="18.75">
      <c r="C2326" s="735"/>
      <c r="D2326" s="555" t="s">
        <v>4629</v>
      </c>
      <c r="E2326" s="757">
        <v>9.7222222222222224E-2</v>
      </c>
      <c r="F2326" s="731">
        <v>44187</v>
      </c>
      <c r="G2326" s="730">
        <v>9.7916666666666666E-2</v>
      </c>
      <c r="H2326" s="555" t="s">
        <v>3903</v>
      </c>
      <c r="I2326" s="555" t="s">
        <v>124</v>
      </c>
      <c r="J2326" s="751" t="s">
        <v>3402</v>
      </c>
      <c r="K2326" s="555" t="s">
        <v>100</v>
      </c>
      <c r="L2326" s="555" t="s">
        <v>3055</v>
      </c>
      <c r="M2326" s="555" t="s">
        <v>3944</v>
      </c>
    </row>
    <row r="2327" spans="3:13" ht="18.75">
      <c r="C2327" s="735"/>
      <c r="D2327" s="555" t="s">
        <v>4630</v>
      </c>
      <c r="E2327" s="757">
        <v>0.98611111111111116</v>
      </c>
      <c r="F2327" s="731" t="s">
        <v>45</v>
      </c>
      <c r="G2327" s="730" t="s">
        <v>45</v>
      </c>
      <c r="H2327" s="555" t="s">
        <v>4237</v>
      </c>
      <c r="I2327" s="555" t="s">
        <v>3143</v>
      </c>
      <c r="J2327" s="751" t="s">
        <v>3451</v>
      </c>
      <c r="K2327" s="555" t="s">
        <v>3768</v>
      </c>
      <c r="L2327" s="555" t="s">
        <v>45</v>
      </c>
      <c r="M2327" s="555" t="s">
        <v>4631</v>
      </c>
    </row>
    <row r="2328" spans="3:13" ht="18.75">
      <c r="C2328" s="735"/>
      <c r="D2328" s="555" t="s">
        <v>4632</v>
      </c>
      <c r="E2328" s="757">
        <v>0.16041666666666668</v>
      </c>
      <c r="F2328" s="731">
        <v>44190</v>
      </c>
      <c r="G2328" s="730">
        <v>0.16111111111111112</v>
      </c>
      <c r="H2328" s="555" t="s">
        <v>2945</v>
      </c>
      <c r="I2328" s="555" t="s">
        <v>124</v>
      </c>
      <c r="J2328" s="751" t="s">
        <v>3356</v>
      </c>
      <c r="K2328" s="555" t="s">
        <v>100</v>
      </c>
      <c r="L2328" s="555">
        <v>0</v>
      </c>
      <c r="M2328" s="555" t="s">
        <v>3055</v>
      </c>
    </row>
    <row r="2329" spans="3:13" ht="18.75">
      <c r="C2329" s="735"/>
      <c r="D2329" s="555" t="s">
        <v>4632</v>
      </c>
      <c r="E2329" s="757">
        <v>0.78541666666666676</v>
      </c>
      <c r="F2329" s="731">
        <v>44190</v>
      </c>
      <c r="G2329" s="730">
        <v>0.80833333333333324</v>
      </c>
      <c r="H2329" s="555" t="s">
        <v>4048</v>
      </c>
      <c r="I2329" s="555" t="s">
        <v>3143</v>
      </c>
      <c r="J2329" s="751" t="s">
        <v>3402</v>
      </c>
      <c r="K2329" s="555" t="s">
        <v>2118</v>
      </c>
      <c r="L2329" s="555" t="s">
        <v>3055</v>
      </c>
      <c r="M2329" s="555" t="s">
        <v>3055</v>
      </c>
    </row>
    <row r="2330" spans="3:13" ht="18.75">
      <c r="C2330" s="735"/>
      <c r="D2330" s="555" t="s">
        <v>4632</v>
      </c>
      <c r="E2330" s="757">
        <v>0.3298611111111111</v>
      </c>
      <c r="F2330" s="731">
        <v>44190</v>
      </c>
      <c r="G2330" s="730">
        <v>0.69791666666666663</v>
      </c>
      <c r="H2330" s="555" t="s">
        <v>4633</v>
      </c>
      <c r="I2330" s="555" t="s">
        <v>61</v>
      </c>
      <c r="J2330" s="751" t="s">
        <v>3451</v>
      </c>
      <c r="K2330" s="555" t="s">
        <v>22</v>
      </c>
      <c r="L2330" s="555" t="s">
        <v>45</v>
      </c>
      <c r="M2330" s="555" t="s">
        <v>4634</v>
      </c>
    </row>
    <row r="2331" spans="3:13" ht="18.75">
      <c r="C2331" s="735"/>
      <c r="D2331" s="555" t="s">
        <v>4635</v>
      </c>
      <c r="E2331" s="757">
        <v>0.72986111111111107</v>
      </c>
      <c r="F2331" s="731">
        <v>44194</v>
      </c>
      <c r="G2331" s="730">
        <v>0.56319444444444444</v>
      </c>
      <c r="H2331" s="555" t="s">
        <v>3325</v>
      </c>
      <c r="I2331" s="555" t="s">
        <v>63</v>
      </c>
      <c r="J2331" s="751" t="s">
        <v>3356</v>
      </c>
      <c r="K2331" s="555" t="s">
        <v>100</v>
      </c>
      <c r="L2331" s="555" t="s">
        <v>3055</v>
      </c>
      <c r="M2331" s="555" t="s">
        <v>3055</v>
      </c>
    </row>
    <row r="2332" spans="3:13" ht="18.75">
      <c r="C2332" s="735"/>
      <c r="D2332" s="555" t="s">
        <v>4638</v>
      </c>
      <c r="E2332" s="757">
        <v>0.29444444444444445</v>
      </c>
      <c r="F2332" s="731">
        <v>44197</v>
      </c>
      <c r="G2332" s="730">
        <v>0.2951388888888889</v>
      </c>
      <c r="H2332" s="555" t="s">
        <v>3967</v>
      </c>
      <c r="I2332" s="555" t="s">
        <v>124</v>
      </c>
      <c r="J2332" s="751" t="s">
        <v>3463</v>
      </c>
      <c r="K2332" s="555" t="s">
        <v>100</v>
      </c>
      <c r="L2332" s="555" t="s">
        <v>3055</v>
      </c>
      <c r="M2332" s="555" t="s">
        <v>3055</v>
      </c>
    </row>
    <row r="2333" spans="3:13" ht="18.75">
      <c r="C2333" s="735"/>
      <c r="D2333" s="555" t="s">
        <v>4639</v>
      </c>
      <c r="E2333" s="757">
        <v>0.43611111111111112</v>
      </c>
      <c r="F2333" s="731">
        <v>44198</v>
      </c>
      <c r="G2333" s="730">
        <v>0.4368055555555555</v>
      </c>
      <c r="H2333" s="555" t="s">
        <v>2894</v>
      </c>
      <c r="I2333" s="555" t="s">
        <v>124</v>
      </c>
      <c r="J2333" s="751" t="s">
        <v>4071</v>
      </c>
      <c r="K2333" s="555" t="s">
        <v>2764</v>
      </c>
      <c r="L2333" s="555" t="s">
        <v>3643</v>
      </c>
      <c r="M2333" s="555" t="s">
        <v>4640</v>
      </c>
    </row>
    <row r="2334" spans="3:13" ht="18.75">
      <c r="C2334" s="735"/>
      <c r="D2334" s="555" t="s">
        <v>4641</v>
      </c>
      <c r="E2334" s="757">
        <v>0.44027777777777777</v>
      </c>
      <c r="F2334" s="731">
        <v>44200</v>
      </c>
      <c r="G2334" s="730">
        <v>0.45069444444444445</v>
      </c>
      <c r="H2334" s="555" t="s">
        <v>3245</v>
      </c>
      <c r="I2334" s="555" t="s">
        <v>3143</v>
      </c>
      <c r="J2334" s="751" t="s">
        <v>3411</v>
      </c>
      <c r="K2334" s="555" t="s">
        <v>2483</v>
      </c>
      <c r="L2334" s="555" t="s">
        <v>4642</v>
      </c>
      <c r="M2334" s="555" t="s">
        <v>4643</v>
      </c>
    </row>
    <row r="2335" spans="3:13" ht="18.75">
      <c r="C2335" s="735"/>
      <c r="D2335" s="555" t="s">
        <v>4644</v>
      </c>
      <c r="E2335" s="757">
        <v>5.9722222222222225E-2</v>
      </c>
      <c r="F2335" s="731">
        <v>44204</v>
      </c>
      <c r="G2335" s="730">
        <v>0.11458333333333333</v>
      </c>
      <c r="H2335" s="555" t="s">
        <v>4645</v>
      </c>
      <c r="I2335" s="555" t="s">
        <v>63</v>
      </c>
      <c r="J2335" s="751" t="s">
        <v>3356</v>
      </c>
      <c r="K2335" s="555" t="s">
        <v>2343</v>
      </c>
      <c r="L2335" s="555" t="s">
        <v>45</v>
      </c>
      <c r="M2335" s="555" t="s">
        <v>4646</v>
      </c>
    </row>
    <row r="2336" spans="3:13" ht="18.75">
      <c r="C2336" s="735"/>
      <c r="D2336" s="555" t="s">
        <v>4647</v>
      </c>
      <c r="E2336" s="757">
        <v>0.9472222222222223</v>
      </c>
      <c r="F2336" s="731">
        <v>44209</v>
      </c>
      <c r="G2336" s="730">
        <v>0.66666666666666663</v>
      </c>
      <c r="H2336" s="555" t="s">
        <v>4649</v>
      </c>
      <c r="I2336" s="555" t="s">
        <v>1352</v>
      </c>
      <c r="J2336" s="751" t="s">
        <v>3451</v>
      </c>
      <c r="K2336" s="555" t="s">
        <v>22</v>
      </c>
      <c r="L2336" s="555" t="s">
        <v>45</v>
      </c>
      <c r="M2336" s="555" t="s">
        <v>4650</v>
      </c>
    </row>
    <row r="2337" spans="3:13" ht="18.75">
      <c r="C2337" s="735"/>
      <c r="D2337" s="555" t="s">
        <v>4651</v>
      </c>
      <c r="E2337" s="757">
        <v>0.20833333333333334</v>
      </c>
      <c r="F2337" s="731">
        <v>44207</v>
      </c>
      <c r="G2337" s="730">
        <v>0.59861111111111109</v>
      </c>
      <c r="H2337" s="555" t="s">
        <v>3767</v>
      </c>
      <c r="I2337" s="555" t="s">
        <v>63</v>
      </c>
      <c r="J2337" s="751" t="s">
        <v>3451</v>
      </c>
      <c r="K2337" s="555" t="s">
        <v>3768</v>
      </c>
      <c r="L2337" s="555" t="s">
        <v>45</v>
      </c>
      <c r="M2337" s="555" t="s">
        <v>3262</v>
      </c>
    </row>
    <row r="2338" spans="3:13" ht="18.75">
      <c r="C2338" s="735"/>
      <c r="D2338" s="555" t="s">
        <v>4652</v>
      </c>
      <c r="E2338" s="757">
        <v>0.99305555555555547</v>
      </c>
      <c r="F2338" s="731">
        <v>44211</v>
      </c>
      <c r="G2338" s="730">
        <v>0.54166666666666663</v>
      </c>
      <c r="H2338" s="555" t="s">
        <v>4654</v>
      </c>
      <c r="I2338" s="555" t="s">
        <v>124</v>
      </c>
      <c r="J2338" s="751" t="s">
        <v>4071</v>
      </c>
      <c r="K2338" s="555" t="s">
        <v>22</v>
      </c>
      <c r="L2338" s="555" t="s">
        <v>3093</v>
      </c>
      <c r="M2338" s="555" t="s">
        <v>4655</v>
      </c>
    </row>
    <row r="2339" spans="3:13" ht="18.75">
      <c r="C2339" s="735"/>
      <c r="D2339" s="555" t="s">
        <v>4652</v>
      </c>
      <c r="E2339" s="757">
        <v>0.8652777777777777</v>
      </c>
      <c r="F2339" s="731">
        <v>44209</v>
      </c>
      <c r="G2339" s="730">
        <v>0.66666666666666663</v>
      </c>
      <c r="H2339" s="555" t="s">
        <v>4656</v>
      </c>
      <c r="I2339" s="555" t="s">
        <v>124</v>
      </c>
      <c r="J2339" s="751" t="s">
        <v>3451</v>
      </c>
      <c r="K2339" s="555" t="s">
        <v>22</v>
      </c>
      <c r="L2339" s="555" t="s">
        <v>45</v>
      </c>
      <c r="M2339" s="555" t="s">
        <v>4657</v>
      </c>
    </row>
    <row r="2340" spans="3:13" ht="18.75">
      <c r="C2340" s="735"/>
      <c r="D2340" s="555" t="s">
        <v>4652</v>
      </c>
      <c r="E2340" s="757">
        <v>0.99236111111111114</v>
      </c>
      <c r="F2340" s="731">
        <v>44210</v>
      </c>
      <c r="G2340" s="730">
        <v>0.58333333333333337</v>
      </c>
      <c r="H2340" s="555" t="s">
        <v>2853</v>
      </c>
      <c r="I2340" s="555" t="s">
        <v>124</v>
      </c>
      <c r="J2340" s="751" t="s">
        <v>3451</v>
      </c>
      <c r="K2340" s="555" t="s">
        <v>3768</v>
      </c>
      <c r="L2340" s="555" t="s">
        <v>3751</v>
      </c>
      <c r="M2340" s="555" t="s">
        <v>3340</v>
      </c>
    </row>
    <row r="2341" spans="3:13" ht="18.75">
      <c r="C2341" s="735"/>
      <c r="D2341" s="555" t="s">
        <v>4652</v>
      </c>
      <c r="E2341" s="757">
        <v>0.85416666666666663</v>
      </c>
      <c r="F2341" s="731" t="s">
        <v>45</v>
      </c>
      <c r="G2341" s="730" t="s">
        <v>45</v>
      </c>
      <c r="H2341" s="555" t="s">
        <v>2813</v>
      </c>
      <c r="I2341" s="555" t="s">
        <v>124</v>
      </c>
      <c r="J2341" s="751" t="s">
        <v>3451</v>
      </c>
      <c r="K2341" s="555" t="s">
        <v>2990</v>
      </c>
      <c r="L2341" s="555" t="s">
        <v>3110</v>
      </c>
      <c r="M2341" s="555" t="s">
        <v>3542</v>
      </c>
    </row>
    <row r="2342" spans="3:13" ht="18.75">
      <c r="C2342" s="735"/>
      <c r="D2342" s="555" t="s">
        <v>4648</v>
      </c>
      <c r="E2342" s="757">
        <v>0.15486111111111112</v>
      </c>
      <c r="F2342" s="731">
        <v>44209</v>
      </c>
      <c r="G2342" s="730">
        <v>0.66666666666666663</v>
      </c>
      <c r="H2342" s="555" t="s">
        <v>4659</v>
      </c>
      <c r="I2342" s="555" t="s">
        <v>124</v>
      </c>
      <c r="J2342" s="751" t="s">
        <v>3451</v>
      </c>
      <c r="K2342" s="555" t="s">
        <v>22</v>
      </c>
      <c r="L2342" s="555" t="s">
        <v>4660</v>
      </c>
      <c r="M2342" s="555" t="s">
        <v>4661</v>
      </c>
    </row>
    <row r="2343" spans="3:13" ht="18.75">
      <c r="C2343" s="735"/>
      <c r="D2343" s="555" t="s">
        <v>4648</v>
      </c>
      <c r="E2343" s="757">
        <v>0.54513888888888895</v>
      </c>
      <c r="F2343" s="731">
        <v>44209</v>
      </c>
      <c r="G2343" s="730">
        <v>0.54583333333333328</v>
      </c>
      <c r="H2343" s="555" t="s">
        <v>4662</v>
      </c>
      <c r="I2343" s="555" t="s">
        <v>63</v>
      </c>
      <c r="J2343" s="751" t="s">
        <v>3356</v>
      </c>
      <c r="K2343" s="555" t="s">
        <v>100</v>
      </c>
      <c r="L2343" s="555" t="s">
        <v>3055</v>
      </c>
      <c r="M2343" s="555" t="s">
        <v>3055</v>
      </c>
    </row>
    <row r="2344" spans="3:13" ht="18.75">
      <c r="C2344" s="735"/>
      <c r="D2344" s="555" t="s">
        <v>4653</v>
      </c>
      <c r="E2344" s="757">
        <v>0.7416666666666667</v>
      </c>
      <c r="F2344" s="731">
        <v>44211</v>
      </c>
      <c r="G2344" s="730">
        <v>0.78819444444444453</v>
      </c>
      <c r="H2344" s="555" t="s">
        <v>2864</v>
      </c>
      <c r="I2344" s="555" t="s">
        <v>63</v>
      </c>
      <c r="J2344" s="751" t="s">
        <v>3387</v>
      </c>
      <c r="K2344" s="555" t="s">
        <v>2764</v>
      </c>
      <c r="L2344" s="555" t="s">
        <v>3055</v>
      </c>
      <c r="M2344" s="555" t="s">
        <v>3055</v>
      </c>
    </row>
    <row r="2345" spans="3:13" ht="18.75">
      <c r="C2345" s="735"/>
      <c r="D2345" s="555" t="s">
        <v>4663</v>
      </c>
      <c r="E2345" s="757">
        <v>0.58819444444444446</v>
      </c>
      <c r="F2345" s="731">
        <v>44214</v>
      </c>
      <c r="G2345" s="730">
        <v>0.61249999999999993</v>
      </c>
      <c r="H2345" s="555" t="s">
        <v>4664</v>
      </c>
      <c r="I2345" s="555" t="s">
        <v>61</v>
      </c>
      <c r="J2345" s="751" t="s">
        <v>3387</v>
      </c>
      <c r="K2345" s="555" t="s">
        <v>2764</v>
      </c>
      <c r="L2345" s="555" t="s">
        <v>3055</v>
      </c>
      <c r="M2345" s="555" t="s">
        <v>3055</v>
      </c>
    </row>
    <row r="2346" spans="3:13" ht="18.75">
      <c r="C2346" s="735"/>
      <c r="D2346" s="555" t="s">
        <v>4665</v>
      </c>
      <c r="E2346" s="757">
        <v>0.39652777777777781</v>
      </c>
      <c r="F2346" s="731">
        <v>44217</v>
      </c>
      <c r="G2346" s="730">
        <v>0.60833333333333328</v>
      </c>
      <c r="H2346" s="555" t="s">
        <v>4667</v>
      </c>
      <c r="I2346" s="555" t="s">
        <v>124</v>
      </c>
      <c r="J2346" s="751" t="s">
        <v>3451</v>
      </c>
      <c r="K2346" s="555" t="s">
        <v>22</v>
      </c>
      <c r="L2346" s="555" t="s">
        <v>45</v>
      </c>
      <c r="M2346" s="555" t="s">
        <v>4668</v>
      </c>
    </row>
    <row r="2347" spans="3:13" ht="18.75">
      <c r="C2347" s="735"/>
      <c r="D2347" s="555" t="s">
        <v>4665</v>
      </c>
      <c r="E2347" s="757">
        <v>0.11666666666666665</v>
      </c>
      <c r="F2347" s="731">
        <v>44216</v>
      </c>
      <c r="G2347" s="730">
        <v>0.48680555555555555</v>
      </c>
      <c r="H2347" s="555" t="s">
        <v>2945</v>
      </c>
      <c r="I2347" s="555" t="s">
        <v>124</v>
      </c>
      <c r="J2347" s="751" t="s">
        <v>3451</v>
      </c>
      <c r="K2347" s="555" t="s">
        <v>22</v>
      </c>
      <c r="L2347" s="555" t="s">
        <v>4670</v>
      </c>
      <c r="M2347" s="555" t="s">
        <v>4671</v>
      </c>
    </row>
    <row r="2348" spans="3:13" ht="18.75">
      <c r="C2348" s="735"/>
      <c r="D2348" s="555" t="s">
        <v>4666</v>
      </c>
      <c r="E2348" s="757">
        <v>0</v>
      </c>
      <c r="F2348" s="731">
        <v>44230</v>
      </c>
      <c r="G2348" s="730">
        <v>0.70486111111111116</v>
      </c>
      <c r="H2348" s="555" t="s">
        <v>4673</v>
      </c>
      <c r="I2348" s="555" t="s">
        <v>1352</v>
      </c>
      <c r="J2348" s="751" t="s">
        <v>3356</v>
      </c>
      <c r="K2348" s="555" t="s">
        <v>100</v>
      </c>
      <c r="L2348" s="555" t="s">
        <v>3055</v>
      </c>
      <c r="M2348" s="555" t="s">
        <v>3055</v>
      </c>
    </row>
    <row r="2349" spans="3:13" ht="18.75">
      <c r="C2349" s="735"/>
      <c r="D2349" s="555" t="s">
        <v>4674</v>
      </c>
      <c r="E2349" s="757">
        <v>0.29166666666666669</v>
      </c>
      <c r="F2349" s="731">
        <v>44223</v>
      </c>
      <c r="G2349" s="730">
        <v>0.57291666666666663</v>
      </c>
      <c r="H2349" s="555" t="s">
        <v>4676</v>
      </c>
      <c r="I2349" s="555" t="s">
        <v>63</v>
      </c>
      <c r="J2349" s="751" t="s">
        <v>3402</v>
      </c>
      <c r="K2349" s="555" t="s">
        <v>2952</v>
      </c>
      <c r="L2349" s="555" t="s">
        <v>3765</v>
      </c>
      <c r="M2349" s="555" t="s">
        <v>45</v>
      </c>
    </row>
    <row r="2350" spans="3:13" ht="18.75">
      <c r="C2350" s="735"/>
      <c r="D2350" s="555" t="s">
        <v>4674</v>
      </c>
      <c r="E2350" s="757">
        <v>0.32291666666666669</v>
      </c>
      <c r="F2350" s="731">
        <v>44219</v>
      </c>
      <c r="G2350" s="730">
        <v>0.33333333333333331</v>
      </c>
      <c r="H2350" s="555" t="s">
        <v>4226</v>
      </c>
      <c r="I2350" s="555" t="s">
        <v>124</v>
      </c>
      <c r="J2350" s="751" t="s">
        <v>3402</v>
      </c>
      <c r="K2350" s="555" t="s">
        <v>2118</v>
      </c>
      <c r="L2350" s="555" t="s">
        <v>4677</v>
      </c>
      <c r="M2350" s="555" t="s">
        <v>3055</v>
      </c>
    </row>
    <row r="2351" spans="3:13" ht="18.75">
      <c r="C2351" s="735"/>
      <c r="D2351" s="555" t="s">
        <v>4678</v>
      </c>
      <c r="E2351" s="757">
        <v>0.86736111111111114</v>
      </c>
      <c r="F2351" s="731">
        <v>44224</v>
      </c>
      <c r="G2351" s="730">
        <v>0.8847222222222223</v>
      </c>
      <c r="H2351" s="555" t="s">
        <v>2945</v>
      </c>
      <c r="I2351" s="555" t="s">
        <v>124</v>
      </c>
      <c r="J2351" s="751" t="s">
        <v>3451</v>
      </c>
      <c r="K2351" s="555" t="s">
        <v>22</v>
      </c>
      <c r="L2351" s="555" t="s">
        <v>4680</v>
      </c>
      <c r="M2351" s="555" t="s">
        <v>4681</v>
      </c>
    </row>
    <row r="2352" spans="3:13" ht="18.75">
      <c r="C2352" s="735"/>
      <c r="D2352" s="555" t="s">
        <v>4675</v>
      </c>
      <c r="E2352" s="757">
        <v>0.52083333333333337</v>
      </c>
      <c r="F2352" s="731">
        <v>44223</v>
      </c>
      <c r="G2352" s="730">
        <v>0.6791666666666667</v>
      </c>
      <c r="H2352" s="555" t="s">
        <v>4682</v>
      </c>
      <c r="I2352" s="555" t="s">
        <v>61</v>
      </c>
      <c r="J2352" s="751" t="s">
        <v>3356</v>
      </c>
      <c r="K2352" s="555" t="s">
        <v>100</v>
      </c>
      <c r="L2352" s="555" t="s">
        <v>3055</v>
      </c>
      <c r="M2352" s="555" t="s">
        <v>3055</v>
      </c>
    </row>
    <row r="2353" spans="3:13" ht="18.75">
      <c r="C2353" s="735"/>
      <c r="D2353" s="555" t="s">
        <v>4679</v>
      </c>
      <c r="E2353" s="757">
        <v>0.42708333333333331</v>
      </c>
      <c r="F2353" s="731">
        <v>44224</v>
      </c>
      <c r="G2353" s="730">
        <v>0.69861111111111107</v>
      </c>
      <c r="H2353" s="555" t="s">
        <v>4682</v>
      </c>
      <c r="I2353" s="555" t="s">
        <v>61</v>
      </c>
      <c r="J2353" s="751" t="s">
        <v>3356</v>
      </c>
      <c r="K2353" s="555" t="s">
        <v>100</v>
      </c>
      <c r="L2353" s="555" t="s">
        <v>3055</v>
      </c>
      <c r="M2353" s="555" t="s">
        <v>3055</v>
      </c>
    </row>
    <row r="2354" spans="3:13" ht="18.75">
      <c r="C2354" s="735"/>
      <c r="D2354" s="555" t="s">
        <v>4683</v>
      </c>
      <c r="E2354" s="757">
        <v>0.97569444444444453</v>
      </c>
      <c r="F2354" s="731">
        <v>44229</v>
      </c>
      <c r="G2354" s="730">
        <v>4.9999999999999996E-2</v>
      </c>
      <c r="H2354" s="555" t="s">
        <v>4685</v>
      </c>
      <c r="I2354" s="555" t="s">
        <v>1352</v>
      </c>
      <c r="J2354" s="751" t="s">
        <v>3411</v>
      </c>
      <c r="K2354" s="555" t="s">
        <v>2483</v>
      </c>
      <c r="L2354" s="555" t="s">
        <v>4686</v>
      </c>
      <c r="M2354" s="555" t="s">
        <v>4687</v>
      </c>
    </row>
    <row r="2355" spans="3:13" ht="18.75">
      <c r="C2355" s="735"/>
      <c r="D2355" s="555" t="s">
        <v>4684</v>
      </c>
      <c r="E2355" s="757">
        <v>0.52361111111111114</v>
      </c>
      <c r="F2355" s="731">
        <v>44229</v>
      </c>
      <c r="G2355" s="730">
        <v>0.65486111111111112</v>
      </c>
      <c r="H2355" s="555" t="s">
        <v>4688</v>
      </c>
      <c r="I2355" s="555" t="s">
        <v>674</v>
      </c>
      <c r="J2355" s="751" t="s">
        <v>4071</v>
      </c>
      <c r="K2355" s="555" t="s">
        <v>2990</v>
      </c>
      <c r="L2355" s="555" t="s">
        <v>3432</v>
      </c>
      <c r="M2355" s="555" t="s">
        <v>3497</v>
      </c>
    </row>
    <row r="2356" spans="3:13" ht="18.75">
      <c r="C2356" s="735"/>
      <c r="D2356" s="555" t="s">
        <v>4684</v>
      </c>
      <c r="E2356" s="757">
        <v>0.3923611111111111</v>
      </c>
      <c r="F2356" s="731">
        <v>44230</v>
      </c>
      <c r="G2356" s="730">
        <v>0.48472222222222222</v>
      </c>
      <c r="H2356" s="555" t="s">
        <v>4688</v>
      </c>
      <c r="I2356" s="555" t="s">
        <v>674</v>
      </c>
      <c r="J2356" s="751" t="s">
        <v>4071</v>
      </c>
      <c r="K2356" s="555" t="s">
        <v>2990</v>
      </c>
      <c r="L2356" s="555" t="s">
        <v>3432</v>
      </c>
      <c r="M2356" s="555" t="s">
        <v>3175</v>
      </c>
    </row>
    <row r="2357" spans="3:13" ht="18.75">
      <c r="C2357" s="735"/>
      <c r="D2357" s="555" t="s">
        <v>4672</v>
      </c>
      <c r="E2357" s="757">
        <v>0.59861111111111109</v>
      </c>
      <c r="F2357" s="731">
        <v>44231</v>
      </c>
      <c r="G2357" s="730">
        <v>0.93888888888888899</v>
      </c>
      <c r="H2357" s="555" t="s">
        <v>4690</v>
      </c>
      <c r="I2357" s="555" t="s">
        <v>674</v>
      </c>
      <c r="J2357" s="751" t="s">
        <v>3411</v>
      </c>
      <c r="K2357" s="555" t="s">
        <v>2483</v>
      </c>
      <c r="L2357" s="555" t="s">
        <v>3754</v>
      </c>
      <c r="M2357" s="555" t="s">
        <v>4399</v>
      </c>
    </row>
    <row r="2358" spans="3:13" ht="18.75">
      <c r="C2358" s="735"/>
      <c r="D2358" s="555" t="s">
        <v>4691</v>
      </c>
      <c r="E2358" s="757">
        <v>0.40486111111111112</v>
      </c>
      <c r="F2358" s="731">
        <v>44232</v>
      </c>
      <c r="G2358" s="730">
        <v>0.47152777777777777</v>
      </c>
      <c r="H2358" s="555" t="s">
        <v>4692</v>
      </c>
      <c r="I2358" s="555" t="s">
        <v>63</v>
      </c>
      <c r="J2358" s="751" t="s">
        <v>3356</v>
      </c>
      <c r="K2358" s="555" t="s">
        <v>100</v>
      </c>
      <c r="L2358" s="555" t="s">
        <v>3055</v>
      </c>
      <c r="M2358" s="555" t="s">
        <v>3055</v>
      </c>
    </row>
    <row r="2359" spans="3:13" ht="18.75">
      <c r="C2359" s="735"/>
      <c r="D2359" s="555" t="s">
        <v>4693</v>
      </c>
      <c r="E2359" s="757">
        <v>0.28472222222222221</v>
      </c>
      <c r="F2359" s="731">
        <v>44233</v>
      </c>
      <c r="G2359" s="730">
        <v>0.61319444444444449</v>
      </c>
      <c r="H2359" s="555" t="s">
        <v>4048</v>
      </c>
      <c r="I2359" s="555" t="s">
        <v>3143</v>
      </c>
      <c r="J2359" s="751" t="s">
        <v>3411</v>
      </c>
      <c r="K2359" s="555" t="s">
        <v>2483</v>
      </c>
      <c r="L2359" s="555" t="s">
        <v>3055</v>
      </c>
      <c r="M2359" s="555" t="s">
        <v>3055</v>
      </c>
    </row>
    <row r="2360" spans="3:13" ht="18.75">
      <c r="C2360" s="735"/>
      <c r="D2360" s="555" t="s">
        <v>4694</v>
      </c>
      <c r="E2360" s="757">
        <v>0.28958333333333336</v>
      </c>
      <c r="F2360" s="731">
        <v>44234</v>
      </c>
      <c r="G2360" s="730">
        <v>0.31527777777777777</v>
      </c>
      <c r="H2360" s="555" t="s">
        <v>4185</v>
      </c>
      <c r="I2360" s="555" t="s">
        <v>1352</v>
      </c>
      <c r="J2360" s="751" t="s">
        <v>3402</v>
      </c>
      <c r="K2360" s="555" t="s">
        <v>2118</v>
      </c>
      <c r="L2360" s="555" t="s">
        <v>3055</v>
      </c>
      <c r="M2360" s="555" t="s">
        <v>3055</v>
      </c>
    </row>
    <row r="2361" spans="3:13" ht="18.75">
      <c r="C2361" s="735"/>
      <c r="D2361" s="555" t="s">
        <v>4695</v>
      </c>
      <c r="E2361" s="757">
        <v>0.29444444444444445</v>
      </c>
      <c r="F2361" s="731">
        <v>44235</v>
      </c>
      <c r="G2361" s="730">
        <v>0.59027777777777779</v>
      </c>
      <c r="H2361" s="555" t="s">
        <v>3378</v>
      </c>
      <c r="I2361" s="555" t="s">
        <v>674</v>
      </c>
      <c r="J2361" s="751" t="s">
        <v>3411</v>
      </c>
      <c r="K2361" s="555" t="s">
        <v>2483</v>
      </c>
      <c r="L2361" s="555" t="s">
        <v>3055</v>
      </c>
      <c r="M2361" s="555" t="s">
        <v>3055</v>
      </c>
    </row>
    <row r="2362" spans="3:13" ht="18.75">
      <c r="C2362" s="735"/>
      <c r="D2362" s="555" t="s">
        <v>4695</v>
      </c>
      <c r="E2362" s="757">
        <v>0.7631944444444444</v>
      </c>
      <c r="F2362" s="731">
        <v>44235</v>
      </c>
      <c r="G2362" s="730">
        <v>0.77013888888888893</v>
      </c>
      <c r="H2362" s="555" t="s">
        <v>4682</v>
      </c>
      <c r="I2362" s="555" t="s">
        <v>61</v>
      </c>
      <c r="J2362" s="751" t="s">
        <v>3447</v>
      </c>
      <c r="K2362" s="555" t="s">
        <v>2764</v>
      </c>
      <c r="L2362" s="555" t="s">
        <v>3055</v>
      </c>
      <c r="M2362" s="555" t="s">
        <v>3055</v>
      </c>
    </row>
    <row r="2363" spans="3:13" ht="18.75">
      <c r="C2363" s="735"/>
      <c r="D2363" s="555" t="s">
        <v>4696</v>
      </c>
      <c r="E2363" s="757">
        <v>0.54166666666666663</v>
      </c>
      <c r="F2363" s="731">
        <v>44237</v>
      </c>
      <c r="G2363" s="730">
        <v>0.59791666666666665</v>
      </c>
      <c r="H2363" s="555" t="s">
        <v>3153</v>
      </c>
      <c r="I2363" s="555" t="s">
        <v>124</v>
      </c>
      <c r="J2363" s="751" t="s">
        <v>3356</v>
      </c>
      <c r="K2363" s="555" t="s">
        <v>100</v>
      </c>
      <c r="L2363" s="555" t="s">
        <v>3055</v>
      </c>
      <c r="M2363" s="555" t="s">
        <v>3055</v>
      </c>
    </row>
    <row r="2364" spans="3:13" ht="18.75">
      <c r="C2364" s="735"/>
      <c r="D2364" s="555" t="s">
        <v>4696</v>
      </c>
      <c r="E2364" s="757">
        <v>0.45208333333333334</v>
      </c>
      <c r="F2364" s="731" t="s">
        <v>45</v>
      </c>
      <c r="G2364" s="730" t="s">
        <v>45</v>
      </c>
      <c r="H2364" s="555" t="s">
        <v>2928</v>
      </c>
      <c r="I2364" s="555" t="s">
        <v>63</v>
      </c>
      <c r="J2364" s="751" t="s">
        <v>3411</v>
      </c>
      <c r="K2364" s="555" t="s">
        <v>2483</v>
      </c>
      <c r="L2364" s="555" t="s">
        <v>3055</v>
      </c>
      <c r="M2364" s="555" t="s">
        <v>3055</v>
      </c>
    </row>
    <row r="2365" spans="3:13" ht="18.75">
      <c r="C2365" s="735"/>
      <c r="D2365" s="555" t="s">
        <v>4697</v>
      </c>
      <c r="E2365" s="757">
        <v>0.625</v>
      </c>
      <c r="F2365" s="731">
        <v>44250</v>
      </c>
      <c r="G2365" s="730">
        <v>0.625</v>
      </c>
      <c r="H2365" s="555" t="s">
        <v>2919</v>
      </c>
      <c r="I2365" s="555" t="s">
        <v>1352</v>
      </c>
      <c r="J2365" s="751" t="s">
        <v>3451</v>
      </c>
      <c r="K2365" s="555" t="s">
        <v>22</v>
      </c>
      <c r="L2365" s="555" t="s">
        <v>45</v>
      </c>
      <c r="M2365" s="555" t="s">
        <v>4699</v>
      </c>
    </row>
    <row r="2366" spans="3:13" ht="18.75">
      <c r="C2366" s="735"/>
      <c r="D2366" s="555" t="s">
        <v>4700</v>
      </c>
      <c r="E2366" s="757">
        <v>0.35416666666666669</v>
      </c>
      <c r="F2366" s="731">
        <v>44249</v>
      </c>
      <c r="G2366" s="730">
        <v>0.375</v>
      </c>
      <c r="H2366" s="555" t="s">
        <v>3653</v>
      </c>
      <c r="I2366" s="555" t="s">
        <v>63</v>
      </c>
      <c r="J2366" s="751" t="s">
        <v>3654</v>
      </c>
      <c r="K2366" s="555" t="s">
        <v>1138</v>
      </c>
      <c r="L2366" s="555" t="s">
        <v>45</v>
      </c>
      <c r="M2366" s="555" t="s">
        <v>45</v>
      </c>
    </row>
    <row r="2367" spans="3:13" ht="18.75">
      <c r="C2367" s="735"/>
      <c r="D2367" s="555" t="s">
        <v>4700</v>
      </c>
      <c r="E2367" s="757">
        <v>0.80625000000000002</v>
      </c>
      <c r="F2367" s="731">
        <v>44238</v>
      </c>
      <c r="G2367" s="730">
        <v>0.88888888888888884</v>
      </c>
      <c r="H2367" s="555" t="s">
        <v>4702</v>
      </c>
      <c r="I2367" s="555" t="s">
        <v>124</v>
      </c>
      <c r="J2367" s="751" t="s">
        <v>3411</v>
      </c>
      <c r="K2367" s="555" t="s">
        <v>2483</v>
      </c>
      <c r="L2367" s="555" t="s">
        <v>3055</v>
      </c>
      <c r="M2367" s="555" t="s">
        <v>3055</v>
      </c>
    </row>
    <row r="2368" spans="3:13" ht="18.75">
      <c r="C2368" s="735"/>
      <c r="D2368" s="555" t="s">
        <v>4700</v>
      </c>
      <c r="E2368" s="757">
        <v>0.54166666666666663</v>
      </c>
      <c r="F2368" s="731" t="s">
        <v>45</v>
      </c>
      <c r="G2368" s="730" t="s">
        <v>45</v>
      </c>
      <c r="H2368" s="555" t="s">
        <v>4703</v>
      </c>
      <c r="I2368" s="555" t="s">
        <v>674</v>
      </c>
      <c r="J2368" s="751" t="s">
        <v>3654</v>
      </c>
      <c r="K2368" s="555" t="s">
        <v>1138</v>
      </c>
      <c r="L2368" s="555" t="s">
        <v>3055</v>
      </c>
      <c r="M2368" s="555" t="s">
        <v>3055</v>
      </c>
    </row>
    <row r="2369" spans="3:13" ht="18.75">
      <c r="C2369" s="735"/>
      <c r="D2369" s="555" t="s">
        <v>4704</v>
      </c>
      <c r="E2369" s="757">
        <v>0.875</v>
      </c>
      <c r="F2369" s="731">
        <v>44247</v>
      </c>
      <c r="G2369" s="730">
        <v>0.71875</v>
      </c>
      <c r="H2369" s="555" t="s">
        <v>4706</v>
      </c>
      <c r="I2369" s="555" t="s">
        <v>124</v>
      </c>
      <c r="J2369" s="751" t="s">
        <v>3451</v>
      </c>
      <c r="K2369" s="555" t="s">
        <v>22</v>
      </c>
      <c r="L2369" s="555" t="s">
        <v>45</v>
      </c>
      <c r="M2369" s="555" t="s">
        <v>4707</v>
      </c>
    </row>
    <row r="2370" spans="3:13" ht="18.75">
      <c r="C2370" s="735"/>
      <c r="D2370" s="555" t="s">
        <v>4704</v>
      </c>
      <c r="E2370" s="757">
        <v>0.64583333333333337</v>
      </c>
      <c r="F2370" s="731">
        <v>44249</v>
      </c>
      <c r="G2370" s="730">
        <v>0.3125</v>
      </c>
      <c r="H2370" s="555" t="s">
        <v>2919</v>
      </c>
      <c r="I2370" s="555" t="s">
        <v>1352</v>
      </c>
      <c r="J2370" s="751" t="s">
        <v>3654</v>
      </c>
      <c r="K2370" s="555" t="s">
        <v>1138</v>
      </c>
      <c r="L2370" s="555" t="s">
        <v>45</v>
      </c>
      <c r="M2370" s="555" t="s">
        <v>45</v>
      </c>
    </row>
    <row r="2371" spans="3:13" ht="18.75">
      <c r="C2371" s="735"/>
      <c r="D2371" s="555" t="s">
        <v>4708</v>
      </c>
      <c r="E2371" s="757">
        <v>0.41388888888888892</v>
      </c>
      <c r="F2371" s="731">
        <v>44240</v>
      </c>
      <c r="G2371" s="730">
        <v>0.45902777777777781</v>
      </c>
      <c r="H2371" s="555" t="s">
        <v>4709</v>
      </c>
      <c r="I2371" s="555" t="s">
        <v>124</v>
      </c>
      <c r="J2371" s="751" t="s">
        <v>3451</v>
      </c>
      <c r="K2371" s="555" t="s">
        <v>22</v>
      </c>
      <c r="L2371" s="555" t="s">
        <v>4710</v>
      </c>
      <c r="M2371" s="555" t="s">
        <v>4711</v>
      </c>
    </row>
    <row r="2372" spans="3:13" ht="18.75">
      <c r="C2372" s="735"/>
      <c r="D2372" s="555" t="s">
        <v>4708</v>
      </c>
      <c r="E2372" s="757">
        <v>0.5625</v>
      </c>
      <c r="F2372" s="731">
        <v>44247</v>
      </c>
      <c r="G2372" s="730">
        <v>0.33333333333333331</v>
      </c>
      <c r="H2372" s="555" t="s">
        <v>2919</v>
      </c>
      <c r="I2372" s="555" t="s">
        <v>1352</v>
      </c>
      <c r="J2372" s="751" t="s">
        <v>3478</v>
      </c>
      <c r="K2372" s="555" t="s">
        <v>22</v>
      </c>
      <c r="L2372" s="555" t="s">
        <v>45</v>
      </c>
      <c r="M2372" s="555" t="s">
        <v>45</v>
      </c>
    </row>
    <row r="2373" spans="3:13" ht="18.75">
      <c r="C2373" s="735"/>
      <c r="D2373" s="555" t="s">
        <v>4708</v>
      </c>
      <c r="E2373" s="757">
        <v>0.5625</v>
      </c>
      <c r="F2373" s="731">
        <v>44246</v>
      </c>
      <c r="G2373" s="730">
        <v>0.875</v>
      </c>
      <c r="H2373" s="555" t="s">
        <v>4713</v>
      </c>
      <c r="I2373" s="555" t="s">
        <v>3143</v>
      </c>
      <c r="J2373" s="751" t="s">
        <v>3451</v>
      </c>
      <c r="K2373" s="555" t="s">
        <v>22</v>
      </c>
      <c r="L2373" s="555" t="s">
        <v>45</v>
      </c>
      <c r="M2373" s="555" t="s">
        <v>4714</v>
      </c>
    </row>
    <row r="2374" spans="3:13" ht="18.75">
      <c r="C2374" s="735"/>
      <c r="D2374" s="555" t="s">
        <v>4708</v>
      </c>
      <c r="E2374" s="757">
        <v>0.35555555555555557</v>
      </c>
      <c r="F2374" s="731">
        <v>44241</v>
      </c>
      <c r="G2374" s="730">
        <v>0.625</v>
      </c>
      <c r="H2374" s="555" t="s">
        <v>4716</v>
      </c>
      <c r="I2374" s="555" t="s">
        <v>63</v>
      </c>
      <c r="J2374" s="751" t="s">
        <v>3451</v>
      </c>
      <c r="K2374" s="555" t="s">
        <v>22</v>
      </c>
      <c r="L2374" s="555" t="s">
        <v>45</v>
      </c>
      <c r="M2374" s="555" t="s">
        <v>4717</v>
      </c>
    </row>
    <row r="2375" spans="3:13" ht="18.75">
      <c r="C2375" s="735"/>
      <c r="D2375" s="555" t="s">
        <v>4715</v>
      </c>
      <c r="E2375" s="757">
        <v>0.35416666666666669</v>
      </c>
      <c r="F2375" s="731">
        <v>44246</v>
      </c>
      <c r="G2375" s="730">
        <v>0.75</v>
      </c>
      <c r="H2375" s="555" t="s">
        <v>2919</v>
      </c>
      <c r="I2375" s="555" t="s">
        <v>1352</v>
      </c>
      <c r="J2375" s="751" t="s">
        <v>3478</v>
      </c>
      <c r="K2375" s="555" t="s">
        <v>22</v>
      </c>
      <c r="L2375" s="555" t="s">
        <v>4718</v>
      </c>
      <c r="M2375" s="555" t="s">
        <v>45</v>
      </c>
    </row>
    <row r="2376" spans="3:13" ht="18.75">
      <c r="C2376" s="735"/>
      <c r="D2376" s="555" t="s">
        <v>4715</v>
      </c>
      <c r="E2376" s="757">
        <v>0.35416666666666669</v>
      </c>
      <c r="F2376" s="731">
        <v>44246</v>
      </c>
      <c r="G2376" s="730">
        <v>0.75</v>
      </c>
      <c r="H2376" s="555" t="s">
        <v>2919</v>
      </c>
      <c r="I2376" s="555" t="s">
        <v>1352</v>
      </c>
      <c r="J2376" s="751" t="s">
        <v>3478</v>
      </c>
      <c r="K2376" s="555" t="s">
        <v>22</v>
      </c>
      <c r="L2376" s="555" t="s">
        <v>45</v>
      </c>
      <c r="M2376" s="555" t="s">
        <v>45</v>
      </c>
    </row>
    <row r="2377" spans="3:13" ht="18.75">
      <c r="C2377" s="735"/>
      <c r="D2377" s="555" t="s">
        <v>4715</v>
      </c>
      <c r="E2377" s="757">
        <v>0.22916666666666666</v>
      </c>
      <c r="F2377" s="731">
        <v>44245</v>
      </c>
      <c r="G2377" s="730">
        <v>0.41666666666666669</v>
      </c>
      <c r="H2377" s="555" t="s">
        <v>3693</v>
      </c>
      <c r="I2377" s="555" t="s">
        <v>674</v>
      </c>
      <c r="J2377" s="751" t="s">
        <v>3478</v>
      </c>
      <c r="K2377" s="555" t="s">
        <v>22</v>
      </c>
      <c r="L2377" s="555" t="s">
        <v>45</v>
      </c>
      <c r="M2377" s="555" t="s">
        <v>45</v>
      </c>
    </row>
    <row r="2378" spans="3:13" ht="18.75">
      <c r="C2378" s="735"/>
      <c r="D2378" s="555" t="s">
        <v>4715</v>
      </c>
      <c r="E2378" s="757">
        <v>0.84791666666666676</v>
      </c>
      <c r="F2378" s="731">
        <v>44245</v>
      </c>
      <c r="G2378" s="730">
        <v>0.39583333333333331</v>
      </c>
      <c r="H2378" s="555" t="s">
        <v>4720</v>
      </c>
      <c r="I2378" s="555" t="s">
        <v>63</v>
      </c>
      <c r="J2378" s="751" t="s">
        <v>3478</v>
      </c>
      <c r="K2378" s="555" t="s">
        <v>22</v>
      </c>
      <c r="L2378" s="555" t="s">
        <v>4721</v>
      </c>
      <c r="M2378" s="555" t="s">
        <v>4722</v>
      </c>
    </row>
    <row r="2379" spans="3:13" ht="18.75">
      <c r="C2379" s="735"/>
      <c r="D2379" s="555" t="s">
        <v>4715</v>
      </c>
      <c r="E2379" s="757">
        <v>0.83333333333333337</v>
      </c>
      <c r="F2379" s="731">
        <v>44245</v>
      </c>
      <c r="G2379" s="730">
        <v>0.39444444444444443</v>
      </c>
      <c r="H2379" s="555" t="s">
        <v>4723</v>
      </c>
      <c r="I2379" s="555" t="s">
        <v>674</v>
      </c>
      <c r="J2379" s="751" t="s">
        <v>3750</v>
      </c>
      <c r="K2379" s="555" t="s">
        <v>22</v>
      </c>
      <c r="L2379" s="555" t="s">
        <v>3851</v>
      </c>
      <c r="M2379" s="555" t="s">
        <v>45</v>
      </c>
    </row>
    <row r="2380" spans="3:13" ht="18.75">
      <c r="C2380" s="735"/>
      <c r="D2380" s="555" t="s">
        <v>4715</v>
      </c>
      <c r="E2380" s="757">
        <v>0.79513888888888884</v>
      </c>
      <c r="F2380" s="731" t="s">
        <v>45</v>
      </c>
      <c r="G2380" s="730" t="s">
        <v>45</v>
      </c>
      <c r="H2380" s="555" t="s">
        <v>4614</v>
      </c>
      <c r="I2380" s="555" t="s">
        <v>63</v>
      </c>
      <c r="J2380" s="751" t="s">
        <v>3478</v>
      </c>
      <c r="K2380" s="555" t="s">
        <v>22</v>
      </c>
      <c r="L2380" s="555" t="s">
        <v>45</v>
      </c>
      <c r="M2380" s="555" t="s">
        <v>45</v>
      </c>
    </row>
    <row r="2381" spans="3:13" ht="18.75">
      <c r="C2381" s="735"/>
      <c r="D2381" s="555" t="s">
        <v>4715</v>
      </c>
      <c r="E2381" s="757">
        <v>0.85555555555555562</v>
      </c>
      <c r="F2381" s="731" t="s">
        <v>45</v>
      </c>
      <c r="G2381" s="730" t="s">
        <v>45</v>
      </c>
      <c r="H2381" s="555" t="s">
        <v>4724</v>
      </c>
      <c r="I2381" s="555" t="s">
        <v>674</v>
      </c>
      <c r="J2381" s="751" t="s">
        <v>3478</v>
      </c>
      <c r="K2381" s="555" t="s">
        <v>22</v>
      </c>
      <c r="L2381" s="555" t="s">
        <v>3055</v>
      </c>
      <c r="M2381" s="555" t="s">
        <v>3055</v>
      </c>
    </row>
    <row r="2382" spans="3:13" ht="18.75">
      <c r="C2382" s="735"/>
      <c r="D2382" s="555" t="s">
        <v>4715</v>
      </c>
      <c r="E2382" s="757">
        <v>0.75</v>
      </c>
      <c r="F2382" s="731">
        <v>44243</v>
      </c>
      <c r="G2382" s="730">
        <v>0.91666666666666663</v>
      </c>
      <c r="H2382" s="555" t="s">
        <v>4726</v>
      </c>
      <c r="I2382" s="555" t="s">
        <v>63</v>
      </c>
      <c r="J2382" s="751" t="s">
        <v>3478</v>
      </c>
      <c r="K2382" s="555" t="s">
        <v>22</v>
      </c>
      <c r="L2382" s="555" t="s">
        <v>3055</v>
      </c>
      <c r="M2382" s="555" t="s">
        <v>3055</v>
      </c>
    </row>
    <row r="2383" spans="3:13" ht="18.75">
      <c r="C2383" s="735"/>
      <c r="D2383" s="555" t="s">
        <v>4727</v>
      </c>
      <c r="E2383" s="757">
        <v>5.5555555555555552E-2</v>
      </c>
      <c r="F2383" s="731">
        <v>44245</v>
      </c>
      <c r="G2383" s="730">
        <v>2.9166666666666664E-2</v>
      </c>
      <c r="H2383" s="555" t="s">
        <v>3976</v>
      </c>
      <c r="I2383" s="555" t="s">
        <v>1352</v>
      </c>
      <c r="J2383" s="751" t="s">
        <v>3750</v>
      </c>
      <c r="K2383" s="555" t="s">
        <v>22</v>
      </c>
      <c r="L2383" s="555" t="s">
        <v>45</v>
      </c>
      <c r="M2383" s="555" t="s">
        <v>45</v>
      </c>
    </row>
    <row r="2384" spans="3:13" ht="18.75">
      <c r="C2384" s="735"/>
      <c r="D2384" s="555" t="s">
        <v>4727</v>
      </c>
      <c r="E2384" s="757">
        <v>5.5555555555555552E-2</v>
      </c>
      <c r="F2384" s="731">
        <v>44245</v>
      </c>
      <c r="G2384" s="730">
        <v>1.3888888888888889E-3</v>
      </c>
      <c r="H2384" s="555" t="s">
        <v>2809</v>
      </c>
      <c r="I2384" s="555" t="s">
        <v>1352</v>
      </c>
      <c r="J2384" s="751" t="s">
        <v>3750</v>
      </c>
      <c r="K2384" s="555" t="s">
        <v>22</v>
      </c>
      <c r="L2384" s="555" t="s">
        <v>4728</v>
      </c>
      <c r="M2384" s="555" t="s">
        <v>4729</v>
      </c>
    </row>
    <row r="2385" spans="3:13" ht="18.75">
      <c r="C2385" s="735"/>
      <c r="D2385" s="555" t="s">
        <v>4727</v>
      </c>
      <c r="E2385" s="757">
        <v>0.66666666666666663</v>
      </c>
      <c r="F2385" s="731">
        <v>44242</v>
      </c>
      <c r="G2385" s="730">
        <v>0.77361111111111114</v>
      </c>
      <c r="H2385" s="555" t="s">
        <v>3591</v>
      </c>
      <c r="I2385" s="555" t="s">
        <v>1352</v>
      </c>
      <c r="J2385" s="751" t="s">
        <v>3387</v>
      </c>
      <c r="K2385" s="555" t="s">
        <v>2764</v>
      </c>
      <c r="L2385" s="555" t="s">
        <v>3055</v>
      </c>
      <c r="M2385" s="555" t="s">
        <v>3055</v>
      </c>
    </row>
    <row r="2386" spans="3:13" ht="18.75">
      <c r="C2386" s="735"/>
      <c r="D2386" s="555" t="s">
        <v>4727</v>
      </c>
      <c r="E2386" s="757">
        <v>0</v>
      </c>
      <c r="F2386" s="731" t="s">
        <v>45</v>
      </c>
      <c r="G2386" s="730" t="s">
        <v>45</v>
      </c>
      <c r="H2386" s="555" t="s">
        <v>2919</v>
      </c>
      <c r="I2386" s="555" t="s">
        <v>1352</v>
      </c>
      <c r="J2386" s="751" t="s">
        <v>3750</v>
      </c>
      <c r="K2386" s="555" t="s">
        <v>22</v>
      </c>
      <c r="L2386" s="555" t="s">
        <v>3198</v>
      </c>
      <c r="M2386" s="555" t="s">
        <v>45</v>
      </c>
    </row>
    <row r="2387" spans="3:13" ht="18.75">
      <c r="C2387" s="735"/>
      <c r="D2387" s="555" t="s">
        <v>4727</v>
      </c>
      <c r="E2387" s="757">
        <v>0.23333333333333331</v>
      </c>
      <c r="F2387" s="731" t="s">
        <v>45</v>
      </c>
      <c r="G2387" s="730" t="s">
        <v>45</v>
      </c>
      <c r="H2387" s="555" t="s">
        <v>2919</v>
      </c>
      <c r="I2387" s="555" t="s">
        <v>1352</v>
      </c>
      <c r="J2387" s="751" t="s">
        <v>3750</v>
      </c>
      <c r="K2387" s="555" t="s">
        <v>22</v>
      </c>
      <c r="L2387" s="555" t="s">
        <v>3296</v>
      </c>
      <c r="M2387" s="555" t="s">
        <v>45</v>
      </c>
    </row>
    <row r="2388" spans="3:13" ht="18.75">
      <c r="C2388" s="735"/>
      <c r="D2388" s="555" t="s">
        <v>4727</v>
      </c>
      <c r="E2388" s="757">
        <v>0.54166666666666663</v>
      </c>
      <c r="F2388" s="731">
        <v>44247</v>
      </c>
      <c r="G2388" s="730">
        <v>0.41666666666666669</v>
      </c>
      <c r="H2388" s="555" t="s">
        <v>2919</v>
      </c>
      <c r="I2388" s="555" t="s">
        <v>1352</v>
      </c>
      <c r="J2388" s="751" t="s">
        <v>3750</v>
      </c>
      <c r="K2388" s="555" t="s">
        <v>22</v>
      </c>
      <c r="L2388" s="555" t="s">
        <v>45</v>
      </c>
      <c r="M2388" s="555" t="s">
        <v>4730</v>
      </c>
    </row>
    <row r="2389" spans="3:13" ht="18.75">
      <c r="C2389" s="735"/>
      <c r="D2389" s="555" t="s">
        <v>4727</v>
      </c>
      <c r="E2389" s="757">
        <v>7.9166666666666663E-2</v>
      </c>
      <c r="F2389" s="731">
        <v>44244</v>
      </c>
      <c r="G2389" s="730">
        <v>0.99722222222222223</v>
      </c>
      <c r="H2389" s="555" t="s">
        <v>2919</v>
      </c>
      <c r="I2389" s="555" t="s">
        <v>1352</v>
      </c>
      <c r="J2389" s="751" t="s">
        <v>3750</v>
      </c>
      <c r="K2389" s="555" t="s">
        <v>22</v>
      </c>
      <c r="L2389" s="555" t="s">
        <v>4732</v>
      </c>
      <c r="M2389" s="555" t="s">
        <v>45</v>
      </c>
    </row>
    <row r="2390" spans="3:13" ht="18.75">
      <c r="C2390" s="735"/>
      <c r="D2390" s="555" t="s">
        <v>4727</v>
      </c>
      <c r="E2390" s="757">
        <v>5.5555555555555552E-2</v>
      </c>
      <c r="F2390" s="731">
        <v>44246</v>
      </c>
      <c r="G2390" s="730">
        <v>0.375</v>
      </c>
      <c r="H2390" s="555" t="s">
        <v>2919</v>
      </c>
      <c r="I2390" s="555" t="s">
        <v>1352</v>
      </c>
      <c r="J2390" s="751" t="s">
        <v>3750</v>
      </c>
      <c r="K2390" s="555" t="s">
        <v>22</v>
      </c>
      <c r="L2390" s="555" t="s">
        <v>4718</v>
      </c>
      <c r="M2390" s="555" t="s">
        <v>45</v>
      </c>
    </row>
    <row r="2391" spans="3:13" ht="18.75">
      <c r="C2391" s="735"/>
      <c r="D2391" s="555" t="s">
        <v>4727</v>
      </c>
      <c r="E2391" s="757">
        <v>0.625</v>
      </c>
      <c r="F2391" s="731">
        <v>44246</v>
      </c>
      <c r="G2391" s="730">
        <v>0.41666666666666669</v>
      </c>
      <c r="H2391" s="555" t="s">
        <v>2866</v>
      </c>
      <c r="I2391" s="555" t="s">
        <v>63</v>
      </c>
      <c r="J2391" s="751" t="s">
        <v>3478</v>
      </c>
      <c r="K2391" s="555" t="s">
        <v>22</v>
      </c>
      <c r="L2391" s="555" t="s">
        <v>45</v>
      </c>
      <c r="M2391" s="555" t="s">
        <v>45</v>
      </c>
    </row>
    <row r="2392" spans="3:13" ht="18.75">
      <c r="C2392" s="735"/>
      <c r="D2392" s="555" t="s">
        <v>4727</v>
      </c>
      <c r="E2392" s="757">
        <v>0.11875000000000001</v>
      </c>
      <c r="F2392" s="731">
        <v>44246</v>
      </c>
      <c r="G2392" s="730">
        <v>0.375</v>
      </c>
      <c r="H2392" s="555" t="s">
        <v>3591</v>
      </c>
      <c r="I2392" s="555" t="s">
        <v>1352</v>
      </c>
      <c r="J2392" s="751" t="s">
        <v>3451</v>
      </c>
      <c r="K2392" s="555" t="s">
        <v>22</v>
      </c>
      <c r="L2392" s="555" t="s">
        <v>45</v>
      </c>
      <c r="M2392" s="555" t="s">
        <v>4733</v>
      </c>
    </row>
    <row r="2393" spans="3:13" ht="18.75">
      <c r="C2393" s="735"/>
      <c r="D2393" s="555" t="s">
        <v>4727</v>
      </c>
      <c r="E2393" s="757">
        <v>7.9166666666666663E-2</v>
      </c>
      <c r="F2393" s="731">
        <v>44246</v>
      </c>
      <c r="G2393" s="730">
        <v>0.375</v>
      </c>
      <c r="H2393" s="555" t="s">
        <v>3591</v>
      </c>
      <c r="I2393" s="555" t="s">
        <v>1352</v>
      </c>
      <c r="J2393" s="751" t="s">
        <v>3750</v>
      </c>
      <c r="K2393" s="555" t="s">
        <v>22</v>
      </c>
      <c r="L2393" s="555" t="s">
        <v>4734</v>
      </c>
      <c r="M2393" s="555" t="s">
        <v>45</v>
      </c>
    </row>
    <row r="2394" spans="3:13" ht="18.75">
      <c r="C2394" s="735"/>
      <c r="D2394" s="555" t="s">
        <v>4727</v>
      </c>
      <c r="E2394" s="757">
        <v>0.12916666666666668</v>
      </c>
      <c r="F2394" s="731" t="s">
        <v>45</v>
      </c>
      <c r="G2394" s="730" t="s">
        <v>45</v>
      </c>
      <c r="H2394" s="555" t="s">
        <v>3162</v>
      </c>
      <c r="I2394" s="555" t="s">
        <v>1352</v>
      </c>
      <c r="J2394" s="751" t="s">
        <v>3451</v>
      </c>
      <c r="K2394" s="555" t="s">
        <v>22</v>
      </c>
      <c r="L2394" s="555" t="s">
        <v>45</v>
      </c>
      <c r="M2394" s="555" t="s">
        <v>4735</v>
      </c>
    </row>
    <row r="2395" spans="3:13" ht="18.75">
      <c r="C2395" s="735"/>
      <c r="D2395" s="555" t="s">
        <v>4727</v>
      </c>
      <c r="E2395" s="757">
        <v>0.22708333333333333</v>
      </c>
      <c r="F2395" s="731">
        <v>44245</v>
      </c>
      <c r="G2395" s="730">
        <v>0.34583333333333338</v>
      </c>
      <c r="H2395" s="555" t="s">
        <v>2919</v>
      </c>
      <c r="I2395" s="555" t="s">
        <v>1352</v>
      </c>
      <c r="J2395" s="751" t="s">
        <v>3396</v>
      </c>
      <c r="K2395" s="555" t="s">
        <v>22</v>
      </c>
      <c r="L2395" s="555" t="s">
        <v>45</v>
      </c>
      <c r="M2395" s="555" t="s">
        <v>45</v>
      </c>
    </row>
    <row r="2396" spans="3:13" ht="18.75">
      <c r="C2396" s="735"/>
      <c r="D2396" s="555" t="s">
        <v>4727</v>
      </c>
      <c r="E2396" s="757">
        <v>5.7638888888888885E-2</v>
      </c>
      <c r="F2396" s="731">
        <v>44246</v>
      </c>
      <c r="G2396" s="730">
        <v>0.22916666666666666</v>
      </c>
      <c r="H2396" s="555" t="s">
        <v>2919</v>
      </c>
      <c r="I2396" s="555" t="s">
        <v>1352</v>
      </c>
      <c r="J2396" s="751" t="s">
        <v>3750</v>
      </c>
      <c r="K2396" s="555" t="s">
        <v>22</v>
      </c>
      <c r="L2396" s="555" t="s">
        <v>45</v>
      </c>
      <c r="M2396" s="555" t="s">
        <v>45</v>
      </c>
    </row>
    <row r="2397" spans="3:13" ht="18.75">
      <c r="C2397" s="735"/>
      <c r="D2397" s="555" t="s">
        <v>4727</v>
      </c>
      <c r="E2397" s="757">
        <v>0.36805555555555558</v>
      </c>
      <c r="F2397" s="731">
        <v>44245</v>
      </c>
      <c r="G2397" s="730">
        <v>0.39583333333333331</v>
      </c>
      <c r="H2397" s="555" t="s">
        <v>4703</v>
      </c>
      <c r="I2397" s="555" t="s">
        <v>674</v>
      </c>
      <c r="J2397" s="751" t="s">
        <v>3478</v>
      </c>
      <c r="K2397" s="555" t="s">
        <v>22</v>
      </c>
      <c r="L2397" s="555" t="s">
        <v>45</v>
      </c>
      <c r="M2397" s="555" t="s">
        <v>45</v>
      </c>
    </row>
    <row r="2398" spans="3:13" ht="18.75">
      <c r="C2398" s="735"/>
      <c r="D2398" s="555" t="s">
        <v>4727</v>
      </c>
      <c r="E2398" s="757">
        <v>0.29166666666666669</v>
      </c>
      <c r="F2398" s="731">
        <v>44245</v>
      </c>
      <c r="G2398" s="730">
        <v>0.375</v>
      </c>
      <c r="H2398" s="555" t="s">
        <v>3693</v>
      </c>
      <c r="I2398" s="555" t="s">
        <v>674</v>
      </c>
      <c r="J2398" s="751" t="s">
        <v>3654</v>
      </c>
      <c r="K2398" s="555" t="s">
        <v>1138</v>
      </c>
      <c r="L2398" s="555" t="s">
        <v>3055</v>
      </c>
      <c r="M2398" s="555" t="s">
        <v>3055</v>
      </c>
    </row>
    <row r="2399" spans="3:13" ht="18.75">
      <c r="C2399" s="735"/>
      <c r="D2399" s="555" t="s">
        <v>4727</v>
      </c>
      <c r="E2399" s="757">
        <v>0.82500000000000007</v>
      </c>
      <c r="F2399" s="731">
        <v>44245</v>
      </c>
      <c r="G2399" s="730">
        <v>0.4375</v>
      </c>
      <c r="H2399" s="555" t="s">
        <v>4736</v>
      </c>
      <c r="I2399" s="555" t="s">
        <v>674</v>
      </c>
      <c r="J2399" s="751" t="s">
        <v>3654</v>
      </c>
      <c r="K2399" s="555" t="s">
        <v>1138</v>
      </c>
      <c r="L2399" s="555" t="s">
        <v>3055</v>
      </c>
      <c r="M2399" s="555" t="s">
        <v>45</v>
      </c>
    </row>
    <row r="2400" spans="3:13" ht="18.75">
      <c r="C2400" s="735"/>
      <c r="D2400" s="555" t="s">
        <v>4727</v>
      </c>
      <c r="E2400" s="757">
        <v>0.43333333333333335</v>
      </c>
      <c r="F2400" s="731">
        <v>44245</v>
      </c>
      <c r="G2400" s="730">
        <v>0.41111111111111115</v>
      </c>
      <c r="H2400" s="555" t="s">
        <v>2909</v>
      </c>
      <c r="I2400" s="555" t="s">
        <v>1352</v>
      </c>
      <c r="J2400" s="751" t="s">
        <v>3478</v>
      </c>
      <c r="K2400" s="555" t="s">
        <v>22</v>
      </c>
      <c r="L2400" s="555" t="s">
        <v>3746</v>
      </c>
      <c r="M2400" s="555" t="s">
        <v>4737</v>
      </c>
    </row>
    <row r="2401" spans="3:13" ht="18.75">
      <c r="C2401" s="735"/>
      <c r="D2401" s="555" t="s">
        <v>4727</v>
      </c>
      <c r="E2401" s="757">
        <v>0.75</v>
      </c>
      <c r="F2401" s="731">
        <v>44242</v>
      </c>
      <c r="G2401" s="730">
        <v>0.99652777777777779</v>
      </c>
      <c r="H2401" s="555" t="s">
        <v>2919</v>
      </c>
      <c r="I2401" s="555" t="s">
        <v>1352</v>
      </c>
      <c r="J2401" s="751" t="s">
        <v>3478</v>
      </c>
      <c r="K2401" s="555" t="s">
        <v>22</v>
      </c>
      <c r="L2401" s="555" t="s">
        <v>45</v>
      </c>
      <c r="M2401" s="555" t="s">
        <v>45</v>
      </c>
    </row>
    <row r="2402" spans="3:13" ht="18.75">
      <c r="C2402" s="735"/>
      <c r="D2402" s="555" t="s">
        <v>4727</v>
      </c>
      <c r="E2402" s="757">
        <v>0.23611111111111113</v>
      </c>
      <c r="F2402" s="731">
        <v>44243</v>
      </c>
      <c r="G2402" s="730">
        <v>0.5493055555555556</v>
      </c>
      <c r="H2402" s="555" t="s">
        <v>2919</v>
      </c>
      <c r="I2402" s="555" t="s">
        <v>1352</v>
      </c>
      <c r="J2402" s="751" t="s">
        <v>3750</v>
      </c>
      <c r="K2402" s="555" t="s">
        <v>22</v>
      </c>
      <c r="L2402" s="555" t="s">
        <v>4738</v>
      </c>
      <c r="M2402" s="555" t="s">
        <v>45</v>
      </c>
    </row>
    <row r="2403" spans="3:13" ht="18.75">
      <c r="C2403" s="735"/>
      <c r="D2403" s="555" t="s">
        <v>4727</v>
      </c>
      <c r="E2403" s="757">
        <v>0.28125</v>
      </c>
      <c r="F2403" s="731" t="s">
        <v>45</v>
      </c>
      <c r="G2403" s="730" t="s">
        <v>45</v>
      </c>
      <c r="H2403" s="555" t="s">
        <v>4739</v>
      </c>
      <c r="I2403" s="555" t="s">
        <v>1352</v>
      </c>
      <c r="J2403" s="751" t="s">
        <v>3451</v>
      </c>
      <c r="K2403" s="555" t="s">
        <v>22</v>
      </c>
      <c r="L2403" s="555" t="s">
        <v>45</v>
      </c>
      <c r="M2403" s="555" t="s">
        <v>45</v>
      </c>
    </row>
    <row r="2404" spans="3:13" ht="18.75">
      <c r="C2404" s="735"/>
      <c r="D2404" s="555" t="s">
        <v>4727</v>
      </c>
      <c r="E2404" s="757">
        <v>0.20833333333333334</v>
      </c>
      <c r="F2404" s="731">
        <v>44244</v>
      </c>
      <c r="G2404" s="730">
        <v>0.66666666666666663</v>
      </c>
      <c r="H2404" s="555" t="s">
        <v>4740</v>
      </c>
      <c r="I2404" s="555" t="s">
        <v>63</v>
      </c>
      <c r="J2404" s="751" t="s">
        <v>3478</v>
      </c>
      <c r="K2404" s="555" t="s">
        <v>22</v>
      </c>
      <c r="L2404" s="555" t="s">
        <v>45</v>
      </c>
      <c r="M2404" s="555" t="s">
        <v>45</v>
      </c>
    </row>
    <row r="2405" spans="3:13" ht="18.75">
      <c r="C2405" s="735"/>
      <c r="D2405" s="555" t="s">
        <v>4727</v>
      </c>
      <c r="E2405" s="757">
        <v>0.70833333333333337</v>
      </c>
      <c r="F2405" s="731">
        <v>44242</v>
      </c>
      <c r="G2405" s="730">
        <v>0.95763888888888893</v>
      </c>
      <c r="H2405" s="555" t="s">
        <v>3116</v>
      </c>
      <c r="I2405" s="555" t="s">
        <v>63</v>
      </c>
      <c r="J2405" s="751" t="s">
        <v>3478</v>
      </c>
      <c r="K2405" s="555" t="s">
        <v>22</v>
      </c>
      <c r="L2405" s="555" t="s">
        <v>45</v>
      </c>
      <c r="M2405" s="555" t="s">
        <v>45</v>
      </c>
    </row>
    <row r="2406" spans="3:13" ht="18.75">
      <c r="C2406" s="735"/>
      <c r="D2406" s="555" t="s">
        <v>4727</v>
      </c>
      <c r="E2406" s="757">
        <v>0.32777777777777778</v>
      </c>
      <c r="F2406" s="731">
        <v>44244</v>
      </c>
      <c r="G2406" s="730">
        <v>0.59375</v>
      </c>
      <c r="H2406" s="555" t="s">
        <v>4741</v>
      </c>
      <c r="I2406" s="555" t="s">
        <v>1352</v>
      </c>
      <c r="J2406" s="751" t="s">
        <v>3750</v>
      </c>
      <c r="K2406" s="555" t="s">
        <v>22</v>
      </c>
      <c r="L2406" s="555" t="s">
        <v>4742</v>
      </c>
      <c r="M2406" s="555" t="s">
        <v>4743</v>
      </c>
    </row>
    <row r="2407" spans="3:13" ht="18.75">
      <c r="C2407" s="735"/>
      <c r="D2407" s="555" t="s">
        <v>4727</v>
      </c>
      <c r="E2407" s="757">
        <v>0.28541666666666665</v>
      </c>
      <c r="F2407" s="731">
        <v>44243</v>
      </c>
      <c r="G2407" s="730">
        <v>0.55486111111111114</v>
      </c>
      <c r="H2407" s="555" t="s">
        <v>3693</v>
      </c>
      <c r="I2407" s="555" t="s">
        <v>674</v>
      </c>
      <c r="J2407" s="751" t="s">
        <v>3750</v>
      </c>
      <c r="K2407" s="555" t="s">
        <v>22</v>
      </c>
      <c r="L2407" s="555" t="s">
        <v>3380</v>
      </c>
      <c r="M2407" s="555" t="s">
        <v>4744</v>
      </c>
    </row>
    <row r="2408" spans="3:13" ht="18.75">
      <c r="C2408" s="735"/>
      <c r="D2408" s="555" t="s">
        <v>4727</v>
      </c>
      <c r="E2408" s="757">
        <v>0.75</v>
      </c>
      <c r="F2408" s="731">
        <v>44242</v>
      </c>
      <c r="G2408" s="730">
        <v>0.99930555555555556</v>
      </c>
      <c r="H2408" s="555" t="s">
        <v>2866</v>
      </c>
      <c r="I2408" s="555" t="s">
        <v>63</v>
      </c>
      <c r="J2408" s="751" t="s">
        <v>3478</v>
      </c>
      <c r="K2408" s="555" t="s">
        <v>2764</v>
      </c>
      <c r="L2408" s="555" t="s">
        <v>45</v>
      </c>
      <c r="M2408" s="555" t="s">
        <v>45</v>
      </c>
    </row>
    <row r="2409" spans="3:13" ht="18.75">
      <c r="C2409" s="735"/>
      <c r="D2409" s="555" t="s">
        <v>4727</v>
      </c>
      <c r="E2409" s="757">
        <v>0.75</v>
      </c>
      <c r="F2409" s="731">
        <v>44242</v>
      </c>
      <c r="G2409" s="730">
        <v>0.99930555555555556</v>
      </c>
      <c r="H2409" s="555" t="s">
        <v>2919</v>
      </c>
      <c r="I2409" s="555" t="s">
        <v>1352</v>
      </c>
      <c r="J2409" s="751" t="s">
        <v>3478</v>
      </c>
      <c r="K2409" s="555" t="s">
        <v>22</v>
      </c>
      <c r="L2409" s="555" t="s">
        <v>45</v>
      </c>
      <c r="M2409" s="555" t="s">
        <v>45</v>
      </c>
    </row>
    <row r="2410" spans="3:13" ht="18.75">
      <c r="C2410" s="735"/>
      <c r="D2410" s="555" t="s">
        <v>4727</v>
      </c>
      <c r="E2410" s="757">
        <v>0.58333333333333337</v>
      </c>
      <c r="F2410" s="731">
        <v>44242</v>
      </c>
      <c r="G2410" s="730">
        <v>0.75</v>
      </c>
      <c r="H2410" s="555" t="s">
        <v>2866</v>
      </c>
      <c r="I2410" s="555" t="s">
        <v>63</v>
      </c>
      <c r="J2410" s="751" t="s">
        <v>3654</v>
      </c>
      <c r="K2410" s="555" t="s">
        <v>1138</v>
      </c>
      <c r="L2410" s="555" t="s">
        <v>45</v>
      </c>
      <c r="M2410" s="555" t="s">
        <v>45</v>
      </c>
    </row>
    <row r="2411" spans="3:13" ht="18.75">
      <c r="C2411" s="735"/>
      <c r="D2411" s="555" t="s">
        <v>4727</v>
      </c>
      <c r="E2411" s="757">
        <v>5.5555555555555552E-2</v>
      </c>
      <c r="F2411" s="731" t="s">
        <v>45</v>
      </c>
      <c r="G2411" s="730" t="s">
        <v>45</v>
      </c>
      <c r="H2411" s="555" t="s">
        <v>2919</v>
      </c>
      <c r="I2411" s="555" t="s">
        <v>1352</v>
      </c>
      <c r="J2411" s="751" t="s">
        <v>3451</v>
      </c>
      <c r="K2411" s="555" t="s">
        <v>22</v>
      </c>
      <c r="L2411" s="555" t="s">
        <v>4745</v>
      </c>
      <c r="M2411" s="555" t="s">
        <v>3331</v>
      </c>
    </row>
    <row r="2412" spans="3:13" ht="18.75">
      <c r="C2412" s="735"/>
      <c r="D2412" s="555" t="s">
        <v>4727</v>
      </c>
      <c r="E2412" s="757">
        <v>0.51250000000000007</v>
      </c>
      <c r="F2412" s="731">
        <v>44242</v>
      </c>
      <c r="G2412" s="730">
        <v>0.55694444444444446</v>
      </c>
      <c r="H2412" s="555" t="s">
        <v>4614</v>
      </c>
      <c r="I2412" s="555" t="s">
        <v>63</v>
      </c>
      <c r="J2412" s="751" t="s">
        <v>3750</v>
      </c>
      <c r="K2412" s="555" t="s">
        <v>22</v>
      </c>
      <c r="L2412" s="555" t="s">
        <v>45</v>
      </c>
      <c r="M2412" s="555" t="s">
        <v>45</v>
      </c>
    </row>
    <row r="2413" spans="3:13" ht="18.75">
      <c r="C2413" s="735"/>
      <c r="D2413" s="555" t="s">
        <v>4727</v>
      </c>
      <c r="E2413" s="757">
        <v>0.41666666666666669</v>
      </c>
      <c r="F2413" s="731" t="s">
        <v>45</v>
      </c>
      <c r="G2413" s="730" t="s">
        <v>45</v>
      </c>
      <c r="H2413" s="555" t="s">
        <v>4724</v>
      </c>
      <c r="I2413" s="555" t="s">
        <v>674</v>
      </c>
      <c r="J2413" s="751" t="s">
        <v>3654</v>
      </c>
      <c r="K2413" s="555" t="s">
        <v>1138</v>
      </c>
      <c r="L2413" s="555" t="s">
        <v>4746</v>
      </c>
      <c r="M2413" s="555" t="s">
        <v>45</v>
      </c>
    </row>
    <row r="2414" spans="3:13" ht="18.75">
      <c r="C2414" s="735"/>
      <c r="D2414" s="555" t="s">
        <v>4727</v>
      </c>
      <c r="E2414" s="757">
        <v>0.38194444444444442</v>
      </c>
      <c r="F2414" s="731" t="s">
        <v>45</v>
      </c>
      <c r="G2414" s="730" t="s">
        <v>45</v>
      </c>
      <c r="H2414" s="555" t="s">
        <v>4747</v>
      </c>
      <c r="I2414" s="555" t="s">
        <v>1352</v>
      </c>
      <c r="J2414" s="751" t="s">
        <v>3478</v>
      </c>
      <c r="K2414" s="555" t="s">
        <v>22</v>
      </c>
      <c r="L2414" s="555" t="s">
        <v>3055</v>
      </c>
      <c r="M2414" s="555" t="s">
        <v>3055</v>
      </c>
    </row>
    <row r="2415" spans="3:13" ht="18.75">
      <c r="C2415" s="735"/>
      <c r="D2415" s="555" t="s">
        <v>4727</v>
      </c>
      <c r="E2415" s="757">
        <v>0.23333333333333331</v>
      </c>
      <c r="F2415" s="731" t="s">
        <v>45</v>
      </c>
      <c r="G2415" s="730" t="s">
        <v>45</v>
      </c>
      <c r="H2415" s="555" t="s">
        <v>2919</v>
      </c>
      <c r="I2415" s="555" t="s">
        <v>1352</v>
      </c>
      <c r="J2415" s="751" t="s">
        <v>3750</v>
      </c>
      <c r="K2415" s="555" t="s">
        <v>22</v>
      </c>
      <c r="L2415" s="555" t="s">
        <v>3296</v>
      </c>
      <c r="M2415" s="555" t="s">
        <v>45</v>
      </c>
    </row>
    <row r="2416" spans="3:13" ht="18.75">
      <c r="C2416" s="735"/>
      <c r="D2416" s="555" t="s">
        <v>4727</v>
      </c>
      <c r="E2416" s="757">
        <v>0</v>
      </c>
      <c r="F2416" s="731" t="s">
        <v>45</v>
      </c>
      <c r="G2416" s="730" t="s">
        <v>45</v>
      </c>
      <c r="H2416" s="555" t="s">
        <v>2919</v>
      </c>
      <c r="I2416" s="555" t="s">
        <v>1352</v>
      </c>
      <c r="J2416" s="751" t="s">
        <v>3750</v>
      </c>
      <c r="K2416" s="555" t="s">
        <v>22</v>
      </c>
      <c r="L2416" s="555" t="s">
        <v>3198</v>
      </c>
      <c r="M2416" s="555" t="s">
        <v>45</v>
      </c>
    </row>
    <row r="2417" spans="3:13" ht="18.75">
      <c r="C2417" s="735"/>
      <c r="D2417" s="555" t="s">
        <v>4725</v>
      </c>
      <c r="E2417" s="757">
        <v>0.29375000000000001</v>
      </c>
      <c r="F2417" s="731">
        <v>44247</v>
      </c>
      <c r="G2417" s="730">
        <v>0.91666666666666663</v>
      </c>
      <c r="H2417" s="555" t="s">
        <v>4748</v>
      </c>
      <c r="I2417" s="555" t="s">
        <v>674</v>
      </c>
      <c r="J2417" s="751" t="s">
        <v>3750</v>
      </c>
      <c r="K2417" s="555" t="s">
        <v>22</v>
      </c>
      <c r="L2417" s="555" t="s">
        <v>45</v>
      </c>
      <c r="M2417" s="555" t="s">
        <v>4749</v>
      </c>
    </row>
    <row r="2418" spans="3:13" ht="18.75">
      <c r="C2418" s="735"/>
      <c r="D2418" s="555" t="s">
        <v>4725</v>
      </c>
      <c r="E2418" s="757">
        <v>0.7631944444444444</v>
      </c>
      <c r="F2418" s="731" t="s">
        <v>45</v>
      </c>
      <c r="G2418" s="730" t="s">
        <v>45</v>
      </c>
      <c r="H2418" s="555" t="s">
        <v>3405</v>
      </c>
      <c r="I2418" s="555" t="s">
        <v>63</v>
      </c>
      <c r="J2418" s="751" t="s">
        <v>3411</v>
      </c>
      <c r="K2418" s="555" t="s">
        <v>2483</v>
      </c>
      <c r="L2418" s="555" t="s">
        <v>45</v>
      </c>
      <c r="M2418" s="555" t="s">
        <v>45</v>
      </c>
    </row>
    <row r="2419" spans="3:13" ht="18.75">
      <c r="C2419" s="735"/>
      <c r="D2419" s="555" t="s">
        <v>4725</v>
      </c>
      <c r="E2419" s="757">
        <v>0.73958333333333337</v>
      </c>
      <c r="F2419" s="731">
        <v>44243</v>
      </c>
      <c r="G2419" s="730">
        <v>0.80208333333333337</v>
      </c>
      <c r="H2419" s="555" t="s">
        <v>3591</v>
      </c>
      <c r="I2419" s="555" t="s">
        <v>1352</v>
      </c>
      <c r="J2419" s="751" t="s">
        <v>3447</v>
      </c>
      <c r="K2419" s="555" t="s">
        <v>2764</v>
      </c>
      <c r="L2419" s="555" t="s">
        <v>3055</v>
      </c>
      <c r="M2419" s="555" t="s">
        <v>3055</v>
      </c>
    </row>
    <row r="2420" spans="3:13" ht="18.75">
      <c r="C2420" s="735"/>
      <c r="D2420" s="555" t="s">
        <v>4725</v>
      </c>
      <c r="E2420" s="757">
        <v>0.28333333333333333</v>
      </c>
      <c r="F2420" s="731" t="s">
        <v>45</v>
      </c>
      <c r="G2420" s="730" t="s">
        <v>45</v>
      </c>
      <c r="H2420" s="555" t="s">
        <v>2866</v>
      </c>
      <c r="I2420" s="555" t="s">
        <v>63</v>
      </c>
      <c r="J2420" s="751" t="s">
        <v>3750</v>
      </c>
      <c r="K2420" s="555" t="s">
        <v>22</v>
      </c>
      <c r="L2420" s="555" t="s">
        <v>4745</v>
      </c>
      <c r="M2420" s="555" t="s">
        <v>45</v>
      </c>
    </row>
    <row r="2421" spans="3:13" ht="18.75">
      <c r="C2421" s="735"/>
      <c r="D2421" s="555" t="s">
        <v>4725</v>
      </c>
      <c r="E2421" s="757">
        <v>0.77430555555555547</v>
      </c>
      <c r="F2421" s="731">
        <v>44244</v>
      </c>
      <c r="G2421" s="730">
        <v>4.1666666666666664E-2</v>
      </c>
      <c r="H2421" s="555" t="s">
        <v>2919</v>
      </c>
      <c r="I2421" s="555" t="s">
        <v>1352</v>
      </c>
      <c r="J2421" s="751" t="s">
        <v>3478</v>
      </c>
      <c r="K2421" s="555" t="s">
        <v>1138</v>
      </c>
      <c r="L2421" s="555" t="s">
        <v>45</v>
      </c>
      <c r="M2421" s="555" t="s">
        <v>45</v>
      </c>
    </row>
    <row r="2422" spans="3:13" ht="18.75">
      <c r="C2422" s="735"/>
      <c r="D2422" s="555" t="s">
        <v>4725</v>
      </c>
      <c r="E2422" s="757">
        <v>0.97777777777777775</v>
      </c>
      <c r="F2422" s="731" t="s">
        <v>45</v>
      </c>
      <c r="G2422" s="730" t="s">
        <v>45</v>
      </c>
      <c r="H2422" s="555" t="s">
        <v>2919</v>
      </c>
      <c r="I2422" s="555" t="s">
        <v>1352</v>
      </c>
      <c r="J2422" s="751" t="s">
        <v>3447</v>
      </c>
      <c r="K2422" s="555" t="s">
        <v>2764</v>
      </c>
      <c r="L2422" s="555" t="s">
        <v>3055</v>
      </c>
      <c r="M2422" s="555" t="s">
        <v>3055</v>
      </c>
    </row>
    <row r="2423" spans="3:13" ht="18.75">
      <c r="C2423" s="735"/>
      <c r="D2423" s="555" t="s">
        <v>4725</v>
      </c>
      <c r="E2423" s="757">
        <v>0.69444444444444453</v>
      </c>
      <c r="F2423" s="731">
        <v>44247</v>
      </c>
      <c r="G2423" s="730">
        <v>0</v>
      </c>
      <c r="H2423" s="555" t="s">
        <v>2864</v>
      </c>
      <c r="I2423" s="555" t="s">
        <v>63</v>
      </c>
      <c r="J2423" s="751" t="s">
        <v>3478</v>
      </c>
      <c r="K2423" s="555" t="s">
        <v>22</v>
      </c>
      <c r="L2423" s="555" t="s">
        <v>45</v>
      </c>
      <c r="M2423" s="555" t="s">
        <v>45</v>
      </c>
    </row>
    <row r="2424" spans="3:13" ht="18.75">
      <c r="C2424" s="735"/>
      <c r="D2424" s="555" t="s">
        <v>4725</v>
      </c>
      <c r="E2424" s="757">
        <v>0.73263888888888884</v>
      </c>
      <c r="F2424" s="731">
        <v>44244</v>
      </c>
      <c r="G2424" s="730">
        <v>0</v>
      </c>
      <c r="H2424" s="555" t="s">
        <v>3116</v>
      </c>
      <c r="I2424" s="555" t="s">
        <v>63</v>
      </c>
      <c r="J2424" s="751" t="s">
        <v>3478</v>
      </c>
      <c r="K2424" s="555" t="s">
        <v>22</v>
      </c>
      <c r="L2424" s="555" t="s">
        <v>45</v>
      </c>
      <c r="M2424" s="555" t="s">
        <v>45</v>
      </c>
    </row>
    <row r="2425" spans="3:13" ht="18.75">
      <c r="C2425" s="735"/>
      <c r="D2425" s="555" t="s">
        <v>4725</v>
      </c>
      <c r="E2425" s="757">
        <v>0.30555555555555552</v>
      </c>
      <c r="F2425" s="731">
        <v>44243</v>
      </c>
      <c r="G2425" s="730">
        <v>0.41805555555555557</v>
      </c>
      <c r="H2425" s="555" t="s">
        <v>4461</v>
      </c>
      <c r="I2425" s="555" t="s">
        <v>674</v>
      </c>
      <c r="J2425" s="751" t="s">
        <v>3750</v>
      </c>
      <c r="K2425" s="555" t="s">
        <v>22</v>
      </c>
      <c r="L2425" s="555" t="s">
        <v>4750</v>
      </c>
      <c r="M2425" s="555" t="s">
        <v>4751</v>
      </c>
    </row>
    <row r="2426" spans="3:13" ht="18.75">
      <c r="C2426" s="735"/>
      <c r="D2426" s="555" t="s">
        <v>4725</v>
      </c>
      <c r="E2426" s="757">
        <v>0.22916666666666666</v>
      </c>
      <c r="F2426" s="731">
        <v>44243</v>
      </c>
      <c r="G2426" s="730">
        <v>0.58333333333333337</v>
      </c>
      <c r="H2426" s="555" t="s">
        <v>4752</v>
      </c>
      <c r="I2426" s="555" t="s">
        <v>63</v>
      </c>
      <c r="J2426" s="751" t="s">
        <v>3750</v>
      </c>
      <c r="K2426" s="555" t="s">
        <v>22</v>
      </c>
      <c r="L2426" s="555" t="s">
        <v>4753</v>
      </c>
      <c r="M2426" s="555" t="s">
        <v>45</v>
      </c>
    </row>
    <row r="2427" spans="3:13" ht="18.75">
      <c r="C2427" s="735"/>
      <c r="D2427" s="555" t="s">
        <v>4725</v>
      </c>
      <c r="E2427" s="757">
        <v>0.82152777777777775</v>
      </c>
      <c r="F2427" s="731">
        <v>44243</v>
      </c>
      <c r="G2427" s="730">
        <v>0.90347222222222223</v>
      </c>
      <c r="H2427" s="555" t="s">
        <v>4754</v>
      </c>
      <c r="I2427" s="555" t="s">
        <v>63</v>
      </c>
      <c r="J2427" s="751" t="s">
        <v>3750</v>
      </c>
      <c r="K2427" s="555" t="s">
        <v>22</v>
      </c>
      <c r="L2427" s="555" t="s">
        <v>3066</v>
      </c>
      <c r="M2427" s="555" t="s">
        <v>45</v>
      </c>
    </row>
    <row r="2428" spans="3:13" ht="18.75">
      <c r="C2428" s="735"/>
      <c r="D2428" s="555" t="s">
        <v>4725</v>
      </c>
      <c r="E2428" s="757">
        <v>0.81944444444444453</v>
      </c>
      <c r="F2428" s="731">
        <v>44244</v>
      </c>
      <c r="G2428" s="730">
        <v>4.1666666666666664E-2</v>
      </c>
      <c r="H2428" s="555" t="s">
        <v>2919</v>
      </c>
      <c r="I2428" s="555" t="s">
        <v>1352</v>
      </c>
      <c r="J2428" s="751" t="s">
        <v>3750</v>
      </c>
      <c r="K2428" s="555" t="s">
        <v>22</v>
      </c>
      <c r="L2428" s="555" t="s">
        <v>4755</v>
      </c>
      <c r="M2428" s="555" t="s">
        <v>45</v>
      </c>
    </row>
    <row r="2429" spans="3:13" ht="18.75">
      <c r="C2429" s="735"/>
      <c r="D2429" s="555" t="s">
        <v>4725</v>
      </c>
      <c r="E2429" s="757">
        <v>0.3034722222222222</v>
      </c>
      <c r="F2429" s="731">
        <v>44243</v>
      </c>
      <c r="G2429" s="730">
        <v>0.42222222222222222</v>
      </c>
      <c r="H2429" s="555" t="s">
        <v>2919</v>
      </c>
      <c r="I2429" s="555" t="s">
        <v>1352</v>
      </c>
      <c r="J2429" s="751" t="s">
        <v>3478</v>
      </c>
      <c r="K2429" s="555" t="s">
        <v>22</v>
      </c>
      <c r="L2429" s="555" t="s">
        <v>4756</v>
      </c>
      <c r="M2429" s="555" t="s">
        <v>4757</v>
      </c>
    </row>
    <row r="2430" spans="3:13" ht="18.75">
      <c r="C2430" s="735"/>
      <c r="D2430" s="555" t="s">
        <v>4725</v>
      </c>
      <c r="E2430" s="757">
        <v>0.77430555555555547</v>
      </c>
      <c r="F2430" s="731">
        <v>44244</v>
      </c>
      <c r="G2430" s="730">
        <v>4.1666666666666664E-2</v>
      </c>
      <c r="H2430" s="555" t="s">
        <v>2866</v>
      </c>
      <c r="I2430" s="555" t="s">
        <v>63</v>
      </c>
      <c r="J2430" s="751" t="s">
        <v>3478</v>
      </c>
      <c r="K2430" s="555" t="s">
        <v>2764</v>
      </c>
      <c r="L2430" s="555" t="s">
        <v>45</v>
      </c>
      <c r="M2430" s="555" t="s">
        <v>45</v>
      </c>
    </row>
    <row r="2431" spans="3:13" ht="18.75">
      <c r="C2431" s="735"/>
      <c r="D2431" s="555" t="s">
        <v>4725</v>
      </c>
      <c r="E2431" s="757">
        <v>0.43055555555555558</v>
      </c>
      <c r="F2431" s="731">
        <v>44243</v>
      </c>
      <c r="G2431" s="730">
        <v>0.55555555555555558</v>
      </c>
      <c r="H2431" s="555" t="s">
        <v>2947</v>
      </c>
      <c r="I2431" s="555" t="s">
        <v>124</v>
      </c>
      <c r="J2431" s="751" t="s">
        <v>3447</v>
      </c>
      <c r="K2431" s="555" t="s">
        <v>2764</v>
      </c>
      <c r="L2431" s="555" t="s">
        <v>3055</v>
      </c>
      <c r="M2431" s="555" t="s">
        <v>3055</v>
      </c>
    </row>
    <row r="2432" spans="3:13" ht="18.75">
      <c r="C2432" s="735"/>
      <c r="D2432" s="555" t="s">
        <v>4725</v>
      </c>
      <c r="E2432" s="757">
        <v>0.39652777777777781</v>
      </c>
      <c r="F2432" s="731">
        <v>44243</v>
      </c>
      <c r="G2432" s="730">
        <v>0.43541666666666662</v>
      </c>
      <c r="H2432" s="555" t="s">
        <v>4443</v>
      </c>
      <c r="I2432" s="555" t="s">
        <v>674</v>
      </c>
      <c r="J2432" s="751" t="s">
        <v>3411</v>
      </c>
      <c r="K2432" s="555" t="s">
        <v>2483</v>
      </c>
      <c r="L2432" s="555" t="s">
        <v>4758</v>
      </c>
      <c r="M2432" s="555" t="s">
        <v>45</v>
      </c>
    </row>
    <row r="2433" spans="3:13" ht="18.75">
      <c r="C2433" s="735"/>
      <c r="D2433" s="555" t="s">
        <v>4725</v>
      </c>
      <c r="E2433" s="757">
        <v>0.73263888888888884</v>
      </c>
      <c r="F2433" s="731">
        <v>44244</v>
      </c>
      <c r="G2433" s="730">
        <v>0</v>
      </c>
      <c r="H2433" s="555" t="s">
        <v>4532</v>
      </c>
      <c r="I2433" s="555" t="s">
        <v>63</v>
      </c>
      <c r="J2433" s="751" t="s">
        <v>3478</v>
      </c>
      <c r="K2433" s="555" t="s">
        <v>22</v>
      </c>
      <c r="L2433" s="555" t="s">
        <v>45</v>
      </c>
      <c r="M2433" s="555" t="s">
        <v>45</v>
      </c>
    </row>
    <row r="2434" spans="3:13" ht="18.75">
      <c r="C2434" s="735"/>
      <c r="D2434" s="555" t="s">
        <v>4725</v>
      </c>
      <c r="E2434" s="757">
        <v>0.26666666666666666</v>
      </c>
      <c r="F2434" s="731">
        <v>44243</v>
      </c>
      <c r="G2434" s="730">
        <v>0.44513888888888892</v>
      </c>
      <c r="H2434" s="555" t="s">
        <v>2866</v>
      </c>
      <c r="I2434" s="555" t="s">
        <v>63</v>
      </c>
      <c r="J2434" s="751" t="s">
        <v>3750</v>
      </c>
      <c r="K2434" s="555" t="s">
        <v>2764</v>
      </c>
      <c r="L2434" s="555" t="s">
        <v>3093</v>
      </c>
      <c r="M2434" s="555" t="s">
        <v>4759</v>
      </c>
    </row>
    <row r="2435" spans="3:13" ht="18.75">
      <c r="C2435" s="735"/>
      <c r="D2435" s="555" t="s">
        <v>4725</v>
      </c>
      <c r="E2435" s="757">
        <v>4.1666666666666664E-2</v>
      </c>
      <c r="F2435" s="731">
        <v>44243</v>
      </c>
      <c r="G2435" s="730">
        <v>0.89444444444444438</v>
      </c>
      <c r="H2435" s="555" t="s">
        <v>3354</v>
      </c>
      <c r="I2435" s="555" t="s">
        <v>63</v>
      </c>
      <c r="J2435" s="751" t="s">
        <v>3451</v>
      </c>
      <c r="K2435" s="555" t="s">
        <v>22</v>
      </c>
      <c r="L2435" s="555" t="s">
        <v>45</v>
      </c>
      <c r="M2435" s="555" t="s">
        <v>4760</v>
      </c>
    </row>
    <row r="2436" spans="3:13" ht="18.75">
      <c r="C2436" s="735"/>
      <c r="D2436" s="555" t="s">
        <v>4725</v>
      </c>
      <c r="E2436" s="757">
        <v>0.25694444444444448</v>
      </c>
      <c r="F2436" s="731" t="s">
        <v>45</v>
      </c>
      <c r="G2436" s="730" t="s">
        <v>45</v>
      </c>
      <c r="H2436" s="555" t="s">
        <v>2864</v>
      </c>
      <c r="I2436" s="555" t="s">
        <v>63</v>
      </c>
      <c r="J2436" s="751" t="s">
        <v>3750</v>
      </c>
      <c r="K2436" s="555" t="s">
        <v>2990</v>
      </c>
      <c r="L2436" s="555" t="s">
        <v>4761</v>
      </c>
      <c r="M2436" s="555" t="s">
        <v>45</v>
      </c>
    </row>
    <row r="2437" spans="3:13" ht="18.75">
      <c r="C2437" s="735"/>
      <c r="D2437" s="555" t="s">
        <v>4725</v>
      </c>
      <c r="E2437" s="757">
        <v>0.29166666666666669</v>
      </c>
      <c r="F2437" s="731" t="s">
        <v>45</v>
      </c>
      <c r="G2437" s="730" t="s">
        <v>45</v>
      </c>
      <c r="H2437" s="555" t="s">
        <v>4762</v>
      </c>
      <c r="I2437" s="555" t="s">
        <v>3143</v>
      </c>
      <c r="J2437" s="751" t="s">
        <v>3928</v>
      </c>
      <c r="K2437" s="555" t="s">
        <v>2952</v>
      </c>
      <c r="L2437" s="555" t="s">
        <v>45</v>
      </c>
      <c r="M2437" s="555" t="s">
        <v>3055</v>
      </c>
    </row>
    <row r="2438" spans="3:13" ht="18.75">
      <c r="C2438" s="735"/>
      <c r="D2438" s="555" t="s">
        <v>4725</v>
      </c>
      <c r="E2438" s="757">
        <v>0.30694444444444441</v>
      </c>
      <c r="F2438" s="731">
        <v>44243</v>
      </c>
      <c r="G2438" s="730">
        <v>0.33333333333333331</v>
      </c>
      <c r="H2438" s="555" t="s">
        <v>4763</v>
      </c>
      <c r="I2438" s="555" t="s">
        <v>63</v>
      </c>
      <c r="J2438" s="751" t="s">
        <v>3750</v>
      </c>
      <c r="K2438" s="555" t="s">
        <v>22</v>
      </c>
      <c r="L2438" s="555" t="s">
        <v>4764</v>
      </c>
      <c r="M2438" s="555" t="s">
        <v>45</v>
      </c>
    </row>
    <row r="2439" spans="3:13" ht="18.75">
      <c r="C2439" s="735"/>
      <c r="D2439" s="555" t="s">
        <v>4725</v>
      </c>
      <c r="E2439" s="757">
        <v>0.28333333333333333</v>
      </c>
      <c r="F2439" s="731" t="s">
        <v>45</v>
      </c>
      <c r="G2439" s="730" t="s">
        <v>45</v>
      </c>
      <c r="H2439" s="555" t="s">
        <v>3767</v>
      </c>
      <c r="I2439" s="555" t="s">
        <v>63</v>
      </c>
      <c r="J2439" s="751" t="s">
        <v>3750</v>
      </c>
      <c r="K2439" s="555" t="s">
        <v>22</v>
      </c>
      <c r="L2439" s="555" t="s">
        <v>3536</v>
      </c>
      <c r="M2439" s="555" t="s">
        <v>45</v>
      </c>
    </row>
    <row r="2440" spans="3:13" ht="18.75">
      <c r="C2440" s="735"/>
      <c r="D2440" s="555" t="s">
        <v>4725</v>
      </c>
      <c r="E2440" s="757">
        <v>0.18472222222222223</v>
      </c>
      <c r="F2440" s="731" t="s">
        <v>45</v>
      </c>
      <c r="G2440" s="730" t="s">
        <v>45</v>
      </c>
      <c r="H2440" s="555" t="s">
        <v>2919</v>
      </c>
      <c r="I2440" s="555" t="s">
        <v>1352</v>
      </c>
      <c r="J2440" s="751" t="s">
        <v>3750</v>
      </c>
      <c r="K2440" s="555" t="s">
        <v>22</v>
      </c>
      <c r="L2440" s="555" t="s">
        <v>3296</v>
      </c>
      <c r="M2440" s="555" t="s">
        <v>45</v>
      </c>
    </row>
    <row r="2441" spans="3:13" ht="18.75">
      <c r="C2441" s="735"/>
      <c r="D2441" s="555" t="s">
        <v>4731</v>
      </c>
      <c r="E2441" s="757">
        <v>0.75</v>
      </c>
      <c r="F2441" s="731">
        <v>44244</v>
      </c>
      <c r="G2441" s="730">
        <v>0.95833333333333337</v>
      </c>
      <c r="H2441" s="555" t="s">
        <v>2866</v>
      </c>
      <c r="I2441" s="555" t="s">
        <v>63</v>
      </c>
      <c r="J2441" s="751" t="s">
        <v>3478</v>
      </c>
      <c r="K2441" s="555" t="s">
        <v>2764</v>
      </c>
      <c r="L2441" s="555" t="s">
        <v>45</v>
      </c>
      <c r="M2441" s="555" t="s">
        <v>45</v>
      </c>
    </row>
    <row r="2442" spans="3:13" ht="18.75">
      <c r="C2442" s="735"/>
      <c r="D2442" s="555" t="s">
        <v>4731</v>
      </c>
      <c r="E2442" s="757">
        <v>0.75</v>
      </c>
      <c r="F2442" s="731">
        <v>44244</v>
      </c>
      <c r="G2442" s="730">
        <v>0.95833333333333337</v>
      </c>
      <c r="H2442" s="555" t="s">
        <v>2919</v>
      </c>
      <c r="I2442" s="555" t="s">
        <v>1352</v>
      </c>
      <c r="J2442" s="751" t="s">
        <v>3478</v>
      </c>
      <c r="K2442" s="555" t="s">
        <v>22</v>
      </c>
      <c r="L2442" s="555" t="s">
        <v>45</v>
      </c>
      <c r="M2442" s="555" t="s">
        <v>45</v>
      </c>
    </row>
    <row r="2443" spans="3:13" ht="18.75">
      <c r="C2443" s="735"/>
      <c r="D2443" s="555" t="s">
        <v>4731</v>
      </c>
      <c r="E2443" s="757">
        <v>0.375</v>
      </c>
      <c r="F2443" s="731">
        <v>44246</v>
      </c>
      <c r="G2443" s="730">
        <v>0.375</v>
      </c>
      <c r="H2443" s="555" t="s">
        <v>4703</v>
      </c>
      <c r="I2443" s="555" t="s">
        <v>674</v>
      </c>
      <c r="J2443" s="751" t="s">
        <v>3654</v>
      </c>
      <c r="K2443" s="555" t="s">
        <v>1138</v>
      </c>
      <c r="L2443" s="555" t="s">
        <v>45</v>
      </c>
      <c r="M2443" s="555" t="s">
        <v>45</v>
      </c>
    </row>
    <row r="2444" spans="3:13" ht="18.75">
      <c r="C2444" s="735"/>
      <c r="D2444" s="555" t="s">
        <v>4731</v>
      </c>
      <c r="E2444" s="757">
        <v>0.70833333333333337</v>
      </c>
      <c r="F2444" s="731">
        <v>44244</v>
      </c>
      <c r="G2444" s="730">
        <v>0.91666666666666663</v>
      </c>
      <c r="H2444" s="555" t="s">
        <v>3116</v>
      </c>
      <c r="I2444" s="555" t="s">
        <v>63</v>
      </c>
      <c r="J2444" s="751" t="s">
        <v>3478</v>
      </c>
      <c r="K2444" s="555" t="s">
        <v>22</v>
      </c>
      <c r="L2444" s="555" t="s">
        <v>45</v>
      </c>
      <c r="M2444" s="555" t="s">
        <v>45</v>
      </c>
    </row>
    <row r="2445" spans="3:13" ht="18.75">
      <c r="C2445" s="735"/>
      <c r="D2445" s="555" t="s">
        <v>4731</v>
      </c>
      <c r="E2445" s="757">
        <v>0.4375</v>
      </c>
      <c r="F2445" s="731">
        <v>44244</v>
      </c>
      <c r="G2445" s="730">
        <v>0.75277777777777777</v>
      </c>
      <c r="H2445" s="555" t="s">
        <v>2928</v>
      </c>
      <c r="I2445" s="555" t="s">
        <v>63</v>
      </c>
      <c r="J2445" s="751" t="s">
        <v>3411</v>
      </c>
      <c r="K2445" s="555" t="s">
        <v>2483</v>
      </c>
      <c r="L2445" s="555" t="s">
        <v>3055</v>
      </c>
      <c r="M2445" s="555" t="s">
        <v>3055</v>
      </c>
    </row>
    <row r="2446" spans="3:13" ht="18.75">
      <c r="C2446" s="735"/>
      <c r="D2446" s="555" t="s">
        <v>4731</v>
      </c>
      <c r="E2446" s="757">
        <v>0.70833333333333337</v>
      </c>
      <c r="F2446" s="731">
        <v>44244</v>
      </c>
      <c r="G2446" s="730">
        <v>0.91666666666666663</v>
      </c>
      <c r="H2446" s="555" t="s">
        <v>4532</v>
      </c>
      <c r="I2446" s="555" t="s">
        <v>63</v>
      </c>
      <c r="J2446" s="751" t="s">
        <v>3478</v>
      </c>
      <c r="K2446" s="555" t="s">
        <v>22</v>
      </c>
      <c r="L2446" s="555" t="s">
        <v>4053</v>
      </c>
      <c r="M2446" s="555" t="s">
        <v>3452</v>
      </c>
    </row>
    <row r="2447" spans="3:13" ht="18.75">
      <c r="C2447" s="735"/>
      <c r="D2447" s="555" t="s">
        <v>4731</v>
      </c>
      <c r="E2447" s="757">
        <v>0.27638888888888885</v>
      </c>
      <c r="F2447" s="731">
        <v>44244</v>
      </c>
      <c r="G2447" s="730">
        <v>0.35902777777777778</v>
      </c>
      <c r="H2447" s="555" t="s">
        <v>3591</v>
      </c>
      <c r="I2447" s="555" t="s">
        <v>1352</v>
      </c>
      <c r="J2447" s="751" t="s">
        <v>3387</v>
      </c>
      <c r="K2447" s="555" t="s">
        <v>2764</v>
      </c>
      <c r="L2447" s="555" t="s">
        <v>3055</v>
      </c>
      <c r="M2447" s="555" t="s">
        <v>3055</v>
      </c>
    </row>
    <row r="2448" spans="3:13" ht="18.75">
      <c r="C2448" s="735"/>
      <c r="D2448" s="555" t="s">
        <v>4712</v>
      </c>
      <c r="E2448" s="757">
        <v>0.28333333333333333</v>
      </c>
      <c r="F2448" s="731" t="s">
        <v>45</v>
      </c>
      <c r="G2448" s="730" t="s">
        <v>45</v>
      </c>
      <c r="H2448" s="555" t="s">
        <v>3767</v>
      </c>
      <c r="I2448" s="555" t="s">
        <v>63</v>
      </c>
      <c r="J2448" s="751" t="s">
        <v>3750</v>
      </c>
      <c r="K2448" s="555" t="s">
        <v>22</v>
      </c>
      <c r="L2448" s="555" t="s">
        <v>3536</v>
      </c>
      <c r="M2448" s="555" t="s">
        <v>45</v>
      </c>
    </row>
    <row r="2449" spans="3:13" ht="18.75">
      <c r="C2449" s="735"/>
      <c r="D2449" s="555" t="s">
        <v>4712</v>
      </c>
      <c r="E2449" s="757">
        <v>0.875</v>
      </c>
      <c r="F2449" s="731">
        <v>44247</v>
      </c>
      <c r="G2449" s="730">
        <v>0.54166666666666663</v>
      </c>
      <c r="H2449" s="555" t="s">
        <v>2919</v>
      </c>
      <c r="I2449" s="555" t="s">
        <v>1352</v>
      </c>
      <c r="J2449" s="751" t="s">
        <v>3696</v>
      </c>
      <c r="K2449" s="555" t="s">
        <v>2952</v>
      </c>
      <c r="L2449" s="555" t="s">
        <v>45</v>
      </c>
      <c r="M2449" s="555" t="s">
        <v>3055</v>
      </c>
    </row>
    <row r="2450" spans="3:13" ht="18.75">
      <c r="C2450" s="735"/>
      <c r="D2450" s="555" t="s">
        <v>4712</v>
      </c>
      <c r="E2450" s="757">
        <v>0.50069444444444444</v>
      </c>
      <c r="F2450" s="731">
        <v>44246</v>
      </c>
      <c r="G2450" s="730">
        <v>0.52847222222222223</v>
      </c>
      <c r="H2450" s="555" t="s">
        <v>3719</v>
      </c>
      <c r="I2450" s="555" t="s">
        <v>61</v>
      </c>
      <c r="J2450" s="751" t="s">
        <v>3387</v>
      </c>
      <c r="K2450" s="555" t="s">
        <v>2764</v>
      </c>
      <c r="L2450" s="555" t="s">
        <v>3055</v>
      </c>
      <c r="M2450" s="555" t="s">
        <v>3055</v>
      </c>
    </row>
    <row r="2451" spans="3:13" ht="18.75">
      <c r="C2451" s="735"/>
      <c r="D2451" s="555" t="s">
        <v>4765</v>
      </c>
      <c r="E2451" s="757">
        <v>0.25138888888888888</v>
      </c>
      <c r="F2451" s="731">
        <v>44254</v>
      </c>
      <c r="G2451" s="730">
        <v>0.41041666666666665</v>
      </c>
      <c r="H2451" s="555" t="s">
        <v>4766</v>
      </c>
      <c r="I2451" s="555" t="s">
        <v>124</v>
      </c>
      <c r="J2451" s="751" t="s">
        <v>3447</v>
      </c>
      <c r="K2451" s="555" t="s">
        <v>2764</v>
      </c>
      <c r="L2451" s="555" t="s">
        <v>45</v>
      </c>
      <c r="M2451" s="555" t="s">
        <v>3055</v>
      </c>
    </row>
    <row r="2452" spans="3:13" ht="18.75">
      <c r="C2452" s="735"/>
      <c r="D2452" s="555" t="s">
        <v>4767</v>
      </c>
      <c r="E2452" s="757">
        <v>0.52916666666666667</v>
      </c>
      <c r="F2452" s="731">
        <v>44255</v>
      </c>
      <c r="G2452" s="730">
        <v>0.55694444444444446</v>
      </c>
      <c r="H2452" s="555" t="s">
        <v>2919</v>
      </c>
      <c r="I2452" s="555" t="s">
        <v>1352</v>
      </c>
      <c r="J2452" s="751" t="s">
        <v>3387</v>
      </c>
      <c r="K2452" s="555" t="s">
        <v>2764</v>
      </c>
      <c r="L2452" s="555" t="s">
        <v>3055</v>
      </c>
      <c r="M2452" s="555" t="s">
        <v>3055</v>
      </c>
    </row>
    <row r="2453" spans="3:13" ht="18.75">
      <c r="C2453" s="735"/>
      <c r="D2453" s="555" t="s">
        <v>4768</v>
      </c>
      <c r="E2453" s="757">
        <v>0.42083333333333334</v>
      </c>
      <c r="F2453" s="731">
        <v>44264</v>
      </c>
      <c r="G2453" s="730">
        <v>0.5</v>
      </c>
      <c r="H2453" s="555" t="s">
        <v>4770</v>
      </c>
      <c r="I2453" s="555" t="s">
        <v>61</v>
      </c>
      <c r="J2453" s="751" t="s">
        <v>3928</v>
      </c>
      <c r="K2453" s="555" t="s">
        <v>2952</v>
      </c>
      <c r="L2453" s="555" t="s">
        <v>3055</v>
      </c>
      <c r="M2453" s="555" t="s">
        <v>3055</v>
      </c>
    </row>
    <row r="2454" spans="3:13" ht="18.75">
      <c r="C2454" s="735"/>
      <c r="D2454" s="555" t="s">
        <v>4768</v>
      </c>
      <c r="E2454" s="757">
        <v>0.94791666666666663</v>
      </c>
      <c r="F2454" s="731">
        <v>44257</v>
      </c>
      <c r="G2454" s="730">
        <v>0.77430555555555547</v>
      </c>
      <c r="H2454" s="555" t="s">
        <v>3139</v>
      </c>
      <c r="I2454" s="555" t="s">
        <v>61</v>
      </c>
      <c r="J2454" s="751" t="s">
        <v>3451</v>
      </c>
      <c r="K2454" s="555" t="s">
        <v>22</v>
      </c>
      <c r="L2454" s="555" t="s">
        <v>45</v>
      </c>
      <c r="M2454" s="555" t="s">
        <v>4772</v>
      </c>
    </row>
    <row r="2455" spans="3:13" ht="18.75">
      <c r="C2455" s="735"/>
      <c r="D2455" s="624" t="s">
        <v>4768</v>
      </c>
      <c r="E2455" s="759">
        <v>0.54583333333333328</v>
      </c>
      <c r="F2455" s="731">
        <v>44256</v>
      </c>
      <c r="G2455" s="730">
        <v>0.54652777777777783</v>
      </c>
      <c r="H2455" s="624" t="s">
        <v>3639</v>
      </c>
      <c r="I2455" s="624" t="s">
        <v>1352</v>
      </c>
      <c r="J2455" s="624" t="s">
        <v>3356</v>
      </c>
      <c r="K2455" s="624" t="s">
        <v>100</v>
      </c>
      <c r="L2455" s="624" t="s">
        <v>3055</v>
      </c>
      <c r="M2455" s="624" t="s">
        <v>3055</v>
      </c>
    </row>
    <row r="2456" spans="3:13" ht="18.75">
      <c r="C2456" s="735"/>
      <c r="D2456" s="555" t="s">
        <v>4771</v>
      </c>
      <c r="E2456" s="757">
        <v>0.54375000000000007</v>
      </c>
      <c r="F2456" s="731">
        <v>44257</v>
      </c>
      <c r="G2456" s="730">
        <v>0.56805555555555554</v>
      </c>
      <c r="H2456" s="555" t="s">
        <v>3354</v>
      </c>
      <c r="I2456" s="555" t="s">
        <v>63</v>
      </c>
      <c r="J2456" s="751" t="s">
        <v>3387</v>
      </c>
      <c r="K2456" s="555" t="s">
        <v>2764</v>
      </c>
      <c r="L2456" s="555" t="s">
        <v>3055</v>
      </c>
      <c r="M2456" s="555" t="s">
        <v>3055</v>
      </c>
    </row>
    <row r="2457" spans="3:13" ht="18.75">
      <c r="C2457" s="735"/>
      <c r="D2457" s="555" t="s">
        <v>4773</v>
      </c>
      <c r="E2457" s="757">
        <v>0.60416666666666663</v>
      </c>
      <c r="F2457" s="731">
        <v>44260</v>
      </c>
      <c r="G2457" s="730">
        <v>0.625</v>
      </c>
      <c r="H2457" s="555" t="s">
        <v>4774</v>
      </c>
      <c r="I2457" s="555" t="s">
        <v>3143</v>
      </c>
      <c r="J2457" s="751" t="s">
        <v>3387</v>
      </c>
      <c r="K2457" s="751" t="s">
        <v>2764</v>
      </c>
      <c r="L2457" s="555" t="s">
        <v>3055</v>
      </c>
      <c r="M2457" s="555" t="s">
        <v>3055</v>
      </c>
    </row>
    <row r="2458" spans="3:13" ht="18.75">
      <c r="C2458" s="735"/>
      <c r="D2458" s="555" t="s">
        <v>4775</v>
      </c>
      <c r="E2458" s="757">
        <v>0.13958333333333334</v>
      </c>
      <c r="F2458" s="731">
        <v>44261</v>
      </c>
      <c r="G2458" s="730">
        <v>0.17152777777777775</v>
      </c>
      <c r="H2458" s="555" t="s">
        <v>4776</v>
      </c>
      <c r="I2458" s="555" t="s">
        <v>124</v>
      </c>
      <c r="J2458" s="751" t="s">
        <v>4071</v>
      </c>
      <c r="K2458" s="555" t="s">
        <v>22</v>
      </c>
      <c r="L2458" s="555" t="s">
        <v>4075</v>
      </c>
      <c r="M2458" s="555" t="s">
        <v>4777</v>
      </c>
    </row>
    <row r="2459" spans="3:13" ht="18.75">
      <c r="C2459" s="735"/>
      <c r="D2459" s="555" t="s">
        <v>4778</v>
      </c>
      <c r="E2459" s="757">
        <v>0.19166666666666665</v>
      </c>
      <c r="F2459" s="731">
        <v>44263</v>
      </c>
      <c r="G2459" s="730">
        <v>0.19236111111111112</v>
      </c>
      <c r="H2459" s="555" t="s">
        <v>4779</v>
      </c>
      <c r="I2459" s="555" t="s">
        <v>124</v>
      </c>
      <c r="J2459" s="751" t="s">
        <v>3356</v>
      </c>
      <c r="K2459" s="555" t="s">
        <v>100</v>
      </c>
      <c r="L2459" s="555" t="s">
        <v>3055</v>
      </c>
      <c r="M2459" s="555" t="s">
        <v>3055</v>
      </c>
    </row>
    <row r="2460" spans="3:13" ht="18.75">
      <c r="C2460" s="735"/>
      <c r="D2460" s="555" t="s">
        <v>4778</v>
      </c>
      <c r="E2460" s="757">
        <v>0.37083333333333335</v>
      </c>
      <c r="F2460" s="731">
        <v>44263</v>
      </c>
      <c r="G2460" s="730">
        <v>0.37152777777777773</v>
      </c>
      <c r="H2460" s="555" t="s">
        <v>2947</v>
      </c>
      <c r="I2460" s="555" t="s">
        <v>124</v>
      </c>
      <c r="J2460" s="751" t="s">
        <v>3402</v>
      </c>
      <c r="K2460" s="555" t="s">
        <v>2118</v>
      </c>
      <c r="L2460" s="555" t="s">
        <v>3055</v>
      </c>
      <c r="M2460" s="555" t="s">
        <v>3055</v>
      </c>
    </row>
    <row r="2461" spans="3:13" ht="18.75">
      <c r="C2461" s="735"/>
      <c r="D2461" s="555" t="s">
        <v>4780</v>
      </c>
      <c r="E2461" s="757">
        <v>0.34027777777777773</v>
      </c>
      <c r="F2461" s="731">
        <v>44266</v>
      </c>
      <c r="G2461" s="730">
        <v>0.54166666666666663</v>
      </c>
      <c r="H2461" s="555" t="s">
        <v>2853</v>
      </c>
      <c r="I2461" s="555" t="s">
        <v>124</v>
      </c>
      <c r="J2461" s="751" t="s">
        <v>3356</v>
      </c>
      <c r="K2461" s="555" t="s">
        <v>100</v>
      </c>
      <c r="L2461" s="555" t="s">
        <v>3055</v>
      </c>
      <c r="M2461" s="555" t="s">
        <v>3055</v>
      </c>
    </row>
    <row r="2462" spans="3:13" ht="18.75">
      <c r="C2462" s="735"/>
      <c r="D2462" s="555" t="s">
        <v>4781</v>
      </c>
      <c r="E2462" s="757">
        <v>0.26874999999999999</v>
      </c>
      <c r="F2462" s="731">
        <v>44272</v>
      </c>
      <c r="G2462" s="730">
        <v>0.3520833333333333</v>
      </c>
      <c r="H2462" s="555" t="s">
        <v>3245</v>
      </c>
      <c r="I2462" s="555" t="s">
        <v>3143</v>
      </c>
      <c r="J2462" s="751" t="s">
        <v>3411</v>
      </c>
      <c r="K2462" s="555" t="s">
        <v>2483</v>
      </c>
      <c r="L2462" s="555" t="s">
        <v>4782</v>
      </c>
      <c r="M2462" s="555" t="s">
        <v>4783</v>
      </c>
    </row>
    <row r="2463" spans="3:13" ht="18.75">
      <c r="C2463" s="735"/>
      <c r="D2463" s="555" t="s">
        <v>4781</v>
      </c>
      <c r="E2463" s="757">
        <v>0.26041666666666669</v>
      </c>
      <c r="F2463" s="731">
        <v>44273</v>
      </c>
      <c r="G2463" s="730">
        <v>0.5</v>
      </c>
      <c r="H2463" s="555" t="s">
        <v>4785</v>
      </c>
      <c r="I2463" s="555" t="s">
        <v>1352</v>
      </c>
      <c r="J2463" s="751" t="s">
        <v>3451</v>
      </c>
      <c r="K2463" s="555" t="s">
        <v>22</v>
      </c>
      <c r="L2463" s="555" t="s">
        <v>45</v>
      </c>
      <c r="M2463" s="555" t="s">
        <v>4786</v>
      </c>
    </row>
    <row r="2464" spans="3:13" ht="18.75">
      <c r="C2464" s="735"/>
      <c r="D2464" s="555" t="s">
        <v>4784</v>
      </c>
      <c r="E2464" s="757">
        <v>0.88055555555555554</v>
      </c>
      <c r="F2464" s="731">
        <v>44274</v>
      </c>
      <c r="G2464" s="730">
        <v>0.93819444444444444</v>
      </c>
      <c r="H2464" s="555" t="s">
        <v>4788</v>
      </c>
      <c r="I2464" s="555" t="s">
        <v>124</v>
      </c>
      <c r="J2464" s="751" t="s">
        <v>3356</v>
      </c>
      <c r="K2464" s="555" t="s">
        <v>100</v>
      </c>
      <c r="L2464" s="555" t="s">
        <v>3497</v>
      </c>
      <c r="M2464" s="555" t="s">
        <v>4789</v>
      </c>
    </row>
    <row r="2465" spans="3:13" ht="18.75">
      <c r="C2465" s="735"/>
      <c r="D2465" s="555" t="s">
        <v>4787</v>
      </c>
      <c r="E2465" s="757">
        <v>0.4375</v>
      </c>
      <c r="F2465" s="731">
        <v>44274</v>
      </c>
      <c r="G2465" s="730">
        <v>0.5</v>
      </c>
      <c r="H2465" s="555" t="s">
        <v>4790</v>
      </c>
      <c r="I2465" s="555" t="s">
        <v>63</v>
      </c>
      <c r="J2465" s="751" t="s">
        <v>3356</v>
      </c>
      <c r="K2465" s="555" t="s">
        <v>100</v>
      </c>
      <c r="L2465" s="555" t="s">
        <v>45</v>
      </c>
      <c r="M2465" s="555" t="s">
        <v>4791</v>
      </c>
    </row>
    <row r="2466" spans="3:13" ht="18.75">
      <c r="C2466" s="735"/>
      <c r="D2466" s="555" t="s">
        <v>4787</v>
      </c>
      <c r="E2466" s="757">
        <v>0.7993055555555556</v>
      </c>
      <c r="F2466" s="731">
        <v>44274</v>
      </c>
      <c r="G2466" s="730">
        <v>0.83263888888888893</v>
      </c>
      <c r="H2466" s="555" t="s">
        <v>2833</v>
      </c>
      <c r="I2466" s="555" t="s">
        <v>3143</v>
      </c>
      <c r="J2466" s="751" t="s">
        <v>3387</v>
      </c>
      <c r="K2466" s="555" t="s">
        <v>2764</v>
      </c>
      <c r="L2466" s="555" t="s">
        <v>45</v>
      </c>
      <c r="M2466" s="555" t="s">
        <v>45</v>
      </c>
    </row>
    <row r="2467" spans="3:13" ht="18.75">
      <c r="C2467" s="735"/>
      <c r="D2467" s="555" t="s">
        <v>4787</v>
      </c>
      <c r="E2467" s="757">
        <v>0.3743055555555555</v>
      </c>
      <c r="F2467" s="731">
        <v>44274</v>
      </c>
      <c r="G2467" s="730">
        <v>0.41944444444444445</v>
      </c>
      <c r="H2467" s="555" t="s">
        <v>2959</v>
      </c>
      <c r="I2467" s="555" t="s">
        <v>61</v>
      </c>
      <c r="J2467" s="751" t="s">
        <v>3387</v>
      </c>
      <c r="K2467" s="555" t="s">
        <v>2764</v>
      </c>
      <c r="L2467" s="555" t="s">
        <v>3055</v>
      </c>
      <c r="M2467" s="555" t="s">
        <v>3055</v>
      </c>
    </row>
    <row r="2468" spans="3:13" ht="18.75">
      <c r="C2468" s="735"/>
      <c r="D2468" s="555" t="s">
        <v>4792</v>
      </c>
      <c r="E2468" s="757">
        <v>0.1673611111111111</v>
      </c>
      <c r="F2468" s="731">
        <v>44277</v>
      </c>
      <c r="G2468" s="730">
        <v>0.40069444444444446</v>
      </c>
      <c r="H2468" s="555" t="s">
        <v>4269</v>
      </c>
      <c r="I2468" s="555" t="s">
        <v>674</v>
      </c>
      <c r="J2468" s="751" t="s">
        <v>3402</v>
      </c>
      <c r="K2468" s="555" t="s">
        <v>2118</v>
      </c>
      <c r="L2468" s="555" t="s">
        <v>3055</v>
      </c>
      <c r="M2468" s="555" t="s">
        <v>3055</v>
      </c>
    </row>
    <row r="2469" spans="3:13" ht="18.75">
      <c r="C2469" s="735"/>
      <c r="D2469" s="555" t="s">
        <v>4794</v>
      </c>
      <c r="E2469" s="757">
        <v>0.46249999999999997</v>
      </c>
      <c r="F2469" s="731" t="s">
        <v>45</v>
      </c>
      <c r="G2469" s="730" t="s">
        <v>45</v>
      </c>
      <c r="H2469" s="555" t="s">
        <v>4795</v>
      </c>
      <c r="I2469" s="555" t="s">
        <v>61</v>
      </c>
      <c r="J2469" s="751" t="s">
        <v>3451</v>
      </c>
      <c r="K2469" s="555" t="s">
        <v>22</v>
      </c>
      <c r="L2469" s="555" t="s">
        <v>45</v>
      </c>
      <c r="M2469" s="555" t="s">
        <v>3340</v>
      </c>
    </row>
    <row r="2470" spans="3:13" ht="18.75">
      <c r="C2470" s="735"/>
      <c r="D2470" s="555" t="s">
        <v>4794</v>
      </c>
      <c r="E2470" s="757">
        <v>0.4375</v>
      </c>
      <c r="F2470" s="731" t="s">
        <v>45</v>
      </c>
      <c r="G2470" s="730" t="s">
        <v>45</v>
      </c>
      <c r="H2470" s="555" t="s">
        <v>4796</v>
      </c>
      <c r="I2470" s="555" t="s">
        <v>124</v>
      </c>
      <c r="J2470" s="751" t="s">
        <v>3356</v>
      </c>
      <c r="K2470" s="555" t="s">
        <v>100</v>
      </c>
      <c r="L2470" s="555" t="s">
        <v>45</v>
      </c>
      <c r="M2470" s="555" t="s">
        <v>3055</v>
      </c>
    </row>
    <row r="2471" spans="3:13" ht="18.75">
      <c r="C2471" s="735"/>
      <c r="D2471" s="555" t="s">
        <v>4797</v>
      </c>
      <c r="E2471" s="757">
        <v>0.6791666666666667</v>
      </c>
      <c r="F2471" s="731">
        <v>44285</v>
      </c>
      <c r="G2471" s="730">
        <v>0.84791666666666676</v>
      </c>
      <c r="H2471" s="555" t="s">
        <v>4798</v>
      </c>
      <c r="I2471" s="555" t="s">
        <v>1352</v>
      </c>
      <c r="J2471" s="751" t="s">
        <v>3411</v>
      </c>
      <c r="K2471" s="555" t="s">
        <v>2483</v>
      </c>
      <c r="L2471" s="555" t="s">
        <v>3055</v>
      </c>
      <c r="M2471" s="555" t="s">
        <v>3055</v>
      </c>
    </row>
    <row r="2472" spans="3:13" ht="18.75">
      <c r="C2472" s="735"/>
      <c r="D2472" s="555" t="s">
        <v>4799</v>
      </c>
      <c r="E2472" s="757">
        <v>0.36736111111111108</v>
      </c>
      <c r="F2472" s="731">
        <v>44292</v>
      </c>
      <c r="G2472" s="730">
        <v>0.36805555555555558</v>
      </c>
      <c r="H2472" s="555" t="s">
        <v>3182</v>
      </c>
      <c r="I2472" s="555" t="s">
        <v>63</v>
      </c>
      <c r="J2472" s="751" t="s">
        <v>3463</v>
      </c>
      <c r="K2472" s="555" t="s">
        <v>100</v>
      </c>
      <c r="L2472" s="555" t="s">
        <v>3055</v>
      </c>
      <c r="M2472" s="555" t="s">
        <v>3055</v>
      </c>
    </row>
    <row r="2473" spans="3:13" ht="18.75">
      <c r="C2473" s="735"/>
      <c r="D2473" s="555" t="s">
        <v>4800</v>
      </c>
      <c r="E2473" s="757">
        <v>0.73749999999999993</v>
      </c>
      <c r="F2473" s="731">
        <v>44293</v>
      </c>
      <c r="G2473" s="730">
        <v>0.92291666666666661</v>
      </c>
      <c r="H2473" s="555" t="s">
        <v>4801</v>
      </c>
      <c r="I2473" s="555" t="s">
        <v>3143</v>
      </c>
      <c r="J2473" s="751" t="s">
        <v>3402</v>
      </c>
      <c r="K2473" s="555" t="s">
        <v>2118</v>
      </c>
      <c r="L2473" s="555" t="s">
        <v>3055</v>
      </c>
      <c r="M2473" s="555" t="s">
        <v>3055</v>
      </c>
    </row>
    <row r="2474" spans="3:13" ht="18.75">
      <c r="C2474" s="735"/>
      <c r="D2474" s="624" t="s">
        <v>4800</v>
      </c>
      <c r="E2474" s="759">
        <v>0.4291666666666667</v>
      </c>
      <c r="F2474" s="731">
        <v>44293</v>
      </c>
      <c r="G2474" s="730">
        <v>0.47222222222222227</v>
      </c>
      <c r="H2474" s="624" t="s">
        <v>2919</v>
      </c>
      <c r="I2474" s="624" t="s">
        <v>1352</v>
      </c>
      <c r="J2474" s="624" t="s">
        <v>3387</v>
      </c>
      <c r="K2474" s="624" t="s">
        <v>2764</v>
      </c>
      <c r="L2474" s="624" t="s">
        <v>3055</v>
      </c>
      <c r="M2474" s="624" t="s">
        <v>3055</v>
      </c>
    </row>
    <row r="2475" spans="3:13" ht="18.75">
      <c r="C2475" s="735"/>
      <c r="D2475" s="555" t="s">
        <v>4802</v>
      </c>
      <c r="E2475" s="757">
        <v>0.20208333333333331</v>
      </c>
      <c r="F2475" s="731">
        <v>44296</v>
      </c>
      <c r="G2475" s="730">
        <v>0.83333333333333337</v>
      </c>
      <c r="H2475" s="555" t="s">
        <v>2945</v>
      </c>
      <c r="I2475" s="555" t="s">
        <v>124</v>
      </c>
      <c r="J2475" s="751" t="s">
        <v>3402</v>
      </c>
      <c r="K2475" s="555" t="s">
        <v>2118</v>
      </c>
      <c r="L2475" s="555" t="s">
        <v>3055</v>
      </c>
      <c r="M2475" s="555" t="s">
        <v>3055</v>
      </c>
    </row>
    <row r="2476" spans="3:13" ht="18.75">
      <c r="C2476" s="735"/>
      <c r="D2476" s="555" t="s">
        <v>4804</v>
      </c>
      <c r="E2476" s="757">
        <v>0.55555555555555558</v>
      </c>
      <c r="F2476" s="731">
        <v>44296</v>
      </c>
      <c r="G2476" s="730">
        <v>2.7777777777777776E-2</v>
      </c>
      <c r="H2476" s="555" t="s">
        <v>4448</v>
      </c>
      <c r="I2476" s="555" t="s">
        <v>1352</v>
      </c>
      <c r="J2476" s="751" t="s">
        <v>3356</v>
      </c>
      <c r="K2476" s="751" t="s">
        <v>100</v>
      </c>
      <c r="L2476" s="555" t="s">
        <v>3055</v>
      </c>
      <c r="M2476" s="555" t="s">
        <v>3055</v>
      </c>
    </row>
    <row r="2477" spans="3:13" ht="18.75">
      <c r="C2477" s="735"/>
      <c r="D2477" s="555" t="s">
        <v>4805</v>
      </c>
      <c r="E2477" s="757">
        <v>3.0555555555555555E-2</v>
      </c>
      <c r="F2477" s="731">
        <v>44298</v>
      </c>
      <c r="G2477" s="730">
        <v>0.73958333333333337</v>
      </c>
      <c r="H2477" s="555" t="s">
        <v>3645</v>
      </c>
      <c r="I2477" s="555" t="s">
        <v>124</v>
      </c>
      <c r="J2477" s="751" t="s">
        <v>3356</v>
      </c>
      <c r="K2477" s="555" t="s">
        <v>2293</v>
      </c>
      <c r="L2477" s="555" t="s">
        <v>3055</v>
      </c>
      <c r="M2477" s="555" t="s">
        <v>3055</v>
      </c>
    </row>
    <row r="2478" spans="3:13" ht="18.75">
      <c r="C2478" s="735"/>
      <c r="D2478" s="555" t="s">
        <v>4806</v>
      </c>
      <c r="E2478" s="757">
        <v>0.375</v>
      </c>
      <c r="F2478" s="731">
        <v>44299</v>
      </c>
      <c r="G2478" s="730">
        <v>0.41666666666666669</v>
      </c>
      <c r="H2478" s="555" t="s">
        <v>4185</v>
      </c>
      <c r="I2478" s="555" t="s">
        <v>1352</v>
      </c>
      <c r="J2478" s="751" t="s">
        <v>3402</v>
      </c>
      <c r="K2478" s="555" t="s">
        <v>2118</v>
      </c>
      <c r="L2478" s="555" t="s">
        <v>3055</v>
      </c>
      <c r="M2478" s="555" t="s">
        <v>3055</v>
      </c>
    </row>
    <row r="2479" spans="3:13" ht="18.75">
      <c r="C2479" s="735"/>
      <c r="D2479" s="555" t="s">
        <v>4806</v>
      </c>
      <c r="E2479" s="757">
        <v>0.7006944444444444</v>
      </c>
      <c r="F2479" s="731">
        <v>44299</v>
      </c>
      <c r="G2479" s="730">
        <v>0.85416666666666663</v>
      </c>
      <c r="H2479" s="555" t="s">
        <v>2919</v>
      </c>
      <c r="I2479" s="555" t="s">
        <v>1352</v>
      </c>
      <c r="J2479" s="751" t="s">
        <v>3478</v>
      </c>
      <c r="K2479" s="555" t="s">
        <v>22</v>
      </c>
      <c r="L2479" s="555" t="s">
        <v>3055</v>
      </c>
      <c r="M2479" s="555" t="s">
        <v>3055</v>
      </c>
    </row>
    <row r="2480" spans="3:13" ht="18.75">
      <c r="C2480" s="735"/>
      <c r="D2480" s="555" t="s">
        <v>4806</v>
      </c>
      <c r="E2480" s="757">
        <v>2.5694444444444447E-2</v>
      </c>
      <c r="F2480" s="731">
        <v>44299</v>
      </c>
      <c r="G2480" s="730">
        <v>0.17986111111111111</v>
      </c>
      <c r="H2480" s="555" t="s">
        <v>4807</v>
      </c>
      <c r="I2480" s="555" t="s">
        <v>674</v>
      </c>
      <c r="J2480" s="751" t="s">
        <v>3387</v>
      </c>
      <c r="K2480" s="555" t="s">
        <v>2764</v>
      </c>
      <c r="L2480" s="555" t="s">
        <v>3055</v>
      </c>
      <c r="M2480" s="555" t="s">
        <v>3055</v>
      </c>
    </row>
    <row r="2481" spans="3:13" ht="18.75">
      <c r="C2481" s="735"/>
      <c r="D2481" s="555" t="s">
        <v>4808</v>
      </c>
      <c r="E2481" s="757">
        <v>0.42986111111111108</v>
      </c>
      <c r="F2481" s="731">
        <v>44300</v>
      </c>
      <c r="G2481" s="730">
        <v>0.48541666666666666</v>
      </c>
      <c r="H2481" s="555" t="s">
        <v>4809</v>
      </c>
      <c r="I2481" s="555" t="s">
        <v>3143</v>
      </c>
      <c r="J2481" s="751" t="s">
        <v>3387</v>
      </c>
      <c r="K2481" s="555" t="s">
        <v>2764</v>
      </c>
      <c r="L2481" s="555" t="s">
        <v>3055</v>
      </c>
      <c r="M2481" s="555" t="s">
        <v>3055</v>
      </c>
    </row>
    <row r="2482" spans="3:13" ht="18.75">
      <c r="C2482" s="735"/>
      <c r="D2482" s="555" t="s">
        <v>4810</v>
      </c>
      <c r="E2482" s="757">
        <v>0.85486111111111107</v>
      </c>
      <c r="F2482" s="731">
        <v>44307</v>
      </c>
      <c r="G2482" s="730">
        <v>0.89930555555555547</v>
      </c>
      <c r="H2482" s="555" t="s">
        <v>4811</v>
      </c>
      <c r="I2482" s="555" t="s">
        <v>674</v>
      </c>
      <c r="J2482" s="751" t="s">
        <v>3411</v>
      </c>
      <c r="K2482" s="555" t="s">
        <v>2483</v>
      </c>
      <c r="L2482" s="555" t="s">
        <v>3055</v>
      </c>
      <c r="M2482" s="555" t="s">
        <v>3055</v>
      </c>
    </row>
    <row r="2483" spans="3:13" ht="18.75">
      <c r="C2483" s="735"/>
      <c r="D2483" s="555" t="s">
        <v>4810</v>
      </c>
      <c r="E2483" s="757">
        <v>0.55069444444444449</v>
      </c>
      <c r="F2483" s="731">
        <v>44307</v>
      </c>
      <c r="G2483" s="730">
        <v>0.59027777777777779</v>
      </c>
      <c r="H2483" s="555" t="s">
        <v>3591</v>
      </c>
      <c r="I2483" s="555" t="s">
        <v>1352</v>
      </c>
      <c r="J2483" s="751" t="s">
        <v>3387</v>
      </c>
      <c r="K2483" s="555" t="s">
        <v>2764</v>
      </c>
      <c r="L2483" s="555" t="s">
        <v>3055</v>
      </c>
      <c r="M2483" s="555" t="s">
        <v>3055</v>
      </c>
    </row>
    <row r="2484" spans="3:13" ht="18.75">
      <c r="C2484" s="735"/>
      <c r="D2484" s="555" t="s">
        <v>4812</v>
      </c>
      <c r="E2484" s="757">
        <v>0.69652777777777775</v>
      </c>
      <c r="F2484" s="731">
        <v>44308</v>
      </c>
      <c r="G2484" s="730">
        <v>0.71805555555555556</v>
      </c>
      <c r="H2484" s="555" t="s">
        <v>3872</v>
      </c>
      <c r="I2484" s="555" t="s">
        <v>674</v>
      </c>
      <c r="J2484" s="751" t="s">
        <v>3387</v>
      </c>
      <c r="K2484" s="555" t="s">
        <v>2764</v>
      </c>
      <c r="L2484" s="555" t="s">
        <v>3055</v>
      </c>
      <c r="M2484" s="555" t="s">
        <v>3055</v>
      </c>
    </row>
    <row r="2485" spans="3:13" ht="18.75">
      <c r="C2485" s="735"/>
      <c r="D2485" s="555" t="s">
        <v>4812</v>
      </c>
      <c r="E2485" s="757">
        <v>0.21875</v>
      </c>
      <c r="F2485" s="731" t="s">
        <v>45</v>
      </c>
      <c r="G2485" s="730" t="s">
        <v>45</v>
      </c>
      <c r="H2485" s="555" t="s">
        <v>2945</v>
      </c>
      <c r="I2485" s="555" t="s">
        <v>124</v>
      </c>
      <c r="J2485" s="751" t="s">
        <v>3654</v>
      </c>
      <c r="K2485" s="555" t="s">
        <v>1138</v>
      </c>
      <c r="L2485" s="555" t="s">
        <v>3055</v>
      </c>
      <c r="M2485" s="555" t="s">
        <v>3055</v>
      </c>
    </row>
    <row r="2486" spans="3:13" ht="18.75">
      <c r="C2486" s="735"/>
      <c r="D2486" s="555" t="s">
        <v>4813</v>
      </c>
      <c r="E2486" s="757">
        <v>0.92222222222222217</v>
      </c>
      <c r="F2486" s="731">
        <v>44310</v>
      </c>
      <c r="G2486" s="730">
        <v>0.9868055555555556</v>
      </c>
      <c r="H2486" s="555" t="s">
        <v>4185</v>
      </c>
      <c r="I2486" s="555" t="s">
        <v>1352</v>
      </c>
      <c r="J2486" s="751" t="s">
        <v>3402</v>
      </c>
      <c r="K2486" s="555" t="s">
        <v>2118</v>
      </c>
      <c r="L2486" s="555" t="s">
        <v>3055</v>
      </c>
      <c r="M2486" s="555" t="s">
        <v>3055</v>
      </c>
    </row>
    <row r="2487" spans="3:13" ht="18.75">
      <c r="C2487" s="735"/>
      <c r="D2487" s="555" t="s">
        <v>4813</v>
      </c>
      <c r="E2487" s="757">
        <v>0.875</v>
      </c>
      <c r="F2487" s="731">
        <v>44311</v>
      </c>
      <c r="G2487" s="730">
        <v>0.4465277777777778</v>
      </c>
      <c r="H2487" s="555" t="s">
        <v>4815</v>
      </c>
      <c r="I2487" s="555" t="s">
        <v>63</v>
      </c>
      <c r="J2487" s="751" t="s">
        <v>3451</v>
      </c>
      <c r="K2487" s="555" t="s">
        <v>22</v>
      </c>
      <c r="L2487" s="555" t="s">
        <v>3587</v>
      </c>
      <c r="M2487" s="555" t="s">
        <v>4816</v>
      </c>
    </row>
    <row r="2488" spans="3:13" ht="18.75">
      <c r="C2488" s="735"/>
      <c r="D2488" s="555" t="s">
        <v>4814</v>
      </c>
      <c r="E2488" s="757">
        <v>0.34722222222222227</v>
      </c>
      <c r="F2488" s="731" t="s">
        <v>45</v>
      </c>
      <c r="G2488" s="730" t="s">
        <v>45</v>
      </c>
      <c r="H2488" s="555" t="s">
        <v>4241</v>
      </c>
      <c r="I2488" s="555" t="s">
        <v>63</v>
      </c>
      <c r="J2488" s="751" t="s">
        <v>3356</v>
      </c>
      <c r="K2488" s="555" t="s">
        <v>100</v>
      </c>
      <c r="L2488" s="555" t="s">
        <v>3055</v>
      </c>
      <c r="M2488" s="555" t="s">
        <v>3055</v>
      </c>
    </row>
    <row r="2489" spans="3:13" ht="18.75">
      <c r="C2489" s="735"/>
      <c r="D2489" s="555" t="s">
        <v>4817</v>
      </c>
      <c r="E2489" s="757">
        <v>0.47083333333333338</v>
      </c>
      <c r="F2489" s="731">
        <v>44312</v>
      </c>
      <c r="G2489" s="730">
        <v>0.54166666666666663</v>
      </c>
      <c r="H2489" s="555" t="s">
        <v>4818</v>
      </c>
      <c r="I2489" s="555" t="s">
        <v>61</v>
      </c>
      <c r="J2489" s="751" t="s">
        <v>3387</v>
      </c>
      <c r="K2489" s="555" t="s">
        <v>2764</v>
      </c>
      <c r="L2489" s="555" t="s">
        <v>3055</v>
      </c>
      <c r="M2489" s="555" t="s">
        <v>3055</v>
      </c>
    </row>
    <row r="2490" spans="3:13" ht="18.75">
      <c r="C2490" s="735"/>
      <c r="D2490" s="555" t="s">
        <v>4819</v>
      </c>
      <c r="E2490" s="757">
        <v>0.83194444444444438</v>
      </c>
      <c r="F2490" s="731">
        <v>44318</v>
      </c>
      <c r="G2490" s="730">
        <v>0.84861111111111109</v>
      </c>
      <c r="H2490" s="555" t="s">
        <v>4682</v>
      </c>
      <c r="I2490" s="555" t="s">
        <v>61</v>
      </c>
      <c r="J2490" s="751" t="s">
        <v>4820</v>
      </c>
      <c r="K2490" s="555" t="s">
        <v>2764</v>
      </c>
      <c r="L2490" s="555" t="s">
        <v>3055</v>
      </c>
      <c r="M2490" s="555" t="s">
        <v>3055</v>
      </c>
    </row>
    <row r="2491" spans="3:13" ht="18.75">
      <c r="C2491" s="735"/>
      <c r="D2491" s="555" t="s">
        <v>4821</v>
      </c>
      <c r="E2491" s="757">
        <v>0.47291666666666665</v>
      </c>
      <c r="F2491" s="731">
        <v>44319</v>
      </c>
      <c r="G2491" s="730">
        <v>0.49513888888888885</v>
      </c>
      <c r="H2491" s="555" t="s">
        <v>3835</v>
      </c>
      <c r="I2491" s="555" t="s">
        <v>674</v>
      </c>
      <c r="J2491" s="751" t="s">
        <v>4822</v>
      </c>
      <c r="K2491" s="555" t="s">
        <v>2764</v>
      </c>
      <c r="L2491" s="555" t="s">
        <v>3055</v>
      </c>
      <c r="M2491" s="555" t="s">
        <v>3055</v>
      </c>
    </row>
    <row r="2492" spans="3:13" ht="18.75">
      <c r="C2492" s="735"/>
      <c r="D2492" s="624" t="s">
        <v>4821</v>
      </c>
      <c r="E2492" s="759">
        <v>0.32777777777777778</v>
      </c>
      <c r="F2492" s="731">
        <v>44319</v>
      </c>
      <c r="G2492" s="730">
        <v>0.32847222222222222</v>
      </c>
      <c r="H2492" s="624" t="s">
        <v>3996</v>
      </c>
      <c r="I2492" s="624" t="s">
        <v>63</v>
      </c>
      <c r="J2492" s="624" t="s">
        <v>3402</v>
      </c>
      <c r="K2492" s="624" t="s">
        <v>2118</v>
      </c>
      <c r="L2492" s="624" t="s">
        <v>3055</v>
      </c>
      <c r="M2492" s="624" t="s">
        <v>3055</v>
      </c>
    </row>
    <row r="2493" spans="3:13" ht="18.75">
      <c r="C2493" s="735"/>
      <c r="D2493" s="555" t="s">
        <v>4823</v>
      </c>
      <c r="E2493" s="757">
        <v>0.65625</v>
      </c>
      <c r="F2493" s="731">
        <v>44321</v>
      </c>
      <c r="G2493" s="730">
        <v>0.41666666666666669</v>
      </c>
      <c r="H2493" s="555" t="s">
        <v>3405</v>
      </c>
      <c r="I2493" s="555" t="s">
        <v>63</v>
      </c>
      <c r="J2493" s="751" t="s">
        <v>3451</v>
      </c>
      <c r="K2493" s="555" t="s">
        <v>22</v>
      </c>
      <c r="L2493" s="555" t="s">
        <v>45</v>
      </c>
      <c r="M2493" s="555" t="s">
        <v>4825</v>
      </c>
    </row>
    <row r="2494" spans="3:13" ht="18.75">
      <c r="C2494" s="735"/>
      <c r="D2494" s="555" t="s">
        <v>4823</v>
      </c>
      <c r="E2494" s="757">
        <v>0.75416666666666676</v>
      </c>
      <c r="F2494" s="731">
        <v>44321</v>
      </c>
      <c r="G2494" s="730">
        <v>0.7416666666666667</v>
      </c>
      <c r="H2494" s="555" t="s">
        <v>4205</v>
      </c>
      <c r="I2494" s="555" t="s">
        <v>63</v>
      </c>
      <c r="J2494" s="751" t="s">
        <v>3451</v>
      </c>
      <c r="K2494" s="751" t="s">
        <v>22</v>
      </c>
      <c r="L2494" s="555" t="s">
        <v>4826</v>
      </c>
      <c r="M2494" s="555" t="s">
        <v>4827</v>
      </c>
    </row>
    <row r="2495" spans="3:13" ht="18.75">
      <c r="C2495" s="735"/>
      <c r="D2495" s="555" t="s">
        <v>4824</v>
      </c>
      <c r="E2495" s="757">
        <v>0.49305555555555558</v>
      </c>
      <c r="F2495" s="731">
        <v>44324</v>
      </c>
      <c r="G2495" s="730">
        <v>0.49305555555555558</v>
      </c>
      <c r="H2495" s="555" t="s">
        <v>4829</v>
      </c>
      <c r="I2495" s="555" t="s">
        <v>3143</v>
      </c>
      <c r="J2495" s="751" t="s">
        <v>3463</v>
      </c>
      <c r="K2495" s="555" t="s">
        <v>100</v>
      </c>
      <c r="L2495" s="555" t="s">
        <v>3055</v>
      </c>
      <c r="M2495" s="555" t="s">
        <v>3055</v>
      </c>
    </row>
    <row r="2496" spans="3:13" ht="18.75">
      <c r="C2496" s="735"/>
      <c r="D2496" s="555" t="s">
        <v>4830</v>
      </c>
      <c r="E2496" s="757">
        <v>0.70833333333333337</v>
      </c>
      <c r="F2496" s="731">
        <v>44322</v>
      </c>
      <c r="G2496" s="730">
        <v>0.71875</v>
      </c>
      <c r="H2496" s="555" t="s">
        <v>4726</v>
      </c>
      <c r="I2496" s="555" t="s">
        <v>63</v>
      </c>
      <c r="J2496" s="751" t="s">
        <v>3478</v>
      </c>
      <c r="K2496" s="555" t="s">
        <v>2764</v>
      </c>
      <c r="L2496" s="555" t="s">
        <v>3055</v>
      </c>
      <c r="M2496" s="555" t="s">
        <v>3055</v>
      </c>
    </row>
    <row r="2497" spans="3:13" ht="18.75">
      <c r="C2497" s="735"/>
      <c r="D2497" s="555" t="s">
        <v>4831</v>
      </c>
      <c r="E2497" s="757">
        <v>0.10277777777777779</v>
      </c>
      <c r="F2497" s="731">
        <v>44326</v>
      </c>
      <c r="G2497" s="730">
        <v>0.13958333333333334</v>
      </c>
      <c r="H2497" s="555" t="s">
        <v>3245</v>
      </c>
      <c r="I2497" s="555" t="s">
        <v>3143</v>
      </c>
      <c r="J2497" s="751" t="s">
        <v>4822</v>
      </c>
      <c r="K2497" s="555" t="s">
        <v>2764</v>
      </c>
      <c r="L2497" s="555" t="s">
        <v>3055</v>
      </c>
      <c r="M2497" s="555" t="s">
        <v>3055</v>
      </c>
    </row>
    <row r="2498" spans="3:13" ht="18.75">
      <c r="C2498" s="735"/>
      <c r="D2498" s="555" t="s">
        <v>4831</v>
      </c>
      <c r="E2498" s="757">
        <v>0.51180555555555551</v>
      </c>
      <c r="F2498" s="731">
        <v>44326</v>
      </c>
      <c r="G2498" s="730">
        <v>0.53749999999999998</v>
      </c>
      <c r="H2498" s="555" t="s">
        <v>4832</v>
      </c>
      <c r="I2498" s="555" t="s">
        <v>3143</v>
      </c>
      <c r="J2498" s="751" t="s">
        <v>4822</v>
      </c>
      <c r="K2498" s="555" t="s">
        <v>2764</v>
      </c>
      <c r="L2498" s="555" t="s">
        <v>3055</v>
      </c>
      <c r="M2498" s="555" t="s">
        <v>3055</v>
      </c>
    </row>
    <row r="2499" spans="3:13" ht="18.75">
      <c r="C2499" s="735"/>
      <c r="D2499" s="555" t="s">
        <v>4833</v>
      </c>
      <c r="E2499" s="757">
        <v>0.9590277777777777</v>
      </c>
      <c r="F2499" s="731">
        <v>44328</v>
      </c>
      <c r="G2499" s="730">
        <v>0.35347222222222219</v>
      </c>
      <c r="H2499" s="555" t="s">
        <v>4835</v>
      </c>
      <c r="I2499" s="555" t="s">
        <v>1352</v>
      </c>
      <c r="J2499" s="751" t="s">
        <v>3463</v>
      </c>
      <c r="K2499" s="555" t="s">
        <v>100</v>
      </c>
      <c r="L2499" s="555" t="s">
        <v>3055</v>
      </c>
      <c r="M2499" s="555" t="s">
        <v>3055</v>
      </c>
    </row>
    <row r="2500" spans="3:13" ht="18.75">
      <c r="C2500" s="735"/>
      <c r="D2500" s="555" t="s">
        <v>4833</v>
      </c>
      <c r="E2500" s="757">
        <v>0.3972222222222222</v>
      </c>
      <c r="F2500" s="731">
        <v>44327</v>
      </c>
      <c r="G2500" s="730">
        <v>0.44305555555555554</v>
      </c>
      <c r="H2500" s="555" t="s">
        <v>4836</v>
      </c>
      <c r="I2500" s="555" t="s">
        <v>674</v>
      </c>
      <c r="J2500" s="751" t="s">
        <v>4822</v>
      </c>
      <c r="K2500" s="555" t="s">
        <v>2764</v>
      </c>
      <c r="L2500" s="555" t="s">
        <v>3055</v>
      </c>
      <c r="M2500" s="555" t="s">
        <v>3055</v>
      </c>
    </row>
    <row r="2501" spans="3:13" ht="18.75">
      <c r="C2501" s="735"/>
      <c r="D2501" s="555" t="s">
        <v>4837</v>
      </c>
      <c r="E2501" s="757">
        <v>0.91666666666666663</v>
      </c>
      <c r="F2501" s="731">
        <v>44333</v>
      </c>
      <c r="G2501" s="730">
        <v>0.25</v>
      </c>
      <c r="H2501" s="555" t="s">
        <v>4492</v>
      </c>
      <c r="I2501" s="555" t="s">
        <v>124</v>
      </c>
      <c r="J2501" s="751" t="s">
        <v>3356</v>
      </c>
      <c r="K2501" s="555" t="s">
        <v>100</v>
      </c>
      <c r="L2501" s="555" t="s">
        <v>3055</v>
      </c>
      <c r="M2501" s="555" t="s">
        <v>3055</v>
      </c>
    </row>
    <row r="2502" spans="3:13" ht="18.75">
      <c r="C2502" s="735"/>
      <c r="D2502" s="555" t="s">
        <v>4837</v>
      </c>
      <c r="E2502" s="757">
        <v>0.35416666666666669</v>
      </c>
      <c r="F2502" s="731">
        <v>44330</v>
      </c>
      <c r="G2502" s="730">
        <v>0.66666666666666663</v>
      </c>
      <c r="H2502" s="555" t="s">
        <v>3215</v>
      </c>
      <c r="I2502" s="555" t="s">
        <v>3143</v>
      </c>
      <c r="J2502" s="751" t="s">
        <v>3402</v>
      </c>
      <c r="K2502" s="555" t="s">
        <v>2118</v>
      </c>
      <c r="L2502" s="555" t="s">
        <v>3055</v>
      </c>
      <c r="M2502" s="555" t="s">
        <v>3055</v>
      </c>
    </row>
    <row r="2503" spans="3:13" ht="18.75">
      <c r="C2503" s="735"/>
      <c r="D2503" s="555" t="s">
        <v>4839</v>
      </c>
      <c r="E2503" s="757">
        <v>0.97569444444444453</v>
      </c>
      <c r="F2503" s="731">
        <v>44335</v>
      </c>
      <c r="G2503" s="730">
        <v>0.85416666666666663</v>
      </c>
      <c r="H2503" s="555" t="s">
        <v>2809</v>
      </c>
      <c r="I2503" s="555" t="s">
        <v>1352</v>
      </c>
      <c r="J2503" s="751" t="s">
        <v>3451</v>
      </c>
      <c r="K2503" s="555" t="s">
        <v>22</v>
      </c>
      <c r="L2503" s="555" t="s">
        <v>45</v>
      </c>
      <c r="M2503" s="555" t="s">
        <v>4841</v>
      </c>
    </row>
    <row r="2504" spans="3:13" ht="18.75">
      <c r="C2504" s="735"/>
      <c r="D2504" s="555" t="s">
        <v>4839</v>
      </c>
      <c r="E2504" s="757">
        <v>0.51041666666666663</v>
      </c>
      <c r="F2504" s="731">
        <v>44334</v>
      </c>
      <c r="G2504" s="730">
        <v>0.84583333333333333</v>
      </c>
      <c r="H2504" s="555" t="s">
        <v>2892</v>
      </c>
      <c r="I2504" s="555" t="s">
        <v>3143</v>
      </c>
      <c r="J2504" s="751" t="s">
        <v>3356</v>
      </c>
      <c r="K2504" s="555" t="s">
        <v>100</v>
      </c>
      <c r="L2504" s="555" t="s">
        <v>3055</v>
      </c>
      <c r="M2504" s="555" t="s">
        <v>3055</v>
      </c>
    </row>
    <row r="2505" spans="3:13" ht="18.75">
      <c r="C2505" s="735"/>
      <c r="D2505" s="555" t="s">
        <v>4842</v>
      </c>
      <c r="E2505" s="757">
        <v>0.42083333333333334</v>
      </c>
      <c r="F2505" s="731">
        <v>44336</v>
      </c>
      <c r="G2505" s="730">
        <v>0.57291666666666663</v>
      </c>
      <c r="H2505" s="555" t="s">
        <v>4843</v>
      </c>
      <c r="I2505" s="555" t="s">
        <v>63</v>
      </c>
      <c r="J2505" s="751" t="s">
        <v>3411</v>
      </c>
      <c r="K2505" s="555" t="s">
        <v>2483</v>
      </c>
      <c r="L2505" s="555" t="s">
        <v>3055</v>
      </c>
      <c r="M2505" s="555" t="s">
        <v>4844</v>
      </c>
    </row>
    <row r="2506" spans="3:13" ht="18.75">
      <c r="C2506" s="735"/>
      <c r="D2506" s="555" t="s">
        <v>4842</v>
      </c>
      <c r="E2506" s="757">
        <v>0.30902777777777779</v>
      </c>
      <c r="F2506" s="731">
        <v>44336</v>
      </c>
      <c r="G2506" s="730">
        <v>0.30972222222222223</v>
      </c>
      <c r="H2506" s="555" t="s">
        <v>2920</v>
      </c>
      <c r="I2506" s="555" t="s">
        <v>124</v>
      </c>
      <c r="J2506" s="751" t="s">
        <v>3463</v>
      </c>
      <c r="K2506" s="555" t="s">
        <v>100</v>
      </c>
      <c r="L2506" s="555" t="s">
        <v>3055</v>
      </c>
      <c r="M2506" s="555" t="s">
        <v>3055</v>
      </c>
    </row>
    <row r="2507" spans="3:13" ht="18.75">
      <c r="C2507" s="735"/>
      <c r="D2507" s="555" t="s">
        <v>4845</v>
      </c>
      <c r="E2507" s="757">
        <v>0.55138888888888882</v>
      </c>
      <c r="F2507" s="731">
        <v>44340</v>
      </c>
      <c r="G2507" s="730">
        <v>0.55208333333333337</v>
      </c>
      <c r="H2507" s="555" t="s">
        <v>4846</v>
      </c>
      <c r="I2507" s="555" t="s">
        <v>124</v>
      </c>
      <c r="J2507" s="751" t="s">
        <v>3463</v>
      </c>
      <c r="K2507" s="555" t="s">
        <v>100</v>
      </c>
      <c r="L2507" s="555" t="s">
        <v>3055</v>
      </c>
      <c r="M2507" s="555" t="s">
        <v>3055</v>
      </c>
    </row>
    <row r="2508" spans="3:13" ht="18.75">
      <c r="C2508" s="735"/>
      <c r="D2508" s="555" t="s">
        <v>4847</v>
      </c>
      <c r="E2508" s="757">
        <v>0.53888888888888886</v>
      </c>
      <c r="F2508" s="731">
        <v>44341</v>
      </c>
      <c r="G2508" s="730">
        <v>0.57013888888888886</v>
      </c>
      <c r="H2508" s="555" t="s">
        <v>2895</v>
      </c>
      <c r="I2508" s="555" t="s">
        <v>3143</v>
      </c>
      <c r="J2508" s="751" t="s">
        <v>4820</v>
      </c>
      <c r="K2508" s="555" t="s">
        <v>2764</v>
      </c>
      <c r="L2508" s="555" t="s">
        <v>3055</v>
      </c>
      <c r="M2508" s="555" t="s">
        <v>3055</v>
      </c>
    </row>
    <row r="2509" spans="3:13" ht="18.75">
      <c r="C2509" s="735"/>
      <c r="D2509" s="555" t="s">
        <v>4848</v>
      </c>
      <c r="E2509" s="757">
        <v>0.78541666666666676</v>
      </c>
      <c r="F2509" s="731">
        <v>44344</v>
      </c>
      <c r="G2509" s="730">
        <v>0.66388888888888886</v>
      </c>
      <c r="H2509" s="555" t="s">
        <v>4850</v>
      </c>
      <c r="I2509" s="555" t="s">
        <v>124</v>
      </c>
      <c r="J2509" s="751" t="s">
        <v>3411</v>
      </c>
      <c r="K2509" s="555" t="s">
        <v>2483</v>
      </c>
      <c r="L2509" s="555" t="s">
        <v>3055</v>
      </c>
      <c r="M2509" s="555" t="s">
        <v>3055</v>
      </c>
    </row>
    <row r="2510" spans="3:13" ht="18.75">
      <c r="C2510" s="735"/>
      <c r="D2510" s="555" t="s">
        <v>4848</v>
      </c>
      <c r="E2510" s="757">
        <v>3.472222222222222E-3</v>
      </c>
      <c r="F2510" s="731">
        <v>44343</v>
      </c>
      <c r="G2510" s="730">
        <v>3.125E-2</v>
      </c>
      <c r="H2510" s="555" t="s">
        <v>2947</v>
      </c>
      <c r="I2510" s="555" t="s">
        <v>124</v>
      </c>
      <c r="J2510" s="751" t="s">
        <v>4820</v>
      </c>
      <c r="K2510" s="555" t="s">
        <v>2764</v>
      </c>
      <c r="L2510" s="555" t="s">
        <v>3055</v>
      </c>
      <c r="M2510" s="555" t="s">
        <v>3055</v>
      </c>
    </row>
    <row r="2511" spans="3:13" ht="18.75">
      <c r="C2511" s="735"/>
      <c r="D2511" s="555" t="s">
        <v>4849</v>
      </c>
      <c r="E2511" s="757">
        <v>0.89166666666666661</v>
      </c>
      <c r="F2511" s="731">
        <v>44344</v>
      </c>
      <c r="G2511" s="730">
        <v>0.89236111111111116</v>
      </c>
      <c r="H2511" s="555" t="s">
        <v>4019</v>
      </c>
      <c r="I2511" s="555" t="s">
        <v>63</v>
      </c>
      <c r="J2511" s="751" t="s">
        <v>3411</v>
      </c>
      <c r="K2511" s="555" t="s">
        <v>2483</v>
      </c>
      <c r="L2511" s="555" t="s">
        <v>4851</v>
      </c>
      <c r="M2511" s="555" t="s">
        <v>3367</v>
      </c>
    </row>
    <row r="2512" spans="3:13" ht="18.75">
      <c r="C2512" s="735"/>
      <c r="D2512" s="555" t="s">
        <v>4849</v>
      </c>
      <c r="E2512" s="757">
        <v>0.83333333333333337</v>
      </c>
      <c r="F2512" s="731">
        <v>44344</v>
      </c>
      <c r="G2512" s="730">
        <v>0.89513888888888893</v>
      </c>
      <c r="H2512" s="555" t="s">
        <v>2951</v>
      </c>
      <c r="I2512" s="555" t="s">
        <v>124</v>
      </c>
      <c r="J2512" s="751" t="s">
        <v>3402</v>
      </c>
      <c r="K2512" s="555" t="s">
        <v>2293</v>
      </c>
      <c r="L2512" s="555" t="s">
        <v>3055</v>
      </c>
      <c r="M2512" s="555" t="s">
        <v>4852</v>
      </c>
    </row>
    <row r="2513" spans="3:13" ht="18.75">
      <c r="C2513" s="735"/>
      <c r="D2513" s="555" t="s">
        <v>4849</v>
      </c>
      <c r="E2513" s="757">
        <v>0.92569444444444438</v>
      </c>
      <c r="F2513" s="731">
        <v>44344</v>
      </c>
      <c r="G2513" s="730">
        <v>0.9819444444444444</v>
      </c>
      <c r="H2513" s="555" t="s">
        <v>3378</v>
      </c>
      <c r="I2513" s="555" t="s">
        <v>674</v>
      </c>
      <c r="J2513" s="751" t="s">
        <v>4820</v>
      </c>
      <c r="K2513" s="555" t="s">
        <v>2764</v>
      </c>
      <c r="L2513" s="555" t="s">
        <v>3055</v>
      </c>
      <c r="M2513" s="555" t="s">
        <v>3055</v>
      </c>
    </row>
    <row r="2514" spans="3:13" ht="18.75">
      <c r="C2514" s="735"/>
      <c r="D2514" s="555" t="s">
        <v>4853</v>
      </c>
      <c r="E2514" s="757">
        <v>0.62291666666666667</v>
      </c>
      <c r="F2514" s="731">
        <v>44353</v>
      </c>
      <c r="G2514" s="730">
        <v>0.66666666666666663</v>
      </c>
      <c r="H2514" s="555" t="s">
        <v>4854</v>
      </c>
      <c r="I2514" s="555" t="s">
        <v>3143</v>
      </c>
      <c r="J2514" s="751" t="s">
        <v>3411</v>
      </c>
      <c r="K2514" s="555" t="s">
        <v>2483</v>
      </c>
      <c r="L2514" s="555" t="s">
        <v>45</v>
      </c>
      <c r="M2514" s="555" t="s">
        <v>3055</v>
      </c>
    </row>
    <row r="2515" spans="3:13" ht="18.75">
      <c r="C2515" s="735"/>
      <c r="D2515" s="555" t="s">
        <v>4855</v>
      </c>
      <c r="E2515" s="757">
        <v>0.93541666666666667</v>
      </c>
      <c r="F2515" s="731">
        <v>44355</v>
      </c>
      <c r="G2515" s="730">
        <v>2.2916666666666669E-2</v>
      </c>
      <c r="H2515" s="555" t="s">
        <v>4857</v>
      </c>
      <c r="I2515" s="555" t="s">
        <v>674</v>
      </c>
      <c r="J2515" s="751" t="s">
        <v>3411</v>
      </c>
      <c r="K2515" s="555" t="s">
        <v>2990</v>
      </c>
      <c r="L2515" s="555" t="s">
        <v>4858</v>
      </c>
      <c r="M2515" s="555" t="s">
        <v>3081</v>
      </c>
    </row>
    <row r="2516" spans="3:13" ht="18.75">
      <c r="C2516" s="735"/>
      <c r="D2516" s="624" t="s">
        <v>4855</v>
      </c>
      <c r="E2516" s="759">
        <v>0.55972222222222223</v>
      </c>
      <c r="F2516" s="731">
        <v>44354</v>
      </c>
      <c r="G2516" s="730">
        <v>0.56041666666666667</v>
      </c>
      <c r="H2516" s="624" t="s">
        <v>4859</v>
      </c>
      <c r="I2516" s="624" t="s">
        <v>1352</v>
      </c>
      <c r="J2516" s="624" t="s">
        <v>3396</v>
      </c>
      <c r="K2516" s="624" t="s">
        <v>2905</v>
      </c>
      <c r="L2516" s="624" t="s">
        <v>4860</v>
      </c>
      <c r="M2516" s="624" t="s">
        <v>3055</v>
      </c>
    </row>
    <row r="2517" spans="3:13" ht="18.75">
      <c r="C2517" s="735"/>
      <c r="D2517" s="555" t="s">
        <v>4855</v>
      </c>
      <c r="E2517" s="757">
        <v>0.6381944444444444</v>
      </c>
      <c r="F2517" s="731">
        <v>44354</v>
      </c>
      <c r="G2517" s="730">
        <v>0.76527777777777783</v>
      </c>
      <c r="H2517" s="555" t="s">
        <v>3620</v>
      </c>
      <c r="I2517" s="555" t="s">
        <v>124</v>
      </c>
      <c r="J2517" s="751" t="s">
        <v>3387</v>
      </c>
      <c r="K2517" s="555" t="s">
        <v>2764</v>
      </c>
      <c r="L2517" s="555" t="s">
        <v>3055</v>
      </c>
      <c r="M2517" s="555" t="s">
        <v>3055</v>
      </c>
    </row>
    <row r="2518" spans="3:13" ht="18.75">
      <c r="C2518" s="735"/>
      <c r="D2518" s="555" t="s">
        <v>4856</v>
      </c>
      <c r="E2518" s="757">
        <v>0.625</v>
      </c>
      <c r="F2518" s="731">
        <v>44355</v>
      </c>
      <c r="G2518" s="730">
        <v>0.62569444444444444</v>
      </c>
      <c r="H2518" s="555" t="s">
        <v>4861</v>
      </c>
      <c r="I2518" s="555" t="s">
        <v>1352</v>
      </c>
      <c r="J2518" s="751" t="s">
        <v>3356</v>
      </c>
      <c r="K2518" s="751" t="s">
        <v>100</v>
      </c>
      <c r="L2518" s="555" t="s">
        <v>3055</v>
      </c>
      <c r="M2518" s="555" t="s">
        <v>3055</v>
      </c>
    </row>
    <row r="2519" spans="3:13" ht="18.75">
      <c r="C2519" s="735"/>
      <c r="D2519" s="555" t="s">
        <v>4862</v>
      </c>
      <c r="E2519" s="757">
        <v>0.79791666666666661</v>
      </c>
      <c r="F2519" s="731">
        <v>44356</v>
      </c>
      <c r="G2519" s="730">
        <v>0.86805555555555547</v>
      </c>
      <c r="H2519" s="555" t="s">
        <v>3620</v>
      </c>
      <c r="I2519" s="555" t="s">
        <v>124</v>
      </c>
      <c r="J2519" s="751" t="s">
        <v>3387</v>
      </c>
      <c r="K2519" s="555" t="s">
        <v>2764</v>
      </c>
      <c r="L2519" s="555" t="s">
        <v>3055</v>
      </c>
      <c r="M2519" s="555" t="s">
        <v>3055</v>
      </c>
    </row>
    <row r="2520" spans="3:13" ht="18.75">
      <c r="C2520" s="735"/>
      <c r="D2520" s="555" t="s">
        <v>4863</v>
      </c>
      <c r="E2520" s="757">
        <v>0.93611111111111101</v>
      </c>
      <c r="F2520" s="731">
        <v>44357</v>
      </c>
      <c r="G2520" s="730">
        <v>0.96319444444444446</v>
      </c>
      <c r="H2520" s="555" t="s">
        <v>4864</v>
      </c>
      <c r="I2520" s="555" t="s">
        <v>674</v>
      </c>
      <c r="J2520" s="751" t="s">
        <v>3411</v>
      </c>
      <c r="K2520" s="555" t="s">
        <v>2483</v>
      </c>
      <c r="L2520" s="555" t="s">
        <v>4865</v>
      </c>
      <c r="M2520" s="555" t="s">
        <v>4866</v>
      </c>
    </row>
    <row r="2521" spans="3:13" ht="18.75">
      <c r="C2521" s="735"/>
      <c r="D2521" s="555" t="s">
        <v>4867</v>
      </c>
      <c r="E2521" s="757">
        <v>0.14305555555555557</v>
      </c>
      <c r="F2521" s="731">
        <v>44358</v>
      </c>
      <c r="G2521" s="730">
        <v>0.15833333333333333</v>
      </c>
      <c r="H2521" s="555" t="s">
        <v>4868</v>
      </c>
      <c r="I2521" s="555" t="s">
        <v>674</v>
      </c>
      <c r="J2521" s="751" t="s">
        <v>3411</v>
      </c>
      <c r="K2521" s="555" t="s">
        <v>2990</v>
      </c>
      <c r="L2521" s="555" t="s">
        <v>3055</v>
      </c>
      <c r="M2521" s="555" t="s">
        <v>3055</v>
      </c>
    </row>
    <row r="2522" spans="3:13" ht="18.75">
      <c r="C2522" s="735"/>
      <c r="D2522" s="555" t="s">
        <v>4869</v>
      </c>
      <c r="E2522" s="757">
        <v>0.53819444444444442</v>
      </c>
      <c r="F2522" s="731">
        <v>44365</v>
      </c>
      <c r="G2522" s="730">
        <v>0.79166666666666663</v>
      </c>
      <c r="H2522" s="555" t="s">
        <v>2919</v>
      </c>
      <c r="I2522" s="555" t="s">
        <v>1352</v>
      </c>
      <c r="J2522" s="751" t="s">
        <v>3478</v>
      </c>
      <c r="K2522" s="555" t="s">
        <v>2764</v>
      </c>
      <c r="L2522" s="555" t="s">
        <v>45</v>
      </c>
      <c r="M2522" s="555" t="s">
        <v>45</v>
      </c>
    </row>
    <row r="2523" spans="3:13" ht="18.75">
      <c r="C2523" s="735"/>
      <c r="D2523" s="555" t="s">
        <v>4869</v>
      </c>
      <c r="E2523" s="757">
        <v>0.51041666666666663</v>
      </c>
      <c r="F2523" s="731">
        <v>44365</v>
      </c>
      <c r="G2523" s="730">
        <v>0.79166666666666663</v>
      </c>
      <c r="H2523" s="555" t="s">
        <v>2919</v>
      </c>
      <c r="I2523" s="555" t="s">
        <v>1352</v>
      </c>
      <c r="J2523" s="751" t="s">
        <v>3478</v>
      </c>
      <c r="K2523" s="555" t="s">
        <v>2764</v>
      </c>
      <c r="L2523" s="555" t="s">
        <v>45</v>
      </c>
      <c r="M2523" s="555" t="s">
        <v>45</v>
      </c>
    </row>
    <row r="2524" spans="3:13" ht="18.75">
      <c r="C2524" s="735"/>
      <c r="D2524" s="555" t="s">
        <v>4869</v>
      </c>
      <c r="E2524" s="757">
        <v>9.0277777777777776E-2</v>
      </c>
      <c r="F2524" s="731">
        <v>44361</v>
      </c>
      <c r="G2524" s="730">
        <v>9.0972222222222218E-2</v>
      </c>
      <c r="H2524" s="555" t="s">
        <v>2831</v>
      </c>
      <c r="I2524" s="555" t="s">
        <v>124</v>
      </c>
      <c r="J2524" s="751" t="s">
        <v>3402</v>
      </c>
      <c r="K2524" s="555" t="s">
        <v>2118</v>
      </c>
      <c r="L2524" s="555" t="s">
        <v>3055</v>
      </c>
      <c r="M2524" s="555" t="s">
        <v>3055</v>
      </c>
    </row>
    <row r="2525" spans="3:13" ht="18.75">
      <c r="C2525" s="735"/>
      <c r="D2525" s="555" t="s">
        <v>4871</v>
      </c>
      <c r="E2525" s="757">
        <v>0.49652777777777773</v>
      </c>
      <c r="F2525" s="731">
        <v>44362</v>
      </c>
      <c r="G2525" s="730">
        <v>0.88680555555555562</v>
      </c>
      <c r="H2525" s="555" t="s">
        <v>2919</v>
      </c>
      <c r="I2525" s="555" t="s">
        <v>1352</v>
      </c>
      <c r="J2525" s="751" t="s">
        <v>3928</v>
      </c>
      <c r="K2525" s="555" t="s">
        <v>2952</v>
      </c>
      <c r="L2525" s="555" t="s">
        <v>45</v>
      </c>
      <c r="M2525" s="555" t="s">
        <v>45</v>
      </c>
    </row>
    <row r="2526" spans="3:13" ht="18.75">
      <c r="C2526" s="735"/>
      <c r="D2526" s="555" t="s">
        <v>4871</v>
      </c>
      <c r="E2526" s="757">
        <v>0.47916666666666669</v>
      </c>
      <c r="F2526" s="731">
        <v>44362</v>
      </c>
      <c r="G2526" s="730">
        <v>0.56597222222222221</v>
      </c>
      <c r="H2526" s="555" t="s">
        <v>4864</v>
      </c>
      <c r="I2526" s="555" t="s">
        <v>674</v>
      </c>
      <c r="J2526" s="751" t="s">
        <v>3387</v>
      </c>
      <c r="K2526" s="555" t="s">
        <v>2764</v>
      </c>
      <c r="L2526" s="555" t="s">
        <v>3055</v>
      </c>
      <c r="M2526" s="555" t="s">
        <v>3055</v>
      </c>
    </row>
    <row r="2527" spans="3:13" ht="18.75">
      <c r="C2527" s="735"/>
      <c r="D2527" s="555" t="s">
        <v>4872</v>
      </c>
      <c r="E2527" s="757">
        <v>0.44444444444444442</v>
      </c>
      <c r="F2527" s="731">
        <v>44363</v>
      </c>
      <c r="G2527" s="730">
        <v>0.4465277777777778</v>
      </c>
      <c r="H2527" s="555" t="s">
        <v>4873</v>
      </c>
      <c r="I2527" s="555" t="s">
        <v>63</v>
      </c>
      <c r="J2527" s="751" t="s">
        <v>3411</v>
      </c>
      <c r="K2527" s="555" t="s">
        <v>2483</v>
      </c>
      <c r="L2527" s="555" t="s">
        <v>3754</v>
      </c>
      <c r="M2527" s="555" t="s">
        <v>4874</v>
      </c>
    </row>
    <row r="2528" spans="3:13" ht="18.75">
      <c r="C2528" s="735"/>
      <c r="D2528" s="555" t="s">
        <v>4872</v>
      </c>
      <c r="E2528" s="757">
        <v>0.17361111111111113</v>
      </c>
      <c r="F2528" s="731">
        <v>44363</v>
      </c>
      <c r="G2528" s="730">
        <v>0.27708333333333335</v>
      </c>
      <c r="H2528" s="555" t="s">
        <v>2959</v>
      </c>
      <c r="I2528" s="555" t="s">
        <v>61</v>
      </c>
      <c r="J2528" s="751" t="s">
        <v>3387</v>
      </c>
      <c r="K2528" s="555" t="s">
        <v>2764</v>
      </c>
      <c r="L2528" s="555" t="s">
        <v>3055</v>
      </c>
      <c r="M2528" s="555" t="s">
        <v>3055</v>
      </c>
    </row>
    <row r="2529" spans="3:13" ht="18.75">
      <c r="C2529" s="735"/>
      <c r="D2529" s="555" t="s">
        <v>4872</v>
      </c>
      <c r="E2529" s="757">
        <v>0.43402777777777773</v>
      </c>
      <c r="F2529" s="731">
        <v>44363</v>
      </c>
      <c r="G2529" s="730">
        <v>0.63611111111111118</v>
      </c>
      <c r="H2529" s="555" t="s">
        <v>3182</v>
      </c>
      <c r="I2529" s="555" t="s">
        <v>63</v>
      </c>
      <c r="J2529" s="751" t="s">
        <v>3463</v>
      </c>
      <c r="K2529" s="555" t="s">
        <v>100</v>
      </c>
      <c r="L2529" s="555" t="s">
        <v>3055</v>
      </c>
      <c r="M2529" s="555" t="s">
        <v>3055</v>
      </c>
    </row>
    <row r="2530" spans="3:13" ht="18.75">
      <c r="C2530" s="735"/>
      <c r="D2530" s="555" t="s">
        <v>4875</v>
      </c>
      <c r="E2530" s="757">
        <v>0.78749999999999998</v>
      </c>
      <c r="F2530" s="731">
        <v>44366</v>
      </c>
      <c r="G2530" s="730">
        <v>0.87569444444444444</v>
      </c>
      <c r="H2530" s="555" t="s">
        <v>3967</v>
      </c>
      <c r="I2530" s="555" t="s">
        <v>124</v>
      </c>
      <c r="J2530" s="751" t="s">
        <v>3451</v>
      </c>
      <c r="K2530" s="555" t="s">
        <v>2764</v>
      </c>
      <c r="L2530" s="555" t="s">
        <v>4602</v>
      </c>
      <c r="M2530" s="555" t="s">
        <v>4876</v>
      </c>
    </row>
    <row r="2531" spans="3:13" ht="18.75">
      <c r="C2531" s="735"/>
      <c r="D2531" s="555" t="s">
        <v>4877</v>
      </c>
      <c r="E2531" s="757">
        <v>0.65972222222222221</v>
      </c>
      <c r="F2531" s="731">
        <v>44368</v>
      </c>
      <c r="G2531" s="730">
        <v>0.70138888888888884</v>
      </c>
      <c r="H2531" s="555" t="s">
        <v>4878</v>
      </c>
      <c r="I2531" s="555" t="s">
        <v>63</v>
      </c>
      <c r="J2531" s="751" t="s">
        <v>3402</v>
      </c>
      <c r="K2531" s="555" t="s">
        <v>2118</v>
      </c>
      <c r="L2531" s="555" t="s">
        <v>3055</v>
      </c>
      <c r="M2531" s="555" t="s">
        <v>3055</v>
      </c>
    </row>
    <row r="2532" spans="3:13" ht="18.75">
      <c r="C2532" s="735"/>
      <c r="D2532" s="555" t="s">
        <v>4877</v>
      </c>
      <c r="E2532" s="757">
        <v>0.21805555555555556</v>
      </c>
      <c r="F2532" s="731">
        <v>44368</v>
      </c>
      <c r="G2532" s="730">
        <v>0.79166666666666663</v>
      </c>
      <c r="H2532" s="555" t="s">
        <v>3307</v>
      </c>
      <c r="I2532" s="555" t="s">
        <v>3143</v>
      </c>
      <c r="J2532" s="751" t="s">
        <v>3451</v>
      </c>
      <c r="K2532" s="555" t="s">
        <v>22</v>
      </c>
      <c r="L2532" s="555" t="s">
        <v>45</v>
      </c>
      <c r="M2532" s="555" t="s">
        <v>4879</v>
      </c>
    </row>
    <row r="2533" spans="3:13" ht="18.75">
      <c r="C2533" s="735"/>
      <c r="D2533" s="555" t="s">
        <v>4880</v>
      </c>
      <c r="E2533" s="757">
        <v>0.65763888888888888</v>
      </c>
      <c r="F2533" s="731">
        <v>44370</v>
      </c>
      <c r="G2533" s="730">
        <v>0.6972222222222223</v>
      </c>
      <c r="H2533" s="555" t="s">
        <v>3439</v>
      </c>
      <c r="I2533" s="555" t="s">
        <v>63</v>
      </c>
      <c r="J2533" s="751" t="s">
        <v>3387</v>
      </c>
      <c r="K2533" s="555" t="s">
        <v>2764</v>
      </c>
      <c r="L2533" s="555" t="s">
        <v>3055</v>
      </c>
      <c r="M2533" s="555" t="s">
        <v>3055</v>
      </c>
    </row>
    <row r="2534" spans="3:13" ht="18.75">
      <c r="C2534" s="735"/>
      <c r="D2534" s="555" t="s">
        <v>4881</v>
      </c>
      <c r="E2534" s="757">
        <v>0.14861111111111111</v>
      </c>
      <c r="F2534" s="731">
        <v>44371</v>
      </c>
      <c r="G2534" s="730">
        <v>0.21319444444444444</v>
      </c>
      <c r="H2534" s="555" t="s">
        <v>2939</v>
      </c>
      <c r="I2534" s="555" t="s">
        <v>124</v>
      </c>
      <c r="J2534" s="751" t="s">
        <v>4882</v>
      </c>
      <c r="K2534" s="555" t="s">
        <v>2483</v>
      </c>
      <c r="L2534" s="555" t="s">
        <v>4323</v>
      </c>
      <c r="M2534" s="555" t="s">
        <v>4883</v>
      </c>
    </row>
    <row r="2535" spans="3:13" ht="18.75">
      <c r="C2535" s="735"/>
      <c r="D2535" s="555" t="s">
        <v>4881</v>
      </c>
      <c r="E2535" s="757">
        <v>0.29652777777777778</v>
      </c>
      <c r="F2535" s="731">
        <v>44371</v>
      </c>
      <c r="G2535" s="730">
        <v>0.57500000000000007</v>
      </c>
      <c r="H2535" s="555" t="s">
        <v>4884</v>
      </c>
      <c r="I2535" s="555" t="s">
        <v>63</v>
      </c>
      <c r="J2535" s="751" t="s">
        <v>3356</v>
      </c>
      <c r="K2535" s="555" t="s">
        <v>100</v>
      </c>
      <c r="L2535" s="555" t="s">
        <v>3055</v>
      </c>
      <c r="M2535" s="555" t="s">
        <v>3055</v>
      </c>
    </row>
    <row r="2536" spans="3:13" ht="18.75">
      <c r="C2536" s="735"/>
      <c r="D2536" s="555" t="s">
        <v>4885</v>
      </c>
      <c r="E2536" s="757">
        <v>0.84027777777777779</v>
      </c>
      <c r="F2536" s="731">
        <v>44374</v>
      </c>
      <c r="G2536" s="730">
        <v>0.89583333333333337</v>
      </c>
      <c r="H2536" s="555" t="s">
        <v>4886</v>
      </c>
      <c r="I2536" s="555" t="s">
        <v>674</v>
      </c>
      <c r="J2536" s="751" t="s">
        <v>3356</v>
      </c>
      <c r="K2536" s="555" t="s">
        <v>100</v>
      </c>
      <c r="L2536" s="555" t="s">
        <v>3497</v>
      </c>
      <c r="M2536" s="555" t="s">
        <v>4887</v>
      </c>
    </row>
    <row r="2537" spans="3:13" ht="18.75">
      <c r="C2537" s="735"/>
      <c r="D2537" s="555" t="s">
        <v>4885</v>
      </c>
      <c r="E2537" s="757">
        <v>0.10208333333333335</v>
      </c>
      <c r="F2537" s="731">
        <v>44374</v>
      </c>
      <c r="G2537" s="730">
        <v>0.14583333333333334</v>
      </c>
      <c r="H2537" s="555" t="s">
        <v>4888</v>
      </c>
      <c r="I2537" s="555" t="s">
        <v>61</v>
      </c>
      <c r="J2537" s="751" t="s">
        <v>3356</v>
      </c>
      <c r="K2537" s="555" t="s">
        <v>100</v>
      </c>
      <c r="L2537" s="555" t="s">
        <v>45</v>
      </c>
      <c r="M2537" s="555" t="s">
        <v>3812</v>
      </c>
    </row>
    <row r="2538" spans="3:13" ht="18.75">
      <c r="C2538" s="735"/>
      <c r="D2538" s="555" t="s">
        <v>4889</v>
      </c>
      <c r="E2538" s="757">
        <v>0.55555555555555558</v>
      </c>
      <c r="F2538" s="731" t="s">
        <v>45</v>
      </c>
      <c r="G2538" s="730" t="s">
        <v>45</v>
      </c>
      <c r="H2538" s="555" t="s">
        <v>4890</v>
      </c>
      <c r="I2538" s="555" t="s">
        <v>124</v>
      </c>
      <c r="J2538" s="751" t="s">
        <v>3478</v>
      </c>
      <c r="K2538" s="555" t="s">
        <v>22</v>
      </c>
      <c r="L2538" s="555" t="s">
        <v>4891</v>
      </c>
      <c r="M2538" s="555" t="s">
        <v>45</v>
      </c>
    </row>
    <row r="2539" spans="3:13" ht="18.75">
      <c r="C2539" s="735"/>
      <c r="D2539" s="555" t="s">
        <v>4889</v>
      </c>
      <c r="E2539" s="757">
        <v>0.47361111111111115</v>
      </c>
      <c r="F2539" s="731" t="s">
        <v>45</v>
      </c>
      <c r="G2539" s="730" t="s">
        <v>45</v>
      </c>
      <c r="H2539" s="555" t="s">
        <v>2928</v>
      </c>
      <c r="I2539" s="555" t="s">
        <v>63</v>
      </c>
      <c r="J2539" s="751" t="s">
        <v>3411</v>
      </c>
      <c r="K2539" s="555" t="s">
        <v>2483</v>
      </c>
      <c r="L2539" s="555" t="s">
        <v>3055</v>
      </c>
      <c r="M2539" s="555" t="s">
        <v>3055</v>
      </c>
    </row>
    <row r="2540" spans="3:13" ht="18.75">
      <c r="C2540" s="735"/>
      <c r="D2540" s="555" t="s">
        <v>4892</v>
      </c>
      <c r="E2540" s="757">
        <v>0.66666666666666663</v>
      </c>
      <c r="F2540" s="731" t="s">
        <v>45</v>
      </c>
      <c r="G2540" s="730" t="s">
        <v>45</v>
      </c>
      <c r="H2540" s="555" t="s">
        <v>4893</v>
      </c>
      <c r="I2540" s="555" t="s">
        <v>3143</v>
      </c>
      <c r="J2540" s="751" t="s">
        <v>3451</v>
      </c>
      <c r="K2540" s="555" t="s">
        <v>22</v>
      </c>
      <c r="L2540" s="555" t="s">
        <v>45</v>
      </c>
      <c r="M2540" s="555" t="s">
        <v>4894</v>
      </c>
    </row>
    <row r="2541" spans="3:13" ht="18.75">
      <c r="C2541" s="735"/>
      <c r="D2541" s="555" t="s">
        <v>4895</v>
      </c>
      <c r="E2541" s="757">
        <v>0.78472222222222221</v>
      </c>
      <c r="F2541" s="731" t="s">
        <v>45</v>
      </c>
      <c r="G2541" s="730" t="s">
        <v>45</v>
      </c>
      <c r="H2541" s="555" t="s">
        <v>4896</v>
      </c>
      <c r="I2541" s="555" t="s">
        <v>61</v>
      </c>
      <c r="J2541" s="751" t="s">
        <v>3451</v>
      </c>
      <c r="K2541" s="555" t="s">
        <v>22</v>
      </c>
      <c r="L2541" s="555" t="s">
        <v>45</v>
      </c>
      <c r="M2541" s="555" t="s">
        <v>4897</v>
      </c>
    </row>
    <row r="2542" spans="3:13" ht="18.75">
      <c r="C2542" s="735"/>
      <c r="D2542" s="555" t="s">
        <v>4898</v>
      </c>
      <c r="E2542" s="757">
        <v>0.96388888888888891</v>
      </c>
      <c r="F2542" s="731">
        <v>44381</v>
      </c>
      <c r="G2542" s="730">
        <v>9.4444444444444442E-2</v>
      </c>
      <c r="H2542" s="555" t="s">
        <v>2893</v>
      </c>
      <c r="I2542" s="555" t="s">
        <v>124</v>
      </c>
      <c r="J2542" s="555" t="s">
        <v>4900</v>
      </c>
      <c r="K2542" s="555" t="s">
        <v>100</v>
      </c>
      <c r="L2542" s="555" t="s">
        <v>4677</v>
      </c>
      <c r="M2542" s="555" t="s">
        <v>4901</v>
      </c>
    </row>
    <row r="2543" spans="3:13" ht="18.75">
      <c r="C2543" s="735"/>
      <c r="D2543" s="555" t="s">
        <v>4899</v>
      </c>
      <c r="E2543" s="757">
        <v>0.6479166666666667</v>
      </c>
      <c r="F2543" s="731">
        <v>44381</v>
      </c>
      <c r="G2543" s="730">
        <v>0.85555555555555562</v>
      </c>
      <c r="H2543" s="555" t="s">
        <v>4049</v>
      </c>
      <c r="I2543" s="555" t="s">
        <v>124</v>
      </c>
      <c r="J2543" s="555" t="s">
        <v>3411</v>
      </c>
      <c r="K2543" s="555" t="s">
        <v>3416</v>
      </c>
      <c r="L2543" s="555" t="s">
        <v>3055</v>
      </c>
      <c r="M2543" s="555" t="s">
        <v>3055</v>
      </c>
    </row>
    <row r="2544" spans="3:13" ht="18.75">
      <c r="C2544" s="735"/>
      <c r="D2544" s="555" t="s">
        <v>4902</v>
      </c>
      <c r="E2544" s="757">
        <v>0.23055555555555554</v>
      </c>
      <c r="F2544" s="731">
        <v>44382</v>
      </c>
      <c r="G2544" s="730">
        <v>0.37361111111111112</v>
      </c>
      <c r="H2544" s="555" t="s">
        <v>2868</v>
      </c>
      <c r="I2544" s="555" t="s">
        <v>61</v>
      </c>
      <c r="J2544" s="555" t="s">
        <v>3411</v>
      </c>
      <c r="K2544" s="555" t="s">
        <v>2483</v>
      </c>
      <c r="L2544" s="555" t="s">
        <v>3055</v>
      </c>
      <c r="M2544" s="555" t="s">
        <v>3055</v>
      </c>
    </row>
    <row r="2545" spans="3:13" ht="18.75">
      <c r="C2545" s="735"/>
      <c r="D2545" s="555" t="s">
        <v>4902</v>
      </c>
      <c r="E2545" s="757">
        <v>0.58611111111111114</v>
      </c>
      <c r="F2545" s="731">
        <v>44382</v>
      </c>
      <c r="G2545" s="730">
        <v>0.6118055555555556</v>
      </c>
      <c r="H2545" s="555" t="s">
        <v>4048</v>
      </c>
      <c r="I2545" s="555" t="s">
        <v>4903</v>
      </c>
      <c r="J2545" s="555" t="s">
        <v>3447</v>
      </c>
      <c r="K2545" s="555" t="s">
        <v>2483</v>
      </c>
      <c r="L2545" s="555" t="s">
        <v>3055</v>
      </c>
      <c r="M2545" s="555" t="s">
        <v>3055</v>
      </c>
    </row>
    <row r="2546" spans="3:13" ht="18.75">
      <c r="C2546" s="735"/>
      <c r="D2546" s="555" t="s">
        <v>4904</v>
      </c>
      <c r="E2546" s="757">
        <v>0.82013888888888886</v>
      </c>
      <c r="F2546" s="731">
        <v>44383</v>
      </c>
      <c r="G2546" s="730">
        <v>0.90972222222222221</v>
      </c>
      <c r="H2546" s="555" t="s">
        <v>2895</v>
      </c>
      <c r="I2546" s="555" t="s">
        <v>3143</v>
      </c>
      <c r="J2546" s="555" t="s">
        <v>2753</v>
      </c>
      <c r="K2546" s="555" t="s">
        <v>4905</v>
      </c>
      <c r="L2546" s="555" t="s">
        <v>45</v>
      </c>
      <c r="M2546" s="555" t="s">
        <v>4906</v>
      </c>
    </row>
    <row r="2547" spans="3:13" ht="18.75">
      <c r="C2547" s="735"/>
      <c r="D2547" s="555" t="s">
        <v>4907</v>
      </c>
      <c r="E2547" s="757">
        <v>1.3888888888888889E-3</v>
      </c>
      <c r="F2547" s="731">
        <v>44384</v>
      </c>
      <c r="G2547" s="730">
        <v>1.3888888888888888E-2</v>
      </c>
      <c r="H2547" s="555" t="s">
        <v>4534</v>
      </c>
      <c r="I2547" s="555" t="s">
        <v>63</v>
      </c>
      <c r="J2547" s="555" t="s">
        <v>3411</v>
      </c>
      <c r="K2547" s="555" t="s">
        <v>2483</v>
      </c>
      <c r="L2547" s="555" t="s">
        <v>4908</v>
      </c>
      <c r="M2547" s="555" t="s">
        <v>3055</v>
      </c>
    </row>
    <row r="2548" spans="3:13" ht="18.75">
      <c r="C2548" s="735"/>
      <c r="D2548" s="555" t="s">
        <v>4907</v>
      </c>
      <c r="E2548" s="757">
        <v>0.64583333333333337</v>
      </c>
      <c r="F2548" s="731" t="s">
        <v>45</v>
      </c>
      <c r="G2548" s="730" t="s">
        <v>45</v>
      </c>
      <c r="H2548" s="555" t="s">
        <v>4909</v>
      </c>
      <c r="I2548" s="555" t="s">
        <v>3143</v>
      </c>
      <c r="J2548" s="555" t="s">
        <v>2753</v>
      </c>
      <c r="K2548" s="555" t="s">
        <v>22</v>
      </c>
      <c r="L2548" s="555" t="s">
        <v>45</v>
      </c>
      <c r="M2548" s="555" t="s">
        <v>3251</v>
      </c>
    </row>
    <row r="2549" spans="3:13" ht="18.75">
      <c r="C2549" s="735"/>
      <c r="D2549" s="555" t="s">
        <v>4910</v>
      </c>
      <c r="E2549" s="757">
        <v>0.7090277777777777</v>
      </c>
      <c r="F2549" s="731">
        <v>44385</v>
      </c>
      <c r="G2549" s="730">
        <v>0.72499999999999998</v>
      </c>
      <c r="H2549" s="555" t="s">
        <v>2868</v>
      </c>
      <c r="I2549" s="555" t="s">
        <v>61</v>
      </c>
      <c r="J2549" s="555" t="s">
        <v>3411</v>
      </c>
      <c r="K2549" s="555" t="s">
        <v>4905</v>
      </c>
      <c r="L2549" s="555" t="s">
        <v>3055</v>
      </c>
      <c r="M2549" s="555" t="s">
        <v>3055</v>
      </c>
    </row>
    <row r="2550" spans="3:13" ht="18.75">
      <c r="C2550" s="735"/>
      <c r="D2550" s="555" t="s">
        <v>4910</v>
      </c>
      <c r="E2550" s="757">
        <v>0.8534722222222223</v>
      </c>
      <c r="F2550" s="731">
        <v>44385</v>
      </c>
      <c r="G2550" s="730">
        <v>0.85625000000000007</v>
      </c>
      <c r="H2550" s="555" t="s">
        <v>4911</v>
      </c>
      <c r="I2550" s="555" t="s">
        <v>674</v>
      </c>
      <c r="J2550" s="555" t="s">
        <v>3411</v>
      </c>
      <c r="K2550" s="555" t="s">
        <v>4905</v>
      </c>
      <c r="L2550" s="555" t="s">
        <v>4912</v>
      </c>
      <c r="M2550" s="555" t="s">
        <v>3055</v>
      </c>
    </row>
    <row r="2551" spans="3:13" ht="18.75">
      <c r="C2551" s="735"/>
      <c r="D2551" s="555" t="s">
        <v>4913</v>
      </c>
      <c r="E2551" s="757">
        <v>0.73888888888888893</v>
      </c>
      <c r="F2551" s="731">
        <v>44386</v>
      </c>
      <c r="G2551" s="730">
        <v>0.87847222222222221</v>
      </c>
      <c r="H2551" s="555" t="s">
        <v>2945</v>
      </c>
      <c r="I2551" s="555" t="s">
        <v>124</v>
      </c>
      <c r="J2551" s="555" t="s">
        <v>3415</v>
      </c>
      <c r="K2551" s="555" t="s">
        <v>1138</v>
      </c>
      <c r="L2551" s="555" t="s">
        <v>4914</v>
      </c>
      <c r="M2551" s="555" t="s">
        <v>45</v>
      </c>
    </row>
    <row r="2552" spans="3:13" ht="18.75">
      <c r="C2552" s="735"/>
      <c r="D2552" s="555" t="s">
        <v>4913</v>
      </c>
      <c r="E2552" s="757">
        <v>0.85069444444444453</v>
      </c>
      <c r="F2552" s="731">
        <v>44387</v>
      </c>
      <c r="G2552" s="730">
        <v>0.875</v>
      </c>
      <c r="H2552" s="555" t="s">
        <v>3414</v>
      </c>
      <c r="I2552" s="555" t="s">
        <v>124</v>
      </c>
      <c r="J2552" s="555" t="s">
        <v>3415</v>
      </c>
      <c r="K2552" s="555" t="s">
        <v>22</v>
      </c>
      <c r="L2552" s="555" t="s">
        <v>3614</v>
      </c>
      <c r="M2552" s="555" t="s">
        <v>4916</v>
      </c>
    </row>
    <row r="2553" spans="3:13" ht="18.75">
      <c r="C2553" s="735"/>
      <c r="D2553" s="555" t="s">
        <v>4915</v>
      </c>
      <c r="E2553" s="757">
        <v>2.0833333333333332E-2</v>
      </c>
      <c r="F2553" s="731">
        <v>44387</v>
      </c>
      <c r="G2553" s="730">
        <v>0.20833333333333334</v>
      </c>
      <c r="H2553" s="555" t="s">
        <v>4917</v>
      </c>
      <c r="I2553" s="555" t="s">
        <v>4918</v>
      </c>
      <c r="J2553" s="555" t="s">
        <v>2753</v>
      </c>
      <c r="K2553" s="555" t="s">
        <v>4905</v>
      </c>
      <c r="L2553" s="555" t="s">
        <v>45</v>
      </c>
      <c r="M2553" s="555" t="s">
        <v>4919</v>
      </c>
    </row>
    <row r="2554" spans="3:13" ht="18.75">
      <c r="C2554" s="735"/>
      <c r="D2554" s="555" t="s">
        <v>4915</v>
      </c>
      <c r="E2554" s="757">
        <v>0</v>
      </c>
      <c r="F2554" s="731">
        <v>44388</v>
      </c>
      <c r="G2554" s="730">
        <v>0.66666666666666663</v>
      </c>
      <c r="H2554" s="555" t="s">
        <v>3642</v>
      </c>
      <c r="I2554" s="555" t="s">
        <v>674</v>
      </c>
      <c r="J2554" s="555" t="s">
        <v>2753</v>
      </c>
      <c r="K2554" s="555" t="s">
        <v>22</v>
      </c>
      <c r="L2554" s="555" t="s">
        <v>45</v>
      </c>
      <c r="M2554" s="555" t="s">
        <v>4650</v>
      </c>
    </row>
    <row r="2555" spans="3:13" ht="18.75">
      <c r="C2555" s="735"/>
      <c r="D2555" s="555" t="s">
        <v>4915</v>
      </c>
      <c r="E2555" s="757">
        <v>7.9861111111111105E-2</v>
      </c>
      <c r="F2555" s="731">
        <v>44387</v>
      </c>
      <c r="G2555" s="730">
        <v>8.0555555555555561E-2</v>
      </c>
      <c r="H2555" s="555" t="s">
        <v>2864</v>
      </c>
      <c r="I2555" s="555" t="s">
        <v>63</v>
      </c>
      <c r="J2555" s="555" t="s">
        <v>2753</v>
      </c>
      <c r="K2555" s="555" t="s">
        <v>22</v>
      </c>
      <c r="L2555" s="555" t="s">
        <v>45</v>
      </c>
      <c r="M2555" s="555" t="s">
        <v>4111</v>
      </c>
    </row>
    <row r="2556" spans="3:13" ht="18.75">
      <c r="C2556" s="735"/>
      <c r="D2556" s="555" t="s">
        <v>4915</v>
      </c>
      <c r="E2556" s="757">
        <v>0.75</v>
      </c>
      <c r="F2556" s="731">
        <v>44387</v>
      </c>
      <c r="G2556" s="730">
        <v>0.875</v>
      </c>
      <c r="H2556" s="555" t="s">
        <v>4133</v>
      </c>
      <c r="I2556" s="555" t="s">
        <v>124</v>
      </c>
      <c r="J2556" s="555" t="s">
        <v>3415</v>
      </c>
      <c r="K2556" s="555" t="s">
        <v>2483</v>
      </c>
      <c r="L2556" s="555" t="s">
        <v>4921</v>
      </c>
      <c r="M2556" s="555" t="s">
        <v>4922</v>
      </c>
    </row>
    <row r="2557" spans="3:13" ht="18.75">
      <c r="C2557" s="735"/>
      <c r="D2557" s="555" t="s">
        <v>4915</v>
      </c>
      <c r="E2557" s="757">
        <v>2.0833333333333332E-2</v>
      </c>
      <c r="F2557" s="731">
        <v>44387</v>
      </c>
      <c r="G2557" s="730">
        <v>0.20833333333333334</v>
      </c>
      <c r="H2557" s="555" t="s">
        <v>3629</v>
      </c>
      <c r="I2557" s="555" t="s">
        <v>4918</v>
      </c>
      <c r="J2557" s="555" t="s">
        <v>2753</v>
      </c>
      <c r="K2557" s="555" t="s">
        <v>4905</v>
      </c>
      <c r="L2557" s="555" t="s">
        <v>45</v>
      </c>
      <c r="M2557" s="555" t="s">
        <v>4923</v>
      </c>
    </row>
    <row r="2558" spans="3:13" ht="18.75">
      <c r="C2558" s="735"/>
      <c r="D2558" s="555" t="s">
        <v>4920</v>
      </c>
      <c r="E2558" s="757">
        <v>0.75</v>
      </c>
      <c r="F2558" s="731">
        <v>44388</v>
      </c>
      <c r="G2558" s="730">
        <v>0.875</v>
      </c>
      <c r="H2558" s="555" t="s">
        <v>4133</v>
      </c>
      <c r="I2558" s="555" t="s">
        <v>124</v>
      </c>
      <c r="J2558" s="555" t="s">
        <v>3415</v>
      </c>
      <c r="K2558" s="555" t="s">
        <v>2483</v>
      </c>
      <c r="L2558" s="555" t="s">
        <v>4921</v>
      </c>
      <c r="M2558" s="555" t="s">
        <v>4922</v>
      </c>
    </row>
    <row r="2559" spans="3:13" ht="18.75">
      <c r="C2559" s="735"/>
      <c r="D2559" s="555" t="s">
        <v>4924</v>
      </c>
      <c r="E2559" s="757">
        <v>0.66041666666666665</v>
      </c>
      <c r="F2559" s="731">
        <v>44390</v>
      </c>
      <c r="G2559" s="730">
        <v>0.70833333333333337</v>
      </c>
      <c r="H2559" s="555" t="s">
        <v>3385</v>
      </c>
      <c r="I2559" s="555" t="s">
        <v>124</v>
      </c>
      <c r="J2559" s="555" t="s">
        <v>3356</v>
      </c>
      <c r="K2559" s="555" t="s">
        <v>2343</v>
      </c>
      <c r="L2559" s="555" t="s">
        <v>3055</v>
      </c>
      <c r="M2559" s="555" t="s">
        <v>3055</v>
      </c>
    </row>
    <row r="2560" spans="3:13" ht="18.75">
      <c r="C2560" s="735"/>
      <c r="D2560" s="555" t="s">
        <v>4926</v>
      </c>
      <c r="E2560" s="757">
        <v>0.59375</v>
      </c>
      <c r="F2560" s="731">
        <v>44391</v>
      </c>
      <c r="G2560" s="730">
        <v>0.59444444444444444</v>
      </c>
      <c r="H2560" s="555" t="s">
        <v>2939</v>
      </c>
      <c r="I2560" s="555" t="s">
        <v>124</v>
      </c>
      <c r="J2560" s="555" t="s">
        <v>2839</v>
      </c>
      <c r="K2560" s="555" t="s">
        <v>4905</v>
      </c>
      <c r="L2560" s="555" t="s">
        <v>4036</v>
      </c>
      <c r="M2560" s="555" t="s">
        <v>4336</v>
      </c>
    </row>
    <row r="2561" spans="3:13" ht="18.75">
      <c r="C2561" s="735"/>
      <c r="D2561" s="555" t="s">
        <v>4927</v>
      </c>
      <c r="E2561" s="757">
        <v>0.16666666666666666</v>
      </c>
      <c r="F2561" s="731">
        <v>44395</v>
      </c>
      <c r="G2561" s="730">
        <v>0.4069444444444445</v>
      </c>
      <c r="H2561" s="555" t="s">
        <v>4928</v>
      </c>
      <c r="I2561" s="555" t="s">
        <v>3143</v>
      </c>
      <c r="J2561" s="555" t="s">
        <v>3411</v>
      </c>
      <c r="K2561" s="555" t="s">
        <v>2483</v>
      </c>
      <c r="L2561" s="555" t="s">
        <v>3055</v>
      </c>
      <c r="M2561" s="555" t="s">
        <v>3055</v>
      </c>
    </row>
    <row r="2562" spans="3:13" ht="18.75">
      <c r="C2562" s="735"/>
      <c r="D2562" s="555" t="s">
        <v>4929</v>
      </c>
      <c r="E2562" s="757">
        <v>0.68125000000000002</v>
      </c>
      <c r="F2562" s="731">
        <v>44397</v>
      </c>
      <c r="G2562" s="730">
        <v>0.70833333333333337</v>
      </c>
      <c r="H2562" s="555" t="s">
        <v>2895</v>
      </c>
      <c r="I2562" s="555" t="s">
        <v>3143</v>
      </c>
      <c r="J2562" s="555" t="s">
        <v>3387</v>
      </c>
      <c r="K2562" s="555" t="s">
        <v>2764</v>
      </c>
      <c r="L2562" s="555" t="s">
        <v>3055</v>
      </c>
      <c r="M2562" s="555" t="s">
        <v>3055</v>
      </c>
    </row>
    <row r="2563" spans="3:13" ht="18.75">
      <c r="C2563" s="735"/>
      <c r="D2563" s="555" t="s">
        <v>4930</v>
      </c>
      <c r="E2563" s="757">
        <v>0.61458333333333337</v>
      </c>
      <c r="F2563" s="731">
        <v>44399</v>
      </c>
      <c r="G2563" s="730">
        <v>0.5</v>
      </c>
      <c r="H2563" s="555" t="s">
        <v>4237</v>
      </c>
      <c r="I2563" s="555" t="s">
        <v>3143</v>
      </c>
      <c r="J2563" s="555" t="s">
        <v>2753</v>
      </c>
      <c r="K2563" s="555" t="s">
        <v>22</v>
      </c>
      <c r="L2563" s="555" t="s">
        <v>45</v>
      </c>
      <c r="M2563" s="555" t="s">
        <v>4932</v>
      </c>
    </row>
    <row r="2564" spans="3:13" ht="18.75">
      <c r="C2564" s="735"/>
      <c r="D2564" s="555" t="s">
        <v>4931</v>
      </c>
      <c r="E2564" s="757">
        <v>0.58333333333333337</v>
      </c>
      <c r="F2564" s="731">
        <v>44399</v>
      </c>
      <c r="G2564" s="730">
        <v>0.61111111111111105</v>
      </c>
      <c r="H2564" s="555" t="s">
        <v>3414</v>
      </c>
      <c r="I2564" s="555" t="s">
        <v>124</v>
      </c>
      <c r="J2564" s="555" t="s">
        <v>3387</v>
      </c>
      <c r="K2564" s="555" t="s">
        <v>2764</v>
      </c>
      <c r="L2564" s="555" t="s">
        <v>4933</v>
      </c>
      <c r="M2564" s="555" t="s">
        <v>3055</v>
      </c>
    </row>
    <row r="2565" spans="3:13" ht="18.75">
      <c r="C2565" s="735"/>
      <c r="D2565" s="555" t="s">
        <v>4934</v>
      </c>
      <c r="E2565" s="757">
        <v>0.33958333333333335</v>
      </c>
      <c r="F2565" s="731">
        <v>44400</v>
      </c>
      <c r="G2565" s="730">
        <v>0.35416666666666669</v>
      </c>
      <c r="H2565" s="555" t="s">
        <v>4269</v>
      </c>
      <c r="I2565" s="555" t="s">
        <v>4935</v>
      </c>
      <c r="J2565" s="555" t="s">
        <v>3411</v>
      </c>
      <c r="K2565" s="555" t="s">
        <v>2764</v>
      </c>
      <c r="L2565" s="555" t="s">
        <v>4936</v>
      </c>
      <c r="M2565" s="555" t="s">
        <v>4937</v>
      </c>
    </row>
    <row r="2566" spans="3:13" ht="18.75">
      <c r="C2566" s="735"/>
      <c r="D2566" s="555" t="s">
        <v>4934</v>
      </c>
      <c r="E2566" s="757">
        <v>0.34722222222222227</v>
      </c>
      <c r="F2566" s="731">
        <v>44400</v>
      </c>
      <c r="G2566" s="730">
        <v>0.44791666666666669</v>
      </c>
      <c r="H2566" s="555" t="s">
        <v>3256</v>
      </c>
      <c r="I2566" s="555" t="s">
        <v>4903</v>
      </c>
      <c r="J2566" s="555" t="s">
        <v>3387</v>
      </c>
      <c r="K2566" s="555" t="s">
        <v>2764</v>
      </c>
      <c r="L2566" s="555" t="s">
        <v>3055</v>
      </c>
      <c r="M2566" s="555" t="s">
        <v>3055</v>
      </c>
    </row>
    <row r="2567" spans="3:13" ht="18.75">
      <c r="C2567" s="735"/>
      <c r="D2567" s="555" t="s">
        <v>4938</v>
      </c>
      <c r="E2567" s="757">
        <v>0.85416666666666663</v>
      </c>
      <c r="F2567" s="731" t="s">
        <v>45</v>
      </c>
      <c r="G2567" s="730" t="s">
        <v>45</v>
      </c>
      <c r="H2567" s="555" t="s">
        <v>4939</v>
      </c>
      <c r="I2567" s="555" t="s">
        <v>3143</v>
      </c>
      <c r="J2567" s="555" t="s">
        <v>2753</v>
      </c>
      <c r="K2567" s="555" t="s">
        <v>22</v>
      </c>
      <c r="L2567" s="555" t="s">
        <v>45</v>
      </c>
      <c r="M2567" s="555" t="s">
        <v>4940</v>
      </c>
    </row>
    <row r="2568" spans="3:13" ht="18.75">
      <c r="C2568" s="735"/>
      <c r="D2568" s="555" t="s">
        <v>4941</v>
      </c>
      <c r="E2568" s="757">
        <v>0.32916666666666666</v>
      </c>
      <c r="F2568" s="731" t="s">
        <v>45</v>
      </c>
      <c r="G2568" s="730" t="s">
        <v>45</v>
      </c>
      <c r="H2568" s="555" t="s">
        <v>2817</v>
      </c>
      <c r="I2568" s="555" t="s">
        <v>124</v>
      </c>
      <c r="J2568" s="555" t="s">
        <v>3356</v>
      </c>
      <c r="K2568" s="555" t="s">
        <v>100</v>
      </c>
      <c r="L2568" s="555" t="s">
        <v>3055</v>
      </c>
      <c r="M2568" s="555" t="s">
        <v>3055</v>
      </c>
    </row>
    <row r="2569" spans="3:13" ht="18.75">
      <c r="C2569" s="735"/>
      <c r="D2569" s="555" t="s">
        <v>4942</v>
      </c>
      <c r="E2569" s="757">
        <v>0.53749999999999998</v>
      </c>
      <c r="F2569" s="731">
        <v>44405</v>
      </c>
      <c r="G2569" s="730">
        <v>0.65416666666666667</v>
      </c>
      <c r="H2569" s="555" t="s">
        <v>2959</v>
      </c>
      <c r="I2569" s="555" t="s">
        <v>61</v>
      </c>
      <c r="J2569" s="555" t="s">
        <v>3387</v>
      </c>
      <c r="K2569" s="555" t="s">
        <v>2764</v>
      </c>
      <c r="L2569" s="555" t="s">
        <v>3055</v>
      </c>
      <c r="M2569" s="555" t="s">
        <v>3055</v>
      </c>
    </row>
    <row r="2570" spans="3:13" ht="18.75">
      <c r="C2570" s="735"/>
      <c r="D2570" s="555" t="s">
        <v>4943</v>
      </c>
      <c r="E2570" s="757">
        <v>0.3347222222222222</v>
      </c>
      <c r="F2570" s="731">
        <v>44407</v>
      </c>
      <c r="G2570" s="730">
        <v>0.39861111111111108</v>
      </c>
      <c r="H2570" s="555" t="s">
        <v>3554</v>
      </c>
      <c r="I2570" s="555" t="s">
        <v>674</v>
      </c>
      <c r="J2570" s="555" t="s">
        <v>3387</v>
      </c>
      <c r="K2570" s="555" t="s">
        <v>2952</v>
      </c>
      <c r="L2570" s="555" t="s">
        <v>3055</v>
      </c>
      <c r="M2570" s="555" t="s">
        <v>3055</v>
      </c>
    </row>
    <row r="2571" spans="3:13" ht="18.75">
      <c r="C2571" s="735"/>
      <c r="D2571" s="555" t="s">
        <v>4944</v>
      </c>
      <c r="E2571" s="757">
        <v>0.375</v>
      </c>
      <c r="F2571" s="731">
        <v>44412</v>
      </c>
      <c r="G2571" s="730">
        <v>0.375</v>
      </c>
      <c r="H2571" s="555" t="s">
        <v>2817</v>
      </c>
      <c r="I2571" s="555" t="s">
        <v>124</v>
      </c>
      <c r="J2571" s="555" t="s">
        <v>2910</v>
      </c>
      <c r="K2571" s="555" t="s">
        <v>100</v>
      </c>
      <c r="L2571" s="555" t="s">
        <v>3055</v>
      </c>
      <c r="M2571" s="555" t="s">
        <v>3055</v>
      </c>
    </row>
    <row r="2572" spans="3:13" ht="18.75">
      <c r="C2572" s="735"/>
      <c r="D2572" s="555" t="s">
        <v>4944</v>
      </c>
      <c r="E2572" s="757">
        <v>0.98402777777777783</v>
      </c>
      <c r="F2572" s="731">
        <v>44410</v>
      </c>
      <c r="G2572" s="730">
        <v>0</v>
      </c>
      <c r="H2572" s="555" t="s">
        <v>4947</v>
      </c>
      <c r="I2572" s="555" t="s">
        <v>124</v>
      </c>
      <c r="J2572" s="555" t="s">
        <v>2839</v>
      </c>
      <c r="K2572" s="555" t="s">
        <v>22</v>
      </c>
      <c r="L2572" s="555" t="s">
        <v>4948</v>
      </c>
      <c r="M2572" s="555" t="s">
        <v>4949</v>
      </c>
    </row>
    <row r="2573" spans="3:13" ht="18.75">
      <c r="C2573" s="735"/>
      <c r="D2573" s="555" t="s">
        <v>4946</v>
      </c>
      <c r="E2573" s="757">
        <v>0.26597222222222222</v>
      </c>
      <c r="F2573" s="731">
        <v>44410</v>
      </c>
      <c r="G2573" s="730">
        <v>0.66319444444444442</v>
      </c>
      <c r="H2573" s="555" t="s">
        <v>4950</v>
      </c>
      <c r="I2573" s="555" t="s">
        <v>1352</v>
      </c>
      <c r="J2573" s="555" t="s">
        <v>3411</v>
      </c>
      <c r="K2573" s="555" t="s">
        <v>2990</v>
      </c>
      <c r="L2573" s="555" t="s">
        <v>4782</v>
      </c>
      <c r="M2573" s="555" t="s">
        <v>4634</v>
      </c>
    </row>
    <row r="2574" spans="3:13" ht="18.75">
      <c r="C2574" s="735"/>
      <c r="D2574" s="555" t="s">
        <v>4946</v>
      </c>
      <c r="E2574" s="757">
        <v>1.2499999999999999E-2</v>
      </c>
      <c r="F2574" s="731">
        <v>44410</v>
      </c>
      <c r="G2574" s="730">
        <v>0.44930555555555557</v>
      </c>
      <c r="H2574" s="555" t="s">
        <v>4950</v>
      </c>
      <c r="I2574" s="555" t="s">
        <v>1352</v>
      </c>
      <c r="J2574" s="555" t="s">
        <v>3411</v>
      </c>
      <c r="K2574" s="555" t="s">
        <v>2990</v>
      </c>
      <c r="L2574" s="555" t="s">
        <v>4951</v>
      </c>
      <c r="M2574" s="555" t="s">
        <v>4952</v>
      </c>
    </row>
    <row r="2575" spans="3:13" ht="18.75">
      <c r="C2575" s="735"/>
      <c r="D2575" s="555" t="s">
        <v>4953</v>
      </c>
      <c r="E2575" s="757">
        <v>0.2951388888888889</v>
      </c>
      <c r="F2575" s="731">
        <v>44411</v>
      </c>
      <c r="G2575" s="730">
        <v>0.31388888888888888</v>
      </c>
      <c r="H2575" s="555" t="s">
        <v>4185</v>
      </c>
      <c r="I2575" s="555" t="s">
        <v>1352</v>
      </c>
      <c r="J2575" s="555" t="s">
        <v>3402</v>
      </c>
      <c r="K2575" s="555" t="s">
        <v>2118</v>
      </c>
      <c r="L2575" s="555" t="s">
        <v>3055</v>
      </c>
      <c r="M2575" s="555" t="s">
        <v>3055</v>
      </c>
    </row>
    <row r="2576" spans="3:13" ht="18.75">
      <c r="C2576" s="735"/>
      <c r="D2576" s="555" t="s">
        <v>4953</v>
      </c>
      <c r="E2576" s="757">
        <v>0.19097222222222221</v>
      </c>
      <c r="F2576" s="731">
        <v>44411</v>
      </c>
      <c r="G2576" s="730">
        <v>0.22777777777777777</v>
      </c>
      <c r="H2576" s="555" t="s">
        <v>4954</v>
      </c>
      <c r="I2576" s="555" t="s">
        <v>124</v>
      </c>
      <c r="J2576" s="555" t="s">
        <v>3411</v>
      </c>
      <c r="K2576" s="555" t="s">
        <v>2764</v>
      </c>
      <c r="L2576" s="555" t="s">
        <v>3497</v>
      </c>
      <c r="M2576" s="555" t="s">
        <v>45</v>
      </c>
    </row>
    <row r="2577" spans="3:13" ht="18.75">
      <c r="C2577" s="735"/>
      <c r="D2577" s="555" t="s">
        <v>4955</v>
      </c>
      <c r="E2577" s="757">
        <v>0.9375</v>
      </c>
      <c r="F2577" s="731">
        <v>44421</v>
      </c>
      <c r="G2577" s="730">
        <v>0.69305555555555554</v>
      </c>
      <c r="H2577" s="555" t="s">
        <v>4957</v>
      </c>
      <c r="I2577" s="555" t="s">
        <v>3143</v>
      </c>
      <c r="J2577" s="555" t="s">
        <v>2753</v>
      </c>
      <c r="K2577" s="555" t="s">
        <v>22</v>
      </c>
      <c r="L2577" s="555" t="s">
        <v>45</v>
      </c>
      <c r="M2577" s="555" t="s">
        <v>4958</v>
      </c>
    </row>
    <row r="2578" spans="3:13" ht="18.75">
      <c r="C2578" s="735"/>
      <c r="D2578" s="555" t="s">
        <v>4955</v>
      </c>
      <c r="E2578" s="757">
        <v>0.85416666666666663</v>
      </c>
      <c r="F2578" s="731">
        <v>44419</v>
      </c>
      <c r="G2578" s="730">
        <v>0.79166666666666663</v>
      </c>
      <c r="H2578" s="555" t="s">
        <v>3461</v>
      </c>
      <c r="I2578" s="555" t="s">
        <v>4903</v>
      </c>
      <c r="J2578" s="555" t="s">
        <v>2753</v>
      </c>
      <c r="K2578" s="555" t="s">
        <v>22</v>
      </c>
      <c r="L2578" s="555" t="s">
        <v>45</v>
      </c>
      <c r="M2578" s="555" t="s">
        <v>4960</v>
      </c>
    </row>
    <row r="2579" spans="3:13" ht="18.75">
      <c r="C2579" s="735"/>
      <c r="D2579" s="555" t="s">
        <v>4955</v>
      </c>
      <c r="E2579" s="757">
        <v>0.83333333333333337</v>
      </c>
      <c r="F2579" s="731" t="s">
        <v>45</v>
      </c>
      <c r="G2579" s="730" t="s">
        <v>45</v>
      </c>
      <c r="H2579" s="555" t="s">
        <v>4961</v>
      </c>
      <c r="I2579" s="555" t="s">
        <v>4903</v>
      </c>
      <c r="J2579" s="555" t="s">
        <v>2753</v>
      </c>
      <c r="K2579" s="555" t="s">
        <v>22</v>
      </c>
      <c r="L2579" s="555" t="s">
        <v>45</v>
      </c>
      <c r="M2579" s="555" t="s">
        <v>3664</v>
      </c>
    </row>
    <row r="2580" spans="3:13" ht="18.75">
      <c r="C2580" s="735"/>
      <c r="D2580" s="555" t="s">
        <v>4959</v>
      </c>
      <c r="E2580" s="757">
        <v>0.64930555555555558</v>
      </c>
      <c r="F2580" s="731" t="s">
        <v>45</v>
      </c>
      <c r="G2580" s="730" t="s">
        <v>45</v>
      </c>
      <c r="H2580" s="555" t="s">
        <v>4962</v>
      </c>
      <c r="I2580" s="555" t="s">
        <v>3143</v>
      </c>
      <c r="J2580" s="555" t="s">
        <v>2753</v>
      </c>
      <c r="K2580" s="555" t="s">
        <v>22</v>
      </c>
      <c r="L2580" s="555" t="s">
        <v>45</v>
      </c>
      <c r="M2580" s="555" t="s">
        <v>4963</v>
      </c>
    </row>
    <row r="2581" spans="3:13" ht="18.75">
      <c r="C2581" s="735"/>
      <c r="D2581" s="555" t="s">
        <v>4959</v>
      </c>
      <c r="E2581" s="757">
        <v>0.79999999999999993</v>
      </c>
      <c r="F2581" s="731">
        <v>44419</v>
      </c>
      <c r="G2581" s="730">
        <v>0.90902777777777777</v>
      </c>
      <c r="H2581" s="555" t="s">
        <v>2895</v>
      </c>
      <c r="I2581" s="555" t="s">
        <v>3143</v>
      </c>
      <c r="J2581" s="555" t="s">
        <v>2753</v>
      </c>
      <c r="K2581" s="555" t="s">
        <v>22</v>
      </c>
      <c r="L2581" s="555" t="s">
        <v>45</v>
      </c>
      <c r="M2581" s="555" t="s">
        <v>4964</v>
      </c>
    </row>
    <row r="2582" spans="3:13" ht="18.75">
      <c r="C2582" s="735"/>
      <c r="D2582" s="555" t="s">
        <v>4965</v>
      </c>
      <c r="E2582" s="757">
        <v>0.7895833333333333</v>
      </c>
      <c r="F2582" s="731">
        <v>44421</v>
      </c>
      <c r="G2582" s="730">
        <v>0.25</v>
      </c>
      <c r="H2582" s="555" t="s">
        <v>4392</v>
      </c>
      <c r="I2582" s="555" t="s">
        <v>4903</v>
      </c>
      <c r="J2582" s="555" t="s">
        <v>2753</v>
      </c>
      <c r="K2582" s="555" t="s">
        <v>22</v>
      </c>
      <c r="L2582" s="555" t="s">
        <v>45</v>
      </c>
      <c r="M2582" s="555" t="s">
        <v>4966</v>
      </c>
    </row>
    <row r="2583" spans="3:13" ht="18.75">
      <c r="C2583" s="735"/>
      <c r="D2583" s="555" t="s">
        <v>4965</v>
      </c>
      <c r="E2583" s="757">
        <v>0.91875000000000007</v>
      </c>
      <c r="F2583" s="731">
        <v>44420</v>
      </c>
      <c r="G2583" s="730">
        <v>0.9472222222222223</v>
      </c>
      <c r="H2583" s="555" t="s">
        <v>3335</v>
      </c>
      <c r="I2583" s="555" t="s">
        <v>61</v>
      </c>
      <c r="J2583" s="555" t="s">
        <v>3447</v>
      </c>
      <c r="K2583" s="555" t="s">
        <v>2764</v>
      </c>
      <c r="L2583" s="555" t="s">
        <v>3055</v>
      </c>
      <c r="M2583" s="555" t="s">
        <v>3055</v>
      </c>
    </row>
    <row r="2584" spans="3:13" ht="18.75">
      <c r="C2584" s="735"/>
      <c r="D2584" s="555" t="s">
        <v>4967</v>
      </c>
      <c r="E2584" s="757">
        <v>0.72013888888888899</v>
      </c>
      <c r="F2584" s="731">
        <v>44424</v>
      </c>
      <c r="G2584" s="730">
        <v>0.14583333333333334</v>
      </c>
      <c r="H2584" s="555" t="s">
        <v>4969</v>
      </c>
      <c r="I2584" s="555" t="s">
        <v>124</v>
      </c>
      <c r="J2584" s="555" t="s">
        <v>2910</v>
      </c>
      <c r="K2584" s="555" t="s">
        <v>2293</v>
      </c>
      <c r="L2584" s="555" t="s">
        <v>3055</v>
      </c>
      <c r="M2584" s="555" t="s">
        <v>3055</v>
      </c>
    </row>
    <row r="2585" spans="3:13" ht="18.75">
      <c r="C2585" s="735"/>
      <c r="D2585" s="555" t="s">
        <v>4968</v>
      </c>
      <c r="E2585" s="757">
        <v>0.6743055555555556</v>
      </c>
      <c r="F2585" s="731">
        <v>44424</v>
      </c>
      <c r="G2585" s="730">
        <v>0.68819444444444444</v>
      </c>
      <c r="H2585" s="555" t="s">
        <v>4970</v>
      </c>
      <c r="I2585" s="555" t="s">
        <v>124</v>
      </c>
      <c r="J2585" s="555" t="s">
        <v>3356</v>
      </c>
      <c r="K2585" s="555" t="s">
        <v>100</v>
      </c>
      <c r="L2585" s="555" t="s">
        <v>3055</v>
      </c>
      <c r="M2585" s="555" t="s">
        <v>3055</v>
      </c>
    </row>
    <row r="2586" spans="3:13" ht="18.75">
      <c r="C2586" s="735"/>
      <c r="D2586" s="555" t="s">
        <v>4971</v>
      </c>
      <c r="E2586" s="757">
        <v>0.80208333333333337</v>
      </c>
      <c r="F2586" s="731">
        <v>44426</v>
      </c>
      <c r="G2586" s="730">
        <v>0.73958333333333337</v>
      </c>
      <c r="H2586" s="555" t="s">
        <v>4973</v>
      </c>
      <c r="I2586" s="555" t="s">
        <v>124</v>
      </c>
      <c r="J2586" s="555" t="s">
        <v>2753</v>
      </c>
      <c r="K2586" s="555" t="s">
        <v>22</v>
      </c>
      <c r="L2586" s="555" t="s">
        <v>4974</v>
      </c>
      <c r="M2586" s="555" t="s">
        <v>4975</v>
      </c>
    </row>
    <row r="2587" spans="3:13" ht="18.75">
      <c r="C2587" s="735"/>
      <c r="D2587" s="555" t="s">
        <v>4971</v>
      </c>
      <c r="E2587" s="757">
        <v>0.58333333333333337</v>
      </c>
      <c r="F2587" s="731">
        <v>44426</v>
      </c>
      <c r="G2587" s="730">
        <v>0.58333333333333337</v>
      </c>
      <c r="H2587" s="555" t="s">
        <v>3357</v>
      </c>
      <c r="I2587" s="555" t="s">
        <v>124</v>
      </c>
      <c r="J2587" s="555" t="s">
        <v>3356</v>
      </c>
      <c r="K2587" s="555" t="s">
        <v>100</v>
      </c>
      <c r="L2587" s="555" t="s">
        <v>45</v>
      </c>
      <c r="M2587" s="555" t="s">
        <v>3055</v>
      </c>
    </row>
    <row r="2588" spans="3:13" ht="18.75">
      <c r="C2588" s="735"/>
      <c r="D2588" s="555" t="s">
        <v>4972</v>
      </c>
      <c r="E2588" s="757">
        <v>0.4861111111111111</v>
      </c>
      <c r="F2588" s="731">
        <v>44426</v>
      </c>
      <c r="G2588" s="730">
        <v>0.50902777777777775</v>
      </c>
      <c r="H2588" s="555" t="s">
        <v>2919</v>
      </c>
      <c r="I2588" s="555" t="s">
        <v>1352</v>
      </c>
      <c r="J2588" s="555" t="s">
        <v>3387</v>
      </c>
      <c r="K2588" s="555" t="s">
        <v>2764</v>
      </c>
      <c r="L2588" s="555" t="s">
        <v>3055</v>
      </c>
      <c r="M2588" s="555" t="s">
        <v>3055</v>
      </c>
    </row>
    <row r="2589" spans="3:13" ht="18.75">
      <c r="C2589" s="735"/>
      <c r="D2589" s="555" t="s">
        <v>4976</v>
      </c>
      <c r="E2589" s="757">
        <v>0.64930555555555558</v>
      </c>
      <c r="F2589" s="731">
        <v>44428</v>
      </c>
      <c r="G2589" s="730">
        <v>0.69097222222222221</v>
      </c>
      <c r="H2589" s="555" t="s">
        <v>4166</v>
      </c>
      <c r="I2589" s="555" t="s">
        <v>124</v>
      </c>
      <c r="J2589" s="555" t="s">
        <v>3356</v>
      </c>
      <c r="K2589" s="555" t="s">
        <v>100</v>
      </c>
      <c r="L2589" s="555" t="s">
        <v>3055</v>
      </c>
      <c r="M2589" s="555" t="s">
        <v>3055</v>
      </c>
    </row>
    <row r="2590" spans="3:13" ht="18.75">
      <c r="C2590" s="735"/>
      <c r="D2590" s="555" t="s">
        <v>4976</v>
      </c>
      <c r="E2590" s="757">
        <v>8.3333333333333329E-2</v>
      </c>
      <c r="F2590" s="731">
        <v>44428</v>
      </c>
      <c r="G2590" s="730">
        <v>0.125</v>
      </c>
      <c r="H2590" s="555" t="s">
        <v>4977</v>
      </c>
      <c r="I2590" s="555" t="s">
        <v>124</v>
      </c>
      <c r="J2590" s="555" t="s">
        <v>3402</v>
      </c>
      <c r="K2590" s="555" t="s">
        <v>100</v>
      </c>
      <c r="L2590" s="555" t="s">
        <v>3055</v>
      </c>
      <c r="M2590" s="555" t="s">
        <v>3055</v>
      </c>
    </row>
    <row r="2591" spans="3:13" ht="18.75">
      <c r="C2591" s="735"/>
      <c r="D2591" s="555" t="s">
        <v>4978</v>
      </c>
      <c r="E2591" s="757">
        <v>0.42638888888888887</v>
      </c>
      <c r="F2591" s="731">
        <v>44429</v>
      </c>
      <c r="G2591" s="730">
        <v>0.45277777777777778</v>
      </c>
      <c r="H2591" s="555" t="s">
        <v>4021</v>
      </c>
      <c r="I2591" s="555" t="s">
        <v>124</v>
      </c>
      <c r="J2591" s="555" t="s">
        <v>2839</v>
      </c>
      <c r="K2591" s="555" t="s">
        <v>22</v>
      </c>
      <c r="L2591" s="555" t="s">
        <v>3055</v>
      </c>
      <c r="M2591" s="555" t="s">
        <v>4979</v>
      </c>
    </row>
    <row r="2592" spans="3:13" ht="18.75">
      <c r="C2592" s="735"/>
      <c r="D2592" s="555" t="s">
        <v>4980</v>
      </c>
      <c r="E2592" s="757">
        <v>0.50763888888888886</v>
      </c>
      <c r="F2592" s="731">
        <v>44431</v>
      </c>
      <c r="G2592" s="730">
        <v>0.6875</v>
      </c>
      <c r="H2592" s="555" t="s">
        <v>4982</v>
      </c>
      <c r="I2592" s="555" t="s">
        <v>61</v>
      </c>
      <c r="J2592" s="555" t="s">
        <v>2753</v>
      </c>
      <c r="K2592" s="555" t="s">
        <v>22</v>
      </c>
      <c r="L2592" s="555" t="s">
        <v>45</v>
      </c>
      <c r="M2592" s="555" t="s">
        <v>4983</v>
      </c>
    </row>
    <row r="2593" spans="3:13" ht="18.75">
      <c r="C2593" s="735"/>
      <c r="D2593" s="555" t="s">
        <v>4984</v>
      </c>
      <c r="E2593" s="757">
        <v>0.90069444444444446</v>
      </c>
      <c r="F2593" s="731" t="s">
        <v>45</v>
      </c>
      <c r="G2593" s="730" t="s">
        <v>45</v>
      </c>
      <c r="H2593" s="555" t="s">
        <v>4985</v>
      </c>
      <c r="I2593" s="555" t="s">
        <v>3143</v>
      </c>
      <c r="J2593" s="555" t="s">
        <v>2753</v>
      </c>
      <c r="K2593" s="555" t="s">
        <v>22</v>
      </c>
      <c r="L2593" s="555" t="s">
        <v>45</v>
      </c>
      <c r="M2593" s="555" t="s">
        <v>4986</v>
      </c>
    </row>
    <row r="2594" spans="3:13" ht="18.75">
      <c r="C2594" s="735"/>
      <c r="D2594" s="555" t="s">
        <v>4984</v>
      </c>
      <c r="E2594" s="757">
        <v>0.70833333333333337</v>
      </c>
      <c r="F2594" s="731">
        <v>44434</v>
      </c>
      <c r="G2594" s="730">
        <v>0.58819444444444446</v>
      </c>
      <c r="H2594" s="555" t="s">
        <v>4988</v>
      </c>
      <c r="I2594" s="555" t="s">
        <v>3143</v>
      </c>
      <c r="J2594" s="555" t="s">
        <v>2753</v>
      </c>
      <c r="K2594" s="555" t="s">
        <v>22</v>
      </c>
      <c r="L2594" s="555" t="s">
        <v>45</v>
      </c>
      <c r="M2594" s="555" t="s">
        <v>4989</v>
      </c>
    </row>
    <row r="2595" spans="3:13" ht="18.75">
      <c r="C2595" s="735"/>
      <c r="D2595" s="555" t="s">
        <v>4990</v>
      </c>
      <c r="E2595" s="757">
        <v>0.26111111111111113</v>
      </c>
      <c r="F2595" s="731">
        <v>44435</v>
      </c>
      <c r="G2595" s="730">
        <v>0.42638888888888887</v>
      </c>
      <c r="H2595" s="555" t="s">
        <v>4740</v>
      </c>
      <c r="I2595" s="555" t="s">
        <v>63</v>
      </c>
      <c r="J2595" s="555" t="s">
        <v>3402</v>
      </c>
      <c r="K2595" s="555" t="s">
        <v>2118</v>
      </c>
      <c r="L2595" s="555" t="s">
        <v>3055</v>
      </c>
      <c r="M2595" s="555" t="s">
        <v>3055</v>
      </c>
    </row>
    <row r="2596" spans="3:13" ht="18.75">
      <c r="C2596" s="735"/>
      <c r="D2596" s="555" t="s">
        <v>4991</v>
      </c>
      <c r="E2596" s="757">
        <v>0.47916666666666669</v>
      </c>
      <c r="F2596" s="731" t="s">
        <v>45</v>
      </c>
      <c r="G2596" s="730" t="s">
        <v>45</v>
      </c>
      <c r="H2596" s="555" t="s">
        <v>2866</v>
      </c>
      <c r="I2596" s="555" t="s">
        <v>63</v>
      </c>
      <c r="J2596" s="555" t="s">
        <v>2753</v>
      </c>
      <c r="K2596" s="555" t="s">
        <v>22</v>
      </c>
      <c r="L2596" s="555" t="s">
        <v>45</v>
      </c>
      <c r="M2596" s="555" t="s">
        <v>45</v>
      </c>
    </row>
    <row r="2597" spans="3:13" ht="18.75">
      <c r="C2597" s="735"/>
      <c r="D2597" s="555" t="s">
        <v>4991</v>
      </c>
      <c r="E2597" s="757">
        <v>0.75277777777777777</v>
      </c>
      <c r="F2597" s="731">
        <v>44439</v>
      </c>
      <c r="G2597" s="730">
        <v>0.94166666666666676</v>
      </c>
      <c r="H2597" s="555" t="s">
        <v>4408</v>
      </c>
      <c r="I2597" s="555" t="s">
        <v>63</v>
      </c>
      <c r="J2597" s="555" t="s">
        <v>4362</v>
      </c>
      <c r="K2597" s="555" t="s">
        <v>22</v>
      </c>
      <c r="L2597" s="555" t="s">
        <v>45</v>
      </c>
      <c r="M2597" s="555" t="s">
        <v>45</v>
      </c>
    </row>
    <row r="2598" spans="3:13" ht="18.75">
      <c r="C2598" s="735"/>
      <c r="D2598" s="555" t="s">
        <v>4991</v>
      </c>
      <c r="E2598" s="757">
        <v>0.75</v>
      </c>
      <c r="F2598" s="731">
        <v>44442</v>
      </c>
      <c r="G2598" s="730">
        <v>0.57013888888888886</v>
      </c>
      <c r="H2598" s="555" t="s">
        <v>2866</v>
      </c>
      <c r="I2598" s="555" t="s">
        <v>63</v>
      </c>
      <c r="J2598" s="555" t="s">
        <v>2753</v>
      </c>
      <c r="K2598" s="555" t="s">
        <v>22</v>
      </c>
      <c r="L2598" s="555" t="s">
        <v>45</v>
      </c>
      <c r="M2598" s="555" t="s">
        <v>4994</v>
      </c>
    </row>
    <row r="2599" spans="3:13" ht="18.75">
      <c r="C2599" s="735"/>
      <c r="D2599" s="555" t="s">
        <v>4991</v>
      </c>
      <c r="E2599" s="757">
        <v>0.94374999999999998</v>
      </c>
      <c r="F2599" s="731">
        <v>44442</v>
      </c>
      <c r="G2599" s="730">
        <v>0.35972222222222222</v>
      </c>
      <c r="H2599" s="555" t="s">
        <v>2866</v>
      </c>
      <c r="I2599" s="555" t="s">
        <v>63</v>
      </c>
      <c r="J2599" s="555" t="s">
        <v>2753</v>
      </c>
      <c r="K2599" s="555" t="s">
        <v>22</v>
      </c>
      <c r="L2599" s="555" t="s">
        <v>45</v>
      </c>
      <c r="M2599" s="555" t="s">
        <v>3240</v>
      </c>
    </row>
    <row r="2600" spans="3:13" ht="18.75">
      <c r="C2600" s="735"/>
      <c r="D2600" s="555" t="s">
        <v>4991</v>
      </c>
      <c r="E2600" s="757">
        <v>0.85069444444444453</v>
      </c>
      <c r="F2600" s="731" t="s">
        <v>45</v>
      </c>
      <c r="G2600" s="730" t="s">
        <v>45</v>
      </c>
      <c r="H2600" s="555" t="s">
        <v>2868</v>
      </c>
      <c r="I2600" s="555" t="s">
        <v>61</v>
      </c>
      <c r="J2600" s="555" t="s">
        <v>3411</v>
      </c>
      <c r="K2600" s="555" t="s">
        <v>2483</v>
      </c>
      <c r="L2600" s="555" t="s">
        <v>4995</v>
      </c>
      <c r="M2600" s="555" t="s">
        <v>3055</v>
      </c>
    </row>
    <row r="2601" spans="3:13" ht="18.75">
      <c r="C2601" s="735"/>
      <c r="D2601" s="555" t="s">
        <v>4991</v>
      </c>
      <c r="E2601" s="757">
        <v>0.3972222222222222</v>
      </c>
      <c r="F2601" s="731">
        <v>44437</v>
      </c>
      <c r="G2601" s="730">
        <v>0.89722222222222225</v>
      </c>
      <c r="H2601" s="555" t="s">
        <v>4996</v>
      </c>
      <c r="I2601" s="555" t="s">
        <v>63</v>
      </c>
      <c r="J2601" s="555" t="s">
        <v>3411</v>
      </c>
      <c r="K2601" s="555" t="s">
        <v>2483</v>
      </c>
      <c r="L2601" s="555" t="s">
        <v>45</v>
      </c>
      <c r="M2601" s="555" t="s">
        <v>45</v>
      </c>
    </row>
    <row r="2602" spans="3:13" ht="18.75">
      <c r="C2602" s="735"/>
      <c r="D2602" s="555" t="s">
        <v>4991</v>
      </c>
      <c r="E2602" s="757">
        <v>0.74513888888888891</v>
      </c>
      <c r="F2602" s="731" t="s">
        <v>45</v>
      </c>
      <c r="G2602" s="730" t="s">
        <v>45</v>
      </c>
      <c r="H2602" s="555" t="s">
        <v>2866</v>
      </c>
      <c r="I2602" s="555" t="s">
        <v>63</v>
      </c>
      <c r="J2602" s="555" t="s">
        <v>2839</v>
      </c>
      <c r="K2602" s="555" t="s">
        <v>22</v>
      </c>
      <c r="L2602" s="555" t="s">
        <v>45</v>
      </c>
      <c r="M2602" s="555" t="s">
        <v>45</v>
      </c>
    </row>
    <row r="2603" spans="3:13" ht="18.75">
      <c r="C2603" s="735"/>
      <c r="D2603" s="555" t="s">
        <v>4997</v>
      </c>
      <c r="E2603" s="757">
        <v>0.88680555555555562</v>
      </c>
      <c r="F2603" s="731">
        <v>44440</v>
      </c>
      <c r="G2603" s="730">
        <v>0.6381944444444444</v>
      </c>
      <c r="H2603" s="555" t="s">
        <v>3575</v>
      </c>
      <c r="I2603" s="555" t="s">
        <v>63</v>
      </c>
      <c r="J2603" s="555" t="s">
        <v>3356</v>
      </c>
      <c r="K2603" s="555" t="s">
        <v>2293</v>
      </c>
      <c r="L2603" s="555" t="s">
        <v>3055</v>
      </c>
      <c r="M2603" s="555" t="s">
        <v>3055</v>
      </c>
    </row>
    <row r="2604" spans="3:13" ht="18.75">
      <c r="C2604" s="735"/>
      <c r="D2604" s="555" t="s">
        <v>4998</v>
      </c>
      <c r="E2604" s="757">
        <v>0.26527777777777778</v>
      </c>
      <c r="F2604" s="731">
        <v>44440</v>
      </c>
      <c r="G2604" s="730">
        <v>0.66388888888888886</v>
      </c>
      <c r="H2604" s="555" t="s">
        <v>4035</v>
      </c>
      <c r="I2604" s="555" t="s">
        <v>124</v>
      </c>
      <c r="J2604" s="555" t="s">
        <v>2910</v>
      </c>
      <c r="K2604" s="555" t="s">
        <v>100</v>
      </c>
      <c r="L2604" s="555" t="s">
        <v>3055</v>
      </c>
      <c r="M2604" s="555" t="s">
        <v>3055</v>
      </c>
    </row>
    <row r="2605" spans="3:13" ht="18.75">
      <c r="C2605" s="735"/>
      <c r="D2605" s="555" t="s">
        <v>4998</v>
      </c>
      <c r="E2605" s="757">
        <v>0.72916666666666663</v>
      </c>
      <c r="F2605" s="731">
        <v>44441</v>
      </c>
      <c r="G2605" s="730">
        <v>8.3333333333333329E-2</v>
      </c>
      <c r="H2605" s="555" t="s">
        <v>4237</v>
      </c>
      <c r="I2605" s="555" t="s">
        <v>3143</v>
      </c>
      <c r="J2605" s="555" t="s">
        <v>2753</v>
      </c>
      <c r="K2605" s="555" t="s">
        <v>22</v>
      </c>
      <c r="L2605" s="555" t="s">
        <v>45</v>
      </c>
      <c r="M2605" s="555" t="s">
        <v>5000</v>
      </c>
    </row>
    <row r="2606" spans="3:13" ht="18.75">
      <c r="C2606" s="735"/>
      <c r="D2606" s="555" t="s">
        <v>4999</v>
      </c>
      <c r="E2606" s="757">
        <v>0.58819444444444446</v>
      </c>
      <c r="F2606" s="731">
        <v>44441</v>
      </c>
      <c r="G2606" s="730">
        <v>0.59027777777777779</v>
      </c>
      <c r="H2606" s="555" t="s">
        <v>2797</v>
      </c>
      <c r="I2606" s="555" t="s">
        <v>1352</v>
      </c>
      <c r="J2606" s="555" t="s">
        <v>3402</v>
      </c>
      <c r="K2606" s="555" t="s">
        <v>2118</v>
      </c>
      <c r="L2606" s="555" t="s">
        <v>3055</v>
      </c>
      <c r="M2606" s="555" t="s">
        <v>3055</v>
      </c>
    </row>
    <row r="2607" spans="3:13" ht="18.75">
      <c r="C2607" s="735"/>
      <c r="D2607" s="555" t="s">
        <v>5001</v>
      </c>
      <c r="E2607" s="757">
        <v>0.72916666666666663</v>
      </c>
      <c r="F2607" s="731">
        <v>44448</v>
      </c>
      <c r="G2607" s="730">
        <v>0.375</v>
      </c>
      <c r="H2607" s="555" t="s">
        <v>5003</v>
      </c>
      <c r="I2607" s="555" t="s">
        <v>3143</v>
      </c>
      <c r="J2607" s="555" t="s">
        <v>2753</v>
      </c>
      <c r="K2607" s="555" t="s">
        <v>22</v>
      </c>
      <c r="L2607" s="555" t="s">
        <v>45</v>
      </c>
      <c r="M2607" s="555" t="s">
        <v>5004</v>
      </c>
    </row>
    <row r="2608" spans="3:13" ht="18.75">
      <c r="C2608" s="735"/>
      <c r="D2608" s="555" t="s">
        <v>5001</v>
      </c>
      <c r="E2608" s="757">
        <v>0.83333333333333337</v>
      </c>
      <c r="F2608" s="731">
        <v>44448</v>
      </c>
      <c r="G2608" s="730">
        <v>0.29166666666666669</v>
      </c>
      <c r="H2608" s="555" t="s">
        <v>3528</v>
      </c>
      <c r="I2608" s="555" t="s">
        <v>3143</v>
      </c>
      <c r="J2608" s="555" t="s">
        <v>2753</v>
      </c>
      <c r="K2608" s="555" t="s">
        <v>22</v>
      </c>
      <c r="L2608" s="555" t="s">
        <v>45</v>
      </c>
      <c r="M2608" s="555" t="s">
        <v>3237</v>
      </c>
    </row>
    <row r="2609" spans="3:13" ht="18.75">
      <c r="C2609" s="735"/>
      <c r="D2609" s="555" t="s">
        <v>5005</v>
      </c>
      <c r="E2609" s="757">
        <v>0.51041666666666663</v>
      </c>
      <c r="F2609" s="731">
        <v>44447</v>
      </c>
      <c r="G2609" s="730">
        <v>0.52638888888888891</v>
      </c>
      <c r="H2609" s="555" t="s">
        <v>5006</v>
      </c>
      <c r="I2609" s="555" t="s">
        <v>674</v>
      </c>
      <c r="J2609" s="555" t="s">
        <v>3411</v>
      </c>
      <c r="K2609" s="555" t="s">
        <v>2483</v>
      </c>
      <c r="L2609" s="555" t="s">
        <v>5007</v>
      </c>
      <c r="M2609" s="555" t="s">
        <v>3081</v>
      </c>
    </row>
    <row r="2610" spans="3:13" ht="18.75">
      <c r="C2610" s="735"/>
      <c r="D2610" s="555" t="s">
        <v>5002</v>
      </c>
      <c r="E2610" s="757">
        <v>0.66666666666666663</v>
      </c>
      <c r="F2610" s="731">
        <v>44448</v>
      </c>
      <c r="G2610" s="730">
        <v>0.72916666666666663</v>
      </c>
      <c r="H2610" s="555" t="s">
        <v>2945</v>
      </c>
      <c r="I2610" s="555" t="s">
        <v>124</v>
      </c>
      <c r="J2610" s="555" t="s">
        <v>3356</v>
      </c>
      <c r="K2610" s="555" t="s">
        <v>100</v>
      </c>
      <c r="L2610" s="555" t="s">
        <v>3055</v>
      </c>
      <c r="M2610" s="555" t="s">
        <v>3055</v>
      </c>
    </row>
    <row r="2611" spans="3:13" ht="18.75">
      <c r="C2611" s="735"/>
      <c r="D2611" s="555" t="s">
        <v>5002</v>
      </c>
      <c r="E2611" s="757">
        <v>0.70833333333333337</v>
      </c>
      <c r="F2611" s="731">
        <v>44448</v>
      </c>
      <c r="G2611" s="730">
        <v>0.83333333333333337</v>
      </c>
      <c r="H2611" s="555" t="s">
        <v>4133</v>
      </c>
      <c r="I2611" s="555" t="s">
        <v>124</v>
      </c>
      <c r="J2611" s="555" t="s">
        <v>3415</v>
      </c>
      <c r="K2611" s="555" t="s">
        <v>2764</v>
      </c>
      <c r="L2611" s="555" t="s">
        <v>4012</v>
      </c>
      <c r="M2611" s="555" t="s">
        <v>4922</v>
      </c>
    </row>
    <row r="2612" spans="3:13" ht="18.75">
      <c r="C2612" s="735"/>
      <c r="D2612" s="555" t="s">
        <v>5008</v>
      </c>
      <c r="E2612" s="757">
        <v>0.47013888888888888</v>
      </c>
      <c r="F2612" s="731">
        <v>44449</v>
      </c>
      <c r="G2612" s="730">
        <v>0.47152777777777777</v>
      </c>
      <c r="H2612" s="555" t="s">
        <v>5009</v>
      </c>
      <c r="I2612" s="555" t="s">
        <v>674</v>
      </c>
      <c r="J2612" s="555" t="s">
        <v>3411</v>
      </c>
      <c r="K2612" s="555" t="s">
        <v>2483</v>
      </c>
      <c r="L2612" s="555" t="s">
        <v>4642</v>
      </c>
      <c r="M2612" s="555" t="s">
        <v>3081</v>
      </c>
    </row>
    <row r="2613" spans="3:13" ht="18.75">
      <c r="C2613" s="735"/>
      <c r="D2613" s="555" t="s">
        <v>5008</v>
      </c>
      <c r="E2613" s="757">
        <v>0.58680555555555558</v>
      </c>
      <c r="F2613" s="731" t="s">
        <v>45</v>
      </c>
      <c r="G2613" s="730" t="s">
        <v>45</v>
      </c>
      <c r="H2613" s="555" t="s">
        <v>5010</v>
      </c>
      <c r="I2613" s="555" t="s">
        <v>674</v>
      </c>
      <c r="J2613" s="555" t="s">
        <v>3356</v>
      </c>
      <c r="K2613" s="555" t="s">
        <v>100</v>
      </c>
      <c r="L2613" s="555" t="s">
        <v>3055</v>
      </c>
      <c r="M2613" s="555" t="s">
        <v>3055</v>
      </c>
    </row>
    <row r="2614" spans="3:13" ht="18.75">
      <c r="C2614" s="735"/>
      <c r="D2614" s="555" t="s">
        <v>5008</v>
      </c>
      <c r="E2614" s="757">
        <v>0.30555555555555552</v>
      </c>
      <c r="F2614" s="731">
        <v>44449</v>
      </c>
      <c r="G2614" s="730">
        <v>0.37847222222222227</v>
      </c>
      <c r="H2614" s="555" t="s">
        <v>2945</v>
      </c>
      <c r="I2614" s="555" t="s">
        <v>124</v>
      </c>
      <c r="J2614" s="555" t="s">
        <v>2753</v>
      </c>
      <c r="K2614" s="555" t="s">
        <v>22</v>
      </c>
      <c r="L2614" s="555" t="s">
        <v>4384</v>
      </c>
      <c r="M2614" s="555" t="s">
        <v>5011</v>
      </c>
    </row>
    <row r="2615" spans="3:13" ht="18.75">
      <c r="C2615" s="735"/>
      <c r="D2615" s="555" t="s">
        <v>5008</v>
      </c>
      <c r="E2615" s="757">
        <v>7.9861111111111105E-2</v>
      </c>
      <c r="F2615" s="731">
        <v>44449</v>
      </c>
      <c r="G2615" s="730">
        <v>8.6111111111111124E-2</v>
      </c>
      <c r="H2615" s="555" t="s">
        <v>5012</v>
      </c>
      <c r="I2615" s="555" t="s">
        <v>63</v>
      </c>
      <c r="J2615" s="555" t="s">
        <v>3411</v>
      </c>
      <c r="K2615" s="555" t="s">
        <v>22</v>
      </c>
      <c r="L2615" s="555" t="s">
        <v>4100</v>
      </c>
      <c r="M2615" s="555" t="s">
        <v>45</v>
      </c>
    </row>
    <row r="2616" spans="3:13" ht="18.75">
      <c r="C2616" s="735"/>
      <c r="D2616" s="555" t="s">
        <v>5013</v>
      </c>
      <c r="E2616" s="757">
        <v>0.35555555555555557</v>
      </c>
      <c r="F2616" s="731" t="s">
        <v>45</v>
      </c>
      <c r="G2616" s="730" t="s">
        <v>45</v>
      </c>
      <c r="H2616" s="555" t="s">
        <v>5014</v>
      </c>
      <c r="I2616" s="555" t="s">
        <v>5015</v>
      </c>
      <c r="J2616" s="555" t="s">
        <v>2910</v>
      </c>
      <c r="K2616" s="555" t="s">
        <v>2293</v>
      </c>
      <c r="L2616" s="555" t="s">
        <v>3055</v>
      </c>
      <c r="M2616" s="555" t="s">
        <v>3055</v>
      </c>
    </row>
    <row r="2617" spans="3:13" ht="18.75">
      <c r="C2617" s="735"/>
      <c r="D2617" s="555" t="s">
        <v>5016</v>
      </c>
      <c r="E2617" s="757">
        <v>0.51250000000000007</v>
      </c>
      <c r="F2617" s="731">
        <v>44452</v>
      </c>
      <c r="G2617" s="730">
        <v>0.55208333333333337</v>
      </c>
      <c r="H2617" s="555" t="s">
        <v>5017</v>
      </c>
      <c r="I2617" s="555" t="s">
        <v>124</v>
      </c>
      <c r="J2617" s="555" t="s">
        <v>3411</v>
      </c>
      <c r="K2617" s="555" t="s">
        <v>2483</v>
      </c>
      <c r="L2617" s="555" t="s">
        <v>3055</v>
      </c>
      <c r="M2617" s="555" t="s">
        <v>3055</v>
      </c>
    </row>
    <row r="2618" spans="3:13" ht="18.75">
      <c r="C2618" s="735"/>
      <c r="D2618" s="555" t="s">
        <v>5016</v>
      </c>
      <c r="E2618" s="757">
        <v>0.99930555555555556</v>
      </c>
      <c r="F2618" s="731" t="s">
        <v>45</v>
      </c>
      <c r="G2618" s="730" t="s">
        <v>45</v>
      </c>
      <c r="H2618" s="555" t="s">
        <v>2809</v>
      </c>
      <c r="I2618" s="555" t="s">
        <v>1352</v>
      </c>
      <c r="J2618" s="555" t="s">
        <v>2753</v>
      </c>
      <c r="K2618" s="555" t="s">
        <v>22</v>
      </c>
      <c r="L2618" s="555" t="s">
        <v>45</v>
      </c>
      <c r="M2618" s="555" t="s">
        <v>5018</v>
      </c>
    </row>
    <row r="2619" spans="3:13" ht="18.75">
      <c r="C2619" s="735"/>
      <c r="D2619" s="555" t="s">
        <v>5016</v>
      </c>
      <c r="E2619" s="757">
        <v>0.54861111111111105</v>
      </c>
      <c r="F2619" s="731" t="s">
        <v>45</v>
      </c>
      <c r="G2619" s="730" t="s">
        <v>45</v>
      </c>
      <c r="H2619" s="555" t="s">
        <v>3197</v>
      </c>
      <c r="I2619" s="555" t="s">
        <v>1352</v>
      </c>
      <c r="J2619" s="555" t="s">
        <v>3356</v>
      </c>
      <c r="K2619" s="555" t="s">
        <v>2483</v>
      </c>
      <c r="L2619" s="555" t="s">
        <v>3055</v>
      </c>
      <c r="M2619" s="555" t="s">
        <v>3055</v>
      </c>
    </row>
    <row r="2620" spans="3:13" ht="18.75">
      <c r="C2620" s="735"/>
      <c r="D2620" s="555" t="s">
        <v>5016</v>
      </c>
      <c r="E2620" s="757">
        <v>0.75</v>
      </c>
      <c r="F2620" s="731">
        <v>44453</v>
      </c>
      <c r="G2620" s="730">
        <v>3.4027777777777775E-2</v>
      </c>
      <c r="H2620" s="555" t="s">
        <v>2809</v>
      </c>
      <c r="I2620" s="555" t="s">
        <v>1352</v>
      </c>
      <c r="J2620" s="555" t="s">
        <v>2753</v>
      </c>
      <c r="K2620" s="555" t="s">
        <v>22</v>
      </c>
      <c r="L2620" s="555" t="s">
        <v>45</v>
      </c>
      <c r="M2620" s="555" t="s">
        <v>5020</v>
      </c>
    </row>
    <row r="2621" spans="3:13" ht="18.75">
      <c r="C2621" s="735"/>
      <c r="D2621" s="555" t="s">
        <v>5019</v>
      </c>
      <c r="E2621" s="757">
        <v>2.4305555555555556E-2</v>
      </c>
      <c r="F2621" s="731">
        <v>44457</v>
      </c>
      <c r="G2621" s="730">
        <v>0.80555555555555547</v>
      </c>
      <c r="H2621" s="555" t="s">
        <v>2809</v>
      </c>
      <c r="I2621" s="555" t="s">
        <v>1352</v>
      </c>
      <c r="J2621" s="555" t="s">
        <v>2753</v>
      </c>
      <c r="K2621" s="555" t="s">
        <v>22</v>
      </c>
      <c r="L2621" s="555" t="s">
        <v>5022</v>
      </c>
      <c r="M2621" s="555" t="s">
        <v>5023</v>
      </c>
    </row>
    <row r="2622" spans="3:13" ht="18.75">
      <c r="C2622" s="735"/>
      <c r="D2622" s="555" t="s">
        <v>5019</v>
      </c>
      <c r="E2622" s="757">
        <v>0.31666666666666665</v>
      </c>
      <c r="F2622" s="731">
        <v>44454</v>
      </c>
      <c r="G2622" s="730">
        <v>7.4999999999999997E-2</v>
      </c>
      <c r="H2622" s="555" t="s">
        <v>2919</v>
      </c>
      <c r="I2622" s="555" t="s">
        <v>1352</v>
      </c>
      <c r="J2622" s="555" t="s">
        <v>2839</v>
      </c>
      <c r="K2622" s="555" t="s">
        <v>22</v>
      </c>
      <c r="L2622" s="555" t="s">
        <v>3055</v>
      </c>
      <c r="M2622" s="555" t="s">
        <v>45</v>
      </c>
    </row>
    <row r="2623" spans="3:13" ht="18.75">
      <c r="C2623" s="735"/>
      <c r="D2623" s="555" t="s">
        <v>5019</v>
      </c>
      <c r="E2623" s="757">
        <v>0.32777777777777778</v>
      </c>
      <c r="F2623" s="731">
        <v>44453</v>
      </c>
      <c r="G2623" s="730">
        <v>0.9472222222222223</v>
      </c>
      <c r="H2623" s="555" t="s">
        <v>2919</v>
      </c>
      <c r="I2623" s="555" t="s">
        <v>1352</v>
      </c>
      <c r="J2623" s="555" t="s">
        <v>2839</v>
      </c>
      <c r="K2623" s="555" t="s">
        <v>22</v>
      </c>
      <c r="L2623" s="555" t="s">
        <v>3055</v>
      </c>
      <c r="M2623" s="555" t="s">
        <v>45</v>
      </c>
    </row>
    <row r="2624" spans="3:13" ht="18.75">
      <c r="C2624" s="735"/>
      <c r="D2624" s="555" t="s">
        <v>5024</v>
      </c>
      <c r="E2624" s="757">
        <v>0.9458333333333333</v>
      </c>
      <c r="F2624" s="731">
        <v>44455</v>
      </c>
      <c r="G2624" s="730">
        <v>2.5694444444444447E-2</v>
      </c>
      <c r="H2624" s="555" t="s">
        <v>4592</v>
      </c>
      <c r="I2624" s="555" t="s">
        <v>5026</v>
      </c>
      <c r="J2624" s="555" t="s">
        <v>3447</v>
      </c>
      <c r="K2624" s="555" t="s">
        <v>2764</v>
      </c>
      <c r="L2624" s="555" t="s">
        <v>3055</v>
      </c>
      <c r="M2624" s="555" t="s">
        <v>3055</v>
      </c>
    </row>
    <row r="2625" spans="3:13" ht="18.75">
      <c r="C2625" s="735"/>
      <c r="D2625" s="555" t="s">
        <v>5025</v>
      </c>
      <c r="E2625" s="757">
        <v>0.61736111111111114</v>
      </c>
      <c r="F2625" s="731">
        <v>44455</v>
      </c>
      <c r="G2625" s="730">
        <v>0.83472222222222225</v>
      </c>
      <c r="H2625" s="555" t="s">
        <v>3693</v>
      </c>
      <c r="I2625" s="555" t="s">
        <v>4918</v>
      </c>
      <c r="J2625" s="555" t="s">
        <v>3411</v>
      </c>
      <c r="K2625" s="555" t="s">
        <v>2483</v>
      </c>
      <c r="L2625" s="555" t="s">
        <v>3093</v>
      </c>
      <c r="M2625" s="555" t="s">
        <v>5027</v>
      </c>
    </row>
    <row r="2626" spans="3:13" ht="18.75">
      <c r="C2626" s="735"/>
      <c r="D2626" s="555" t="s">
        <v>5025</v>
      </c>
      <c r="E2626" s="757">
        <v>0.61736111111111114</v>
      </c>
      <c r="F2626" s="731">
        <v>44455</v>
      </c>
      <c r="G2626" s="730">
        <v>0.83472222222222225</v>
      </c>
      <c r="H2626" s="555" t="s">
        <v>3693</v>
      </c>
      <c r="I2626" s="555" t="s">
        <v>4918</v>
      </c>
      <c r="J2626" s="555" t="s">
        <v>3411</v>
      </c>
      <c r="K2626" s="555" t="s">
        <v>2483</v>
      </c>
      <c r="L2626" s="555" t="s">
        <v>3093</v>
      </c>
      <c r="M2626" s="555" t="s">
        <v>5027</v>
      </c>
    </row>
    <row r="2627" spans="3:13" ht="18.75">
      <c r="C2627" s="735"/>
      <c r="D2627" s="555" t="s">
        <v>5028</v>
      </c>
      <c r="E2627" s="757">
        <v>0.95833333333333337</v>
      </c>
      <c r="F2627" s="731">
        <v>44458</v>
      </c>
      <c r="G2627" s="730">
        <v>0.5</v>
      </c>
      <c r="H2627" s="555" t="s">
        <v>5030</v>
      </c>
      <c r="I2627" s="555" t="s">
        <v>124</v>
      </c>
      <c r="J2627" s="555" t="s">
        <v>2753</v>
      </c>
      <c r="K2627" s="555" t="s">
        <v>2990</v>
      </c>
      <c r="L2627" s="555" t="s">
        <v>45</v>
      </c>
      <c r="M2627" s="555" t="s">
        <v>4113</v>
      </c>
    </row>
    <row r="2628" spans="3:13" ht="18.75">
      <c r="C2628" s="735"/>
      <c r="D2628" s="555" t="s">
        <v>5028</v>
      </c>
      <c r="E2628" s="757">
        <v>0.15972222222222224</v>
      </c>
      <c r="F2628" s="731">
        <v>44457</v>
      </c>
      <c r="G2628" s="730">
        <v>0.17222222222222225</v>
      </c>
      <c r="H2628" s="555" t="s">
        <v>3561</v>
      </c>
      <c r="I2628" s="555" t="s">
        <v>3143</v>
      </c>
      <c r="J2628" s="555" t="s">
        <v>3402</v>
      </c>
      <c r="K2628" s="555" t="s">
        <v>2118</v>
      </c>
      <c r="L2628" s="555" t="s">
        <v>3055</v>
      </c>
      <c r="M2628" s="555" t="s">
        <v>3055</v>
      </c>
    </row>
    <row r="2629" spans="3:13" ht="18.75">
      <c r="C2629" s="735"/>
      <c r="D2629" s="555" t="s">
        <v>5028</v>
      </c>
      <c r="E2629" s="757">
        <v>0.125</v>
      </c>
      <c r="F2629" s="731">
        <v>44457</v>
      </c>
      <c r="G2629" s="730">
        <v>0.91666666666666663</v>
      </c>
      <c r="H2629" s="555" t="s">
        <v>3738</v>
      </c>
      <c r="I2629" s="555" t="s">
        <v>674</v>
      </c>
      <c r="J2629" s="555" t="s">
        <v>2753</v>
      </c>
      <c r="K2629" s="555" t="s">
        <v>22</v>
      </c>
      <c r="L2629" s="555" t="s">
        <v>45</v>
      </c>
      <c r="M2629" s="555" t="s">
        <v>3075</v>
      </c>
    </row>
    <row r="2630" spans="3:13" ht="18.75">
      <c r="C2630" s="735"/>
      <c r="D2630" s="555" t="s">
        <v>5021</v>
      </c>
      <c r="E2630" s="757">
        <v>0.1875</v>
      </c>
      <c r="F2630" s="731">
        <v>44457</v>
      </c>
      <c r="G2630" s="730">
        <v>0.25</v>
      </c>
      <c r="H2630" s="555" t="s">
        <v>4774</v>
      </c>
      <c r="I2630" s="555" t="s">
        <v>3143</v>
      </c>
      <c r="J2630" s="555" t="s">
        <v>3402</v>
      </c>
      <c r="K2630" s="555" t="s">
        <v>2118</v>
      </c>
      <c r="L2630" s="555" t="s">
        <v>3055</v>
      </c>
      <c r="M2630" s="555" t="s">
        <v>3055</v>
      </c>
    </row>
    <row r="2631" spans="3:13" ht="18.75">
      <c r="C2631" s="735"/>
      <c r="D2631" s="555" t="s">
        <v>5031</v>
      </c>
      <c r="E2631" s="757">
        <v>0.72013888888888899</v>
      </c>
      <c r="F2631" s="731" t="s">
        <v>45</v>
      </c>
      <c r="G2631" s="730" t="s">
        <v>45</v>
      </c>
      <c r="H2631" s="555" t="s">
        <v>5032</v>
      </c>
      <c r="I2631" s="555" t="s">
        <v>3143</v>
      </c>
      <c r="J2631" s="555" t="s">
        <v>2753</v>
      </c>
      <c r="K2631" s="555" t="s">
        <v>22</v>
      </c>
      <c r="L2631" s="555" t="s">
        <v>45</v>
      </c>
      <c r="M2631" s="555" t="s">
        <v>5033</v>
      </c>
    </row>
    <row r="2632" spans="3:13" ht="18.75">
      <c r="C2632" s="735"/>
      <c r="D2632" s="555" t="s">
        <v>5031</v>
      </c>
      <c r="E2632" s="757">
        <v>0.39999999999999997</v>
      </c>
      <c r="F2632" s="731">
        <v>44462</v>
      </c>
      <c r="G2632" s="730">
        <v>0.48958333333333331</v>
      </c>
      <c r="H2632" s="555" t="s">
        <v>2967</v>
      </c>
      <c r="I2632" s="555" t="s">
        <v>124</v>
      </c>
      <c r="J2632" s="555" t="s">
        <v>3356</v>
      </c>
      <c r="K2632" s="555" t="s">
        <v>100</v>
      </c>
      <c r="L2632" s="555" t="s">
        <v>3081</v>
      </c>
      <c r="M2632" s="555" t="s">
        <v>3055</v>
      </c>
    </row>
    <row r="2633" spans="3:13" ht="18.75">
      <c r="C2633" s="735"/>
      <c r="D2633" s="555" t="s">
        <v>5035</v>
      </c>
      <c r="E2633" s="757">
        <v>0.57222222222222219</v>
      </c>
      <c r="F2633" s="731">
        <v>44467</v>
      </c>
      <c r="G2633" s="730">
        <v>0.5805555555555556</v>
      </c>
      <c r="H2633" s="555" t="s">
        <v>5036</v>
      </c>
      <c r="I2633" s="555" t="s">
        <v>63</v>
      </c>
      <c r="J2633" s="555" t="s">
        <v>2839</v>
      </c>
      <c r="K2633" s="555" t="s">
        <v>2483</v>
      </c>
      <c r="L2633" s="555" t="s">
        <v>3787</v>
      </c>
      <c r="M2633" s="555" t="s">
        <v>5037</v>
      </c>
    </row>
    <row r="2634" spans="3:13" ht="18.75">
      <c r="C2634" s="735"/>
      <c r="D2634" s="555" t="s">
        <v>5038</v>
      </c>
      <c r="E2634" s="757">
        <v>0.4916666666666667</v>
      </c>
      <c r="F2634" s="731">
        <v>44468</v>
      </c>
      <c r="G2634" s="730">
        <v>0.51458333333333328</v>
      </c>
      <c r="H2634" s="555" t="s">
        <v>4590</v>
      </c>
      <c r="I2634" s="555" t="s">
        <v>4918</v>
      </c>
      <c r="J2634" s="555" t="s">
        <v>3387</v>
      </c>
      <c r="K2634" s="555" t="s">
        <v>2764</v>
      </c>
      <c r="L2634" s="555" t="s">
        <v>3751</v>
      </c>
      <c r="M2634" s="555" t="s">
        <v>3055</v>
      </c>
    </row>
    <row r="2635" spans="3:13" ht="18.75">
      <c r="C2635" s="735"/>
      <c r="D2635" s="555" t="s">
        <v>5039</v>
      </c>
      <c r="E2635" s="757">
        <v>0.44444444444444442</v>
      </c>
      <c r="F2635" s="731">
        <v>44472</v>
      </c>
      <c r="G2635" s="730">
        <v>0.49583333333333335</v>
      </c>
      <c r="H2635" s="555" t="s">
        <v>4185</v>
      </c>
      <c r="I2635" s="555" t="s">
        <v>1352</v>
      </c>
      <c r="J2635" s="555" t="s">
        <v>3402</v>
      </c>
      <c r="K2635" s="555" t="s">
        <v>2118</v>
      </c>
      <c r="L2635" s="555" t="s">
        <v>3055</v>
      </c>
      <c r="M2635" s="555" t="s">
        <v>3055</v>
      </c>
    </row>
    <row r="2636" spans="3:13" ht="18.75">
      <c r="C2636" s="735"/>
      <c r="D2636" s="555" t="s">
        <v>5040</v>
      </c>
      <c r="E2636" s="757">
        <v>0.29166666666666669</v>
      </c>
      <c r="F2636" s="731">
        <v>44473</v>
      </c>
      <c r="G2636" s="730">
        <v>0.33333333333333331</v>
      </c>
      <c r="H2636" s="555" t="s">
        <v>5041</v>
      </c>
      <c r="I2636" s="555" t="s">
        <v>124</v>
      </c>
      <c r="J2636" s="555" t="s">
        <v>3356</v>
      </c>
      <c r="K2636" s="555" t="s">
        <v>100</v>
      </c>
      <c r="L2636" s="555" t="s">
        <v>45</v>
      </c>
      <c r="M2636" s="555" t="s">
        <v>3055</v>
      </c>
    </row>
    <row r="2637" spans="3:13" ht="18.75">
      <c r="C2637" s="735"/>
      <c r="D2637" s="555" t="s">
        <v>5042</v>
      </c>
      <c r="E2637" s="757">
        <v>0.47986111111111113</v>
      </c>
      <c r="F2637" s="731">
        <v>44474</v>
      </c>
      <c r="G2637" s="730">
        <v>0.48055555555555557</v>
      </c>
      <c r="H2637" s="555" t="s">
        <v>4035</v>
      </c>
      <c r="I2637" s="555" t="s">
        <v>124</v>
      </c>
      <c r="J2637" s="555" t="s">
        <v>2910</v>
      </c>
      <c r="K2637" s="555" t="s">
        <v>100</v>
      </c>
      <c r="L2637" s="555" t="s">
        <v>3055</v>
      </c>
      <c r="M2637" s="555" t="s">
        <v>3055</v>
      </c>
    </row>
    <row r="2638" spans="3:13" ht="18.75">
      <c r="C2638" s="735"/>
      <c r="D2638" s="555" t="s">
        <v>5042</v>
      </c>
      <c r="E2638" s="757">
        <v>0.47986111111111113</v>
      </c>
      <c r="F2638" s="731">
        <v>44474</v>
      </c>
      <c r="G2638" s="730">
        <v>0.48055555555555557</v>
      </c>
      <c r="H2638" s="555" t="s">
        <v>4035</v>
      </c>
      <c r="I2638" s="555" t="s">
        <v>124</v>
      </c>
      <c r="J2638" s="555" t="s">
        <v>2910</v>
      </c>
      <c r="K2638" s="555" t="s">
        <v>100</v>
      </c>
      <c r="L2638" s="555" t="s">
        <v>3055</v>
      </c>
      <c r="M2638" s="555" t="s">
        <v>3055</v>
      </c>
    </row>
    <row r="2639" spans="3:13" ht="18.75">
      <c r="C2639" s="735"/>
      <c r="D2639" s="555" t="s">
        <v>5043</v>
      </c>
      <c r="E2639" s="757">
        <v>0.71875</v>
      </c>
      <c r="F2639" s="731">
        <v>44478</v>
      </c>
      <c r="G2639" s="730">
        <v>0.76041666666666663</v>
      </c>
      <c r="H2639" s="555" t="s">
        <v>3965</v>
      </c>
      <c r="I2639" s="555" t="s">
        <v>3143</v>
      </c>
      <c r="J2639" s="555" t="s">
        <v>3356</v>
      </c>
      <c r="K2639" s="555" t="s">
        <v>100</v>
      </c>
      <c r="L2639" s="555" t="s">
        <v>3055</v>
      </c>
      <c r="M2639" s="555" t="s">
        <v>3055</v>
      </c>
    </row>
    <row r="2640" spans="3:13" ht="18.75">
      <c r="C2640" s="735"/>
      <c r="D2640" s="555" t="s">
        <v>5045</v>
      </c>
      <c r="E2640" s="757">
        <v>0.27083333333333331</v>
      </c>
      <c r="F2640" s="731">
        <v>44477</v>
      </c>
      <c r="G2640" s="730">
        <v>0.41666666666666669</v>
      </c>
      <c r="H2640" s="555" t="s">
        <v>3338</v>
      </c>
      <c r="I2640" s="555" t="s">
        <v>124</v>
      </c>
      <c r="J2640" s="555" t="s">
        <v>3356</v>
      </c>
      <c r="K2640" s="555" t="s">
        <v>100</v>
      </c>
      <c r="L2640" s="555" t="s">
        <v>3055</v>
      </c>
      <c r="M2640" s="555" t="s">
        <v>3055</v>
      </c>
    </row>
    <row r="2641" spans="3:13" ht="18.75">
      <c r="C2641" s="735"/>
      <c r="D2641" s="555" t="s">
        <v>5045</v>
      </c>
      <c r="E2641" s="757">
        <v>0.60416666666666663</v>
      </c>
      <c r="F2641" s="731">
        <v>44477</v>
      </c>
      <c r="G2641" s="730">
        <v>0.77222222222222225</v>
      </c>
      <c r="H2641" s="555" t="s">
        <v>5046</v>
      </c>
      <c r="I2641" s="555" t="s">
        <v>3143</v>
      </c>
      <c r="J2641" s="555" t="s">
        <v>3387</v>
      </c>
      <c r="K2641" s="555" t="s">
        <v>2764</v>
      </c>
      <c r="L2641" s="555" t="s">
        <v>3185</v>
      </c>
      <c r="M2641" s="555" t="s">
        <v>3055</v>
      </c>
    </row>
    <row r="2642" spans="3:13" ht="18.75">
      <c r="C2642" s="735"/>
      <c r="D2642" s="555" t="s">
        <v>5044</v>
      </c>
      <c r="E2642" s="757">
        <v>0.7090277777777777</v>
      </c>
      <c r="F2642" s="731">
        <v>44479</v>
      </c>
      <c r="G2642" s="730">
        <v>0.27083333333333331</v>
      </c>
      <c r="H2642" s="555" t="s">
        <v>2928</v>
      </c>
      <c r="I2642" s="555" t="s">
        <v>63</v>
      </c>
      <c r="J2642" s="555" t="s">
        <v>3447</v>
      </c>
      <c r="K2642" s="555" t="s">
        <v>2764</v>
      </c>
      <c r="L2642" s="555" t="s">
        <v>3055</v>
      </c>
      <c r="M2642" s="555" t="s">
        <v>3055</v>
      </c>
    </row>
    <row r="2643" spans="3:13" ht="18.75">
      <c r="C2643" s="735"/>
      <c r="D2643" s="555" t="s">
        <v>5047</v>
      </c>
      <c r="E2643" s="757">
        <v>0.92708333333333337</v>
      </c>
      <c r="F2643" s="731">
        <v>44481</v>
      </c>
      <c r="G2643" s="730">
        <v>0.70833333333333337</v>
      </c>
      <c r="H2643" s="555" t="s">
        <v>5049</v>
      </c>
      <c r="I2643" s="555" t="s">
        <v>1352</v>
      </c>
      <c r="J2643" s="555" t="s">
        <v>2753</v>
      </c>
      <c r="K2643" s="555" t="s">
        <v>22</v>
      </c>
      <c r="L2643" s="555" t="s">
        <v>45</v>
      </c>
      <c r="M2643" s="555" t="s">
        <v>3458</v>
      </c>
    </row>
    <row r="2644" spans="3:13" ht="18.75">
      <c r="C2644" s="735"/>
      <c r="D2644" s="555" t="s">
        <v>5050</v>
      </c>
      <c r="E2644" s="757">
        <v>0.59861111111111109</v>
      </c>
      <c r="F2644" s="731">
        <v>44480</v>
      </c>
      <c r="G2644" s="730">
        <v>0.85416666666666663</v>
      </c>
      <c r="H2644" s="555" t="s">
        <v>2945</v>
      </c>
      <c r="I2644" s="555" t="s">
        <v>124</v>
      </c>
      <c r="J2644" s="555" t="s">
        <v>2753</v>
      </c>
      <c r="K2644" s="555" t="s">
        <v>22</v>
      </c>
      <c r="L2644" s="555" t="s">
        <v>4750</v>
      </c>
      <c r="M2644" s="555" t="s">
        <v>4345</v>
      </c>
    </row>
    <row r="2645" spans="3:13" ht="18.75">
      <c r="C2645" s="735"/>
      <c r="D2645" s="555" t="s">
        <v>5048</v>
      </c>
      <c r="E2645" s="757">
        <v>0.83888888888888891</v>
      </c>
      <c r="F2645" s="731">
        <v>44481</v>
      </c>
      <c r="G2645" s="730">
        <v>0.83958333333333324</v>
      </c>
      <c r="H2645" s="555" t="s">
        <v>4928</v>
      </c>
      <c r="I2645" s="555" t="s">
        <v>3143</v>
      </c>
      <c r="J2645" s="555" t="s">
        <v>3402</v>
      </c>
      <c r="K2645" s="555" t="s">
        <v>2118</v>
      </c>
      <c r="L2645" s="555" t="s">
        <v>3055</v>
      </c>
      <c r="M2645" s="555" t="s">
        <v>3055</v>
      </c>
    </row>
    <row r="2646" spans="3:13" ht="18.75">
      <c r="C2646" s="735"/>
      <c r="D2646" s="555" t="s">
        <v>5051</v>
      </c>
      <c r="E2646" s="757">
        <v>0.59444444444444444</v>
      </c>
      <c r="F2646" s="731">
        <v>44485</v>
      </c>
      <c r="G2646" s="730">
        <v>0.77847222222222223</v>
      </c>
      <c r="H2646" s="555" t="s">
        <v>3712</v>
      </c>
      <c r="I2646" s="555" t="s">
        <v>124</v>
      </c>
      <c r="J2646" s="555" t="s">
        <v>3411</v>
      </c>
      <c r="K2646" s="555" t="s">
        <v>2483</v>
      </c>
      <c r="L2646" s="555" t="s">
        <v>45</v>
      </c>
      <c r="M2646" s="555" t="s">
        <v>45</v>
      </c>
    </row>
    <row r="2647" spans="3:13" ht="18.75">
      <c r="C2647" s="735"/>
      <c r="D2647" s="555" t="s">
        <v>5052</v>
      </c>
      <c r="E2647" s="757">
        <v>0.9291666666666667</v>
      </c>
      <c r="F2647" s="731">
        <v>44487</v>
      </c>
      <c r="G2647" s="730">
        <v>0.97916666666666663</v>
      </c>
      <c r="H2647" s="555" t="s">
        <v>3245</v>
      </c>
      <c r="I2647" s="555" t="s">
        <v>3143</v>
      </c>
      <c r="J2647" s="555" t="s">
        <v>3387</v>
      </c>
      <c r="K2647" s="555" t="s">
        <v>2764</v>
      </c>
      <c r="L2647" s="555" t="s">
        <v>3055</v>
      </c>
      <c r="M2647" s="555" t="s">
        <v>3055</v>
      </c>
    </row>
    <row r="2648" spans="3:13" ht="18.75">
      <c r="C2648" s="735"/>
      <c r="D2648" s="555" t="s">
        <v>5052</v>
      </c>
      <c r="E2648" s="757">
        <v>0.97638888888888886</v>
      </c>
      <c r="F2648" s="731">
        <v>44488</v>
      </c>
      <c r="G2648" s="730">
        <v>0.625</v>
      </c>
      <c r="H2648" s="555" t="s">
        <v>3215</v>
      </c>
      <c r="I2648" s="555" t="s">
        <v>3143</v>
      </c>
      <c r="J2648" s="555" t="s">
        <v>3874</v>
      </c>
      <c r="K2648" s="555" t="s">
        <v>2118</v>
      </c>
      <c r="L2648" s="555" t="s">
        <v>3055</v>
      </c>
      <c r="M2648" s="555" t="s">
        <v>3055</v>
      </c>
    </row>
    <row r="2649" spans="3:13" ht="18.75">
      <c r="C2649" s="735"/>
      <c r="D2649" s="555" t="s">
        <v>5052</v>
      </c>
      <c r="E2649" s="757">
        <v>0.9770833333333333</v>
      </c>
      <c r="F2649" s="731">
        <v>44488</v>
      </c>
      <c r="G2649" s="730">
        <v>0.4201388888888889</v>
      </c>
      <c r="H2649" s="555" t="s">
        <v>5054</v>
      </c>
      <c r="I2649" s="555" t="s">
        <v>63</v>
      </c>
      <c r="J2649" s="555" t="s">
        <v>3874</v>
      </c>
      <c r="K2649" s="555" t="s">
        <v>2118</v>
      </c>
      <c r="L2649" s="555" t="s">
        <v>3055</v>
      </c>
      <c r="M2649" s="555" t="s">
        <v>3055</v>
      </c>
    </row>
    <row r="2650" spans="3:13" ht="18.75">
      <c r="C2650" s="735"/>
      <c r="D2650" s="555" t="s">
        <v>5052</v>
      </c>
      <c r="E2650" s="757">
        <v>0.93472222222222223</v>
      </c>
      <c r="F2650" s="731">
        <v>44488</v>
      </c>
      <c r="G2650" s="730">
        <v>0.34652777777777777</v>
      </c>
      <c r="H2650" s="555" t="s">
        <v>3439</v>
      </c>
      <c r="I2650" s="555" t="s">
        <v>5055</v>
      </c>
      <c r="J2650" s="555" t="s">
        <v>3402</v>
      </c>
      <c r="K2650" s="555" t="s">
        <v>2118</v>
      </c>
      <c r="L2650" s="555" t="s">
        <v>3055</v>
      </c>
      <c r="M2650" s="555" t="s">
        <v>3055</v>
      </c>
    </row>
    <row r="2651" spans="3:13" ht="18.75">
      <c r="C2651" s="735"/>
      <c r="D2651" s="555" t="s">
        <v>5052</v>
      </c>
      <c r="E2651" s="757">
        <v>0.4909722222222222</v>
      </c>
      <c r="F2651" s="731">
        <v>44487</v>
      </c>
      <c r="G2651" s="730">
        <v>0.4916666666666667</v>
      </c>
      <c r="H2651" s="555" t="s">
        <v>5056</v>
      </c>
      <c r="I2651" s="555" t="s">
        <v>63</v>
      </c>
      <c r="J2651" s="555" t="s">
        <v>3356</v>
      </c>
      <c r="K2651" s="555" t="s">
        <v>100</v>
      </c>
      <c r="L2651" s="555" t="s">
        <v>3055</v>
      </c>
      <c r="M2651" s="555" t="s">
        <v>3055</v>
      </c>
    </row>
    <row r="2652" spans="3:13" ht="18.75">
      <c r="C2652" s="735"/>
      <c r="D2652" s="555" t="s">
        <v>5053</v>
      </c>
      <c r="E2652" s="757">
        <v>0.64861111111111114</v>
      </c>
      <c r="F2652" s="731">
        <v>44488</v>
      </c>
      <c r="G2652" s="730">
        <v>0.68472222222222223</v>
      </c>
      <c r="H2652" s="555" t="s">
        <v>5057</v>
      </c>
      <c r="I2652" s="555" t="s">
        <v>3143</v>
      </c>
      <c r="J2652" s="555" t="s">
        <v>3411</v>
      </c>
      <c r="K2652" s="555" t="s">
        <v>2764</v>
      </c>
      <c r="L2652" s="555" t="s">
        <v>3659</v>
      </c>
      <c r="M2652" s="555" t="s">
        <v>3081</v>
      </c>
    </row>
    <row r="2653" spans="3:13" ht="18.75">
      <c r="C2653" s="735"/>
      <c r="D2653" s="555" t="s">
        <v>5058</v>
      </c>
      <c r="E2653" s="757">
        <v>0.95833333333333337</v>
      </c>
      <c r="F2653" s="731">
        <v>44490</v>
      </c>
      <c r="G2653" s="730">
        <v>5.5555555555555552E-2</v>
      </c>
      <c r="H2653" s="555" t="s">
        <v>4807</v>
      </c>
      <c r="I2653" s="555" t="s">
        <v>4935</v>
      </c>
      <c r="J2653" s="555" t="s">
        <v>3387</v>
      </c>
      <c r="K2653" s="555" t="s">
        <v>2764</v>
      </c>
      <c r="L2653" s="555" t="s">
        <v>3055</v>
      </c>
      <c r="M2653" s="555" t="s">
        <v>3055</v>
      </c>
    </row>
    <row r="2654" spans="3:13" ht="18.75">
      <c r="C2654" s="735"/>
      <c r="D2654" s="555" t="s">
        <v>5060</v>
      </c>
      <c r="E2654" s="757">
        <v>0.82986111111111116</v>
      </c>
      <c r="F2654" s="731">
        <v>44492</v>
      </c>
      <c r="G2654" s="730">
        <v>0.24652777777777779</v>
      </c>
      <c r="H2654" s="555" t="s">
        <v>4532</v>
      </c>
      <c r="I2654" s="555" t="s">
        <v>63</v>
      </c>
      <c r="J2654" s="555" t="s">
        <v>3387</v>
      </c>
      <c r="K2654" s="555" t="s">
        <v>2764</v>
      </c>
      <c r="L2654" s="555" t="s">
        <v>3106</v>
      </c>
      <c r="M2654" s="555" t="s">
        <v>3055</v>
      </c>
    </row>
    <row r="2655" spans="3:13" ht="18.75">
      <c r="C2655" s="735"/>
      <c r="D2655" s="555" t="s">
        <v>5062</v>
      </c>
      <c r="E2655" s="757">
        <v>0.37152777777777773</v>
      </c>
      <c r="F2655" s="731">
        <v>44494</v>
      </c>
      <c r="G2655" s="730">
        <v>0.76041666666666663</v>
      </c>
      <c r="H2655" s="555" t="s">
        <v>2945</v>
      </c>
      <c r="I2655" s="555" t="s">
        <v>124</v>
      </c>
      <c r="J2655" s="555" t="s">
        <v>2753</v>
      </c>
      <c r="K2655" s="555" t="s">
        <v>22</v>
      </c>
      <c r="L2655" s="555" t="s">
        <v>3746</v>
      </c>
      <c r="M2655" s="555" t="s">
        <v>5064</v>
      </c>
    </row>
    <row r="2656" spans="3:13" ht="18.75">
      <c r="C2656" s="735"/>
      <c r="D2656" s="555" t="s">
        <v>5062</v>
      </c>
      <c r="E2656" s="757">
        <v>0.29166666666666669</v>
      </c>
      <c r="F2656" s="731">
        <v>44495</v>
      </c>
      <c r="G2656" s="730">
        <v>0.89583333333333337</v>
      </c>
      <c r="H2656" s="555" t="s">
        <v>5066</v>
      </c>
      <c r="I2656" s="555" t="s">
        <v>124</v>
      </c>
      <c r="J2656" s="555" t="s">
        <v>2753</v>
      </c>
      <c r="K2656" s="555" t="s">
        <v>22</v>
      </c>
      <c r="L2656" s="555" t="s">
        <v>45</v>
      </c>
      <c r="M2656" s="555" t="s">
        <v>3664</v>
      </c>
    </row>
    <row r="2657" spans="3:13" ht="18.75">
      <c r="C2657" s="735"/>
      <c r="D2657" s="555" t="s">
        <v>5067</v>
      </c>
      <c r="E2657" s="757">
        <v>0.74791666666666667</v>
      </c>
      <c r="F2657" s="731">
        <v>44497</v>
      </c>
      <c r="G2657" s="730">
        <v>0.7006944444444444</v>
      </c>
      <c r="H2657" s="555" t="s">
        <v>5069</v>
      </c>
      <c r="I2657" s="555" t="s">
        <v>63</v>
      </c>
      <c r="J2657" s="555" t="s">
        <v>3411</v>
      </c>
      <c r="K2657" s="555" t="s">
        <v>2764</v>
      </c>
      <c r="L2657" s="555" t="s">
        <v>3055</v>
      </c>
      <c r="M2657" s="555" t="s">
        <v>3055</v>
      </c>
    </row>
    <row r="2658" spans="3:13" ht="18.75">
      <c r="C2658" s="735"/>
      <c r="D2658" s="555" t="s">
        <v>5067</v>
      </c>
      <c r="E2658" s="757">
        <v>0.10069444444444443</v>
      </c>
      <c r="F2658" s="731">
        <v>44498</v>
      </c>
      <c r="G2658" s="730">
        <v>0.35902777777777778</v>
      </c>
      <c r="H2658" s="555" t="s">
        <v>2984</v>
      </c>
      <c r="I2658" s="555" t="s">
        <v>61</v>
      </c>
      <c r="J2658" s="555" t="s">
        <v>2753</v>
      </c>
      <c r="K2658" s="555" t="s">
        <v>22</v>
      </c>
      <c r="L2658" s="555" t="s">
        <v>45</v>
      </c>
      <c r="M2658" s="555" t="s">
        <v>5071</v>
      </c>
    </row>
    <row r="2659" spans="3:13" ht="18.75">
      <c r="C2659" s="735"/>
      <c r="D2659" s="555" t="s">
        <v>5068</v>
      </c>
      <c r="E2659" s="757">
        <v>0.53263888888888888</v>
      </c>
      <c r="F2659" s="731">
        <v>44497</v>
      </c>
      <c r="G2659" s="730">
        <v>0.54513888888888895</v>
      </c>
      <c r="H2659" s="555" t="s">
        <v>3622</v>
      </c>
      <c r="I2659" s="555" t="s">
        <v>124</v>
      </c>
      <c r="J2659" s="555" t="s">
        <v>3411</v>
      </c>
      <c r="K2659" s="555" t="s">
        <v>2764</v>
      </c>
      <c r="L2659" s="555" t="s">
        <v>3787</v>
      </c>
      <c r="M2659" s="555" t="s">
        <v>3055</v>
      </c>
    </row>
    <row r="2660" spans="3:13" ht="18.75">
      <c r="C2660" s="735"/>
      <c r="D2660" s="555" t="s">
        <v>5068</v>
      </c>
      <c r="E2660" s="757">
        <v>0.59375</v>
      </c>
      <c r="F2660" s="731">
        <v>44499</v>
      </c>
      <c r="G2660" s="730">
        <v>0.33333333333333331</v>
      </c>
      <c r="H2660" s="555" t="s">
        <v>5073</v>
      </c>
      <c r="I2660" s="555" t="s">
        <v>1352</v>
      </c>
      <c r="J2660" s="555" t="s">
        <v>2753</v>
      </c>
      <c r="K2660" s="555" t="s">
        <v>22</v>
      </c>
      <c r="L2660" s="555" t="s">
        <v>45</v>
      </c>
      <c r="M2660" s="555" t="s">
        <v>3297</v>
      </c>
    </row>
    <row r="2661" spans="3:13" ht="18.75">
      <c r="C2661" s="735"/>
      <c r="D2661" s="555" t="s">
        <v>5068</v>
      </c>
      <c r="E2661" s="757">
        <v>0.61458333333333337</v>
      </c>
      <c r="F2661" s="731">
        <v>44498</v>
      </c>
      <c r="G2661" s="730">
        <v>0.85416666666666663</v>
      </c>
      <c r="H2661" s="555" t="s">
        <v>2809</v>
      </c>
      <c r="I2661" s="555" t="s">
        <v>1352</v>
      </c>
      <c r="J2661" s="555" t="s">
        <v>2753</v>
      </c>
      <c r="K2661" s="555" t="s">
        <v>22</v>
      </c>
      <c r="L2661" s="555" t="s">
        <v>45</v>
      </c>
      <c r="M2661" s="555" t="s">
        <v>4098</v>
      </c>
    </row>
    <row r="2662" spans="3:13" ht="18.75">
      <c r="C2662" s="735"/>
      <c r="D2662" s="555" t="s">
        <v>5068</v>
      </c>
      <c r="E2662" s="757">
        <v>0.50416666666666665</v>
      </c>
      <c r="F2662" s="731">
        <v>44497</v>
      </c>
      <c r="G2662" s="730">
        <v>0.52083333333333337</v>
      </c>
      <c r="H2662" s="555" t="s">
        <v>5074</v>
      </c>
      <c r="I2662" s="555" t="s">
        <v>1352</v>
      </c>
      <c r="J2662" s="555" t="s">
        <v>3356</v>
      </c>
      <c r="K2662" s="555" t="s">
        <v>5075</v>
      </c>
      <c r="L2662" s="555" t="s">
        <v>45</v>
      </c>
      <c r="M2662" s="555" t="s">
        <v>45</v>
      </c>
    </row>
    <row r="2663" spans="3:13" ht="18.75">
      <c r="C2663" s="735"/>
      <c r="D2663" s="555" t="s">
        <v>5070</v>
      </c>
      <c r="E2663" s="757">
        <v>0.59722222222222221</v>
      </c>
      <c r="F2663" s="731">
        <v>44498</v>
      </c>
      <c r="G2663" s="730">
        <v>0.625</v>
      </c>
      <c r="H2663" s="555" t="s">
        <v>5076</v>
      </c>
      <c r="I2663" s="555" t="s">
        <v>61</v>
      </c>
      <c r="J2663" s="555" t="s">
        <v>3402</v>
      </c>
      <c r="K2663" s="555" t="s">
        <v>2118</v>
      </c>
      <c r="L2663" s="555" t="s">
        <v>3055</v>
      </c>
      <c r="M2663" s="555" t="s">
        <v>3055</v>
      </c>
    </row>
    <row r="2664" spans="3:13" ht="18.75">
      <c r="C2664" s="735"/>
      <c r="D2664" s="555" t="s">
        <v>5072</v>
      </c>
      <c r="E2664" s="757">
        <v>0.31319444444444444</v>
      </c>
      <c r="F2664" s="731" t="s">
        <v>45</v>
      </c>
      <c r="G2664" s="730" t="s">
        <v>45</v>
      </c>
      <c r="H2664" s="555" t="s">
        <v>2833</v>
      </c>
      <c r="I2664" s="555" t="s">
        <v>3143</v>
      </c>
      <c r="J2664" s="555" t="s">
        <v>3402</v>
      </c>
      <c r="K2664" s="555" t="s">
        <v>2118</v>
      </c>
      <c r="L2664" s="555" t="s">
        <v>45</v>
      </c>
      <c r="M2664" s="555" t="s">
        <v>45</v>
      </c>
    </row>
    <row r="2665" spans="3:13" ht="18.75">
      <c r="C2665" s="735"/>
      <c r="D2665" s="555" t="s">
        <v>5077</v>
      </c>
      <c r="E2665" s="757">
        <v>0.32569444444444445</v>
      </c>
      <c r="F2665" s="731">
        <v>44500</v>
      </c>
      <c r="G2665" s="730">
        <v>0.3972222222222222</v>
      </c>
      <c r="H2665" s="555" t="s">
        <v>3967</v>
      </c>
      <c r="I2665" s="555" t="s">
        <v>124</v>
      </c>
      <c r="J2665" s="555" t="s">
        <v>2910</v>
      </c>
      <c r="K2665" s="555" t="s">
        <v>100</v>
      </c>
      <c r="L2665" s="555" t="s">
        <v>3055</v>
      </c>
      <c r="M2665" s="555" t="s">
        <v>3055</v>
      </c>
    </row>
    <row r="2666" spans="3:13" ht="18.75">
      <c r="C2666" s="735"/>
      <c r="D2666" s="555" t="s">
        <v>5078</v>
      </c>
      <c r="E2666" s="757">
        <v>0.89861111111111114</v>
      </c>
      <c r="F2666" s="731">
        <v>44504</v>
      </c>
      <c r="G2666" s="730">
        <v>0.95624999999999993</v>
      </c>
      <c r="H2666" s="555" t="s">
        <v>5079</v>
      </c>
      <c r="I2666" s="555" t="s">
        <v>124</v>
      </c>
      <c r="J2666" s="555" t="s">
        <v>3411</v>
      </c>
      <c r="K2666" s="555" t="s">
        <v>2764</v>
      </c>
      <c r="L2666" s="555" t="s">
        <v>4891</v>
      </c>
      <c r="M2666" s="555" t="s">
        <v>45</v>
      </c>
    </row>
    <row r="2667" spans="3:13" ht="18.75">
      <c r="C2667" s="735"/>
      <c r="D2667" s="555" t="s">
        <v>5080</v>
      </c>
      <c r="E2667" s="757">
        <v>0.28125</v>
      </c>
      <c r="F2667" s="731">
        <v>44506</v>
      </c>
      <c r="G2667" s="730">
        <v>0.29166666666666669</v>
      </c>
      <c r="H2667" s="555" t="s">
        <v>5081</v>
      </c>
      <c r="I2667" s="555" t="s">
        <v>3143</v>
      </c>
      <c r="J2667" s="555" t="s">
        <v>3402</v>
      </c>
      <c r="K2667" s="555" t="s">
        <v>2118</v>
      </c>
      <c r="L2667" s="555" t="s">
        <v>3055</v>
      </c>
      <c r="M2667" s="555" t="s">
        <v>3055</v>
      </c>
    </row>
    <row r="2668" spans="3:13" ht="18.75">
      <c r="C2668" s="735"/>
      <c r="D2668" s="555" t="s">
        <v>5080</v>
      </c>
      <c r="E2668" s="757">
        <v>0.3611111111111111</v>
      </c>
      <c r="F2668" s="731">
        <v>44506</v>
      </c>
      <c r="G2668" s="730">
        <v>0.36180555555555555</v>
      </c>
      <c r="H2668" s="555" t="s">
        <v>3819</v>
      </c>
      <c r="I2668" s="555" t="s">
        <v>124</v>
      </c>
      <c r="J2668" s="555" t="s">
        <v>3402</v>
      </c>
      <c r="K2668" s="555" t="s">
        <v>2118</v>
      </c>
      <c r="L2668" s="555" t="s">
        <v>45</v>
      </c>
      <c r="M2668" s="555" t="s">
        <v>3380</v>
      </c>
    </row>
    <row r="2669" spans="3:13" ht="18.75">
      <c r="C2669" s="735"/>
      <c r="D2669" s="555" t="s">
        <v>5082</v>
      </c>
      <c r="E2669" s="757">
        <v>0.95347222222222217</v>
      </c>
      <c r="F2669" s="731">
        <v>44508</v>
      </c>
      <c r="G2669" s="730">
        <v>0.98125000000000007</v>
      </c>
      <c r="H2669" s="555" t="s">
        <v>2801</v>
      </c>
      <c r="I2669" s="555" t="s">
        <v>124</v>
      </c>
      <c r="J2669" s="555" t="s">
        <v>2839</v>
      </c>
      <c r="K2669" s="555" t="s">
        <v>2764</v>
      </c>
      <c r="L2669" s="555" t="s">
        <v>5083</v>
      </c>
      <c r="M2669" s="555" t="s">
        <v>45</v>
      </c>
    </row>
    <row r="2670" spans="3:13" ht="18.75">
      <c r="C2670" s="735"/>
      <c r="D2670" s="555" t="s">
        <v>5084</v>
      </c>
      <c r="E2670" s="757">
        <v>0.75</v>
      </c>
      <c r="F2670" s="731">
        <v>44509</v>
      </c>
      <c r="G2670" s="730">
        <v>0.83333333333333337</v>
      </c>
      <c r="H2670" s="555" t="s">
        <v>3123</v>
      </c>
      <c r="I2670" s="555" t="s">
        <v>63</v>
      </c>
      <c r="J2670" s="555" t="s">
        <v>5085</v>
      </c>
      <c r="K2670" s="555" t="s">
        <v>2764</v>
      </c>
      <c r="L2670" s="555" t="s">
        <v>45</v>
      </c>
      <c r="M2670" s="555" t="s">
        <v>45</v>
      </c>
    </row>
    <row r="2671" spans="3:13" ht="18.75">
      <c r="C2671" s="735"/>
      <c r="D2671" s="555" t="s">
        <v>5084</v>
      </c>
      <c r="E2671" s="757">
        <v>0.36805555555555558</v>
      </c>
      <c r="F2671" s="731">
        <v>44509</v>
      </c>
      <c r="G2671" s="730">
        <v>0.66666666666666663</v>
      </c>
      <c r="H2671" s="555" t="s">
        <v>5086</v>
      </c>
      <c r="I2671" s="555" t="s">
        <v>3143</v>
      </c>
      <c r="J2671" s="555" t="s">
        <v>3356</v>
      </c>
      <c r="K2671" s="555" t="s">
        <v>100</v>
      </c>
      <c r="L2671" s="555" t="s">
        <v>3055</v>
      </c>
      <c r="M2671" s="555" t="s">
        <v>3055</v>
      </c>
    </row>
    <row r="2672" spans="3:13" ht="18.75">
      <c r="C2672" s="735"/>
      <c r="D2672" s="555" t="s">
        <v>5087</v>
      </c>
      <c r="E2672" s="757">
        <v>0.8881944444444444</v>
      </c>
      <c r="F2672" s="731">
        <v>44511</v>
      </c>
      <c r="G2672" s="730">
        <v>5.486111111111111E-2</v>
      </c>
      <c r="H2672" s="555" t="s">
        <v>4083</v>
      </c>
      <c r="I2672" s="555" t="s">
        <v>1352</v>
      </c>
      <c r="J2672" s="555" t="s">
        <v>3411</v>
      </c>
      <c r="K2672" s="555" t="s">
        <v>2483</v>
      </c>
      <c r="L2672" s="555" t="s">
        <v>3055</v>
      </c>
      <c r="M2672" s="555" t="s">
        <v>3055</v>
      </c>
    </row>
    <row r="2673" spans="3:13" ht="18.75">
      <c r="C2673" s="735"/>
      <c r="D2673" s="555" t="s">
        <v>5087</v>
      </c>
      <c r="E2673" s="757">
        <v>0.40902777777777777</v>
      </c>
      <c r="F2673" s="731">
        <v>44510</v>
      </c>
      <c r="G2673" s="730">
        <v>0.4201388888888889</v>
      </c>
      <c r="H2673" s="555" t="s">
        <v>2868</v>
      </c>
      <c r="I2673" s="555" t="s">
        <v>61</v>
      </c>
      <c r="J2673" s="555" t="s">
        <v>3411</v>
      </c>
      <c r="K2673" s="555" t="s">
        <v>2483</v>
      </c>
      <c r="L2673" s="555" t="s">
        <v>3055</v>
      </c>
      <c r="M2673" s="555" t="s">
        <v>3055</v>
      </c>
    </row>
    <row r="2674" spans="3:13" ht="18.75">
      <c r="C2674" s="735"/>
      <c r="D2674" s="555" t="s">
        <v>5088</v>
      </c>
      <c r="E2674" s="757">
        <v>0.24444444444444446</v>
      </c>
      <c r="F2674" s="731">
        <v>44511</v>
      </c>
      <c r="G2674" s="730">
        <v>0.25625000000000003</v>
      </c>
      <c r="H2674" s="555" t="s">
        <v>5089</v>
      </c>
      <c r="I2674" s="555" t="s">
        <v>1352</v>
      </c>
      <c r="J2674" s="555" t="s">
        <v>3411</v>
      </c>
      <c r="K2674" s="555" t="s">
        <v>2764</v>
      </c>
      <c r="L2674" s="555" t="s">
        <v>5090</v>
      </c>
      <c r="M2674" s="555" t="s">
        <v>45</v>
      </c>
    </row>
    <row r="2675" spans="3:13" ht="18.75">
      <c r="C2675" s="735"/>
      <c r="D2675" s="555" t="s">
        <v>5091</v>
      </c>
      <c r="E2675" s="757">
        <v>0.29166666666666669</v>
      </c>
      <c r="F2675" s="731">
        <v>44512</v>
      </c>
      <c r="G2675" s="730">
        <v>0.30138888888888887</v>
      </c>
      <c r="H2675" s="555" t="s">
        <v>5092</v>
      </c>
      <c r="I2675" s="555" t="s">
        <v>124</v>
      </c>
      <c r="J2675" s="555" t="s">
        <v>3356</v>
      </c>
      <c r="K2675" s="555" t="s">
        <v>100</v>
      </c>
      <c r="L2675" s="555" t="s">
        <v>3055</v>
      </c>
      <c r="M2675" s="555" t="s">
        <v>3055</v>
      </c>
    </row>
    <row r="2676" spans="3:13" ht="18.75">
      <c r="C2676" s="735"/>
      <c r="D2676" s="555" t="s">
        <v>5093</v>
      </c>
      <c r="E2676" s="757">
        <v>0.4909722222222222</v>
      </c>
      <c r="F2676" s="731" t="s">
        <v>45</v>
      </c>
      <c r="G2676" s="730" t="s">
        <v>45</v>
      </c>
      <c r="H2676" s="555" t="s">
        <v>3645</v>
      </c>
      <c r="I2676" s="555" t="s">
        <v>124</v>
      </c>
      <c r="J2676" s="555" t="s">
        <v>2910</v>
      </c>
      <c r="K2676" s="555" t="s">
        <v>2118</v>
      </c>
      <c r="L2676" s="555" t="s">
        <v>3055</v>
      </c>
      <c r="M2676" s="555" t="s">
        <v>3055</v>
      </c>
    </row>
    <row r="2677" spans="3:13" ht="18.75">
      <c r="C2677" s="735"/>
      <c r="D2677" s="555" t="s">
        <v>5093</v>
      </c>
      <c r="E2677" s="757">
        <v>0.45833333333333331</v>
      </c>
      <c r="F2677" s="731">
        <v>44517</v>
      </c>
      <c r="G2677" s="730">
        <v>0.25</v>
      </c>
      <c r="H2677" s="555" t="s">
        <v>5095</v>
      </c>
      <c r="I2677" s="555" t="s">
        <v>124</v>
      </c>
      <c r="J2677" s="555" t="s">
        <v>2753</v>
      </c>
      <c r="K2677" s="555" t="s">
        <v>22</v>
      </c>
      <c r="L2677" s="555" t="s">
        <v>45</v>
      </c>
      <c r="M2677" s="555" t="s">
        <v>3251</v>
      </c>
    </row>
    <row r="2678" spans="3:13" ht="18.75">
      <c r="C2678" s="735"/>
      <c r="D2678" s="555" t="s">
        <v>5096</v>
      </c>
      <c r="E2678" s="757">
        <v>2.9166666666666664E-2</v>
      </c>
      <c r="F2678" s="731">
        <v>44516</v>
      </c>
      <c r="G2678" s="730">
        <v>0.31597222222222221</v>
      </c>
      <c r="H2678" s="555" t="s">
        <v>2967</v>
      </c>
      <c r="I2678" s="555" t="s">
        <v>124</v>
      </c>
      <c r="J2678" s="555" t="s">
        <v>4043</v>
      </c>
      <c r="K2678" s="555" t="s">
        <v>2118</v>
      </c>
      <c r="L2678" s="555" t="s">
        <v>3055</v>
      </c>
      <c r="M2678" s="555" t="s">
        <v>3055</v>
      </c>
    </row>
    <row r="2679" spans="3:13" ht="18.75">
      <c r="C2679" s="735"/>
      <c r="D2679" s="555" t="s">
        <v>5096</v>
      </c>
      <c r="E2679" s="757">
        <v>0.73402777777777783</v>
      </c>
      <c r="F2679" s="731">
        <v>44516</v>
      </c>
      <c r="G2679" s="730">
        <v>0.76458333333333339</v>
      </c>
      <c r="H2679" s="555" t="s">
        <v>3965</v>
      </c>
      <c r="I2679" s="555" t="s">
        <v>3143</v>
      </c>
      <c r="J2679" s="555" t="s">
        <v>3447</v>
      </c>
      <c r="K2679" s="555" t="s">
        <v>2764</v>
      </c>
      <c r="L2679" s="555" t="s">
        <v>3055</v>
      </c>
      <c r="M2679" s="555" t="s">
        <v>3055</v>
      </c>
    </row>
    <row r="2680" spans="3:13" ht="18.75">
      <c r="C2680" s="735"/>
      <c r="D2680" s="555" t="s">
        <v>5094</v>
      </c>
      <c r="E2680" s="757">
        <v>0.52986111111111112</v>
      </c>
      <c r="F2680" s="731">
        <v>44517</v>
      </c>
      <c r="G2680" s="730">
        <v>0.55902777777777779</v>
      </c>
      <c r="H2680" s="555" t="s">
        <v>5097</v>
      </c>
      <c r="I2680" s="555" t="s">
        <v>3143</v>
      </c>
      <c r="J2680" s="555" t="s">
        <v>3387</v>
      </c>
      <c r="K2680" s="555" t="s">
        <v>2764</v>
      </c>
      <c r="L2680" s="555" t="s">
        <v>3055</v>
      </c>
      <c r="M2680" s="555" t="s">
        <v>3055</v>
      </c>
    </row>
    <row r="2681" spans="3:13" ht="18.75">
      <c r="C2681" s="735"/>
      <c r="D2681" s="555" t="s">
        <v>5094</v>
      </c>
      <c r="E2681" s="757">
        <v>0.54999999999999993</v>
      </c>
      <c r="F2681" s="731" t="s">
        <v>45</v>
      </c>
      <c r="G2681" s="730" t="s">
        <v>45</v>
      </c>
      <c r="H2681" s="555" t="s">
        <v>3645</v>
      </c>
      <c r="I2681" s="555" t="s">
        <v>124</v>
      </c>
      <c r="J2681" s="555" t="s">
        <v>2910</v>
      </c>
      <c r="K2681" s="555" t="s">
        <v>100</v>
      </c>
      <c r="L2681" s="555" t="s">
        <v>3055</v>
      </c>
      <c r="M2681" s="555" t="s">
        <v>3055</v>
      </c>
    </row>
    <row r="2682" spans="3:13" ht="18.75">
      <c r="C2682" s="735"/>
      <c r="D2682" s="555" t="s">
        <v>5098</v>
      </c>
      <c r="E2682" s="757">
        <v>0.41666666666666669</v>
      </c>
      <c r="F2682" s="731">
        <v>44521</v>
      </c>
      <c r="G2682" s="730">
        <v>0.41736111111111113</v>
      </c>
      <c r="H2682" s="555" t="s">
        <v>3554</v>
      </c>
      <c r="I2682" s="555" t="s">
        <v>4935</v>
      </c>
      <c r="J2682" s="555" t="s">
        <v>5099</v>
      </c>
      <c r="K2682" s="555" t="s">
        <v>2952</v>
      </c>
      <c r="L2682" s="555" t="s">
        <v>3055</v>
      </c>
      <c r="M2682" s="555" t="s">
        <v>3055</v>
      </c>
    </row>
    <row r="2683" spans="3:13" ht="18.75">
      <c r="C2683" s="735"/>
      <c r="D2683" s="555" t="s">
        <v>5100</v>
      </c>
      <c r="E2683" s="757">
        <v>0.41666666666666669</v>
      </c>
      <c r="F2683" s="731">
        <v>44526</v>
      </c>
      <c r="G2683" s="730">
        <v>0.43124999999999997</v>
      </c>
      <c r="H2683" s="555" t="s">
        <v>5102</v>
      </c>
      <c r="I2683" s="555" t="s">
        <v>124</v>
      </c>
      <c r="J2683" s="555" t="s">
        <v>2753</v>
      </c>
      <c r="K2683" s="555" t="s">
        <v>22</v>
      </c>
      <c r="L2683" s="555" t="s">
        <v>45</v>
      </c>
      <c r="M2683" s="555" t="s">
        <v>5103</v>
      </c>
    </row>
    <row r="2684" spans="3:13" ht="18.75">
      <c r="C2684" s="735"/>
      <c r="D2684" s="555" t="s">
        <v>5104</v>
      </c>
      <c r="E2684" s="757">
        <v>0.28194444444444444</v>
      </c>
      <c r="F2684" s="731">
        <v>44530</v>
      </c>
      <c r="G2684" s="730">
        <v>0.28263888888888888</v>
      </c>
      <c r="H2684" s="555" t="s">
        <v>2832</v>
      </c>
      <c r="I2684" s="555" t="s">
        <v>63</v>
      </c>
      <c r="J2684" s="555" t="s">
        <v>3411</v>
      </c>
      <c r="K2684" s="555" t="s">
        <v>2764</v>
      </c>
      <c r="L2684" s="555" t="s">
        <v>3055</v>
      </c>
      <c r="M2684" s="555" t="s">
        <v>3055</v>
      </c>
    </row>
    <row r="2685" spans="3:13" ht="18.75">
      <c r="C2685" s="735"/>
      <c r="D2685" s="555" t="s">
        <v>5104</v>
      </c>
      <c r="E2685" s="757">
        <v>0.28611111111111115</v>
      </c>
      <c r="F2685" s="731">
        <v>44530</v>
      </c>
      <c r="G2685" s="730">
        <v>0.30902777777777779</v>
      </c>
      <c r="H2685" s="555" t="s">
        <v>4185</v>
      </c>
      <c r="I2685" s="555" t="s">
        <v>1352</v>
      </c>
      <c r="J2685" s="555" t="s">
        <v>3402</v>
      </c>
      <c r="K2685" s="555" t="s">
        <v>2118</v>
      </c>
      <c r="L2685" s="555" t="s">
        <v>3055</v>
      </c>
      <c r="M2685" s="555" t="s">
        <v>3055</v>
      </c>
    </row>
    <row r="2686" spans="3:13" ht="18.75">
      <c r="C2686" s="735"/>
      <c r="D2686" s="555" t="s">
        <v>5104</v>
      </c>
      <c r="E2686" s="757">
        <v>0.57430555555555551</v>
      </c>
      <c r="F2686" s="731">
        <v>44530</v>
      </c>
      <c r="G2686" s="730">
        <v>0.59791666666666665</v>
      </c>
      <c r="H2686" s="555" t="s">
        <v>2945</v>
      </c>
      <c r="I2686" s="555" t="s">
        <v>124</v>
      </c>
      <c r="J2686" s="555" t="s">
        <v>2839</v>
      </c>
      <c r="K2686" s="555" t="s">
        <v>2764</v>
      </c>
      <c r="L2686" s="555" t="s">
        <v>5105</v>
      </c>
      <c r="M2686" s="555" t="s">
        <v>4254</v>
      </c>
    </row>
    <row r="2687" spans="3:13" ht="18.75">
      <c r="C2687" s="735"/>
      <c r="D2687" s="555" t="s">
        <v>5104</v>
      </c>
      <c r="E2687" s="757">
        <v>0.20833333333333334</v>
      </c>
      <c r="F2687" s="731">
        <v>44530</v>
      </c>
      <c r="G2687" s="730">
        <v>0.20902777777777778</v>
      </c>
      <c r="H2687" s="555" t="s">
        <v>5092</v>
      </c>
      <c r="I2687" s="555" t="s">
        <v>124</v>
      </c>
      <c r="J2687" s="555" t="s">
        <v>3356</v>
      </c>
      <c r="K2687" s="555" t="s">
        <v>100</v>
      </c>
      <c r="L2687" s="555" t="s">
        <v>3055</v>
      </c>
      <c r="M2687" s="555" t="s">
        <v>3055</v>
      </c>
    </row>
    <row r="2688" spans="3:13" ht="18.75">
      <c r="C2688" s="735"/>
      <c r="D2688" s="555" t="s">
        <v>5106</v>
      </c>
      <c r="E2688" s="757">
        <v>0.41944444444444445</v>
      </c>
      <c r="F2688" s="731">
        <v>44531</v>
      </c>
      <c r="G2688" s="730">
        <v>0.54722222222222217</v>
      </c>
      <c r="H2688" s="555" t="s">
        <v>4807</v>
      </c>
      <c r="I2688" s="555" t="s">
        <v>674</v>
      </c>
      <c r="J2688" s="555" t="s">
        <v>3387</v>
      </c>
      <c r="K2688" s="555" t="s">
        <v>2764</v>
      </c>
      <c r="L2688" s="555" t="s">
        <v>3055</v>
      </c>
      <c r="M2688" s="555" t="s">
        <v>3055</v>
      </c>
    </row>
    <row r="2689" spans="3:13" ht="18.75">
      <c r="C2689" s="735"/>
      <c r="D2689" s="555" t="s">
        <v>5107</v>
      </c>
      <c r="E2689" s="757">
        <v>0.43958333333333338</v>
      </c>
      <c r="F2689" s="731">
        <v>44532</v>
      </c>
      <c r="G2689" s="730">
        <v>0.54861111111111105</v>
      </c>
      <c r="H2689" s="555" t="s">
        <v>2919</v>
      </c>
      <c r="I2689" s="555" t="s">
        <v>1352</v>
      </c>
      <c r="J2689" s="555" t="s">
        <v>3387</v>
      </c>
      <c r="K2689" s="555" t="s">
        <v>2764</v>
      </c>
      <c r="L2689" s="555" t="s">
        <v>3055</v>
      </c>
      <c r="M2689" s="555" t="s">
        <v>3055</v>
      </c>
    </row>
    <row r="2690" spans="3:13" ht="18.75">
      <c r="C2690" s="735"/>
      <c r="D2690" s="555" t="s">
        <v>5108</v>
      </c>
      <c r="E2690" s="757">
        <v>0.60625000000000007</v>
      </c>
      <c r="F2690" s="731">
        <v>44537</v>
      </c>
      <c r="G2690" s="730">
        <v>0.65277777777777779</v>
      </c>
      <c r="H2690" s="555" t="s">
        <v>5109</v>
      </c>
      <c r="I2690" s="555" t="s">
        <v>3143</v>
      </c>
      <c r="J2690" s="555" t="s">
        <v>3411</v>
      </c>
      <c r="K2690" s="555" t="s">
        <v>2483</v>
      </c>
      <c r="L2690" s="555" t="s">
        <v>3055</v>
      </c>
      <c r="M2690" s="555" t="s">
        <v>3055</v>
      </c>
    </row>
    <row r="2691" spans="3:13" ht="18.75">
      <c r="C2691" s="735"/>
      <c r="D2691" s="555" t="s">
        <v>5110</v>
      </c>
      <c r="E2691" s="757">
        <v>0.37777777777777777</v>
      </c>
      <c r="F2691" s="731">
        <v>44538</v>
      </c>
      <c r="G2691" s="730">
        <v>0.39930555555555558</v>
      </c>
      <c r="H2691" s="555" t="s">
        <v>3719</v>
      </c>
      <c r="I2691" s="555" t="s">
        <v>61</v>
      </c>
      <c r="J2691" s="555" t="s">
        <v>3387</v>
      </c>
      <c r="K2691" s="555" t="s">
        <v>2764</v>
      </c>
      <c r="L2691" s="555" t="s">
        <v>3055</v>
      </c>
      <c r="M2691" s="555" t="s">
        <v>3055</v>
      </c>
    </row>
    <row r="2692" spans="3:13" ht="18.75">
      <c r="C2692" s="735"/>
      <c r="D2692" s="555" t="s">
        <v>5111</v>
      </c>
      <c r="E2692" s="757">
        <v>0.50416666666666665</v>
      </c>
      <c r="F2692" s="731">
        <v>44540</v>
      </c>
      <c r="G2692" s="730">
        <v>0.54652777777777783</v>
      </c>
      <c r="H2692" s="555" t="s">
        <v>2847</v>
      </c>
      <c r="I2692" s="555" t="s">
        <v>124</v>
      </c>
      <c r="J2692" s="555" t="s">
        <v>3356</v>
      </c>
      <c r="K2692" s="555" t="s">
        <v>100</v>
      </c>
      <c r="L2692" s="555" t="s">
        <v>3055</v>
      </c>
      <c r="M2692" s="555" t="s">
        <v>3055</v>
      </c>
    </row>
    <row r="2693" spans="3:13" ht="18.75">
      <c r="C2693" s="735"/>
      <c r="D2693" s="555" t="s">
        <v>5112</v>
      </c>
      <c r="E2693" s="757">
        <v>0.13402777777777777</v>
      </c>
      <c r="F2693" s="731">
        <v>44545</v>
      </c>
      <c r="G2693" s="730">
        <v>0.64583333333333337</v>
      </c>
      <c r="H2693" s="555" t="s">
        <v>5114</v>
      </c>
      <c r="I2693" s="555" t="s">
        <v>63</v>
      </c>
      <c r="J2693" s="555" t="s">
        <v>2753</v>
      </c>
      <c r="K2693" s="555" t="s">
        <v>22</v>
      </c>
      <c r="L2693" s="555" t="s">
        <v>3121</v>
      </c>
      <c r="M2693" s="555" t="s">
        <v>5115</v>
      </c>
    </row>
    <row r="2694" spans="3:13" ht="18.75">
      <c r="C2694" s="735"/>
      <c r="D2694" s="555" t="s">
        <v>5112</v>
      </c>
      <c r="E2694" s="757">
        <v>0.76111111111111107</v>
      </c>
      <c r="F2694" s="731">
        <v>44543</v>
      </c>
      <c r="G2694" s="730">
        <v>0.70833333333333337</v>
      </c>
      <c r="H2694" s="555" t="s">
        <v>2868</v>
      </c>
      <c r="I2694" s="555" t="s">
        <v>61</v>
      </c>
      <c r="J2694" s="555" t="s">
        <v>2753</v>
      </c>
      <c r="K2694" s="555" t="s">
        <v>22</v>
      </c>
      <c r="L2694" s="555" t="s">
        <v>45</v>
      </c>
      <c r="M2694" s="555" t="s">
        <v>4488</v>
      </c>
    </row>
    <row r="2695" spans="3:13" ht="18.75">
      <c r="C2695" s="735"/>
      <c r="D2695" s="555" t="s">
        <v>5112</v>
      </c>
      <c r="E2695" s="757">
        <v>0.46736111111111112</v>
      </c>
      <c r="F2695" s="731">
        <v>44542</v>
      </c>
      <c r="G2695" s="730">
        <v>0.96250000000000002</v>
      </c>
      <c r="H2695" s="555" t="s">
        <v>3307</v>
      </c>
      <c r="I2695" s="555" t="s">
        <v>674</v>
      </c>
      <c r="J2695" s="555" t="s">
        <v>2753</v>
      </c>
      <c r="K2695" s="555" t="s">
        <v>22</v>
      </c>
      <c r="L2695" s="555" t="s">
        <v>45</v>
      </c>
      <c r="M2695" s="555" t="s">
        <v>5118</v>
      </c>
    </row>
    <row r="2696" spans="3:13" ht="18.75">
      <c r="C2696" s="735"/>
      <c r="D2696" s="555" t="s">
        <v>5112</v>
      </c>
      <c r="E2696" s="757">
        <v>0.4375</v>
      </c>
      <c r="F2696" s="731">
        <v>44541</v>
      </c>
      <c r="G2696" s="730">
        <v>0.625</v>
      </c>
      <c r="H2696" s="555" t="s">
        <v>5119</v>
      </c>
      <c r="I2696" s="555" t="s">
        <v>674</v>
      </c>
      <c r="J2696" s="555" t="s">
        <v>2753</v>
      </c>
      <c r="K2696" s="555" t="s">
        <v>22</v>
      </c>
      <c r="L2696" s="555" t="s">
        <v>45</v>
      </c>
      <c r="M2696" s="555" t="s">
        <v>5120</v>
      </c>
    </row>
    <row r="2697" spans="3:13" ht="18.75">
      <c r="C2697" s="735"/>
      <c r="D2697" s="555" t="s">
        <v>5117</v>
      </c>
      <c r="E2697" s="757">
        <v>0.25972222222222224</v>
      </c>
      <c r="F2697" s="731">
        <v>44542</v>
      </c>
      <c r="G2697" s="730">
        <v>0.27777777777777779</v>
      </c>
      <c r="H2697" s="555" t="s">
        <v>5121</v>
      </c>
      <c r="I2697" s="555" t="s">
        <v>63</v>
      </c>
      <c r="J2697" s="555" t="s">
        <v>2910</v>
      </c>
      <c r="K2697" s="555" t="s">
        <v>100</v>
      </c>
      <c r="L2697" s="555" t="s">
        <v>4323</v>
      </c>
      <c r="M2697" s="555" t="s">
        <v>45</v>
      </c>
    </row>
    <row r="2698" spans="3:13" ht="18.75">
      <c r="C2698" s="735"/>
      <c r="D2698" s="555" t="s">
        <v>5122</v>
      </c>
      <c r="E2698" s="757">
        <v>0.31111111111111112</v>
      </c>
      <c r="F2698" s="731">
        <v>44544</v>
      </c>
      <c r="G2698" s="730">
        <v>0.57152777777777775</v>
      </c>
      <c r="H2698" s="555" t="s">
        <v>3079</v>
      </c>
      <c r="I2698" s="555" t="s">
        <v>124</v>
      </c>
      <c r="J2698" s="555" t="s">
        <v>2839</v>
      </c>
      <c r="K2698" s="555" t="s">
        <v>22</v>
      </c>
      <c r="L2698" s="555" t="s">
        <v>5123</v>
      </c>
      <c r="M2698" s="555" t="s">
        <v>5124</v>
      </c>
    </row>
    <row r="2699" spans="3:13" ht="18.75">
      <c r="C2699" s="735"/>
      <c r="D2699" s="555" t="s">
        <v>5122</v>
      </c>
      <c r="E2699" s="757">
        <v>0.40208333333333335</v>
      </c>
      <c r="F2699" s="731">
        <v>44544</v>
      </c>
      <c r="G2699" s="730">
        <v>0.40833333333333338</v>
      </c>
      <c r="H2699" s="555" t="s">
        <v>4049</v>
      </c>
      <c r="I2699" s="555" t="s">
        <v>124</v>
      </c>
      <c r="J2699" s="555" t="s">
        <v>3411</v>
      </c>
      <c r="K2699" s="555" t="s">
        <v>2764</v>
      </c>
      <c r="L2699" s="555" t="s">
        <v>3055</v>
      </c>
      <c r="M2699" s="555" t="s">
        <v>3055</v>
      </c>
    </row>
    <row r="2700" spans="3:13" ht="18.75">
      <c r="C2700" s="735"/>
      <c r="D2700" s="555" t="s">
        <v>5113</v>
      </c>
      <c r="E2700" s="757">
        <v>0.79166666666666663</v>
      </c>
      <c r="F2700" s="731">
        <v>44546</v>
      </c>
      <c r="G2700" s="730">
        <v>0.125</v>
      </c>
      <c r="H2700" s="555" t="s">
        <v>4703</v>
      </c>
      <c r="I2700" s="555" t="s">
        <v>674</v>
      </c>
      <c r="J2700" s="555" t="s">
        <v>2753</v>
      </c>
      <c r="K2700" s="555" t="s">
        <v>22</v>
      </c>
      <c r="L2700" s="555" t="s">
        <v>45</v>
      </c>
      <c r="M2700" s="555" t="s">
        <v>5126</v>
      </c>
    </row>
    <row r="2701" spans="3:13" ht="18.75">
      <c r="C2701" s="735"/>
      <c r="D2701" s="555" t="s">
        <v>5113</v>
      </c>
      <c r="E2701" s="757">
        <v>0.75</v>
      </c>
      <c r="F2701" s="731">
        <v>44546</v>
      </c>
      <c r="G2701" s="730">
        <v>0.375</v>
      </c>
      <c r="H2701" s="555" t="s">
        <v>5127</v>
      </c>
      <c r="I2701" s="555" t="s">
        <v>674</v>
      </c>
      <c r="J2701" s="555" t="s">
        <v>2753</v>
      </c>
      <c r="K2701" s="555" t="s">
        <v>22</v>
      </c>
      <c r="L2701" s="555" t="s">
        <v>45</v>
      </c>
      <c r="M2701" s="555" t="s">
        <v>5128</v>
      </c>
    </row>
    <row r="2702" spans="3:13" ht="18.75">
      <c r="C2702" s="735"/>
      <c r="D2702" s="555" t="s">
        <v>5113</v>
      </c>
      <c r="E2702" s="757">
        <v>0.69236111111111109</v>
      </c>
      <c r="F2702" s="731">
        <v>44546</v>
      </c>
      <c r="G2702" s="730">
        <v>0.47916666666666669</v>
      </c>
      <c r="H2702" s="555" t="s">
        <v>4614</v>
      </c>
      <c r="I2702" s="555" t="s">
        <v>5055</v>
      </c>
      <c r="J2702" s="555" t="s">
        <v>2753</v>
      </c>
      <c r="K2702" s="555" t="s">
        <v>22</v>
      </c>
      <c r="L2702" s="555" t="s">
        <v>3055</v>
      </c>
      <c r="M2702" s="555" t="s">
        <v>5129</v>
      </c>
    </row>
    <row r="2703" spans="3:13" ht="18.75">
      <c r="C2703" s="735"/>
      <c r="D2703" s="555" t="s">
        <v>5113</v>
      </c>
      <c r="E2703" s="757">
        <v>0.83333333333333337</v>
      </c>
      <c r="F2703" s="731" t="s">
        <v>45</v>
      </c>
      <c r="G2703" s="730" t="s">
        <v>45</v>
      </c>
      <c r="H2703" s="555" t="s">
        <v>3554</v>
      </c>
      <c r="I2703" s="555" t="s">
        <v>674</v>
      </c>
      <c r="J2703" s="555" t="s">
        <v>2753</v>
      </c>
      <c r="K2703" s="555" t="s">
        <v>22</v>
      </c>
      <c r="L2703" s="555" t="s">
        <v>45</v>
      </c>
      <c r="M2703" s="555" t="s">
        <v>5004</v>
      </c>
    </row>
    <row r="2704" spans="3:13" ht="18.75">
      <c r="C2704" s="735"/>
      <c r="D2704" s="555" t="s">
        <v>5113</v>
      </c>
      <c r="E2704" s="757">
        <v>0.83333333333333337</v>
      </c>
      <c r="F2704" s="731" t="s">
        <v>45</v>
      </c>
      <c r="G2704" s="730" t="s">
        <v>45</v>
      </c>
      <c r="H2704" s="555" t="s">
        <v>3554</v>
      </c>
      <c r="I2704" s="555" t="s">
        <v>674</v>
      </c>
      <c r="J2704" s="555" t="s">
        <v>2753</v>
      </c>
      <c r="K2704" s="555" t="s">
        <v>22</v>
      </c>
      <c r="L2704" s="555" t="s">
        <v>45</v>
      </c>
      <c r="M2704" s="555" t="s">
        <v>5130</v>
      </c>
    </row>
    <row r="2705" spans="3:13" ht="18.75">
      <c r="C2705" s="735"/>
      <c r="D2705" s="555" t="s">
        <v>5113</v>
      </c>
      <c r="E2705" s="757">
        <v>0.875</v>
      </c>
      <c r="F2705" s="731" t="s">
        <v>45</v>
      </c>
      <c r="G2705" s="730" t="s">
        <v>45</v>
      </c>
      <c r="H2705" s="555" t="s">
        <v>5131</v>
      </c>
      <c r="I2705" s="555" t="s">
        <v>674</v>
      </c>
      <c r="J2705" s="555" t="s">
        <v>5132</v>
      </c>
      <c r="K2705" s="555" t="s">
        <v>22</v>
      </c>
      <c r="L2705" s="555" t="s">
        <v>45</v>
      </c>
      <c r="M2705" s="555" t="s">
        <v>45</v>
      </c>
    </row>
    <row r="2706" spans="3:13" ht="18.75">
      <c r="C2706" s="735"/>
      <c r="D2706" s="555" t="s">
        <v>5113</v>
      </c>
      <c r="E2706" s="757">
        <v>0.66388888888888886</v>
      </c>
      <c r="F2706" s="731">
        <v>44545</v>
      </c>
      <c r="G2706" s="730">
        <v>0.7270833333333333</v>
      </c>
      <c r="H2706" s="555" t="s">
        <v>5133</v>
      </c>
      <c r="I2706" s="555" t="s">
        <v>674</v>
      </c>
      <c r="J2706" s="555" t="s">
        <v>3411</v>
      </c>
      <c r="K2706" s="555" t="s">
        <v>2764</v>
      </c>
      <c r="L2706" s="555" t="s">
        <v>3432</v>
      </c>
      <c r="M2706" s="555" t="s">
        <v>45</v>
      </c>
    </row>
    <row r="2707" spans="3:13" ht="18.75">
      <c r="C2707" s="735"/>
      <c r="D2707" s="555" t="s">
        <v>5113</v>
      </c>
      <c r="E2707" s="757">
        <v>0.69236111111111109</v>
      </c>
      <c r="F2707" s="731" t="s">
        <v>45</v>
      </c>
      <c r="G2707" s="730" t="s">
        <v>45</v>
      </c>
      <c r="H2707" s="555" t="s">
        <v>4614</v>
      </c>
      <c r="I2707" s="555" t="s">
        <v>5055</v>
      </c>
      <c r="J2707" s="555" t="s">
        <v>2753</v>
      </c>
      <c r="K2707" s="555" t="s">
        <v>22</v>
      </c>
      <c r="L2707" s="555" t="s">
        <v>45</v>
      </c>
      <c r="M2707" s="555" t="s">
        <v>45</v>
      </c>
    </row>
    <row r="2708" spans="3:13" ht="18.75">
      <c r="C2708" s="735"/>
      <c r="D2708" s="555" t="s">
        <v>5125</v>
      </c>
      <c r="E2708" s="757">
        <v>0.25</v>
      </c>
      <c r="F2708" s="731">
        <v>44546</v>
      </c>
      <c r="G2708" s="730">
        <v>0.83333333333333337</v>
      </c>
      <c r="H2708" s="555" t="s">
        <v>5134</v>
      </c>
      <c r="I2708" s="555" t="s">
        <v>674</v>
      </c>
      <c r="J2708" s="555" t="s">
        <v>2753</v>
      </c>
      <c r="K2708" s="555" t="s">
        <v>22</v>
      </c>
      <c r="L2708" s="555" t="s">
        <v>45</v>
      </c>
      <c r="M2708" s="555" t="s">
        <v>5135</v>
      </c>
    </row>
    <row r="2709" spans="3:13" ht="18.75">
      <c r="C2709" s="735"/>
      <c r="D2709" s="555" t="s">
        <v>5136</v>
      </c>
      <c r="E2709" s="757">
        <v>0.5444444444444444</v>
      </c>
      <c r="F2709" s="731">
        <v>44548</v>
      </c>
      <c r="G2709" s="730">
        <v>0.9159722222222223</v>
      </c>
      <c r="H2709" s="555" t="s">
        <v>2945</v>
      </c>
      <c r="I2709" s="555" t="s">
        <v>124</v>
      </c>
      <c r="J2709" s="555" t="s">
        <v>5137</v>
      </c>
      <c r="K2709" s="555" t="s">
        <v>2118</v>
      </c>
      <c r="L2709" s="555" t="s">
        <v>5105</v>
      </c>
      <c r="M2709" s="555" t="s">
        <v>5138</v>
      </c>
    </row>
    <row r="2710" spans="3:13" ht="18.75">
      <c r="C2710" s="735"/>
      <c r="D2710" s="555" t="s">
        <v>5139</v>
      </c>
      <c r="E2710" s="757">
        <v>0.8666666666666667</v>
      </c>
      <c r="F2710" s="731">
        <v>44549</v>
      </c>
      <c r="G2710" s="730">
        <v>0.875</v>
      </c>
      <c r="H2710" s="555" t="s">
        <v>4185</v>
      </c>
      <c r="I2710" s="555" t="s">
        <v>1352</v>
      </c>
      <c r="J2710" s="555" t="s">
        <v>3402</v>
      </c>
      <c r="K2710" s="555" t="s">
        <v>2118</v>
      </c>
      <c r="L2710" s="555" t="s">
        <v>3055</v>
      </c>
      <c r="M2710" s="555" t="s">
        <v>3055</v>
      </c>
    </row>
    <row r="2711" spans="3:13" ht="18.75">
      <c r="C2711" s="735"/>
      <c r="D2711" s="555" t="s">
        <v>5140</v>
      </c>
      <c r="E2711" s="757">
        <v>0.9159722222222223</v>
      </c>
      <c r="F2711" s="731">
        <v>44552</v>
      </c>
      <c r="G2711" s="730">
        <v>0.59375</v>
      </c>
      <c r="H2711" s="555" t="s">
        <v>4185</v>
      </c>
      <c r="I2711" s="555" t="s">
        <v>1352</v>
      </c>
      <c r="J2711" s="555" t="s">
        <v>3411</v>
      </c>
      <c r="K2711" s="555" t="s">
        <v>2764</v>
      </c>
      <c r="L2711" s="555" t="s">
        <v>4075</v>
      </c>
      <c r="M2711" s="555" t="s">
        <v>45</v>
      </c>
    </row>
    <row r="2712" spans="3:13" ht="18.75">
      <c r="C2712" s="735"/>
      <c r="D2712" s="555" t="s">
        <v>5142</v>
      </c>
      <c r="E2712" s="757">
        <v>4.8611111111111112E-2</v>
      </c>
      <c r="F2712" s="731">
        <v>44553</v>
      </c>
      <c r="G2712" s="730">
        <v>5.2083333333333336E-2</v>
      </c>
      <c r="H2712" s="555" t="s">
        <v>5081</v>
      </c>
      <c r="I2712" s="555" t="s">
        <v>3143</v>
      </c>
      <c r="J2712" s="555" t="s">
        <v>3402</v>
      </c>
      <c r="K2712" s="555" t="s">
        <v>2118</v>
      </c>
      <c r="L2712" s="555" t="s">
        <v>3055</v>
      </c>
      <c r="M2712" s="555" t="s">
        <v>3055</v>
      </c>
    </row>
    <row r="2713" spans="3:13" ht="18.75">
      <c r="C2713" s="735"/>
      <c r="D2713" s="555" t="s">
        <v>5142</v>
      </c>
      <c r="E2713" s="757">
        <v>0.58472222222222225</v>
      </c>
      <c r="F2713" s="731">
        <v>44553</v>
      </c>
      <c r="G2713" s="730">
        <v>0.62152777777777779</v>
      </c>
      <c r="H2713" s="555" t="s">
        <v>5143</v>
      </c>
      <c r="I2713" s="555" t="s">
        <v>61</v>
      </c>
      <c r="J2713" s="555" t="s">
        <v>3411</v>
      </c>
      <c r="K2713" s="555" t="s">
        <v>2764</v>
      </c>
      <c r="L2713" s="555" t="s">
        <v>3055</v>
      </c>
      <c r="M2713" s="555" t="s">
        <v>3055</v>
      </c>
    </row>
    <row r="2714" spans="3:13" ht="18.75">
      <c r="C2714" s="735"/>
      <c r="D2714" s="555" t="s">
        <v>5144</v>
      </c>
      <c r="E2714" s="757">
        <v>2.361111111111111E-2</v>
      </c>
      <c r="F2714" s="731">
        <v>44554</v>
      </c>
      <c r="G2714" s="730">
        <v>0.27777777777777779</v>
      </c>
      <c r="H2714" s="555" t="s">
        <v>5145</v>
      </c>
      <c r="I2714" s="555" t="s">
        <v>1352</v>
      </c>
      <c r="J2714" s="555" t="s">
        <v>3411</v>
      </c>
      <c r="K2714" s="555" t="s">
        <v>2764</v>
      </c>
      <c r="L2714" s="555" t="s">
        <v>45</v>
      </c>
      <c r="M2714" s="555" t="s">
        <v>45</v>
      </c>
    </row>
    <row r="2715" spans="3:13" ht="18.75">
      <c r="C2715" s="735"/>
      <c r="D2715" s="555" t="s">
        <v>5146</v>
      </c>
      <c r="E2715" s="757">
        <v>0.17430555555555557</v>
      </c>
      <c r="F2715" s="731">
        <v>44562</v>
      </c>
      <c r="G2715" s="730">
        <v>0.11180555555555556</v>
      </c>
      <c r="H2715" s="555" t="s">
        <v>2945</v>
      </c>
      <c r="I2715" s="555" t="s">
        <v>124</v>
      </c>
      <c r="J2715" s="555" t="s">
        <v>2753</v>
      </c>
      <c r="K2715" s="555" t="s">
        <v>22</v>
      </c>
      <c r="L2715" s="555" t="s">
        <v>5148</v>
      </c>
      <c r="M2715" s="555" t="s">
        <v>5149</v>
      </c>
    </row>
    <row r="2716" spans="3:13" ht="18.75">
      <c r="C2716" s="735"/>
      <c r="D2716" s="555" t="s">
        <v>5146</v>
      </c>
      <c r="E2716" s="757">
        <v>0.87569444444444444</v>
      </c>
      <c r="F2716" s="731">
        <v>44560</v>
      </c>
      <c r="G2716" s="730">
        <v>0.38263888888888897</v>
      </c>
      <c r="H2716" s="555" t="s">
        <v>3079</v>
      </c>
      <c r="I2716" s="555" t="s">
        <v>124</v>
      </c>
      <c r="J2716" s="555" t="s">
        <v>2839</v>
      </c>
      <c r="K2716" s="555" t="s">
        <v>2764</v>
      </c>
      <c r="L2716" s="555" t="s">
        <v>5123</v>
      </c>
      <c r="M2716" s="555" t="s">
        <v>5124</v>
      </c>
    </row>
    <row r="2717" spans="3:13" ht="18.75">
      <c r="C2717" s="735"/>
      <c r="D2717" s="555" t="s">
        <v>5151</v>
      </c>
      <c r="E2717" s="757">
        <v>0.45833333333333331</v>
      </c>
      <c r="F2717" s="731">
        <v>44559</v>
      </c>
      <c r="G2717" s="730">
        <v>0.5</v>
      </c>
      <c r="H2717" s="555" t="s">
        <v>2817</v>
      </c>
      <c r="I2717" s="555" t="s">
        <v>124</v>
      </c>
      <c r="J2717" s="555" t="s">
        <v>3387</v>
      </c>
      <c r="K2717" s="555" t="s">
        <v>2764</v>
      </c>
      <c r="L2717" s="555" t="s">
        <v>3055</v>
      </c>
      <c r="M2717" s="555" t="s">
        <v>3055</v>
      </c>
    </row>
    <row r="2718" spans="3:13" ht="18.75">
      <c r="C2718" s="735"/>
      <c r="D2718" s="555" t="s">
        <v>5150</v>
      </c>
      <c r="E2718" s="757">
        <v>0.78541666666666676</v>
      </c>
      <c r="F2718" s="731" t="s">
        <v>45</v>
      </c>
      <c r="G2718" s="730" t="s">
        <v>45</v>
      </c>
      <c r="H2718" s="555" t="s">
        <v>5152</v>
      </c>
      <c r="I2718" s="555" t="s">
        <v>63</v>
      </c>
      <c r="J2718" s="555" t="s">
        <v>3356</v>
      </c>
      <c r="K2718" s="555" t="s">
        <v>100</v>
      </c>
      <c r="L2718" s="555" t="s">
        <v>3055</v>
      </c>
      <c r="M2718" s="555" t="s">
        <v>3055</v>
      </c>
    </row>
    <row r="2719" spans="3:13" ht="18.75">
      <c r="C2719" s="735"/>
      <c r="D2719" s="555" t="s">
        <v>5147</v>
      </c>
      <c r="E2719" s="757">
        <v>0.52500000000000002</v>
      </c>
      <c r="F2719" s="731">
        <v>44562</v>
      </c>
      <c r="G2719" s="730">
        <v>0.59166666666666667</v>
      </c>
      <c r="H2719" s="555" t="s">
        <v>4315</v>
      </c>
      <c r="I2719" s="555" t="s">
        <v>124</v>
      </c>
      <c r="J2719" s="555" t="s">
        <v>5132</v>
      </c>
      <c r="K2719" s="555" t="s">
        <v>2764</v>
      </c>
      <c r="L2719" s="555" t="s">
        <v>3055</v>
      </c>
      <c r="M2719" s="555" t="s">
        <v>3055</v>
      </c>
    </row>
    <row r="2720" spans="3:13" ht="18.75">
      <c r="C2720" s="735"/>
      <c r="D2720" s="555" t="s">
        <v>5147</v>
      </c>
      <c r="E2720" s="757">
        <v>0.52500000000000002</v>
      </c>
      <c r="F2720" s="731">
        <v>44563</v>
      </c>
      <c r="G2720" s="730">
        <v>0.82152777777777775</v>
      </c>
      <c r="H2720" s="555" t="s">
        <v>4315</v>
      </c>
      <c r="I2720" s="555" t="s">
        <v>124</v>
      </c>
      <c r="J2720" s="555" t="s">
        <v>5132</v>
      </c>
      <c r="K2720" s="555" t="s">
        <v>2764</v>
      </c>
      <c r="L2720" s="555" t="s">
        <v>3055</v>
      </c>
      <c r="M2720" s="555" t="s">
        <v>3055</v>
      </c>
    </row>
    <row r="2721" spans="3:13" ht="18.75">
      <c r="C2721" s="735"/>
      <c r="D2721" s="555" t="s">
        <v>5147</v>
      </c>
      <c r="E2721" s="757">
        <v>4.2361111111111106E-2</v>
      </c>
      <c r="F2721" s="731" t="s">
        <v>45</v>
      </c>
      <c r="G2721" s="730" t="s">
        <v>45</v>
      </c>
      <c r="H2721" s="555" t="s">
        <v>5155</v>
      </c>
      <c r="I2721" s="555" t="s">
        <v>63</v>
      </c>
      <c r="J2721" s="555" t="s">
        <v>3356</v>
      </c>
      <c r="K2721" s="555" t="s">
        <v>100</v>
      </c>
      <c r="L2721" s="555" t="s">
        <v>3055</v>
      </c>
      <c r="M2721" s="555" t="s">
        <v>3055</v>
      </c>
    </row>
    <row r="2722" spans="3:13" ht="18.75">
      <c r="C2722" s="735"/>
      <c r="D2722" s="555" t="s">
        <v>5147</v>
      </c>
      <c r="E2722" s="757">
        <v>4.1666666666666666E-3</v>
      </c>
      <c r="F2722" s="731">
        <v>44562</v>
      </c>
      <c r="G2722" s="730">
        <v>0.24374999999999999</v>
      </c>
      <c r="H2722" s="555" t="s">
        <v>5156</v>
      </c>
      <c r="I2722" s="555" t="s">
        <v>61</v>
      </c>
      <c r="J2722" s="555" t="s">
        <v>3356</v>
      </c>
      <c r="K2722" s="555" t="s">
        <v>2118</v>
      </c>
      <c r="L2722" s="555" t="s">
        <v>3082</v>
      </c>
      <c r="M2722" s="555" t="s">
        <v>5157</v>
      </c>
    </row>
    <row r="2723" spans="3:13" ht="18.75">
      <c r="C2723" s="735"/>
      <c r="D2723" s="555" t="s">
        <v>5154</v>
      </c>
      <c r="E2723" s="757">
        <v>0.55625000000000002</v>
      </c>
      <c r="F2723" s="731">
        <v>44563</v>
      </c>
      <c r="G2723" s="730">
        <v>0.73472222222222217</v>
      </c>
      <c r="H2723" s="555" t="s">
        <v>4776</v>
      </c>
      <c r="I2723" s="555" t="s">
        <v>124</v>
      </c>
      <c r="J2723" s="555" t="s">
        <v>2839</v>
      </c>
      <c r="K2723" s="555" t="s">
        <v>22</v>
      </c>
      <c r="L2723" s="555" t="s">
        <v>3175</v>
      </c>
      <c r="M2723" s="555" t="s">
        <v>5158</v>
      </c>
    </row>
    <row r="2724" spans="3:13" ht="18.75">
      <c r="C2724" s="735"/>
      <c r="D2724" s="555" t="s">
        <v>5159</v>
      </c>
      <c r="E2724" s="757">
        <v>0.53125</v>
      </c>
      <c r="F2724" s="731">
        <v>44564</v>
      </c>
      <c r="G2724" s="730">
        <v>0.53194444444444444</v>
      </c>
      <c r="H2724" s="555" t="s">
        <v>4315</v>
      </c>
      <c r="I2724" s="555" t="s">
        <v>124</v>
      </c>
      <c r="J2724" s="555" t="s">
        <v>2910</v>
      </c>
      <c r="K2724" s="555" t="s">
        <v>100</v>
      </c>
      <c r="L2724" s="555" t="s">
        <v>3055</v>
      </c>
      <c r="M2724" s="555" t="s">
        <v>3055</v>
      </c>
    </row>
    <row r="2725" spans="3:13" ht="18.75">
      <c r="C2725" s="735"/>
      <c r="D2725" s="555" t="s">
        <v>5159</v>
      </c>
      <c r="E2725" s="757">
        <v>0.20833333333333334</v>
      </c>
      <c r="F2725" s="731">
        <v>44565</v>
      </c>
      <c r="G2725" s="730">
        <v>0.75</v>
      </c>
      <c r="H2725" s="555" t="s">
        <v>2896</v>
      </c>
      <c r="I2725" s="555" t="s">
        <v>63</v>
      </c>
      <c r="J2725" s="555" t="s">
        <v>2753</v>
      </c>
      <c r="K2725" s="555" t="s">
        <v>22</v>
      </c>
      <c r="L2725" s="555" t="s">
        <v>45</v>
      </c>
      <c r="M2725" s="555" t="s">
        <v>5161</v>
      </c>
    </row>
    <row r="2726" spans="3:13" ht="18.75">
      <c r="C2726" s="735"/>
      <c r="D2726" s="555" t="s">
        <v>5159</v>
      </c>
      <c r="E2726" s="757">
        <v>0.22916666666666666</v>
      </c>
      <c r="F2726" s="731">
        <v>44565</v>
      </c>
      <c r="G2726" s="730">
        <v>0.52083333333333337</v>
      </c>
      <c r="H2726" s="555" t="s">
        <v>2832</v>
      </c>
      <c r="I2726" s="555" t="s">
        <v>63</v>
      </c>
      <c r="J2726" s="555" t="s">
        <v>2753</v>
      </c>
      <c r="K2726" s="555" t="s">
        <v>22</v>
      </c>
      <c r="L2726" s="555" t="s">
        <v>45</v>
      </c>
      <c r="M2726" s="555" t="s">
        <v>5162</v>
      </c>
    </row>
    <row r="2727" spans="3:13" ht="18.75">
      <c r="C2727" s="735"/>
      <c r="D2727" s="555" t="s">
        <v>5159</v>
      </c>
      <c r="E2727" s="757">
        <v>4.1666666666666664E-2</v>
      </c>
      <c r="F2727" s="731">
        <v>44564</v>
      </c>
      <c r="G2727" s="730">
        <v>0.58333333333333337</v>
      </c>
      <c r="H2727" s="555" t="s">
        <v>5163</v>
      </c>
      <c r="I2727" s="555" t="s">
        <v>63</v>
      </c>
      <c r="J2727" s="555" t="s">
        <v>2753</v>
      </c>
      <c r="K2727" s="555" t="s">
        <v>22</v>
      </c>
      <c r="L2727" s="555" t="s">
        <v>5164</v>
      </c>
      <c r="M2727" s="555" t="s">
        <v>5165</v>
      </c>
    </row>
    <row r="2728" spans="3:13" ht="18.75">
      <c r="C2728" s="735"/>
      <c r="D2728" s="555" t="s">
        <v>5166</v>
      </c>
      <c r="E2728" s="757">
        <v>0.52222222222222225</v>
      </c>
      <c r="F2728" s="731">
        <v>44566</v>
      </c>
      <c r="G2728" s="730">
        <v>0.53125</v>
      </c>
      <c r="H2728" s="555" t="s">
        <v>5167</v>
      </c>
      <c r="I2728" s="555" t="s">
        <v>61</v>
      </c>
      <c r="J2728" s="555" t="s">
        <v>3411</v>
      </c>
      <c r="K2728" s="555" t="s">
        <v>2764</v>
      </c>
      <c r="L2728" s="555" t="s">
        <v>3055</v>
      </c>
      <c r="M2728" s="555" t="s">
        <v>3055</v>
      </c>
    </row>
    <row r="2729" spans="3:13" ht="18.75">
      <c r="C2729" s="735"/>
      <c r="D2729" s="555" t="s">
        <v>5168</v>
      </c>
      <c r="E2729" s="757">
        <v>9.7222222222222224E-2</v>
      </c>
      <c r="F2729" s="731">
        <v>44573</v>
      </c>
      <c r="G2729" s="730">
        <v>0.31944444444444448</v>
      </c>
      <c r="H2729" s="555" t="s">
        <v>5012</v>
      </c>
      <c r="I2729" s="555" t="s">
        <v>63</v>
      </c>
      <c r="J2729" s="555" t="s">
        <v>3356</v>
      </c>
      <c r="K2729" s="555" t="s">
        <v>100</v>
      </c>
      <c r="L2729" s="555" t="s">
        <v>3055</v>
      </c>
      <c r="M2729" s="555" t="s">
        <v>3055</v>
      </c>
    </row>
    <row r="2730" spans="3:13" ht="18.75">
      <c r="C2730" s="735"/>
      <c r="D2730" s="555" t="s">
        <v>5168</v>
      </c>
      <c r="E2730" s="757">
        <v>0.75486111111111109</v>
      </c>
      <c r="F2730" s="731">
        <v>44569</v>
      </c>
      <c r="G2730" s="730">
        <v>0.93472222222222223</v>
      </c>
      <c r="H2730" s="555" t="s">
        <v>5156</v>
      </c>
      <c r="I2730" s="555" t="s">
        <v>61</v>
      </c>
      <c r="J2730" s="555" t="s">
        <v>2910</v>
      </c>
      <c r="K2730" s="555" t="s">
        <v>2118</v>
      </c>
      <c r="L2730" s="555" t="s">
        <v>3055</v>
      </c>
      <c r="M2730" s="555" t="s">
        <v>3055</v>
      </c>
    </row>
    <row r="2731" spans="3:13" ht="18.75">
      <c r="C2731" s="735"/>
      <c r="D2731" s="555" t="s">
        <v>5168</v>
      </c>
      <c r="E2731" s="757">
        <v>0.12222222222222223</v>
      </c>
      <c r="F2731" s="731">
        <v>44569</v>
      </c>
      <c r="G2731" s="730">
        <v>0.12708333333333333</v>
      </c>
      <c r="H2731" s="555" t="s">
        <v>5170</v>
      </c>
      <c r="I2731" s="555" t="s">
        <v>1352</v>
      </c>
      <c r="J2731" s="555" t="s">
        <v>3411</v>
      </c>
      <c r="K2731" s="555" t="s">
        <v>2764</v>
      </c>
      <c r="L2731" s="555" t="s">
        <v>3055</v>
      </c>
      <c r="M2731" s="555" t="s">
        <v>3055</v>
      </c>
    </row>
    <row r="2732" spans="3:13" ht="18.75">
      <c r="C2732" s="735"/>
      <c r="D2732" s="555" t="s">
        <v>5171</v>
      </c>
      <c r="E2732" s="757">
        <v>0.75555555555555554</v>
      </c>
      <c r="F2732" s="731" t="s">
        <v>45</v>
      </c>
      <c r="G2732" s="730" t="s">
        <v>45</v>
      </c>
      <c r="H2732" s="555" t="s">
        <v>5172</v>
      </c>
      <c r="I2732" s="555" t="s">
        <v>63</v>
      </c>
      <c r="J2732" s="555" t="s">
        <v>3411</v>
      </c>
      <c r="K2732" s="555" t="s">
        <v>2764</v>
      </c>
      <c r="L2732" s="555" t="s">
        <v>45</v>
      </c>
      <c r="M2732" s="555" t="s">
        <v>45</v>
      </c>
    </row>
    <row r="2733" spans="3:13" ht="18.75">
      <c r="C2733" s="735"/>
      <c r="D2733" s="555" t="s">
        <v>5169</v>
      </c>
      <c r="E2733" s="757">
        <v>0.3888888888888889</v>
      </c>
      <c r="F2733" s="731">
        <v>44573</v>
      </c>
      <c r="G2733" s="730">
        <v>0.43402777777777773</v>
      </c>
      <c r="H2733" s="555" t="s">
        <v>5173</v>
      </c>
      <c r="I2733" s="555" t="s">
        <v>5174</v>
      </c>
      <c r="J2733" s="555" t="s">
        <v>3387</v>
      </c>
      <c r="K2733" s="555" t="s">
        <v>2764</v>
      </c>
      <c r="L2733" s="555" t="s">
        <v>45</v>
      </c>
      <c r="M2733" s="555" t="s">
        <v>45</v>
      </c>
    </row>
    <row r="2734" spans="3:13" ht="18.75">
      <c r="C2734" s="735"/>
      <c r="D2734" s="555" t="s">
        <v>5175</v>
      </c>
      <c r="E2734" s="757">
        <v>0.66666666666666663</v>
      </c>
      <c r="F2734" s="731">
        <v>44574</v>
      </c>
      <c r="G2734" s="730">
        <v>0.66736111111111107</v>
      </c>
      <c r="H2734" s="555" t="s">
        <v>3758</v>
      </c>
      <c r="I2734" s="555" t="s">
        <v>61</v>
      </c>
      <c r="J2734" s="555" t="s">
        <v>3874</v>
      </c>
      <c r="K2734" s="555" t="s">
        <v>2118</v>
      </c>
      <c r="L2734" s="555" t="s">
        <v>3055</v>
      </c>
      <c r="M2734" s="555" t="s">
        <v>3055</v>
      </c>
    </row>
    <row r="2735" spans="3:13" ht="18.75">
      <c r="C2735" s="735"/>
      <c r="D2735" s="555" t="s">
        <v>5176</v>
      </c>
      <c r="E2735" s="757">
        <v>0.57638888888888895</v>
      </c>
      <c r="F2735" s="731">
        <v>44575</v>
      </c>
      <c r="G2735" s="730">
        <v>0.59236111111111112</v>
      </c>
      <c r="H2735" s="555" t="s">
        <v>5177</v>
      </c>
      <c r="I2735" s="555" t="s">
        <v>61</v>
      </c>
      <c r="J2735" s="555" t="s">
        <v>3356</v>
      </c>
      <c r="K2735" s="555" t="s">
        <v>2118</v>
      </c>
      <c r="L2735" s="555" t="s">
        <v>3055</v>
      </c>
      <c r="M2735" s="555" t="s">
        <v>3055</v>
      </c>
    </row>
    <row r="2736" spans="3:13" ht="18.75">
      <c r="C2736" s="735"/>
      <c r="D2736" s="555" t="s">
        <v>5176</v>
      </c>
      <c r="E2736" s="757">
        <v>0.35694444444444445</v>
      </c>
      <c r="F2736" s="731">
        <v>44575</v>
      </c>
      <c r="G2736" s="730">
        <v>0.36249999999999999</v>
      </c>
      <c r="H2736" s="555" t="s">
        <v>5178</v>
      </c>
      <c r="I2736" s="555" t="s">
        <v>5179</v>
      </c>
      <c r="J2736" s="555" t="s">
        <v>3411</v>
      </c>
      <c r="K2736" s="555" t="s">
        <v>2483</v>
      </c>
      <c r="L2736" s="555" t="s">
        <v>3055</v>
      </c>
      <c r="M2736" s="555" t="s">
        <v>3055</v>
      </c>
    </row>
    <row r="2737" spans="3:13" ht="18.75">
      <c r="C2737" s="735"/>
      <c r="D2737" s="555" t="s">
        <v>5180</v>
      </c>
      <c r="E2737" s="757">
        <v>0.58958333333333335</v>
      </c>
      <c r="F2737" s="731">
        <v>44576</v>
      </c>
      <c r="G2737" s="730">
        <v>0.60277777777777775</v>
      </c>
      <c r="H2737" s="555" t="s">
        <v>5181</v>
      </c>
      <c r="I2737" s="555" t="s">
        <v>61</v>
      </c>
      <c r="J2737" s="555" t="s">
        <v>3402</v>
      </c>
      <c r="K2737" s="555" t="s">
        <v>2118</v>
      </c>
      <c r="L2737" s="555" t="s">
        <v>3055</v>
      </c>
      <c r="M2737" s="555" t="s">
        <v>3055</v>
      </c>
    </row>
    <row r="2738" spans="3:13" ht="18.75">
      <c r="C2738" s="735"/>
      <c r="D2738" s="555" t="s">
        <v>5182</v>
      </c>
      <c r="E2738" s="757">
        <v>0.50347222222222221</v>
      </c>
      <c r="F2738" s="731">
        <v>44578</v>
      </c>
      <c r="G2738" s="730">
        <v>0.36458333333333331</v>
      </c>
      <c r="H2738" s="555" t="s">
        <v>5184</v>
      </c>
      <c r="I2738" s="555" t="s">
        <v>63</v>
      </c>
      <c r="J2738" s="555" t="s">
        <v>2753</v>
      </c>
      <c r="K2738" s="555" t="s">
        <v>22</v>
      </c>
      <c r="L2738" s="555" t="s">
        <v>45</v>
      </c>
      <c r="M2738" s="555" t="s">
        <v>5185</v>
      </c>
    </row>
    <row r="2739" spans="3:13" ht="18.75">
      <c r="C2739" s="735"/>
      <c r="D2739" s="555" t="s">
        <v>5182</v>
      </c>
      <c r="E2739" s="757">
        <v>0.55208333333333337</v>
      </c>
      <c r="F2739" s="731">
        <v>44577</v>
      </c>
      <c r="G2739" s="730">
        <v>0.71875</v>
      </c>
      <c r="H2739" s="555" t="s">
        <v>2832</v>
      </c>
      <c r="I2739" s="555" t="s">
        <v>63</v>
      </c>
      <c r="J2739" s="555" t="s">
        <v>2753</v>
      </c>
      <c r="K2739" s="555" t="s">
        <v>22</v>
      </c>
      <c r="L2739" s="555" t="s">
        <v>45</v>
      </c>
      <c r="M2739" s="555" t="s">
        <v>5186</v>
      </c>
    </row>
    <row r="2740" spans="3:13" ht="18.75">
      <c r="C2740" s="735"/>
      <c r="D2740" s="555" t="s">
        <v>5182</v>
      </c>
      <c r="E2740" s="757">
        <v>0.21875</v>
      </c>
      <c r="F2740" s="731">
        <v>44578</v>
      </c>
      <c r="G2740" s="730">
        <v>4.1666666666666666E-3</v>
      </c>
      <c r="H2740" s="555" t="s">
        <v>5187</v>
      </c>
      <c r="I2740" s="555" t="s">
        <v>63</v>
      </c>
      <c r="J2740" s="555" t="s">
        <v>2753</v>
      </c>
      <c r="K2740" s="555" t="s">
        <v>22</v>
      </c>
      <c r="L2740" s="555" t="s">
        <v>5188</v>
      </c>
      <c r="M2740" s="555" t="s">
        <v>5189</v>
      </c>
    </row>
    <row r="2741" spans="3:13" ht="18.75">
      <c r="C2741" s="735"/>
      <c r="D2741" s="555" t="s">
        <v>5190</v>
      </c>
      <c r="E2741" s="757">
        <v>0.93194444444444446</v>
      </c>
      <c r="F2741" s="731">
        <v>44579</v>
      </c>
      <c r="G2741" s="730">
        <v>0.93263888888888891</v>
      </c>
      <c r="H2741" s="555" t="s">
        <v>2809</v>
      </c>
      <c r="I2741" s="555" t="s">
        <v>1352</v>
      </c>
      <c r="J2741" s="555" t="s">
        <v>5099</v>
      </c>
      <c r="K2741" s="555" t="s">
        <v>2952</v>
      </c>
      <c r="L2741" s="555" t="s">
        <v>3055</v>
      </c>
      <c r="M2741" s="555" t="s">
        <v>3055</v>
      </c>
    </row>
    <row r="2742" spans="3:13" ht="18.75">
      <c r="C2742" s="735"/>
      <c r="D2742" s="555" t="s">
        <v>5191</v>
      </c>
      <c r="E2742" s="757">
        <v>0.60763888888888895</v>
      </c>
      <c r="F2742" s="731">
        <v>44580</v>
      </c>
      <c r="G2742" s="730">
        <v>0.66805555555555562</v>
      </c>
      <c r="H2742" s="555" t="s">
        <v>2959</v>
      </c>
      <c r="I2742" s="555" t="s">
        <v>61</v>
      </c>
      <c r="J2742" s="555" t="s">
        <v>3387</v>
      </c>
      <c r="K2742" s="555" t="s">
        <v>2764</v>
      </c>
      <c r="L2742" s="555" t="s">
        <v>3055</v>
      </c>
      <c r="M2742" s="555" t="s">
        <v>3055</v>
      </c>
    </row>
    <row r="2743" spans="3:13" ht="18.75">
      <c r="C2743" s="735"/>
      <c r="D2743" s="555" t="s">
        <v>5192</v>
      </c>
      <c r="E2743" s="757">
        <v>0.83124999999999993</v>
      </c>
      <c r="F2743" s="731">
        <v>44582</v>
      </c>
      <c r="G2743" s="730">
        <v>0.22916666666666666</v>
      </c>
      <c r="H2743" s="555" t="s">
        <v>5194</v>
      </c>
      <c r="I2743" s="555" t="s">
        <v>5015</v>
      </c>
      <c r="J2743" s="555" t="s">
        <v>3387</v>
      </c>
      <c r="K2743" s="555" t="s">
        <v>22</v>
      </c>
      <c r="L2743" s="555" t="s">
        <v>3055</v>
      </c>
      <c r="M2743" s="555" t="s">
        <v>3055</v>
      </c>
    </row>
    <row r="2744" spans="3:13" ht="18.75">
      <c r="C2744" s="735"/>
      <c r="D2744" s="555" t="s">
        <v>5192</v>
      </c>
      <c r="E2744" s="757">
        <v>0.375</v>
      </c>
      <c r="F2744" s="731">
        <v>44581</v>
      </c>
      <c r="G2744" s="730">
        <v>0.41597222222222219</v>
      </c>
      <c r="H2744" s="555" t="s">
        <v>2959</v>
      </c>
      <c r="I2744" s="555" t="s">
        <v>61</v>
      </c>
      <c r="J2744" s="555" t="s">
        <v>3387</v>
      </c>
      <c r="K2744" s="555" t="s">
        <v>2764</v>
      </c>
      <c r="L2744" s="555" t="s">
        <v>3055</v>
      </c>
      <c r="M2744" s="555" t="s">
        <v>3055</v>
      </c>
    </row>
    <row r="2745" spans="3:13" ht="18.75">
      <c r="C2745" s="735"/>
      <c r="D2745" s="555" t="s">
        <v>5195</v>
      </c>
      <c r="E2745" s="757">
        <v>2.5694444444444447E-2</v>
      </c>
      <c r="F2745" s="731">
        <v>44584</v>
      </c>
      <c r="G2745" s="730">
        <v>2.9166666666666664E-2</v>
      </c>
      <c r="H2745" s="555" t="s">
        <v>5196</v>
      </c>
      <c r="I2745" s="555" t="s">
        <v>3143</v>
      </c>
      <c r="J2745" s="555" t="s">
        <v>3402</v>
      </c>
      <c r="K2745" s="555" t="s">
        <v>2118</v>
      </c>
      <c r="L2745" s="555" t="s">
        <v>3055</v>
      </c>
      <c r="M2745" s="555" t="s">
        <v>3055</v>
      </c>
    </row>
    <row r="2746" spans="3:13" ht="18.75">
      <c r="C2746" s="735"/>
      <c r="D2746" s="555" t="s">
        <v>5197</v>
      </c>
      <c r="E2746" s="757">
        <v>0.43541666666666662</v>
      </c>
      <c r="F2746" s="731">
        <v>44585</v>
      </c>
      <c r="G2746" s="730">
        <v>0.45208333333333334</v>
      </c>
      <c r="H2746" s="555" t="s">
        <v>4049</v>
      </c>
      <c r="I2746" s="555" t="s">
        <v>124</v>
      </c>
      <c r="J2746" s="555" t="s">
        <v>3411</v>
      </c>
      <c r="K2746" s="555" t="s">
        <v>2764</v>
      </c>
      <c r="L2746" s="555" t="s">
        <v>3055</v>
      </c>
      <c r="M2746" s="555" t="s">
        <v>3055</v>
      </c>
    </row>
    <row r="2747" spans="3:13" ht="18.75">
      <c r="C2747" s="735"/>
      <c r="D2747" s="555" t="s">
        <v>5197</v>
      </c>
      <c r="E2747" s="757">
        <v>0.49305555555555558</v>
      </c>
      <c r="F2747" s="731">
        <v>44585</v>
      </c>
      <c r="G2747" s="730">
        <v>0.66666666666666663</v>
      </c>
      <c r="H2747" s="555" t="s">
        <v>5198</v>
      </c>
      <c r="I2747" s="555" t="s">
        <v>61</v>
      </c>
      <c r="J2747" s="555" t="s">
        <v>3356</v>
      </c>
      <c r="K2747" s="555" t="s">
        <v>2343</v>
      </c>
      <c r="L2747" s="555" t="s">
        <v>3055</v>
      </c>
      <c r="M2747" s="555" t="s">
        <v>3055</v>
      </c>
    </row>
    <row r="2748" spans="3:13" ht="18.75">
      <c r="C2748" s="735"/>
      <c r="D2748" s="555" t="s">
        <v>5199</v>
      </c>
      <c r="E2748" s="757">
        <v>0.56736111111111109</v>
      </c>
      <c r="F2748" s="731">
        <v>44587</v>
      </c>
      <c r="G2748" s="730">
        <v>0.59375</v>
      </c>
      <c r="H2748" s="555" t="s">
        <v>3575</v>
      </c>
      <c r="I2748" s="555" t="s">
        <v>63</v>
      </c>
      <c r="J2748" s="555" t="s">
        <v>3387</v>
      </c>
      <c r="K2748" s="555" t="s">
        <v>2764</v>
      </c>
      <c r="L2748" s="555" t="s">
        <v>3055</v>
      </c>
      <c r="M2748" s="555" t="s">
        <v>3055</v>
      </c>
    </row>
    <row r="2749" spans="3:13" ht="18.75">
      <c r="C2749" s="735"/>
      <c r="D2749" s="555" t="s">
        <v>5200</v>
      </c>
      <c r="E2749" s="757">
        <v>0.47916666666666669</v>
      </c>
      <c r="F2749" s="731">
        <v>44588</v>
      </c>
      <c r="G2749" s="730">
        <v>0.47986111111111113</v>
      </c>
      <c r="H2749" s="555" t="s">
        <v>2817</v>
      </c>
      <c r="I2749" s="555" t="s">
        <v>124</v>
      </c>
      <c r="J2749" s="555" t="s">
        <v>5132</v>
      </c>
      <c r="K2749" s="555" t="s">
        <v>100</v>
      </c>
      <c r="L2749" s="555" t="s">
        <v>3055</v>
      </c>
      <c r="M2749" s="555" t="s">
        <v>3055</v>
      </c>
    </row>
    <row r="2750" spans="3:13" ht="18.75">
      <c r="C2750" s="735"/>
      <c r="D2750" s="555" t="s">
        <v>5201</v>
      </c>
      <c r="E2750" s="757">
        <v>0.65347222222222223</v>
      </c>
      <c r="F2750" s="731">
        <v>44589</v>
      </c>
      <c r="G2750" s="730">
        <v>0.89583333333333337</v>
      </c>
      <c r="H2750" s="555" t="s">
        <v>5202</v>
      </c>
      <c r="I2750" s="555" t="s">
        <v>124</v>
      </c>
      <c r="J2750" s="555" t="s">
        <v>3411</v>
      </c>
      <c r="K2750" s="555" t="s">
        <v>2483</v>
      </c>
      <c r="L2750" s="555" t="s">
        <v>3055</v>
      </c>
      <c r="M2750" s="555" t="s">
        <v>3055</v>
      </c>
    </row>
    <row r="2751" spans="3:13" ht="18.75">
      <c r="C2751" s="735"/>
      <c r="D2751" s="555" t="s">
        <v>5203</v>
      </c>
      <c r="E2751" s="757">
        <v>0.36458333333333331</v>
      </c>
      <c r="F2751" s="731">
        <v>44591</v>
      </c>
      <c r="G2751" s="730">
        <v>4.1666666666666664E-2</v>
      </c>
      <c r="H2751" s="555" t="s">
        <v>2906</v>
      </c>
      <c r="I2751" s="555" t="s">
        <v>61</v>
      </c>
      <c r="J2751" s="555" t="s">
        <v>2753</v>
      </c>
      <c r="K2751" s="555" t="s">
        <v>22</v>
      </c>
      <c r="L2751" s="555" t="s">
        <v>5123</v>
      </c>
      <c r="M2751" s="555" t="s">
        <v>5205</v>
      </c>
    </row>
    <row r="2752" spans="3:13" ht="18.75">
      <c r="C2752" s="735"/>
      <c r="D2752" s="555" t="s">
        <v>5204</v>
      </c>
      <c r="E2752" s="757">
        <v>0.8618055555555556</v>
      </c>
      <c r="F2752" s="731">
        <v>44592</v>
      </c>
      <c r="G2752" s="730">
        <v>2.9166666666666664E-2</v>
      </c>
      <c r="H2752" s="555" t="s">
        <v>3642</v>
      </c>
      <c r="I2752" s="555" t="s">
        <v>674</v>
      </c>
      <c r="J2752" s="555" t="s">
        <v>3387</v>
      </c>
      <c r="K2752" s="555" t="s">
        <v>2764</v>
      </c>
      <c r="L2752" s="555" t="s">
        <v>3055</v>
      </c>
      <c r="M2752" s="555" t="s">
        <v>3055</v>
      </c>
    </row>
    <row r="2753" spans="3:13" ht="18.75">
      <c r="C2753" s="735"/>
      <c r="D2753" s="555" t="s">
        <v>5206</v>
      </c>
      <c r="E2753" s="757">
        <v>0.83194444444444438</v>
      </c>
      <c r="F2753" s="731">
        <v>44592</v>
      </c>
      <c r="G2753" s="730">
        <v>0.84027777777777779</v>
      </c>
      <c r="H2753" s="555" t="s">
        <v>5207</v>
      </c>
      <c r="I2753" s="555" t="s">
        <v>3143</v>
      </c>
      <c r="J2753" s="555" t="s">
        <v>3402</v>
      </c>
      <c r="K2753" s="555" t="s">
        <v>2118</v>
      </c>
      <c r="L2753" s="555" t="s">
        <v>3055</v>
      </c>
      <c r="M2753" s="555" t="s">
        <v>3055</v>
      </c>
    </row>
    <row r="2754" spans="3:13" ht="18.75">
      <c r="C2754" s="735"/>
      <c r="D2754" s="555" t="s">
        <v>5208</v>
      </c>
      <c r="E2754" s="757">
        <v>0.50902777777777775</v>
      </c>
      <c r="F2754" s="731">
        <v>44593</v>
      </c>
      <c r="G2754" s="730">
        <v>0.51736111111111105</v>
      </c>
      <c r="H2754" s="555" t="s">
        <v>4426</v>
      </c>
      <c r="I2754" s="555" t="s">
        <v>124</v>
      </c>
      <c r="J2754" s="555" t="s">
        <v>2839</v>
      </c>
      <c r="K2754" s="555" t="s">
        <v>2764</v>
      </c>
      <c r="L2754" s="555" t="s">
        <v>5105</v>
      </c>
      <c r="M2754" s="555" t="s">
        <v>5209</v>
      </c>
    </row>
    <row r="2755" spans="3:13" ht="18.75">
      <c r="C2755" s="735"/>
      <c r="D2755" s="555" t="s">
        <v>5210</v>
      </c>
      <c r="E2755" s="757">
        <v>0.41666666666666669</v>
      </c>
      <c r="F2755" s="731">
        <v>44599</v>
      </c>
      <c r="G2755" s="730">
        <v>0.83333333333333337</v>
      </c>
      <c r="H2755" s="555" t="s">
        <v>2935</v>
      </c>
      <c r="I2755" s="555" t="s">
        <v>63</v>
      </c>
      <c r="J2755" s="555" t="s">
        <v>2753</v>
      </c>
      <c r="K2755" s="555" t="s">
        <v>2990</v>
      </c>
      <c r="L2755" s="555" t="s">
        <v>45</v>
      </c>
      <c r="M2755" s="555" t="s">
        <v>5212</v>
      </c>
    </row>
    <row r="2756" spans="3:13" ht="18.75">
      <c r="C2756" s="735"/>
      <c r="D2756" s="555" t="s">
        <v>5210</v>
      </c>
      <c r="E2756" s="757">
        <v>0.53888888888888886</v>
      </c>
      <c r="F2756" s="731">
        <v>44596</v>
      </c>
      <c r="G2756" s="730">
        <v>0.85416666666666663</v>
      </c>
      <c r="H2756" s="555" t="s">
        <v>2895</v>
      </c>
      <c r="I2756" s="555" t="s">
        <v>3143</v>
      </c>
      <c r="J2756" s="555" t="s">
        <v>2753</v>
      </c>
      <c r="K2756" s="555" t="s">
        <v>2990</v>
      </c>
      <c r="L2756" s="555" t="s">
        <v>45</v>
      </c>
      <c r="M2756" s="555" t="s">
        <v>4203</v>
      </c>
    </row>
    <row r="2757" spans="3:13" ht="18.75">
      <c r="C2757" s="735"/>
      <c r="D2757" s="555" t="s">
        <v>5210</v>
      </c>
      <c r="E2757" s="757">
        <v>0.53888888888888886</v>
      </c>
      <c r="F2757" s="731" t="s">
        <v>45</v>
      </c>
      <c r="G2757" s="730" t="s">
        <v>45</v>
      </c>
      <c r="H2757" s="555" t="s">
        <v>2895</v>
      </c>
      <c r="I2757" s="555" t="s">
        <v>3143</v>
      </c>
      <c r="J2757" s="555" t="s">
        <v>2753</v>
      </c>
      <c r="K2757" s="555" t="s">
        <v>2990</v>
      </c>
      <c r="L2757" s="555" t="s">
        <v>45</v>
      </c>
      <c r="M2757" s="555" t="s">
        <v>4203</v>
      </c>
    </row>
    <row r="2758" spans="3:13" ht="18.75">
      <c r="C2758" s="735"/>
      <c r="D2758" s="555" t="s">
        <v>5213</v>
      </c>
      <c r="E2758" s="757">
        <v>0.76458333333333339</v>
      </c>
      <c r="F2758" s="731">
        <v>44596</v>
      </c>
      <c r="G2758" s="730">
        <v>0.91666666666666663</v>
      </c>
      <c r="H2758" s="555" t="s">
        <v>2919</v>
      </c>
      <c r="I2758" s="555" t="s">
        <v>1352</v>
      </c>
      <c r="J2758" s="555" t="s">
        <v>2839</v>
      </c>
      <c r="K2758" s="555" t="s">
        <v>2483</v>
      </c>
      <c r="L2758" s="555" t="s">
        <v>45</v>
      </c>
      <c r="M2758" s="555" t="s">
        <v>45</v>
      </c>
    </row>
    <row r="2759" spans="3:13" ht="18.75">
      <c r="C2759" s="735"/>
      <c r="D2759" s="555" t="s">
        <v>5213</v>
      </c>
      <c r="E2759" s="757">
        <v>0.54861111111111105</v>
      </c>
      <c r="F2759" s="731" t="s">
        <v>45</v>
      </c>
      <c r="G2759" s="730" t="s">
        <v>45</v>
      </c>
      <c r="H2759" s="555" t="s">
        <v>5214</v>
      </c>
      <c r="I2759" s="555" t="s">
        <v>61</v>
      </c>
      <c r="J2759" s="555" t="s">
        <v>2753</v>
      </c>
      <c r="K2759" s="555" t="s">
        <v>2990</v>
      </c>
      <c r="L2759" s="555" t="s">
        <v>45</v>
      </c>
      <c r="M2759" s="555" t="s">
        <v>5215</v>
      </c>
    </row>
    <row r="2760" spans="3:13" ht="18.75">
      <c r="C2760" s="735"/>
      <c r="D2760" s="555" t="s">
        <v>5216</v>
      </c>
      <c r="E2760" s="757">
        <v>0.29166666666666669</v>
      </c>
      <c r="F2760" s="731">
        <v>44601</v>
      </c>
      <c r="G2760" s="730">
        <v>0.375</v>
      </c>
      <c r="H2760" s="555" t="s">
        <v>5181</v>
      </c>
      <c r="I2760" s="555" t="s">
        <v>61</v>
      </c>
      <c r="J2760" s="555" t="s">
        <v>2910</v>
      </c>
      <c r="K2760" s="555" t="s">
        <v>100</v>
      </c>
      <c r="L2760" s="555" t="s">
        <v>3055</v>
      </c>
      <c r="M2760" s="555" t="s">
        <v>3055</v>
      </c>
    </row>
    <row r="2761" spans="3:13" ht="18.75">
      <c r="C2761" s="735"/>
      <c r="D2761" s="555" t="s">
        <v>5217</v>
      </c>
      <c r="E2761" s="757">
        <v>0.68680555555555556</v>
      </c>
      <c r="F2761" s="731">
        <v>44604</v>
      </c>
      <c r="G2761" s="730">
        <v>0.6875</v>
      </c>
      <c r="H2761" s="555" t="s">
        <v>3967</v>
      </c>
      <c r="I2761" s="555" t="s">
        <v>124</v>
      </c>
      <c r="J2761" s="555" t="s">
        <v>2910</v>
      </c>
      <c r="K2761" s="555" t="s">
        <v>100</v>
      </c>
      <c r="L2761" s="555" t="s">
        <v>45</v>
      </c>
      <c r="M2761" s="555" t="s">
        <v>45</v>
      </c>
    </row>
    <row r="2762" spans="3:13" ht="18.75">
      <c r="C2762" s="735"/>
      <c r="D2762" s="555" t="s">
        <v>5218</v>
      </c>
      <c r="E2762" s="757">
        <v>0.4375</v>
      </c>
      <c r="F2762" s="731">
        <v>44609</v>
      </c>
      <c r="G2762" s="730">
        <v>0.4381944444444445</v>
      </c>
      <c r="H2762" s="555" t="s">
        <v>5219</v>
      </c>
      <c r="I2762" s="555" t="s">
        <v>61</v>
      </c>
      <c r="J2762" s="555" t="s">
        <v>3402</v>
      </c>
      <c r="K2762" s="555" t="s">
        <v>2118</v>
      </c>
      <c r="L2762" s="555" t="s">
        <v>3055</v>
      </c>
      <c r="M2762" s="555" t="s">
        <v>3055</v>
      </c>
    </row>
    <row r="2763" spans="3:13" ht="18.75">
      <c r="C2763" s="735"/>
      <c r="D2763" s="555" t="s">
        <v>5218</v>
      </c>
      <c r="E2763" s="757">
        <v>6.2499999999999995E-3</v>
      </c>
      <c r="F2763" s="731">
        <v>44609</v>
      </c>
      <c r="G2763" s="730">
        <v>0.31666666666666665</v>
      </c>
      <c r="H2763" s="555" t="s">
        <v>4532</v>
      </c>
      <c r="I2763" s="555" t="s">
        <v>63</v>
      </c>
      <c r="J2763" s="555" t="s">
        <v>3387</v>
      </c>
      <c r="K2763" s="555" t="s">
        <v>2764</v>
      </c>
      <c r="L2763" s="555" t="s">
        <v>3278</v>
      </c>
      <c r="M2763" s="555" t="s">
        <v>3055</v>
      </c>
    </row>
    <row r="2764" spans="3:13" ht="18.75">
      <c r="C2764" s="735"/>
      <c r="D2764" s="555" t="s">
        <v>5220</v>
      </c>
      <c r="E2764" s="757">
        <v>0.2986111111111111</v>
      </c>
      <c r="F2764" s="731">
        <v>44610</v>
      </c>
      <c r="G2764" s="730">
        <v>0.68402777777777779</v>
      </c>
      <c r="H2764" s="555" t="s">
        <v>5221</v>
      </c>
      <c r="I2764" s="555" t="s">
        <v>61</v>
      </c>
      <c r="J2764" s="555" t="s">
        <v>2753</v>
      </c>
      <c r="K2764" s="555" t="s">
        <v>22</v>
      </c>
      <c r="L2764" s="555" t="s">
        <v>3754</v>
      </c>
      <c r="M2764" s="555" t="s">
        <v>5222</v>
      </c>
    </row>
    <row r="2765" spans="3:13" ht="18.75">
      <c r="C2765" s="735"/>
      <c r="D2765" s="555" t="s">
        <v>5223</v>
      </c>
      <c r="E2765" s="757">
        <v>0.46527777777777773</v>
      </c>
      <c r="F2765" s="731">
        <v>44614</v>
      </c>
      <c r="G2765" s="730">
        <v>0.51041666666666663</v>
      </c>
      <c r="H2765" s="555" t="s">
        <v>4144</v>
      </c>
      <c r="I2765" s="555" t="s">
        <v>1352</v>
      </c>
      <c r="J2765" s="555" t="s">
        <v>3402</v>
      </c>
      <c r="K2765" s="555" t="s">
        <v>2118</v>
      </c>
      <c r="L2765" s="555" t="s">
        <v>3055</v>
      </c>
      <c r="M2765" s="555" t="s">
        <v>3055</v>
      </c>
    </row>
    <row r="2766" spans="3:13" ht="18.75">
      <c r="C2766" s="735"/>
      <c r="D2766" s="555" t="s">
        <v>5224</v>
      </c>
      <c r="E2766" s="757">
        <v>0.43402777777777773</v>
      </c>
      <c r="F2766" s="731">
        <v>44616</v>
      </c>
      <c r="G2766" s="730">
        <v>0.4381944444444445</v>
      </c>
      <c r="H2766" s="555" t="s">
        <v>5089</v>
      </c>
      <c r="I2766" s="555" t="s">
        <v>1352</v>
      </c>
      <c r="J2766" s="555" t="s">
        <v>3411</v>
      </c>
      <c r="K2766" s="555" t="s">
        <v>2483</v>
      </c>
      <c r="L2766" s="555" t="s">
        <v>3175</v>
      </c>
      <c r="M2766" s="555" t="s">
        <v>5225</v>
      </c>
    </row>
    <row r="2767" spans="3:13" ht="18.75">
      <c r="C2767" s="735"/>
      <c r="D2767" s="555" t="s">
        <v>5224</v>
      </c>
      <c r="E2767" s="757">
        <v>4.7916666666666663E-2</v>
      </c>
      <c r="F2767" s="731">
        <v>44616</v>
      </c>
      <c r="G2767" s="730">
        <v>0.12430555555555556</v>
      </c>
      <c r="H2767" s="555" t="s">
        <v>5226</v>
      </c>
      <c r="I2767" s="555" t="s">
        <v>124</v>
      </c>
      <c r="J2767" s="555" t="s">
        <v>3387</v>
      </c>
      <c r="K2767" s="555" t="s">
        <v>2764</v>
      </c>
      <c r="L2767" s="555" t="s">
        <v>5227</v>
      </c>
      <c r="M2767" s="555" t="s">
        <v>3055</v>
      </c>
    </row>
    <row r="2768" spans="3:13" ht="18.75">
      <c r="C2768" s="735"/>
      <c r="D2768" s="555" t="s">
        <v>5228</v>
      </c>
      <c r="E2768" s="757">
        <v>0.39652777777777781</v>
      </c>
      <c r="F2768" s="731">
        <v>44617</v>
      </c>
      <c r="G2768" s="730">
        <v>0.54791666666666672</v>
      </c>
      <c r="H2768" s="555" t="s">
        <v>5229</v>
      </c>
      <c r="I2768" s="555" t="s">
        <v>1352</v>
      </c>
      <c r="J2768" s="555" t="s">
        <v>5230</v>
      </c>
      <c r="K2768" s="555" t="s">
        <v>2764</v>
      </c>
      <c r="L2768" s="555" t="s">
        <v>3055</v>
      </c>
      <c r="M2768" s="555" t="s">
        <v>3055</v>
      </c>
    </row>
    <row r="2769" spans="3:13" ht="18.75">
      <c r="C2769" s="735"/>
      <c r="D2769" s="555" t="s">
        <v>5231</v>
      </c>
      <c r="E2769" s="757">
        <v>0.46875</v>
      </c>
      <c r="F2769" s="731">
        <v>44618</v>
      </c>
      <c r="G2769" s="730">
        <v>0.70833333333333337</v>
      </c>
      <c r="H2769" s="555" t="s">
        <v>3819</v>
      </c>
      <c r="I2769" s="555" t="s">
        <v>124</v>
      </c>
      <c r="J2769" s="555" t="s">
        <v>3402</v>
      </c>
      <c r="K2769" s="555" t="s">
        <v>2293</v>
      </c>
      <c r="L2769" s="555" t="s">
        <v>3055</v>
      </c>
      <c r="M2769" s="555" t="s">
        <v>3055</v>
      </c>
    </row>
    <row r="2770" spans="3:13" ht="18.75">
      <c r="C2770" s="735"/>
      <c r="D2770" s="555" t="s">
        <v>5232</v>
      </c>
      <c r="E2770" s="757">
        <v>0.3923611111111111</v>
      </c>
      <c r="F2770" s="731">
        <v>44620</v>
      </c>
      <c r="G2770" s="730">
        <v>0.39305555555555555</v>
      </c>
      <c r="H2770" s="555" t="s">
        <v>5233</v>
      </c>
      <c r="I2770" s="555" t="s">
        <v>1352</v>
      </c>
      <c r="J2770" s="555" t="s">
        <v>5234</v>
      </c>
      <c r="K2770" s="555" t="s">
        <v>100</v>
      </c>
      <c r="L2770" s="555" t="s">
        <v>3055</v>
      </c>
      <c r="M2770" s="555" t="s">
        <v>3055</v>
      </c>
    </row>
    <row r="2771" spans="3:13" ht="18.75">
      <c r="C2771" s="735"/>
      <c r="D2771" s="555" t="s">
        <v>5235</v>
      </c>
      <c r="E2771" s="757">
        <v>0.57152777777777775</v>
      </c>
      <c r="F2771" s="731">
        <v>44621</v>
      </c>
      <c r="G2771" s="730">
        <v>0.57430555555555551</v>
      </c>
      <c r="H2771" s="555" t="s">
        <v>5236</v>
      </c>
      <c r="I2771" s="555" t="s">
        <v>3143</v>
      </c>
      <c r="J2771" s="555" t="s">
        <v>3411</v>
      </c>
      <c r="K2771" s="555" t="s">
        <v>2764</v>
      </c>
      <c r="L2771" s="555" t="s">
        <v>3055</v>
      </c>
      <c r="M2771" s="555" t="s">
        <v>3055</v>
      </c>
    </row>
    <row r="2772" spans="3:13" ht="18.75">
      <c r="C2772" s="735"/>
      <c r="D2772" s="555" t="s">
        <v>5237</v>
      </c>
      <c r="E2772" s="757">
        <v>0.39305555555555555</v>
      </c>
      <c r="F2772" s="731">
        <v>44622</v>
      </c>
      <c r="G2772" s="730">
        <v>0.4201388888888889</v>
      </c>
      <c r="H2772" s="555" t="s">
        <v>2832</v>
      </c>
      <c r="I2772" s="555" t="s">
        <v>63</v>
      </c>
      <c r="J2772" s="555" t="s">
        <v>3447</v>
      </c>
      <c r="K2772" s="555" t="s">
        <v>2764</v>
      </c>
      <c r="L2772" s="555" t="s">
        <v>3055</v>
      </c>
      <c r="M2772" s="555" t="s">
        <v>3055</v>
      </c>
    </row>
    <row r="2773" spans="3:13" ht="18.75">
      <c r="C2773" s="735"/>
      <c r="D2773" s="555" t="s">
        <v>5238</v>
      </c>
      <c r="E2773" s="757">
        <v>0.95694444444444438</v>
      </c>
      <c r="F2773" s="731">
        <v>44626</v>
      </c>
      <c r="G2773" s="730">
        <v>0.81805555555555554</v>
      </c>
      <c r="H2773" s="555" t="s">
        <v>5240</v>
      </c>
      <c r="I2773" s="555" t="s">
        <v>5174</v>
      </c>
      <c r="J2773" s="555" t="s">
        <v>3411</v>
      </c>
      <c r="K2773" s="555" t="s">
        <v>2764</v>
      </c>
      <c r="L2773" s="555" t="s">
        <v>3055</v>
      </c>
      <c r="M2773" s="555" t="s">
        <v>3055</v>
      </c>
    </row>
    <row r="2774" spans="3:13" ht="18.75">
      <c r="C2774" s="735"/>
      <c r="D2774" s="555" t="s">
        <v>5239</v>
      </c>
      <c r="E2774" s="757">
        <v>0.10416666666666667</v>
      </c>
      <c r="F2774" s="731">
        <v>44626</v>
      </c>
      <c r="G2774" s="730">
        <v>0.70833333333333337</v>
      </c>
      <c r="H2774" s="555" t="s">
        <v>4185</v>
      </c>
      <c r="I2774" s="555" t="s">
        <v>1352</v>
      </c>
      <c r="J2774" s="555" t="s">
        <v>2944</v>
      </c>
      <c r="K2774" s="555" t="s">
        <v>2952</v>
      </c>
      <c r="L2774" s="555" t="s">
        <v>3055</v>
      </c>
      <c r="M2774" s="555" t="s">
        <v>3055</v>
      </c>
    </row>
    <row r="2775" spans="3:13" ht="18.75">
      <c r="C2775" s="735"/>
      <c r="D2775" s="555" t="s">
        <v>5241</v>
      </c>
      <c r="E2775" s="757">
        <v>0.57638888888888895</v>
      </c>
      <c r="F2775" s="731">
        <v>44628</v>
      </c>
      <c r="G2775" s="730">
        <v>0.61041666666666672</v>
      </c>
      <c r="H2775" s="555" t="s">
        <v>5242</v>
      </c>
      <c r="I2775" s="555" t="s">
        <v>1352</v>
      </c>
      <c r="J2775" s="555" t="s">
        <v>3411</v>
      </c>
      <c r="K2775" s="555" t="s">
        <v>2764</v>
      </c>
      <c r="L2775" s="555" t="s">
        <v>4454</v>
      </c>
      <c r="M2775" s="555" t="s">
        <v>5243</v>
      </c>
    </row>
    <row r="2776" spans="3:13" ht="18.75">
      <c r="C2776" s="735"/>
      <c r="D2776" s="555" t="s">
        <v>5244</v>
      </c>
      <c r="E2776" s="757">
        <v>0.36874999999999997</v>
      </c>
      <c r="F2776" s="731">
        <v>44630</v>
      </c>
      <c r="G2776" s="730">
        <v>0.63541666666666663</v>
      </c>
      <c r="H2776" s="555" t="s">
        <v>3890</v>
      </c>
      <c r="I2776" s="555" t="s">
        <v>674</v>
      </c>
      <c r="J2776" s="555" t="s">
        <v>3411</v>
      </c>
      <c r="K2776" s="555" t="s">
        <v>2483</v>
      </c>
      <c r="L2776" s="555" t="s">
        <v>3055</v>
      </c>
      <c r="M2776" s="555" t="s">
        <v>3055</v>
      </c>
    </row>
    <row r="2777" spans="3:13" ht="18.75">
      <c r="C2777" s="735"/>
      <c r="D2777" s="555" t="s">
        <v>5245</v>
      </c>
      <c r="E2777" s="757">
        <v>0.27430555555555552</v>
      </c>
      <c r="F2777" s="731">
        <v>44631</v>
      </c>
      <c r="G2777" s="730">
        <v>0.29166666666666669</v>
      </c>
      <c r="H2777" s="555" t="s">
        <v>4185</v>
      </c>
      <c r="I2777" s="555" t="s">
        <v>1352</v>
      </c>
      <c r="J2777" s="555" t="s">
        <v>3402</v>
      </c>
      <c r="K2777" s="555" t="s">
        <v>2118</v>
      </c>
      <c r="L2777" s="555" t="s">
        <v>3055</v>
      </c>
      <c r="M2777" s="555" t="s">
        <v>3055</v>
      </c>
    </row>
    <row r="2778" spans="3:13" ht="18.75">
      <c r="C2778" s="735"/>
      <c r="D2778" s="555" t="s">
        <v>5246</v>
      </c>
      <c r="E2778" s="757">
        <v>0.35625000000000001</v>
      </c>
      <c r="F2778" s="731" t="s">
        <v>45</v>
      </c>
      <c r="G2778" s="730" t="s">
        <v>45</v>
      </c>
      <c r="H2778" s="555" t="s">
        <v>2974</v>
      </c>
      <c r="I2778" s="555" t="s">
        <v>63</v>
      </c>
      <c r="J2778" s="555" t="s">
        <v>2753</v>
      </c>
      <c r="K2778" s="555" t="s">
        <v>22</v>
      </c>
      <c r="L2778" s="555" t="s">
        <v>5247</v>
      </c>
      <c r="M2778" s="555" t="s">
        <v>5248</v>
      </c>
    </row>
    <row r="2779" spans="3:13" ht="18.75">
      <c r="C2779" s="735"/>
      <c r="D2779" s="555" t="s">
        <v>5249</v>
      </c>
      <c r="E2779" s="757">
        <v>0.92708333333333337</v>
      </c>
      <c r="F2779" s="731">
        <v>44633</v>
      </c>
      <c r="G2779" s="730">
        <v>0.94305555555555554</v>
      </c>
      <c r="H2779" s="555" t="s">
        <v>4269</v>
      </c>
      <c r="I2779" s="555" t="s">
        <v>674</v>
      </c>
      <c r="J2779" s="555" t="s">
        <v>3356</v>
      </c>
      <c r="K2779" s="555" t="s">
        <v>100</v>
      </c>
      <c r="L2779" s="555" t="s">
        <v>3055</v>
      </c>
      <c r="M2779" s="555" t="s">
        <v>3055</v>
      </c>
    </row>
    <row r="2780" spans="3:13" ht="18.75">
      <c r="C2780" s="735"/>
      <c r="D2780" s="555" t="s">
        <v>5250</v>
      </c>
      <c r="E2780" s="757">
        <v>0.39583333333333331</v>
      </c>
      <c r="F2780" s="731">
        <v>44634</v>
      </c>
      <c r="G2780" s="730">
        <v>0.44791666666666669</v>
      </c>
      <c r="H2780" s="555" t="s">
        <v>4185</v>
      </c>
      <c r="I2780" s="555" t="s">
        <v>1352</v>
      </c>
      <c r="J2780" s="555" t="s">
        <v>3402</v>
      </c>
      <c r="K2780" s="555" t="s">
        <v>100</v>
      </c>
      <c r="L2780" s="555" t="s">
        <v>3055</v>
      </c>
      <c r="M2780" s="555" t="s">
        <v>3055</v>
      </c>
    </row>
    <row r="2781" spans="3:13" ht="18.75">
      <c r="C2781" s="735"/>
      <c r="D2781" s="555" t="s">
        <v>5250</v>
      </c>
      <c r="E2781" s="757">
        <v>0.65625</v>
      </c>
      <c r="F2781" s="731" t="s">
        <v>45</v>
      </c>
      <c r="G2781" s="730" t="s">
        <v>45</v>
      </c>
      <c r="H2781" s="555" t="s">
        <v>2833</v>
      </c>
      <c r="I2781" s="555" t="s">
        <v>3143</v>
      </c>
      <c r="J2781" s="555" t="s">
        <v>3402</v>
      </c>
      <c r="K2781" s="555" t="s">
        <v>2118</v>
      </c>
      <c r="L2781" s="555" t="s">
        <v>45</v>
      </c>
      <c r="M2781" s="555" t="s">
        <v>45</v>
      </c>
    </row>
    <row r="2782" spans="3:13" ht="18.75">
      <c r="C2782" s="735"/>
      <c r="D2782" s="555" t="s">
        <v>5251</v>
      </c>
      <c r="E2782" s="757">
        <v>0.78680555555555554</v>
      </c>
      <c r="F2782" s="731">
        <v>44635</v>
      </c>
      <c r="G2782" s="730">
        <v>0.85625000000000007</v>
      </c>
      <c r="H2782" s="555" t="s">
        <v>5252</v>
      </c>
      <c r="I2782" s="555" t="s">
        <v>124</v>
      </c>
      <c r="J2782" s="555" t="s">
        <v>3402</v>
      </c>
      <c r="K2782" s="555" t="s">
        <v>100</v>
      </c>
      <c r="L2782" s="555" t="s">
        <v>5105</v>
      </c>
      <c r="M2782" s="555" t="s">
        <v>5253</v>
      </c>
    </row>
    <row r="2783" spans="3:13" ht="18.75">
      <c r="C2783" s="735"/>
      <c r="D2783" s="555" t="s">
        <v>5251</v>
      </c>
      <c r="E2783" s="757">
        <v>0.46597222222222223</v>
      </c>
      <c r="F2783" s="731">
        <v>44635</v>
      </c>
      <c r="G2783" s="730">
        <v>0.4909722222222222</v>
      </c>
      <c r="H2783" s="555" t="s">
        <v>2959</v>
      </c>
      <c r="I2783" s="555" t="s">
        <v>61</v>
      </c>
      <c r="J2783" s="555" t="s">
        <v>3387</v>
      </c>
      <c r="K2783" s="555" t="s">
        <v>2764</v>
      </c>
      <c r="L2783" s="555" t="s">
        <v>3055</v>
      </c>
      <c r="M2783" s="555" t="s">
        <v>3055</v>
      </c>
    </row>
    <row r="2784" spans="3:13" ht="18.75">
      <c r="C2784" s="735"/>
      <c r="D2784" s="555" t="s">
        <v>5254</v>
      </c>
      <c r="E2784" s="757">
        <v>0.4777777777777778</v>
      </c>
      <c r="F2784" s="731">
        <v>44636</v>
      </c>
      <c r="G2784" s="730">
        <v>0.47847222222222219</v>
      </c>
      <c r="H2784" s="555" t="s">
        <v>3616</v>
      </c>
      <c r="I2784" s="555" t="s">
        <v>124</v>
      </c>
      <c r="J2784" s="555" t="s">
        <v>3356</v>
      </c>
      <c r="K2784" s="555" t="s">
        <v>100</v>
      </c>
      <c r="L2784" s="555" t="s">
        <v>3055</v>
      </c>
      <c r="M2784" s="555" t="s">
        <v>3055</v>
      </c>
    </row>
    <row r="2785" spans="3:13" ht="18.75">
      <c r="C2785" s="735"/>
      <c r="D2785" s="555" t="s">
        <v>5255</v>
      </c>
      <c r="E2785" s="757">
        <v>0.54097222222222219</v>
      </c>
      <c r="F2785" s="731">
        <v>44641</v>
      </c>
      <c r="G2785" s="730">
        <v>0.69305555555555554</v>
      </c>
      <c r="H2785" s="555" t="s">
        <v>5256</v>
      </c>
      <c r="I2785" s="555" t="s">
        <v>63</v>
      </c>
      <c r="J2785" s="555" t="s">
        <v>3356</v>
      </c>
      <c r="K2785" s="555" t="s">
        <v>5075</v>
      </c>
      <c r="L2785" s="555" t="s">
        <v>3055</v>
      </c>
      <c r="M2785" s="555" t="s">
        <v>3055</v>
      </c>
    </row>
    <row r="2786" spans="3:13" ht="18.75">
      <c r="C2786" s="735"/>
      <c r="D2786" s="555" t="s">
        <v>5257</v>
      </c>
      <c r="E2786" s="757">
        <v>0.68888888888888899</v>
      </c>
      <c r="F2786" s="731" t="s">
        <v>45</v>
      </c>
      <c r="G2786" s="730" t="s">
        <v>45</v>
      </c>
      <c r="H2786" s="555" t="s">
        <v>3299</v>
      </c>
      <c r="I2786" s="555" t="s">
        <v>63</v>
      </c>
      <c r="J2786" s="555" t="s">
        <v>3411</v>
      </c>
      <c r="K2786" s="555" t="s">
        <v>2483</v>
      </c>
      <c r="L2786" s="555" t="s">
        <v>5258</v>
      </c>
      <c r="M2786" s="555" t="s">
        <v>5259</v>
      </c>
    </row>
    <row r="2787" spans="3:13" ht="18.75">
      <c r="C2787" s="735"/>
      <c r="D2787" s="555" t="s">
        <v>5260</v>
      </c>
      <c r="E2787" s="757">
        <v>0.74444444444444446</v>
      </c>
      <c r="F2787" s="731">
        <v>44640</v>
      </c>
      <c r="G2787" s="730">
        <v>0.93055555555555547</v>
      </c>
      <c r="H2787" s="555" t="s">
        <v>3378</v>
      </c>
      <c r="I2787" s="555" t="s">
        <v>674</v>
      </c>
      <c r="J2787" s="555" t="s">
        <v>3387</v>
      </c>
      <c r="K2787" s="555" t="s">
        <v>2764</v>
      </c>
      <c r="L2787" s="555" t="s">
        <v>3055</v>
      </c>
      <c r="M2787" s="555" t="s">
        <v>3055</v>
      </c>
    </row>
    <row r="2788" spans="3:13" ht="18.75">
      <c r="C2788" s="735"/>
      <c r="D2788" s="555" t="s">
        <v>5261</v>
      </c>
      <c r="E2788" s="757">
        <v>0.79166666666666663</v>
      </c>
      <c r="F2788" s="731">
        <v>44644</v>
      </c>
      <c r="G2788" s="730">
        <v>0</v>
      </c>
      <c r="H2788" s="555" t="s">
        <v>5263</v>
      </c>
      <c r="I2788" s="555" t="s">
        <v>1352</v>
      </c>
      <c r="J2788" s="555" t="s">
        <v>2753</v>
      </c>
      <c r="K2788" s="555" t="s">
        <v>22</v>
      </c>
      <c r="L2788" s="555" t="s">
        <v>45</v>
      </c>
      <c r="M2788" s="555" t="s">
        <v>5264</v>
      </c>
    </row>
    <row r="2789" spans="3:13" ht="18.75">
      <c r="C2789" s="735"/>
      <c r="D2789" s="555" t="s">
        <v>5265</v>
      </c>
      <c r="E2789" s="757">
        <v>0.87777777777777777</v>
      </c>
      <c r="F2789" s="731">
        <v>44642</v>
      </c>
      <c r="G2789" s="730">
        <v>0.88055555555555554</v>
      </c>
      <c r="H2789" s="555" t="s">
        <v>5266</v>
      </c>
      <c r="I2789" s="555" t="s">
        <v>3143</v>
      </c>
      <c r="J2789" s="555" t="s">
        <v>3402</v>
      </c>
      <c r="K2789" s="555" t="s">
        <v>2118</v>
      </c>
      <c r="L2789" s="555" t="s">
        <v>3055</v>
      </c>
      <c r="M2789" s="555" t="s">
        <v>3055</v>
      </c>
    </row>
    <row r="2790" spans="3:13" ht="18.75">
      <c r="C2790" s="735"/>
      <c r="D2790" s="555" t="s">
        <v>5265</v>
      </c>
      <c r="E2790" s="757">
        <v>4.1666666666666666E-3</v>
      </c>
      <c r="F2790" s="731">
        <v>44642</v>
      </c>
      <c r="G2790" s="730">
        <v>0.18680555555555556</v>
      </c>
      <c r="H2790" s="555" t="s">
        <v>5267</v>
      </c>
      <c r="I2790" s="555" t="s">
        <v>674</v>
      </c>
      <c r="J2790" s="555" t="s">
        <v>3411</v>
      </c>
      <c r="K2790" s="555" t="s">
        <v>2483</v>
      </c>
      <c r="L2790" s="555" t="s">
        <v>3055</v>
      </c>
      <c r="M2790" s="555" t="s">
        <v>3055</v>
      </c>
    </row>
    <row r="2791" spans="3:13" ht="18.75">
      <c r="C2791" s="735"/>
      <c r="D2791" s="555" t="s">
        <v>5268</v>
      </c>
      <c r="E2791" s="757">
        <v>0.8652777777777777</v>
      </c>
      <c r="F2791" s="731">
        <v>44645</v>
      </c>
      <c r="G2791" s="730">
        <v>0.95000000000000007</v>
      </c>
      <c r="H2791" s="555" t="s">
        <v>2959</v>
      </c>
      <c r="I2791" s="555" t="s">
        <v>61</v>
      </c>
      <c r="J2791" s="555" t="s">
        <v>3387</v>
      </c>
      <c r="K2791" s="555" t="s">
        <v>2764</v>
      </c>
      <c r="L2791" s="555" t="s">
        <v>3055</v>
      </c>
      <c r="M2791" s="555" t="s">
        <v>3055</v>
      </c>
    </row>
    <row r="2792" spans="3:13" ht="18.75">
      <c r="C2792" s="735"/>
      <c r="D2792" s="555" t="s">
        <v>5269</v>
      </c>
      <c r="E2792" s="757">
        <v>0.48958333333333331</v>
      </c>
      <c r="F2792" s="731" t="s">
        <v>45</v>
      </c>
      <c r="G2792" s="730" t="s">
        <v>45</v>
      </c>
      <c r="H2792" s="555" t="s">
        <v>2920</v>
      </c>
      <c r="I2792" s="555" t="s">
        <v>124</v>
      </c>
      <c r="J2792" s="555" t="s">
        <v>2910</v>
      </c>
      <c r="K2792" s="555" t="s">
        <v>100</v>
      </c>
      <c r="L2792" s="555" t="s">
        <v>3055</v>
      </c>
      <c r="M2792" s="555" t="s">
        <v>3055</v>
      </c>
    </row>
    <row r="2793" spans="3:13" ht="18.75">
      <c r="C2793" s="735"/>
      <c r="D2793" s="555" t="s">
        <v>5269</v>
      </c>
      <c r="E2793" s="757">
        <v>0.69027777777777777</v>
      </c>
      <c r="F2793" s="731">
        <v>44650</v>
      </c>
      <c r="G2793" s="730">
        <v>0.64236111111111105</v>
      </c>
      <c r="H2793" s="555" t="s">
        <v>2958</v>
      </c>
      <c r="I2793" s="555" t="s">
        <v>61</v>
      </c>
      <c r="J2793" s="555" t="s">
        <v>3356</v>
      </c>
      <c r="K2793" s="555" t="s">
        <v>100</v>
      </c>
      <c r="L2793" s="555" t="s">
        <v>3055</v>
      </c>
      <c r="M2793" s="555" t="s">
        <v>3055</v>
      </c>
    </row>
    <row r="2794" spans="3:13" ht="18.75">
      <c r="C2794" s="735"/>
      <c r="D2794" s="555" t="s">
        <v>5270</v>
      </c>
      <c r="E2794" s="757">
        <v>0.65625</v>
      </c>
      <c r="F2794" s="731" t="s">
        <v>45</v>
      </c>
      <c r="G2794" s="730" t="s">
        <v>45</v>
      </c>
      <c r="H2794" s="555" t="s">
        <v>5271</v>
      </c>
      <c r="I2794" s="555" t="s">
        <v>63</v>
      </c>
      <c r="J2794" s="555" t="s">
        <v>2753</v>
      </c>
      <c r="K2794" s="555" t="s">
        <v>22</v>
      </c>
      <c r="L2794" s="555" t="s">
        <v>45</v>
      </c>
      <c r="M2794" s="555" t="s">
        <v>5272</v>
      </c>
    </row>
    <row r="2795" spans="3:13" ht="18.75">
      <c r="C2795" s="735"/>
      <c r="D2795" s="555" t="s">
        <v>5273</v>
      </c>
      <c r="E2795" s="757">
        <v>0.3743055555555555</v>
      </c>
      <c r="F2795" s="731">
        <v>44652</v>
      </c>
      <c r="G2795" s="730">
        <v>0.8125</v>
      </c>
      <c r="H2795" s="555" t="s">
        <v>5275</v>
      </c>
      <c r="I2795" s="555" t="s">
        <v>3143</v>
      </c>
      <c r="J2795" s="555" t="s">
        <v>2753</v>
      </c>
      <c r="K2795" s="555" t="s">
        <v>22</v>
      </c>
      <c r="L2795" s="555" t="s">
        <v>3880</v>
      </c>
      <c r="M2795" s="555" t="s">
        <v>3340</v>
      </c>
    </row>
    <row r="2796" spans="3:13" ht="18.75">
      <c r="C2796" s="735"/>
      <c r="D2796" s="555" t="s">
        <v>5273</v>
      </c>
      <c r="E2796" s="757">
        <v>0.94652777777777775</v>
      </c>
      <c r="F2796" s="731" t="s">
        <v>45</v>
      </c>
      <c r="G2796" s="730" t="s">
        <v>45</v>
      </c>
      <c r="H2796" s="555" t="s">
        <v>5276</v>
      </c>
      <c r="I2796" s="555" t="s">
        <v>5277</v>
      </c>
      <c r="J2796" s="555" t="s">
        <v>2944</v>
      </c>
      <c r="K2796" s="555" t="s">
        <v>2952</v>
      </c>
      <c r="L2796" s="555" t="s">
        <v>3055</v>
      </c>
      <c r="M2796" s="555" t="s">
        <v>3055</v>
      </c>
    </row>
    <row r="2797" spans="3:13" ht="18.75">
      <c r="C2797" s="735"/>
      <c r="D2797" s="555" t="s">
        <v>5273</v>
      </c>
      <c r="E2797" s="757">
        <v>2.7777777777777779E-3</v>
      </c>
      <c r="F2797" s="731">
        <v>44651</v>
      </c>
      <c r="G2797" s="730">
        <v>0.3888888888888889</v>
      </c>
      <c r="H2797" s="555" t="s">
        <v>5278</v>
      </c>
      <c r="I2797" s="555" t="s">
        <v>63</v>
      </c>
      <c r="J2797" s="555" t="s">
        <v>2753</v>
      </c>
      <c r="K2797" s="555" t="s">
        <v>22</v>
      </c>
      <c r="L2797" s="555" t="s">
        <v>5279</v>
      </c>
      <c r="M2797" s="555" t="s">
        <v>5280</v>
      </c>
    </row>
    <row r="2798" spans="3:13" ht="18.75">
      <c r="C2798" s="735"/>
      <c r="D2798" s="555" t="s">
        <v>5281</v>
      </c>
      <c r="E2798" s="757">
        <v>0.19444444444444445</v>
      </c>
      <c r="F2798" s="731">
        <v>44656</v>
      </c>
      <c r="G2798" s="730">
        <v>0.72291666666666676</v>
      </c>
      <c r="H2798" s="555" t="s">
        <v>4590</v>
      </c>
      <c r="I2798" s="555" t="s">
        <v>5174</v>
      </c>
      <c r="J2798" s="555" t="s">
        <v>3411</v>
      </c>
      <c r="K2798" s="555" t="s">
        <v>2764</v>
      </c>
      <c r="L2798" s="555" t="s">
        <v>3364</v>
      </c>
      <c r="M2798" s="555" t="s">
        <v>5282</v>
      </c>
    </row>
    <row r="2799" spans="3:13" ht="18.75">
      <c r="C2799" s="735"/>
      <c r="D2799" s="555" t="s">
        <v>5283</v>
      </c>
      <c r="E2799" s="757">
        <v>0.65347222222222223</v>
      </c>
      <c r="F2799" s="731">
        <v>44661</v>
      </c>
      <c r="G2799" s="730">
        <v>0.65972222222222221</v>
      </c>
      <c r="H2799" s="555" t="s">
        <v>4740</v>
      </c>
      <c r="I2799" s="555" t="s">
        <v>63</v>
      </c>
      <c r="J2799" s="555" t="s">
        <v>2839</v>
      </c>
      <c r="K2799" s="555" t="s">
        <v>2764</v>
      </c>
      <c r="L2799" s="555" t="s">
        <v>3432</v>
      </c>
      <c r="M2799" s="555" t="s">
        <v>45</v>
      </c>
    </row>
    <row r="2800" spans="3:13" ht="18.75">
      <c r="C2800" s="735"/>
      <c r="D2800" s="555" t="s">
        <v>5283</v>
      </c>
      <c r="E2800" s="757">
        <v>0.65347222222222223</v>
      </c>
      <c r="F2800" s="731">
        <v>44661</v>
      </c>
      <c r="G2800" s="730">
        <v>0.65972222222222221</v>
      </c>
      <c r="H2800" s="555" t="s">
        <v>4740</v>
      </c>
      <c r="I2800" s="555" t="s">
        <v>63</v>
      </c>
      <c r="J2800" s="555" t="s">
        <v>2839</v>
      </c>
      <c r="K2800" s="555" t="s">
        <v>2764</v>
      </c>
      <c r="L2800" s="555" t="s">
        <v>3432</v>
      </c>
      <c r="M2800" s="555" t="s">
        <v>45</v>
      </c>
    </row>
    <row r="2801" spans="3:13" ht="18.75">
      <c r="C2801" s="735"/>
      <c r="D2801" s="555" t="s">
        <v>5284</v>
      </c>
      <c r="E2801" s="757">
        <v>0.38541666666666669</v>
      </c>
      <c r="F2801" s="731">
        <v>44664</v>
      </c>
      <c r="G2801" s="730">
        <v>0.33333333333333331</v>
      </c>
      <c r="H2801" s="555" t="s">
        <v>5286</v>
      </c>
      <c r="I2801" s="555" t="s">
        <v>124</v>
      </c>
      <c r="J2801" s="555" t="s">
        <v>2753</v>
      </c>
      <c r="K2801" s="555" t="s">
        <v>22</v>
      </c>
      <c r="L2801" s="555" t="s">
        <v>5287</v>
      </c>
      <c r="M2801" s="555" t="s">
        <v>5288</v>
      </c>
    </row>
    <row r="2802" spans="3:13" ht="18.75">
      <c r="C2802" s="735"/>
      <c r="D2802" s="555" t="s">
        <v>5284</v>
      </c>
      <c r="E2802" s="757">
        <v>0.90069444444444446</v>
      </c>
      <c r="F2802" s="731">
        <v>44662</v>
      </c>
      <c r="G2802" s="730">
        <v>0.92638888888888893</v>
      </c>
      <c r="H2802" s="555" t="s">
        <v>2951</v>
      </c>
      <c r="I2802" s="555" t="s">
        <v>124</v>
      </c>
      <c r="J2802" s="555" t="s">
        <v>3356</v>
      </c>
      <c r="K2802" s="555" t="s">
        <v>2293</v>
      </c>
      <c r="L2802" s="555" t="s">
        <v>3082</v>
      </c>
      <c r="M2802" s="555" t="s">
        <v>5289</v>
      </c>
    </row>
    <row r="2803" spans="3:13" ht="18.75">
      <c r="C2803" s="735"/>
      <c r="D2803" s="555" t="s">
        <v>5284</v>
      </c>
      <c r="E2803" s="757">
        <v>0.85625000000000007</v>
      </c>
      <c r="F2803" s="731">
        <v>44662</v>
      </c>
      <c r="G2803" s="730">
        <v>0.86111111111111116</v>
      </c>
      <c r="H2803" s="555" t="s">
        <v>5290</v>
      </c>
      <c r="I2803" s="555" t="s">
        <v>3143</v>
      </c>
      <c r="J2803" s="555" t="s">
        <v>3402</v>
      </c>
      <c r="K2803" s="555" t="s">
        <v>2118</v>
      </c>
      <c r="L2803" s="555" t="s">
        <v>3055</v>
      </c>
      <c r="M2803" s="555" t="s">
        <v>3055</v>
      </c>
    </row>
    <row r="2804" spans="3:13" ht="18.75">
      <c r="C2804" s="735"/>
      <c r="D2804" s="555" t="s">
        <v>5284</v>
      </c>
      <c r="E2804" s="757">
        <v>0.85625000000000007</v>
      </c>
      <c r="F2804" s="731">
        <v>44662</v>
      </c>
      <c r="G2804" s="730">
        <v>0.86111111111111116</v>
      </c>
      <c r="H2804" s="555" t="s">
        <v>5290</v>
      </c>
      <c r="I2804" s="555" t="s">
        <v>3143</v>
      </c>
      <c r="J2804" s="555" t="s">
        <v>3402</v>
      </c>
      <c r="K2804" s="555" t="s">
        <v>2118</v>
      </c>
      <c r="L2804" s="555" t="s">
        <v>3055</v>
      </c>
      <c r="M2804" s="555" t="s">
        <v>3055</v>
      </c>
    </row>
    <row r="2805" spans="3:13" ht="18.75">
      <c r="C2805" s="735"/>
      <c r="D2805" s="555" t="s">
        <v>5291</v>
      </c>
      <c r="E2805" s="757">
        <v>0.73749999999999993</v>
      </c>
      <c r="F2805" s="731">
        <v>44663</v>
      </c>
      <c r="G2805" s="730">
        <v>0.77638888888888891</v>
      </c>
      <c r="H2805" s="555" t="s">
        <v>5292</v>
      </c>
      <c r="I2805" s="555" t="s">
        <v>63</v>
      </c>
      <c r="J2805" s="555" t="s">
        <v>2910</v>
      </c>
      <c r="K2805" s="555" t="s">
        <v>2293</v>
      </c>
      <c r="L2805" s="555" t="s">
        <v>3055</v>
      </c>
      <c r="M2805" s="555" t="s">
        <v>3055</v>
      </c>
    </row>
    <row r="2806" spans="3:13" ht="18.75">
      <c r="C2806" s="735"/>
      <c r="D2806" s="555" t="s">
        <v>5285</v>
      </c>
      <c r="E2806" s="757">
        <v>0.9194444444444444</v>
      </c>
      <c r="F2806" s="731">
        <v>44665</v>
      </c>
      <c r="G2806" s="730">
        <v>1.3888888888888889E-3</v>
      </c>
      <c r="H2806" s="555" t="s">
        <v>5294</v>
      </c>
      <c r="I2806" s="555" t="s">
        <v>63</v>
      </c>
      <c r="J2806" s="555" t="s">
        <v>3411</v>
      </c>
      <c r="K2806" s="555" t="s">
        <v>2764</v>
      </c>
      <c r="L2806" s="555" t="s">
        <v>3754</v>
      </c>
      <c r="M2806" s="555" t="s">
        <v>5295</v>
      </c>
    </row>
    <row r="2807" spans="3:13" ht="18.75">
      <c r="C2807" s="735"/>
      <c r="D2807" s="555" t="s">
        <v>5293</v>
      </c>
      <c r="E2807" s="757">
        <v>0.24930555555555556</v>
      </c>
      <c r="F2807" s="731">
        <v>44665</v>
      </c>
      <c r="G2807" s="730">
        <v>0.2590277777777778</v>
      </c>
      <c r="H2807" s="555" t="s">
        <v>2967</v>
      </c>
      <c r="I2807" s="555" t="s">
        <v>124</v>
      </c>
      <c r="J2807" s="555" t="s">
        <v>3411</v>
      </c>
      <c r="K2807" s="555" t="s">
        <v>2483</v>
      </c>
      <c r="L2807" s="555" t="s">
        <v>4710</v>
      </c>
      <c r="M2807" s="555" t="s">
        <v>5296</v>
      </c>
    </row>
    <row r="2808" spans="3:13" ht="18.75">
      <c r="C2808" s="735"/>
      <c r="D2808" s="555" t="s">
        <v>5297</v>
      </c>
      <c r="E2808" s="757">
        <v>0.51180555555555551</v>
      </c>
      <c r="F2808" s="731" t="s">
        <v>45</v>
      </c>
      <c r="G2808" s="730" t="s">
        <v>45</v>
      </c>
      <c r="H2808" s="555" t="s">
        <v>2864</v>
      </c>
      <c r="I2808" s="555" t="s">
        <v>5174</v>
      </c>
      <c r="J2808" s="555" t="s">
        <v>3387</v>
      </c>
      <c r="K2808" s="555" t="s">
        <v>2905</v>
      </c>
      <c r="L2808" s="555" t="s">
        <v>3055</v>
      </c>
      <c r="M2808" s="555" t="s">
        <v>3055</v>
      </c>
    </row>
    <row r="2809" spans="3:13" ht="18.75">
      <c r="C2809" s="735"/>
      <c r="D2809" s="555" t="s">
        <v>5297</v>
      </c>
      <c r="E2809" s="757">
        <v>0.46388888888888885</v>
      </c>
      <c r="F2809" s="731" t="s">
        <v>45</v>
      </c>
      <c r="G2809" s="730" t="s">
        <v>45</v>
      </c>
      <c r="H2809" s="555" t="s">
        <v>5298</v>
      </c>
      <c r="I2809" s="555" t="s">
        <v>5055</v>
      </c>
      <c r="J2809" s="555" t="s">
        <v>3411</v>
      </c>
      <c r="K2809" s="555" t="s">
        <v>2764</v>
      </c>
      <c r="L2809" s="555" t="s">
        <v>3055</v>
      </c>
      <c r="M2809" s="555" t="s">
        <v>3055</v>
      </c>
    </row>
    <row r="2810" spans="3:13" ht="18.75">
      <c r="C2810" s="735"/>
      <c r="D2810" s="555" t="s">
        <v>5297</v>
      </c>
      <c r="E2810" s="757">
        <v>0.44791666666666669</v>
      </c>
      <c r="F2810" s="731" t="s">
        <v>45</v>
      </c>
      <c r="G2810" s="730" t="s">
        <v>45</v>
      </c>
      <c r="H2810" s="555" t="s">
        <v>2853</v>
      </c>
      <c r="I2810" s="555" t="s">
        <v>124</v>
      </c>
      <c r="J2810" s="555" t="s">
        <v>3402</v>
      </c>
      <c r="K2810" s="555" t="s">
        <v>2118</v>
      </c>
      <c r="L2810" s="555" t="s">
        <v>3055</v>
      </c>
      <c r="M2810" s="555" t="s">
        <v>3055</v>
      </c>
    </row>
    <row r="2811" spans="3:13" ht="18.75">
      <c r="C2811" s="735"/>
      <c r="D2811" s="555" t="s">
        <v>5297</v>
      </c>
      <c r="E2811" s="757">
        <v>0.73888888888888893</v>
      </c>
      <c r="F2811" s="731" t="s">
        <v>45</v>
      </c>
      <c r="G2811" s="730" t="s">
        <v>45</v>
      </c>
      <c r="H2811" s="555" t="s">
        <v>2945</v>
      </c>
      <c r="I2811" s="555" t="s">
        <v>124</v>
      </c>
      <c r="J2811" s="555" t="s">
        <v>2839</v>
      </c>
      <c r="K2811" s="555" t="s">
        <v>2764</v>
      </c>
      <c r="L2811" s="555" t="s">
        <v>5299</v>
      </c>
      <c r="M2811" s="555" t="s">
        <v>45</v>
      </c>
    </row>
    <row r="2812" spans="3:13" ht="18.75">
      <c r="C2812" s="735"/>
      <c r="D2812" s="555" t="s">
        <v>5297</v>
      </c>
      <c r="E2812" s="757">
        <v>0.22916666666666666</v>
      </c>
      <c r="F2812" s="731">
        <v>44667</v>
      </c>
      <c r="G2812" s="730">
        <v>0.48472222222222222</v>
      </c>
      <c r="H2812" s="555" t="s">
        <v>3414</v>
      </c>
      <c r="I2812" s="555" t="s">
        <v>124</v>
      </c>
      <c r="J2812" s="555" t="s">
        <v>3447</v>
      </c>
      <c r="K2812" s="555" t="s">
        <v>2764</v>
      </c>
      <c r="L2812" s="555" t="s">
        <v>3055</v>
      </c>
      <c r="M2812" s="555" t="s">
        <v>3055</v>
      </c>
    </row>
    <row r="2813" spans="3:13" ht="18.75">
      <c r="C2813" s="735"/>
      <c r="D2813" s="555" t="s">
        <v>5297</v>
      </c>
      <c r="E2813" s="757">
        <v>0.95486111111111116</v>
      </c>
      <c r="F2813" s="731">
        <v>44667</v>
      </c>
      <c r="G2813" s="730">
        <v>0.95624999999999993</v>
      </c>
      <c r="H2813" s="555" t="s">
        <v>5081</v>
      </c>
      <c r="I2813" s="555" t="s">
        <v>3143</v>
      </c>
      <c r="J2813" s="555" t="s">
        <v>3402</v>
      </c>
      <c r="K2813" s="555" t="s">
        <v>2118</v>
      </c>
      <c r="L2813" s="555" t="s">
        <v>3055</v>
      </c>
      <c r="M2813" s="555" t="s">
        <v>3055</v>
      </c>
    </row>
    <row r="2814" spans="3:13" ht="18.75">
      <c r="C2814" s="735"/>
      <c r="D2814" s="555" t="s">
        <v>5300</v>
      </c>
      <c r="E2814" s="757">
        <v>0.25</v>
      </c>
      <c r="F2814" s="731" t="s">
        <v>45</v>
      </c>
      <c r="G2814" s="730" t="s">
        <v>45</v>
      </c>
      <c r="H2814" s="555" t="s">
        <v>2868</v>
      </c>
      <c r="I2814" s="555" t="s">
        <v>61</v>
      </c>
      <c r="J2814" s="555" t="s">
        <v>2753</v>
      </c>
      <c r="K2814" s="555" t="s">
        <v>22</v>
      </c>
      <c r="L2814" s="555" t="s">
        <v>45</v>
      </c>
      <c r="M2814" s="555" t="s">
        <v>5301</v>
      </c>
    </row>
    <row r="2815" spans="3:13" ht="18.75">
      <c r="C2815" s="735"/>
      <c r="D2815" s="555" t="s">
        <v>5300</v>
      </c>
      <c r="E2815" s="757">
        <v>0.36180555555555555</v>
      </c>
      <c r="F2815" s="731">
        <v>44670</v>
      </c>
      <c r="G2815" s="730">
        <v>0.50694444444444442</v>
      </c>
      <c r="H2815" s="555" t="s">
        <v>3264</v>
      </c>
      <c r="I2815" s="555" t="s">
        <v>61</v>
      </c>
      <c r="J2815" s="555" t="s">
        <v>2753</v>
      </c>
      <c r="K2815" s="555" t="s">
        <v>22</v>
      </c>
      <c r="L2815" s="555" t="s">
        <v>45</v>
      </c>
      <c r="M2815" s="555" t="s">
        <v>5302</v>
      </c>
    </row>
    <row r="2816" spans="3:13" ht="18.75">
      <c r="C2816" s="735"/>
      <c r="D2816" s="555" t="s">
        <v>5300</v>
      </c>
      <c r="E2816" s="757">
        <v>0.17152777777777775</v>
      </c>
      <c r="F2816" s="731" t="s">
        <v>45</v>
      </c>
      <c r="G2816" s="730" t="s">
        <v>45</v>
      </c>
      <c r="H2816" s="555" t="s">
        <v>5303</v>
      </c>
      <c r="I2816" s="555" t="s">
        <v>61</v>
      </c>
      <c r="J2816" s="555" t="s">
        <v>2753</v>
      </c>
      <c r="K2816" s="555" t="s">
        <v>22</v>
      </c>
      <c r="L2816" s="555" t="s">
        <v>45</v>
      </c>
      <c r="M2816" s="555" t="s">
        <v>5304</v>
      </c>
    </row>
    <row r="2817" spans="3:13" ht="18.75">
      <c r="C2817" s="735"/>
      <c r="D2817" s="555" t="s">
        <v>5305</v>
      </c>
      <c r="E2817" s="757">
        <v>0.95833333333333337</v>
      </c>
      <c r="F2817" s="731">
        <v>44675</v>
      </c>
      <c r="G2817" s="730">
        <v>0.66666666666666663</v>
      </c>
      <c r="H2817" s="555" t="s">
        <v>3931</v>
      </c>
      <c r="I2817" s="555" t="s">
        <v>674</v>
      </c>
      <c r="J2817" s="555" t="s">
        <v>3379</v>
      </c>
      <c r="K2817" s="555" t="s">
        <v>22</v>
      </c>
      <c r="L2817" s="555" t="s">
        <v>5307</v>
      </c>
      <c r="M2817" s="555" t="s">
        <v>45</v>
      </c>
    </row>
    <row r="2818" spans="3:13" ht="18.75">
      <c r="C2818" s="735"/>
      <c r="D2818" s="555" t="s">
        <v>5305</v>
      </c>
      <c r="E2818" s="757">
        <v>0.96944444444444444</v>
      </c>
      <c r="F2818" s="731">
        <v>44675</v>
      </c>
      <c r="G2818" s="730">
        <v>0.66666666666666663</v>
      </c>
      <c r="H2818" s="555" t="s">
        <v>5308</v>
      </c>
      <c r="I2818" s="555" t="s">
        <v>5309</v>
      </c>
      <c r="J2818" s="555" t="s">
        <v>3411</v>
      </c>
      <c r="K2818" s="555" t="s">
        <v>22</v>
      </c>
      <c r="L2818" s="555" t="s">
        <v>45</v>
      </c>
      <c r="M2818" s="555" t="s">
        <v>45</v>
      </c>
    </row>
    <row r="2819" spans="3:13" ht="18.75">
      <c r="C2819" s="735"/>
      <c r="D2819" s="555" t="s">
        <v>5310</v>
      </c>
      <c r="E2819" s="757">
        <v>0.65138888888888891</v>
      </c>
      <c r="F2819" s="731">
        <v>44675</v>
      </c>
      <c r="G2819" s="730">
        <v>0.16666666666666666</v>
      </c>
      <c r="H2819" s="555" t="s">
        <v>3809</v>
      </c>
      <c r="I2819" s="555" t="s">
        <v>674</v>
      </c>
      <c r="J2819" s="555" t="s">
        <v>3379</v>
      </c>
      <c r="K2819" s="555" t="s">
        <v>22</v>
      </c>
      <c r="L2819" s="555" t="s">
        <v>5311</v>
      </c>
      <c r="M2819" s="555" t="s">
        <v>5312</v>
      </c>
    </row>
    <row r="2820" spans="3:13" ht="18.75">
      <c r="C2820" s="735"/>
      <c r="D2820" s="555" t="s">
        <v>5310</v>
      </c>
      <c r="E2820" s="757">
        <v>0.8208333333333333</v>
      </c>
      <c r="F2820" s="731">
        <v>44675</v>
      </c>
      <c r="G2820" s="730">
        <v>0.67847222222222225</v>
      </c>
      <c r="H2820" s="555" t="s">
        <v>5313</v>
      </c>
      <c r="I2820" s="555" t="s">
        <v>5055</v>
      </c>
      <c r="J2820" s="555" t="s">
        <v>3411</v>
      </c>
      <c r="K2820" s="555" t="s">
        <v>22</v>
      </c>
      <c r="L2820" s="555" t="s">
        <v>4782</v>
      </c>
      <c r="M2820" s="555" t="s">
        <v>5314</v>
      </c>
    </row>
    <row r="2821" spans="3:13" ht="18.75">
      <c r="C2821" s="735"/>
      <c r="D2821" s="555" t="s">
        <v>5315</v>
      </c>
      <c r="E2821" s="757">
        <v>0.6020833333333333</v>
      </c>
      <c r="F2821" s="731" t="s">
        <v>45</v>
      </c>
      <c r="G2821" s="730" t="s">
        <v>45</v>
      </c>
      <c r="H2821" s="555" t="s">
        <v>3897</v>
      </c>
      <c r="I2821" s="555" t="s">
        <v>674</v>
      </c>
      <c r="J2821" s="555" t="s">
        <v>3356</v>
      </c>
      <c r="K2821" s="555" t="s">
        <v>100</v>
      </c>
      <c r="L2821" s="555" t="s">
        <v>5316</v>
      </c>
      <c r="M2821" s="555" t="s">
        <v>3055</v>
      </c>
    </row>
    <row r="2822" spans="3:13" ht="18.75">
      <c r="C2822" s="735"/>
      <c r="D2822" s="555" t="s">
        <v>5315</v>
      </c>
      <c r="E2822" s="757">
        <v>0.37083333333333335</v>
      </c>
      <c r="F2822" s="731">
        <v>44677</v>
      </c>
      <c r="G2822" s="730">
        <v>0.37152777777777773</v>
      </c>
      <c r="H2822" s="555" t="s">
        <v>3616</v>
      </c>
      <c r="I2822" s="555" t="s">
        <v>124</v>
      </c>
      <c r="J2822" s="555" t="s">
        <v>2910</v>
      </c>
      <c r="K2822" s="555" t="s">
        <v>100</v>
      </c>
      <c r="L2822" s="555" t="s">
        <v>3055</v>
      </c>
      <c r="M2822" s="555" t="s">
        <v>3055</v>
      </c>
    </row>
    <row r="2823" spans="3:13" ht="18.75">
      <c r="C2823" s="735"/>
      <c r="D2823" s="555" t="s">
        <v>5317</v>
      </c>
      <c r="E2823" s="757">
        <v>0.375</v>
      </c>
      <c r="F2823" s="731">
        <v>44678</v>
      </c>
      <c r="G2823" s="730">
        <v>0.3756944444444445</v>
      </c>
      <c r="H2823" s="555" t="s">
        <v>5318</v>
      </c>
      <c r="I2823" s="555" t="s">
        <v>3143</v>
      </c>
      <c r="J2823" s="555" t="s">
        <v>3402</v>
      </c>
      <c r="K2823" s="555" t="s">
        <v>2118</v>
      </c>
      <c r="L2823" s="555" t="s">
        <v>45</v>
      </c>
      <c r="M2823" s="555" t="s">
        <v>45</v>
      </c>
    </row>
    <row r="2824" spans="3:13" ht="18.75">
      <c r="C2824" s="735"/>
      <c r="D2824" s="555" t="s">
        <v>5319</v>
      </c>
      <c r="E2824" s="757">
        <v>0.33055555555555555</v>
      </c>
      <c r="F2824" s="731">
        <v>44679</v>
      </c>
      <c r="G2824" s="730">
        <v>0.3666666666666667</v>
      </c>
      <c r="H2824" s="555" t="s">
        <v>2832</v>
      </c>
      <c r="I2824" s="555" t="s">
        <v>63</v>
      </c>
      <c r="J2824" s="555" t="s">
        <v>3411</v>
      </c>
      <c r="K2824" s="555" t="s">
        <v>2764</v>
      </c>
      <c r="L2824" s="555" t="s">
        <v>5320</v>
      </c>
      <c r="M2824" s="555" t="s">
        <v>45</v>
      </c>
    </row>
    <row r="2825" spans="3:13" ht="18.75">
      <c r="C2825" s="735"/>
      <c r="D2825" s="555" t="s">
        <v>5319</v>
      </c>
      <c r="E2825" s="757">
        <v>0.65625</v>
      </c>
      <c r="F2825" s="731" t="s">
        <v>45</v>
      </c>
      <c r="G2825" s="730" t="s">
        <v>45</v>
      </c>
      <c r="H2825" s="555" t="s">
        <v>3620</v>
      </c>
      <c r="I2825" s="555" t="s">
        <v>124</v>
      </c>
      <c r="J2825" s="555" t="s">
        <v>3402</v>
      </c>
      <c r="K2825" s="555" t="s">
        <v>2118</v>
      </c>
      <c r="L2825" s="555" t="s">
        <v>3055</v>
      </c>
      <c r="M2825" s="555" t="s">
        <v>3055</v>
      </c>
    </row>
    <row r="2826" spans="3:13" ht="18.75">
      <c r="C2826" s="735"/>
      <c r="D2826" s="555" t="s">
        <v>5321</v>
      </c>
      <c r="E2826" s="757">
        <v>0.2951388888888889</v>
      </c>
      <c r="F2826" s="731">
        <v>44680</v>
      </c>
      <c r="G2826" s="730">
        <v>0.29583333333333334</v>
      </c>
      <c r="H2826" s="555" t="s">
        <v>2945</v>
      </c>
      <c r="I2826" s="555" t="s">
        <v>124</v>
      </c>
      <c r="J2826" s="555" t="s">
        <v>2910</v>
      </c>
      <c r="K2826" s="555" t="s">
        <v>100</v>
      </c>
      <c r="L2826" s="555" t="s">
        <v>3055</v>
      </c>
      <c r="M2826" s="555" t="s">
        <v>3055</v>
      </c>
    </row>
    <row r="2827" spans="3:13" ht="18.75">
      <c r="C2827" s="735"/>
      <c r="D2827" s="555" t="s">
        <v>5322</v>
      </c>
      <c r="E2827" s="757">
        <v>0.6</v>
      </c>
      <c r="F2827" s="731">
        <v>44683</v>
      </c>
      <c r="G2827" s="730">
        <v>0.60069444444444442</v>
      </c>
      <c r="H2827" s="555" t="s">
        <v>2945</v>
      </c>
      <c r="I2827" s="555" t="s">
        <v>124</v>
      </c>
      <c r="J2827" s="555" t="s">
        <v>3356</v>
      </c>
      <c r="K2827" s="555" t="s">
        <v>100</v>
      </c>
      <c r="L2827" s="555" t="s">
        <v>45</v>
      </c>
      <c r="M2827" s="555" t="s">
        <v>3055</v>
      </c>
    </row>
    <row r="2828" spans="3:13" ht="18.75">
      <c r="C2828" s="735"/>
      <c r="D2828" s="555" t="s">
        <v>5323</v>
      </c>
      <c r="E2828" s="757">
        <v>0.27916666666666667</v>
      </c>
      <c r="F2828" s="731">
        <v>44684</v>
      </c>
      <c r="G2828" s="730">
        <v>0.58263888888888882</v>
      </c>
      <c r="H2828" s="555" t="s">
        <v>5324</v>
      </c>
      <c r="I2828" s="555" t="s">
        <v>61</v>
      </c>
      <c r="J2828" s="555" t="s">
        <v>3356</v>
      </c>
      <c r="K2828" s="555" t="s">
        <v>100</v>
      </c>
      <c r="L2828" s="555" t="s">
        <v>3055</v>
      </c>
      <c r="M2828" s="555" t="s">
        <v>3055</v>
      </c>
    </row>
    <row r="2829" spans="3:13" ht="18.75">
      <c r="C2829" s="735"/>
      <c r="D2829" s="555" t="s">
        <v>5323</v>
      </c>
      <c r="E2829" s="757">
        <v>1.1805555555555555E-2</v>
      </c>
      <c r="F2829" s="731">
        <v>44685</v>
      </c>
      <c r="G2829" s="730">
        <v>0.5</v>
      </c>
      <c r="H2829" s="555" t="s">
        <v>2866</v>
      </c>
      <c r="I2829" s="555" t="s">
        <v>63</v>
      </c>
      <c r="J2829" s="555" t="s">
        <v>3356</v>
      </c>
      <c r="K2829" s="555" t="s">
        <v>2293</v>
      </c>
      <c r="L2829" s="555" t="s">
        <v>3055</v>
      </c>
      <c r="M2829" s="555" t="s">
        <v>3055</v>
      </c>
    </row>
    <row r="2830" spans="3:13" ht="18.75">
      <c r="C2830" s="735"/>
      <c r="D2830" s="555" t="s">
        <v>5325</v>
      </c>
      <c r="E2830" s="757">
        <v>0.58819444444444446</v>
      </c>
      <c r="F2830" s="731">
        <v>44686</v>
      </c>
      <c r="G2830" s="730">
        <v>8.1250000000000003E-2</v>
      </c>
      <c r="H2830" s="555" t="s">
        <v>3528</v>
      </c>
      <c r="I2830" s="555" t="s">
        <v>3143</v>
      </c>
      <c r="J2830" s="555" t="s">
        <v>3387</v>
      </c>
      <c r="K2830" s="555" t="s">
        <v>2764</v>
      </c>
      <c r="L2830" s="555" t="s">
        <v>45</v>
      </c>
      <c r="M2830" s="555" t="s">
        <v>3055</v>
      </c>
    </row>
    <row r="2831" spans="3:13" ht="18.75">
      <c r="C2831" s="735"/>
      <c r="D2831" s="555" t="s">
        <v>5326</v>
      </c>
      <c r="E2831" s="757">
        <v>0.54583333333333328</v>
      </c>
      <c r="F2831" s="731">
        <v>44686</v>
      </c>
      <c r="G2831" s="730">
        <v>0.58750000000000002</v>
      </c>
      <c r="H2831" s="555" t="s">
        <v>3405</v>
      </c>
      <c r="I2831" s="555" t="s">
        <v>63</v>
      </c>
      <c r="J2831" s="555" t="s">
        <v>3411</v>
      </c>
      <c r="K2831" s="555" t="s">
        <v>2483</v>
      </c>
      <c r="L2831" s="555" t="s">
        <v>45</v>
      </c>
      <c r="M2831" s="555" t="s">
        <v>3055</v>
      </c>
    </row>
    <row r="2832" spans="3:13" ht="18.75">
      <c r="C2832" s="735"/>
      <c r="D2832" s="555" t="s">
        <v>5327</v>
      </c>
      <c r="E2832" s="757">
        <v>0.12638888888888888</v>
      </c>
      <c r="F2832" s="731">
        <v>44687</v>
      </c>
      <c r="G2832" s="730">
        <v>0.14861111111111111</v>
      </c>
      <c r="H2832" s="555" t="s">
        <v>4350</v>
      </c>
      <c r="I2832" s="555" t="s">
        <v>3143</v>
      </c>
      <c r="J2832" s="555" t="s">
        <v>3387</v>
      </c>
      <c r="K2832" s="555" t="s">
        <v>1138</v>
      </c>
      <c r="L2832" s="555" t="s">
        <v>3055</v>
      </c>
      <c r="M2832" s="555" t="s">
        <v>3055</v>
      </c>
    </row>
    <row r="2833" spans="3:13" ht="18.75">
      <c r="C2833" s="735"/>
      <c r="D2833" s="555" t="s">
        <v>5328</v>
      </c>
      <c r="E2833" s="757">
        <v>0.68402777777777779</v>
      </c>
      <c r="F2833" s="731">
        <v>44690</v>
      </c>
      <c r="G2833" s="730">
        <v>0.71527777777777779</v>
      </c>
      <c r="H2833" s="555" t="s">
        <v>5074</v>
      </c>
      <c r="I2833" s="555" t="s">
        <v>1352</v>
      </c>
      <c r="J2833" s="555" t="s">
        <v>3356</v>
      </c>
      <c r="K2833" s="555" t="s">
        <v>100</v>
      </c>
      <c r="L2833" s="555" t="s">
        <v>3055</v>
      </c>
      <c r="M2833" s="555" t="s">
        <v>3055</v>
      </c>
    </row>
    <row r="2834" spans="3:13" ht="18.75">
      <c r="C2834" s="735"/>
      <c r="D2834" s="555" t="s">
        <v>5328</v>
      </c>
      <c r="E2834" s="757">
        <v>0.68402777777777779</v>
      </c>
      <c r="F2834" s="731">
        <v>44690</v>
      </c>
      <c r="G2834" s="730">
        <v>0.71527777777777779</v>
      </c>
      <c r="H2834" s="555" t="s">
        <v>5074</v>
      </c>
      <c r="I2834" s="555" t="s">
        <v>1352</v>
      </c>
      <c r="J2834" s="555" t="s">
        <v>3356</v>
      </c>
      <c r="K2834" s="555" t="s">
        <v>100</v>
      </c>
      <c r="L2834" s="555" t="s">
        <v>3055</v>
      </c>
      <c r="M2834" s="555" t="s">
        <v>3055</v>
      </c>
    </row>
    <row r="2835" spans="3:13" ht="18.75">
      <c r="C2835" s="735"/>
      <c r="D2835" s="555" t="s">
        <v>5329</v>
      </c>
      <c r="E2835" s="757">
        <v>0.75</v>
      </c>
      <c r="F2835" s="731">
        <v>44692</v>
      </c>
      <c r="G2835" s="730">
        <v>0.9458333333333333</v>
      </c>
      <c r="H2835" s="555" t="s">
        <v>3738</v>
      </c>
      <c r="I2835" s="555" t="s">
        <v>674</v>
      </c>
      <c r="J2835" s="555" t="s">
        <v>2753</v>
      </c>
      <c r="K2835" s="555" t="s">
        <v>22</v>
      </c>
      <c r="L2835" s="555" t="s">
        <v>45</v>
      </c>
      <c r="M2835" s="555" t="s">
        <v>5330</v>
      </c>
    </row>
    <row r="2836" spans="3:13" ht="18.75">
      <c r="C2836" s="735"/>
      <c r="D2836" s="555" t="s">
        <v>5329</v>
      </c>
      <c r="E2836" s="757">
        <v>0.41666666666666669</v>
      </c>
      <c r="F2836" s="731">
        <v>44692</v>
      </c>
      <c r="G2836" s="730">
        <v>0.41736111111111113</v>
      </c>
      <c r="H2836" s="555" t="s">
        <v>5331</v>
      </c>
      <c r="I2836" s="555" t="s">
        <v>674</v>
      </c>
      <c r="J2836" s="555" t="s">
        <v>5332</v>
      </c>
      <c r="K2836" s="555" t="s">
        <v>100</v>
      </c>
      <c r="L2836" s="555" t="s">
        <v>3055</v>
      </c>
      <c r="M2836" s="555" t="s">
        <v>3055</v>
      </c>
    </row>
    <row r="2837" spans="3:13" ht="18.75">
      <c r="C2837" s="735"/>
      <c r="D2837" s="555" t="s">
        <v>5333</v>
      </c>
      <c r="E2837" s="757">
        <v>0.70138888888888884</v>
      </c>
      <c r="F2837" s="731">
        <v>44694</v>
      </c>
      <c r="G2837" s="730">
        <v>0.11666666666666665</v>
      </c>
      <c r="H2837" s="555" t="s">
        <v>5335</v>
      </c>
      <c r="I2837" s="555" t="s">
        <v>674</v>
      </c>
      <c r="J2837" s="555" t="s">
        <v>3411</v>
      </c>
      <c r="K2837" s="555" t="s">
        <v>2483</v>
      </c>
      <c r="L2837" s="555" t="s">
        <v>45</v>
      </c>
      <c r="M2837" s="555" t="s">
        <v>45</v>
      </c>
    </row>
    <row r="2838" spans="3:13" ht="18.75">
      <c r="C2838" s="735"/>
      <c r="D2838" s="555" t="s">
        <v>5333</v>
      </c>
      <c r="E2838" s="757">
        <v>0.62361111111111112</v>
      </c>
      <c r="F2838" s="731">
        <v>44693</v>
      </c>
      <c r="G2838" s="730">
        <v>0.62430555555555556</v>
      </c>
      <c r="H2838" s="555" t="s">
        <v>5336</v>
      </c>
      <c r="I2838" s="555" t="s">
        <v>63</v>
      </c>
      <c r="J2838" s="555" t="s">
        <v>3356</v>
      </c>
      <c r="K2838" s="555" t="s">
        <v>5075</v>
      </c>
      <c r="L2838" s="555" t="s">
        <v>3055</v>
      </c>
      <c r="M2838" s="555" t="s">
        <v>3055</v>
      </c>
    </row>
    <row r="2839" spans="3:13" ht="18.75">
      <c r="C2839" s="735"/>
      <c r="D2839" s="555" t="s">
        <v>5333</v>
      </c>
      <c r="E2839" s="757">
        <v>0.62361111111111112</v>
      </c>
      <c r="F2839" s="731">
        <v>44693</v>
      </c>
      <c r="G2839" s="730">
        <v>0.62430555555555556</v>
      </c>
      <c r="H2839" s="555" t="s">
        <v>5337</v>
      </c>
      <c r="I2839" s="555" t="s">
        <v>63</v>
      </c>
      <c r="J2839" s="555" t="s">
        <v>3356</v>
      </c>
      <c r="K2839" s="555" t="s">
        <v>5075</v>
      </c>
      <c r="L2839" s="555" t="s">
        <v>3055</v>
      </c>
      <c r="M2839" s="555" t="s">
        <v>3055</v>
      </c>
    </row>
    <row r="2840" spans="3:13" ht="18.75">
      <c r="C2840" s="735"/>
      <c r="D2840" s="555" t="s">
        <v>5333</v>
      </c>
      <c r="E2840" s="757">
        <v>4.1666666666666664E-2</v>
      </c>
      <c r="F2840" s="731">
        <v>44693</v>
      </c>
      <c r="G2840" s="730">
        <v>4.8611111111111112E-2</v>
      </c>
      <c r="H2840" s="555" t="s">
        <v>5338</v>
      </c>
      <c r="I2840" s="555" t="s">
        <v>1352</v>
      </c>
      <c r="J2840" s="555" t="s">
        <v>3402</v>
      </c>
      <c r="K2840" s="555" t="s">
        <v>2118</v>
      </c>
      <c r="L2840" s="555" t="s">
        <v>3055</v>
      </c>
      <c r="M2840" s="555" t="s">
        <v>3055</v>
      </c>
    </row>
    <row r="2841" spans="3:13" ht="18.75">
      <c r="C2841" s="735"/>
      <c r="D2841" s="555" t="s">
        <v>5333</v>
      </c>
      <c r="E2841" s="757">
        <v>0.44722222222222219</v>
      </c>
      <c r="F2841" s="731">
        <v>44693</v>
      </c>
      <c r="G2841" s="730">
        <v>0.56527777777777777</v>
      </c>
      <c r="H2841" s="555" t="s">
        <v>5339</v>
      </c>
      <c r="I2841" s="555" t="s">
        <v>63</v>
      </c>
      <c r="J2841" s="555" t="s">
        <v>3411</v>
      </c>
      <c r="K2841" s="555" t="s">
        <v>2483</v>
      </c>
      <c r="L2841" s="555" t="s">
        <v>4738</v>
      </c>
      <c r="M2841" s="555" t="s">
        <v>3055</v>
      </c>
    </row>
    <row r="2842" spans="3:13" ht="18.75">
      <c r="C2842" s="735"/>
      <c r="D2842" s="555" t="s">
        <v>5340</v>
      </c>
      <c r="E2842" s="757">
        <v>0.62847222222222221</v>
      </c>
      <c r="F2842" s="731">
        <v>44695</v>
      </c>
      <c r="G2842" s="730">
        <v>0.6875</v>
      </c>
      <c r="H2842" s="555" t="s">
        <v>2919</v>
      </c>
      <c r="I2842" s="555" t="s">
        <v>1352</v>
      </c>
      <c r="J2842" s="555" t="s">
        <v>3387</v>
      </c>
      <c r="K2842" s="555" t="s">
        <v>2764</v>
      </c>
      <c r="L2842" s="555" t="s">
        <v>3055</v>
      </c>
      <c r="M2842" s="555" t="s">
        <v>3055</v>
      </c>
    </row>
    <row r="2843" spans="3:13" ht="18.75">
      <c r="C2843" s="735"/>
      <c r="D2843" s="555" t="s">
        <v>5341</v>
      </c>
      <c r="E2843" s="757">
        <v>0.97916666666666663</v>
      </c>
      <c r="F2843" s="731">
        <v>44698</v>
      </c>
      <c r="G2843" s="730">
        <v>0.98958333333333337</v>
      </c>
      <c r="H2843" s="555" t="s">
        <v>5343</v>
      </c>
      <c r="I2843" s="555" t="s">
        <v>1352</v>
      </c>
      <c r="J2843" s="555" t="s">
        <v>2753</v>
      </c>
      <c r="K2843" s="555" t="s">
        <v>22</v>
      </c>
      <c r="L2843" s="555" t="s">
        <v>45</v>
      </c>
      <c r="M2843" s="555" t="s">
        <v>3560</v>
      </c>
    </row>
    <row r="2844" spans="3:13" ht="18.75">
      <c r="C2844" s="735"/>
      <c r="D2844" s="555" t="s">
        <v>5341</v>
      </c>
      <c r="E2844" s="757">
        <v>0.875</v>
      </c>
      <c r="F2844" s="731">
        <v>44696</v>
      </c>
      <c r="G2844" s="730">
        <v>0.88194444444444453</v>
      </c>
      <c r="H2844" s="555" t="s">
        <v>3215</v>
      </c>
      <c r="I2844" s="555" t="s">
        <v>3143</v>
      </c>
      <c r="J2844" s="555" t="s">
        <v>3402</v>
      </c>
      <c r="K2844" s="555" t="s">
        <v>2118</v>
      </c>
      <c r="L2844" s="555" t="s">
        <v>3055</v>
      </c>
      <c r="M2844" s="555" t="s">
        <v>3055</v>
      </c>
    </row>
    <row r="2845" spans="3:13" ht="18.75">
      <c r="C2845" s="735"/>
      <c r="D2845" s="555" t="s">
        <v>5341</v>
      </c>
      <c r="E2845" s="757">
        <v>0.875</v>
      </c>
      <c r="F2845" s="731">
        <v>44696</v>
      </c>
      <c r="G2845" s="730">
        <v>0.88194444444444453</v>
      </c>
      <c r="H2845" s="555" t="s">
        <v>3215</v>
      </c>
      <c r="I2845" s="555" t="s">
        <v>3143</v>
      </c>
      <c r="J2845" s="555" t="s">
        <v>3402</v>
      </c>
      <c r="K2845" s="555" t="s">
        <v>2118</v>
      </c>
      <c r="L2845" s="555" t="s">
        <v>3055</v>
      </c>
      <c r="M2845" s="555" t="s">
        <v>3055</v>
      </c>
    </row>
    <row r="2846" spans="3:13" ht="18.75">
      <c r="C2846" s="735"/>
      <c r="D2846" s="555" t="s">
        <v>5344</v>
      </c>
      <c r="E2846" s="757">
        <v>0.20833333333333334</v>
      </c>
      <c r="F2846" s="731">
        <v>44697</v>
      </c>
      <c r="G2846" s="730">
        <v>0.20902777777777778</v>
      </c>
      <c r="H2846" s="555" t="s">
        <v>5345</v>
      </c>
      <c r="I2846" s="555" t="s">
        <v>124</v>
      </c>
      <c r="J2846" s="555" t="s">
        <v>3356</v>
      </c>
      <c r="K2846" s="555" t="s">
        <v>100</v>
      </c>
      <c r="L2846" s="555" t="s">
        <v>3055</v>
      </c>
      <c r="M2846" s="555" t="s">
        <v>3055</v>
      </c>
    </row>
    <row r="2847" spans="3:13" ht="18.75">
      <c r="C2847" s="735"/>
      <c r="D2847" s="555" t="s">
        <v>5344</v>
      </c>
      <c r="E2847" s="757">
        <v>0.66875000000000007</v>
      </c>
      <c r="F2847" s="731">
        <v>44697</v>
      </c>
      <c r="G2847" s="730">
        <v>0.81388888888888899</v>
      </c>
      <c r="H2847" s="555" t="s">
        <v>3957</v>
      </c>
      <c r="I2847" s="555" t="s">
        <v>124</v>
      </c>
      <c r="J2847" s="555" t="s">
        <v>5346</v>
      </c>
      <c r="K2847" s="555" t="s">
        <v>2764</v>
      </c>
      <c r="L2847" s="555" t="s">
        <v>3055</v>
      </c>
      <c r="M2847" s="555" t="s">
        <v>3055</v>
      </c>
    </row>
    <row r="2848" spans="3:13" ht="18.75">
      <c r="C2848" s="735"/>
      <c r="D2848" s="555" t="s">
        <v>5342</v>
      </c>
      <c r="E2848" s="757">
        <v>0.50694444444444442</v>
      </c>
      <c r="F2848" s="731" t="s">
        <v>45</v>
      </c>
      <c r="G2848" s="730" t="s">
        <v>45</v>
      </c>
      <c r="H2848" s="555" t="s">
        <v>5347</v>
      </c>
      <c r="I2848" s="555" t="s">
        <v>124</v>
      </c>
      <c r="J2848" s="555" t="s">
        <v>3411</v>
      </c>
      <c r="K2848" s="555" t="s">
        <v>2483</v>
      </c>
      <c r="L2848" s="555" t="s">
        <v>3889</v>
      </c>
      <c r="M2848" s="555" t="s">
        <v>45</v>
      </c>
    </row>
    <row r="2849" spans="3:13" ht="18.75">
      <c r="C2849" s="735"/>
      <c r="D2849" s="555" t="s">
        <v>5348</v>
      </c>
      <c r="E2849" s="757">
        <v>0.70833333333333337</v>
      </c>
      <c r="F2849" s="731">
        <v>44712</v>
      </c>
      <c r="G2849" s="730">
        <v>0.5</v>
      </c>
      <c r="H2849" s="555" t="s">
        <v>3620</v>
      </c>
      <c r="I2849" s="555" t="s">
        <v>124</v>
      </c>
      <c r="J2849" s="555" t="s">
        <v>2780</v>
      </c>
      <c r="K2849" s="555" t="s">
        <v>1138</v>
      </c>
      <c r="L2849" s="555" t="s">
        <v>4406</v>
      </c>
      <c r="M2849" s="555" t="s">
        <v>3055</v>
      </c>
    </row>
    <row r="2850" spans="3:13" ht="18.75">
      <c r="C2850" s="735"/>
      <c r="D2850" s="555" t="s">
        <v>5348</v>
      </c>
      <c r="E2850" s="757">
        <v>0.45833333333333331</v>
      </c>
      <c r="F2850" s="731">
        <v>44699</v>
      </c>
      <c r="G2850" s="730">
        <v>0.69027777777777777</v>
      </c>
      <c r="H2850" s="555" t="s">
        <v>5350</v>
      </c>
      <c r="I2850" s="555" t="s">
        <v>124</v>
      </c>
      <c r="J2850" s="555" t="s">
        <v>3356</v>
      </c>
      <c r="K2850" s="555" t="s">
        <v>100</v>
      </c>
      <c r="L2850" s="555" t="s">
        <v>3055</v>
      </c>
      <c r="M2850" s="555" t="s">
        <v>3055</v>
      </c>
    </row>
    <row r="2851" spans="3:13" ht="18.75">
      <c r="C2851" s="735"/>
      <c r="D2851" s="555" t="s">
        <v>5348</v>
      </c>
      <c r="E2851" s="757">
        <v>0.64583333333333337</v>
      </c>
      <c r="F2851" s="731">
        <v>44699</v>
      </c>
      <c r="G2851" s="730">
        <v>0.6875</v>
      </c>
      <c r="H2851" s="555" t="s">
        <v>5351</v>
      </c>
      <c r="I2851" s="555" t="s">
        <v>3143</v>
      </c>
      <c r="J2851" s="555" t="s">
        <v>3402</v>
      </c>
      <c r="K2851" s="555" t="s">
        <v>2118</v>
      </c>
      <c r="L2851" s="555" t="s">
        <v>3055</v>
      </c>
      <c r="M2851" s="555" t="s">
        <v>3055</v>
      </c>
    </row>
    <row r="2852" spans="3:13" ht="18.75">
      <c r="C2852" s="735"/>
      <c r="D2852" s="555" t="s">
        <v>5352</v>
      </c>
      <c r="E2852" s="757">
        <v>0.72638888888888886</v>
      </c>
      <c r="F2852" s="731">
        <v>44701</v>
      </c>
      <c r="G2852" s="730">
        <v>0.73125000000000007</v>
      </c>
      <c r="H2852" s="555" t="s">
        <v>2868</v>
      </c>
      <c r="I2852" s="555" t="s">
        <v>61</v>
      </c>
      <c r="J2852" s="555" t="s">
        <v>3411</v>
      </c>
      <c r="K2852" s="555" t="s">
        <v>2483</v>
      </c>
      <c r="L2852" s="555" t="s">
        <v>3055</v>
      </c>
      <c r="M2852" s="555" t="s">
        <v>3055</v>
      </c>
    </row>
    <row r="2853" spans="3:13" ht="18.75">
      <c r="C2853" s="735"/>
      <c r="D2853" s="555" t="s">
        <v>5352</v>
      </c>
      <c r="E2853" s="757">
        <v>0.3666666666666667</v>
      </c>
      <c r="F2853" s="731" t="s">
        <v>45</v>
      </c>
      <c r="G2853" s="730" t="s">
        <v>45</v>
      </c>
      <c r="H2853" s="555" t="s">
        <v>5353</v>
      </c>
      <c r="I2853" s="555" t="s">
        <v>61</v>
      </c>
      <c r="J2853" s="555" t="s">
        <v>3402</v>
      </c>
      <c r="K2853" s="555" t="s">
        <v>2118</v>
      </c>
      <c r="L2853" s="555" t="s">
        <v>3055</v>
      </c>
      <c r="M2853" s="555" t="s">
        <v>3055</v>
      </c>
    </row>
    <row r="2854" spans="3:13" ht="18.75">
      <c r="C2854" s="735"/>
      <c r="D2854" s="555" t="s">
        <v>5354</v>
      </c>
      <c r="E2854" s="757">
        <v>0.91180555555555554</v>
      </c>
      <c r="F2854" s="731">
        <v>44703</v>
      </c>
      <c r="G2854" s="730">
        <v>1.9444444444444445E-2</v>
      </c>
      <c r="H2854" s="555" t="s">
        <v>4590</v>
      </c>
      <c r="I2854" s="555" t="s">
        <v>63</v>
      </c>
      <c r="J2854" s="555" t="s">
        <v>3356</v>
      </c>
      <c r="K2854" s="555" t="s">
        <v>2293</v>
      </c>
      <c r="L2854" s="555" t="s">
        <v>3055</v>
      </c>
      <c r="M2854" s="555" t="s">
        <v>3055</v>
      </c>
    </row>
    <row r="2855" spans="3:13" ht="18.75">
      <c r="C2855" s="735"/>
      <c r="D2855" s="555" t="s">
        <v>5355</v>
      </c>
      <c r="E2855" s="757">
        <v>0.10416666666666667</v>
      </c>
      <c r="F2855" s="731">
        <v>44703</v>
      </c>
      <c r="G2855" s="730">
        <v>0.78611111111111098</v>
      </c>
      <c r="H2855" s="555" t="s">
        <v>2809</v>
      </c>
      <c r="I2855" s="555" t="s">
        <v>1352</v>
      </c>
      <c r="J2855" s="555" t="s">
        <v>2753</v>
      </c>
      <c r="K2855" s="555" t="s">
        <v>22</v>
      </c>
      <c r="L2855" s="555" t="s">
        <v>45</v>
      </c>
      <c r="M2855" s="555" t="s">
        <v>5356</v>
      </c>
    </row>
    <row r="2856" spans="3:13" ht="18.75">
      <c r="C2856" s="735"/>
      <c r="D2856" s="555" t="s">
        <v>5355</v>
      </c>
      <c r="E2856" s="757">
        <v>0.94444444444444453</v>
      </c>
      <c r="F2856" s="731">
        <v>44703</v>
      </c>
      <c r="G2856" s="730">
        <v>0.96944444444444444</v>
      </c>
      <c r="H2856" s="555" t="s">
        <v>2959</v>
      </c>
      <c r="I2856" s="555" t="s">
        <v>61</v>
      </c>
      <c r="J2856" s="555" t="s">
        <v>3387</v>
      </c>
      <c r="K2856" s="555" t="s">
        <v>2764</v>
      </c>
      <c r="L2856" s="555" t="s">
        <v>3055</v>
      </c>
      <c r="M2856" s="555" t="s">
        <v>3055</v>
      </c>
    </row>
    <row r="2857" spans="3:13" ht="18.75">
      <c r="C2857" s="735"/>
      <c r="D2857" s="555" t="s">
        <v>5357</v>
      </c>
      <c r="E2857" s="757">
        <v>0.27916666666666667</v>
      </c>
      <c r="F2857" s="731">
        <v>44706</v>
      </c>
      <c r="G2857" s="730">
        <v>0.27986111111111112</v>
      </c>
      <c r="H2857" s="555" t="s">
        <v>5358</v>
      </c>
      <c r="I2857" s="555" t="s">
        <v>124</v>
      </c>
      <c r="J2857" s="555" t="s">
        <v>3356</v>
      </c>
      <c r="K2857" s="555" t="s">
        <v>2293</v>
      </c>
      <c r="L2857" s="555" t="s">
        <v>3055</v>
      </c>
      <c r="M2857" s="555" t="s">
        <v>3055</v>
      </c>
    </row>
    <row r="2858" spans="3:13" ht="18.75">
      <c r="C2858" s="735"/>
      <c r="D2858" s="555" t="s">
        <v>5359</v>
      </c>
      <c r="E2858" s="757">
        <v>0.33055555555555555</v>
      </c>
      <c r="F2858" s="731">
        <v>44708</v>
      </c>
      <c r="G2858" s="730">
        <v>0.35972222222222222</v>
      </c>
      <c r="H2858" s="555" t="s">
        <v>5360</v>
      </c>
      <c r="I2858" s="555" t="s">
        <v>124</v>
      </c>
      <c r="J2858" s="555" t="s">
        <v>3387</v>
      </c>
      <c r="K2858" s="555" t="s">
        <v>2764</v>
      </c>
      <c r="L2858" s="555" t="s">
        <v>3055</v>
      </c>
      <c r="M2858" s="555" t="s">
        <v>3055</v>
      </c>
    </row>
    <row r="2859" spans="3:13" ht="18.75">
      <c r="C2859" s="735"/>
      <c r="D2859" s="555" t="s">
        <v>5359</v>
      </c>
      <c r="E2859" s="757">
        <v>0.22152777777777777</v>
      </c>
      <c r="F2859" s="731">
        <v>44708</v>
      </c>
      <c r="G2859" s="730">
        <v>0.25</v>
      </c>
      <c r="H2859" s="555" t="s">
        <v>5046</v>
      </c>
      <c r="I2859" s="555" t="s">
        <v>3143</v>
      </c>
      <c r="J2859" s="555" t="s">
        <v>3402</v>
      </c>
      <c r="K2859" s="555" t="s">
        <v>2118</v>
      </c>
      <c r="L2859" s="555" t="s">
        <v>3055</v>
      </c>
      <c r="M2859" s="555" t="s">
        <v>3055</v>
      </c>
    </row>
    <row r="2860" spans="3:13" ht="18.75">
      <c r="C2860" s="735"/>
      <c r="D2860" s="555" t="s">
        <v>5361</v>
      </c>
      <c r="E2860" s="757">
        <v>0.69513888888888886</v>
      </c>
      <c r="F2860" s="731">
        <v>44712</v>
      </c>
      <c r="G2860" s="730">
        <v>0.47847222222222219</v>
      </c>
      <c r="H2860" s="555" t="s">
        <v>5081</v>
      </c>
      <c r="I2860" s="555" t="s">
        <v>3143</v>
      </c>
      <c r="J2860" s="555" t="s">
        <v>3411</v>
      </c>
      <c r="K2860" s="555" t="s">
        <v>2483</v>
      </c>
      <c r="L2860" s="555" t="s">
        <v>3055</v>
      </c>
      <c r="M2860" s="555" t="s">
        <v>3055</v>
      </c>
    </row>
    <row r="2861" spans="3:13" ht="18.75">
      <c r="C2861" s="735"/>
      <c r="D2861" s="555" t="s">
        <v>5361</v>
      </c>
      <c r="E2861" s="757">
        <v>5.4166666666666669E-2</v>
      </c>
      <c r="F2861" s="731">
        <v>44710</v>
      </c>
      <c r="G2861" s="730">
        <v>7.6388888888888895E-2</v>
      </c>
      <c r="H2861" s="555" t="s">
        <v>3215</v>
      </c>
      <c r="I2861" s="555" t="s">
        <v>3143</v>
      </c>
      <c r="J2861" s="555" t="s">
        <v>3387</v>
      </c>
      <c r="K2861" s="555" t="s">
        <v>2764</v>
      </c>
      <c r="L2861" s="555" t="s">
        <v>3055</v>
      </c>
      <c r="M2861" s="555" t="s">
        <v>3055</v>
      </c>
    </row>
    <row r="2862" spans="3:13" ht="18.75">
      <c r="C2862" s="735"/>
      <c r="D2862" s="555" t="s">
        <v>5362</v>
      </c>
      <c r="E2862" s="757">
        <v>0.59027777777777779</v>
      </c>
      <c r="F2862" s="731">
        <v>44712</v>
      </c>
      <c r="G2862" s="730">
        <v>0.24861111111111112</v>
      </c>
      <c r="H2862" s="555" t="s">
        <v>4355</v>
      </c>
      <c r="I2862" s="555" t="s">
        <v>124</v>
      </c>
      <c r="J2862" s="555" t="s">
        <v>3447</v>
      </c>
      <c r="K2862" s="555" t="s">
        <v>2764</v>
      </c>
      <c r="L2862" s="555" t="s">
        <v>3055</v>
      </c>
      <c r="M2862" s="555" t="s">
        <v>3055</v>
      </c>
    </row>
    <row r="2863" spans="3:13" ht="18.75">
      <c r="C2863" s="735"/>
      <c r="D2863" s="555" t="s">
        <v>5349</v>
      </c>
      <c r="E2863" s="757">
        <v>0.58194444444444449</v>
      </c>
      <c r="F2863" s="731">
        <v>44712</v>
      </c>
      <c r="G2863" s="730">
        <v>0.58263888888888882</v>
      </c>
      <c r="H2863" s="555" t="s">
        <v>3591</v>
      </c>
      <c r="I2863" s="555" t="s">
        <v>1352</v>
      </c>
      <c r="J2863" s="555" t="s">
        <v>3356</v>
      </c>
      <c r="K2863" s="555" t="s">
        <v>100</v>
      </c>
      <c r="L2863" s="555" t="s">
        <v>3055</v>
      </c>
      <c r="M2863" s="555" t="s">
        <v>3055</v>
      </c>
    </row>
    <row r="2864" spans="3:13" ht="18.75">
      <c r="C2864" s="735"/>
      <c r="D2864" s="555" t="s">
        <v>5363</v>
      </c>
      <c r="E2864" s="757">
        <v>0.44930555555555557</v>
      </c>
      <c r="F2864" s="731">
        <v>44713</v>
      </c>
      <c r="G2864" s="730">
        <v>0.45</v>
      </c>
      <c r="H2864" s="555" t="s">
        <v>5364</v>
      </c>
      <c r="I2864" s="555" t="s">
        <v>124</v>
      </c>
      <c r="J2864" s="555" t="s">
        <v>3356</v>
      </c>
      <c r="K2864" s="555" t="s">
        <v>100</v>
      </c>
      <c r="L2864" s="555" t="s">
        <v>3055</v>
      </c>
      <c r="M2864" s="555" t="s">
        <v>3055</v>
      </c>
    </row>
    <row r="2865" spans="3:13" ht="18.75">
      <c r="C2865" s="735"/>
      <c r="D2865" s="555" t="s">
        <v>5365</v>
      </c>
      <c r="E2865" s="757">
        <v>0.34722222222222227</v>
      </c>
      <c r="F2865" s="731" t="s">
        <v>45</v>
      </c>
      <c r="G2865" s="730" t="s">
        <v>45</v>
      </c>
      <c r="H2865" s="555" t="s">
        <v>2920</v>
      </c>
      <c r="I2865" s="555" t="s">
        <v>124</v>
      </c>
      <c r="J2865" s="555" t="s">
        <v>2910</v>
      </c>
      <c r="K2865" s="555" t="s">
        <v>100</v>
      </c>
      <c r="L2865" s="555" t="s">
        <v>3055</v>
      </c>
      <c r="M2865" s="555" t="s">
        <v>3055</v>
      </c>
    </row>
    <row r="2866" spans="3:13" ht="18.75">
      <c r="C2866" s="735"/>
      <c r="D2866" s="555" t="s">
        <v>5366</v>
      </c>
      <c r="E2866" s="757">
        <v>0.15833333333333333</v>
      </c>
      <c r="F2866" s="731">
        <v>44715</v>
      </c>
      <c r="G2866" s="730">
        <v>0.15902777777777777</v>
      </c>
      <c r="H2866" s="555" t="s">
        <v>5054</v>
      </c>
      <c r="I2866" s="555" t="s">
        <v>63</v>
      </c>
      <c r="J2866" s="555" t="s">
        <v>4043</v>
      </c>
      <c r="K2866" s="555" t="s">
        <v>100</v>
      </c>
      <c r="L2866" s="555" t="s">
        <v>3055</v>
      </c>
      <c r="M2866" s="555" t="s">
        <v>3055</v>
      </c>
    </row>
    <row r="2867" spans="3:13" ht="18.75">
      <c r="C2867" s="735"/>
      <c r="D2867" s="555" t="s">
        <v>5367</v>
      </c>
      <c r="E2867" s="757">
        <v>0.54097222222222219</v>
      </c>
      <c r="F2867" s="731">
        <v>44717</v>
      </c>
      <c r="G2867" s="730">
        <v>9.375E-2</v>
      </c>
      <c r="H2867" s="555" t="s">
        <v>4360</v>
      </c>
      <c r="I2867" s="555" t="s">
        <v>1352</v>
      </c>
      <c r="J2867" s="555" t="s">
        <v>3396</v>
      </c>
      <c r="K2867" s="555" t="s">
        <v>2905</v>
      </c>
      <c r="L2867" s="555" t="s">
        <v>3055</v>
      </c>
      <c r="M2867" s="555" t="s">
        <v>3055</v>
      </c>
    </row>
    <row r="2868" spans="3:13" ht="18.75">
      <c r="C2868" s="735"/>
      <c r="D2868" s="555" t="s">
        <v>5368</v>
      </c>
      <c r="E2868" s="757">
        <v>0.63888888888888895</v>
      </c>
      <c r="F2868" s="731">
        <v>44717</v>
      </c>
      <c r="G2868" s="730">
        <v>0.84166666666666667</v>
      </c>
      <c r="H2868" s="555" t="s">
        <v>2945</v>
      </c>
      <c r="I2868" s="555" t="s">
        <v>124</v>
      </c>
      <c r="J2868" s="555" t="s">
        <v>5369</v>
      </c>
      <c r="K2868" s="555" t="s">
        <v>2905</v>
      </c>
      <c r="L2868" s="555" t="s">
        <v>45</v>
      </c>
      <c r="M2868" s="555" t="s">
        <v>45</v>
      </c>
    </row>
    <row r="2869" spans="3:13" ht="18.75">
      <c r="C2869" s="735"/>
      <c r="D2869" s="555" t="s">
        <v>5370</v>
      </c>
      <c r="E2869" s="757">
        <v>0.43124999999999997</v>
      </c>
      <c r="F2869" s="731">
        <v>44718</v>
      </c>
      <c r="G2869" s="730">
        <v>0.43333333333333335</v>
      </c>
      <c r="H2869" s="555" t="s">
        <v>3414</v>
      </c>
      <c r="I2869" s="555" t="s">
        <v>124</v>
      </c>
      <c r="J2869" s="555" t="s">
        <v>2839</v>
      </c>
      <c r="K2869" s="555" t="s">
        <v>2764</v>
      </c>
      <c r="L2869" s="555" t="s">
        <v>4686</v>
      </c>
      <c r="M2869" s="555" t="s">
        <v>5027</v>
      </c>
    </row>
    <row r="2870" spans="3:13" ht="18.75">
      <c r="C2870" s="735"/>
      <c r="D2870" s="555" t="s">
        <v>5371</v>
      </c>
      <c r="E2870" s="757">
        <v>4.1666666666666664E-2</v>
      </c>
      <c r="F2870" s="731">
        <v>44720</v>
      </c>
      <c r="G2870" s="730">
        <v>0.25</v>
      </c>
      <c r="H2870" s="555" t="s">
        <v>5372</v>
      </c>
      <c r="I2870" s="555" t="s">
        <v>5055</v>
      </c>
      <c r="J2870" s="555" t="s">
        <v>5373</v>
      </c>
      <c r="K2870" s="555" t="s">
        <v>2990</v>
      </c>
      <c r="L2870" s="555" t="s">
        <v>45</v>
      </c>
      <c r="M2870" s="617">
        <v>91188</v>
      </c>
    </row>
    <row r="2871" spans="3:13" ht="18.75">
      <c r="C2871" s="735"/>
      <c r="D2871" s="555" t="s">
        <v>5371</v>
      </c>
      <c r="E2871" s="757">
        <v>0</v>
      </c>
      <c r="F2871" s="731">
        <v>44720</v>
      </c>
      <c r="G2871" s="730">
        <v>0.16666666666666666</v>
      </c>
      <c r="H2871" s="555" t="s">
        <v>5374</v>
      </c>
      <c r="I2871" s="555" t="s">
        <v>5055</v>
      </c>
      <c r="J2871" s="555" t="s">
        <v>5373</v>
      </c>
      <c r="K2871" s="555" t="s">
        <v>22</v>
      </c>
      <c r="L2871" s="555" t="s">
        <v>45</v>
      </c>
      <c r="M2871" s="555" t="s">
        <v>3542</v>
      </c>
    </row>
    <row r="2872" spans="3:13" ht="18.75">
      <c r="C2872" s="735"/>
      <c r="D2872" s="555" t="s">
        <v>5371</v>
      </c>
      <c r="E2872" s="757">
        <v>4.1666666666666664E-2</v>
      </c>
      <c r="F2872" s="731">
        <v>44720</v>
      </c>
      <c r="G2872" s="730">
        <v>0.16666666666666666</v>
      </c>
      <c r="H2872" s="555" t="s">
        <v>2864</v>
      </c>
      <c r="I2872" s="555" t="s">
        <v>63</v>
      </c>
      <c r="J2872" s="555" t="s">
        <v>5373</v>
      </c>
      <c r="K2872" s="555" t="s">
        <v>3768</v>
      </c>
      <c r="L2872" s="555" t="s">
        <v>45</v>
      </c>
      <c r="M2872" s="555" t="s">
        <v>3237</v>
      </c>
    </row>
    <row r="2873" spans="3:13" ht="18.75">
      <c r="C2873" s="735"/>
      <c r="D2873" s="555" t="s">
        <v>5375</v>
      </c>
      <c r="E2873" s="757">
        <v>0.10625</v>
      </c>
      <c r="F2873" s="731">
        <v>44721</v>
      </c>
      <c r="G2873" s="730">
        <v>0.28402777777777777</v>
      </c>
      <c r="H2873" s="555" t="s">
        <v>4054</v>
      </c>
      <c r="I2873" s="555" t="s">
        <v>1352</v>
      </c>
      <c r="J2873" s="555" t="s">
        <v>3356</v>
      </c>
      <c r="K2873" s="555" t="s">
        <v>2118</v>
      </c>
      <c r="L2873" s="555" t="s">
        <v>3055</v>
      </c>
      <c r="M2873" s="555" t="s">
        <v>3055</v>
      </c>
    </row>
    <row r="2874" spans="3:13" ht="18.75">
      <c r="C2874" s="735"/>
      <c r="D2874" s="555" t="s">
        <v>5375</v>
      </c>
      <c r="E2874" s="757">
        <v>0.29166666666666669</v>
      </c>
      <c r="F2874" s="731">
        <v>44721</v>
      </c>
      <c r="G2874" s="730">
        <v>0.2951388888888889</v>
      </c>
      <c r="H2874" s="555" t="s">
        <v>5376</v>
      </c>
      <c r="I2874" s="555" t="s">
        <v>124</v>
      </c>
      <c r="J2874" s="555" t="s">
        <v>3356</v>
      </c>
      <c r="K2874" s="555" t="s">
        <v>100</v>
      </c>
      <c r="L2874" s="555" t="s">
        <v>3055</v>
      </c>
      <c r="M2874" s="555" t="s">
        <v>3055</v>
      </c>
    </row>
    <row r="2875" spans="3:13" ht="18.75">
      <c r="C2875" s="735"/>
      <c r="D2875" s="555" t="s">
        <v>5377</v>
      </c>
      <c r="E2875" s="757">
        <v>0.50555555555555554</v>
      </c>
      <c r="F2875" s="731">
        <v>44722</v>
      </c>
      <c r="G2875" s="730">
        <v>0.89583333333333337</v>
      </c>
      <c r="H2875" s="555" t="s">
        <v>4402</v>
      </c>
      <c r="I2875" s="555" t="s">
        <v>1352</v>
      </c>
      <c r="J2875" s="555" t="s">
        <v>3415</v>
      </c>
      <c r="K2875" s="555" t="s">
        <v>5075</v>
      </c>
      <c r="L2875" s="555" t="s">
        <v>3055</v>
      </c>
      <c r="M2875" s="555" t="s">
        <v>3055</v>
      </c>
    </row>
    <row r="2876" spans="3:13" ht="18.75">
      <c r="C2876" s="735"/>
      <c r="D2876" s="555" t="s">
        <v>5377</v>
      </c>
      <c r="E2876" s="757">
        <v>0.8520833333333333</v>
      </c>
      <c r="F2876" s="731">
        <v>44722</v>
      </c>
      <c r="G2876" s="730">
        <v>0.89583333333333337</v>
      </c>
      <c r="H2876" s="555" t="s">
        <v>3357</v>
      </c>
      <c r="I2876" s="555" t="s">
        <v>124</v>
      </c>
      <c r="J2876" s="555" t="s">
        <v>5369</v>
      </c>
      <c r="K2876" s="555" t="s">
        <v>2764</v>
      </c>
      <c r="L2876" s="555" t="s">
        <v>3093</v>
      </c>
      <c r="M2876" s="555" t="s">
        <v>5378</v>
      </c>
    </row>
    <row r="2877" spans="3:13" ht="18.75">
      <c r="C2877" s="735"/>
      <c r="D2877" s="555" t="s">
        <v>5377</v>
      </c>
      <c r="E2877" s="757">
        <v>0.84722222222222221</v>
      </c>
      <c r="F2877" s="731">
        <v>44722</v>
      </c>
      <c r="G2877" s="730">
        <v>0.85277777777777775</v>
      </c>
      <c r="H2877" s="555" t="s">
        <v>3357</v>
      </c>
      <c r="I2877" s="555" t="s">
        <v>124</v>
      </c>
      <c r="J2877" s="555" t="s">
        <v>5369</v>
      </c>
      <c r="K2877" s="555" t="s">
        <v>2764</v>
      </c>
      <c r="L2877" s="555" t="s">
        <v>3093</v>
      </c>
      <c r="M2877" s="555" t="s">
        <v>45</v>
      </c>
    </row>
    <row r="2878" spans="3:13" ht="18.75">
      <c r="C2878" s="735"/>
      <c r="D2878" s="555" t="s">
        <v>5377</v>
      </c>
      <c r="E2878" s="757">
        <v>0.36458333333333331</v>
      </c>
      <c r="F2878" s="731" t="s">
        <v>45</v>
      </c>
      <c r="G2878" s="730" t="s">
        <v>45</v>
      </c>
      <c r="H2878" s="555" t="s">
        <v>2945</v>
      </c>
      <c r="I2878" s="555" t="s">
        <v>124</v>
      </c>
      <c r="J2878" s="555" t="s">
        <v>2839</v>
      </c>
      <c r="K2878" s="555" t="s">
        <v>2764</v>
      </c>
      <c r="L2878" s="555" t="s">
        <v>5379</v>
      </c>
      <c r="M2878" s="555" t="s">
        <v>5380</v>
      </c>
    </row>
    <row r="2879" spans="3:13" ht="18.75">
      <c r="C2879" s="735"/>
      <c r="D2879" s="555" t="s">
        <v>5381</v>
      </c>
      <c r="E2879" s="757">
        <v>0.97916666666666663</v>
      </c>
      <c r="F2879" s="731">
        <v>44725</v>
      </c>
      <c r="G2879" s="730">
        <v>0.97916666666666663</v>
      </c>
      <c r="H2879" s="555" t="s">
        <v>4589</v>
      </c>
      <c r="I2879" s="555" t="s">
        <v>5174</v>
      </c>
      <c r="J2879" s="555" t="s">
        <v>5373</v>
      </c>
      <c r="K2879" s="555" t="s">
        <v>2990</v>
      </c>
      <c r="L2879" s="555" t="s">
        <v>5383</v>
      </c>
      <c r="M2879" s="555" t="s">
        <v>3462</v>
      </c>
    </row>
    <row r="2880" spans="3:13" ht="18.75">
      <c r="C2880" s="735"/>
      <c r="D2880" s="555" t="s">
        <v>5382</v>
      </c>
      <c r="E2880" s="757">
        <v>0.75</v>
      </c>
      <c r="F2880" s="731">
        <v>44726</v>
      </c>
      <c r="G2880" s="730">
        <v>0.76041666666666663</v>
      </c>
      <c r="H2880" s="555" t="s">
        <v>4048</v>
      </c>
      <c r="I2880" s="555" t="s">
        <v>5174</v>
      </c>
      <c r="J2880" s="555" t="s">
        <v>5373</v>
      </c>
      <c r="K2880" s="555" t="s">
        <v>2990</v>
      </c>
      <c r="L2880" s="555" t="s">
        <v>45</v>
      </c>
      <c r="M2880" s="555" t="s">
        <v>5385</v>
      </c>
    </row>
    <row r="2881" spans="3:13" ht="18.75">
      <c r="C2881" s="735"/>
      <c r="D2881" s="555" t="s">
        <v>5382</v>
      </c>
      <c r="E2881" s="757">
        <v>0.99583333333333324</v>
      </c>
      <c r="F2881" s="731">
        <v>44726</v>
      </c>
      <c r="G2881" s="730">
        <v>3.125E-2</v>
      </c>
      <c r="H2881" s="555" t="s">
        <v>3307</v>
      </c>
      <c r="I2881" s="555" t="s">
        <v>3143</v>
      </c>
      <c r="J2881" s="555" t="s">
        <v>5386</v>
      </c>
      <c r="K2881" s="555" t="s">
        <v>2764</v>
      </c>
      <c r="L2881" s="555" t="s">
        <v>3055</v>
      </c>
      <c r="M2881" s="555" t="s">
        <v>3055</v>
      </c>
    </row>
    <row r="2882" spans="3:13" ht="18.75">
      <c r="C2882" s="735"/>
      <c r="D2882" s="555" t="s">
        <v>5384</v>
      </c>
      <c r="E2882" s="757">
        <v>0.57361111111111118</v>
      </c>
      <c r="F2882" s="731" t="s">
        <v>45</v>
      </c>
      <c r="G2882" s="730" t="s">
        <v>45</v>
      </c>
      <c r="H2882" s="555" t="s">
        <v>2895</v>
      </c>
      <c r="I2882" s="555" t="s">
        <v>3143</v>
      </c>
      <c r="J2882" s="555" t="s">
        <v>5369</v>
      </c>
      <c r="K2882" s="555" t="s">
        <v>2764</v>
      </c>
      <c r="L2882" s="555" t="s">
        <v>5387</v>
      </c>
      <c r="M2882" s="555" t="s">
        <v>45</v>
      </c>
    </row>
    <row r="2883" spans="3:13" ht="18.75">
      <c r="C2883" s="735"/>
      <c r="D2883" s="555" t="s">
        <v>5384</v>
      </c>
      <c r="E2883" s="757">
        <v>0</v>
      </c>
      <c r="F2883" s="731">
        <v>44726</v>
      </c>
      <c r="G2883" s="730">
        <v>0.25</v>
      </c>
      <c r="H2883" s="555" t="s">
        <v>3819</v>
      </c>
      <c r="I2883" s="555" t="s">
        <v>124</v>
      </c>
      <c r="J2883" s="555" t="s">
        <v>3402</v>
      </c>
      <c r="K2883" s="555" t="s">
        <v>5075</v>
      </c>
      <c r="L2883" s="555" t="s">
        <v>3055</v>
      </c>
      <c r="M2883" s="555" t="s">
        <v>3055</v>
      </c>
    </row>
    <row r="2884" spans="3:13" ht="18.75">
      <c r="C2884" s="735"/>
      <c r="D2884" s="555" t="s">
        <v>5388</v>
      </c>
      <c r="E2884" s="757">
        <v>0.875</v>
      </c>
      <c r="F2884" s="731" t="s">
        <v>45</v>
      </c>
      <c r="G2884" s="730" t="s">
        <v>45</v>
      </c>
      <c r="H2884" s="555" t="s">
        <v>5389</v>
      </c>
      <c r="I2884" s="555" t="s">
        <v>5390</v>
      </c>
      <c r="J2884" s="555" t="s">
        <v>5373</v>
      </c>
      <c r="K2884" s="555" t="s">
        <v>22</v>
      </c>
      <c r="L2884" s="555" t="s">
        <v>4865</v>
      </c>
      <c r="M2884" s="555" t="s">
        <v>3295</v>
      </c>
    </row>
    <row r="2885" spans="3:13" ht="18.75">
      <c r="C2885" s="735"/>
      <c r="D2885" s="555" t="s">
        <v>5388</v>
      </c>
      <c r="E2885" s="757">
        <v>0.44791666666666669</v>
      </c>
      <c r="F2885" s="731">
        <v>44727</v>
      </c>
      <c r="G2885" s="730">
        <v>0.57291666666666663</v>
      </c>
      <c r="H2885" s="555" t="s">
        <v>3528</v>
      </c>
      <c r="I2885" s="555" t="s">
        <v>3143</v>
      </c>
      <c r="J2885" s="555" t="s">
        <v>3387</v>
      </c>
      <c r="K2885" s="555" t="s">
        <v>2764</v>
      </c>
      <c r="L2885" s="555" t="s">
        <v>3055</v>
      </c>
      <c r="M2885" s="555" t="s">
        <v>3055</v>
      </c>
    </row>
    <row r="2886" spans="3:13" ht="18.75">
      <c r="C2886" s="735"/>
      <c r="D2886" s="555" t="s">
        <v>5391</v>
      </c>
      <c r="E2886" s="757">
        <v>0.68819444444444444</v>
      </c>
      <c r="F2886" s="731">
        <v>44728</v>
      </c>
      <c r="G2886" s="730">
        <v>0.83819444444444446</v>
      </c>
      <c r="H2886" s="555" t="s">
        <v>2832</v>
      </c>
      <c r="I2886" s="555" t="s">
        <v>63</v>
      </c>
      <c r="J2886" s="555" t="s">
        <v>5373</v>
      </c>
      <c r="K2886" s="555" t="s">
        <v>22</v>
      </c>
      <c r="L2886" s="555" t="s">
        <v>45</v>
      </c>
      <c r="M2886" s="555" t="s">
        <v>5392</v>
      </c>
    </row>
    <row r="2887" spans="3:13" ht="18.75">
      <c r="C2887" s="735"/>
      <c r="D2887" s="555" t="s">
        <v>5391</v>
      </c>
      <c r="E2887" s="757">
        <v>0.16041666666666668</v>
      </c>
      <c r="F2887" s="731">
        <v>44728</v>
      </c>
      <c r="G2887" s="730">
        <v>0.27083333333333331</v>
      </c>
      <c r="H2887" s="555" t="s">
        <v>4709</v>
      </c>
      <c r="I2887" s="555" t="s">
        <v>124</v>
      </c>
      <c r="J2887" s="555" t="s">
        <v>3356</v>
      </c>
      <c r="K2887" s="555" t="s">
        <v>2118</v>
      </c>
      <c r="L2887" s="555" t="s">
        <v>4036</v>
      </c>
      <c r="M2887" s="555" t="s">
        <v>4110</v>
      </c>
    </row>
    <row r="2888" spans="3:13" ht="18.75">
      <c r="C2888" s="735"/>
      <c r="D2888" s="555" t="s">
        <v>5393</v>
      </c>
      <c r="E2888" s="757">
        <v>0.78125</v>
      </c>
      <c r="F2888" s="731">
        <v>44730</v>
      </c>
      <c r="G2888" s="730">
        <v>0.56388888888888888</v>
      </c>
      <c r="H2888" s="555" t="s">
        <v>2928</v>
      </c>
      <c r="I2888" s="555" t="s">
        <v>63</v>
      </c>
      <c r="J2888" s="555" t="s">
        <v>5373</v>
      </c>
      <c r="K2888" s="555" t="s">
        <v>22</v>
      </c>
      <c r="L2888" s="555" t="s">
        <v>45</v>
      </c>
      <c r="M2888" s="555" t="s">
        <v>5395</v>
      </c>
    </row>
    <row r="2889" spans="3:13" ht="18.75">
      <c r="C2889" s="735"/>
      <c r="D2889" s="555" t="s">
        <v>5393</v>
      </c>
      <c r="E2889" s="757">
        <v>0.72916666666666663</v>
      </c>
      <c r="F2889" s="731">
        <v>44731</v>
      </c>
      <c r="G2889" s="730">
        <v>0.88541666666666663</v>
      </c>
      <c r="H2889" s="555" t="s">
        <v>5397</v>
      </c>
      <c r="I2889" s="555" t="s">
        <v>5174</v>
      </c>
      <c r="J2889" s="555" t="s">
        <v>5373</v>
      </c>
      <c r="K2889" s="555" t="s">
        <v>22</v>
      </c>
      <c r="L2889" s="555" t="s">
        <v>45</v>
      </c>
      <c r="M2889" s="555" t="s">
        <v>3560</v>
      </c>
    </row>
    <row r="2890" spans="3:13" ht="18.75">
      <c r="C2890" s="735"/>
      <c r="D2890" s="555" t="s">
        <v>5393</v>
      </c>
      <c r="E2890" s="757">
        <v>0.73402777777777783</v>
      </c>
      <c r="F2890" s="731">
        <v>44730</v>
      </c>
      <c r="G2890" s="730">
        <v>3.7499999999999999E-2</v>
      </c>
      <c r="H2890" s="555" t="s">
        <v>2832</v>
      </c>
      <c r="I2890" s="555" t="s">
        <v>63</v>
      </c>
      <c r="J2890" s="555" t="s">
        <v>5373</v>
      </c>
      <c r="K2890" s="555" t="s">
        <v>22</v>
      </c>
      <c r="L2890" s="555" t="s">
        <v>45</v>
      </c>
      <c r="M2890" s="555" t="s">
        <v>5398</v>
      </c>
    </row>
    <row r="2891" spans="3:13" ht="18.75">
      <c r="C2891" s="735"/>
      <c r="D2891" s="555" t="s">
        <v>5393</v>
      </c>
      <c r="E2891" s="757">
        <v>0.25138888888888888</v>
      </c>
      <c r="F2891" s="731" t="s">
        <v>45</v>
      </c>
      <c r="G2891" s="730" t="s">
        <v>45</v>
      </c>
      <c r="H2891" s="555" t="s">
        <v>4392</v>
      </c>
      <c r="I2891" s="555" t="s">
        <v>5174</v>
      </c>
      <c r="J2891" s="555" t="s">
        <v>2944</v>
      </c>
      <c r="K2891" s="555" t="s">
        <v>22</v>
      </c>
      <c r="L2891" s="555" t="s">
        <v>45</v>
      </c>
      <c r="M2891" s="555" t="s">
        <v>5004</v>
      </c>
    </row>
    <row r="2892" spans="3:13" ht="18.75">
      <c r="C2892" s="735"/>
      <c r="D2892" s="555" t="s">
        <v>5399</v>
      </c>
      <c r="E2892" s="757">
        <v>0.53749999999999998</v>
      </c>
      <c r="F2892" s="731">
        <v>44732</v>
      </c>
      <c r="G2892" s="730">
        <v>0.59930555555555554</v>
      </c>
      <c r="H2892" s="555" t="s">
        <v>4269</v>
      </c>
      <c r="I2892" s="555" t="s">
        <v>674</v>
      </c>
      <c r="J2892" s="555" t="s">
        <v>3411</v>
      </c>
      <c r="K2892" s="555" t="s">
        <v>2764</v>
      </c>
      <c r="L2892" s="555" t="s">
        <v>3055</v>
      </c>
      <c r="M2892" s="555" t="s">
        <v>5400</v>
      </c>
    </row>
    <row r="2893" spans="3:13" ht="18.75">
      <c r="C2893" s="735"/>
      <c r="D2893" s="555" t="s">
        <v>5401</v>
      </c>
      <c r="E2893" s="757">
        <v>0.7055555555555556</v>
      </c>
      <c r="F2893" s="731">
        <v>44735</v>
      </c>
      <c r="G2893" s="730">
        <v>8.3333333333333329E-2</v>
      </c>
      <c r="H2893" s="555" t="s">
        <v>3325</v>
      </c>
      <c r="I2893" s="555" t="s">
        <v>5174</v>
      </c>
      <c r="J2893" s="555" t="s">
        <v>5373</v>
      </c>
      <c r="K2893" s="555" t="s">
        <v>3768</v>
      </c>
      <c r="L2893" s="555" t="s">
        <v>45</v>
      </c>
      <c r="M2893" s="555" t="s">
        <v>3462</v>
      </c>
    </row>
    <row r="2894" spans="3:13" ht="18.75">
      <c r="C2894" s="735"/>
      <c r="D2894" s="555" t="s">
        <v>5402</v>
      </c>
      <c r="E2894" s="757">
        <v>0.52847222222222223</v>
      </c>
      <c r="F2894" s="731">
        <v>44735</v>
      </c>
      <c r="G2894" s="730">
        <v>0.57013888888888886</v>
      </c>
      <c r="H2894" s="555" t="s">
        <v>5403</v>
      </c>
      <c r="I2894" s="555" t="s">
        <v>61</v>
      </c>
      <c r="J2894" s="555" t="s">
        <v>3402</v>
      </c>
      <c r="K2894" s="555" t="s">
        <v>2118</v>
      </c>
      <c r="L2894" s="555" t="s">
        <v>3055</v>
      </c>
      <c r="M2894" s="555" t="s">
        <v>3055</v>
      </c>
    </row>
    <row r="2895" spans="3:13" ht="18.75">
      <c r="C2895" s="735"/>
      <c r="D2895" s="555" t="s">
        <v>5402</v>
      </c>
      <c r="E2895" s="757">
        <v>0.4548611111111111</v>
      </c>
      <c r="F2895" s="731" t="s">
        <v>45</v>
      </c>
      <c r="G2895" s="730" t="s">
        <v>45</v>
      </c>
      <c r="H2895" s="555" t="s">
        <v>2945</v>
      </c>
      <c r="I2895" s="555" t="s">
        <v>124</v>
      </c>
      <c r="J2895" s="555" t="s">
        <v>2780</v>
      </c>
      <c r="K2895" s="555" t="s">
        <v>1138</v>
      </c>
      <c r="L2895" s="555" t="s">
        <v>3055</v>
      </c>
      <c r="M2895" s="555" t="s">
        <v>3055</v>
      </c>
    </row>
    <row r="2896" spans="3:13" ht="18.75">
      <c r="C2896" s="735"/>
      <c r="D2896" s="555" t="s">
        <v>5404</v>
      </c>
      <c r="E2896" s="757">
        <v>0.96458333333333324</v>
      </c>
      <c r="F2896" s="731">
        <v>44737</v>
      </c>
      <c r="G2896" s="730">
        <v>0</v>
      </c>
      <c r="H2896" s="555" t="s">
        <v>2866</v>
      </c>
      <c r="I2896" s="555" t="s">
        <v>63</v>
      </c>
      <c r="J2896" s="555" t="s">
        <v>2780</v>
      </c>
      <c r="K2896" s="555" t="s">
        <v>1138</v>
      </c>
      <c r="L2896" s="555" t="s">
        <v>45</v>
      </c>
      <c r="M2896" s="555" t="s">
        <v>45</v>
      </c>
    </row>
    <row r="2897" spans="3:13" ht="18.75">
      <c r="C2897" s="735"/>
      <c r="D2897" s="555" t="s">
        <v>5406</v>
      </c>
      <c r="E2897" s="757">
        <v>0.71180555555555547</v>
      </c>
      <c r="F2897" s="731">
        <v>44738</v>
      </c>
      <c r="G2897" s="730">
        <v>0.9458333333333333</v>
      </c>
      <c r="H2897" s="555" t="s">
        <v>2817</v>
      </c>
      <c r="I2897" s="555" t="s">
        <v>124</v>
      </c>
      <c r="J2897" s="555" t="s">
        <v>3356</v>
      </c>
      <c r="K2897" s="555" t="s">
        <v>100</v>
      </c>
      <c r="L2897" s="555" t="s">
        <v>3055</v>
      </c>
      <c r="M2897" s="555" t="s">
        <v>3055</v>
      </c>
    </row>
    <row r="2898" spans="3:13" ht="18.75">
      <c r="C2898" s="735"/>
      <c r="D2898" s="555" t="s">
        <v>5407</v>
      </c>
      <c r="E2898" s="757">
        <v>0.71319444444444446</v>
      </c>
      <c r="F2898" s="731">
        <v>44740</v>
      </c>
      <c r="G2898" s="730">
        <v>7.0833333333333331E-2</v>
      </c>
      <c r="H2898" s="555" t="s">
        <v>3528</v>
      </c>
      <c r="I2898" s="555" t="s">
        <v>5390</v>
      </c>
      <c r="J2898" s="555" t="s">
        <v>3387</v>
      </c>
      <c r="K2898" s="555" t="s">
        <v>2764</v>
      </c>
      <c r="L2898" s="555" t="s">
        <v>3055</v>
      </c>
      <c r="M2898" s="555" t="s">
        <v>3055</v>
      </c>
    </row>
    <row r="2899" spans="3:13" ht="18.75">
      <c r="C2899" s="735"/>
      <c r="D2899" s="555" t="s">
        <v>5407</v>
      </c>
      <c r="E2899" s="757">
        <v>0.60138888888888886</v>
      </c>
      <c r="F2899" s="731">
        <v>44740</v>
      </c>
      <c r="G2899" s="730">
        <v>0.16388888888888889</v>
      </c>
      <c r="H2899" s="555" t="s">
        <v>5409</v>
      </c>
      <c r="I2899" s="555" t="s">
        <v>1352</v>
      </c>
      <c r="J2899" s="555" t="s">
        <v>3411</v>
      </c>
      <c r="K2899" s="555" t="s">
        <v>22</v>
      </c>
      <c r="L2899" s="555" t="s">
        <v>4232</v>
      </c>
      <c r="M2899" s="555" t="s">
        <v>5410</v>
      </c>
    </row>
    <row r="2900" spans="3:13" ht="18.75">
      <c r="C2900" s="735"/>
      <c r="D2900" s="555" t="s">
        <v>5407</v>
      </c>
      <c r="E2900" s="757">
        <v>0.26458333333333334</v>
      </c>
      <c r="F2900" s="731">
        <v>44739</v>
      </c>
      <c r="G2900" s="730">
        <v>0.30972222222222223</v>
      </c>
      <c r="H2900" s="555" t="s">
        <v>2919</v>
      </c>
      <c r="I2900" s="555" t="s">
        <v>1352</v>
      </c>
      <c r="J2900" s="555" t="s">
        <v>3387</v>
      </c>
      <c r="K2900" s="555" t="s">
        <v>2764</v>
      </c>
      <c r="L2900" s="555" t="s">
        <v>3055</v>
      </c>
      <c r="M2900" s="555" t="s">
        <v>3055</v>
      </c>
    </row>
    <row r="2901" spans="3:13" ht="18.75">
      <c r="C2901" s="735"/>
      <c r="D2901" s="555" t="s">
        <v>5408</v>
      </c>
      <c r="E2901" s="757">
        <v>0.39374999999999999</v>
      </c>
      <c r="F2901" s="731">
        <v>44740</v>
      </c>
      <c r="G2901" s="730">
        <v>0.4458333333333333</v>
      </c>
      <c r="H2901" s="555" t="s">
        <v>3591</v>
      </c>
      <c r="I2901" s="555" t="s">
        <v>1352</v>
      </c>
      <c r="J2901" s="555" t="s">
        <v>3387</v>
      </c>
      <c r="K2901" s="555" t="s">
        <v>2764</v>
      </c>
      <c r="L2901" s="555" t="s">
        <v>3055</v>
      </c>
      <c r="M2901" s="555" t="s">
        <v>3055</v>
      </c>
    </row>
    <row r="2902" spans="3:13" ht="18.75">
      <c r="C2902" s="735"/>
      <c r="D2902" s="555" t="s">
        <v>5408</v>
      </c>
      <c r="E2902" s="757">
        <v>0.40208333333333335</v>
      </c>
      <c r="F2902" s="731">
        <v>44740</v>
      </c>
      <c r="G2902" s="730">
        <v>0.40277777777777773</v>
      </c>
      <c r="H2902" s="555" t="s">
        <v>5411</v>
      </c>
      <c r="I2902" s="555" t="s">
        <v>63</v>
      </c>
      <c r="J2902" s="555" t="s">
        <v>3402</v>
      </c>
      <c r="K2902" s="555" t="s">
        <v>2118</v>
      </c>
      <c r="L2902" s="555" t="s">
        <v>3055</v>
      </c>
      <c r="M2902" s="555" t="s">
        <v>3055</v>
      </c>
    </row>
    <row r="2903" spans="3:13" ht="18.75">
      <c r="C2903" s="735"/>
      <c r="D2903" s="555" t="s">
        <v>5412</v>
      </c>
      <c r="E2903" s="757">
        <v>0.83194444444444438</v>
      </c>
      <c r="F2903" s="731">
        <v>44742</v>
      </c>
      <c r="G2903" s="730">
        <v>0.86805555555555547</v>
      </c>
      <c r="H2903" s="555" t="s">
        <v>3528</v>
      </c>
      <c r="I2903" s="555" t="s">
        <v>3143</v>
      </c>
      <c r="J2903" s="555" t="s">
        <v>5413</v>
      </c>
      <c r="K2903" s="555" t="s">
        <v>2764</v>
      </c>
      <c r="L2903" s="555" t="s">
        <v>3055</v>
      </c>
      <c r="M2903" s="555" t="s">
        <v>3055</v>
      </c>
    </row>
    <row r="2904" spans="3:13" ht="18.75">
      <c r="C2904" s="735"/>
      <c r="D2904" s="555" t="s">
        <v>5414</v>
      </c>
      <c r="E2904" s="757">
        <v>0.48958333333333331</v>
      </c>
      <c r="F2904" s="731" t="s">
        <v>45</v>
      </c>
      <c r="G2904" s="730" t="s">
        <v>45</v>
      </c>
      <c r="H2904" s="555" t="s">
        <v>3357</v>
      </c>
      <c r="I2904" s="555" t="s">
        <v>124</v>
      </c>
      <c r="J2904" s="555" t="s">
        <v>3356</v>
      </c>
      <c r="K2904" s="555" t="s">
        <v>100</v>
      </c>
      <c r="L2904" s="555" t="s">
        <v>3787</v>
      </c>
      <c r="M2904" s="555" t="s">
        <v>3055</v>
      </c>
    </row>
    <row r="2905" spans="3:13" ht="18.75">
      <c r="C2905" s="735"/>
      <c r="D2905" s="555" t="s">
        <v>5415</v>
      </c>
      <c r="E2905" s="757">
        <v>0.4375</v>
      </c>
      <c r="F2905" s="731">
        <v>44745</v>
      </c>
      <c r="G2905" s="730">
        <v>0.44444444444444442</v>
      </c>
      <c r="H2905" s="555" t="s">
        <v>3338</v>
      </c>
      <c r="I2905" s="555" t="s">
        <v>124</v>
      </c>
      <c r="J2905" s="555" t="s">
        <v>2910</v>
      </c>
      <c r="K2905" s="555" t="s">
        <v>100</v>
      </c>
      <c r="L2905" s="555" t="s">
        <v>3055</v>
      </c>
      <c r="M2905" s="555" t="s">
        <v>3055</v>
      </c>
    </row>
    <row r="2906" spans="3:13" ht="18.75">
      <c r="C2906" s="735"/>
      <c r="D2906" s="555" t="s">
        <v>5415</v>
      </c>
      <c r="E2906" s="757">
        <v>0.22083333333333333</v>
      </c>
      <c r="F2906" s="731">
        <v>44745</v>
      </c>
      <c r="G2906" s="730">
        <v>0.35000000000000003</v>
      </c>
      <c r="H2906" s="555" t="s">
        <v>3693</v>
      </c>
      <c r="I2906" s="555" t="s">
        <v>674</v>
      </c>
      <c r="J2906" s="555" t="s">
        <v>2910</v>
      </c>
      <c r="K2906" s="555" t="s">
        <v>100</v>
      </c>
      <c r="L2906" s="555" t="s">
        <v>3055</v>
      </c>
      <c r="M2906" s="555" t="s">
        <v>3055</v>
      </c>
    </row>
    <row r="2907" spans="3:13" ht="18.75">
      <c r="C2907" s="735"/>
      <c r="D2907" s="555" t="s">
        <v>5415</v>
      </c>
      <c r="E2907" s="757">
        <v>0.4597222222222222</v>
      </c>
      <c r="F2907" s="731" t="s">
        <v>45</v>
      </c>
      <c r="G2907" s="730" t="s">
        <v>45</v>
      </c>
      <c r="H2907" s="555" t="s">
        <v>3357</v>
      </c>
      <c r="I2907" s="555" t="s">
        <v>124</v>
      </c>
      <c r="J2907" s="555" t="s">
        <v>3356</v>
      </c>
      <c r="K2907" s="555" t="s">
        <v>2293</v>
      </c>
      <c r="L2907" s="555" t="s">
        <v>45</v>
      </c>
      <c r="M2907" s="555" t="s">
        <v>5416</v>
      </c>
    </row>
    <row r="2908" spans="3:13" ht="18.75">
      <c r="C2908" s="735"/>
      <c r="D2908" s="555" t="s">
        <v>5417</v>
      </c>
      <c r="E2908" s="757">
        <v>0.76458333333333339</v>
      </c>
      <c r="F2908" s="731" t="s">
        <v>45</v>
      </c>
      <c r="G2908" s="730" t="s">
        <v>45</v>
      </c>
      <c r="H2908" s="555" t="s">
        <v>5418</v>
      </c>
      <c r="I2908" s="555" t="s">
        <v>124</v>
      </c>
      <c r="J2908" s="555" t="s">
        <v>2839</v>
      </c>
      <c r="K2908" s="555" t="s">
        <v>2764</v>
      </c>
      <c r="L2908" s="555" t="s">
        <v>3175</v>
      </c>
      <c r="M2908" s="555" t="s">
        <v>5419</v>
      </c>
    </row>
    <row r="2909" spans="3:13" ht="18.75">
      <c r="C2909" s="735"/>
      <c r="D2909" s="555" t="s">
        <v>5420</v>
      </c>
      <c r="E2909" s="757">
        <v>0.33333333333333331</v>
      </c>
      <c r="F2909" s="731">
        <v>44747</v>
      </c>
      <c r="G2909" s="730">
        <v>0.33749999999999997</v>
      </c>
      <c r="H2909" s="555" t="s">
        <v>5421</v>
      </c>
      <c r="I2909" s="555" t="s">
        <v>124</v>
      </c>
      <c r="J2909" s="555" t="s">
        <v>3356</v>
      </c>
      <c r="K2909" s="555" t="s">
        <v>2293</v>
      </c>
      <c r="L2909" s="555" t="s">
        <v>3055</v>
      </c>
      <c r="M2909" s="555" t="s">
        <v>3055</v>
      </c>
    </row>
    <row r="2910" spans="3:13" ht="18.75">
      <c r="C2910" s="735"/>
      <c r="D2910" s="555" t="s">
        <v>5420</v>
      </c>
      <c r="E2910" s="757">
        <v>0.8652777777777777</v>
      </c>
      <c r="F2910" s="731">
        <v>44747</v>
      </c>
      <c r="G2910" s="730">
        <v>0.90277777777777779</v>
      </c>
      <c r="H2910" s="555" t="s">
        <v>5422</v>
      </c>
      <c r="I2910" s="555" t="s">
        <v>4903</v>
      </c>
      <c r="J2910" s="555" t="s">
        <v>3387</v>
      </c>
      <c r="K2910" s="555" t="s">
        <v>2764</v>
      </c>
      <c r="L2910" s="555" t="s">
        <v>3055</v>
      </c>
      <c r="M2910" s="555" t="s">
        <v>3055</v>
      </c>
    </row>
    <row r="2911" spans="3:13" ht="18.75">
      <c r="C2911" s="735"/>
      <c r="D2911" s="555" t="s">
        <v>5423</v>
      </c>
      <c r="E2911" s="757">
        <v>0.61041666666666672</v>
      </c>
      <c r="F2911" s="731">
        <v>44749</v>
      </c>
      <c r="G2911" s="730">
        <v>0.16250000000000001</v>
      </c>
      <c r="H2911" s="555" t="s">
        <v>4048</v>
      </c>
      <c r="I2911" s="555" t="s">
        <v>4903</v>
      </c>
      <c r="J2911" s="555" t="s">
        <v>2753</v>
      </c>
      <c r="K2911" s="555" t="s">
        <v>2990</v>
      </c>
      <c r="L2911" s="555" t="s">
        <v>45</v>
      </c>
      <c r="M2911" s="555" t="s">
        <v>5425</v>
      </c>
    </row>
    <row r="2912" spans="3:13" ht="18.75">
      <c r="C2912" s="735"/>
      <c r="D2912" s="555" t="s">
        <v>5423</v>
      </c>
      <c r="E2912" s="757">
        <v>0.68263888888888891</v>
      </c>
      <c r="F2912" s="731">
        <v>44748</v>
      </c>
      <c r="G2912" s="730">
        <v>0.69097222222222221</v>
      </c>
      <c r="H2912" s="555" t="s">
        <v>5426</v>
      </c>
      <c r="I2912" s="555" t="s">
        <v>63</v>
      </c>
      <c r="J2912" s="555" t="s">
        <v>3402</v>
      </c>
      <c r="K2912" s="555" t="s">
        <v>2118</v>
      </c>
      <c r="L2912" s="555" t="s">
        <v>3055</v>
      </c>
      <c r="M2912" s="555" t="s">
        <v>3055</v>
      </c>
    </row>
    <row r="2913" spans="3:13" ht="18.75">
      <c r="C2913" s="735"/>
      <c r="D2913" s="555" t="s">
        <v>5423</v>
      </c>
      <c r="E2913" s="757">
        <v>0.26250000000000001</v>
      </c>
      <c r="F2913" s="731">
        <v>44748</v>
      </c>
      <c r="G2913" s="730">
        <v>0.26319444444444445</v>
      </c>
      <c r="H2913" s="555" t="s">
        <v>5427</v>
      </c>
      <c r="I2913" s="555" t="s">
        <v>63</v>
      </c>
      <c r="J2913" s="555" t="s">
        <v>3356</v>
      </c>
      <c r="K2913" s="555" t="s">
        <v>100</v>
      </c>
      <c r="L2913" s="555" t="s">
        <v>3055</v>
      </c>
      <c r="M2913" s="555" t="s">
        <v>3055</v>
      </c>
    </row>
    <row r="2914" spans="3:13" ht="18.75">
      <c r="C2914" s="735"/>
      <c r="D2914" s="555" t="s">
        <v>5423</v>
      </c>
      <c r="E2914" s="757">
        <v>0.52777777777777779</v>
      </c>
      <c r="F2914" s="731">
        <v>44748</v>
      </c>
      <c r="G2914" s="730">
        <v>0.52847222222222223</v>
      </c>
      <c r="H2914" s="555" t="s">
        <v>5428</v>
      </c>
      <c r="I2914" s="555" t="s">
        <v>124</v>
      </c>
      <c r="J2914" s="555" t="s">
        <v>3356</v>
      </c>
      <c r="K2914" s="555" t="s">
        <v>100</v>
      </c>
      <c r="L2914" s="555" t="s">
        <v>3055</v>
      </c>
      <c r="M2914" s="555" t="s">
        <v>3055</v>
      </c>
    </row>
    <row r="2915" spans="3:13" ht="18.75">
      <c r="C2915" s="735"/>
      <c r="D2915" s="555" t="s">
        <v>5423</v>
      </c>
      <c r="E2915" s="757">
        <v>8.1944444444444445E-2</v>
      </c>
      <c r="F2915" s="731" t="s">
        <v>45</v>
      </c>
      <c r="G2915" s="730" t="s">
        <v>45</v>
      </c>
      <c r="H2915" s="555" t="s">
        <v>5429</v>
      </c>
      <c r="I2915" s="555" t="s">
        <v>674</v>
      </c>
      <c r="J2915" s="555" t="s">
        <v>3356</v>
      </c>
      <c r="K2915" s="555" t="s">
        <v>2293</v>
      </c>
      <c r="L2915" s="555" t="s">
        <v>3889</v>
      </c>
      <c r="M2915" s="555" t="s">
        <v>5430</v>
      </c>
    </row>
    <row r="2916" spans="3:13" ht="18.75">
      <c r="C2916" s="735"/>
      <c r="D2916" s="555" t="s">
        <v>5431</v>
      </c>
      <c r="E2916" s="757">
        <v>0.11597222222222221</v>
      </c>
      <c r="F2916" s="731">
        <v>44751</v>
      </c>
      <c r="G2916" s="730">
        <v>0.12430555555555556</v>
      </c>
      <c r="H2916" s="555" t="s">
        <v>3399</v>
      </c>
      <c r="I2916" s="555" t="s">
        <v>63</v>
      </c>
      <c r="J2916" s="555" t="s">
        <v>3411</v>
      </c>
      <c r="K2916" s="555" t="s">
        <v>2764</v>
      </c>
      <c r="L2916" s="555" t="s">
        <v>45</v>
      </c>
      <c r="M2916" s="555" t="s">
        <v>5432</v>
      </c>
    </row>
    <row r="2917" spans="3:13" ht="18.75">
      <c r="C2917" s="735"/>
      <c r="D2917" s="555" t="s">
        <v>5433</v>
      </c>
      <c r="E2917" s="757">
        <v>0.875</v>
      </c>
      <c r="F2917" s="731">
        <v>44753</v>
      </c>
      <c r="G2917" s="730">
        <v>0.83333333333333337</v>
      </c>
      <c r="H2917" s="555" t="s">
        <v>2919</v>
      </c>
      <c r="I2917" s="555" t="s">
        <v>1352</v>
      </c>
      <c r="J2917" s="555" t="s">
        <v>3415</v>
      </c>
      <c r="K2917" s="555" t="s">
        <v>2764</v>
      </c>
      <c r="L2917" s="555" t="s">
        <v>45</v>
      </c>
      <c r="M2917" s="555" t="s">
        <v>45</v>
      </c>
    </row>
    <row r="2918" spans="3:13" ht="18.75">
      <c r="C2918" s="735"/>
      <c r="D2918" s="555" t="s">
        <v>5434</v>
      </c>
      <c r="E2918" s="757">
        <v>0.43055555555555558</v>
      </c>
      <c r="F2918" s="731" t="s">
        <v>45</v>
      </c>
      <c r="G2918" s="730" t="s">
        <v>45</v>
      </c>
      <c r="H2918" s="555" t="s">
        <v>2967</v>
      </c>
      <c r="I2918" s="555" t="s">
        <v>124</v>
      </c>
      <c r="J2918" s="555" t="s">
        <v>3356</v>
      </c>
      <c r="K2918" s="555" t="s">
        <v>100</v>
      </c>
      <c r="L2918" s="555" t="s">
        <v>3082</v>
      </c>
      <c r="M2918" s="555" t="s">
        <v>3055</v>
      </c>
    </row>
    <row r="2919" spans="3:13" ht="18.75">
      <c r="C2919" s="735"/>
      <c r="D2919" s="555" t="s">
        <v>5435</v>
      </c>
      <c r="E2919" s="757">
        <v>0.66666666666666663</v>
      </c>
      <c r="F2919" s="731" t="s">
        <v>45</v>
      </c>
      <c r="G2919" s="730" t="s">
        <v>45</v>
      </c>
      <c r="H2919" s="555" t="s">
        <v>5436</v>
      </c>
      <c r="I2919" s="555" t="s">
        <v>3143</v>
      </c>
      <c r="J2919" s="555" t="s">
        <v>2753</v>
      </c>
      <c r="K2919" s="555" t="s">
        <v>22</v>
      </c>
      <c r="L2919" s="555" t="s">
        <v>4738</v>
      </c>
      <c r="M2919" s="555" t="s">
        <v>3603</v>
      </c>
    </row>
    <row r="2920" spans="3:13" ht="18.75">
      <c r="C2920" s="735"/>
      <c r="D2920" s="555" t="s">
        <v>5435</v>
      </c>
      <c r="E2920" s="757">
        <v>0.44791666666666669</v>
      </c>
      <c r="F2920" s="731">
        <v>44754</v>
      </c>
      <c r="G2920" s="730">
        <v>0.45833333333333331</v>
      </c>
      <c r="H2920" s="555" t="s">
        <v>5437</v>
      </c>
      <c r="I2920" s="555" t="s">
        <v>124</v>
      </c>
      <c r="J2920" s="555" t="s">
        <v>3356</v>
      </c>
      <c r="K2920" s="555" t="s">
        <v>2293</v>
      </c>
      <c r="L2920" s="555" t="s">
        <v>3055</v>
      </c>
      <c r="M2920" s="555" t="s">
        <v>3055</v>
      </c>
    </row>
    <row r="2921" spans="3:13" ht="18.75">
      <c r="C2921" s="735"/>
      <c r="D2921" s="555" t="s">
        <v>5435</v>
      </c>
      <c r="E2921" s="757">
        <v>0.75</v>
      </c>
      <c r="F2921" s="731">
        <v>44754</v>
      </c>
      <c r="G2921" s="730">
        <v>0.91666666666666663</v>
      </c>
      <c r="H2921" s="555" t="s">
        <v>3917</v>
      </c>
      <c r="I2921" s="555" t="s">
        <v>3143</v>
      </c>
      <c r="J2921" s="555" t="s">
        <v>2753</v>
      </c>
      <c r="K2921" s="555" t="s">
        <v>22</v>
      </c>
      <c r="L2921" s="555" t="s">
        <v>45</v>
      </c>
      <c r="M2921" s="555" t="s">
        <v>5438</v>
      </c>
    </row>
    <row r="2922" spans="3:13" ht="18.75">
      <c r="C2922" s="735"/>
      <c r="D2922" s="555" t="s">
        <v>5439</v>
      </c>
      <c r="E2922" s="757">
        <v>0.47916666666666669</v>
      </c>
      <c r="F2922" s="731">
        <v>44755</v>
      </c>
      <c r="G2922" s="730">
        <v>0.875</v>
      </c>
      <c r="H2922" s="555" t="s">
        <v>2919</v>
      </c>
      <c r="I2922" s="555" t="s">
        <v>1352</v>
      </c>
      <c r="J2922" s="555" t="s">
        <v>3415</v>
      </c>
      <c r="K2922" s="555" t="s">
        <v>2764</v>
      </c>
      <c r="L2922" s="555" t="s">
        <v>45</v>
      </c>
      <c r="M2922" s="555" t="s">
        <v>45</v>
      </c>
    </row>
    <row r="2923" spans="3:13" ht="18.75">
      <c r="C2923" s="735"/>
      <c r="D2923" s="555" t="s">
        <v>5439</v>
      </c>
      <c r="E2923" s="757">
        <v>0.41666666666666669</v>
      </c>
      <c r="F2923" s="731">
        <v>44755</v>
      </c>
      <c r="G2923" s="730">
        <v>0.54166666666666663</v>
      </c>
      <c r="H2923" s="555" t="s">
        <v>5440</v>
      </c>
      <c r="I2923" s="555" t="s">
        <v>124</v>
      </c>
      <c r="J2923" s="555" t="s">
        <v>3356</v>
      </c>
      <c r="K2923" s="555" t="s">
        <v>100</v>
      </c>
      <c r="L2923" s="555" t="s">
        <v>3055</v>
      </c>
      <c r="M2923" s="555" t="s">
        <v>3055</v>
      </c>
    </row>
    <row r="2924" spans="3:13" ht="18.75">
      <c r="C2924" s="735"/>
      <c r="D2924" s="555" t="s">
        <v>5441</v>
      </c>
      <c r="E2924" s="757">
        <v>0.2986111111111111</v>
      </c>
      <c r="F2924" s="731">
        <v>44757</v>
      </c>
      <c r="G2924" s="730">
        <v>0.29930555555555555</v>
      </c>
      <c r="H2924" s="555" t="s">
        <v>5442</v>
      </c>
      <c r="I2924" s="555" t="s">
        <v>674</v>
      </c>
      <c r="J2924" s="555" t="s">
        <v>3356</v>
      </c>
      <c r="K2924" s="555" t="s">
        <v>2293</v>
      </c>
      <c r="L2924" s="555" t="s">
        <v>3055</v>
      </c>
      <c r="M2924" s="555" t="s">
        <v>3055</v>
      </c>
    </row>
    <row r="2925" spans="3:13" ht="18.75">
      <c r="C2925" s="735"/>
      <c r="D2925" s="555" t="s">
        <v>5443</v>
      </c>
      <c r="E2925" s="757">
        <v>0.38541666666666669</v>
      </c>
      <c r="F2925" s="731" t="s">
        <v>45</v>
      </c>
      <c r="G2925" s="730" t="s">
        <v>45</v>
      </c>
      <c r="H2925" s="555" t="s">
        <v>2896</v>
      </c>
      <c r="I2925" s="555" t="s">
        <v>63</v>
      </c>
      <c r="J2925" s="555" t="s">
        <v>2780</v>
      </c>
      <c r="K2925" s="555" t="s">
        <v>1138</v>
      </c>
      <c r="L2925" s="555" t="s">
        <v>3103</v>
      </c>
      <c r="M2925" s="555" t="s">
        <v>3055</v>
      </c>
    </row>
    <row r="2926" spans="3:13" ht="18.75">
      <c r="C2926" s="735"/>
      <c r="D2926" s="555" t="s">
        <v>5443</v>
      </c>
      <c r="E2926" s="757">
        <v>0.54791666666666672</v>
      </c>
      <c r="F2926" s="731">
        <v>44760</v>
      </c>
      <c r="G2926" s="730">
        <v>0.5493055555555556</v>
      </c>
      <c r="H2926" s="555" t="s">
        <v>2808</v>
      </c>
      <c r="I2926" s="555" t="s">
        <v>124</v>
      </c>
      <c r="J2926" s="555" t="s">
        <v>3356</v>
      </c>
      <c r="K2926" s="555" t="s">
        <v>100</v>
      </c>
      <c r="L2926" s="555" t="s">
        <v>3055</v>
      </c>
      <c r="M2926" s="555" t="s">
        <v>3055</v>
      </c>
    </row>
    <row r="2927" spans="3:13" ht="18.75">
      <c r="C2927" s="735"/>
      <c r="D2927" s="555" t="s">
        <v>5444</v>
      </c>
      <c r="E2927" s="757">
        <v>0.65416666666666667</v>
      </c>
      <c r="F2927" s="731">
        <v>44761</v>
      </c>
      <c r="G2927" s="730">
        <v>0.67499999999999993</v>
      </c>
      <c r="H2927" s="555" t="s">
        <v>3299</v>
      </c>
      <c r="I2927" s="555" t="s">
        <v>63</v>
      </c>
      <c r="J2927" s="555" t="s">
        <v>3447</v>
      </c>
      <c r="K2927" s="555" t="s">
        <v>2764</v>
      </c>
      <c r="L2927" s="555" t="s">
        <v>3055</v>
      </c>
      <c r="M2927" s="555" t="s">
        <v>3055</v>
      </c>
    </row>
    <row r="2928" spans="3:13" ht="18.75">
      <c r="C2928" s="735"/>
      <c r="D2928" s="555" t="s">
        <v>5444</v>
      </c>
      <c r="E2928" s="757">
        <v>0.65416666666666667</v>
      </c>
      <c r="F2928" s="731">
        <v>44761</v>
      </c>
      <c r="G2928" s="730">
        <v>0.67499999999999993</v>
      </c>
      <c r="H2928" s="555" t="s">
        <v>3299</v>
      </c>
      <c r="I2928" s="555" t="s">
        <v>63</v>
      </c>
      <c r="J2928" s="555" t="s">
        <v>3447</v>
      </c>
      <c r="K2928" s="555" t="s">
        <v>2764</v>
      </c>
      <c r="L2928" s="555" t="s">
        <v>3055</v>
      </c>
      <c r="M2928" s="555" t="s">
        <v>3055</v>
      </c>
    </row>
    <row r="2929" spans="3:13" ht="18.75">
      <c r="C2929" s="735"/>
      <c r="D2929" s="555" t="s">
        <v>5445</v>
      </c>
      <c r="E2929" s="757">
        <v>0.86458333333333337</v>
      </c>
      <c r="F2929" s="731">
        <v>44766</v>
      </c>
      <c r="G2929" s="730">
        <v>0.47916666666666669</v>
      </c>
      <c r="H2929" s="555" t="s">
        <v>5447</v>
      </c>
      <c r="I2929" s="555" t="s">
        <v>3143</v>
      </c>
      <c r="J2929" s="555" t="s">
        <v>2753</v>
      </c>
      <c r="K2929" s="555" t="s">
        <v>22</v>
      </c>
      <c r="L2929" s="555" t="s">
        <v>45</v>
      </c>
      <c r="M2929" s="555" t="s">
        <v>5448</v>
      </c>
    </row>
    <row r="2930" spans="3:13" ht="18.75">
      <c r="C2930" s="735"/>
      <c r="D2930" s="555" t="s">
        <v>5449</v>
      </c>
      <c r="E2930" s="757">
        <v>2.6388888888888889E-2</v>
      </c>
      <c r="F2930" s="731">
        <v>44767</v>
      </c>
      <c r="G2930" s="730">
        <v>0.57361111111111118</v>
      </c>
      <c r="H2930" s="555" t="s">
        <v>5450</v>
      </c>
      <c r="I2930" s="555" t="s">
        <v>3143</v>
      </c>
      <c r="J2930" s="555" t="s">
        <v>3411</v>
      </c>
      <c r="K2930" s="555" t="s">
        <v>2483</v>
      </c>
      <c r="L2930" s="555" t="s">
        <v>3055</v>
      </c>
      <c r="M2930" s="555" t="s">
        <v>3055</v>
      </c>
    </row>
    <row r="2931" spans="3:13" ht="18.75">
      <c r="C2931" s="735"/>
      <c r="D2931" s="555" t="s">
        <v>5451</v>
      </c>
      <c r="E2931" s="757">
        <v>0.27638888888888885</v>
      </c>
      <c r="F2931" s="731">
        <v>44768</v>
      </c>
      <c r="G2931" s="730">
        <v>0.5395833333333333</v>
      </c>
      <c r="H2931" s="555" t="s">
        <v>4950</v>
      </c>
      <c r="I2931" s="555" t="s">
        <v>1352</v>
      </c>
      <c r="J2931" s="555" t="s">
        <v>3411</v>
      </c>
      <c r="K2931" s="555" t="s">
        <v>2764</v>
      </c>
      <c r="L2931" s="555" t="s">
        <v>3055</v>
      </c>
      <c r="M2931" s="555" t="s">
        <v>3055</v>
      </c>
    </row>
    <row r="2932" spans="3:13" ht="18.75">
      <c r="C2932" s="735"/>
      <c r="D2932" s="555" t="s">
        <v>5451</v>
      </c>
      <c r="E2932" s="757">
        <v>0.18055555555555555</v>
      </c>
      <c r="F2932" s="731">
        <v>44768</v>
      </c>
      <c r="G2932" s="730">
        <v>0.20625000000000002</v>
      </c>
      <c r="H2932" s="555" t="s">
        <v>5452</v>
      </c>
      <c r="I2932" s="555" t="s">
        <v>124</v>
      </c>
      <c r="J2932" s="555" t="s">
        <v>3356</v>
      </c>
      <c r="K2932" s="555" t="s">
        <v>2118</v>
      </c>
      <c r="L2932" s="555" t="s">
        <v>45</v>
      </c>
      <c r="M2932" s="555" t="s">
        <v>45</v>
      </c>
    </row>
    <row r="2933" spans="3:13" ht="18.75">
      <c r="C2933" s="735"/>
      <c r="D2933" s="555" t="s">
        <v>5451</v>
      </c>
      <c r="E2933" s="757">
        <v>0.875</v>
      </c>
      <c r="F2933" s="731">
        <v>44768</v>
      </c>
      <c r="G2933" s="730">
        <v>0.88888888888888884</v>
      </c>
      <c r="H2933" s="555" t="s">
        <v>5081</v>
      </c>
      <c r="I2933" s="555" t="s">
        <v>3143</v>
      </c>
      <c r="J2933" s="555" t="s">
        <v>3402</v>
      </c>
      <c r="K2933" s="555" t="s">
        <v>2118</v>
      </c>
      <c r="L2933" s="555" t="s">
        <v>3055</v>
      </c>
      <c r="M2933" s="555" t="s">
        <v>3055</v>
      </c>
    </row>
    <row r="2934" spans="3:13" ht="18.75">
      <c r="C2934" s="735"/>
      <c r="D2934" s="555" t="s">
        <v>5453</v>
      </c>
      <c r="E2934" s="757">
        <v>0.80902777777777779</v>
      </c>
      <c r="F2934" s="731">
        <v>44770</v>
      </c>
      <c r="G2934" s="730">
        <v>0.94513888888888886</v>
      </c>
      <c r="H2934" s="555" t="s">
        <v>3909</v>
      </c>
      <c r="I2934" s="555" t="s">
        <v>124</v>
      </c>
      <c r="J2934" s="555" t="s">
        <v>5454</v>
      </c>
      <c r="K2934" s="555" t="s">
        <v>2293</v>
      </c>
      <c r="L2934" s="555" t="s">
        <v>3055</v>
      </c>
      <c r="M2934" s="555" t="s">
        <v>3055</v>
      </c>
    </row>
    <row r="2935" spans="3:13" ht="18.75">
      <c r="C2935" s="735"/>
      <c r="D2935" s="555" t="s">
        <v>5455</v>
      </c>
      <c r="E2935" s="757">
        <v>8.3333333333333329E-2</v>
      </c>
      <c r="F2935" s="731">
        <v>44771</v>
      </c>
      <c r="G2935" s="730">
        <v>8.4027777777777771E-2</v>
      </c>
      <c r="H2935" s="555" t="s">
        <v>5081</v>
      </c>
      <c r="I2935" s="555" t="s">
        <v>3143</v>
      </c>
      <c r="J2935" s="555" t="s">
        <v>3402</v>
      </c>
      <c r="K2935" s="555" t="s">
        <v>2118</v>
      </c>
      <c r="L2935" s="555" t="s">
        <v>3055</v>
      </c>
      <c r="M2935" s="555" t="s">
        <v>3055</v>
      </c>
    </row>
    <row r="2936" spans="3:13" ht="18.75">
      <c r="C2936" s="735"/>
      <c r="D2936" s="555" t="s">
        <v>5456</v>
      </c>
      <c r="E2936" s="757">
        <v>0.81597222222222221</v>
      </c>
      <c r="F2936" s="731">
        <v>44774</v>
      </c>
      <c r="G2936" s="730">
        <v>0.55347222222222225</v>
      </c>
      <c r="H2936" s="555" t="s">
        <v>3414</v>
      </c>
      <c r="I2936" s="555" t="s">
        <v>124</v>
      </c>
      <c r="J2936" s="555" t="s">
        <v>3447</v>
      </c>
      <c r="K2936" s="555" t="s">
        <v>2764</v>
      </c>
      <c r="L2936" s="555" t="s">
        <v>3055</v>
      </c>
      <c r="M2936" s="555" t="s">
        <v>3055</v>
      </c>
    </row>
    <row r="2937" spans="3:13" ht="18.75">
      <c r="C2937" s="735"/>
      <c r="D2937" s="555" t="s">
        <v>5458</v>
      </c>
      <c r="E2937" s="757">
        <v>0.27499999999999997</v>
      </c>
      <c r="F2937" s="731">
        <v>44773</v>
      </c>
      <c r="G2937" s="730">
        <v>0.30069444444444443</v>
      </c>
      <c r="H2937" s="555" t="s">
        <v>3174</v>
      </c>
      <c r="I2937" s="555" t="s">
        <v>61</v>
      </c>
      <c r="J2937" s="555" t="s">
        <v>3387</v>
      </c>
      <c r="K2937" s="555" t="s">
        <v>2764</v>
      </c>
      <c r="L2937" s="555" t="s">
        <v>3055</v>
      </c>
      <c r="M2937" s="555" t="s">
        <v>3055</v>
      </c>
    </row>
    <row r="2938" spans="3:13" ht="18.75">
      <c r="C2938" s="735"/>
      <c r="D2938" s="555" t="s">
        <v>5457</v>
      </c>
      <c r="E2938" s="757">
        <v>0.4055555555555555</v>
      </c>
      <c r="F2938" s="731">
        <v>44774</v>
      </c>
      <c r="G2938" s="730">
        <v>0.40625</v>
      </c>
      <c r="H2938" s="555" t="s">
        <v>5054</v>
      </c>
      <c r="I2938" s="555" t="s">
        <v>63</v>
      </c>
      <c r="J2938" s="555" t="s">
        <v>3356</v>
      </c>
      <c r="K2938" s="555" t="s">
        <v>100</v>
      </c>
      <c r="L2938" s="555" t="s">
        <v>3055</v>
      </c>
      <c r="M2938" s="555" t="s">
        <v>3055</v>
      </c>
    </row>
    <row r="2939" spans="3:13" ht="18.75">
      <c r="C2939" s="735"/>
      <c r="D2939" s="555" t="s">
        <v>5457</v>
      </c>
      <c r="E2939" s="757">
        <v>0.3354166666666667</v>
      </c>
      <c r="F2939" s="731">
        <v>44774</v>
      </c>
      <c r="G2939" s="730">
        <v>0.375</v>
      </c>
      <c r="H2939" s="555" t="s">
        <v>2967</v>
      </c>
      <c r="I2939" s="555" t="s">
        <v>124</v>
      </c>
      <c r="J2939" s="555" t="s">
        <v>3356</v>
      </c>
      <c r="K2939" s="555" t="s">
        <v>2293</v>
      </c>
      <c r="L2939" s="555" t="s">
        <v>3055</v>
      </c>
      <c r="M2939" s="555" t="s">
        <v>3055</v>
      </c>
    </row>
    <row r="2940" spans="3:13" ht="18.75">
      <c r="C2940" s="735"/>
      <c r="D2940" s="555" t="s">
        <v>5459</v>
      </c>
      <c r="E2940" s="757">
        <v>8.3333333333333329E-2</v>
      </c>
      <c r="F2940" s="731">
        <v>44776</v>
      </c>
      <c r="G2940" s="730">
        <v>0.12986111111111112</v>
      </c>
      <c r="H2940" s="555" t="s">
        <v>4185</v>
      </c>
      <c r="I2940" s="555" t="s">
        <v>1352</v>
      </c>
      <c r="J2940" s="555" t="s">
        <v>3402</v>
      </c>
      <c r="K2940" s="555" t="s">
        <v>2118</v>
      </c>
      <c r="L2940" s="555" t="s">
        <v>3055</v>
      </c>
      <c r="M2940" s="555" t="s">
        <v>3055</v>
      </c>
    </row>
    <row r="2941" spans="3:13" ht="18.75">
      <c r="C2941" s="735"/>
      <c r="D2941" s="555" t="s">
        <v>5459</v>
      </c>
      <c r="E2941" s="757">
        <v>0.10416666666666667</v>
      </c>
      <c r="F2941" s="731" t="s">
        <v>45</v>
      </c>
      <c r="G2941" s="730" t="s">
        <v>45</v>
      </c>
      <c r="H2941" s="555" t="s">
        <v>5460</v>
      </c>
      <c r="I2941" s="555" t="s">
        <v>4935</v>
      </c>
      <c r="J2941" s="555" t="s">
        <v>2753</v>
      </c>
      <c r="K2941" s="555" t="s">
        <v>22</v>
      </c>
      <c r="L2941" s="555" t="s">
        <v>45</v>
      </c>
      <c r="M2941" s="555" t="s">
        <v>5004</v>
      </c>
    </row>
    <row r="2942" spans="3:13" ht="18.75">
      <c r="C2942" s="735"/>
      <c r="D2942" s="555" t="s">
        <v>5459</v>
      </c>
      <c r="E2942" s="757">
        <v>0.79166666666666663</v>
      </c>
      <c r="F2942" s="731">
        <v>44778</v>
      </c>
      <c r="G2942" s="730">
        <v>0.37013888888888885</v>
      </c>
      <c r="H2942" s="555" t="s">
        <v>5462</v>
      </c>
      <c r="I2942" s="555" t="s">
        <v>3143</v>
      </c>
      <c r="J2942" s="555" t="s">
        <v>2753</v>
      </c>
      <c r="K2942" s="555" t="s">
        <v>22</v>
      </c>
      <c r="L2942" s="555" t="s">
        <v>45</v>
      </c>
      <c r="M2942" s="555" t="s">
        <v>4975</v>
      </c>
    </row>
    <row r="2943" spans="3:13" ht="18.75">
      <c r="C2943" s="735"/>
      <c r="D2943" s="555" t="s">
        <v>5459</v>
      </c>
      <c r="E2943" s="757">
        <v>0.70833333333333337</v>
      </c>
      <c r="F2943" s="731">
        <v>44776</v>
      </c>
      <c r="G2943" s="730">
        <v>0.85416666666666663</v>
      </c>
      <c r="H2943" s="555" t="s">
        <v>5463</v>
      </c>
      <c r="I2943" s="555" t="s">
        <v>3143</v>
      </c>
      <c r="J2943" s="555" t="s">
        <v>2753</v>
      </c>
      <c r="K2943" s="555" t="s">
        <v>22</v>
      </c>
      <c r="L2943" s="555" t="s">
        <v>45</v>
      </c>
      <c r="M2943" s="555" t="s">
        <v>5464</v>
      </c>
    </row>
    <row r="2944" spans="3:13" ht="18.75">
      <c r="C2944" s="735"/>
      <c r="D2944" s="555" t="s">
        <v>5465</v>
      </c>
      <c r="E2944" s="757">
        <v>0.75</v>
      </c>
      <c r="F2944" s="731">
        <v>44778</v>
      </c>
      <c r="G2944" s="730">
        <v>8.3333333333333329E-2</v>
      </c>
      <c r="H2944" s="555" t="s">
        <v>5466</v>
      </c>
      <c r="I2944" s="555" t="s">
        <v>3143</v>
      </c>
      <c r="J2944" s="555" t="s">
        <v>2753</v>
      </c>
      <c r="K2944" s="555" t="s">
        <v>22</v>
      </c>
      <c r="L2944" s="555" t="s">
        <v>45</v>
      </c>
      <c r="M2944" s="555" t="s">
        <v>5467</v>
      </c>
    </row>
    <row r="2945" spans="3:13" ht="18.75">
      <c r="C2945" s="735"/>
      <c r="D2945" s="555" t="s">
        <v>5461</v>
      </c>
      <c r="E2945" s="757">
        <v>0.61944444444444446</v>
      </c>
      <c r="F2945" s="731">
        <v>44778</v>
      </c>
      <c r="G2945" s="730">
        <v>0.69513888888888886</v>
      </c>
      <c r="H2945" s="555" t="s">
        <v>4709</v>
      </c>
      <c r="I2945" s="555" t="s">
        <v>124</v>
      </c>
      <c r="J2945" s="555" t="s">
        <v>3356</v>
      </c>
      <c r="K2945" s="555" t="s">
        <v>100</v>
      </c>
      <c r="L2945" s="555" t="s">
        <v>3055</v>
      </c>
      <c r="M2945" s="555" t="s">
        <v>3055</v>
      </c>
    </row>
    <row r="2946" spans="3:13" ht="18.75">
      <c r="C2946" s="735"/>
      <c r="D2946" s="555" t="s">
        <v>5461</v>
      </c>
      <c r="E2946" s="757">
        <v>8.3333333333333329E-2</v>
      </c>
      <c r="F2946" s="731">
        <v>44778</v>
      </c>
      <c r="G2946" s="730">
        <v>0.27083333333333331</v>
      </c>
      <c r="H2946" s="555" t="s">
        <v>2853</v>
      </c>
      <c r="I2946" s="555" t="s">
        <v>124</v>
      </c>
      <c r="J2946" s="555" t="s">
        <v>3402</v>
      </c>
      <c r="K2946" s="555" t="s">
        <v>2293</v>
      </c>
      <c r="L2946" s="555" t="s">
        <v>3175</v>
      </c>
      <c r="M2946" s="555" t="s">
        <v>3380</v>
      </c>
    </row>
    <row r="2947" spans="3:13" ht="18.75">
      <c r="C2947" s="735"/>
      <c r="D2947" s="555" t="s">
        <v>5468</v>
      </c>
      <c r="E2947" s="757">
        <v>0.63750000000000007</v>
      </c>
      <c r="F2947" s="731">
        <v>44782</v>
      </c>
      <c r="G2947" s="730">
        <v>0.6381944444444444</v>
      </c>
      <c r="H2947" s="555" t="s">
        <v>5469</v>
      </c>
      <c r="I2947" s="555" t="s">
        <v>124</v>
      </c>
      <c r="J2947" s="555" t="s">
        <v>3356</v>
      </c>
      <c r="K2947" s="555" t="s">
        <v>100</v>
      </c>
      <c r="L2947" s="555" t="s">
        <v>3055</v>
      </c>
      <c r="M2947" s="555" t="s">
        <v>3055</v>
      </c>
    </row>
    <row r="2948" spans="3:13" ht="18.75">
      <c r="C2948" s="735"/>
      <c r="D2948" s="555" t="s">
        <v>5468</v>
      </c>
      <c r="E2948" s="757">
        <v>0.6958333333333333</v>
      </c>
      <c r="F2948" s="731">
        <v>44782</v>
      </c>
      <c r="G2948" s="730">
        <v>0.92499999999999993</v>
      </c>
      <c r="H2948" s="555" t="s">
        <v>2895</v>
      </c>
      <c r="I2948" s="555" t="s">
        <v>3143</v>
      </c>
      <c r="J2948" s="555" t="s">
        <v>2753</v>
      </c>
      <c r="K2948" s="555" t="s">
        <v>2764</v>
      </c>
      <c r="L2948" s="555" t="s">
        <v>45</v>
      </c>
      <c r="M2948" s="555" t="s">
        <v>5470</v>
      </c>
    </row>
    <row r="2949" spans="3:13" ht="18.75">
      <c r="C2949" s="735"/>
      <c r="D2949" s="555" t="s">
        <v>5468</v>
      </c>
      <c r="E2949" s="757">
        <v>0.10347222222222223</v>
      </c>
      <c r="F2949" s="731">
        <v>44782</v>
      </c>
      <c r="G2949" s="730">
        <v>0.125</v>
      </c>
      <c r="H2949" s="555" t="s">
        <v>2864</v>
      </c>
      <c r="I2949" s="555" t="s">
        <v>63</v>
      </c>
      <c r="J2949" s="555" t="s">
        <v>3387</v>
      </c>
      <c r="K2949" s="555" t="s">
        <v>2764</v>
      </c>
      <c r="L2949" s="555" t="s">
        <v>3055</v>
      </c>
      <c r="M2949" s="555" t="s">
        <v>3055</v>
      </c>
    </row>
    <row r="2950" spans="3:13" ht="18.75">
      <c r="C2950" s="735"/>
      <c r="D2950" s="555" t="s">
        <v>5468</v>
      </c>
      <c r="E2950" s="757">
        <v>0.5083333333333333</v>
      </c>
      <c r="F2950" s="731">
        <v>44782</v>
      </c>
      <c r="G2950" s="730">
        <v>0.54722222222222217</v>
      </c>
      <c r="H2950" s="555" t="s">
        <v>3299</v>
      </c>
      <c r="I2950" s="555" t="s">
        <v>63</v>
      </c>
      <c r="J2950" s="555" t="s">
        <v>3447</v>
      </c>
      <c r="K2950" s="555" t="s">
        <v>2764</v>
      </c>
      <c r="L2950" s="555" t="s">
        <v>3055</v>
      </c>
      <c r="M2950" s="555" t="s">
        <v>3055</v>
      </c>
    </row>
    <row r="2951" spans="3:13" ht="18.75">
      <c r="C2951" s="735"/>
      <c r="D2951" s="555" t="s">
        <v>5468</v>
      </c>
      <c r="E2951" s="757">
        <v>0.5083333333333333</v>
      </c>
      <c r="F2951" s="731">
        <v>44782</v>
      </c>
      <c r="G2951" s="730">
        <v>0.54722222222222217</v>
      </c>
      <c r="H2951" s="555" t="s">
        <v>3299</v>
      </c>
      <c r="I2951" s="555" t="s">
        <v>63</v>
      </c>
      <c r="J2951" s="555" t="s">
        <v>3447</v>
      </c>
      <c r="K2951" s="555" t="s">
        <v>2764</v>
      </c>
      <c r="L2951" s="555" t="s">
        <v>3055</v>
      </c>
      <c r="M2951" s="555" t="s">
        <v>3055</v>
      </c>
    </row>
    <row r="2952" spans="3:13" ht="18.75">
      <c r="C2952" s="735"/>
      <c r="D2952" s="555" t="s">
        <v>5471</v>
      </c>
      <c r="E2952" s="757">
        <v>5.9027777777777783E-2</v>
      </c>
      <c r="F2952" s="731">
        <v>44783</v>
      </c>
      <c r="G2952" s="730">
        <v>6.25E-2</v>
      </c>
      <c r="H2952" s="555" t="s">
        <v>5472</v>
      </c>
      <c r="I2952" s="555" t="s">
        <v>63</v>
      </c>
      <c r="J2952" s="555" t="s">
        <v>3411</v>
      </c>
      <c r="K2952" s="555" t="s">
        <v>22</v>
      </c>
      <c r="L2952" s="555" t="s">
        <v>4951</v>
      </c>
      <c r="M2952" s="555" t="s">
        <v>3055</v>
      </c>
    </row>
    <row r="2953" spans="3:13" ht="18.75">
      <c r="C2953" s="735"/>
      <c r="D2953" s="555" t="s">
        <v>5471</v>
      </c>
      <c r="E2953" s="757">
        <v>0.625</v>
      </c>
      <c r="F2953" s="731">
        <v>44783</v>
      </c>
      <c r="G2953" s="730">
        <v>0.62569444444444444</v>
      </c>
      <c r="H2953" s="555" t="s">
        <v>4253</v>
      </c>
      <c r="I2953" s="555" t="s">
        <v>63</v>
      </c>
      <c r="J2953" s="555" t="s">
        <v>3356</v>
      </c>
      <c r="K2953" s="555" t="s">
        <v>100</v>
      </c>
      <c r="L2953" s="555" t="s">
        <v>3055</v>
      </c>
      <c r="M2953" s="555" t="s">
        <v>3055</v>
      </c>
    </row>
    <row r="2954" spans="3:13" ht="18.75">
      <c r="C2954" s="735"/>
      <c r="D2954" s="555" t="s">
        <v>5471</v>
      </c>
      <c r="E2954" s="757">
        <v>0.8305555555555556</v>
      </c>
      <c r="F2954" s="731">
        <v>44784</v>
      </c>
      <c r="G2954" s="730">
        <v>0.83333333333333337</v>
      </c>
      <c r="H2954" s="555" t="s">
        <v>2809</v>
      </c>
      <c r="I2954" s="555" t="s">
        <v>1352</v>
      </c>
      <c r="J2954" s="555" t="s">
        <v>2753</v>
      </c>
      <c r="K2954" s="555" t="s">
        <v>22</v>
      </c>
      <c r="L2954" s="555" t="s">
        <v>45</v>
      </c>
      <c r="M2954" s="555" t="s">
        <v>5474</v>
      </c>
    </row>
    <row r="2955" spans="3:13" ht="18.75">
      <c r="C2955" s="735"/>
      <c r="D2955" s="555" t="s">
        <v>5475</v>
      </c>
      <c r="E2955" s="757">
        <v>0.61527777777777781</v>
      </c>
      <c r="F2955" s="731">
        <v>44785</v>
      </c>
      <c r="G2955" s="730">
        <v>0.61597222222222225</v>
      </c>
      <c r="H2955" s="555" t="s">
        <v>5476</v>
      </c>
      <c r="I2955" s="555" t="s">
        <v>63</v>
      </c>
      <c r="J2955" s="555" t="s">
        <v>3356</v>
      </c>
      <c r="K2955" s="555" t="s">
        <v>100</v>
      </c>
      <c r="L2955" s="555" t="s">
        <v>3055</v>
      </c>
      <c r="M2955" s="555" t="s">
        <v>3055</v>
      </c>
    </row>
    <row r="2956" spans="3:13" ht="18.75">
      <c r="C2956" s="735"/>
      <c r="D2956" s="555" t="s">
        <v>5477</v>
      </c>
      <c r="E2956" s="757">
        <v>0.98819444444444438</v>
      </c>
      <c r="F2956" s="731">
        <v>44789</v>
      </c>
      <c r="G2956" s="730">
        <v>0.30138888888888887</v>
      </c>
      <c r="H2956" s="555" t="s">
        <v>5479</v>
      </c>
      <c r="I2956" s="555" t="s">
        <v>5309</v>
      </c>
      <c r="J2956" s="555" t="s">
        <v>3411</v>
      </c>
      <c r="K2956" s="555" t="s">
        <v>2483</v>
      </c>
      <c r="L2956" s="555" t="s">
        <v>3055</v>
      </c>
      <c r="M2956" s="555" t="s">
        <v>5037</v>
      </c>
    </row>
    <row r="2957" spans="3:13" ht="18.75">
      <c r="C2957" s="735"/>
      <c r="D2957" s="555" t="s">
        <v>5477</v>
      </c>
      <c r="E2957" s="757">
        <v>0.38055555555555554</v>
      </c>
      <c r="F2957" s="731">
        <v>44788</v>
      </c>
      <c r="G2957" s="730">
        <v>0.38194444444444442</v>
      </c>
      <c r="H2957" s="555" t="s">
        <v>2817</v>
      </c>
      <c r="I2957" s="555" t="s">
        <v>124</v>
      </c>
      <c r="J2957" s="555" t="s">
        <v>3356</v>
      </c>
      <c r="K2957" s="555" t="s">
        <v>100</v>
      </c>
      <c r="L2957" s="555" t="s">
        <v>3055</v>
      </c>
      <c r="M2957" s="555" t="s">
        <v>3055</v>
      </c>
    </row>
    <row r="2958" spans="3:13" ht="18.75">
      <c r="C2958" s="735"/>
      <c r="D2958" s="555" t="s">
        <v>5477</v>
      </c>
      <c r="E2958" s="757">
        <v>0.43333333333333335</v>
      </c>
      <c r="F2958" s="731">
        <v>44788</v>
      </c>
      <c r="G2958" s="730">
        <v>0.53402777777777777</v>
      </c>
      <c r="H2958" s="555" t="s">
        <v>3885</v>
      </c>
      <c r="I2958" s="555" t="s">
        <v>3143</v>
      </c>
      <c r="J2958" s="555" t="s">
        <v>2910</v>
      </c>
      <c r="K2958" s="555" t="s">
        <v>2483</v>
      </c>
      <c r="L2958" s="555" t="s">
        <v>45</v>
      </c>
      <c r="M2958" s="555" t="s">
        <v>3055</v>
      </c>
    </row>
    <row r="2959" spans="3:13" ht="18.75">
      <c r="C2959" s="735"/>
      <c r="D2959" s="555" t="s">
        <v>5480</v>
      </c>
      <c r="E2959" s="757">
        <v>0.75347222222222221</v>
      </c>
      <c r="F2959" s="731">
        <v>44791</v>
      </c>
      <c r="G2959" s="730">
        <v>0.90208333333333324</v>
      </c>
      <c r="H2959" s="555" t="s">
        <v>4271</v>
      </c>
      <c r="I2959" s="555" t="s">
        <v>3143</v>
      </c>
      <c r="J2959" s="555" t="s">
        <v>3387</v>
      </c>
      <c r="K2959" s="555" t="s">
        <v>2764</v>
      </c>
      <c r="L2959" s="555" t="s">
        <v>45</v>
      </c>
      <c r="M2959" s="555" t="s">
        <v>45</v>
      </c>
    </row>
    <row r="2960" spans="3:13" ht="18.75">
      <c r="C2960" s="735"/>
      <c r="D2960" s="555" t="s">
        <v>5481</v>
      </c>
      <c r="E2960" s="757">
        <v>0.73611111111111116</v>
      </c>
      <c r="F2960" s="731">
        <v>44792</v>
      </c>
      <c r="G2960" s="730">
        <v>0.7368055555555556</v>
      </c>
      <c r="H2960" s="555" t="s">
        <v>5482</v>
      </c>
      <c r="I2960" s="555" t="s">
        <v>61</v>
      </c>
      <c r="J2960" s="555" t="s">
        <v>3356</v>
      </c>
      <c r="K2960" s="555" t="s">
        <v>2293</v>
      </c>
      <c r="L2960" s="555" t="s">
        <v>3055</v>
      </c>
      <c r="M2960" s="555" t="s">
        <v>3055</v>
      </c>
    </row>
    <row r="2961" spans="3:13" ht="18.75">
      <c r="C2961" s="735"/>
      <c r="D2961" s="555" t="s">
        <v>5481</v>
      </c>
      <c r="E2961" s="757">
        <v>0.91666666666666663</v>
      </c>
      <c r="F2961" s="731">
        <v>44793</v>
      </c>
      <c r="G2961" s="730">
        <v>0.47916666666666669</v>
      </c>
      <c r="H2961" s="555" t="s">
        <v>2862</v>
      </c>
      <c r="I2961" s="555" t="s">
        <v>124</v>
      </c>
      <c r="J2961" s="555" t="s">
        <v>2944</v>
      </c>
      <c r="K2961" s="555" t="s">
        <v>2952</v>
      </c>
      <c r="L2961" s="555" t="s">
        <v>3055</v>
      </c>
      <c r="M2961" s="555" t="s">
        <v>3055</v>
      </c>
    </row>
    <row r="2962" spans="3:13" ht="18.75">
      <c r="C2962" s="735"/>
      <c r="D2962" s="555" t="s">
        <v>5484</v>
      </c>
      <c r="E2962" s="757">
        <v>0.40763888888888888</v>
      </c>
      <c r="F2962" s="731">
        <v>44795</v>
      </c>
      <c r="G2962" s="730">
        <v>0.40833333333333338</v>
      </c>
      <c r="H2962" s="555" t="s">
        <v>2967</v>
      </c>
      <c r="I2962" s="555" t="s">
        <v>124</v>
      </c>
      <c r="J2962" s="555" t="s">
        <v>3356</v>
      </c>
      <c r="K2962" s="555" t="s">
        <v>100</v>
      </c>
      <c r="L2962" s="555" t="s">
        <v>3055</v>
      </c>
      <c r="M2962" s="555" t="s">
        <v>3055</v>
      </c>
    </row>
    <row r="2963" spans="3:13" ht="18.75">
      <c r="C2963" s="735"/>
      <c r="D2963" s="555" t="s">
        <v>5484</v>
      </c>
      <c r="E2963" s="757">
        <v>0.53194444444444444</v>
      </c>
      <c r="F2963" s="731">
        <v>44795</v>
      </c>
      <c r="G2963" s="730">
        <v>0.54791666666666672</v>
      </c>
      <c r="H2963" s="555" t="s">
        <v>5485</v>
      </c>
      <c r="I2963" s="555" t="s">
        <v>1352</v>
      </c>
      <c r="J2963" s="555" t="s">
        <v>3411</v>
      </c>
      <c r="K2963" s="555" t="s">
        <v>2764</v>
      </c>
      <c r="L2963" s="555" t="s">
        <v>4951</v>
      </c>
      <c r="M2963" s="555" t="s">
        <v>5486</v>
      </c>
    </row>
    <row r="2964" spans="3:13" ht="18.75">
      <c r="C2964" s="735"/>
      <c r="D2964" s="555" t="s">
        <v>5484</v>
      </c>
      <c r="E2964" s="757">
        <v>0.86111111111111116</v>
      </c>
      <c r="F2964" s="731">
        <v>44795</v>
      </c>
      <c r="G2964" s="730">
        <v>0.9145833333333333</v>
      </c>
      <c r="H2964" s="555" t="s">
        <v>4402</v>
      </c>
      <c r="I2964" s="555" t="s">
        <v>1352</v>
      </c>
      <c r="J2964" s="555" t="s">
        <v>3411</v>
      </c>
      <c r="K2964" s="555" t="s">
        <v>22</v>
      </c>
      <c r="L2964" s="555" t="s">
        <v>3055</v>
      </c>
      <c r="M2964" s="555" t="s">
        <v>3055</v>
      </c>
    </row>
    <row r="2965" spans="3:13" ht="18.75">
      <c r="C2965" s="735"/>
      <c r="D2965" s="555" t="s">
        <v>5487</v>
      </c>
      <c r="E2965" s="757">
        <v>0.59722222222222221</v>
      </c>
      <c r="F2965" s="731">
        <v>44797</v>
      </c>
      <c r="G2965" s="730">
        <v>0.59791666666666665</v>
      </c>
      <c r="H2965" s="555" t="s">
        <v>2967</v>
      </c>
      <c r="I2965" s="555" t="s">
        <v>124</v>
      </c>
      <c r="J2965" s="555" t="s">
        <v>3356</v>
      </c>
      <c r="K2965" s="555" t="s">
        <v>100</v>
      </c>
      <c r="L2965" s="555" t="s">
        <v>3055</v>
      </c>
      <c r="M2965" s="555" t="s">
        <v>3055</v>
      </c>
    </row>
    <row r="2966" spans="3:13" ht="18.75">
      <c r="C2966" s="735"/>
      <c r="D2966" s="555" t="s">
        <v>5488</v>
      </c>
      <c r="E2966" s="757">
        <v>4.0972222222222222E-2</v>
      </c>
      <c r="F2966" s="731">
        <v>44798</v>
      </c>
      <c r="G2966" s="730">
        <v>4.1666666666666664E-2</v>
      </c>
      <c r="H2966" s="555" t="s">
        <v>4355</v>
      </c>
      <c r="I2966" s="555" t="s">
        <v>124</v>
      </c>
      <c r="J2966" s="555" t="s">
        <v>2910</v>
      </c>
      <c r="K2966" s="555" t="s">
        <v>100</v>
      </c>
      <c r="L2966" s="555" t="s">
        <v>3055</v>
      </c>
      <c r="M2966" s="555" t="s">
        <v>3055</v>
      </c>
    </row>
    <row r="2967" spans="3:13" ht="18.75">
      <c r="C2967" s="735"/>
      <c r="D2967" s="555" t="s">
        <v>5488</v>
      </c>
      <c r="E2967" s="757">
        <v>4.0972222222222222E-2</v>
      </c>
      <c r="F2967" s="731">
        <v>44798</v>
      </c>
      <c r="G2967" s="730">
        <v>4.1666666666666664E-2</v>
      </c>
      <c r="H2967" s="555" t="s">
        <v>4355</v>
      </c>
      <c r="I2967" s="555" t="s">
        <v>124</v>
      </c>
      <c r="J2967" s="555" t="s">
        <v>2910</v>
      </c>
      <c r="K2967" s="555" t="s">
        <v>100</v>
      </c>
      <c r="L2967" s="555" t="s">
        <v>3055</v>
      </c>
      <c r="M2967" s="555" t="s">
        <v>3055</v>
      </c>
    </row>
    <row r="2968" spans="3:13" ht="18.75">
      <c r="C2968" s="735"/>
      <c r="D2968" s="555" t="s">
        <v>5489</v>
      </c>
      <c r="E2968" s="757">
        <v>0.46458333333333335</v>
      </c>
      <c r="F2968" s="731">
        <v>44799</v>
      </c>
      <c r="G2968" s="730">
        <v>0.46527777777777773</v>
      </c>
      <c r="H2968" s="555" t="s">
        <v>2967</v>
      </c>
      <c r="I2968" s="555" t="s">
        <v>124</v>
      </c>
      <c r="J2968" s="555" t="s">
        <v>3356</v>
      </c>
      <c r="K2968" s="555" t="s">
        <v>100</v>
      </c>
      <c r="L2968" s="555" t="s">
        <v>3055</v>
      </c>
      <c r="M2968" s="555" t="s">
        <v>3055</v>
      </c>
    </row>
    <row r="2969" spans="3:13" ht="18.75">
      <c r="C2969" s="735"/>
      <c r="D2969" s="555" t="s">
        <v>5490</v>
      </c>
      <c r="E2969" s="757">
        <v>9.7916666666666666E-2</v>
      </c>
      <c r="F2969" s="731">
        <v>44800</v>
      </c>
      <c r="G2969" s="730">
        <v>0.80138888888888893</v>
      </c>
      <c r="H2969" s="555" t="s">
        <v>2959</v>
      </c>
      <c r="I2969" s="555" t="s">
        <v>61</v>
      </c>
      <c r="J2969" s="555" t="s">
        <v>3387</v>
      </c>
      <c r="K2969" s="555" t="s">
        <v>2764</v>
      </c>
      <c r="L2969" s="555" t="s">
        <v>3055</v>
      </c>
      <c r="M2969" s="555" t="s">
        <v>3055</v>
      </c>
    </row>
    <row r="2970" spans="3:13" ht="18.75">
      <c r="C2970" s="735"/>
      <c r="D2970" s="555" t="s">
        <v>5491</v>
      </c>
      <c r="E2970" s="757">
        <v>0.2076388888888889</v>
      </c>
      <c r="F2970" s="731">
        <v>44801</v>
      </c>
      <c r="G2970" s="730">
        <v>0.25416666666666665</v>
      </c>
      <c r="H2970" s="555" t="s">
        <v>3719</v>
      </c>
      <c r="I2970" s="555" t="s">
        <v>61</v>
      </c>
      <c r="J2970" s="555" t="s">
        <v>3387</v>
      </c>
      <c r="K2970" s="555" t="s">
        <v>2764</v>
      </c>
      <c r="L2970" s="555" t="s">
        <v>3055</v>
      </c>
      <c r="M2970" s="555" t="s">
        <v>3055</v>
      </c>
    </row>
    <row r="2971" spans="3:13" ht="18.75">
      <c r="C2971" s="735"/>
      <c r="D2971" s="555" t="s">
        <v>5492</v>
      </c>
      <c r="E2971" s="757">
        <v>0.625</v>
      </c>
      <c r="F2971" s="731">
        <v>44805</v>
      </c>
      <c r="G2971" s="730">
        <v>0.375</v>
      </c>
      <c r="H2971" s="555" t="s">
        <v>5494</v>
      </c>
      <c r="I2971" s="555" t="s">
        <v>3143</v>
      </c>
      <c r="J2971" s="555" t="s">
        <v>2753</v>
      </c>
      <c r="K2971" s="555" t="s">
        <v>22</v>
      </c>
      <c r="L2971" s="555" t="s">
        <v>45</v>
      </c>
      <c r="M2971" s="555" t="s">
        <v>5495</v>
      </c>
    </row>
    <row r="2972" spans="3:13" ht="18.75">
      <c r="C2972" s="735"/>
      <c r="D2972" s="555" t="s">
        <v>5492</v>
      </c>
      <c r="E2972" s="757">
        <v>0.74305555555555547</v>
      </c>
      <c r="F2972" s="731" t="s">
        <v>45</v>
      </c>
      <c r="G2972" s="730" t="s">
        <v>45</v>
      </c>
      <c r="H2972" s="555" t="s">
        <v>3307</v>
      </c>
      <c r="I2972" s="555" t="s">
        <v>3143</v>
      </c>
      <c r="J2972" s="555" t="s">
        <v>2753</v>
      </c>
      <c r="K2972" s="555" t="s">
        <v>22</v>
      </c>
      <c r="L2972" s="555" t="s">
        <v>45</v>
      </c>
      <c r="M2972" s="555" t="s">
        <v>45</v>
      </c>
    </row>
    <row r="2973" spans="3:13" ht="18.75">
      <c r="C2973" s="735"/>
      <c r="D2973" s="555" t="s">
        <v>5492</v>
      </c>
      <c r="E2973" s="757">
        <v>0.44791666666666669</v>
      </c>
      <c r="F2973" s="731">
        <v>44802</v>
      </c>
      <c r="G2973" s="730">
        <v>0.48958333333333331</v>
      </c>
      <c r="H2973" s="555" t="s">
        <v>5496</v>
      </c>
      <c r="I2973" s="555" t="s">
        <v>1352</v>
      </c>
      <c r="J2973" s="555" t="s">
        <v>3402</v>
      </c>
      <c r="K2973" s="555" t="s">
        <v>2118</v>
      </c>
      <c r="L2973" s="555" t="s">
        <v>3055</v>
      </c>
      <c r="M2973" s="555" t="s">
        <v>3055</v>
      </c>
    </row>
    <row r="2974" spans="3:13" ht="18.75">
      <c r="C2974" s="735"/>
      <c r="D2974" s="555" t="s">
        <v>5497</v>
      </c>
      <c r="E2974" s="757">
        <v>0.4152777777777778</v>
      </c>
      <c r="F2974" s="731">
        <v>44804</v>
      </c>
      <c r="G2974" s="730">
        <v>0.51041666666666663</v>
      </c>
      <c r="H2974" s="555" t="s">
        <v>4019</v>
      </c>
      <c r="I2974" s="555" t="s">
        <v>63</v>
      </c>
      <c r="J2974" s="555" t="s">
        <v>3402</v>
      </c>
      <c r="K2974" s="555" t="s">
        <v>100</v>
      </c>
      <c r="L2974" s="555" t="s">
        <v>5105</v>
      </c>
      <c r="M2974" s="555" t="s">
        <v>3851</v>
      </c>
    </row>
    <row r="2975" spans="3:13" ht="18.75">
      <c r="C2975" s="735"/>
      <c r="D2975" s="555" t="s">
        <v>5493</v>
      </c>
      <c r="E2975" s="757">
        <v>0.625</v>
      </c>
      <c r="F2975" s="731">
        <v>44805</v>
      </c>
      <c r="G2975" s="730">
        <v>0.875</v>
      </c>
      <c r="H2975" s="555" t="s">
        <v>3414</v>
      </c>
      <c r="I2975" s="555" t="s">
        <v>124</v>
      </c>
      <c r="J2975" s="555" t="s">
        <v>3415</v>
      </c>
      <c r="K2975" s="555" t="s">
        <v>22</v>
      </c>
      <c r="L2975" s="555" t="s">
        <v>5498</v>
      </c>
      <c r="M2975" s="555" t="s">
        <v>5395</v>
      </c>
    </row>
    <row r="2976" spans="3:13" ht="18.75">
      <c r="C2976" s="735"/>
      <c r="D2976" s="555" t="s">
        <v>5499</v>
      </c>
      <c r="E2976" s="757">
        <v>0.66666666666666663</v>
      </c>
      <c r="F2976" s="731">
        <v>44810</v>
      </c>
      <c r="G2976" s="730">
        <v>0.33333333333333331</v>
      </c>
      <c r="H2976" s="555" t="s">
        <v>5501</v>
      </c>
      <c r="I2976" s="555" t="s">
        <v>1352</v>
      </c>
      <c r="J2976" s="555" t="s">
        <v>2753</v>
      </c>
      <c r="K2976" s="555" t="s">
        <v>22</v>
      </c>
      <c r="L2976" s="555" t="s">
        <v>45</v>
      </c>
      <c r="M2976" s="555" t="s">
        <v>5502</v>
      </c>
    </row>
    <row r="2977" spans="3:13" ht="18.75">
      <c r="C2977" s="735"/>
      <c r="D2977" s="555" t="s">
        <v>5499</v>
      </c>
      <c r="E2977" s="757">
        <v>0.78472222222222221</v>
      </c>
      <c r="F2977" s="731">
        <v>44809</v>
      </c>
      <c r="G2977" s="730">
        <v>0.11458333333333333</v>
      </c>
      <c r="H2977" s="555" t="s">
        <v>4428</v>
      </c>
      <c r="I2977" s="555" t="s">
        <v>124</v>
      </c>
      <c r="J2977" s="555" t="s">
        <v>2944</v>
      </c>
      <c r="K2977" s="555" t="s">
        <v>2952</v>
      </c>
      <c r="L2977" s="555" t="s">
        <v>3055</v>
      </c>
      <c r="M2977" s="555" t="s">
        <v>3055</v>
      </c>
    </row>
    <row r="2978" spans="3:13" ht="18.75">
      <c r="C2978" s="735"/>
      <c r="D2978" s="555" t="s">
        <v>5503</v>
      </c>
      <c r="E2978" s="757">
        <v>0.25347222222222221</v>
      </c>
      <c r="F2978" s="731">
        <v>44809</v>
      </c>
      <c r="G2978" s="730">
        <v>0.875</v>
      </c>
      <c r="H2978" s="555" t="s">
        <v>3616</v>
      </c>
      <c r="I2978" s="555" t="s">
        <v>124</v>
      </c>
      <c r="J2978" s="555" t="s">
        <v>3415</v>
      </c>
      <c r="K2978" s="555" t="s">
        <v>2764</v>
      </c>
      <c r="L2978" s="555" t="s">
        <v>45</v>
      </c>
      <c r="M2978" s="555" t="s">
        <v>3055</v>
      </c>
    </row>
    <row r="2979" spans="3:13" ht="18.75">
      <c r="C2979" s="735"/>
      <c r="D2979" s="555" t="s">
        <v>5500</v>
      </c>
      <c r="E2979" s="757">
        <v>0.6875</v>
      </c>
      <c r="F2979" s="731">
        <v>44811</v>
      </c>
      <c r="G2979" s="730">
        <v>2.0833333333333332E-2</v>
      </c>
      <c r="H2979" s="555" t="s">
        <v>4355</v>
      </c>
      <c r="I2979" s="555" t="s">
        <v>124</v>
      </c>
      <c r="J2979" s="555" t="s">
        <v>2910</v>
      </c>
      <c r="K2979" s="555" t="s">
        <v>100</v>
      </c>
      <c r="L2979" s="555" t="s">
        <v>3055</v>
      </c>
      <c r="M2979" s="555" t="s">
        <v>3055</v>
      </c>
    </row>
    <row r="2980" spans="3:13" ht="18.75">
      <c r="C2980" s="735"/>
      <c r="D2980" s="555" t="s">
        <v>5500</v>
      </c>
      <c r="E2980" s="757">
        <v>0.25</v>
      </c>
      <c r="F2980" s="731">
        <v>44810</v>
      </c>
      <c r="G2980" s="730">
        <v>0.26527777777777778</v>
      </c>
      <c r="H2980" s="555" t="s">
        <v>4185</v>
      </c>
      <c r="I2980" s="555" t="s">
        <v>1352</v>
      </c>
      <c r="J2980" s="555" t="s">
        <v>3402</v>
      </c>
      <c r="K2980" s="555" t="s">
        <v>2118</v>
      </c>
      <c r="L2980" s="555" t="s">
        <v>3055</v>
      </c>
      <c r="M2980" s="555" t="s">
        <v>3055</v>
      </c>
    </row>
    <row r="2981" spans="3:13" ht="18.75">
      <c r="C2981" s="735"/>
      <c r="D2981" s="555" t="s">
        <v>5500</v>
      </c>
      <c r="E2981" s="757">
        <v>0.44027777777777777</v>
      </c>
      <c r="F2981" s="731">
        <v>44810</v>
      </c>
      <c r="G2981" s="730">
        <v>0.875</v>
      </c>
      <c r="H2981" s="555" t="s">
        <v>3616</v>
      </c>
      <c r="I2981" s="555" t="s">
        <v>124</v>
      </c>
      <c r="J2981" s="555" t="s">
        <v>3415</v>
      </c>
      <c r="K2981" s="555" t="s">
        <v>2764</v>
      </c>
      <c r="L2981" s="555" t="s">
        <v>45</v>
      </c>
      <c r="M2981" s="555" t="s">
        <v>3055</v>
      </c>
    </row>
    <row r="2982" spans="3:13" ht="18.75">
      <c r="C2982" s="735"/>
      <c r="D2982" s="555" t="s">
        <v>5500</v>
      </c>
      <c r="E2982" s="757">
        <v>0.66666666666666663</v>
      </c>
      <c r="F2982" s="731">
        <v>44810</v>
      </c>
      <c r="G2982" s="730">
        <v>0.875</v>
      </c>
      <c r="H2982" s="555" t="s">
        <v>3414</v>
      </c>
      <c r="I2982" s="555" t="s">
        <v>124</v>
      </c>
      <c r="J2982" s="555" t="s">
        <v>3415</v>
      </c>
      <c r="K2982" s="555" t="s">
        <v>22</v>
      </c>
      <c r="L2982" s="555" t="s">
        <v>5505</v>
      </c>
      <c r="M2982" s="555" t="s">
        <v>5395</v>
      </c>
    </row>
    <row r="2983" spans="3:13" ht="18.75">
      <c r="C2983" s="735"/>
      <c r="D2983" s="555" t="s">
        <v>5500</v>
      </c>
      <c r="E2983" s="757">
        <v>0.80555555555555547</v>
      </c>
      <c r="F2983" s="731">
        <v>44810</v>
      </c>
      <c r="G2983" s="730">
        <v>0.87569444444444444</v>
      </c>
      <c r="H2983" s="555" t="s">
        <v>4622</v>
      </c>
      <c r="I2983" s="555" t="s">
        <v>124</v>
      </c>
      <c r="J2983" s="555" t="s">
        <v>3415</v>
      </c>
      <c r="K2983" s="555" t="s">
        <v>2764</v>
      </c>
      <c r="L2983" s="555" t="s">
        <v>45</v>
      </c>
      <c r="M2983" s="555" t="s">
        <v>45</v>
      </c>
    </row>
    <row r="2984" spans="3:13" ht="18.75">
      <c r="C2984" s="735"/>
      <c r="D2984" s="555" t="s">
        <v>5500</v>
      </c>
      <c r="E2984" s="757">
        <v>0.70833333333333337</v>
      </c>
      <c r="F2984" s="731">
        <v>44810</v>
      </c>
      <c r="G2984" s="730">
        <v>0.83333333333333337</v>
      </c>
      <c r="H2984" s="555" t="s">
        <v>4133</v>
      </c>
      <c r="I2984" s="555" t="s">
        <v>124</v>
      </c>
      <c r="J2984" s="555" t="s">
        <v>3415</v>
      </c>
      <c r="K2984" s="555" t="s">
        <v>2764</v>
      </c>
      <c r="L2984" s="555" t="s">
        <v>5506</v>
      </c>
      <c r="M2984" s="555" t="s">
        <v>4922</v>
      </c>
    </row>
    <row r="2985" spans="3:13" ht="18.75">
      <c r="C2985" s="735"/>
      <c r="D2985" s="555" t="s">
        <v>5504</v>
      </c>
      <c r="E2985" s="757">
        <v>0.57291666666666663</v>
      </c>
      <c r="F2985" s="731">
        <v>44811</v>
      </c>
      <c r="G2985" s="730">
        <v>0.79166666666666663</v>
      </c>
      <c r="H2985" s="555" t="s">
        <v>3182</v>
      </c>
      <c r="I2985" s="555" t="s">
        <v>63</v>
      </c>
      <c r="J2985" s="555" t="s">
        <v>3387</v>
      </c>
      <c r="K2985" s="555" t="s">
        <v>2952</v>
      </c>
      <c r="L2985" s="555" t="s">
        <v>3055</v>
      </c>
      <c r="M2985" s="555" t="s">
        <v>3055</v>
      </c>
    </row>
    <row r="2986" spans="3:13" ht="18.75">
      <c r="C2986" s="735"/>
      <c r="D2986" s="555" t="s">
        <v>5504</v>
      </c>
      <c r="E2986" s="757">
        <v>0.47986111111111113</v>
      </c>
      <c r="F2986" s="731">
        <v>44811</v>
      </c>
      <c r="G2986" s="730">
        <v>0.875</v>
      </c>
      <c r="H2986" s="555" t="s">
        <v>3616</v>
      </c>
      <c r="I2986" s="555" t="s">
        <v>124</v>
      </c>
      <c r="J2986" s="555" t="s">
        <v>3415</v>
      </c>
      <c r="K2986" s="555" t="s">
        <v>2764</v>
      </c>
      <c r="L2986" s="555" t="s">
        <v>45</v>
      </c>
      <c r="M2986" s="555" t="s">
        <v>3055</v>
      </c>
    </row>
    <row r="2987" spans="3:13" ht="18.75">
      <c r="C2987" s="735"/>
      <c r="D2987" s="555" t="s">
        <v>5504</v>
      </c>
      <c r="E2987" s="757">
        <v>0.54166666666666663</v>
      </c>
      <c r="F2987" s="731" t="s">
        <v>45</v>
      </c>
      <c r="G2987" s="730" t="s">
        <v>45</v>
      </c>
      <c r="H2987" s="555" t="s">
        <v>2920</v>
      </c>
      <c r="I2987" s="555" t="s">
        <v>124</v>
      </c>
      <c r="J2987" s="555" t="s">
        <v>2910</v>
      </c>
      <c r="K2987" s="555" t="s">
        <v>100</v>
      </c>
      <c r="L2987" s="555" t="s">
        <v>3055</v>
      </c>
      <c r="M2987" s="555" t="s">
        <v>3055</v>
      </c>
    </row>
    <row r="2988" spans="3:13" ht="18.75">
      <c r="C2988" s="735"/>
      <c r="D2988" s="555" t="s">
        <v>5504</v>
      </c>
      <c r="E2988" s="757">
        <v>0.70833333333333337</v>
      </c>
      <c r="F2988" s="731">
        <v>44811</v>
      </c>
      <c r="G2988" s="730">
        <v>0.83333333333333337</v>
      </c>
      <c r="H2988" s="555" t="s">
        <v>4133</v>
      </c>
      <c r="I2988" s="555" t="s">
        <v>124</v>
      </c>
      <c r="J2988" s="555" t="s">
        <v>3415</v>
      </c>
      <c r="K2988" s="555" t="s">
        <v>2764</v>
      </c>
      <c r="L2988" s="555" t="s">
        <v>5507</v>
      </c>
      <c r="M2988" s="555" t="s">
        <v>4922</v>
      </c>
    </row>
    <row r="2989" spans="3:13" ht="18.75">
      <c r="C2989" s="735"/>
      <c r="D2989" s="555" t="s">
        <v>5504</v>
      </c>
      <c r="E2989" s="757">
        <v>0.66666666666666663</v>
      </c>
      <c r="F2989" s="731">
        <v>44811</v>
      </c>
      <c r="G2989" s="730">
        <v>0.875</v>
      </c>
      <c r="H2989" s="555" t="s">
        <v>3414</v>
      </c>
      <c r="I2989" s="555" t="s">
        <v>124</v>
      </c>
      <c r="J2989" s="555" t="s">
        <v>3415</v>
      </c>
      <c r="K2989" s="555" t="s">
        <v>22</v>
      </c>
      <c r="L2989" s="555" t="s">
        <v>5508</v>
      </c>
      <c r="M2989" s="555" t="s">
        <v>5395</v>
      </c>
    </row>
    <row r="2990" spans="3:13" ht="18.75">
      <c r="C2990" s="735"/>
      <c r="D2990" s="555" t="s">
        <v>5509</v>
      </c>
      <c r="E2990" s="757">
        <v>0.45277777777777778</v>
      </c>
      <c r="F2990" s="731">
        <v>44813</v>
      </c>
      <c r="G2990" s="730">
        <v>0.875</v>
      </c>
      <c r="H2990" s="555" t="s">
        <v>3616</v>
      </c>
      <c r="I2990" s="555" t="s">
        <v>124</v>
      </c>
      <c r="J2990" s="555" t="s">
        <v>3415</v>
      </c>
      <c r="K2990" s="555" t="s">
        <v>2764</v>
      </c>
      <c r="L2990" s="555" t="s">
        <v>45</v>
      </c>
      <c r="M2990" s="555" t="s">
        <v>3055</v>
      </c>
    </row>
    <row r="2991" spans="3:13" ht="18.75">
      <c r="C2991" s="735"/>
      <c r="D2991" s="555" t="s">
        <v>5509</v>
      </c>
      <c r="E2991" s="757">
        <v>0.49583333333333335</v>
      </c>
      <c r="F2991" s="731">
        <v>44812</v>
      </c>
      <c r="G2991" s="730">
        <v>0.875</v>
      </c>
      <c r="H2991" s="555" t="s">
        <v>3414</v>
      </c>
      <c r="I2991" s="555" t="s">
        <v>124</v>
      </c>
      <c r="J2991" s="555" t="s">
        <v>3415</v>
      </c>
      <c r="K2991" s="555" t="s">
        <v>22</v>
      </c>
      <c r="L2991" s="555" t="s">
        <v>5511</v>
      </c>
      <c r="M2991" s="555" t="s">
        <v>5395</v>
      </c>
    </row>
    <row r="2992" spans="3:13" ht="18.75">
      <c r="C2992" s="735"/>
      <c r="D2992" s="555" t="s">
        <v>5509</v>
      </c>
      <c r="E2992" s="757">
        <v>0.70833333333333337</v>
      </c>
      <c r="F2992" s="731">
        <v>44812</v>
      </c>
      <c r="G2992" s="730">
        <v>0.83333333333333337</v>
      </c>
      <c r="H2992" s="555" t="s">
        <v>4133</v>
      </c>
      <c r="I2992" s="555" t="s">
        <v>124</v>
      </c>
      <c r="J2992" s="555" t="s">
        <v>3415</v>
      </c>
      <c r="K2992" s="555" t="s">
        <v>2764</v>
      </c>
      <c r="L2992" s="555" t="s">
        <v>5512</v>
      </c>
      <c r="M2992" s="555" t="s">
        <v>4922</v>
      </c>
    </row>
    <row r="2993" spans="3:13" ht="18.75">
      <c r="C2993" s="735"/>
      <c r="D2993" s="555" t="s">
        <v>5510</v>
      </c>
      <c r="E2993" s="757">
        <v>0.66666666666666663</v>
      </c>
      <c r="F2993" s="731">
        <v>44813</v>
      </c>
      <c r="G2993" s="730">
        <v>0.875</v>
      </c>
      <c r="H2993" s="555" t="s">
        <v>3414</v>
      </c>
      <c r="I2993" s="555" t="s">
        <v>124</v>
      </c>
      <c r="J2993" s="555" t="s">
        <v>3415</v>
      </c>
      <c r="K2993" s="555" t="s">
        <v>22</v>
      </c>
      <c r="L2993" s="555" t="s">
        <v>5508</v>
      </c>
      <c r="M2993" s="555" t="s">
        <v>5395</v>
      </c>
    </row>
    <row r="2994" spans="3:13" ht="18.75">
      <c r="C2994" s="735"/>
      <c r="D2994" s="555" t="s">
        <v>5513</v>
      </c>
      <c r="E2994" s="757">
        <v>0.9375</v>
      </c>
      <c r="F2994" s="731">
        <v>44814</v>
      </c>
      <c r="G2994" s="730">
        <v>0.93819444444444444</v>
      </c>
      <c r="H2994" s="555" t="s">
        <v>5514</v>
      </c>
      <c r="I2994" s="555" t="s">
        <v>3143</v>
      </c>
      <c r="J2994" s="555" t="s">
        <v>3402</v>
      </c>
      <c r="K2994" s="555" t="s">
        <v>2118</v>
      </c>
      <c r="L2994" s="555" t="s">
        <v>45</v>
      </c>
      <c r="M2994" s="555" t="s">
        <v>45</v>
      </c>
    </row>
    <row r="2995" spans="3:13" ht="18.75">
      <c r="C2995" s="735"/>
      <c r="D2995" s="555" t="s">
        <v>5515</v>
      </c>
      <c r="E2995" s="757">
        <v>0.7631944444444444</v>
      </c>
      <c r="F2995" s="731">
        <v>44815</v>
      </c>
      <c r="G2995" s="730">
        <v>0.93611111111111101</v>
      </c>
      <c r="H2995" s="555" t="s">
        <v>5516</v>
      </c>
      <c r="I2995" s="555" t="s">
        <v>1352</v>
      </c>
      <c r="J2995" s="555" t="s">
        <v>3411</v>
      </c>
      <c r="K2995" s="555" t="s">
        <v>2483</v>
      </c>
      <c r="L2995" s="555" t="s">
        <v>3055</v>
      </c>
      <c r="M2995" s="555" t="s">
        <v>3055</v>
      </c>
    </row>
    <row r="2996" spans="3:13" ht="18.75">
      <c r="C2996" s="735"/>
      <c r="D2996" s="555" t="s">
        <v>5517</v>
      </c>
      <c r="E2996" s="757">
        <v>0.82986111111111116</v>
      </c>
      <c r="F2996" s="731">
        <v>44817</v>
      </c>
      <c r="G2996" s="730">
        <v>0.8340277777777777</v>
      </c>
      <c r="H2996" s="555" t="s">
        <v>4402</v>
      </c>
      <c r="I2996" s="555" t="s">
        <v>1352</v>
      </c>
      <c r="J2996" s="555" t="s">
        <v>3411</v>
      </c>
      <c r="K2996" s="555" t="s">
        <v>22</v>
      </c>
      <c r="L2996" s="555" t="s">
        <v>3055</v>
      </c>
      <c r="M2996" s="555" t="s">
        <v>3055</v>
      </c>
    </row>
    <row r="2997" spans="3:13" ht="18.75">
      <c r="C2997" s="735"/>
      <c r="D2997" s="555" t="s">
        <v>5518</v>
      </c>
      <c r="E2997" s="757">
        <v>0.82777777777777783</v>
      </c>
      <c r="F2997" s="731">
        <v>44819</v>
      </c>
      <c r="G2997" s="730">
        <v>0.8965277777777777</v>
      </c>
      <c r="H2997" s="555" t="s">
        <v>5516</v>
      </c>
      <c r="I2997" s="555" t="s">
        <v>1352</v>
      </c>
      <c r="J2997" s="555" t="s">
        <v>3411</v>
      </c>
      <c r="K2997" s="555" t="s">
        <v>2483</v>
      </c>
      <c r="L2997" s="555" t="s">
        <v>3055</v>
      </c>
      <c r="M2997" s="555" t="s">
        <v>3055</v>
      </c>
    </row>
    <row r="2998" spans="3:13" ht="18.75">
      <c r="C2998" s="735"/>
      <c r="D2998" s="555" t="s">
        <v>5519</v>
      </c>
      <c r="E2998" s="757">
        <v>0.77083333333333337</v>
      </c>
      <c r="F2998" s="731">
        <v>44820</v>
      </c>
      <c r="G2998" s="730">
        <v>0.96875</v>
      </c>
      <c r="H2998" s="555" t="s">
        <v>5520</v>
      </c>
      <c r="I2998" s="555" t="s">
        <v>124</v>
      </c>
      <c r="J2998" s="555" t="s">
        <v>3611</v>
      </c>
      <c r="K2998" s="555" t="s">
        <v>2483</v>
      </c>
      <c r="L2998" s="555" t="s">
        <v>3055</v>
      </c>
      <c r="M2998" s="555" t="s">
        <v>3055</v>
      </c>
    </row>
    <row r="2999" spans="3:13" ht="18.75">
      <c r="C2999" s="735"/>
      <c r="D2999" s="555" t="s">
        <v>5519</v>
      </c>
      <c r="E2999" s="757">
        <v>0.75</v>
      </c>
      <c r="F2999" s="731">
        <v>44820</v>
      </c>
      <c r="G2999" s="730">
        <v>0.75069444444444444</v>
      </c>
      <c r="H2999" s="555" t="s">
        <v>2865</v>
      </c>
      <c r="I2999" s="555" t="s">
        <v>124</v>
      </c>
      <c r="J2999" s="555" t="s">
        <v>3356</v>
      </c>
      <c r="K2999" s="555" t="s">
        <v>2118</v>
      </c>
      <c r="L2999" s="555" t="s">
        <v>3055</v>
      </c>
      <c r="M2999" s="555" t="s">
        <v>3055</v>
      </c>
    </row>
    <row r="3000" spans="3:13" ht="18.75">
      <c r="C3000" s="735"/>
      <c r="D3000" s="555" t="s">
        <v>5521</v>
      </c>
      <c r="E3000" s="757">
        <v>0.67986111111111114</v>
      </c>
      <c r="F3000" s="731">
        <v>44825</v>
      </c>
      <c r="G3000" s="730">
        <v>0.75069444444444444</v>
      </c>
      <c r="H3000" s="555" t="s">
        <v>5522</v>
      </c>
      <c r="I3000" s="555" t="s">
        <v>5015</v>
      </c>
      <c r="J3000" s="555" t="s">
        <v>3356</v>
      </c>
      <c r="K3000" s="555" t="s">
        <v>100</v>
      </c>
      <c r="L3000" s="555" t="s">
        <v>45</v>
      </c>
      <c r="M3000" s="555" t="s">
        <v>5523</v>
      </c>
    </row>
    <row r="3001" spans="3:13" ht="18.75">
      <c r="C3001" s="735"/>
      <c r="D3001" s="555" t="s">
        <v>5524</v>
      </c>
      <c r="E3001" s="757">
        <v>0.16527777777777777</v>
      </c>
      <c r="F3001" s="731">
        <v>44826</v>
      </c>
      <c r="G3001" s="730">
        <v>0.16666666666666666</v>
      </c>
      <c r="H3001" s="555" t="s">
        <v>5525</v>
      </c>
      <c r="I3001" s="555" t="s">
        <v>63</v>
      </c>
      <c r="J3001" s="555" t="s">
        <v>3402</v>
      </c>
      <c r="K3001" s="555" t="s">
        <v>100</v>
      </c>
      <c r="L3001" s="555" t="s">
        <v>45</v>
      </c>
      <c r="M3001" s="555" t="s">
        <v>45</v>
      </c>
    </row>
    <row r="3002" spans="3:13" ht="18.75">
      <c r="C3002" s="735"/>
      <c r="D3002" s="555" t="s">
        <v>5524</v>
      </c>
      <c r="E3002" s="757">
        <v>0.41805555555555557</v>
      </c>
      <c r="F3002" s="731">
        <v>44826</v>
      </c>
      <c r="G3002" s="730">
        <v>0.45833333333333331</v>
      </c>
      <c r="H3002" s="555" t="s">
        <v>2967</v>
      </c>
      <c r="I3002" s="555" t="s">
        <v>124</v>
      </c>
      <c r="J3002" s="555" t="s">
        <v>3356</v>
      </c>
      <c r="K3002" s="555" t="s">
        <v>100</v>
      </c>
      <c r="L3002" s="555" t="s">
        <v>3081</v>
      </c>
      <c r="M3002" s="555" t="s">
        <v>3055</v>
      </c>
    </row>
    <row r="3003" spans="3:13" ht="18.75">
      <c r="C3003" s="735"/>
      <c r="D3003" s="555" t="s">
        <v>5526</v>
      </c>
      <c r="E3003" s="757">
        <v>0.4236111111111111</v>
      </c>
      <c r="F3003" s="731">
        <v>44827</v>
      </c>
      <c r="G3003" s="730">
        <v>0.45833333333333331</v>
      </c>
      <c r="H3003" s="555" t="s">
        <v>2967</v>
      </c>
      <c r="I3003" s="555" t="s">
        <v>124</v>
      </c>
      <c r="J3003" s="555" t="s">
        <v>3356</v>
      </c>
      <c r="K3003" s="555" t="s">
        <v>100</v>
      </c>
      <c r="L3003" s="555" t="s">
        <v>3082</v>
      </c>
      <c r="M3003" s="555" t="s">
        <v>3055</v>
      </c>
    </row>
    <row r="3004" spans="3:13" ht="18.75">
      <c r="C3004" s="735"/>
      <c r="D3004" s="555" t="s">
        <v>5527</v>
      </c>
      <c r="E3004" s="757">
        <v>0.36249999999999999</v>
      </c>
      <c r="F3004" s="731">
        <v>44831</v>
      </c>
      <c r="G3004" s="730">
        <v>0.41666666666666669</v>
      </c>
      <c r="H3004" s="555" t="s">
        <v>2967</v>
      </c>
      <c r="I3004" s="555" t="s">
        <v>124</v>
      </c>
      <c r="J3004" s="555" t="s">
        <v>3356</v>
      </c>
      <c r="K3004" s="555" t="s">
        <v>100</v>
      </c>
      <c r="L3004" s="555" t="s">
        <v>3081</v>
      </c>
      <c r="M3004" s="555" t="s">
        <v>3055</v>
      </c>
    </row>
    <row r="3005" spans="3:13" ht="18.75">
      <c r="C3005" s="735"/>
      <c r="D3005" s="555" t="s">
        <v>5528</v>
      </c>
      <c r="E3005" s="757">
        <v>0.625</v>
      </c>
      <c r="F3005" s="731">
        <v>44837</v>
      </c>
      <c r="G3005" s="730">
        <v>0.66180555555555554</v>
      </c>
      <c r="H3005" s="555" t="s">
        <v>2903</v>
      </c>
      <c r="I3005" s="555" t="s">
        <v>63</v>
      </c>
      <c r="J3005" s="555" t="s">
        <v>2753</v>
      </c>
      <c r="K3005" s="555" t="s">
        <v>22</v>
      </c>
      <c r="L3005" s="555" t="s">
        <v>45</v>
      </c>
      <c r="M3005" s="555" t="s">
        <v>5530</v>
      </c>
    </row>
    <row r="3006" spans="3:13" ht="18.75">
      <c r="C3006" s="735"/>
      <c r="D3006" s="555" t="s">
        <v>5528</v>
      </c>
      <c r="E3006" s="757">
        <v>0.75</v>
      </c>
      <c r="F3006" s="731">
        <v>44834</v>
      </c>
      <c r="G3006" s="730">
        <v>0.63888888888888895</v>
      </c>
      <c r="H3006" s="555" t="s">
        <v>2901</v>
      </c>
      <c r="I3006" s="555" t="s">
        <v>63</v>
      </c>
      <c r="J3006" s="555" t="s">
        <v>2753</v>
      </c>
      <c r="K3006" s="555" t="s">
        <v>22</v>
      </c>
      <c r="L3006" s="555" t="s">
        <v>5307</v>
      </c>
      <c r="M3006" s="555" t="s">
        <v>5532</v>
      </c>
    </row>
    <row r="3007" spans="3:13" ht="18.75">
      <c r="C3007" s="735"/>
      <c r="D3007" s="555" t="s">
        <v>5528</v>
      </c>
      <c r="E3007" s="757">
        <v>0.625</v>
      </c>
      <c r="F3007" s="731" t="s">
        <v>45</v>
      </c>
      <c r="G3007" s="730" t="s">
        <v>45</v>
      </c>
      <c r="H3007" s="555" t="s">
        <v>5533</v>
      </c>
      <c r="I3007" s="555" t="s">
        <v>63</v>
      </c>
      <c r="J3007" s="555" t="s">
        <v>2753</v>
      </c>
      <c r="K3007" s="555" t="s">
        <v>22</v>
      </c>
      <c r="L3007" s="555" t="s">
        <v>5534</v>
      </c>
      <c r="M3007" s="555" t="s">
        <v>5535</v>
      </c>
    </row>
    <row r="3008" spans="3:13" ht="18.75">
      <c r="C3008" s="735"/>
      <c r="D3008" s="555" t="s">
        <v>5536</v>
      </c>
      <c r="E3008" s="757">
        <v>0.16666666666666666</v>
      </c>
      <c r="F3008" s="731">
        <v>44837</v>
      </c>
      <c r="G3008" s="730">
        <v>0</v>
      </c>
      <c r="H3008" s="555" t="s">
        <v>5537</v>
      </c>
      <c r="I3008" s="555" t="s">
        <v>63</v>
      </c>
      <c r="J3008" s="555" t="s">
        <v>2753</v>
      </c>
      <c r="K3008" s="555" t="s">
        <v>22</v>
      </c>
      <c r="L3008" s="555" t="s">
        <v>3055</v>
      </c>
      <c r="M3008" s="555" t="s">
        <v>3055</v>
      </c>
    </row>
    <row r="3009" spans="3:13" ht="18.75">
      <c r="C3009" s="735"/>
      <c r="D3009" s="555" t="s">
        <v>5536</v>
      </c>
      <c r="E3009" s="757">
        <v>0.14375000000000002</v>
      </c>
      <c r="F3009" s="731" t="s">
        <v>45</v>
      </c>
      <c r="G3009" s="730" t="s">
        <v>45</v>
      </c>
      <c r="H3009" s="555" t="s">
        <v>4534</v>
      </c>
      <c r="I3009" s="555" t="s">
        <v>63</v>
      </c>
      <c r="J3009" s="555" t="s">
        <v>2753</v>
      </c>
      <c r="K3009" s="555" t="s">
        <v>22</v>
      </c>
      <c r="L3009" s="555" t="s">
        <v>3751</v>
      </c>
      <c r="M3009" s="555" t="s">
        <v>5538</v>
      </c>
    </row>
    <row r="3010" spans="3:13" ht="18.75">
      <c r="C3010" s="735"/>
      <c r="D3010" s="555" t="s">
        <v>5531</v>
      </c>
      <c r="E3010" s="757">
        <v>0.77083333333333337</v>
      </c>
      <c r="F3010" s="731">
        <v>44835</v>
      </c>
      <c r="G3010" s="730">
        <v>0.77500000000000002</v>
      </c>
      <c r="H3010" s="555" t="s">
        <v>2832</v>
      </c>
      <c r="I3010" s="555" t="s">
        <v>63</v>
      </c>
      <c r="J3010" s="555" t="s">
        <v>2753</v>
      </c>
      <c r="K3010" s="555" t="s">
        <v>22</v>
      </c>
      <c r="L3010" s="555" t="s">
        <v>45</v>
      </c>
      <c r="M3010" s="555" t="s">
        <v>5540</v>
      </c>
    </row>
    <row r="3011" spans="3:13" ht="18.75">
      <c r="C3011" s="735"/>
      <c r="D3011" s="555" t="s">
        <v>5531</v>
      </c>
      <c r="E3011" s="757">
        <v>0.57361111111111118</v>
      </c>
      <c r="F3011" s="731">
        <v>44834</v>
      </c>
      <c r="G3011" s="730">
        <v>0.75624999999999998</v>
      </c>
      <c r="H3011" s="555" t="s">
        <v>2896</v>
      </c>
      <c r="I3011" s="555" t="s">
        <v>63</v>
      </c>
      <c r="J3011" s="555" t="s">
        <v>2753</v>
      </c>
      <c r="K3011" s="555" t="s">
        <v>22</v>
      </c>
      <c r="L3011" s="555" t="s">
        <v>45</v>
      </c>
      <c r="M3011" s="555" t="s">
        <v>5541</v>
      </c>
    </row>
    <row r="3012" spans="3:13" ht="18.75">
      <c r="C3012" s="735"/>
      <c r="D3012" s="555" t="s">
        <v>5531</v>
      </c>
      <c r="E3012" s="757">
        <v>0.11458333333333333</v>
      </c>
      <c r="F3012" s="731">
        <v>44835</v>
      </c>
      <c r="G3012" s="730">
        <v>0.67708333333333337</v>
      </c>
      <c r="H3012" s="555" t="s">
        <v>2928</v>
      </c>
      <c r="I3012" s="555" t="s">
        <v>63</v>
      </c>
      <c r="J3012" s="555" t="s">
        <v>2753</v>
      </c>
      <c r="K3012" s="555" t="s">
        <v>22</v>
      </c>
      <c r="L3012" s="555" t="s">
        <v>45</v>
      </c>
      <c r="M3012" s="555" t="s">
        <v>5542</v>
      </c>
    </row>
    <row r="3013" spans="3:13" ht="18.75">
      <c r="C3013" s="735"/>
      <c r="D3013" s="555" t="s">
        <v>5531</v>
      </c>
      <c r="E3013" s="757">
        <v>0.45833333333333331</v>
      </c>
      <c r="F3013" s="731">
        <v>44834</v>
      </c>
      <c r="G3013" s="730">
        <v>0.5</v>
      </c>
      <c r="H3013" s="555" t="s">
        <v>2967</v>
      </c>
      <c r="I3013" s="555" t="s">
        <v>124</v>
      </c>
      <c r="J3013" s="555" t="s">
        <v>3356</v>
      </c>
      <c r="K3013" s="555" t="s">
        <v>100</v>
      </c>
      <c r="L3013" s="555" t="s">
        <v>3082</v>
      </c>
      <c r="M3013" s="555" t="s">
        <v>3055</v>
      </c>
    </row>
    <row r="3014" spans="3:13" ht="18.75">
      <c r="C3014" s="735"/>
      <c r="D3014" s="555" t="s">
        <v>5529</v>
      </c>
      <c r="E3014" s="757">
        <v>0.25</v>
      </c>
      <c r="F3014" s="731">
        <v>44838</v>
      </c>
      <c r="G3014" s="730">
        <v>0.29166666666666669</v>
      </c>
      <c r="H3014" s="555" t="s">
        <v>5544</v>
      </c>
      <c r="I3014" s="555" t="s">
        <v>63</v>
      </c>
      <c r="J3014" s="555" t="s">
        <v>3356</v>
      </c>
      <c r="K3014" s="555" t="s">
        <v>5545</v>
      </c>
      <c r="L3014" s="555" t="s">
        <v>3055</v>
      </c>
      <c r="M3014" s="555" t="s">
        <v>3055</v>
      </c>
    </row>
    <row r="3015" spans="3:13" ht="18.75">
      <c r="C3015" s="735"/>
      <c r="D3015" s="555" t="s">
        <v>5529</v>
      </c>
      <c r="E3015" s="757">
        <v>0.57291666666666663</v>
      </c>
      <c r="F3015" s="731">
        <v>44837</v>
      </c>
      <c r="G3015" s="730">
        <v>0.60416666666666663</v>
      </c>
      <c r="H3015" s="555" t="s">
        <v>2967</v>
      </c>
      <c r="I3015" s="555" t="s">
        <v>124</v>
      </c>
      <c r="J3015" s="555" t="s">
        <v>3356</v>
      </c>
      <c r="K3015" s="555" t="s">
        <v>100</v>
      </c>
      <c r="L3015" s="555" t="s">
        <v>3081</v>
      </c>
      <c r="M3015" s="555" t="s">
        <v>3055</v>
      </c>
    </row>
    <row r="3016" spans="3:13" ht="18.75">
      <c r="C3016" s="735"/>
      <c r="D3016" s="555" t="s">
        <v>5546</v>
      </c>
      <c r="E3016" s="757">
        <v>0.68263888888888891</v>
      </c>
      <c r="F3016" s="731">
        <v>44842</v>
      </c>
      <c r="G3016" s="730">
        <v>0.70138888888888884</v>
      </c>
      <c r="H3016" s="555" t="s">
        <v>5547</v>
      </c>
      <c r="I3016" s="555" t="s">
        <v>61</v>
      </c>
      <c r="J3016" s="555" t="s">
        <v>3874</v>
      </c>
      <c r="K3016" s="555" t="s">
        <v>5545</v>
      </c>
      <c r="L3016" s="555" t="s">
        <v>3093</v>
      </c>
      <c r="M3016" s="555" t="s">
        <v>3055</v>
      </c>
    </row>
    <row r="3017" spans="3:13" ht="18.75">
      <c r="C3017" s="735"/>
      <c r="D3017" s="555" t="s">
        <v>5548</v>
      </c>
      <c r="E3017" s="757">
        <v>0.65972222222222221</v>
      </c>
      <c r="F3017" s="731">
        <v>44844</v>
      </c>
      <c r="G3017" s="730">
        <v>0.67013888888888884</v>
      </c>
      <c r="H3017" s="555" t="s">
        <v>5549</v>
      </c>
      <c r="I3017" s="555" t="s">
        <v>5015</v>
      </c>
      <c r="J3017" s="555" t="s">
        <v>3356</v>
      </c>
      <c r="K3017" s="555" t="s">
        <v>100</v>
      </c>
      <c r="L3017" s="555" t="s">
        <v>45</v>
      </c>
      <c r="M3017" s="555" t="s">
        <v>3055</v>
      </c>
    </row>
    <row r="3018" spans="3:13" ht="18.75">
      <c r="C3018" s="735"/>
      <c r="D3018" s="555" t="s">
        <v>5550</v>
      </c>
      <c r="E3018" s="757">
        <v>0.41666666666666669</v>
      </c>
      <c r="F3018" s="731">
        <v>44847</v>
      </c>
      <c r="G3018" s="730">
        <v>0.45833333333333331</v>
      </c>
      <c r="H3018" s="555" t="s">
        <v>2967</v>
      </c>
      <c r="I3018" s="555" t="s">
        <v>124</v>
      </c>
      <c r="J3018" s="555" t="s">
        <v>3356</v>
      </c>
      <c r="K3018" s="555" t="s">
        <v>100</v>
      </c>
      <c r="L3018" s="555" t="s">
        <v>3081</v>
      </c>
      <c r="M3018" s="555" t="s">
        <v>3055</v>
      </c>
    </row>
    <row r="3019" spans="3:13" ht="18.75">
      <c r="C3019" s="735"/>
      <c r="D3019" s="555" t="s">
        <v>5551</v>
      </c>
      <c r="E3019" s="757">
        <v>0.55208333333333337</v>
      </c>
      <c r="F3019" s="731">
        <v>44848</v>
      </c>
      <c r="G3019" s="730">
        <v>0.73958333333333337</v>
      </c>
      <c r="H3019" s="555" t="s">
        <v>5552</v>
      </c>
      <c r="I3019" s="555" t="s">
        <v>61</v>
      </c>
      <c r="J3019" s="555" t="s">
        <v>2753</v>
      </c>
      <c r="K3019" s="555" t="s">
        <v>5553</v>
      </c>
      <c r="L3019" s="555" t="s">
        <v>45</v>
      </c>
      <c r="M3019" s="555" t="s">
        <v>5554</v>
      </c>
    </row>
    <row r="3020" spans="3:13" ht="18.75">
      <c r="C3020" s="735"/>
      <c r="D3020" s="555" t="s">
        <v>5551</v>
      </c>
      <c r="E3020" s="757">
        <v>0.5625</v>
      </c>
      <c r="F3020" s="731" t="s">
        <v>2768</v>
      </c>
      <c r="G3020" s="730" t="s">
        <v>45</v>
      </c>
      <c r="H3020" s="555" t="s">
        <v>5555</v>
      </c>
      <c r="I3020" s="555" t="s">
        <v>5556</v>
      </c>
      <c r="J3020" s="555" t="s">
        <v>5557</v>
      </c>
      <c r="K3020" s="555" t="s">
        <v>2952</v>
      </c>
      <c r="L3020" s="555" t="s">
        <v>3055</v>
      </c>
      <c r="M3020" s="555" t="s">
        <v>3055</v>
      </c>
    </row>
    <row r="3021" spans="3:13" ht="18.75">
      <c r="C3021" s="735"/>
      <c r="D3021" s="555" t="s">
        <v>5558</v>
      </c>
      <c r="E3021" s="757">
        <v>0.41111111111111115</v>
      </c>
      <c r="F3021" s="731">
        <v>44849</v>
      </c>
      <c r="G3021" s="730">
        <v>0.43263888888888885</v>
      </c>
      <c r="H3021" s="555" t="s">
        <v>3424</v>
      </c>
      <c r="I3021" s="555" t="s">
        <v>124</v>
      </c>
      <c r="J3021" s="555" t="s">
        <v>3447</v>
      </c>
      <c r="K3021" s="555" t="s">
        <v>2764</v>
      </c>
      <c r="L3021" s="555" t="s">
        <v>3055</v>
      </c>
      <c r="M3021" s="555" t="s">
        <v>3055</v>
      </c>
    </row>
    <row r="3022" spans="3:13" ht="18.75">
      <c r="C3022" s="735"/>
      <c r="D3022" s="555" t="s">
        <v>5558</v>
      </c>
      <c r="E3022" s="757">
        <v>0.83611111111111114</v>
      </c>
      <c r="F3022" s="731">
        <v>44852</v>
      </c>
      <c r="G3022" s="730">
        <v>0.66875000000000007</v>
      </c>
      <c r="H3022" s="555" t="s">
        <v>4790</v>
      </c>
      <c r="I3022" s="555" t="s">
        <v>63</v>
      </c>
      <c r="J3022" s="555" t="s">
        <v>3411</v>
      </c>
      <c r="K3022" s="555" t="s">
        <v>2764</v>
      </c>
      <c r="L3022" s="555" t="s">
        <v>5560</v>
      </c>
      <c r="M3022" s="555" t="s">
        <v>5561</v>
      </c>
    </row>
    <row r="3023" spans="3:13" ht="18.75">
      <c r="C3023" s="735"/>
      <c r="D3023" s="555" t="s">
        <v>5559</v>
      </c>
      <c r="E3023" s="757">
        <v>0.6333333333333333</v>
      </c>
      <c r="F3023" s="731" t="s">
        <v>2768</v>
      </c>
      <c r="G3023" s="730" t="s">
        <v>45</v>
      </c>
      <c r="H3023" s="555" t="s">
        <v>5549</v>
      </c>
      <c r="I3023" s="555" t="s">
        <v>5015</v>
      </c>
      <c r="J3023" s="555" t="s">
        <v>3356</v>
      </c>
      <c r="K3023" s="555" t="s">
        <v>100</v>
      </c>
      <c r="L3023" s="555" t="s">
        <v>45</v>
      </c>
      <c r="M3023" s="555" t="s">
        <v>45</v>
      </c>
    </row>
    <row r="3024" spans="3:13" ht="18.75">
      <c r="C3024" s="735"/>
      <c r="D3024" s="555" t="s">
        <v>5562</v>
      </c>
      <c r="E3024" s="757">
        <v>0.46875</v>
      </c>
      <c r="F3024" s="731">
        <v>44855</v>
      </c>
      <c r="G3024" s="730">
        <v>0.47083333333333338</v>
      </c>
      <c r="H3024" s="555" t="s">
        <v>5563</v>
      </c>
      <c r="I3024" s="555" t="s">
        <v>124</v>
      </c>
      <c r="J3024" s="555" t="s">
        <v>3402</v>
      </c>
      <c r="K3024" s="555" t="s">
        <v>5545</v>
      </c>
      <c r="L3024" s="555" t="s">
        <v>3055</v>
      </c>
      <c r="M3024" s="555" t="s">
        <v>3055</v>
      </c>
    </row>
    <row r="3025" spans="3:13" ht="18.75">
      <c r="C3025" s="735"/>
      <c r="D3025" s="555" t="s">
        <v>5564</v>
      </c>
      <c r="E3025" s="757">
        <v>0</v>
      </c>
      <c r="F3025" s="731">
        <v>44862</v>
      </c>
      <c r="G3025" s="730">
        <v>0</v>
      </c>
      <c r="H3025" s="555" t="s">
        <v>5566</v>
      </c>
      <c r="I3025" s="555" t="s">
        <v>61</v>
      </c>
      <c r="J3025" s="555" t="s">
        <v>5557</v>
      </c>
      <c r="K3025" s="555" t="s">
        <v>2952</v>
      </c>
      <c r="L3025" s="555" t="s">
        <v>3055</v>
      </c>
      <c r="M3025" s="555" t="s">
        <v>3055</v>
      </c>
    </row>
    <row r="3026" spans="3:13" ht="18.75">
      <c r="C3026" s="735"/>
      <c r="D3026" s="555" t="s">
        <v>5564</v>
      </c>
      <c r="E3026" s="757">
        <v>0.68680555555555556</v>
      </c>
      <c r="F3026" s="731">
        <v>44858</v>
      </c>
      <c r="G3026" s="730">
        <v>0.75347222222222221</v>
      </c>
      <c r="H3026" s="555" t="s">
        <v>5567</v>
      </c>
      <c r="I3026" s="555" t="s">
        <v>5179</v>
      </c>
      <c r="J3026" s="555" t="s">
        <v>3411</v>
      </c>
      <c r="K3026" s="555" t="s">
        <v>2764</v>
      </c>
      <c r="L3026" s="555" t="s">
        <v>5568</v>
      </c>
      <c r="M3026" s="555" t="s">
        <v>5569</v>
      </c>
    </row>
    <row r="3027" spans="3:13" ht="18.75">
      <c r="C3027" s="735"/>
      <c r="D3027" s="555" t="s">
        <v>5570</v>
      </c>
      <c r="E3027" s="757">
        <v>7.2916666666666671E-2</v>
      </c>
      <c r="F3027" s="731">
        <v>44859</v>
      </c>
      <c r="G3027" s="730">
        <v>0.57638888888888895</v>
      </c>
      <c r="H3027" s="555" t="s">
        <v>2809</v>
      </c>
      <c r="I3027" s="555" t="s">
        <v>1352</v>
      </c>
      <c r="J3027" s="555" t="s">
        <v>2753</v>
      </c>
      <c r="K3027" s="555" t="s">
        <v>2764</v>
      </c>
      <c r="L3027" s="555" t="s">
        <v>45</v>
      </c>
      <c r="M3027" s="555" t="s">
        <v>5571</v>
      </c>
    </row>
    <row r="3028" spans="3:13" ht="18.75">
      <c r="C3028" s="735"/>
      <c r="D3028" s="555" t="s">
        <v>5572</v>
      </c>
      <c r="E3028" s="757">
        <v>0.81388888888888899</v>
      </c>
      <c r="F3028" s="731">
        <v>44860</v>
      </c>
      <c r="G3028" s="730">
        <v>0.85972222222222217</v>
      </c>
      <c r="H3028" s="555" t="s">
        <v>2919</v>
      </c>
      <c r="I3028" s="555" t="s">
        <v>1352</v>
      </c>
      <c r="J3028" s="555" t="s">
        <v>3387</v>
      </c>
      <c r="K3028" s="555" t="s">
        <v>2764</v>
      </c>
      <c r="L3028" s="555" t="s">
        <v>3055</v>
      </c>
      <c r="M3028" s="555" t="s">
        <v>3055</v>
      </c>
    </row>
    <row r="3029" spans="3:13" ht="18.75">
      <c r="C3029" s="735"/>
      <c r="D3029" s="555" t="s">
        <v>5573</v>
      </c>
      <c r="E3029" s="757">
        <v>6.9444444444444447E-4</v>
      </c>
      <c r="F3029" s="731">
        <v>44861</v>
      </c>
      <c r="G3029" s="730">
        <v>0.54166666666666663</v>
      </c>
      <c r="H3029" s="555" t="s">
        <v>3405</v>
      </c>
      <c r="I3029" s="555" t="s">
        <v>63</v>
      </c>
      <c r="J3029" s="555" t="s">
        <v>3356</v>
      </c>
      <c r="K3029" s="555" t="s">
        <v>100</v>
      </c>
      <c r="L3029" s="555" t="s">
        <v>45</v>
      </c>
      <c r="M3029" s="555" t="s">
        <v>3055</v>
      </c>
    </row>
    <row r="3030" spans="3:13" ht="18.75">
      <c r="C3030" s="735"/>
      <c r="D3030" s="555" t="s">
        <v>5565</v>
      </c>
      <c r="E3030" s="757">
        <v>0.59444444444444444</v>
      </c>
      <c r="F3030" s="731">
        <v>44862</v>
      </c>
      <c r="G3030" s="730">
        <v>0.625</v>
      </c>
      <c r="H3030" s="555" t="s">
        <v>2967</v>
      </c>
      <c r="I3030" s="555" t="s">
        <v>124</v>
      </c>
      <c r="J3030" s="555" t="s">
        <v>3356</v>
      </c>
      <c r="K3030" s="555" t="s">
        <v>100</v>
      </c>
      <c r="L3030" s="555" t="s">
        <v>3082</v>
      </c>
      <c r="M3030" s="555" t="s">
        <v>3055</v>
      </c>
    </row>
    <row r="3031" spans="3:13" ht="18.75">
      <c r="C3031" s="735"/>
      <c r="D3031" s="555" t="s">
        <v>5574</v>
      </c>
      <c r="E3031" s="757">
        <v>0.8847222222222223</v>
      </c>
      <c r="F3031" s="731">
        <v>44865</v>
      </c>
      <c r="G3031" s="730">
        <v>0.92638888888888893</v>
      </c>
      <c r="H3031" s="555" t="s">
        <v>2866</v>
      </c>
      <c r="I3031" s="555" t="s">
        <v>63</v>
      </c>
      <c r="J3031" s="555" t="s">
        <v>3356</v>
      </c>
      <c r="K3031" s="555" t="s">
        <v>5545</v>
      </c>
      <c r="L3031" s="555" t="s">
        <v>45</v>
      </c>
      <c r="M3031" s="555" t="s">
        <v>3055</v>
      </c>
    </row>
    <row r="3032" spans="3:13" ht="18.75">
      <c r="C3032" s="735"/>
      <c r="D3032" s="555" t="s">
        <v>5575</v>
      </c>
      <c r="E3032" s="757">
        <v>0.63263888888888886</v>
      </c>
      <c r="F3032" s="731">
        <v>44867</v>
      </c>
      <c r="G3032" s="730">
        <v>0.64236111111111105</v>
      </c>
      <c r="H3032" s="555" t="s">
        <v>4185</v>
      </c>
      <c r="I3032" s="555" t="s">
        <v>1352</v>
      </c>
      <c r="J3032" s="555" t="s">
        <v>3402</v>
      </c>
      <c r="K3032" s="555" t="s">
        <v>2118</v>
      </c>
      <c r="L3032" s="555" t="s">
        <v>3055</v>
      </c>
      <c r="M3032" s="555" t="s">
        <v>3055</v>
      </c>
    </row>
    <row r="3033" spans="3:13" ht="18.75">
      <c r="C3033" s="735"/>
      <c r="D3033" s="555" t="s">
        <v>5576</v>
      </c>
      <c r="E3033" s="757">
        <v>0.50486111111111109</v>
      </c>
      <c r="F3033" s="731">
        <v>44868</v>
      </c>
      <c r="G3033" s="730">
        <v>0.6</v>
      </c>
      <c r="H3033" s="555" t="s">
        <v>5577</v>
      </c>
      <c r="I3033" s="555" t="s">
        <v>124</v>
      </c>
      <c r="J3033" s="555" t="s">
        <v>3411</v>
      </c>
      <c r="K3033" s="555" t="s">
        <v>2483</v>
      </c>
      <c r="L3033" s="555" t="s">
        <v>3055</v>
      </c>
      <c r="M3033" s="555" t="s">
        <v>3055</v>
      </c>
    </row>
    <row r="3034" spans="3:13" ht="18.75">
      <c r="C3034" s="735"/>
      <c r="D3034" s="555" t="s">
        <v>5578</v>
      </c>
      <c r="E3034" s="757">
        <v>0.83680555555555547</v>
      </c>
      <c r="F3034" s="731">
        <v>44872</v>
      </c>
      <c r="G3034" s="730">
        <v>0.375</v>
      </c>
      <c r="H3034" s="555" t="s">
        <v>5580</v>
      </c>
      <c r="I3034" s="555" t="s">
        <v>124</v>
      </c>
      <c r="J3034" s="555" t="s">
        <v>2753</v>
      </c>
      <c r="K3034" s="555" t="s">
        <v>22</v>
      </c>
      <c r="L3034" s="555" t="s">
        <v>45</v>
      </c>
      <c r="M3034" s="555" t="s">
        <v>5581</v>
      </c>
    </row>
    <row r="3035" spans="3:13" ht="18.75">
      <c r="C3035" s="735"/>
      <c r="D3035" s="555" t="s">
        <v>5582</v>
      </c>
      <c r="E3035" s="757">
        <v>0.54166666666666663</v>
      </c>
      <c r="F3035" s="731">
        <v>44873</v>
      </c>
      <c r="G3035" s="730">
        <v>0.29166666666666669</v>
      </c>
      <c r="H3035" s="555" t="s">
        <v>5584</v>
      </c>
      <c r="I3035" s="555" t="s">
        <v>3143</v>
      </c>
      <c r="J3035" s="555" t="s">
        <v>2753</v>
      </c>
      <c r="K3035" s="555" t="s">
        <v>22</v>
      </c>
      <c r="L3035" s="555" t="s">
        <v>45</v>
      </c>
      <c r="M3035" s="555" t="s">
        <v>5585</v>
      </c>
    </row>
    <row r="3036" spans="3:13" ht="18.75">
      <c r="C3036" s="735"/>
      <c r="D3036" s="555" t="s">
        <v>5582</v>
      </c>
      <c r="E3036" s="757">
        <v>0.83124999999999993</v>
      </c>
      <c r="F3036" s="731" t="s">
        <v>45</v>
      </c>
      <c r="G3036" s="730" t="s">
        <v>45</v>
      </c>
      <c r="H3036" s="555" t="s">
        <v>5586</v>
      </c>
      <c r="I3036" s="555" t="s">
        <v>3143</v>
      </c>
      <c r="J3036" s="555" t="s">
        <v>2753</v>
      </c>
      <c r="K3036" s="555" t="s">
        <v>22</v>
      </c>
      <c r="L3036" s="555" t="s">
        <v>45</v>
      </c>
      <c r="M3036" s="555" t="s">
        <v>4894</v>
      </c>
    </row>
    <row r="3037" spans="3:13" ht="18.75">
      <c r="C3037" s="735"/>
      <c r="D3037" s="555" t="s">
        <v>5582</v>
      </c>
      <c r="E3037" s="757">
        <v>0.79166666666666663</v>
      </c>
      <c r="F3037" s="731" t="s">
        <v>45</v>
      </c>
      <c r="G3037" s="730" t="s">
        <v>45</v>
      </c>
      <c r="H3037" s="555" t="s">
        <v>3554</v>
      </c>
      <c r="I3037" s="555" t="s">
        <v>4935</v>
      </c>
      <c r="J3037" s="555" t="s">
        <v>2753</v>
      </c>
      <c r="K3037" s="555" t="s">
        <v>22</v>
      </c>
      <c r="L3037" s="555" t="s">
        <v>45</v>
      </c>
      <c r="M3037" s="555" t="s">
        <v>3240</v>
      </c>
    </row>
    <row r="3038" spans="3:13" ht="18.75">
      <c r="C3038" s="735"/>
      <c r="D3038" s="555" t="s">
        <v>5583</v>
      </c>
      <c r="E3038" s="757">
        <v>0.65833333333333333</v>
      </c>
      <c r="F3038" s="731">
        <v>44873</v>
      </c>
      <c r="G3038" s="730">
        <v>0.68125000000000002</v>
      </c>
      <c r="H3038" s="555" t="s">
        <v>5587</v>
      </c>
      <c r="I3038" s="555" t="s">
        <v>1352</v>
      </c>
      <c r="J3038" s="555" t="s">
        <v>3411</v>
      </c>
      <c r="K3038" s="555" t="s">
        <v>2483</v>
      </c>
      <c r="L3038" s="555" t="s">
        <v>3055</v>
      </c>
      <c r="M3038" s="555" t="s">
        <v>3055</v>
      </c>
    </row>
    <row r="3039" spans="3:13" ht="18.75">
      <c r="C3039" s="735"/>
      <c r="D3039" s="555" t="s">
        <v>5588</v>
      </c>
      <c r="E3039" s="757">
        <v>0.46319444444444446</v>
      </c>
      <c r="F3039" s="731">
        <v>44875</v>
      </c>
      <c r="G3039" s="730">
        <v>0.5</v>
      </c>
      <c r="H3039" s="555" t="s">
        <v>4740</v>
      </c>
      <c r="I3039" s="555" t="s">
        <v>63</v>
      </c>
      <c r="J3039" s="555" t="s">
        <v>3447</v>
      </c>
      <c r="K3039" s="555" t="s">
        <v>2905</v>
      </c>
      <c r="L3039" s="555" t="s">
        <v>3055</v>
      </c>
      <c r="M3039" s="555" t="s">
        <v>3055</v>
      </c>
    </row>
    <row r="3040" spans="3:13" ht="18.75">
      <c r="C3040" s="735"/>
      <c r="D3040" s="555" t="s">
        <v>5588</v>
      </c>
      <c r="E3040" s="757">
        <v>0.25</v>
      </c>
      <c r="F3040" s="731">
        <v>44876</v>
      </c>
      <c r="G3040" s="730">
        <v>0.3659722222222222</v>
      </c>
      <c r="H3040" s="555" t="s">
        <v>2903</v>
      </c>
      <c r="I3040" s="555" t="s">
        <v>63</v>
      </c>
      <c r="J3040" s="555" t="s">
        <v>2753</v>
      </c>
      <c r="K3040" s="555" t="s">
        <v>22</v>
      </c>
      <c r="L3040" s="555" t="s">
        <v>45</v>
      </c>
      <c r="M3040" s="555" t="s">
        <v>3058</v>
      </c>
    </row>
    <row r="3041" spans="3:13" ht="18.75">
      <c r="C3041" s="735"/>
      <c r="D3041" s="555" t="s">
        <v>5589</v>
      </c>
      <c r="E3041" s="757">
        <v>4.1666666666666664E-2</v>
      </c>
      <c r="F3041" s="731">
        <v>44876</v>
      </c>
      <c r="G3041" s="730">
        <v>0.20833333333333334</v>
      </c>
      <c r="H3041" s="555" t="s">
        <v>2849</v>
      </c>
      <c r="I3041" s="555" t="s">
        <v>124</v>
      </c>
      <c r="J3041" s="555" t="s">
        <v>3356</v>
      </c>
      <c r="K3041" s="555" t="s">
        <v>100</v>
      </c>
      <c r="L3041" s="555" t="s">
        <v>45</v>
      </c>
      <c r="M3041" s="555" t="s">
        <v>45</v>
      </c>
    </row>
    <row r="3042" spans="3:13" ht="18.75">
      <c r="C3042" s="735"/>
      <c r="D3042" s="555" t="s">
        <v>5589</v>
      </c>
      <c r="E3042" s="757">
        <v>7.013888888888889E-2</v>
      </c>
      <c r="F3042" s="731">
        <v>44879</v>
      </c>
      <c r="G3042" s="730">
        <v>0.58333333333333337</v>
      </c>
      <c r="H3042" s="555" t="s">
        <v>5591</v>
      </c>
      <c r="I3042" s="555" t="s">
        <v>3143</v>
      </c>
      <c r="J3042" s="555" t="s">
        <v>3356</v>
      </c>
      <c r="K3042" s="555" t="s">
        <v>5075</v>
      </c>
      <c r="L3042" s="555" t="s">
        <v>3754</v>
      </c>
      <c r="M3042" s="555" t="s">
        <v>5592</v>
      </c>
    </row>
    <row r="3043" spans="3:13" ht="18.75">
      <c r="C3043" s="735"/>
      <c r="D3043" s="555" t="s">
        <v>5593</v>
      </c>
      <c r="E3043" s="757">
        <v>0.4284722222222222</v>
      </c>
      <c r="F3043" s="731">
        <v>44880</v>
      </c>
      <c r="G3043" s="730">
        <v>0.46249999999999997</v>
      </c>
      <c r="H3043" s="555" t="s">
        <v>3758</v>
      </c>
      <c r="I3043" s="555" t="s">
        <v>61</v>
      </c>
      <c r="J3043" s="555" t="s">
        <v>3387</v>
      </c>
      <c r="K3043" s="555" t="s">
        <v>2764</v>
      </c>
      <c r="L3043" s="555" t="s">
        <v>3055</v>
      </c>
      <c r="M3043" s="555" t="s">
        <v>3055</v>
      </c>
    </row>
    <row r="3044" spans="3:13" ht="18.75">
      <c r="C3044" s="735"/>
      <c r="D3044" s="555" t="s">
        <v>5593</v>
      </c>
      <c r="E3044" s="757">
        <v>4.1666666666666664E-2</v>
      </c>
      <c r="F3044" s="731">
        <v>44880</v>
      </c>
      <c r="G3044" s="730">
        <v>0.25</v>
      </c>
      <c r="H3044" s="555" t="s">
        <v>5594</v>
      </c>
      <c r="I3044" s="555" t="s">
        <v>124</v>
      </c>
      <c r="J3044" s="555" t="s">
        <v>3356</v>
      </c>
      <c r="K3044" s="555" t="s">
        <v>100</v>
      </c>
      <c r="L3044" s="555" t="s">
        <v>3055</v>
      </c>
      <c r="M3044" s="555" t="s">
        <v>3055</v>
      </c>
    </row>
    <row r="3045" spans="3:13" ht="18.75">
      <c r="C3045" s="735"/>
      <c r="D3045" s="555" t="s">
        <v>5595</v>
      </c>
      <c r="E3045" s="757">
        <v>0.1875</v>
      </c>
      <c r="F3045" s="731">
        <v>44883</v>
      </c>
      <c r="G3045" s="730">
        <v>0.2076388888888889</v>
      </c>
      <c r="H3045" s="555" t="s">
        <v>5596</v>
      </c>
      <c r="I3045" s="555" t="s">
        <v>124</v>
      </c>
      <c r="J3045" s="555" t="s">
        <v>3356</v>
      </c>
      <c r="K3045" s="555" t="s">
        <v>5075</v>
      </c>
      <c r="L3045" s="555" t="s">
        <v>3175</v>
      </c>
      <c r="M3045" s="555" t="s">
        <v>5597</v>
      </c>
    </row>
    <row r="3046" spans="3:13" ht="18.75">
      <c r="C3046" s="735"/>
      <c r="D3046" s="555" t="s">
        <v>5598</v>
      </c>
      <c r="E3046" s="757">
        <v>0.41736111111111113</v>
      </c>
      <c r="F3046" s="731">
        <v>44887</v>
      </c>
      <c r="G3046" s="730">
        <v>0.4465277777777778</v>
      </c>
      <c r="H3046" s="555" t="s">
        <v>5599</v>
      </c>
      <c r="I3046" s="555" t="s">
        <v>61</v>
      </c>
      <c r="J3046" s="555" t="s">
        <v>3387</v>
      </c>
      <c r="K3046" s="555" t="s">
        <v>2764</v>
      </c>
      <c r="L3046" s="555" t="s">
        <v>3055</v>
      </c>
      <c r="M3046" s="555" t="s">
        <v>3055</v>
      </c>
    </row>
    <row r="3047" spans="3:13" ht="18.75">
      <c r="C3047" s="735"/>
      <c r="D3047" s="555" t="s">
        <v>5600</v>
      </c>
      <c r="E3047" s="757">
        <v>0.29375000000000001</v>
      </c>
      <c r="F3047" s="731">
        <v>44888</v>
      </c>
      <c r="G3047" s="730">
        <v>0.37291666666666662</v>
      </c>
      <c r="H3047" s="555" t="s">
        <v>4185</v>
      </c>
      <c r="I3047" s="555" t="s">
        <v>1352</v>
      </c>
      <c r="J3047" s="555" t="s">
        <v>3402</v>
      </c>
      <c r="K3047" s="555" t="s">
        <v>2118</v>
      </c>
      <c r="L3047" s="555" t="s">
        <v>3055</v>
      </c>
      <c r="M3047" s="555" t="s">
        <v>3055</v>
      </c>
    </row>
    <row r="3048" spans="3:13" ht="18.75">
      <c r="C3048" s="735"/>
      <c r="D3048" s="555" t="s">
        <v>5600</v>
      </c>
      <c r="E3048" s="757">
        <v>0.42708333333333331</v>
      </c>
      <c r="F3048" s="731">
        <v>44888</v>
      </c>
      <c r="G3048" s="730">
        <v>0.58958333333333335</v>
      </c>
      <c r="H3048" s="555" t="s">
        <v>3903</v>
      </c>
      <c r="I3048" s="555" t="s">
        <v>124</v>
      </c>
      <c r="J3048" s="555" t="s">
        <v>2910</v>
      </c>
      <c r="K3048" s="555" t="s">
        <v>5075</v>
      </c>
      <c r="L3048" s="555" t="s">
        <v>3055</v>
      </c>
      <c r="M3048" s="555" t="s">
        <v>3055</v>
      </c>
    </row>
    <row r="3049" spans="3:13" ht="18.75">
      <c r="C3049" s="735"/>
      <c r="D3049" s="555" t="s">
        <v>5600</v>
      </c>
      <c r="E3049" s="757">
        <v>0.53194444444444444</v>
      </c>
      <c r="F3049" s="731">
        <v>44888</v>
      </c>
      <c r="G3049" s="730">
        <v>0.55486111111111114</v>
      </c>
      <c r="H3049" s="555" t="s">
        <v>3307</v>
      </c>
      <c r="I3049" s="555" t="s">
        <v>3143</v>
      </c>
      <c r="J3049" s="555" t="s">
        <v>3387</v>
      </c>
      <c r="K3049" s="555" t="s">
        <v>2764</v>
      </c>
      <c r="L3049" s="555" t="s">
        <v>3055</v>
      </c>
      <c r="M3049" s="555" t="s">
        <v>3055</v>
      </c>
    </row>
    <row r="3050" spans="3:13" ht="18.75">
      <c r="C3050" s="735"/>
      <c r="D3050" s="555" t="s">
        <v>5600</v>
      </c>
      <c r="E3050" s="757">
        <v>0.39583333333333331</v>
      </c>
      <c r="F3050" s="731" t="s">
        <v>45</v>
      </c>
      <c r="G3050" s="730" t="s">
        <v>45</v>
      </c>
      <c r="H3050" s="555" t="s">
        <v>5601</v>
      </c>
      <c r="I3050" s="555" t="s">
        <v>3143</v>
      </c>
      <c r="J3050" s="555" t="s">
        <v>2944</v>
      </c>
      <c r="K3050" s="555" t="s">
        <v>2952</v>
      </c>
      <c r="L3050" s="555" t="s">
        <v>45</v>
      </c>
      <c r="M3050" s="555" t="s">
        <v>45</v>
      </c>
    </row>
    <row r="3051" spans="3:13" ht="18.75">
      <c r="C3051" s="735"/>
      <c r="D3051" s="555" t="s">
        <v>5602</v>
      </c>
      <c r="E3051" s="757">
        <v>6.9444444444444434E-2</v>
      </c>
      <c r="F3051" s="731">
        <v>44889</v>
      </c>
      <c r="G3051" s="730">
        <v>7.2916666666666671E-2</v>
      </c>
      <c r="H3051" s="555" t="s">
        <v>4119</v>
      </c>
      <c r="I3051" s="555" t="s">
        <v>124</v>
      </c>
      <c r="J3051" s="555" t="s">
        <v>3356</v>
      </c>
      <c r="K3051" s="555" t="s">
        <v>100</v>
      </c>
      <c r="L3051" s="555" t="s">
        <v>3055</v>
      </c>
      <c r="M3051" s="555" t="s">
        <v>3055</v>
      </c>
    </row>
    <row r="3052" spans="3:13" ht="18.75">
      <c r="C3052" s="735"/>
      <c r="D3052" s="555" t="s">
        <v>5603</v>
      </c>
      <c r="E3052" s="757">
        <v>0.20833333333333334</v>
      </c>
      <c r="F3052" s="731">
        <v>44890</v>
      </c>
      <c r="G3052" s="730">
        <v>0.33333333333333331</v>
      </c>
      <c r="H3052" s="555" t="s">
        <v>2951</v>
      </c>
      <c r="I3052" s="555" t="s">
        <v>124</v>
      </c>
      <c r="J3052" s="555" t="s">
        <v>3356</v>
      </c>
      <c r="K3052" s="555" t="s">
        <v>5075</v>
      </c>
      <c r="L3052" s="555" t="s">
        <v>3055</v>
      </c>
      <c r="M3052" s="555" t="s">
        <v>3055</v>
      </c>
    </row>
    <row r="3053" spans="3:13" ht="18.75">
      <c r="C3053" s="735"/>
      <c r="D3053" s="555" t="s">
        <v>5604</v>
      </c>
      <c r="E3053" s="757">
        <v>0.72777777777777775</v>
      </c>
      <c r="F3053" s="731">
        <v>44892</v>
      </c>
      <c r="G3053" s="730">
        <v>0.99861111111111101</v>
      </c>
      <c r="H3053" s="555" t="s">
        <v>5605</v>
      </c>
      <c r="I3053" s="555" t="s">
        <v>3143</v>
      </c>
      <c r="J3053" s="555" t="s">
        <v>2753</v>
      </c>
      <c r="K3053" s="555" t="s">
        <v>2483</v>
      </c>
      <c r="L3053" s="555" t="s">
        <v>3637</v>
      </c>
      <c r="M3053" s="555" t="s">
        <v>5606</v>
      </c>
    </row>
    <row r="3054" spans="3:13" ht="18.75">
      <c r="C3054" s="735"/>
      <c r="D3054" s="555" t="s">
        <v>5607</v>
      </c>
      <c r="E3054" s="757">
        <v>4.7222222222222221E-2</v>
      </c>
      <c r="F3054" s="731">
        <v>44893</v>
      </c>
      <c r="G3054" s="730">
        <v>9.9999999999999992E-2</v>
      </c>
      <c r="H3054" s="555" t="s">
        <v>4119</v>
      </c>
      <c r="I3054" s="555" t="s">
        <v>124</v>
      </c>
      <c r="J3054" s="555" t="s">
        <v>2910</v>
      </c>
      <c r="K3054" s="555" t="s">
        <v>5075</v>
      </c>
      <c r="L3054" s="555" t="s">
        <v>45</v>
      </c>
      <c r="M3054" s="555" t="s">
        <v>5608</v>
      </c>
    </row>
    <row r="3055" spans="3:13" ht="18.75">
      <c r="C3055" s="735"/>
      <c r="D3055" s="555" t="s">
        <v>5609</v>
      </c>
      <c r="E3055" s="757">
        <v>0.78125</v>
      </c>
      <c r="F3055" s="731">
        <v>44897</v>
      </c>
      <c r="G3055" s="730">
        <v>0.16666666666666666</v>
      </c>
      <c r="H3055" s="555" t="s">
        <v>5611</v>
      </c>
      <c r="I3055" s="555" t="s">
        <v>61</v>
      </c>
      <c r="J3055" s="555" t="s">
        <v>2753</v>
      </c>
      <c r="K3055" s="555" t="s">
        <v>22</v>
      </c>
      <c r="L3055" s="555" t="s">
        <v>5612</v>
      </c>
      <c r="M3055" s="555" t="s">
        <v>5613</v>
      </c>
    </row>
    <row r="3056" spans="3:13" ht="18.75">
      <c r="C3056" s="735"/>
      <c r="D3056" s="555" t="s">
        <v>5609</v>
      </c>
      <c r="E3056" s="757">
        <v>0.10902777777777778</v>
      </c>
      <c r="F3056" s="731">
        <v>44895</v>
      </c>
      <c r="G3056" s="730">
        <v>0.25694444444444448</v>
      </c>
      <c r="H3056" s="555" t="s">
        <v>3719</v>
      </c>
      <c r="I3056" s="555" t="s">
        <v>61</v>
      </c>
      <c r="J3056" s="555" t="s">
        <v>3387</v>
      </c>
      <c r="K3056" s="555" t="s">
        <v>2764</v>
      </c>
      <c r="L3056" s="555" t="s">
        <v>3055</v>
      </c>
      <c r="M3056" s="555" t="s">
        <v>3055</v>
      </c>
    </row>
    <row r="3057" spans="3:13" ht="18.75">
      <c r="C3057" s="735"/>
      <c r="D3057" s="555" t="s">
        <v>5609</v>
      </c>
      <c r="E3057" s="757">
        <v>0.14930555555555555</v>
      </c>
      <c r="F3057" s="731">
        <v>44895</v>
      </c>
      <c r="G3057" s="730">
        <v>0.38194444444444442</v>
      </c>
      <c r="H3057" s="555" t="s">
        <v>5614</v>
      </c>
      <c r="I3057" s="555" t="s">
        <v>63</v>
      </c>
      <c r="J3057" s="555" t="s">
        <v>2753</v>
      </c>
      <c r="K3057" s="555" t="s">
        <v>22</v>
      </c>
      <c r="L3057" s="555" t="s">
        <v>5615</v>
      </c>
      <c r="M3057" s="555" t="s">
        <v>5616</v>
      </c>
    </row>
    <row r="3058" spans="3:13" ht="18.75">
      <c r="C3058" s="735"/>
      <c r="D3058" s="555" t="s">
        <v>5617</v>
      </c>
      <c r="E3058" s="757">
        <v>0.82708333333333339</v>
      </c>
      <c r="F3058" s="731" t="s">
        <v>45</v>
      </c>
      <c r="G3058" s="730" t="s">
        <v>45</v>
      </c>
      <c r="H3058" s="555" t="s">
        <v>5618</v>
      </c>
      <c r="I3058" s="555" t="s">
        <v>63</v>
      </c>
      <c r="J3058" s="555" t="s">
        <v>3463</v>
      </c>
      <c r="K3058" s="555" t="s">
        <v>100</v>
      </c>
      <c r="L3058" s="555" t="s">
        <v>5619</v>
      </c>
      <c r="M3058" s="555" t="s">
        <v>3881</v>
      </c>
    </row>
    <row r="3059" spans="3:13" ht="18.75">
      <c r="C3059" s="735"/>
      <c r="D3059" s="555" t="s">
        <v>5620</v>
      </c>
      <c r="E3059" s="757">
        <v>0.76388888888888884</v>
      </c>
      <c r="F3059" s="731">
        <v>44900</v>
      </c>
      <c r="G3059" s="730">
        <v>0.78819444444444453</v>
      </c>
      <c r="H3059" s="555" t="s">
        <v>5081</v>
      </c>
      <c r="I3059" s="555" t="s">
        <v>3143</v>
      </c>
      <c r="J3059" s="555" t="s">
        <v>3402</v>
      </c>
      <c r="K3059" s="555" t="s">
        <v>2118</v>
      </c>
      <c r="L3059" s="555" t="s">
        <v>3055</v>
      </c>
      <c r="M3059" s="555" t="s">
        <v>3055</v>
      </c>
    </row>
    <row r="3060" spans="3:13" ht="18.75">
      <c r="C3060" s="735"/>
      <c r="D3060" s="555" t="s">
        <v>5620</v>
      </c>
      <c r="E3060" s="757">
        <v>0.375</v>
      </c>
      <c r="F3060" s="731">
        <v>44900</v>
      </c>
      <c r="G3060" s="730">
        <v>0.54166666666666663</v>
      </c>
      <c r="H3060" s="555" t="s">
        <v>5181</v>
      </c>
      <c r="I3060" s="555" t="s">
        <v>61</v>
      </c>
      <c r="J3060" s="555" t="s">
        <v>3463</v>
      </c>
      <c r="K3060" s="555" t="s">
        <v>100</v>
      </c>
      <c r="L3060" s="555" t="s">
        <v>3055</v>
      </c>
      <c r="M3060" s="555" t="s">
        <v>3055</v>
      </c>
    </row>
    <row r="3061" spans="3:13" ht="18.75">
      <c r="C3061" s="735"/>
      <c r="D3061" s="555" t="s">
        <v>5621</v>
      </c>
      <c r="E3061" s="757">
        <v>0.3923611111111111</v>
      </c>
      <c r="F3061" s="731" t="s">
        <v>45</v>
      </c>
      <c r="G3061" s="730" t="s">
        <v>45</v>
      </c>
      <c r="H3061" s="555" t="s">
        <v>3616</v>
      </c>
      <c r="I3061" s="555" t="s">
        <v>124</v>
      </c>
      <c r="J3061" s="555" t="s">
        <v>3402</v>
      </c>
      <c r="K3061" s="555" t="s">
        <v>2118</v>
      </c>
      <c r="L3061" s="555" t="s">
        <v>3055</v>
      </c>
      <c r="M3061" s="555" t="s">
        <v>3055</v>
      </c>
    </row>
    <row r="3062" spans="3:13" ht="18.75">
      <c r="C3062" s="735"/>
      <c r="D3062" s="555" t="s">
        <v>5621</v>
      </c>
      <c r="E3062" s="757">
        <v>0.35138888888888892</v>
      </c>
      <c r="F3062" s="731">
        <v>44901</v>
      </c>
      <c r="G3062" s="730">
        <v>0.35416666666666669</v>
      </c>
      <c r="H3062" s="555" t="s">
        <v>5622</v>
      </c>
      <c r="I3062" s="555" t="s">
        <v>63</v>
      </c>
      <c r="J3062" s="555" t="s">
        <v>3402</v>
      </c>
      <c r="K3062" s="555" t="s">
        <v>100</v>
      </c>
      <c r="L3062" s="555" t="s">
        <v>3055</v>
      </c>
      <c r="M3062" s="555" t="s">
        <v>3055</v>
      </c>
    </row>
    <row r="3063" spans="3:13" ht="18.75">
      <c r="C3063" s="735"/>
      <c r="D3063" s="555" t="s">
        <v>5621</v>
      </c>
      <c r="E3063" s="757">
        <v>0</v>
      </c>
      <c r="F3063" s="731">
        <v>44901</v>
      </c>
      <c r="G3063" s="730">
        <v>6.9444444444444447E-4</v>
      </c>
      <c r="H3063" s="555" t="s">
        <v>5623</v>
      </c>
      <c r="I3063" s="555" t="s">
        <v>63</v>
      </c>
      <c r="J3063" s="555" t="s">
        <v>3402</v>
      </c>
      <c r="K3063" s="555" t="s">
        <v>2118</v>
      </c>
      <c r="L3063" s="555" t="s">
        <v>3055</v>
      </c>
      <c r="M3063" s="555" t="s">
        <v>3055</v>
      </c>
    </row>
    <row r="3064" spans="3:13" ht="18.75">
      <c r="C3064" s="735"/>
      <c r="D3064" s="555" t="s">
        <v>5621</v>
      </c>
      <c r="E3064" s="757">
        <v>0</v>
      </c>
      <c r="F3064" s="731">
        <v>44901</v>
      </c>
      <c r="G3064" s="730">
        <v>6.9444444444444447E-4</v>
      </c>
      <c r="H3064" s="555" t="s">
        <v>5624</v>
      </c>
      <c r="I3064" s="555" t="s">
        <v>63</v>
      </c>
      <c r="J3064" s="555" t="s">
        <v>3402</v>
      </c>
      <c r="K3064" s="555" t="s">
        <v>2118</v>
      </c>
      <c r="L3064" s="555" t="s">
        <v>3055</v>
      </c>
      <c r="M3064" s="555" t="s">
        <v>3055</v>
      </c>
    </row>
    <row r="3065" spans="3:13" ht="18.75">
      <c r="C3065" s="735"/>
      <c r="D3065" s="555" t="s">
        <v>5621</v>
      </c>
      <c r="E3065" s="757">
        <v>0.53125</v>
      </c>
      <c r="F3065" s="731" t="s">
        <v>45</v>
      </c>
      <c r="G3065" s="730" t="s">
        <v>45</v>
      </c>
      <c r="H3065" s="555" t="s">
        <v>2895</v>
      </c>
      <c r="I3065" s="555" t="s">
        <v>3143</v>
      </c>
      <c r="J3065" s="555" t="s">
        <v>3402</v>
      </c>
      <c r="K3065" s="555" t="s">
        <v>2118</v>
      </c>
      <c r="L3065" s="555" t="s">
        <v>5625</v>
      </c>
      <c r="M3065" s="555" t="s">
        <v>45</v>
      </c>
    </row>
    <row r="3066" spans="3:13" ht="18.75">
      <c r="C3066" s="735"/>
      <c r="D3066" s="555" t="s">
        <v>5621</v>
      </c>
      <c r="E3066" s="757">
        <v>0.34375</v>
      </c>
      <c r="F3066" s="731">
        <v>44901</v>
      </c>
      <c r="G3066" s="730">
        <v>0.51041666666666663</v>
      </c>
      <c r="H3066" s="555" t="s">
        <v>3245</v>
      </c>
      <c r="I3066" s="555" t="s">
        <v>3143</v>
      </c>
      <c r="J3066" s="555" t="s">
        <v>3402</v>
      </c>
      <c r="K3066" s="555" t="s">
        <v>2118</v>
      </c>
      <c r="L3066" s="555" t="s">
        <v>5626</v>
      </c>
      <c r="M3066" s="555" t="s">
        <v>45</v>
      </c>
    </row>
    <row r="3067" spans="3:13" ht="18.75">
      <c r="C3067" s="735"/>
      <c r="D3067" s="555" t="s">
        <v>5627</v>
      </c>
      <c r="E3067" s="757">
        <v>0.56597222222222221</v>
      </c>
      <c r="F3067" s="731">
        <v>44902</v>
      </c>
      <c r="G3067" s="730">
        <v>0.56944444444444442</v>
      </c>
      <c r="H3067" s="555" t="s">
        <v>4928</v>
      </c>
      <c r="I3067" s="555" t="s">
        <v>5174</v>
      </c>
      <c r="J3067" s="555" t="s">
        <v>3402</v>
      </c>
      <c r="K3067" s="555" t="s">
        <v>2118</v>
      </c>
      <c r="L3067" s="555" t="s">
        <v>3055</v>
      </c>
      <c r="M3067" s="555" t="s">
        <v>3055</v>
      </c>
    </row>
    <row r="3068" spans="3:13" ht="18.75">
      <c r="C3068" s="735"/>
      <c r="D3068" s="555" t="s">
        <v>5627</v>
      </c>
      <c r="E3068" s="757">
        <v>0.6958333333333333</v>
      </c>
      <c r="F3068" s="731">
        <v>44902</v>
      </c>
      <c r="G3068" s="730">
        <v>0.875</v>
      </c>
      <c r="H3068" s="555" t="s">
        <v>2832</v>
      </c>
      <c r="I3068" s="555" t="s">
        <v>63</v>
      </c>
      <c r="J3068" s="555" t="s">
        <v>3402</v>
      </c>
      <c r="K3068" s="555" t="s">
        <v>2118</v>
      </c>
      <c r="L3068" s="555" t="s">
        <v>3055</v>
      </c>
      <c r="M3068" s="555" t="s">
        <v>3055</v>
      </c>
    </row>
    <row r="3069" spans="3:13" ht="18.75">
      <c r="C3069" s="735"/>
      <c r="D3069" s="555" t="s">
        <v>5628</v>
      </c>
      <c r="E3069" s="757">
        <v>0.52500000000000002</v>
      </c>
      <c r="F3069" s="731" t="s">
        <v>45</v>
      </c>
      <c r="G3069" s="730" t="s">
        <v>45</v>
      </c>
      <c r="H3069" s="555" t="s">
        <v>5629</v>
      </c>
      <c r="I3069" s="555" t="s">
        <v>3143</v>
      </c>
      <c r="J3069" s="555" t="s">
        <v>3402</v>
      </c>
      <c r="K3069" s="555" t="s">
        <v>2118</v>
      </c>
      <c r="L3069" s="555" t="s">
        <v>3055</v>
      </c>
      <c r="M3069" s="555" t="s">
        <v>3055</v>
      </c>
    </row>
    <row r="3070" spans="3:13" ht="18.75">
      <c r="C3070" s="735"/>
      <c r="D3070" s="555" t="s">
        <v>5630</v>
      </c>
      <c r="E3070" s="757">
        <v>5.1388888888888894E-2</v>
      </c>
      <c r="F3070" s="731">
        <v>44905</v>
      </c>
      <c r="G3070" s="730">
        <v>8.4722222222222213E-2</v>
      </c>
      <c r="H3070" s="555" t="s">
        <v>5143</v>
      </c>
      <c r="I3070" s="555" t="s">
        <v>61</v>
      </c>
      <c r="J3070" s="555" t="s">
        <v>3447</v>
      </c>
      <c r="K3070" s="555" t="s">
        <v>2483</v>
      </c>
      <c r="L3070" s="555" t="s">
        <v>3055</v>
      </c>
      <c r="M3070" s="555" t="s">
        <v>3055</v>
      </c>
    </row>
    <row r="3071" spans="3:13" ht="18.75">
      <c r="C3071" s="735"/>
      <c r="D3071" s="555" t="s">
        <v>5630</v>
      </c>
      <c r="E3071" s="757">
        <v>0.45833333333333331</v>
      </c>
      <c r="F3071" s="731">
        <v>44907</v>
      </c>
      <c r="G3071" s="730">
        <v>0.25</v>
      </c>
      <c r="H3071" s="555" t="s">
        <v>5632</v>
      </c>
      <c r="I3071" s="555" t="s">
        <v>63</v>
      </c>
      <c r="J3071" s="555" t="s">
        <v>3402</v>
      </c>
      <c r="K3071" s="555" t="s">
        <v>2118</v>
      </c>
      <c r="L3071" s="555" t="s">
        <v>3055</v>
      </c>
      <c r="M3071" s="555" t="s">
        <v>3055</v>
      </c>
    </row>
    <row r="3072" spans="3:13" ht="18.75">
      <c r="C3072" s="735"/>
      <c r="D3072" s="555" t="s">
        <v>5633</v>
      </c>
      <c r="E3072" s="757">
        <v>0.99930555555555556</v>
      </c>
      <c r="F3072" s="731">
        <v>44909</v>
      </c>
      <c r="G3072" s="730">
        <v>0.15208333333333332</v>
      </c>
      <c r="H3072" s="555" t="s">
        <v>5635</v>
      </c>
      <c r="I3072" s="555" t="s">
        <v>124</v>
      </c>
      <c r="J3072" s="555" t="s">
        <v>3356</v>
      </c>
      <c r="K3072" s="555" t="s">
        <v>100</v>
      </c>
      <c r="L3072" s="555" t="s">
        <v>5105</v>
      </c>
      <c r="M3072" s="555" t="s">
        <v>5636</v>
      </c>
    </row>
    <row r="3073" spans="3:13" ht="18.75">
      <c r="C3073" s="735"/>
      <c r="D3073" s="555" t="s">
        <v>5634</v>
      </c>
      <c r="E3073" s="757">
        <v>0.4458333333333333</v>
      </c>
      <c r="F3073" s="731">
        <v>44909</v>
      </c>
      <c r="G3073" s="730">
        <v>0.50347222222222221</v>
      </c>
      <c r="H3073" s="555" t="s">
        <v>3470</v>
      </c>
      <c r="I3073" s="555" t="s">
        <v>63</v>
      </c>
      <c r="J3073" s="555" t="s">
        <v>3387</v>
      </c>
      <c r="K3073" s="555" t="s">
        <v>2764</v>
      </c>
      <c r="L3073" s="555" t="s">
        <v>3055</v>
      </c>
      <c r="M3073" s="555" t="s">
        <v>3055</v>
      </c>
    </row>
    <row r="3074" spans="3:13" ht="18.75">
      <c r="C3074" s="735"/>
      <c r="D3074" s="555" t="s">
        <v>5634</v>
      </c>
      <c r="E3074" s="757">
        <v>0.47430555555555554</v>
      </c>
      <c r="F3074" s="731" t="s">
        <v>45</v>
      </c>
      <c r="G3074" s="730" t="s">
        <v>45</v>
      </c>
      <c r="H3074" s="555" t="s">
        <v>3561</v>
      </c>
      <c r="I3074" s="555" t="s">
        <v>3143</v>
      </c>
      <c r="J3074" s="555" t="s">
        <v>3356</v>
      </c>
      <c r="K3074" s="555" t="s">
        <v>100</v>
      </c>
      <c r="L3074" s="555" t="s">
        <v>3055</v>
      </c>
      <c r="M3074" s="555" t="s">
        <v>3055</v>
      </c>
    </row>
    <row r="3075" spans="3:13" ht="18.75">
      <c r="C3075" s="735"/>
      <c r="D3075" s="555" t="s">
        <v>5634</v>
      </c>
      <c r="E3075" s="757">
        <v>0.53611111111111109</v>
      </c>
      <c r="F3075" s="731" t="s">
        <v>45</v>
      </c>
      <c r="G3075" s="730" t="s">
        <v>45</v>
      </c>
      <c r="H3075" s="555" t="s">
        <v>5637</v>
      </c>
      <c r="I3075" s="555" t="s">
        <v>124</v>
      </c>
      <c r="J3075" s="555" t="s">
        <v>3402</v>
      </c>
      <c r="K3075" s="555" t="s">
        <v>2118</v>
      </c>
      <c r="L3075" s="555" t="s">
        <v>45</v>
      </c>
      <c r="M3075" s="555" t="s">
        <v>45</v>
      </c>
    </row>
    <row r="3076" spans="3:13" ht="18.75">
      <c r="C3076" s="735"/>
      <c r="D3076" s="555" t="s">
        <v>5638</v>
      </c>
      <c r="E3076" s="757">
        <v>0.22916666666666666</v>
      </c>
      <c r="F3076" s="731">
        <v>44910</v>
      </c>
      <c r="G3076" s="730">
        <v>0.2298611111111111</v>
      </c>
      <c r="H3076" s="555" t="s">
        <v>2831</v>
      </c>
      <c r="I3076" s="555" t="s">
        <v>124</v>
      </c>
      <c r="J3076" s="555" t="s">
        <v>3356</v>
      </c>
      <c r="K3076" s="555" t="s">
        <v>100</v>
      </c>
      <c r="L3076" s="555" t="s">
        <v>3055</v>
      </c>
      <c r="M3076" s="555" t="s">
        <v>3055</v>
      </c>
    </row>
    <row r="3077" spans="3:13" ht="18.75">
      <c r="C3077" s="735"/>
      <c r="D3077" s="555" t="s">
        <v>5639</v>
      </c>
      <c r="E3077" s="757">
        <v>0.97916666666666663</v>
      </c>
      <c r="F3077" s="731">
        <v>44913</v>
      </c>
      <c r="G3077" s="730">
        <v>0.97291666666666676</v>
      </c>
      <c r="H3077" s="555" t="s">
        <v>5641</v>
      </c>
      <c r="I3077" s="555" t="s">
        <v>61</v>
      </c>
      <c r="J3077" s="555" t="s">
        <v>3451</v>
      </c>
      <c r="K3077" s="555" t="s">
        <v>22</v>
      </c>
      <c r="L3077" s="555" t="s">
        <v>45</v>
      </c>
      <c r="M3077" s="555" t="s">
        <v>5642</v>
      </c>
    </row>
    <row r="3078" spans="3:13" ht="18.75">
      <c r="C3078" s="735"/>
      <c r="D3078" s="555" t="s">
        <v>5643</v>
      </c>
      <c r="E3078" s="757">
        <v>0.82291666666666663</v>
      </c>
      <c r="F3078" s="731">
        <v>44912</v>
      </c>
      <c r="G3078" s="730">
        <v>0.82361111111111107</v>
      </c>
      <c r="H3078" s="555" t="s">
        <v>5644</v>
      </c>
      <c r="I3078" s="555" t="s">
        <v>1352</v>
      </c>
      <c r="J3078" s="555" t="s">
        <v>3402</v>
      </c>
      <c r="K3078" s="555" t="s">
        <v>2118</v>
      </c>
      <c r="L3078" s="555" t="s">
        <v>3055</v>
      </c>
      <c r="M3078" s="555" t="s">
        <v>3055</v>
      </c>
    </row>
    <row r="3079" spans="3:13" ht="18.75">
      <c r="C3079" s="735"/>
      <c r="D3079" s="555" t="s">
        <v>5645</v>
      </c>
      <c r="E3079" s="757">
        <v>0.37777777777777777</v>
      </c>
      <c r="F3079" s="731">
        <v>44920</v>
      </c>
      <c r="G3079" s="730">
        <v>0</v>
      </c>
      <c r="H3079" s="555" t="s">
        <v>5647</v>
      </c>
      <c r="I3079" s="555" t="s">
        <v>63</v>
      </c>
      <c r="J3079" s="555" t="s">
        <v>3750</v>
      </c>
      <c r="K3079" s="555" t="s">
        <v>2483</v>
      </c>
      <c r="L3079" s="555" t="s">
        <v>5648</v>
      </c>
      <c r="M3079" s="555" t="s">
        <v>45</v>
      </c>
    </row>
    <row r="3080" spans="3:13" ht="18.75">
      <c r="C3080" s="735"/>
      <c r="D3080" s="555" t="s">
        <v>5645</v>
      </c>
      <c r="E3080" s="757">
        <v>0.87777777777777777</v>
      </c>
      <c r="F3080" s="731">
        <v>44917</v>
      </c>
      <c r="G3080" s="730">
        <v>0.90416666666666667</v>
      </c>
      <c r="H3080" s="555" t="s">
        <v>5089</v>
      </c>
      <c r="I3080" s="555" t="s">
        <v>1352</v>
      </c>
      <c r="J3080" s="555" t="s">
        <v>3447</v>
      </c>
      <c r="K3080" s="555" t="s">
        <v>2764</v>
      </c>
      <c r="L3080" s="555" t="s">
        <v>3055</v>
      </c>
      <c r="M3080" s="555" t="s">
        <v>3055</v>
      </c>
    </row>
    <row r="3081" spans="3:13" ht="18.75">
      <c r="C3081" s="735"/>
      <c r="D3081" s="555" t="s">
        <v>5649</v>
      </c>
      <c r="E3081" s="757">
        <v>0.25277777777777777</v>
      </c>
      <c r="F3081" s="731">
        <v>44918</v>
      </c>
      <c r="G3081" s="730">
        <v>0.27777777777777779</v>
      </c>
      <c r="H3081" s="555" t="s">
        <v>4185</v>
      </c>
      <c r="I3081" s="555" t="s">
        <v>1352</v>
      </c>
      <c r="J3081" s="555" t="s">
        <v>3402</v>
      </c>
      <c r="K3081" s="555" t="s">
        <v>2118</v>
      </c>
      <c r="L3081" s="555" t="s">
        <v>3055</v>
      </c>
      <c r="M3081" s="555" t="s">
        <v>3055</v>
      </c>
    </row>
    <row r="3082" spans="3:13" ht="18.75">
      <c r="C3082" s="735"/>
      <c r="D3082" s="555" t="s">
        <v>5649</v>
      </c>
      <c r="E3082" s="757">
        <v>0.60416666666666663</v>
      </c>
      <c r="F3082" s="731" t="s">
        <v>45</v>
      </c>
      <c r="G3082" s="730" t="s">
        <v>45</v>
      </c>
      <c r="H3082" s="555" t="s">
        <v>2868</v>
      </c>
      <c r="I3082" s="555" t="s">
        <v>61</v>
      </c>
      <c r="J3082" s="555" t="s">
        <v>3451</v>
      </c>
      <c r="K3082" s="555" t="s">
        <v>22</v>
      </c>
      <c r="L3082" s="555" t="s">
        <v>45</v>
      </c>
      <c r="M3082" s="555" t="s">
        <v>3295</v>
      </c>
    </row>
    <row r="3083" spans="3:13" ht="18.75">
      <c r="C3083" s="735"/>
      <c r="D3083" s="555" t="s">
        <v>5649</v>
      </c>
      <c r="E3083" s="757">
        <v>0.22222222222222221</v>
      </c>
      <c r="F3083" s="731" t="s">
        <v>45</v>
      </c>
      <c r="G3083" s="730" t="s">
        <v>45</v>
      </c>
      <c r="H3083" s="555" t="s">
        <v>3521</v>
      </c>
      <c r="I3083" s="555" t="s">
        <v>61</v>
      </c>
      <c r="J3083" s="555" t="s">
        <v>3451</v>
      </c>
      <c r="K3083" s="555" t="s">
        <v>22</v>
      </c>
      <c r="L3083" s="555" t="s">
        <v>45</v>
      </c>
      <c r="M3083" s="555" t="s">
        <v>5650</v>
      </c>
    </row>
    <row r="3084" spans="3:13" ht="18.75">
      <c r="C3084" s="735"/>
      <c r="D3084" s="555" t="s">
        <v>5649</v>
      </c>
      <c r="E3084" s="757">
        <v>0.40625</v>
      </c>
      <c r="F3084" s="731">
        <v>44918</v>
      </c>
      <c r="G3084" s="730">
        <v>0.70833333333333337</v>
      </c>
      <c r="H3084" s="555" t="s">
        <v>2928</v>
      </c>
      <c r="I3084" s="555" t="s">
        <v>63</v>
      </c>
      <c r="J3084" s="555" t="s">
        <v>3451</v>
      </c>
      <c r="K3084" s="555" t="s">
        <v>22</v>
      </c>
      <c r="L3084" s="555" t="s">
        <v>45</v>
      </c>
      <c r="M3084" s="555" t="s">
        <v>5651</v>
      </c>
    </row>
    <row r="3085" spans="3:13" ht="18.75">
      <c r="C3085" s="735"/>
      <c r="D3085" s="555" t="s">
        <v>5649</v>
      </c>
      <c r="E3085" s="757">
        <v>0.3125</v>
      </c>
      <c r="F3085" s="731">
        <v>44918</v>
      </c>
      <c r="G3085" s="730">
        <v>0.92569444444444438</v>
      </c>
      <c r="H3085" s="555" t="s">
        <v>2832</v>
      </c>
      <c r="I3085" s="555" t="s">
        <v>63</v>
      </c>
      <c r="J3085" s="555" t="s">
        <v>3451</v>
      </c>
      <c r="K3085" s="555" t="s">
        <v>22</v>
      </c>
      <c r="L3085" s="555" t="s">
        <v>45</v>
      </c>
      <c r="M3085" s="555" t="s">
        <v>5652</v>
      </c>
    </row>
    <row r="3086" spans="3:13" ht="18.75">
      <c r="C3086" s="735"/>
      <c r="D3086" s="555" t="s">
        <v>5649</v>
      </c>
      <c r="E3086" s="757">
        <v>0.35486111111111113</v>
      </c>
      <c r="F3086" s="731" t="s">
        <v>45</v>
      </c>
      <c r="G3086" s="730" t="s">
        <v>45</v>
      </c>
      <c r="H3086" s="555" t="s">
        <v>2935</v>
      </c>
      <c r="I3086" s="555" t="s">
        <v>63</v>
      </c>
      <c r="J3086" s="555" t="s">
        <v>3750</v>
      </c>
      <c r="K3086" s="555" t="s">
        <v>22</v>
      </c>
      <c r="L3086" s="555" t="s">
        <v>45</v>
      </c>
      <c r="M3086" s="555" t="s">
        <v>45</v>
      </c>
    </row>
    <row r="3087" spans="3:13" ht="18.75">
      <c r="C3087" s="735"/>
      <c r="D3087" s="555" t="s">
        <v>5649</v>
      </c>
      <c r="E3087" s="757">
        <v>0.12708333333333333</v>
      </c>
      <c r="F3087" s="731">
        <v>44918</v>
      </c>
      <c r="G3087" s="730">
        <v>0.52083333333333337</v>
      </c>
      <c r="H3087" s="555" t="s">
        <v>3167</v>
      </c>
      <c r="I3087" s="555" t="s">
        <v>63</v>
      </c>
      <c r="J3087" s="555" t="s">
        <v>3451</v>
      </c>
      <c r="K3087" s="555" t="s">
        <v>22</v>
      </c>
      <c r="L3087" s="555" t="s">
        <v>4496</v>
      </c>
      <c r="M3087" s="555" t="s">
        <v>5653</v>
      </c>
    </row>
    <row r="3088" spans="3:13" ht="18.75">
      <c r="C3088" s="735"/>
      <c r="D3088" s="555" t="s">
        <v>5649</v>
      </c>
      <c r="E3088" s="757">
        <v>0.30486111111111108</v>
      </c>
      <c r="F3088" s="731">
        <v>44918</v>
      </c>
      <c r="G3088" s="730">
        <v>0.32013888888888892</v>
      </c>
      <c r="H3088" s="555" t="s">
        <v>4726</v>
      </c>
      <c r="I3088" s="555" t="s">
        <v>63</v>
      </c>
      <c r="J3088" s="555" t="s">
        <v>3478</v>
      </c>
      <c r="K3088" s="555" t="s">
        <v>22</v>
      </c>
      <c r="L3088" s="555" t="s">
        <v>3055</v>
      </c>
      <c r="M3088" s="555" t="s">
        <v>3055</v>
      </c>
    </row>
    <row r="3089" spans="3:13" ht="18.75">
      <c r="C3089" s="735"/>
      <c r="D3089" s="555" t="s">
        <v>5654</v>
      </c>
      <c r="E3089" s="757">
        <v>0.26041666666666669</v>
      </c>
      <c r="F3089" s="731">
        <v>44920</v>
      </c>
      <c r="G3089" s="730">
        <v>0.375</v>
      </c>
      <c r="H3089" s="555" t="s">
        <v>2896</v>
      </c>
      <c r="I3089" s="555" t="s">
        <v>63</v>
      </c>
      <c r="J3089" s="555" t="s">
        <v>5655</v>
      </c>
      <c r="K3089" s="555" t="s">
        <v>22</v>
      </c>
      <c r="L3089" s="555" t="s">
        <v>5656</v>
      </c>
      <c r="M3089" s="555" t="s">
        <v>5657</v>
      </c>
    </row>
    <row r="3090" spans="3:13" ht="18.75">
      <c r="C3090" s="735"/>
      <c r="D3090" s="555" t="s">
        <v>5654</v>
      </c>
      <c r="E3090" s="757">
        <v>0.27430555555555552</v>
      </c>
      <c r="F3090" s="731">
        <v>44919</v>
      </c>
      <c r="G3090" s="730">
        <v>0.67361111111111116</v>
      </c>
      <c r="H3090" s="555" t="s">
        <v>2928</v>
      </c>
      <c r="I3090" s="555" t="s">
        <v>63</v>
      </c>
      <c r="J3090" s="555" t="s">
        <v>3750</v>
      </c>
      <c r="K3090" s="555" t="s">
        <v>2764</v>
      </c>
      <c r="L3090" s="555" t="s">
        <v>5658</v>
      </c>
      <c r="M3090" s="555" t="s">
        <v>4098</v>
      </c>
    </row>
    <row r="3091" spans="3:13" ht="18.75">
      <c r="C3091" s="735"/>
      <c r="D3091" s="555" t="s">
        <v>5654</v>
      </c>
      <c r="E3091" s="757">
        <v>0.19791666666666666</v>
      </c>
      <c r="F3091" s="731">
        <v>44919</v>
      </c>
      <c r="G3091" s="730">
        <v>0.65625</v>
      </c>
      <c r="H3091" s="555" t="s">
        <v>2832</v>
      </c>
      <c r="I3091" s="555" t="s">
        <v>63</v>
      </c>
      <c r="J3091" s="555" t="s">
        <v>3750</v>
      </c>
      <c r="K3091" s="555" t="s">
        <v>22</v>
      </c>
      <c r="L3091" s="555" t="s">
        <v>5307</v>
      </c>
      <c r="M3091" s="555" t="s">
        <v>5659</v>
      </c>
    </row>
    <row r="3092" spans="3:13" ht="18.75">
      <c r="C3092" s="735"/>
      <c r="D3092" s="555" t="s">
        <v>5654</v>
      </c>
      <c r="E3092" s="757">
        <v>0.375</v>
      </c>
      <c r="F3092" s="731">
        <v>44919</v>
      </c>
      <c r="G3092" s="730">
        <v>0.46875</v>
      </c>
      <c r="H3092" s="555" t="s">
        <v>3167</v>
      </c>
      <c r="I3092" s="555" t="s">
        <v>63</v>
      </c>
      <c r="J3092" s="555" t="s">
        <v>3451</v>
      </c>
      <c r="K3092" s="555" t="s">
        <v>22</v>
      </c>
      <c r="L3092" s="555" t="s">
        <v>3376</v>
      </c>
      <c r="M3092" s="555" t="s">
        <v>5660</v>
      </c>
    </row>
    <row r="3093" spans="3:13" ht="18.75">
      <c r="C3093" s="735"/>
      <c r="D3093" s="555" t="s">
        <v>5646</v>
      </c>
      <c r="E3093" s="757">
        <v>0.80902777777777779</v>
      </c>
      <c r="F3093" s="731">
        <v>44920</v>
      </c>
      <c r="G3093" s="730">
        <v>0.83819444444444446</v>
      </c>
      <c r="H3093" s="555" t="s">
        <v>3903</v>
      </c>
      <c r="I3093" s="555" t="s">
        <v>124</v>
      </c>
      <c r="J3093" s="555" t="s">
        <v>3356</v>
      </c>
      <c r="K3093" s="555" t="s">
        <v>100</v>
      </c>
      <c r="L3093" s="555" t="s">
        <v>3548</v>
      </c>
      <c r="M3093" s="555" t="s">
        <v>5661</v>
      </c>
    </row>
    <row r="3094" spans="3:13" ht="18.75">
      <c r="C3094" s="735"/>
      <c r="D3094" s="555" t="s">
        <v>5646</v>
      </c>
      <c r="E3094" s="757">
        <v>0.1125</v>
      </c>
      <c r="F3094" s="731">
        <v>44920</v>
      </c>
      <c r="G3094" s="730">
        <v>0.20486111111111113</v>
      </c>
      <c r="H3094" s="555" t="s">
        <v>3903</v>
      </c>
      <c r="I3094" s="555" t="s">
        <v>124</v>
      </c>
      <c r="J3094" s="555" t="s">
        <v>3356</v>
      </c>
      <c r="K3094" s="555" t="s">
        <v>100</v>
      </c>
      <c r="L3094" s="555" t="s">
        <v>4232</v>
      </c>
      <c r="M3094" s="555" t="s">
        <v>4012</v>
      </c>
    </row>
    <row r="3095" spans="3:13" ht="18.75">
      <c r="C3095" s="735"/>
      <c r="D3095" s="555" t="s">
        <v>5662</v>
      </c>
      <c r="E3095" s="757">
        <v>0.28750000000000003</v>
      </c>
      <c r="F3095" s="731">
        <v>44921</v>
      </c>
      <c r="G3095" s="730">
        <v>0.34652777777777777</v>
      </c>
      <c r="H3095" s="555" t="s">
        <v>2853</v>
      </c>
      <c r="I3095" s="555" t="s">
        <v>124</v>
      </c>
      <c r="J3095" s="555" t="s">
        <v>3356</v>
      </c>
      <c r="K3095" s="555" t="s">
        <v>100</v>
      </c>
      <c r="L3095" s="555" t="s">
        <v>45</v>
      </c>
      <c r="M3095" s="555" t="s">
        <v>45</v>
      </c>
    </row>
    <row r="3096" spans="3:13" ht="18.75">
      <c r="C3096" s="735"/>
      <c r="D3096" s="555" t="s">
        <v>5662</v>
      </c>
      <c r="E3096" s="757">
        <v>0.35416666666666669</v>
      </c>
      <c r="F3096" s="731">
        <v>44923</v>
      </c>
      <c r="G3096" s="730">
        <v>0.875</v>
      </c>
      <c r="H3096" s="555" t="s">
        <v>5664</v>
      </c>
      <c r="I3096" s="555" t="s">
        <v>124</v>
      </c>
      <c r="J3096" s="555" t="s">
        <v>3451</v>
      </c>
      <c r="K3096" s="555" t="s">
        <v>22</v>
      </c>
      <c r="L3096" s="555" t="s">
        <v>45</v>
      </c>
      <c r="M3096" s="555" t="s">
        <v>3615</v>
      </c>
    </row>
    <row r="3097" spans="3:13" ht="18.75">
      <c r="C3097" s="735"/>
      <c r="D3097" s="555" t="s">
        <v>5665</v>
      </c>
      <c r="E3097" s="757">
        <v>0.33333333333333331</v>
      </c>
      <c r="F3097" s="731">
        <v>44922</v>
      </c>
      <c r="G3097" s="730">
        <v>0.35416666666666669</v>
      </c>
      <c r="H3097" s="555" t="s">
        <v>4709</v>
      </c>
      <c r="I3097" s="555" t="s">
        <v>124</v>
      </c>
      <c r="J3097" s="555" t="s">
        <v>3356</v>
      </c>
      <c r="K3097" s="555" t="s">
        <v>100</v>
      </c>
      <c r="L3097" s="555" t="s">
        <v>3055</v>
      </c>
      <c r="M3097" s="555" t="s">
        <v>3055</v>
      </c>
    </row>
    <row r="3098" spans="3:13" ht="18.75">
      <c r="C3098" s="735"/>
      <c r="D3098" s="555" t="s">
        <v>5665</v>
      </c>
      <c r="E3098" s="757">
        <v>0.5625</v>
      </c>
      <c r="F3098" s="731">
        <v>44922</v>
      </c>
      <c r="G3098" s="730">
        <v>0.88611111111111107</v>
      </c>
      <c r="H3098" s="555" t="s">
        <v>4355</v>
      </c>
      <c r="I3098" s="555" t="s">
        <v>124</v>
      </c>
      <c r="J3098" s="555" t="s">
        <v>3356</v>
      </c>
      <c r="K3098" s="555" t="s">
        <v>100</v>
      </c>
      <c r="L3098" s="555" t="s">
        <v>3055</v>
      </c>
      <c r="M3098" s="555" t="s">
        <v>3055</v>
      </c>
    </row>
    <row r="3099" spans="3:13" ht="18.75">
      <c r="C3099" s="735"/>
      <c r="D3099" s="555" t="s">
        <v>5665</v>
      </c>
      <c r="E3099" s="757">
        <v>0.42499999999999999</v>
      </c>
      <c r="F3099" s="731" t="s">
        <v>45</v>
      </c>
      <c r="G3099" s="730" t="s">
        <v>45</v>
      </c>
      <c r="H3099" s="555" t="s">
        <v>5666</v>
      </c>
      <c r="I3099" s="555" t="s">
        <v>124</v>
      </c>
      <c r="J3099" s="555" t="s">
        <v>3451</v>
      </c>
      <c r="K3099" s="555" t="s">
        <v>22</v>
      </c>
      <c r="L3099" s="555" t="s">
        <v>45</v>
      </c>
      <c r="M3099" s="555" t="s">
        <v>5667</v>
      </c>
    </row>
    <row r="3100" spans="3:13" ht="18.75">
      <c r="C3100" s="735"/>
      <c r="D3100" s="555" t="s">
        <v>5665</v>
      </c>
      <c r="E3100" s="757">
        <v>0.86111111111111116</v>
      </c>
      <c r="F3100" s="731">
        <v>44922</v>
      </c>
      <c r="G3100" s="730">
        <v>0.8618055555555556</v>
      </c>
      <c r="H3100" s="555" t="s">
        <v>2801</v>
      </c>
      <c r="I3100" s="555" t="s">
        <v>124</v>
      </c>
      <c r="J3100" s="555" t="s">
        <v>4882</v>
      </c>
      <c r="K3100" s="555" t="s">
        <v>22</v>
      </c>
      <c r="L3100" s="555" t="s">
        <v>3623</v>
      </c>
      <c r="M3100" s="555" t="s">
        <v>5668</v>
      </c>
    </row>
    <row r="3101" spans="3:13" ht="18.75">
      <c r="C3101" s="735"/>
      <c r="D3101" s="555" t="s">
        <v>5665</v>
      </c>
      <c r="E3101" s="757">
        <v>0.29652777777777778</v>
      </c>
      <c r="F3101" s="731">
        <v>44924</v>
      </c>
      <c r="G3101" s="730">
        <v>0.46527777777777773</v>
      </c>
      <c r="H3101" s="555" t="s">
        <v>3616</v>
      </c>
      <c r="I3101" s="555" t="s">
        <v>124</v>
      </c>
      <c r="J3101" s="555" t="s">
        <v>3402</v>
      </c>
      <c r="K3101" s="555" t="s">
        <v>2118</v>
      </c>
      <c r="L3101" s="555" t="s">
        <v>45</v>
      </c>
      <c r="M3101" s="555" t="s">
        <v>45</v>
      </c>
    </row>
    <row r="3102" spans="3:13" ht="18.75">
      <c r="C3102" s="735"/>
      <c r="D3102" s="555" t="s">
        <v>5665</v>
      </c>
      <c r="E3102" s="757">
        <v>0.30555555555555552</v>
      </c>
      <c r="F3102" s="731">
        <v>44922</v>
      </c>
      <c r="G3102" s="730">
        <v>0.47361111111111115</v>
      </c>
      <c r="H3102" s="555" t="s">
        <v>3616</v>
      </c>
      <c r="I3102" s="555" t="s">
        <v>124</v>
      </c>
      <c r="J3102" s="555" t="s">
        <v>3463</v>
      </c>
      <c r="K3102" s="555" t="s">
        <v>100</v>
      </c>
      <c r="L3102" s="555" t="s">
        <v>3055</v>
      </c>
      <c r="M3102" s="555" t="s">
        <v>3055</v>
      </c>
    </row>
    <row r="3103" spans="3:13" ht="18.75">
      <c r="C3103" s="735"/>
      <c r="D3103" s="555" t="s">
        <v>5669</v>
      </c>
      <c r="E3103" s="757">
        <v>0.55138888888888882</v>
      </c>
      <c r="F3103" s="731">
        <v>44924</v>
      </c>
      <c r="G3103" s="730">
        <v>0.57986111111111105</v>
      </c>
      <c r="H3103" s="555" t="s">
        <v>2801</v>
      </c>
      <c r="I3103" s="555" t="s">
        <v>124</v>
      </c>
      <c r="J3103" s="555" t="s">
        <v>3356</v>
      </c>
      <c r="K3103" s="555" t="s">
        <v>100</v>
      </c>
      <c r="L3103" s="555" t="s">
        <v>3055</v>
      </c>
      <c r="M3103" s="555" t="s">
        <v>3055</v>
      </c>
    </row>
    <row r="3104" spans="3:13" ht="18.75">
      <c r="C3104" s="735"/>
      <c r="D3104" s="555" t="s">
        <v>5669</v>
      </c>
      <c r="E3104" s="757">
        <v>0.66666666666666663</v>
      </c>
      <c r="F3104" s="731" t="s">
        <v>45</v>
      </c>
      <c r="G3104" s="730" t="s">
        <v>45</v>
      </c>
      <c r="H3104" s="555" t="s">
        <v>2895</v>
      </c>
      <c r="I3104" s="555" t="s">
        <v>3143</v>
      </c>
      <c r="J3104" s="555" t="s">
        <v>3402</v>
      </c>
      <c r="K3104" s="555" t="s">
        <v>100</v>
      </c>
      <c r="L3104" s="555" t="s">
        <v>5625</v>
      </c>
      <c r="M3104" s="555" t="s">
        <v>45</v>
      </c>
    </row>
    <row r="3105" spans="3:13" ht="18.75">
      <c r="C3105" s="735"/>
      <c r="D3105" s="555" t="s">
        <v>5670</v>
      </c>
      <c r="E3105" s="757">
        <v>0.22569444444444445</v>
      </c>
      <c r="F3105" s="731">
        <v>44925</v>
      </c>
      <c r="G3105" s="730">
        <v>0.59513888888888888</v>
      </c>
      <c r="H3105" s="555" t="s">
        <v>5671</v>
      </c>
      <c r="I3105" s="555" t="s">
        <v>124</v>
      </c>
      <c r="J3105" s="555" t="s">
        <v>3411</v>
      </c>
      <c r="K3105" s="555" t="s">
        <v>2483</v>
      </c>
      <c r="L3105" s="555" t="s">
        <v>3055</v>
      </c>
      <c r="M3105" s="555" t="s">
        <v>3055</v>
      </c>
    </row>
    <row r="3106" spans="3:13" ht="18.75">
      <c r="C3106" s="735"/>
      <c r="D3106" s="555" t="s">
        <v>5670</v>
      </c>
      <c r="E3106" s="757">
        <v>0.71111111111111114</v>
      </c>
      <c r="F3106" s="731" t="s">
        <v>45</v>
      </c>
      <c r="G3106" s="730" t="s">
        <v>45</v>
      </c>
      <c r="H3106" s="555" t="s">
        <v>3956</v>
      </c>
      <c r="I3106" s="555" t="s">
        <v>674</v>
      </c>
      <c r="J3106" s="555" t="s">
        <v>3411</v>
      </c>
      <c r="K3106" s="555" t="s">
        <v>2483</v>
      </c>
      <c r="L3106" s="555" t="s">
        <v>45</v>
      </c>
      <c r="M3106" s="555" t="s">
        <v>45</v>
      </c>
    </row>
    <row r="3107" spans="3:13" ht="18.75">
      <c r="C3107" s="735"/>
      <c r="D3107" s="555" t="s">
        <v>5672</v>
      </c>
      <c r="E3107" s="757">
        <v>0.83333333333333337</v>
      </c>
      <c r="F3107" s="731">
        <v>44929</v>
      </c>
      <c r="G3107" s="730">
        <v>0</v>
      </c>
      <c r="H3107" s="555" t="s">
        <v>4430</v>
      </c>
      <c r="I3107" s="555" t="s">
        <v>124</v>
      </c>
      <c r="J3107" s="555" t="s">
        <v>3451</v>
      </c>
      <c r="K3107" s="555" t="s">
        <v>22</v>
      </c>
      <c r="L3107" s="555" t="s">
        <v>45</v>
      </c>
      <c r="M3107" s="555" t="s">
        <v>4937</v>
      </c>
    </row>
    <row r="3108" spans="3:13" ht="18.75">
      <c r="C3108" s="735"/>
      <c r="D3108" s="555" t="s">
        <v>5672</v>
      </c>
      <c r="E3108" s="757">
        <v>0.79166666666666663</v>
      </c>
      <c r="F3108" s="731">
        <v>44927</v>
      </c>
      <c r="G3108" s="730">
        <v>0.25</v>
      </c>
      <c r="H3108" s="555" t="s">
        <v>3616</v>
      </c>
      <c r="I3108" s="555" t="s">
        <v>124</v>
      </c>
      <c r="J3108" s="555" t="s">
        <v>3451</v>
      </c>
      <c r="K3108" s="555" t="s">
        <v>22</v>
      </c>
      <c r="L3108" s="555" t="s">
        <v>45</v>
      </c>
      <c r="M3108" s="555" t="s">
        <v>5675</v>
      </c>
    </row>
    <row r="3109" spans="3:13" ht="19.5">
      <c r="C3109" s="735"/>
      <c r="D3109" s="625" t="s">
        <v>5674</v>
      </c>
      <c r="E3109" s="760">
        <v>4.1666666666666666E-3</v>
      </c>
      <c r="F3109" s="731">
        <v>44927</v>
      </c>
      <c r="G3109" s="730">
        <v>0.16458333333333333</v>
      </c>
      <c r="H3109" s="625" t="s">
        <v>2951</v>
      </c>
      <c r="I3109" s="761" t="s">
        <v>124</v>
      </c>
      <c r="J3109" s="625" t="s">
        <v>3356</v>
      </c>
      <c r="K3109" s="625" t="s">
        <v>100</v>
      </c>
      <c r="L3109" s="625" t="s">
        <v>3055</v>
      </c>
      <c r="M3109" s="762" t="s">
        <v>3055</v>
      </c>
    </row>
    <row r="3110" spans="3:13" ht="19.5">
      <c r="C3110" s="735"/>
      <c r="D3110" s="625" t="s">
        <v>5674</v>
      </c>
      <c r="E3110" s="760">
        <v>0.41319444444444442</v>
      </c>
      <c r="F3110" s="731">
        <v>44927</v>
      </c>
      <c r="G3110" s="730">
        <v>0.4375</v>
      </c>
      <c r="H3110" s="625" t="s">
        <v>3616</v>
      </c>
      <c r="I3110" s="761" t="s">
        <v>124</v>
      </c>
      <c r="J3110" s="625" t="s">
        <v>3387</v>
      </c>
      <c r="K3110" s="625" t="s">
        <v>2764</v>
      </c>
      <c r="L3110" s="625" t="s">
        <v>3055</v>
      </c>
      <c r="M3110" s="762" t="s">
        <v>3055</v>
      </c>
    </row>
    <row r="3111" spans="3:13" ht="19.5">
      <c r="C3111" s="735"/>
      <c r="D3111" s="625" t="s">
        <v>5674</v>
      </c>
      <c r="E3111" s="760">
        <v>0.61597222222222225</v>
      </c>
      <c r="F3111" s="731">
        <v>44927</v>
      </c>
      <c r="G3111" s="730">
        <v>0.70138888888888884</v>
      </c>
      <c r="H3111" s="625" t="s">
        <v>5012</v>
      </c>
      <c r="I3111" s="761" t="s">
        <v>63</v>
      </c>
      <c r="J3111" s="625" t="s">
        <v>2910</v>
      </c>
      <c r="K3111" s="625" t="s">
        <v>100</v>
      </c>
      <c r="L3111" s="625" t="s">
        <v>4136</v>
      </c>
      <c r="M3111" s="762" t="s">
        <v>5678</v>
      </c>
    </row>
    <row r="3112" spans="3:13" ht="19.5">
      <c r="C3112" s="735"/>
      <c r="D3112" s="625" t="s">
        <v>5679</v>
      </c>
      <c r="E3112" s="760">
        <v>0.67499999999999993</v>
      </c>
      <c r="F3112" s="731">
        <v>44929</v>
      </c>
      <c r="G3112" s="730">
        <v>0.39583333333333331</v>
      </c>
      <c r="H3112" s="625" t="s">
        <v>4054</v>
      </c>
      <c r="I3112" s="761" t="s">
        <v>1352</v>
      </c>
      <c r="J3112" s="625" t="s">
        <v>3356</v>
      </c>
      <c r="K3112" s="625" t="s">
        <v>100</v>
      </c>
      <c r="L3112" s="625" t="s">
        <v>3055</v>
      </c>
      <c r="M3112" s="762" t="s">
        <v>3055</v>
      </c>
    </row>
    <row r="3113" spans="3:13" ht="19.5">
      <c r="C3113" s="735"/>
      <c r="D3113" s="625" t="s">
        <v>5679</v>
      </c>
      <c r="E3113" s="760">
        <v>0.1361111111111111</v>
      </c>
      <c r="F3113" s="731">
        <v>44928</v>
      </c>
      <c r="G3113" s="730">
        <v>0.69861111111111107</v>
      </c>
      <c r="H3113" s="625" t="s">
        <v>4796</v>
      </c>
      <c r="I3113" s="761" t="s">
        <v>124</v>
      </c>
      <c r="J3113" s="625" t="s">
        <v>5137</v>
      </c>
      <c r="K3113" s="625" t="s">
        <v>100</v>
      </c>
      <c r="L3113" s="625" t="s">
        <v>5680</v>
      </c>
      <c r="M3113" s="762" t="s">
        <v>3055</v>
      </c>
    </row>
    <row r="3114" spans="3:13" ht="19.5">
      <c r="C3114" s="735"/>
      <c r="D3114" s="625" t="s">
        <v>5679</v>
      </c>
      <c r="E3114" s="760">
        <v>0.76527777777777783</v>
      </c>
      <c r="F3114" s="731">
        <v>44928</v>
      </c>
      <c r="G3114" s="730">
        <v>0.93541666666666667</v>
      </c>
      <c r="H3114" s="625" t="s">
        <v>5681</v>
      </c>
      <c r="I3114" s="761" t="s">
        <v>63</v>
      </c>
      <c r="J3114" s="625" t="s">
        <v>3411</v>
      </c>
      <c r="K3114" s="625" t="s">
        <v>22</v>
      </c>
      <c r="L3114" s="625" t="s">
        <v>3787</v>
      </c>
      <c r="M3114" s="762" t="s">
        <v>5682</v>
      </c>
    </row>
    <row r="3115" spans="3:13" ht="19.5">
      <c r="C3115" s="735"/>
      <c r="D3115" s="625" t="s">
        <v>5673</v>
      </c>
      <c r="E3115" s="760">
        <v>0.48958333333333331</v>
      </c>
      <c r="F3115" s="731">
        <v>44929</v>
      </c>
      <c r="G3115" s="730">
        <v>0.5</v>
      </c>
      <c r="H3115" s="625" t="s">
        <v>4489</v>
      </c>
      <c r="I3115" s="761" t="s">
        <v>3143</v>
      </c>
      <c r="J3115" s="625" t="s">
        <v>3356</v>
      </c>
      <c r="K3115" s="625" t="s">
        <v>100</v>
      </c>
      <c r="L3115" s="625" t="s">
        <v>3055</v>
      </c>
      <c r="M3115" s="762" t="s">
        <v>3055</v>
      </c>
    </row>
    <row r="3116" spans="3:13" ht="19.5">
      <c r="C3116" s="735"/>
      <c r="D3116" s="625" t="s">
        <v>5683</v>
      </c>
      <c r="E3116" s="760">
        <v>0.34652777777777777</v>
      </c>
      <c r="F3116" s="731">
        <v>44931</v>
      </c>
      <c r="G3116" s="730">
        <v>0.34722222222222227</v>
      </c>
      <c r="H3116" s="625" t="s">
        <v>5684</v>
      </c>
      <c r="I3116" s="761" t="s">
        <v>63</v>
      </c>
      <c r="J3116" s="625" t="s">
        <v>2839</v>
      </c>
      <c r="K3116" s="625" t="s">
        <v>2483</v>
      </c>
      <c r="L3116" s="625" t="s">
        <v>4858</v>
      </c>
      <c r="M3116" s="762" t="s">
        <v>5685</v>
      </c>
    </row>
    <row r="3117" spans="3:13" ht="19.5">
      <c r="C3117" s="735"/>
      <c r="D3117" s="625" t="s">
        <v>5683</v>
      </c>
      <c r="E3117" s="760">
        <v>0.3125</v>
      </c>
      <c r="F3117" s="731">
        <v>44931</v>
      </c>
      <c r="G3117" s="730">
        <v>0.39583333333333331</v>
      </c>
      <c r="H3117" s="625" t="s">
        <v>4709</v>
      </c>
      <c r="I3117" s="761" t="s">
        <v>124</v>
      </c>
      <c r="J3117" s="625" t="s">
        <v>3402</v>
      </c>
      <c r="K3117" s="625" t="s">
        <v>2118</v>
      </c>
      <c r="L3117" s="625" t="s">
        <v>3055</v>
      </c>
      <c r="M3117" s="762" t="s">
        <v>3055</v>
      </c>
    </row>
    <row r="3118" spans="3:13" ht="19.5">
      <c r="C3118" s="735"/>
      <c r="D3118" s="625" t="s">
        <v>5686</v>
      </c>
      <c r="E3118" s="760">
        <v>0.39583333333333331</v>
      </c>
      <c r="F3118" s="731">
        <v>44932</v>
      </c>
      <c r="G3118" s="730">
        <v>0.47916666666666669</v>
      </c>
      <c r="H3118" s="625" t="s">
        <v>5687</v>
      </c>
      <c r="I3118" s="761" t="s">
        <v>3143</v>
      </c>
      <c r="J3118" s="625" t="s">
        <v>3402</v>
      </c>
      <c r="K3118" s="625" t="s">
        <v>2118</v>
      </c>
      <c r="L3118" s="625" t="s">
        <v>45</v>
      </c>
      <c r="M3118" s="762" t="s">
        <v>45</v>
      </c>
    </row>
    <row r="3119" spans="3:13" ht="19.5">
      <c r="C3119" s="735"/>
      <c r="D3119" s="625" t="s">
        <v>5688</v>
      </c>
      <c r="E3119" s="760">
        <v>0.91666666666666663</v>
      </c>
      <c r="F3119" s="731">
        <v>44934</v>
      </c>
      <c r="G3119" s="730">
        <v>0.875</v>
      </c>
      <c r="H3119" s="625" t="s">
        <v>3616</v>
      </c>
      <c r="I3119" s="761" t="s">
        <v>124</v>
      </c>
      <c r="J3119" s="625" t="s">
        <v>2753</v>
      </c>
      <c r="K3119" s="625" t="s">
        <v>22</v>
      </c>
      <c r="L3119" s="625" t="s">
        <v>5690</v>
      </c>
      <c r="M3119" s="762" t="s">
        <v>5691</v>
      </c>
    </row>
    <row r="3120" spans="3:13" ht="19.5">
      <c r="C3120" s="735"/>
      <c r="D3120" s="625" t="s">
        <v>5688</v>
      </c>
      <c r="E3120" s="760">
        <v>0.98888888888888893</v>
      </c>
      <c r="F3120" s="731">
        <v>44934</v>
      </c>
      <c r="G3120" s="730">
        <v>0.10347222222222223</v>
      </c>
      <c r="H3120" s="625" t="s">
        <v>5692</v>
      </c>
      <c r="I3120" s="761" t="s">
        <v>1352</v>
      </c>
      <c r="J3120" s="625" t="s">
        <v>3411</v>
      </c>
      <c r="K3120" s="625" t="s">
        <v>2483</v>
      </c>
      <c r="L3120" s="625" t="s">
        <v>3787</v>
      </c>
      <c r="M3120" s="762" t="s">
        <v>5693</v>
      </c>
    </row>
    <row r="3121" spans="3:13" ht="19.5">
      <c r="C3121" s="735"/>
      <c r="D3121" s="625" t="s">
        <v>5689</v>
      </c>
      <c r="E3121" s="760">
        <v>0.77777777777777779</v>
      </c>
      <c r="F3121" s="731">
        <v>44934</v>
      </c>
      <c r="G3121" s="730">
        <v>0.78749999999999998</v>
      </c>
      <c r="H3121" s="625" t="s">
        <v>5694</v>
      </c>
      <c r="I3121" s="761" t="s">
        <v>1352</v>
      </c>
      <c r="J3121" s="625" t="s">
        <v>3356</v>
      </c>
      <c r="K3121" s="625" t="s">
        <v>100</v>
      </c>
      <c r="L3121" s="625" t="s">
        <v>3055</v>
      </c>
      <c r="M3121" s="762" t="s">
        <v>3055</v>
      </c>
    </row>
    <row r="3122" spans="3:13" ht="19.5">
      <c r="C3122" s="735"/>
      <c r="D3122" s="625" t="s">
        <v>5695</v>
      </c>
      <c r="E3122" s="760">
        <v>0.41666666666666669</v>
      </c>
      <c r="F3122" s="731" t="s">
        <v>5696</v>
      </c>
      <c r="G3122" s="730" t="s">
        <v>45</v>
      </c>
      <c r="H3122" s="625" t="s">
        <v>3616</v>
      </c>
      <c r="I3122" s="761" t="s">
        <v>124</v>
      </c>
      <c r="J3122" s="625" t="s">
        <v>3402</v>
      </c>
      <c r="K3122" s="625" t="s">
        <v>2118</v>
      </c>
      <c r="L3122" s="625" t="s">
        <v>3055</v>
      </c>
      <c r="M3122" s="762" t="s">
        <v>3055</v>
      </c>
    </row>
    <row r="3123" spans="3:13" ht="19.5">
      <c r="C3123" s="735"/>
      <c r="D3123" s="625" t="s">
        <v>5695</v>
      </c>
      <c r="E3123" s="760">
        <v>0.58333333333333337</v>
      </c>
      <c r="F3123" s="731">
        <v>44939</v>
      </c>
      <c r="G3123" s="730">
        <v>0.125</v>
      </c>
      <c r="H3123" s="625" t="s">
        <v>3273</v>
      </c>
      <c r="I3123" s="761" t="s">
        <v>63</v>
      </c>
      <c r="J3123" s="625" t="s">
        <v>2753</v>
      </c>
      <c r="K3123" s="625" t="s">
        <v>22</v>
      </c>
      <c r="L3123" s="625" t="s">
        <v>5698</v>
      </c>
      <c r="M3123" s="762" t="s">
        <v>5699</v>
      </c>
    </row>
    <row r="3124" spans="3:13" ht="19.5">
      <c r="C3124" s="735"/>
      <c r="D3124" s="625" t="s">
        <v>5695</v>
      </c>
      <c r="E3124" s="760">
        <v>0.49861111111111112</v>
      </c>
      <c r="F3124" s="731">
        <v>44938</v>
      </c>
      <c r="G3124" s="730">
        <v>0.52083333333333337</v>
      </c>
      <c r="H3124" s="625" t="s">
        <v>2801</v>
      </c>
      <c r="I3124" s="761" t="s">
        <v>124</v>
      </c>
      <c r="J3124" s="625" t="s">
        <v>3356</v>
      </c>
      <c r="K3124" s="625" t="s">
        <v>100</v>
      </c>
      <c r="L3124" s="625" t="s">
        <v>45</v>
      </c>
      <c r="M3124" s="762" t="s">
        <v>45</v>
      </c>
    </row>
    <row r="3125" spans="3:13" ht="19.5">
      <c r="C3125" s="735"/>
      <c r="D3125" s="625" t="s">
        <v>5697</v>
      </c>
      <c r="E3125" s="760">
        <v>0</v>
      </c>
      <c r="F3125" s="731">
        <v>44939</v>
      </c>
      <c r="G3125" s="730">
        <v>4.1666666666666664E-2</v>
      </c>
      <c r="H3125" s="625" t="s">
        <v>5516</v>
      </c>
      <c r="I3125" s="761" t="s">
        <v>1352</v>
      </c>
      <c r="J3125" s="625" t="s">
        <v>3402</v>
      </c>
      <c r="K3125" s="625" t="s">
        <v>2118</v>
      </c>
      <c r="L3125" s="625" t="s">
        <v>3055</v>
      </c>
      <c r="M3125" s="762" t="s">
        <v>3055</v>
      </c>
    </row>
    <row r="3126" spans="3:13" ht="19.5">
      <c r="C3126" s="735"/>
      <c r="D3126" s="625" t="s">
        <v>5700</v>
      </c>
      <c r="E3126" s="760">
        <v>0.45833333333333331</v>
      </c>
      <c r="F3126" s="731">
        <v>44945</v>
      </c>
      <c r="G3126" s="730">
        <v>0.54166666666666663</v>
      </c>
      <c r="H3126" s="625" t="s">
        <v>5701</v>
      </c>
      <c r="I3126" s="761" t="s">
        <v>63</v>
      </c>
      <c r="J3126" s="625" t="s">
        <v>3402</v>
      </c>
      <c r="K3126" s="625" t="s">
        <v>2118</v>
      </c>
      <c r="L3126" s="625" t="s">
        <v>45</v>
      </c>
      <c r="M3126" s="762" t="s">
        <v>45</v>
      </c>
    </row>
    <row r="3127" spans="3:13" ht="19.5">
      <c r="C3127" s="735"/>
      <c r="D3127" s="625" t="s">
        <v>5702</v>
      </c>
      <c r="E3127" s="760">
        <v>0.44791666666666669</v>
      </c>
      <c r="F3127" s="731" t="s">
        <v>45</v>
      </c>
      <c r="G3127" s="730" t="s">
        <v>45</v>
      </c>
      <c r="H3127" s="625" t="s">
        <v>5703</v>
      </c>
      <c r="I3127" s="761" t="s">
        <v>3143</v>
      </c>
      <c r="J3127" s="625" t="s">
        <v>3356</v>
      </c>
      <c r="K3127" s="625" t="s">
        <v>100</v>
      </c>
      <c r="L3127" s="625" t="s">
        <v>45</v>
      </c>
      <c r="M3127" s="762" t="s">
        <v>3055</v>
      </c>
    </row>
    <row r="3128" spans="3:13" ht="19.5">
      <c r="C3128" s="735"/>
      <c r="D3128" s="625" t="s">
        <v>5704</v>
      </c>
      <c r="E3128" s="760">
        <v>0.2951388888888889</v>
      </c>
      <c r="F3128" s="731">
        <v>44950</v>
      </c>
      <c r="G3128" s="730">
        <v>0.72013888888888899</v>
      </c>
      <c r="H3128" s="625" t="s">
        <v>3521</v>
      </c>
      <c r="I3128" s="761" t="s">
        <v>61</v>
      </c>
      <c r="J3128" s="625" t="s">
        <v>2753</v>
      </c>
      <c r="K3128" s="625" t="s">
        <v>22</v>
      </c>
      <c r="L3128" s="625" t="s">
        <v>45</v>
      </c>
      <c r="M3128" s="762" t="s">
        <v>5706</v>
      </c>
    </row>
    <row r="3129" spans="3:13" ht="19.5">
      <c r="C3129" s="735"/>
      <c r="D3129" s="625" t="s">
        <v>5704</v>
      </c>
      <c r="E3129" s="760">
        <v>0.70833333333333337</v>
      </c>
      <c r="F3129" s="731" t="s">
        <v>45</v>
      </c>
      <c r="G3129" s="730" t="s">
        <v>45</v>
      </c>
      <c r="H3129" s="625" t="s">
        <v>3616</v>
      </c>
      <c r="I3129" s="761" t="s">
        <v>124</v>
      </c>
      <c r="J3129" s="625" t="s">
        <v>3402</v>
      </c>
      <c r="K3129" s="625" t="s">
        <v>2118</v>
      </c>
      <c r="L3129" s="625" t="s">
        <v>45</v>
      </c>
      <c r="M3129" s="762" t="s">
        <v>45</v>
      </c>
    </row>
    <row r="3130" spans="3:13" ht="19.5">
      <c r="C3130" s="735"/>
      <c r="D3130" s="625" t="s">
        <v>5704</v>
      </c>
      <c r="E3130" s="760">
        <v>0.38958333333333334</v>
      </c>
      <c r="F3130" s="731" t="s">
        <v>45</v>
      </c>
      <c r="G3130" s="730" t="s">
        <v>45</v>
      </c>
      <c r="H3130" s="625" t="s">
        <v>3616</v>
      </c>
      <c r="I3130" s="761" t="s">
        <v>124</v>
      </c>
      <c r="J3130" s="625" t="s">
        <v>3402</v>
      </c>
      <c r="K3130" s="625" t="s">
        <v>2118</v>
      </c>
      <c r="L3130" s="625" t="s">
        <v>45</v>
      </c>
      <c r="M3130" s="762" t="s">
        <v>45</v>
      </c>
    </row>
    <row r="3131" spans="3:13" ht="19.5">
      <c r="C3131" s="735"/>
      <c r="D3131" s="625" t="s">
        <v>5705</v>
      </c>
      <c r="E3131" s="760">
        <v>0.58333333333333337</v>
      </c>
      <c r="F3131" s="731">
        <v>44950</v>
      </c>
      <c r="G3131" s="730">
        <v>0.625</v>
      </c>
      <c r="H3131" s="625" t="s">
        <v>2866</v>
      </c>
      <c r="I3131" s="761" t="s">
        <v>63</v>
      </c>
      <c r="J3131" s="625" t="s">
        <v>3356</v>
      </c>
      <c r="K3131" s="625" t="s">
        <v>100</v>
      </c>
      <c r="L3131" s="625" t="s">
        <v>3055</v>
      </c>
      <c r="M3131" s="762" t="s">
        <v>3055</v>
      </c>
    </row>
    <row r="3132" spans="3:13" ht="19.5">
      <c r="C3132" s="735"/>
      <c r="D3132" s="625" t="s">
        <v>5705</v>
      </c>
      <c r="E3132" s="760">
        <v>0.71527777777777779</v>
      </c>
      <c r="F3132" s="731">
        <v>44950</v>
      </c>
      <c r="G3132" s="730">
        <v>0.72222222222222221</v>
      </c>
      <c r="H3132" s="625" t="s">
        <v>5547</v>
      </c>
      <c r="I3132" s="761" t="s">
        <v>61</v>
      </c>
      <c r="J3132" s="625" t="s">
        <v>3402</v>
      </c>
      <c r="K3132" s="625" t="s">
        <v>2118</v>
      </c>
      <c r="L3132" s="625" t="s">
        <v>3055</v>
      </c>
      <c r="M3132" s="762" t="s">
        <v>3055</v>
      </c>
    </row>
    <row r="3133" spans="3:13" ht="19.5">
      <c r="C3133" s="735"/>
      <c r="D3133" s="625" t="s">
        <v>5705</v>
      </c>
      <c r="E3133" s="760">
        <v>0.64236111111111105</v>
      </c>
      <c r="F3133" s="731">
        <v>44952</v>
      </c>
      <c r="G3133" s="730">
        <v>0.84722222222222221</v>
      </c>
      <c r="H3133" s="625" t="s">
        <v>2809</v>
      </c>
      <c r="I3133" s="761" t="s">
        <v>1352</v>
      </c>
      <c r="J3133" s="625" t="s">
        <v>2753</v>
      </c>
      <c r="K3133" s="625" t="s">
        <v>22</v>
      </c>
      <c r="L3133" s="625" t="s">
        <v>45</v>
      </c>
      <c r="M3133" s="762" t="s">
        <v>5708</v>
      </c>
    </row>
    <row r="3134" spans="3:13" ht="19.5">
      <c r="C3134" s="735"/>
      <c r="D3134" s="625" t="s">
        <v>5709</v>
      </c>
      <c r="E3134" s="760">
        <v>0.9375</v>
      </c>
      <c r="F3134" s="731">
        <v>44952</v>
      </c>
      <c r="G3134" s="730">
        <v>6.9444444444444447E-4</v>
      </c>
      <c r="H3134" s="625" t="s">
        <v>5469</v>
      </c>
      <c r="I3134" s="761" t="s">
        <v>124</v>
      </c>
      <c r="J3134" s="625" t="s">
        <v>2910</v>
      </c>
      <c r="K3134" s="625" t="s">
        <v>100</v>
      </c>
      <c r="L3134" s="625" t="s">
        <v>3055</v>
      </c>
      <c r="M3134" s="762" t="s">
        <v>3055</v>
      </c>
    </row>
    <row r="3135" spans="3:13" ht="19.5">
      <c r="C3135" s="735"/>
      <c r="D3135" s="625" t="s">
        <v>5709</v>
      </c>
      <c r="E3135" s="760">
        <v>0.6645833333333333</v>
      </c>
      <c r="F3135" s="731">
        <v>44951</v>
      </c>
      <c r="G3135" s="730">
        <v>0.73472222222222217</v>
      </c>
      <c r="H3135" s="625" t="s">
        <v>4185</v>
      </c>
      <c r="I3135" s="761" t="s">
        <v>1352</v>
      </c>
      <c r="J3135" s="625" t="s">
        <v>3402</v>
      </c>
      <c r="K3135" s="625" t="s">
        <v>2118</v>
      </c>
      <c r="L3135" s="625" t="s">
        <v>3055</v>
      </c>
      <c r="M3135" s="762" t="s">
        <v>3055</v>
      </c>
    </row>
    <row r="3136" spans="3:13" ht="19.5">
      <c r="C3136" s="735"/>
      <c r="D3136" s="625" t="s">
        <v>5709</v>
      </c>
      <c r="E3136" s="760">
        <v>0.14583333333333334</v>
      </c>
      <c r="F3136" s="731">
        <v>44951</v>
      </c>
      <c r="G3136" s="730">
        <v>0.54166666666666663</v>
      </c>
      <c r="H3136" s="625" t="s">
        <v>5710</v>
      </c>
      <c r="I3136" s="761" t="s">
        <v>63</v>
      </c>
      <c r="J3136" s="625" t="s">
        <v>2753</v>
      </c>
      <c r="K3136" s="625" t="s">
        <v>22</v>
      </c>
      <c r="L3136" s="625" t="s">
        <v>45</v>
      </c>
      <c r="M3136" s="762" t="s">
        <v>5711</v>
      </c>
    </row>
    <row r="3137" spans="3:13" ht="19.5">
      <c r="C3137" s="735"/>
      <c r="D3137" s="625" t="s">
        <v>5707</v>
      </c>
      <c r="E3137" s="760">
        <v>0.29166666666666669</v>
      </c>
      <c r="F3137" s="731">
        <v>44952</v>
      </c>
      <c r="G3137" s="730">
        <v>0.61527777777777781</v>
      </c>
      <c r="H3137" s="625" t="s">
        <v>2801</v>
      </c>
      <c r="I3137" s="761" t="s">
        <v>124</v>
      </c>
      <c r="J3137" s="625" t="s">
        <v>3356</v>
      </c>
      <c r="K3137" s="625" t="s">
        <v>100</v>
      </c>
      <c r="L3137" s="625" t="s">
        <v>3055</v>
      </c>
      <c r="M3137" s="762" t="s">
        <v>3055</v>
      </c>
    </row>
    <row r="3138" spans="3:13" ht="19.5">
      <c r="C3138" s="735"/>
      <c r="D3138" s="625" t="s">
        <v>5712</v>
      </c>
      <c r="E3138" s="760">
        <v>0.16666666666666666</v>
      </c>
      <c r="F3138" s="731">
        <v>44954</v>
      </c>
      <c r="G3138" s="730">
        <v>0.20833333333333334</v>
      </c>
      <c r="H3138" s="625" t="s">
        <v>5713</v>
      </c>
      <c r="I3138" s="761" t="s">
        <v>5174</v>
      </c>
      <c r="J3138" s="625" t="s">
        <v>3356</v>
      </c>
      <c r="K3138" s="625" t="s">
        <v>2118</v>
      </c>
      <c r="L3138" s="625" t="s">
        <v>3055</v>
      </c>
      <c r="M3138" s="762" t="s">
        <v>3055</v>
      </c>
    </row>
    <row r="3139" spans="3:13" ht="19.5">
      <c r="C3139" s="735"/>
      <c r="D3139" s="625" t="s">
        <v>5714</v>
      </c>
      <c r="E3139" s="760">
        <v>0.34652777777777777</v>
      </c>
      <c r="F3139" s="731">
        <v>44955</v>
      </c>
      <c r="G3139" s="730">
        <v>0.46319444444444446</v>
      </c>
      <c r="H3139" s="625" t="s">
        <v>3354</v>
      </c>
      <c r="I3139" s="761" t="s">
        <v>63</v>
      </c>
      <c r="J3139" s="625" t="s">
        <v>3387</v>
      </c>
      <c r="K3139" s="625" t="s">
        <v>2764</v>
      </c>
      <c r="L3139" s="625" t="s">
        <v>3055</v>
      </c>
      <c r="M3139" s="762" t="s">
        <v>3055</v>
      </c>
    </row>
    <row r="3140" spans="3:13" ht="19.5">
      <c r="C3140" s="735"/>
      <c r="D3140" s="625" t="s">
        <v>5715</v>
      </c>
      <c r="E3140" s="760">
        <v>0.4375</v>
      </c>
      <c r="F3140" s="731" t="s">
        <v>45</v>
      </c>
      <c r="G3140" s="730" t="s">
        <v>45</v>
      </c>
      <c r="H3140" s="625" t="s">
        <v>3738</v>
      </c>
      <c r="I3140" s="761" t="s">
        <v>674</v>
      </c>
      <c r="J3140" s="625" t="s">
        <v>3874</v>
      </c>
      <c r="K3140" s="625" t="s">
        <v>2118</v>
      </c>
      <c r="L3140" s="625" t="s">
        <v>45</v>
      </c>
      <c r="M3140" s="762" t="s">
        <v>45</v>
      </c>
    </row>
    <row r="3141" spans="3:13" ht="19.5">
      <c r="C3141" s="735"/>
      <c r="D3141" s="625" t="s">
        <v>5716</v>
      </c>
      <c r="E3141" s="760">
        <v>0.34375</v>
      </c>
      <c r="F3141" s="731">
        <v>44963</v>
      </c>
      <c r="G3141" s="730">
        <v>0.70833333333333337</v>
      </c>
      <c r="H3141" s="625" t="s">
        <v>5718</v>
      </c>
      <c r="I3141" s="761" t="s">
        <v>1352</v>
      </c>
      <c r="J3141" s="625" t="s">
        <v>2753</v>
      </c>
      <c r="K3141" s="625" t="s">
        <v>22</v>
      </c>
      <c r="L3141" s="625" t="s">
        <v>45</v>
      </c>
      <c r="M3141" s="762" t="s">
        <v>5719</v>
      </c>
    </row>
    <row r="3142" spans="3:13" ht="19.5">
      <c r="C3142" s="735"/>
      <c r="D3142" s="625" t="s">
        <v>5720</v>
      </c>
      <c r="E3142" s="760">
        <v>0.20833333333333334</v>
      </c>
      <c r="F3142" s="731">
        <v>44961</v>
      </c>
      <c r="G3142" s="730">
        <v>0.94374999999999998</v>
      </c>
      <c r="H3142" s="625" t="s">
        <v>3591</v>
      </c>
      <c r="I3142" s="761" t="s">
        <v>1352</v>
      </c>
      <c r="J3142" s="625" t="s">
        <v>2753</v>
      </c>
      <c r="K3142" s="625" t="s">
        <v>22</v>
      </c>
      <c r="L3142" s="625" t="s">
        <v>5722</v>
      </c>
      <c r="M3142" s="762" t="s">
        <v>5723</v>
      </c>
    </row>
    <row r="3143" spans="3:13" ht="19.5">
      <c r="C3143" s="735"/>
      <c r="D3143" s="625" t="s">
        <v>5724</v>
      </c>
      <c r="E3143" s="760">
        <v>0.92152777777777783</v>
      </c>
      <c r="F3143" s="731">
        <v>44960</v>
      </c>
      <c r="G3143" s="730">
        <v>0.67222222222222217</v>
      </c>
      <c r="H3143" s="625" t="s">
        <v>2900</v>
      </c>
      <c r="I3143" s="761" t="s">
        <v>124</v>
      </c>
      <c r="J3143" s="625" t="s">
        <v>3356</v>
      </c>
      <c r="K3143" s="625" t="s">
        <v>100</v>
      </c>
      <c r="L3143" s="625" t="s">
        <v>3055</v>
      </c>
      <c r="M3143" s="762" t="s">
        <v>3055</v>
      </c>
    </row>
    <row r="3144" spans="3:13" ht="19.5">
      <c r="C3144" s="735"/>
      <c r="D3144" s="625" t="s">
        <v>5724</v>
      </c>
      <c r="E3144" s="760">
        <v>0.45833333333333331</v>
      </c>
      <c r="F3144" s="731" t="s">
        <v>45</v>
      </c>
      <c r="G3144" s="730" t="s">
        <v>45</v>
      </c>
      <c r="H3144" s="625" t="s">
        <v>5196</v>
      </c>
      <c r="I3144" s="761" t="s">
        <v>3143</v>
      </c>
      <c r="J3144" s="625" t="s">
        <v>3402</v>
      </c>
      <c r="K3144" s="625" t="s">
        <v>2118</v>
      </c>
      <c r="L3144" s="625" t="s">
        <v>3055</v>
      </c>
      <c r="M3144" s="762" t="s">
        <v>3055</v>
      </c>
    </row>
    <row r="3145" spans="3:13" ht="19.5">
      <c r="C3145" s="735"/>
      <c r="D3145" s="625" t="s">
        <v>5724</v>
      </c>
      <c r="E3145" s="760">
        <v>0.34375</v>
      </c>
      <c r="F3145" s="731">
        <v>44959</v>
      </c>
      <c r="G3145" s="730">
        <v>0.82291666666666663</v>
      </c>
      <c r="H3145" s="625" t="s">
        <v>5726</v>
      </c>
      <c r="I3145" s="761" t="s">
        <v>63</v>
      </c>
      <c r="J3145" s="625" t="s">
        <v>2753</v>
      </c>
      <c r="K3145" s="625" t="s">
        <v>22</v>
      </c>
      <c r="L3145" s="625" t="s">
        <v>45</v>
      </c>
      <c r="M3145" s="762" t="s">
        <v>5727</v>
      </c>
    </row>
    <row r="3146" spans="3:13" ht="19.5">
      <c r="C3146" s="735"/>
      <c r="D3146" s="625" t="s">
        <v>5724</v>
      </c>
      <c r="E3146" s="760">
        <v>0.60902777777777783</v>
      </c>
      <c r="F3146" s="731">
        <v>44959</v>
      </c>
      <c r="G3146" s="730">
        <v>0.61597222222222225</v>
      </c>
      <c r="H3146" s="625" t="s">
        <v>5728</v>
      </c>
      <c r="I3146" s="761" t="s">
        <v>3143</v>
      </c>
      <c r="J3146" s="625" t="s">
        <v>3402</v>
      </c>
      <c r="K3146" s="625" t="s">
        <v>2118</v>
      </c>
      <c r="L3146" s="625" t="s">
        <v>3055</v>
      </c>
      <c r="M3146" s="762" t="s">
        <v>3055</v>
      </c>
    </row>
    <row r="3147" spans="3:13" ht="19.5">
      <c r="C3147" s="735"/>
      <c r="D3147" s="625" t="s">
        <v>5725</v>
      </c>
      <c r="E3147" s="760">
        <v>0.66666666666666663</v>
      </c>
      <c r="F3147" s="731">
        <v>44960</v>
      </c>
      <c r="G3147" s="730">
        <v>0.69791666666666663</v>
      </c>
      <c r="H3147" s="625" t="s">
        <v>5729</v>
      </c>
      <c r="I3147" s="761" t="s">
        <v>124</v>
      </c>
      <c r="J3147" s="625" t="s">
        <v>2910</v>
      </c>
      <c r="K3147" s="625" t="s">
        <v>100</v>
      </c>
      <c r="L3147" s="625" t="s">
        <v>3055</v>
      </c>
      <c r="M3147" s="762" t="s">
        <v>3055</v>
      </c>
    </row>
    <row r="3148" spans="3:13" ht="19.5">
      <c r="C3148" s="735"/>
      <c r="D3148" s="625" t="s">
        <v>5721</v>
      </c>
      <c r="E3148" s="760">
        <v>0.4680555555555555</v>
      </c>
      <c r="F3148" s="731">
        <v>44961</v>
      </c>
      <c r="G3148" s="730">
        <v>0.53819444444444442</v>
      </c>
      <c r="H3148" s="625" t="s">
        <v>5730</v>
      </c>
      <c r="I3148" s="761" t="s">
        <v>3143</v>
      </c>
      <c r="J3148" s="625" t="s">
        <v>2910</v>
      </c>
      <c r="K3148" s="625" t="s">
        <v>100</v>
      </c>
      <c r="L3148" s="625" t="s">
        <v>3944</v>
      </c>
      <c r="M3148" s="762" t="s">
        <v>45</v>
      </c>
    </row>
    <row r="3149" spans="3:13" ht="19.5">
      <c r="C3149" s="735"/>
      <c r="D3149" s="625" t="s">
        <v>5717</v>
      </c>
      <c r="E3149" s="760">
        <v>0.71250000000000002</v>
      </c>
      <c r="F3149" s="731">
        <v>44963</v>
      </c>
      <c r="G3149" s="730">
        <v>0.72986111111111107</v>
      </c>
      <c r="H3149" s="625" t="s">
        <v>3470</v>
      </c>
      <c r="I3149" s="761" t="s">
        <v>63</v>
      </c>
      <c r="J3149" s="625" t="s">
        <v>3387</v>
      </c>
      <c r="K3149" s="625" t="s">
        <v>2764</v>
      </c>
      <c r="L3149" s="625" t="s">
        <v>3055</v>
      </c>
      <c r="M3149" s="762" t="s">
        <v>3055</v>
      </c>
    </row>
    <row r="3150" spans="3:13" ht="19.5">
      <c r="C3150" s="735"/>
      <c r="D3150" s="625" t="s">
        <v>5717</v>
      </c>
      <c r="E3150" s="760">
        <v>0.41666666666666669</v>
      </c>
      <c r="F3150" s="731">
        <v>44963</v>
      </c>
      <c r="G3150" s="730">
        <v>0.41805555555555557</v>
      </c>
      <c r="H3150" s="625" t="s">
        <v>3252</v>
      </c>
      <c r="I3150" s="761" t="s">
        <v>3143</v>
      </c>
      <c r="J3150" s="625" t="s">
        <v>3402</v>
      </c>
      <c r="K3150" s="625" t="s">
        <v>2118</v>
      </c>
      <c r="L3150" s="625" t="s">
        <v>3055</v>
      </c>
      <c r="M3150" s="762" t="s">
        <v>3055</v>
      </c>
    </row>
    <row r="3151" spans="3:13" ht="19.5">
      <c r="C3151" s="735"/>
      <c r="D3151" s="625" t="s">
        <v>5731</v>
      </c>
      <c r="E3151" s="760">
        <v>0.56527777777777777</v>
      </c>
      <c r="F3151" s="731">
        <v>44964</v>
      </c>
      <c r="G3151" s="730">
        <v>0.58750000000000002</v>
      </c>
      <c r="H3151" s="625" t="s">
        <v>5732</v>
      </c>
      <c r="I3151" s="761" t="s">
        <v>674</v>
      </c>
      <c r="J3151" s="625" t="s">
        <v>3447</v>
      </c>
      <c r="K3151" s="625" t="s">
        <v>2764</v>
      </c>
      <c r="L3151" s="625" t="s">
        <v>3055</v>
      </c>
      <c r="M3151" s="762" t="s">
        <v>3055</v>
      </c>
    </row>
    <row r="3152" spans="3:13" ht="19.5">
      <c r="C3152" s="735"/>
      <c r="D3152" s="625" t="s">
        <v>5731</v>
      </c>
      <c r="E3152" s="760">
        <v>0.26041666666666669</v>
      </c>
      <c r="F3152" s="731">
        <v>44964</v>
      </c>
      <c r="G3152" s="730">
        <v>0.2638888888888889</v>
      </c>
      <c r="H3152" s="625" t="s">
        <v>5240</v>
      </c>
      <c r="I3152" s="761" t="s">
        <v>63</v>
      </c>
      <c r="J3152" s="625" t="s">
        <v>3402</v>
      </c>
      <c r="K3152" s="625" t="s">
        <v>2118</v>
      </c>
      <c r="L3152" s="625" t="s">
        <v>3055</v>
      </c>
      <c r="M3152" s="762" t="s">
        <v>3055</v>
      </c>
    </row>
    <row r="3153" spans="3:13" ht="19.5">
      <c r="C3153" s="735"/>
      <c r="D3153" s="625" t="s">
        <v>5731</v>
      </c>
      <c r="E3153" s="760">
        <v>0.35416666666666669</v>
      </c>
      <c r="F3153" s="731" t="s">
        <v>45</v>
      </c>
      <c r="G3153" s="730" t="s">
        <v>45</v>
      </c>
      <c r="H3153" s="625" t="s">
        <v>5547</v>
      </c>
      <c r="I3153" s="761" t="s">
        <v>61</v>
      </c>
      <c r="J3153" s="625" t="s">
        <v>3402</v>
      </c>
      <c r="K3153" s="625" t="s">
        <v>2118</v>
      </c>
      <c r="L3153" s="625" t="s">
        <v>3055</v>
      </c>
      <c r="M3153" s="762" t="s">
        <v>3055</v>
      </c>
    </row>
    <row r="3154" spans="3:13" ht="19.5">
      <c r="C3154" s="735"/>
      <c r="D3154" s="625" t="s">
        <v>5733</v>
      </c>
      <c r="E3154" s="760">
        <v>0.5625</v>
      </c>
      <c r="F3154" s="731">
        <v>44965</v>
      </c>
      <c r="G3154" s="730">
        <v>0.58333333333333337</v>
      </c>
      <c r="H3154" s="625" t="s">
        <v>5734</v>
      </c>
      <c r="I3154" s="761" t="s">
        <v>3143</v>
      </c>
      <c r="J3154" s="625" t="s">
        <v>3402</v>
      </c>
      <c r="K3154" s="625" t="s">
        <v>2118</v>
      </c>
      <c r="L3154" s="625" t="s">
        <v>3055</v>
      </c>
      <c r="M3154" s="762" t="s">
        <v>3055</v>
      </c>
    </row>
    <row r="3155" spans="3:13" ht="19.5">
      <c r="C3155" s="735"/>
      <c r="D3155" s="625" t="s">
        <v>5735</v>
      </c>
      <c r="E3155" s="760">
        <v>0.47013888888888888</v>
      </c>
      <c r="F3155" s="731">
        <v>44968</v>
      </c>
      <c r="G3155" s="730">
        <v>0.76388888888888884</v>
      </c>
      <c r="H3155" s="625" t="s">
        <v>5736</v>
      </c>
      <c r="I3155" s="761" t="s">
        <v>1352</v>
      </c>
      <c r="J3155" s="625" t="s">
        <v>3411</v>
      </c>
      <c r="K3155" s="625" t="s">
        <v>2483</v>
      </c>
      <c r="L3155" s="625" t="s">
        <v>3055</v>
      </c>
      <c r="M3155" s="762" t="s">
        <v>3055</v>
      </c>
    </row>
    <row r="3156" spans="3:13" ht="19.5">
      <c r="C3156" s="735"/>
      <c r="D3156" s="625" t="s">
        <v>5737</v>
      </c>
      <c r="E3156" s="760">
        <v>0.90972222222222221</v>
      </c>
      <c r="F3156" s="731">
        <v>44971</v>
      </c>
      <c r="G3156" s="730">
        <v>9.9999999999999992E-2</v>
      </c>
      <c r="H3156" s="625" t="s">
        <v>4355</v>
      </c>
      <c r="I3156" s="761" t="s">
        <v>124</v>
      </c>
      <c r="J3156" s="625" t="s">
        <v>2910</v>
      </c>
      <c r="K3156" s="625" t="s">
        <v>2118</v>
      </c>
      <c r="L3156" s="625" t="s">
        <v>3055</v>
      </c>
      <c r="M3156" s="762" t="s">
        <v>3055</v>
      </c>
    </row>
    <row r="3157" spans="3:13" ht="19.5">
      <c r="C3157" s="735"/>
      <c r="D3157" s="625" t="s">
        <v>5737</v>
      </c>
      <c r="E3157" s="760">
        <v>0.22708333333333333</v>
      </c>
      <c r="F3157" s="731">
        <v>44970</v>
      </c>
      <c r="G3157" s="730">
        <v>0.625</v>
      </c>
      <c r="H3157" s="625" t="s">
        <v>5739</v>
      </c>
      <c r="I3157" s="761" t="s">
        <v>674</v>
      </c>
      <c r="J3157" s="625" t="s">
        <v>3356</v>
      </c>
      <c r="K3157" s="625" t="s">
        <v>100</v>
      </c>
      <c r="L3157" s="625" t="s">
        <v>3055</v>
      </c>
      <c r="M3157" s="762" t="s">
        <v>3055</v>
      </c>
    </row>
    <row r="3158" spans="3:13" ht="19.5">
      <c r="C3158" s="735"/>
      <c r="D3158" s="625" t="s">
        <v>5740</v>
      </c>
      <c r="E3158" s="760">
        <v>0.60069444444444442</v>
      </c>
      <c r="F3158" s="731">
        <v>44972</v>
      </c>
      <c r="G3158" s="730">
        <v>0.60416666666666663</v>
      </c>
      <c r="H3158" s="625" t="s">
        <v>5741</v>
      </c>
      <c r="I3158" s="761" t="s">
        <v>63</v>
      </c>
      <c r="J3158" s="625" t="s">
        <v>3402</v>
      </c>
      <c r="K3158" s="625" t="s">
        <v>2118</v>
      </c>
      <c r="L3158" s="625" t="s">
        <v>3055</v>
      </c>
      <c r="M3158" s="762" t="s">
        <v>3055</v>
      </c>
    </row>
    <row r="3159" spans="3:13" ht="19.5">
      <c r="C3159" s="735"/>
      <c r="D3159" s="625" t="s">
        <v>5742</v>
      </c>
      <c r="E3159" s="760">
        <v>0</v>
      </c>
      <c r="F3159" s="731">
        <v>44975</v>
      </c>
      <c r="G3159" s="730">
        <v>3.472222222222222E-3</v>
      </c>
      <c r="H3159" s="625" t="s">
        <v>4736</v>
      </c>
      <c r="I3159" s="761" t="s">
        <v>674</v>
      </c>
      <c r="J3159" s="625" t="s">
        <v>3402</v>
      </c>
      <c r="K3159" s="625" t="s">
        <v>2118</v>
      </c>
      <c r="L3159" s="625" t="s">
        <v>3055</v>
      </c>
      <c r="M3159" s="762" t="s">
        <v>3055</v>
      </c>
    </row>
    <row r="3160" spans="3:13" ht="19.5">
      <c r="C3160" s="735"/>
      <c r="D3160" s="625" t="s">
        <v>5743</v>
      </c>
      <c r="E3160" s="760">
        <v>0.34583333333333338</v>
      </c>
      <c r="F3160" s="731">
        <v>44976</v>
      </c>
      <c r="G3160" s="730">
        <v>0.51041666666666663</v>
      </c>
      <c r="H3160" s="625" t="s">
        <v>2951</v>
      </c>
      <c r="I3160" s="761" t="s">
        <v>124</v>
      </c>
      <c r="J3160" s="625" t="s">
        <v>3356</v>
      </c>
      <c r="K3160" s="625" t="s">
        <v>100</v>
      </c>
      <c r="L3160" s="625" t="s">
        <v>3055</v>
      </c>
      <c r="M3160" s="762" t="s">
        <v>3055</v>
      </c>
    </row>
    <row r="3161" spans="3:13" ht="19.5">
      <c r="C3161" s="735"/>
      <c r="D3161" s="625" t="s">
        <v>5744</v>
      </c>
      <c r="E3161" s="760">
        <v>0.40625</v>
      </c>
      <c r="F3161" s="731" t="s">
        <v>45</v>
      </c>
      <c r="G3161" s="730" t="s">
        <v>45</v>
      </c>
      <c r="H3161" s="625" t="s">
        <v>4185</v>
      </c>
      <c r="I3161" s="761" t="s">
        <v>1352</v>
      </c>
      <c r="J3161" s="625" t="s">
        <v>2944</v>
      </c>
      <c r="K3161" s="625" t="s">
        <v>2952</v>
      </c>
      <c r="L3161" s="625" t="s">
        <v>3055</v>
      </c>
      <c r="M3161" s="762" t="s">
        <v>3055</v>
      </c>
    </row>
    <row r="3162" spans="3:13" ht="19.5">
      <c r="C3162" s="735"/>
      <c r="D3162" s="625" t="s">
        <v>5744</v>
      </c>
      <c r="E3162" s="760">
        <v>0.22708333333333333</v>
      </c>
      <c r="F3162" s="731">
        <v>44978</v>
      </c>
      <c r="G3162" s="730">
        <v>0.27847222222222223</v>
      </c>
      <c r="H3162" s="625" t="s">
        <v>3470</v>
      </c>
      <c r="I3162" s="761" t="s">
        <v>63</v>
      </c>
      <c r="J3162" s="625" t="s">
        <v>3411</v>
      </c>
      <c r="K3162" s="625" t="s">
        <v>2483</v>
      </c>
      <c r="L3162" s="625" t="s">
        <v>3055</v>
      </c>
      <c r="M3162" s="762" t="s">
        <v>3055</v>
      </c>
    </row>
    <row r="3163" spans="3:13" ht="19.5">
      <c r="C3163" s="735"/>
      <c r="D3163" s="625" t="s">
        <v>5744</v>
      </c>
      <c r="E3163" s="760">
        <v>0.55138888888888882</v>
      </c>
      <c r="F3163" s="731">
        <v>44978</v>
      </c>
      <c r="G3163" s="730">
        <v>0.60833333333333328</v>
      </c>
      <c r="H3163" s="625" t="s">
        <v>5745</v>
      </c>
      <c r="I3163" s="761" t="s">
        <v>63</v>
      </c>
      <c r="J3163" s="625" t="s">
        <v>2910</v>
      </c>
      <c r="K3163" s="625" t="s">
        <v>5075</v>
      </c>
      <c r="L3163" s="625" t="s">
        <v>45</v>
      </c>
      <c r="M3163" s="762" t="s">
        <v>5746</v>
      </c>
    </row>
    <row r="3164" spans="3:13" ht="19.5">
      <c r="C3164" s="735"/>
      <c r="D3164" s="625" t="s">
        <v>5747</v>
      </c>
      <c r="E3164" s="760">
        <v>0.77847222222222223</v>
      </c>
      <c r="F3164" s="731">
        <v>44982</v>
      </c>
      <c r="G3164" s="730">
        <v>0.67499999999999993</v>
      </c>
      <c r="H3164" s="625" t="s">
        <v>5749</v>
      </c>
      <c r="I3164" s="761" t="s">
        <v>3143</v>
      </c>
      <c r="J3164" s="625" t="s">
        <v>2753</v>
      </c>
      <c r="K3164" s="625" t="s">
        <v>22</v>
      </c>
      <c r="L3164" s="625" t="s">
        <v>45</v>
      </c>
      <c r="M3164" s="762" t="s">
        <v>5750</v>
      </c>
    </row>
    <row r="3165" spans="3:13" ht="19.5">
      <c r="C3165" s="735"/>
      <c r="D3165" s="625" t="s">
        <v>5747</v>
      </c>
      <c r="E3165" s="760">
        <v>0.77083333333333337</v>
      </c>
      <c r="F3165" s="731" t="s">
        <v>45</v>
      </c>
      <c r="G3165" s="730" t="s">
        <v>45</v>
      </c>
      <c r="H3165" s="625" t="s">
        <v>3307</v>
      </c>
      <c r="I3165" s="761" t="s">
        <v>3143</v>
      </c>
      <c r="J3165" s="625" t="s">
        <v>2753</v>
      </c>
      <c r="K3165" s="625" t="s">
        <v>22</v>
      </c>
      <c r="L3165" s="625" t="s">
        <v>5751</v>
      </c>
      <c r="M3165" s="762" t="s">
        <v>5752</v>
      </c>
    </row>
    <row r="3166" spans="3:13" ht="19.5">
      <c r="C3166" s="735"/>
      <c r="D3166" s="625" t="s">
        <v>5747</v>
      </c>
      <c r="E3166" s="760">
        <v>0.66666666666666663</v>
      </c>
      <c r="F3166" s="731">
        <v>44979</v>
      </c>
      <c r="G3166" s="730">
        <v>0.66736111111111107</v>
      </c>
      <c r="H3166" s="625" t="s">
        <v>5267</v>
      </c>
      <c r="I3166" s="761" t="s">
        <v>674</v>
      </c>
      <c r="J3166" s="625" t="s">
        <v>3402</v>
      </c>
      <c r="K3166" s="625" t="s">
        <v>2118</v>
      </c>
      <c r="L3166" s="625" t="s">
        <v>3055</v>
      </c>
      <c r="M3166" s="762" t="s">
        <v>3055</v>
      </c>
    </row>
    <row r="3167" spans="3:13" ht="19.5">
      <c r="C3167" s="735"/>
      <c r="D3167" s="625" t="s">
        <v>5753</v>
      </c>
      <c r="E3167" s="760">
        <v>0.1875</v>
      </c>
      <c r="F3167" s="731">
        <v>44980</v>
      </c>
      <c r="G3167" s="730">
        <v>0.54166666666666663</v>
      </c>
      <c r="H3167" s="625" t="s">
        <v>5754</v>
      </c>
      <c r="I3167" s="761" t="s">
        <v>674</v>
      </c>
      <c r="J3167" s="625" t="s">
        <v>2753</v>
      </c>
      <c r="K3167" s="625" t="s">
        <v>22</v>
      </c>
      <c r="L3167" s="625" t="s">
        <v>3407</v>
      </c>
      <c r="M3167" s="762" t="s">
        <v>3295</v>
      </c>
    </row>
    <row r="3168" spans="3:13" ht="19.5">
      <c r="C3168" s="735"/>
      <c r="D3168" s="625" t="s">
        <v>5753</v>
      </c>
      <c r="E3168" s="760">
        <v>0.36805555555555558</v>
      </c>
      <c r="F3168" s="731">
        <v>44980</v>
      </c>
      <c r="G3168" s="730">
        <v>0.52638888888888891</v>
      </c>
      <c r="H3168" s="625" t="s">
        <v>3645</v>
      </c>
      <c r="I3168" s="761" t="s">
        <v>124</v>
      </c>
      <c r="J3168" s="625" t="s">
        <v>2780</v>
      </c>
      <c r="K3168" s="625" t="s">
        <v>2764</v>
      </c>
      <c r="L3168" s="625" t="s">
        <v>3055</v>
      </c>
      <c r="M3168" s="762" t="s">
        <v>3055</v>
      </c>
    </row>
    <row r="3169" spans="3:13" ht="19.5">
      <c r="C3169" s="735"/>
      <c r="D3169" s="625" t="s">
        <v>5755</v>
      </c>
      <c r="E3169" s="760">
        <v>0.52013888888888882</v>
      </c>
      <c r="F3169" s="731">
        <v>44981</v>
      </c>
      <c r="G3169" s="730">
        <v>0.53125</v>
      </c>
      <c r="H3169" s="625" t="s">
        <v>5756</v>
      </c>
      <c r="I3169" s="761" t="s">
        <v>63</v>
      </c>
      <c r="J3169" s="625" t="s">
        <v>3402</v>
      </c>
      <c r="K3169" s="625" t="s">
        <v>2118</v>
      </c>
      <c r="L3169" s="625" t="s">
        <v>3055</v>
      </c>
      <c r="M3169" s="762" t="s">
        <v>3055</v>
      </c>
    </row>
    <row r="3170" spans="3:13" ht="19.5">
      <c r="C3170" s="735"/>
      <c r="D3170" s="625" t="s">
        <v>5748</v>
      </c>
      <c r="E3170" s="760">
        <v>5.5555555555555558E-3</v>
      </c>
      <c r="F3170" s="731">
        <v>44983</v>
      </c>
      <c r="G3170" s="730">
        <v>0.75555555555555554</v>
      </c>
      <c r="H3170" s="625" t="s">
        <v>2967</v>
      </c>
      <c r="I3170" s="761" t="s">
        <v>124</v>
      </c>
      <c r="J3170" s="625" t="s">
        <v>2753</v>
      </c>
      <c r="K3170" s="625" t="s">
        <v>22</v>
      </c>
      <c r="L3170" s="625" t="s">
        <v>45</v>
      </c>
      <c r="M3170" s="762" t="s">
        <v>5758</v>
      </c>
    </row>
    <row r="3171" spans="3:13" ht="19.5">
      <c r="C3171" s="735"/>
      <c r="D3171" s="625" t="s">
        <v>5757</v>
      </c>
      <c r="E3171" s="760">
        <v>0.58888888888888891</v>
      </c>
      <c r="F3171" s="731">
        <v>44983</v>
      </c>
      <c r="G3171" s="730">
        <v>0.63402777777777775</v>
      </c>
      <c r="H3171" s="625" t="s">
        <v>2928</v>
      </c>
      <c r="I3171" s="761" t="s">
        <v>63</v>
      </c>
      <c r="J3171" s="625" t="s">
        <v>2910</v>
      </c>
      <c r="K3171" s="625" t="s">
        <v>5075</v>
      </c>
      <c r="L3171" s="625" t="s">
        <v>45</v>
      </c>
      <c r="M3171" s="762" t="s">
        <v>45</v>
      </c>
    </row>
    <row r="3172" spans="3:13" ht="19.5">
      <c r="C3172" s="735"/>
      <c r="D3172" s="625" t="s">
        <v>5759</v>
      </c>
      <c r="E3172" s="760">
        <v>0.55902777777777779</v>
      </c>
      <c r="F3172" s="731">
        <v>44984</v>
      </c>
      <c r="G3172" s="730">
        <v>0.99930555555555556</v>
      </c>
      <c r="H3172" s="625" t="s">
        <v>5760</v>
      </c>
      <c r="I3172" s="761" t="s">
        <v>3143</v>
      </c>
      <c r="J3172" s="625" t="s">
        <v>2753</v>
      </c>
      <c r="K3172" s="625" t="s">
        <v>22</v>
      </c>
      <c r="L3172" s="625" t="s">
        <v>45</v>
      </c>
      <c r="M3172" s="762" t="s">
        <v>4538</v>
      </c>
    </row>
    <row r="3173" spans="3:13" ht="19.5">
      <c r="C3173" s="735"/>
      <c r="D3173" s="625" t="s">
        <v>5761</v>
      </c>
      <c r="E3173" s="760">
        <v>0.33333333333333331</v>
      </c>
      <c r="F3173" s="731">
        <v>44985</v>
      </c>
      <c r="G3173" s="730">
        <v>0.35416666666666669</v>
      </c>
      <c r="H3173" s="625" t="s">
        <v>5762</v>
      </c>
      <c r="I3173" s="761" t="s">
        <v>674</v>
      </c>
      <c r="J3173" s="625" t="s">
        <v>2910</v>
      </c>
      <c r="K3173" s="625" t="s">
        <v>100</v>
      </c>
      <c r="L3173" s="625" t="s">
        <v>4232</v>
      </c>
      <c r="M3173" s="762" t="s">
        <v>3055</v>
      </c>
    </row>
    <row r="3174" spans="3:13" ht="19.5">
      <c r="C3174" s="735"/>
      <c r="D3174" s="625" t="s">
        <v>5763</v>
      </c>
      <c r="E3174" s="760">
        <v>0</v>
      </c>
      <c r="F3174" s="731">
        <v>44986</v>
      </c>
      <c r="G3174" s="730">
        <v>2.8472222222222222E-2</v>
      </c>
      <c r="H3174" s="625" t="s">
        <v>4774</v>
      </c>
      <c r="I3174" s="761" t="s">
        <v>674</v>
      </c>
      <c r="J3174" s="625" t="s">
        <v>3387</v>
      </c>
      <c r="K3174" s="625" t="s">
        <v>2764</v>
      </c>
      <c r="L3174" s="625" t="s">
        <v>3055</v>
      </c>
      <c r="M3174" s="762" t="s">
        <v>3055</v>
      </c>
    </row>
    <row r="3175" spans="3:13" ht="19.5">
      <c r="C3175" s="735"/>
      <c r="D3175" s="625" t="s">
        <v>5764</v>
      </c>
      <c r="E3175" s="760">
        <v>0.79166666666666663</v>
      </c>
      <c r="F3175" s="731">
        <v>44989</v>
      </c>
      <c r="G3175" s="730">
        <v>0.95833333333333337</v>
      </c>
      <c r="H3175" s="625" t="s">
        <v>5766</v>
      </c>
      <c r="I3175" s="761" t="s">
        <v>1352</v>
      </c>
      <c r="J3175" s="625" t="s">
        <v>2753</v>
      </c>
      <c r="K3175" s="625" t="s">
        <v>22</v>
      </c>
      <c r="L3175" s="625" t="s">
        <v>45</v>
      </c>
      <c r="M3175" s="762" t="s">
        <v>5767</v>
      </c>
    </row>
    <row r="3176" spans="3:13" ht="19.5">
      <c r="C3176" s="735"/>
      <c r="D3176" s="625" t="s">
        <v>5768</v>
      </c>
      <c r="E3176" s="760">
        <v>0.57291666666666663</v>
      </c>
      <c r="F3176" s="731">
        <v>44988</v>
      </c>
      <c r="G3176" s="730">
        <v>0.57638888888888895</v>
      </c>
      <c r="H3176" s="625" t="s">
        <v>4928</v>
      </c>
      <c r="I3176" s="761" t="s">
        <v>5174</v>
      </c>
      <c r="J3176" s="625" t="s">
        <v>3402</v>
      </c>
      <c r="K3176" s="625" t="s">
        <v>2118</v>
      </c>
      <c r="L3176" s="625" t="s">
        <v>3055</v>
      </c>
      <c r="M3176" s="762" t="s">
        <v>3055</v>
      </c>
    </row>
    <row r="3177" spans="3:13" ht="19.5">
      <c r="C3177" s="735"/>
      <c r="D3177" s="625" t="s">
        <v>5768</v>
      </c>
      <c r="E3177" s="760">
        <v>0.40625</v>
      </c>
      <c r="F3177" s="731">
        <v>44988</v>
      </c>
      <c r="G3177" s="730">
        <v>0.40972222222222227</v>
      </c>
      <c r="H3177" s="625" t="s">
        <v>3116</v>
      </c>
      <c r="I3177" s="761" t="s">
        <v>63</v>
      </c>
      <c r="J3177" s="625" t="s">
        <v>3411</v>
      </c>
      <c r="K3177" s="625" t="s">
        <v>2764</v>
      </c>
      <c r="L3177" s="625" t="s">
        <v>3228</v>
      </c>
      <c r="M3177" s="762" t="s">
        <v>5769</v>
      </c>
    </row>
    <row r="3178" spans="3:13" ht="19.5">
      <c r="C3178" s="735"/>
      <c r="D3178" s="625" t="s">
        <v>5768</v>
      </c>
      <c r="E3178" s="760">
        <v>0.33333333333333331</v>
      </c>
      <c r="F3178" s="731">
        <v>44988</v>
      </c>
      <c r="G3178" s="730">
        <v>0.33402777777777781</v>
      </c>
      <c r="H3178" s="625" t="s">
        <v>5770</v>
      </c>
      <c r="I3178" s="761" t="s">
        <v>1352</v>
      </c>
      <c r="J3178" s="625" t="s">
        <v>3356</v>
      </c>
      <c r="K3178" s="625" t="s">
        <v>2118</v>
      </c>
      <c r="L3178" s="625" t="s">
        <v>3055</v>
      </c>
      <c r="M3178" s="762" t="s">
        <v>3055</v>
      </c>
    </row>
    <row r="3179" spans="3:13" ht="19.5">
      <c r="C3179" s="735"/>
      <c r="D3179" s="625" t="s">
        <v>5768</v>
      </c>
      <c r="E3179" s="760">
        <v>0.65277777777777779</v>
      </c>
      <c r="F3179" s="731" t="s">
        <v>45</v>
      </c>
      <c r="G3179" s="730" t="s">
        <v>45</v>
      </c>
      <c r="H3179" s="625" t="s">
        <v>5771</v>
      </c>
      <c r="I3179" s="761" t="s">
        <v>63</v>
      </c>
      <c r="J3179" s="625" t="s">
        <v>2753</v>
      </c>
      <c r="K3179" s="625" t="s">
        <v>22</v>
      </c>
      <c r="L3179" s="625" t="s">
        <v>45</v>
      </c>
      <c r="M3179" s="762" t="s">
        <v>5772</v>
      </c>
    </row>
    <row r="3180" spans="3:13" ht="19.5">
      <c r="C3180" s="735"/>
      <c r="D3180" s="625" t="s">
        <v>5768</v>
      </c>
      <c r="E3180" s="760">
        <v>0.81111111111111101</v>
      </c>
      <c r="F3180" s="731">
        <v>44988</v>
      </c>
      <c r="G3180" s="730">
        <v>0.87083333333333324</v>
      </c>
      <c r="H3180" s="625" t="s">
        <v>4048</v>
      </c>
      <c r="I3180" s="761" t="s">
        <v>3143</v>
      </c>
      <c r="J3180" s="625" t="s">
        <v>2753</v>
      </c>
      <c r="K3180" s="625" t="s">
        <v>22</v>
      </c>
      <c r="L3180" s="625" t="s">
        <v>45</v>
      </c>
      <c r="M3180" s="762" t="s">
        <v>5773</v>
      </c>
    </row>
    <row r="3181" spans="3:13" ht="19.5">
      <c r="C3181" s="735"/>
      <c r="D3181" s="625" t="s">
        <v>5768</v>
      </c>
      <c r="E3181" s="760">
        <v>0.58333333333333337</v>
      </c>
      <c r="F3181" s="731">
        <v>44989</v>
      </c>
      <c r="G3181" s="730">
        <v>0.16666666666666666</v>
      </c>
      <c r="H3181" s="625" t="s">
        <v>4241</v>
      </c>
      <c r="I3181" s="761" t="s">
        <v>63</v>
      </c>
      <c r="J3181" s="625" t="s">
        <v>2753</v>
      </c>
      <c r="K3181" s="625" t="s">
        <v>22</v>
      </c>
      <c r="L3181" s="625" t="s">
        <v>45</v>
      </c>
      <c r="M3181" s="762" t="s">
        <v>3073</v>
      </c>
    </row>
    <row r="3182" spans="3:13" ht="19.5">
      <c r="C3182" s="735"/>
      <c r="D3182" s="625" t="s">
        <v>5768</v>
      </c>
      <c r="E3182" s="760">
        <v>0.74305555555555547</v>
      </c>
      <c r="F3182" s="731">
        <v>44990</v>
      </c>
      <c r="G3182" s="730">
        <v>0.50069444444444444</v>
      </c>
      <c r="H3182" s="625" t="s">
        <v>3307</v>
      </c>
      <c r="I3182" s="761" t="s">
        <v>3143</v>
      </c>
      <c r="J3182" s="625" t="s">
        <v>2753</v>
      </c>
      <c r="K3182" s="625" t="s">
        <v>22</v>
      </c>
      <c r="L3182" s="625" t="s">
        <v>3055</v>
      </c>
      <c r="M3182" s="762" t="s">
        <v>4744</v>
      </c>
    </row>
    <row r="3183" spans="3:13" ht="19.5">
      <c r="C3183" s="735"/>
      <c r="D3183" s="625" t="s">
        <v>5768</v>
      </c>
      <c r="E3183" s="760">
        <v>0.53125</v>
      </c>
      <c r="F3183" s="731">
        <v>44988</v>
      </c>
      <c r="G3183" s="730">
        <v>0.9458333333333333</v>
      </c>
      <c r="H3183" s="625" t="s">
        <v>3167</v>
      </c>
      <c r="I3183" s="761" t="s">
        <v>63</v>
      </c>
      <c r="J3183" s="625" t="s">
        <v>2753</v>
      </c>
      <c r="K3183" s="625" t="s">
        <v>22</v>
      </c>
      <c r="L3183" s="625" t="s">
        <v>5775</v>
      </c>
      <c r="M3183" s="762" t="s">
        <v>5776</v>
      </c>
    </row>
    <row r="3184" spans="3:13" ht="19.5">
      <c r="C3184" s="735"/>
      <c r="D3184" s="625" t="s">
        <v>5768</v>
      </c>
      <c r="E3184" s="760">
        <v>0.65277777777777779</v>
      </c>
      <c r="F3184" s="731" t="s">
        <v>45</v>
      </c>
      <c r="G3184" s="730" t="s">
        <v>45</v>
      </c>
      <c r="H3184" s="625" t="s">
        <v>5777</v>
      </c>
      <c r="I3184" s="761" t="s">
        <v>63</v>
      </c>
      <c r="J3184" s="625" t="s">
        <v>2753</v>
      </c>
      <c r="K3184" s="625" t="s">
        <v>22</v>
      </c>
      <c r="L3184" s="625" t="s">
        <v>45</v>
      </c>
      <c r="M3184" s="762" t="s">
        <v>45</v>
      </c>
    </row>
    <row r="3185" spans="3:13" ht="19.5">
      <c r="C3185" s="735"/>
      <c r="D3185" s="625" t="s">
        <v>5765</v>
      </c>
      <c r="E3185" s="760">
        <v>0.2951388888888889</v>
      </c>
      <c r="F3185" s="731">
        <v>44989</v>
      </c>
      <c r="G3185" s="730">
        <v>0.29583333333333334</v>
      </c>
      <c r="H3185" s="625" t="s">
        <v>2866</v>
      </c>
      <c r="I3185" s="761" t="s">
        <v>63</v>
      </c>
      <c r="J3185" s="625" t="s">
        <v>3379</v>
      </c>
      <c r="K3185" s="625" t="s">
        <v>2483</v>
      </c>
      <c r="L3185" s="625" t="s">
        <v>5778</v>
      </c>
      <c r="M3185" s="762" t="s">
        <v>5779</v>
      </c>
    </row>
    <row r="3186" spans="3:13" ht="19.5">
      <c r="C3186" s="735"/>
      <c r="D3186" s="625" t="s">
        <v>5765</v>
      </c>
      <c r="E3186" s="760">
        <v>0.2951388888888889</v>
      </c>
      <c r="F3186" s="731">
        <v>44989</v>
      </c>
      <c r="G3186" s="730">
        <v>0.29583333333333334</v>
      </c>
      <c r="H3186" s="625" t="s">
        <v>2866</v>
      </c>
      <c r="I3186" s="761" t="s">
        <v>63</v>
      </c>
      <c r="J3186" s="625" t="s">
        <v>3379</v>
      </c>
      <c r="K3186" s="625" t="s">
        <v>2483</v>
      </c>
      <c r="L3186" s="625" t="s">
        <v>4738</v>
      </c>
      <c r="M3186" s="762" t="s">
        <v>45</v>
      </c>
    </row>
    <row r="3187" spans="3:13" ht="19.5">
      <c r="C3187" s="735"/>
      <c r="D3187" s="625" t="s">
        <v>5774</v>
      </c>
      <c r="E3187" s="760">
        <v>0.8354166666666667</v>
      </c>
      <c r="F3187" s="731">
        <v>44991</v>
      </c>
      <c r="G3187" s="730">
        <v>0.65138888888888891</v>
      </c>
      <c r="H3187" s="625" t="s">
        <v>5781</v>
      </c>
      <c r="I3187" s="761" t="s">
        <v>63</v>
      </c>
      <c r="J3187" s="625" t="s">
        <v>3402</v>
      </c>
      <c r="K3187" s="625" t="s">
        <v>2118</v>
      </c>
      <c r="L3187" s="625" t="s">
        <v>3055</v>
      </c>
      <c r="M3187" s="762" t="s">
        <v>3055</v>
      </c>
    </row>
    <row r="3188" spans="3:13" ht="19.5">
      <c r="C3188" s="735"/>
      <c r="D3188" s="625" t="s">
        <v>5774</v>
      </c>
      <c r="E3188" s="760">
        <v>0.49513888888888885</v>
      </c>
      <c r="F3188" s="731">
        <v>44991</v>
      </c>
      <c r="G3188" s="730">
        <v>0.32708333333333334</v>
      </c>
      <c r="H3188" s="625" t="s">
        <v>5782</v>
      </c>
      <c r="I3188" s="761" t="s">
        <v>3143</v>
      </c>
      <c r="J3188" s="625" t="s">
        <v>3356</v>
      </c>
      <c r="K3188" s="625" t="s">
        <v>100</v>
      </c>
      <c r="L3188" s="625" t="s">
        <v>3055</v>
      </c>
      <c r="M3188" s="762" t="s">
        <v>3055</v>
      </c>
    </row>
    <row r="3189" spans="3:13" ht="19.5">
      <c r="C3189" s="735"/>
      <c r="D3189" s="625" t="s">
        <v>5780</v>
      </c>
      <c r="E3189" s="760">
        <v>0.6791666666666667</v>
      </c>
      <c r="F3189" s="731">
        <v>44991</v>
      </c>
      <c r="G3189" s="730">
        <v>0.72916666666666663</v>
      </c>
      <c r="H3189" s="625" t="s">
        <v>5783</v>
      </c>
      <c r="I3189" s="761" t="s">
        <v>63</v>
      </c>
      <c r="J3189" s="625" t="s">
        <v>3356</v>
      </c>
      <c r="K3189" s="625" t="s">
        <v>5075</v>
      </c>
      <c r="L3189" s="625" t="s">
        <v>3081</v>
      </c>
      <c r="M3189" s="762" t="s">
        <v>3055</v>
      </c>
    </row>
    <row r="3190" spans="3:13" ht="19.5">
      <c r="C3190" s="735"/>
      <c r="D3190" s="625" t="s">
        <v>5784</v>
      </c>
      <c r="E3190" s="760">
        <v>0.45833333333333331</v>
      </c>
      <c r="F3190" s="731">
        <v>44992</v>
      </c>
      <c r="G3190" s="730">
        <v>0.65625</v>
      </c>
      <c r="H3190" s="625" t="s">
        <v>5785</v>
      </c>
      <c r="I3190" s="761" t="s">
        <v>1352</v>
      </c>
      <c r="J3190" s="625" t="s">
        <v>3402</v>
      </c>
      <c r="K3190" s="625" t="s">
        <v>100</v>
      </c>
      <c r="L3190" s="625" t="s">
        <v>3055</v>
      </c>
      <c r="M3190" s="762" t="s">
        <v>3055</v>
      </c>
    </row>
    <row r="3191" spans="3:13" ht="19.5">
      <c r="C3191" s="735"/>
      <c r="D3191" s="625" t="s">
        <v>5784</v>
      </c>
      <c r="E3191" s="760">
        <v>0.43472222222222223</v>
      </c>
      <c r="F3191" s="731">
        <v>44992</v>
      </c>
      <c r="G3191" s="730">
        <v>0.61249999999999993</v>
      </c>
      <c r="H3191" s="625" t="s">
        <v>2909</v>
      </c>
      <c r="I3191" s="761" t="s">
        <v>1352</v>
      </c>
      <c r="J3191" s="625" t="s">
        <v>3402</v>
      </c>
      <c r="K3191" s="625" t="s">
        <v>100</v>
      </c>
      <c r="L3191" s="625" t="s">
        <v>3055</v>
      </c>
      <c r="M3191" s="762" t="s">
        <v>3055</v>
      </c>
    </row>
    <row r="3192" spans="3:13" ht="19.5">
      <c r="C3192" s="735"/>
      <c r="D3192" s="625" t="s">
        <v>5786</v>
      </c>
      <c r="E3192" s="760">
        <v>1.3888888888888889E-3</v>
      </c>
      <c r="F3192" s="731" t="s">
        <v>45</v>
      </c>
      <c r="G3192" s="730" t="s">
        <v>45</v>
      </c>
      <c r="H3192" s="625" t="s">
        <v>5555</v>
      </c>
      <c r="I3192" s="761" t="s">
        <v>1352</v>
      </c>
      <c r="J3192" s="625" t="s">
        <v>3356</v>
      </c>
      <c r="K3192" s="625" t="s">
        <v>100</v>
      </c>
      <c r="L3192" s="625" t="s">
        <v>3055</v>
      </c>
      <c r="M3192" s="762" t="s">
        <v>3055</v>
      </c>
    </row>
    <row r="3193" spans="3:13" ht="19.5">
      <c r="C3193" s="735"/>
      <c r="D3193" s="625" t="s">
        <v>5786</v>
      </c>
      <c r="E3193" s="760">
        <v>4.1666666666666664E-2</v>
      </c>
      <c r="F3193" s="731">
        <v>44993</v>
      </c>
      <c r="G3193" s="730">
        <v>8.3333333333333329E-2</v>
      </c>
      <c r="H3193" s="625" t="s">
        <v>4245</v>
      </c>
      <c r="I3193" s="761" t="s">
        <v>3143</v>
      </c>
      <c r="J3193" s="625" t="s">
        <v>3356</v>
      </c>
      <c r="K3193" s="625" t="s">
        <v>100</v>
      </c>
      <c r="L3193" s="625" t="s">
        <v>3055</v>
      </c>
      <c r="M3193" s="762" t="s">
        <v>3055</v>
      </c>
    </row>
    <row r="3194" spans="3:13" ht="19.5">
      <c r="C3194" s="735"/>
      <c r="D3194" s="625" t="s">
        <v>5787</v>
      </c>
      <c r="E3194" s="760">
        <v>0.75</v>
      </c>
      <c r="F3194" s="731">
        <v>44995</v>
      </c>
      <c r="G3194" s="730">
        <v>0.75</v>
      </c>
      <c r="H3194" s="625" t="s">
        <v>5789</v>
      </c>
      <c r="I3194" s="761" t="s">
        <v>4935</v>
      </c>
      <c r="J3194" s="625" t="s">
        <v>2753</v>
      </c>
      <c r="K3194" s="625" t="s">
        <v>22</v>
      </c>
      <c r="L3194" s="625" t="s">
        <v>5790</v>
      </c>
      <c r="M3194" s="762" t="s">
        <v>3462</v>
      </c>
    </row>
    <row r="3195" spans="3:13" ht="19.5">
      <c r="C3195" s="735"/>
      <c r="D3195" s="625" t="s">
        <v>5788</v>
      </c>
      <c r="E3195" s="760">
        <v>0.19999999999999998</v>
      </c>
      <c r="F3195" s="731">
        <v>44995</v>
      </c>
      <c r="G3195" s="730">
        <v>0.54652777777777783</v>
      </c>
      <c r="H3195" s="625" t="s">
        <v>5791</v>
      </c>
      <c r="I3195" s="761" t="s">
        <v>1352</v>
      </c>
      <c r="J3195" s="625" t="s">
        <v>3411</v>
      </c>
      <c r="K3195" s="625" t="s">
        <v>2764</v>
      </c>
      <c r="L3195" s="625" t="s">
        <v>3055</v>
      </c>
      <c r="M3195" s="762" t="s">
        <v>3055</v>
      </c>
    </row>
    <row r="3196" spans="3:13" ht="19.5">
      <c r="C3196" s="735"/>
      <c r="D3196" s="625" t="s">
        <v>5788</v>
      </c>
      <c r="E3196" s="760">
        <v>0.33333333333333331</v>
      </c>
      <c r="F3196" s="731">
        <v>44995</v>
      </c>
      <c r="G3196" s="730">
        <v>0.37222222222222223</v>
      </c>
      <c r="H3196" s="625" t="s">
        <v>2847</v>
      </c>
      <c r="I3196" s="761" t="s">
        <v>124</v>
      </c>
      <c r="J3196" s="625" t="s">
        <v>3356</v>
      </c>
      <c r="K3196" s="625" t="s">
        <v>100</v>
      </c>
      <c r="L3196" s="625" t="s">
        <v>3055</v>
      </c>
      <c r="M3196" s="762" t="s">
        <v>3055</v>
      </c>
    </row>
    <row r="3197" spans="3:13" ht="19.5">
      <c r="C3197" s="735"/>
      <c r="D3197" s="625" t="s">
        <v>5792</v>
      </c>
      <c r="E3197" s="760">
        <v>0.33333333333333331</v>
      </c>
      <c r="F3197" s="731">
        <v>45001</v>
      </c>
      <c r="G3197" s="730">
        <v>0.34722222222222227</v>
      </c>
      <c r="H3197" s="625" t="s">
        <v>5794</v>
      </c>
      <c r="I3197" s="761" t="s">
        <v>61</v>
      </c>
      <c r="J3197" s="625" t="s">
        <v>2753</v>
      </c>
      <c r="K3197" s="625" t="s">
        <v>22</v>
      </c>
      <c r="L3197" s="625" t="s">
        <v>45</v>
      </c>
      <c r="M3197" s="762" t="s">
        <v>5795</v>
      </c>
    </row>
    <row r="3198" spans="3:13" ht="19.5">
      <c r="C3198" s="735"/>
      <c r="D3198" s="625" t="s">
        <v>5792</v>
      </c>
      <c r="E3198" s="760">
        <v>0.3923611111111111</v>
      </c>
      <c r="F3198" s="731">
        <v>45000</v>
      </c>
      <c r="G3198" s="730">
        <v>0.625</v>
      </c>
      <c r="H3198" s="625" t="s">
        <v>2868</v>
      </c>
      <c r="I3198" s="761" t="s">
        <v>61</v>
      </c>
      <c r="J3198" s="625" t="s">
        <v>2753</v>
      </c>
      <c r="K3198" s="625" t="s">
        <v>22</v>
      </c>
      <c r="L3198" s="625" t="s">
        <v>45</v>
      </c>
      <c r="M3198" s="762" t="s">
        <v>45</v>
      </c>
    </row>
    <row r="3199" spans="3:13" ht="19.5">
      <c r="C3199" s="735"/>
      <c r="D3199" s="625" t="s">
        <v>5793</v>
      </c>
      <c r="E3199" s="760">
        <v>0.44027777777777777</v>
      </c>
      <c r="F3199" s="731">
        <v>45001</v>
      </c>
      <c r="G3199" s="730">
        <v>0.60138888888888886</v>
      </c>
      <c r="H3199" s="625" t="s">
        <v>2909</v>
      </c>
      <c r="I3199" s="761" t="s">
        <v>1352</v>
      </c>
      <c r="J3199" s="625" t="s">
        <v>3402</v>
      </c>
      <c r="K3199" s="625" t="s">
        <v>2118</v>
      </c>
      <c r="L3199" s="625" t="s">
        <v>3055</v>
      </c>
      <c r="M3199" s="762" t="s">
        <v>3055</v>
      </c>
    </row>
    <row r="3200" spans="3:13" ht="19.5">
      <c r="C3200" s="735"/>
      <c r="D3200" s="625" t="s">
        <v>5797</v>
      </c>
      <c r="E3200" s="760">
        <v>0.23958333333333334</v>
      </c>
      <c r="F3200" s="731">
        <v>45007</v>
      </c>
      <c r="G3200" s="730">
        <v>0.24027777777777778</v>
      </c>
      <c r="H3200" s="625" t="s">
        <v>5798</v>
      </c>
      <c r="I3200" s="761" t="s">
        <v>3143</v>
      </c>
      <c r="J3200" s="625" t="s">
        <v>3402</v>
      </c>
      <c r="K3200" s="625" t="s">
        <v>2118</v>
      </c>
      <c r="L3200" s="625" t="s">
        <v>5799</v>
      </c>
      <c r="M3200" s="762" t="s">
        <v>3055</v>
      </c>
    </row>
    <row r="3201" spans="3:13" ht="19.5">
      <c r="C3201" s="735"/>
      <c r="D3201" s="625" t="s">
        <v>5800</v>
      </c>
      <c r="E3201" s="760">
        <v>0.72152777777777777</v>
      </c>
      <c r="F3201" s="731">
        <v>45008</v>
      </c>
      <c r="G3201" s="730">
        <v>0.75416666666666676</v>
      </c>
      <c r="H3201" s="625" t="s">
        <v>2801</v>
      </c>
      <c r="I3201" s="761" t="s">
        <v>124</v>
      </c>
      <c r="J3201" s="625" t="s">
        <v>3387</v>
      </c>
      <c r="K3201" s="625" t="s">
        <v>2952</v>
      </c>
      <c r="L3201" s="625" t="s">
        <v>3055</v>
      </c>
      <c r="M3201" s="762" t="s">
        <v>3055</v>
      </c>
    </row>
    <row r="3202" spans="3:13" ht="19.5">
      <c r="C3202" s="735"/>
      <c r="D3202" s="625" t="s">
        <v>5800</v>
      </c>
      <c r="E3202" s="760">
        <v>0.48402777777777778</v>
      </c>
      <c r="F3202" s="731">
        <v>45008</v>
      </c>
      <c r="G3202" s="730">
        <v>0.48472222222222222</v>
      </c>
      <c r="H3202" s="625" t="s">
        <v>5770</v>
      </c>
      <c r="I3202" s="761" t="s">
        <v>1352</v>
      </c>
      <c r="J3202" s="625" t="s">
        <v>3356</v>
      </c>
      <c r="K3202" s="625" t="s">
        <v>100</v>
      </c>
      <c r="L3202" s="625" t="s">
        <v>3055</v>
      </c>
      <c r="M3202" s="762" t="s">
        <v>3055</v>
      </c>
    </row>
    <row r="3203" spans="3:13" ht="19.5">
      <c r="C3203" s="735"/>
      <c r="D3203" s="625" t="s">
        <v>5800</v>
      </c>
      <c r="E3203" s="760">
        <v>2.7083333333333334E-2</v>
      </c>
      <c r="F3203" s="731">
        <v>45008</v>
      </c>
      <c r="G3203" s="730">
        <v>2.7777777777777776E-2</v>
      </c>
      <c r="H3203" s="625" t="s">
        <v>2817</v>
      </c>
      <c r="I3203" s="761" t="s">
        <v>124</v>
      </c>
      <c r="J3203" s="625" t="s">
        <v>2910</v>
      </c>
      <c r="K3203" s="625" t="s">
        <v>5075</v>
      </c>
      <c r="L3203" s="625" t="s">
        <v>4951</v>
      </c>
      <c r="M3203" s="762" t="s">
        <v>5801</v>
      </c>
    </row>
    <row r="3204" spans="3:13" ht="19.5">
      <c r="C3204" s="735"/>
      <c r="D3204" s="625" t="s">
        <v>5802</v>
      </c>
      <c r="E3204" s="760">
        <v>0.67569444444444438</v>
      </c>
      <c r="F3204" s="731">
        <v>45012</v>
      </c>
      <c r="G3204" s="730">
        <v>0.77083333333333337</v>
      </c>
      <c r="H3204" s="625" t="s">
        <v>3307</v>
      </c>
      <c r="I3204" s="761" t="s">
        <v>3143</v>
      </c>
      <c r="J3204" s="625" t="s">
        <v>2753</v>
      </c>
      <c r="K3204" s="625" t="s">
        <v>22</v>
      </c>
      <c r="L3204" s="625" t="s">
        <v>5804</v>
      </c>
      <c r="M3204" s="762" t="s">
        <v>5805</v>
      </c>
    </row>
    <row r="3205" spans="3:13" ht="19.5">
      <c r="C3205" s="735"/>
      <c r="D3205" s="625" t="s">
        <v>5802</v>
      </c>
      <c r="E3205" s="760">
        <v>0.67499999999999993</v>
      </c>
      <c r="F3205" s="731" t="s">
        <v>45</v>
      </c>
      <c r="G3205" s="730" t="s">
        <v>45</v>
      </c>
      <c r="H3205" s="625" t="s">
        <v>5806</v>
      </c>
      <c r="I3205" s="761" t="s">
        <v>3143</v>
      </c>
      <c r="J3205" s="625" t="s">
        <v>2753</v>
      </c>
      <c r="K3205" s="625" t="s">
        <v>22</v>
      </c>
      <c r="L3205" s="625" t="s">
        <v>45</v>
      </c>
      <c r="M3205" s="762" t="s">
        <v>5807</v>
      </c>
    </row>
    <row r="3206" spans="3:13" ht="19.5">
      <c r="C3206" s="735"/>
      <c r="D3206" s="625" t="s">
        <v>5808</v>
      </c>
      <c r="E3206" s="760">
        <v>0.53611111111111109</v>
      </c>
      <c r="F3206" s="731">
        <v>45011</v>
      </c>
      <c r="G3206" s="730">
        <v>0.57916666666666672</v>
      </c>
      <c r="H3206" s="625" t="s">
        <v>5809</v>
      </c>
      <c r="I3206" s="761" t="s">
        <v>251</v>
      </c>
      <c r="J3206" s="625" t="s">
        <v>3402</v>
      </c>
      <c r="K3206" s="625" t="s">
        <v>100</v>
      </c>
      <c r="L3206" s="625" t="s">
        <v>5568</v>
      </c>
      <c r="M3206" s="762" t="s">
        <v>45</v>
      </c>
    </row>
    <row r="3207" spans="3:13" ht="19.5">
      <c r="C3207" s="735"/>
      <c r="D3207" s="625" t="s">
        <v>5810</v>
      </c>
      <c r="E3207" s="760">
        <v>0.22361111111111109</v>
      </c>
      <c r="F3207" s="731">
        <v>45013</v>
      </c>
      <c r="G3207" s="730">
        <v>0.28958333333333336</v>
      </c>
      <c r="H3207" s="625" t="s">
        <v>5089</v>
      </c>
      <c r="I3207" s="761" t="s">
        <v>1352</v>
      </c>
      <c r="J3207" s="625" t="s">
        <v>3447</v>
      </c>
      <c r="K3207" s="625" t="s">
        <v>2764</v>
      </c>
      <c r="L3207" s="625" t="s">
        <v>3055</v>
      </c>
      <c r="M3207" s="762" t="s">
        <v>3055</v>
      </c>
    </row>
    <row r="3208" spans="3:13" ht="19.5">
      <c r="C3208" s="735"/>
      <c r="D3208" s="625" t="s">
        <v>5810</v>
      </c>
      <c r="E3208" s="760">
        <v>0.4201388888888889</v>
      </c>
      <c r="F3208" s="731" t="s">
        <v>45</v>
      </c>
      <c r="G3208" s="730" t="s">
        <v>45</v>
      </c>
      <c r="H3208" s="625" t="s">
        <v>5811</v>
      </c>
      <c r="I3208" s="761" t="s">
        <v>1352</v>
      </c>
      <c r="J3208" s="625" t="s">
        <v>2910</v>
      </c>
      <c r="K3208" s="625" t="s">
        <v>100</v>
      </c>
      <c r="L3208" s="625" t="s">
        <v>3055</v>
      </c>
      <c r="M3208" s="762" t="s">
        <v>3055</v>
      </c>
    </row>
    <row r="3209" spans="3:13" ht="19.5">
      <c r="C3209" s="735"/>
      <c r="D3209" s="625" t="s">
        <v>5812</v>
      </c>
      <c r="E3209" s="760">
        <v>0.22638888888888889</v>
      </c>
      <c r="F3209" s="731">
        <v>45014</v>
      </c>
      <c r="G3209" s="730">
        <v>0.30763888888888891</v>
      </c>
      <c r="H3209" s="625" t="s">
        <v>5813</v>
      </c>
      <c r="I3209" s="761" t="s">
        <v>674</v>
      </c>
      <c r="J3209" s="625" t="s">
        <v>3411</v>
      </c>
      <c r="K3209" s="625" t="s">
        <v>2764</v>
      </c>
      <c r="L3209" s="625" t="s">
        <v>3055</v>
      </c>
      <c r="M3209" s="762" t="s">
        <v>3055</v>
      </c>
    </row>
    <row r="3210" spans="3:13" ht="19.5">
      <c r="C3210" s="735"/>
      <c r="D3210" s="625" t="s">
        <v>5812</v>
      </c>
      <c r="E3210" s="760">
        <v>0.73402777777777783</v>
      </c>
      <c r="F3210" s="731">
        <v>45014</v>
      </c>
      <c r="G3210" s="730">
        <v>0.80208333333333337</v>
      </c>
      <c r="H3210" s="625" t="s">
        <v>3876</v>
      </c>
      <c r="I3210" s="761" t="s">
        <v>5814</v>
      </c>
      <c r="J3210" s="625" t="s">
        <v>3387</v>
      </c>
      <c r="K3210" s="625" t="s">
        <v>2764</v>
      </c>
      <c r="L3210" s="625" t="s">
        <v>3055</v>
      </c>
      <c r="M3210" s="762" t="s">
        <v>3055</v>
      </c>
    </row>
    <row r="3211" spans="3:13" ht="19.5">
      <c r="C3211" s="735"/>
      <c r="D3211" s="625" t="s">
        <v>5815</v>
      </c>
      <c r="E3211" s="760">
        <v>0.3840277777777778</v>
      </c>
      <c r="F3211" s="731">
        <v>45015</v>
      </c>
      <c r="G3211" s="730">
        <v>0.38541666666666669</v>
      </c>
      <c r="H3211" s="625" t="s">
        <v>5469</v>
      </c>
      <c r="I3211" s="761" t="s">
        <v>124</v>
      </c>
      <c r="J3211" s="625" t="s">
        <v>3356</v>
      </c>
      <c r="K3211" s="625" t="s">
        <v>100</v>
      </c>
      <c r="L3211" s="625" t="s">
        <v>3055</v>
      </c>
      <c r="M3211" s="762" t="s">
        <v>3055</v>
      </c>
    </row>
    <row r="3212" spans="3:13" ht="19.5">
      <c r="C3212" s="735"/>
      <c r="D3212" s="625" t="s">
        <v>5815</v>
      </c>
      <c r="E3212" s="760">
        <v>0.76944444444444438</v>
      </c>
      <c r="F3212" s="731">
        <v>45015</v>
      </c>
      <c r="G3212" s="730">
        <v>0.92569444444444438</v>
      </c>
      <c r="H3212" s="625" t="s">
        <v>3645</v>
      </c>
      <c r="I3212" s="761" t="s">
        <v>124</v>
      </c>
      <c r="J3212" s="625" t="s">
        <v>2839</v>
      </c>
      <c r="K3212" s="625" t="s">
        <v>2483</v>
      </c>
      <c r="L3212" s="625" t="s">
        <v>4058</v>
      </c>
      <c r="M3212" s="762" t="s">
        <v>45</v>
      </c>
    </row>
    <row r="3213" spans="3:13" ht="19.5">
      <c r="C3213" s="735"/>
      <c r="D3213" s="625" t="s">
        <v>5815</v>
      </c>
      <c r="E3213" s="760">
        <v>0.40277777777777773</v>
      </c>
      <c r="F3213" s="731">
        <v>45015</v>
      </c>
      <c r="G3213" s="730">
        <v>0.41666666666666669</v>
      </c>
      <c r="H3213" s="625" t="s">
        <v>3354</v>
      </c>
      <c r="I3213" s="761" t="s">
        <v>63</v>
      </c>
      <c r="J3213" s="625" t="s">
        <v>3356</v>
      </c>
      <c r="K3213" s="625" t="s">
        <v>100</v>
      </c>
      <c r="L3213" s="625" t="s">
        <v>3055</v>
      </c>
      <c r="M3213" s="762" t="s">
        <v>3055</v>
      </c>
    </row>
    <row r="3214" spans="3:13" ht="19.5">
      <c r="C3214" s="735"/>
      <c r="D3214" s="625" t="s">
        <v>5815</v>
      </c>
      <c r="E3214" s="760">
        <v>0.80625000000000002</v>
      </c>
      <c r="F3214" s="731" t="s">
        <v>45</v>
      </c>
      <c r="G3214" s="730" t="s">
        <v>45</v>
      </c>
      <c r="H3214" s="625" t="s">
        <v>3645</v>
      </c>
      <c r="I3214" s="761" t="s">
        <v>124</v>
      </c>
      <c r="J3214" s="625" t="s">
        <v>2839</v>
      </c>
      <c r="K3214" s="625" t="s">
        <v>2483</v>
      </c>
      <c r="L3214" s="625" t="s">
        <v>45</v>
      </c>
      <c r="M3214" s="762" t="s">
        <v>45</v>
      </c>
    </row>
    <row r="3215" spans="3:13" ht="19.5">
      <c r="C3215" s="735"/>
      <c r="D3215" s="625" t="s">
        <v>5815</v>
      </c>
      <c r="E3215" s="760">
        <v>0.20833333333333334</v>
      </c>
      <c r="F3215" s="731">
        <v>45015</v>
      </c>
      <c r="G3215" s="730">
        <v>0.59722222222222221</v>
      </c>
      <c r="H3215" s="625" t="s">
        <v>5816</v>
      </c>
      <c r="I3215" s="761" t="s">
        <v>3143</v>
      </c>
      <c r="J3215" s="625" t="s">
        <v>3356</v>
      </c>
      <c r="K3215" s="625" t="s">
        <v>100</v>
      </c>
      <c r="L3215" s="625" t="s">
        <v>5817</v>
      </c>
      <c r="M3215" s="762" t="s">
        <v>3055</v>
      </c>
    </row>
    <row r="3216" spans="3:13" ht="19.5">
      <c r="C3216" s="735"/>
      <c r="D3216" s="625" t="s">
        <v>5818</v>
      </c>
      <c r="E3216" s="760">
        <v>0.75</v>
      </c>
      <c r="F3216" s="731">
        <v>45016</v>
      </c>
      <c r="G3216" s="730">
        <v>0.86458333333333337</v>
      </c>
      <c r="H3216" s="625" t="s">
        <v>3405</v>
      </c>
      <c r="I3216" s="761" t="s">
        <v>63</v>
      </c>
      <c r="J3216" s="625" t="s">
        <v>2753</v>
      </c>
      <c r="K3216" s="625" t="s">
        <v>22</v>
      </c>
      <c r="L3216" s="625" t="s">
        <v>45</v>
      </c>
      <c r="M3216" s="762" t="s">
        <v>5819</v>
      </c>
    </row>
    <row r="3217" spans="3:13" ht="19.5">
      <c r="C3217" s="735"/>
      <c r="D3217" s="625" t="s">
        <v>5818</v>
      </c>
      <c r="E3217" s="760">
        <v>0.95833333333333337</v>
      </c>
      <c r="F3217" s="731">
        <v>45017</v>
      </c>
      <c r="G3217" s="730">
        <v>0.67708333333333337</v>
      </c>
      <c r="H3217" s="625" t="s">
        <v>5821</v>
      </c>
      <c r="I3217" s="761" t="s">
        <v>674</v>
      </c>
      <c r="J3217" s="625" t="s">
        <v>2753</v>
      </c>
      <c r="K3217" s="625" t="s">
        <v>22</v>
      </c>
      <c r="L3217" s="625" t="s">
        <v>45</v>
      </c>
      <c r="M3217" s="762" t="s">
        <v>5004</v>
      </c>
    </row>
    <row r="3218" spans="3:13" ht="19.5">
      <c r="C3218" s="735"/>
      <c r="D3218" s="625" t="s">
        <v>5818</v>
      </c>
      <c r="E3218" s="760">
        <v>0.86736111111111114</v>
      </c>
      <c r="F3218" s="731" t="s">
        <v>45</v>
      </c>
      <c r="G3218" s="730" t="s">
        <v>45</v>
      </c>
      <c r="H3218" s="625" t="s">
        <v>3461</v>
      </c>
      <c r="I3218" s="761" t="s">
        <v>5822</v>
      </c>
      <c r="J3218" s="625" t="s">
        <v>2753</v>
      </c>
      <c r="K3218" s="625" t="s">
        <v>22</v>
      </c>
      <c r="L3218" s="625" t="s">
        <v>45</v>
      </c>
      <c r="M3218" s="762" t="s">
        <v>4986</v>
      </c>
    </row>
    <row r="3219" spans="3:13" ht="19.5">
      <c r="C3219" s="735"/>
      <c r="D3219" s="625" t="s">
        <v>5820</v>
      </c>
      <c r="E3219" s="760">
        <v>0.58333333333333337</v>
      </c>
      <c r="F3219" s="731">
        <v>45019</v>
      </c>
      <c r="G3219" s="730">
        <v>0.44930555555555557</v>
      </c>
      <c r="H3219" s="625" t="s">
        <v>5806</v>
      </c>
      <c r="I3219" s="761" t="s">
        <v>4903</v>
      </c>
      <c r="J3219" s="625" t="s">
        <v>2753</v>
      </c>
      <c r="K3219" s="625" t="s">
        <v>22</v>
      </c>
      <c r="L3219" s="625" t="s">
        <v>45</v>
      </c>
      <c r="M3219" s="762" t="s">
        <v>5824</v>
      </c>
    </row>
    <row r="3220" spans="3:13" ht="19.5">
      <c r="C3220" s="735"/>
      <c r="D3220" s="625" t="s">
        <v>5823</v>
      </c>
      <c r="E3220" s="760">
        <v>0.50416666666666665</v>
      </c>
      <c r="F3220" s="731">
        <v>45019</v>
      </c>
      <c r="G3220" s="730">
        <v>0.53749999999999998</v>
      </c>
      <c r="H3220" s="625" t="s">
        <v>5825</v>
      </c>
      <c r="I3220" s="761" t="s">
        <v>63</v>
      </c>
      <c r="J3220" s="625" t="s">
        <v>3402</v>
      </c>
      <c r="K3220" s="625" t="s">
        <v>5075</v>
      </c>
      <c r="L3220" s="625" t="s">
        <v>3055</v>
      </c>
      <c r="M3220" s="762" t="s">
        <v>3055</v>
      </c>
    </row>
    <row r="3221" spans="3:13" ht="19.5">
      <c r="C3221" s="735"/>
      <c r="D3221" s="625" t="s">
        <v>5823</v>
      </c>
      <c r="E3221" s="760">
        <v>0.78472222222222221</v>
      </c>
      <c r="F3221" s="731">
        <v>45019</v>
      </c>
      <c r="G3221" s="730">
        <v>0.80972222222222223</v>
      </c>
      <c r="H3221" s="625" t="s">
        <v>5826</v>
      </c>
      <c r="I3221" s="761" t="s">
        <v>5309</v>
      </c>
      <c r="J3221" s="625" t="s">
        <v>3387</v>
      </c>
      <c r="K3221" s="625" t="s">
        <v>2483</v>
      </c>
      <c r="L3221" s="625" t="s">
        <v>45</v>
      </c>
      <c r="M3221" s="762" t="s">
        <v>3055</v>
      </c>
    </row>
    <row r="3222" spans="3:13" ht="19.5">
      <c r="C3222" s="735"/>
      <c r="D3222" s="625" t="s">
        <v>5827</v>
      </c>
      <c r="E3222" s="760">
        <v>0.1875</v>
      </c>
      <c r="F3222" s="731">
        <v>45024</v>
      </c>
      <c r="G3222" s="730">
        <v>0.21180555555555555</v>
      </c>
      <c r="H3222" s="625" t="s">
        <v>4185</v>
      </c>
      <c r="I3222" s="761" t="s">
        <v>1352</v>
      </c>
      <c r="J3222" s="625" t="s">
        <v>3402</v>
      </c>
      <c r="K3222" s="625" t="s">
        <v>2118</v>
      </c>
      <c r="L3222" s="625" t="s">
        <v>3055</v>
      </c>
      <c r="M3222" s="762" t="s">
        <v>3055</v>
      </c>
    </row>
    <row r="3223" spans="3:13" ht="19.5">
      <c r="C3223" s="735"/>
      <c r="D3223" s="625" t="s">
        <v>5828</v>
      </c>
      <c r="E3223" s="760">
        <v>0.34097222222222223</v>
      </c>
      <c r="F3223" s="731" t="s">
        <v>45</v>
      </c>
      <c r="G3223" s="730" t="s">
        <v>45</v>
      </c>
      <c r="H3223" s="625" t="s">
        <v>4048</v>
      </c>
      <c r="I3223" s="761" t="s">
        <v>3143</v>
      </c>
      <c r="J3223" s="625" t="s">
        <v>3356</v>
      </c>
      <c r="K3223" s="625" t="s">
        <v>100</v>
      </c>
      <c r="L3223" s="625" t="s">
        <v>3055</v>
      </c>
      <c r="M3223" s="762" t="s">
        <v>3055</v>
      </c>
    </row>
    <row r="3224" spans="3:13" ht="19.5">
      <c r="C3224" s="735"/>
      <c r="D3224" s="625" t="s">
        <v>5829</v>
      </c>
      <c r="E3224" s="760">
        <v>0.22916666666666666</v>
      </c>
      <c r="F3224" s="731" t="s">
        <v>45</v>
      </c>
      <c r="G3224" s="730" t="s">
        <v>45</v>
      </c>
      <c r="H3224" s="625" t="s">
        <v>5745</v>
      </c>
      <c r="I3224" s="761" t="s">
        <v>63</v>
      </c>
      <c r="J3224" s="625" t="s">
        <v>5830</v>
      </c>
      <c r="K3224" s="625" t="s">
        <v>2952</v>
      </c>
      <c r="L3224" s="625" t="s">
        <v>3055</v>
      </c>
      <c r="M3224" s="762" t="s">
        <v>3055</v>
      </c>
    </row>
    <row r="3225" spans="3:13" ht="19.5">
      <c r="C3225" s="735"/>
      <c r="D3225" s="625" t="s">
        <v>5831</v>
      </c>
      <c r="E3225" s="760">
        <v>0.6875</v>
      </c>
      <c r="F3225" s="731">
        <v>45031</v>
      </c>
      <c r="G3225" s="730">
        <v>0.72083333333333333</v>
      </c>
      <c r="H3225" s="625" t="s">
        <v>5832</v>
      </c>
      <c r="I3225" s="761" t="s">
        <v>1352</v>
      </c>
      <c r="J3225" s="625" t="s">
        <v>3447</v>
      </c>
      <c r="K3225" s="625" t="s">
        <v>2764</v>
      </c>
      <c r="L3225" s="625" t="s">
        <v>3055</v>
      </c>
      <c r="M3225" s="762" t="s">
        <v>3055</v>
      </c>
    </row>
    <row r="3226" spans="3:13" ht="19.5">
      <c r="C3226" s="735"/>
      <c r="D3226" s="625" t="s">
        <v>5833</v>
      </c>
      <c r="E3226" s="760">
        <v>0.3034722222222222</v>
      </c>
      <c r="F3226" s="731">
        <v>45032</v>
      </c>
      <c r="G3226" s="730">
        <v>0.58333333333333337</v>
      </c>
      <c r="H3226" s="625" t="s">
        <v>3853</v>
      </c>
      <c r="I3226" s="761" t="s">
        <v>1352</v>
      </c>
      <c r="J3226" s="625" t="s">
        <v>3356</v>
      </c>
      <c r="K3226" s="625" t="s">
        <v>2118</v>
      </c>
      <c r="L3226" s="625" t="s">
        <v>45</v>
      </c>
      <c r="M3226" s="762" t="s">
        <v>5834</v>
      </c>
    </row>
    <row r="3227" spans="3:13" ht="19.5">
      <c r="C3227" s="735"/>
      <c r="D3227" s="625" t="s">
        <v>5835</v>
      </c>
      <c r="E3227" s="760">
        <v>0.22916666666666666</v>
      </c>
      <c r="F3227" s="731">
        <v>45033</v>
      </c>
      <c r="G3227" s="730">
        <v>0.58333333333333337</v>
      </c>
      <c r="H3227" s="625" t="s">
        <v>3182</v>
      </c>
      <c r="I3227" s="761" t="s">
        <v>63</v>
      </c>
      <c r="J3227" s="625" t="s">
        <v>3356</v>
      </c>
      <c r="K3227" s="625" t="s">
        <v>2118</v>
      </c>
      <c r="L3227" s="625" t="s">
        <v>3055</v>
      </c>
      <c r="M3227" s="762" t="s">
        <v>3055</v>
      </c>
    </row>
    <row r="3228" spans="3:13" ht="19.5">
      <c r="C3228" s="735"/>
      <c r="D3228" s="625" t="s">
        <v>5835</v>
      </c>
      <c r="E3228" s="760">
        <v>0.51180555555555551</v>
      </c>
      <c r="F3228" s="731">
        <v>45033</v>
      </c>
      <c r="G3228" s="730">
        <v>0.71666666666666667</v>
      </c>
      <c r="H3228" s="625" t="s">
        <v>5836</v>
      </c>
      <c r="I3228" s="761" t="s">
        <v>63</v>
      </c>
      <c r="J3228" s="625" t="s">
        <v>3356</v>
      </c>
      <c r="K3228" s="625" t="s">
        <v>5075</v>
      </c>
      <c r="L3228" s="625" t="s">
        <v>5837</v>
      </c>
      <c r="M3228" s="762" t="s">
        <v>3643</v>
      </c>
    </row>
    <row r="3229" spans="3:13" ht="19.5">
      <c r="C3229" s="735"/>
      <c r="D3229" s="625" t="s">
        <v>5838</v>
      </c>
      <c r="E3229" s="760">
        <v>0.33333333333333331</v>
      </c>
      <c r="F3229" s="731">
        <v>45034</v>
      </c>
      <c r="G3229" s="730">
        <v>0.33402777777777781</v>
      </c>
      <c r="H3229" s="625" t="s">
        <v>3591</v>
      </c>
      <c r="I3229" s="761" t="s">
        <v>1352</v>
      </c>
      <c r="J3229" s="625" t="s">
        <v>3356</v>
      </c>
      <c r="K3229" s="625" t="s">
        <v>5075</v>
      </c>
      <c r="L3229" s="625" t="s">
        <v>3055</v>
      </c>
      <c r="M3229" s="762" t="s">
        <v>3055</v>
      </c>
    </row>
    <row r="3230" spans="3:13" ht="19.5">
      <c r="C3230" s="735"/>
      <c r="D3230" s="625" t="s">
        <v>5838</v>
      </c>
      <c r="E3230" s="760">
        <v>0.15347222222222223</v>
      </c>
      <c r="F3230" s="731">
        <v>45034</v>
      </c>
      <c r="G3230" s="730">
        <v>0.16666666666666666</v>
      </c>
      <c r="H3230" s="625" t="s">
        <v>2801</v>
      </c>
      <c r="I3230" s="761" t="s">
        <v>124</v>
      </c>
      <c r="J3230" s="625" t="s">
        <v>3356</v>
      </c>
      <c r="K3230" s="625" t="s">
        <v>100</v>
      </c>
      <c r="L3230" s="625" t="s">
        <v>3055</v>
      </c>
      <c r="M3230" s="762" t="s">
        <v>3055</v>
      </c>
    </row>
    <row r="3231" spans="3:13" ht="19.5">
      <c r="C3231" s="735"/>
      <c r="D3231" s="625" t="s">
        <v>5838</v>
      </c>
      <c r="E3231" s="760">
        <v>0.44166666666666665</v>
      </c>
      <c r="F3231" s="731">
        <v>45035</v>
      </c>
      <c r="G3231" s="730">
        <v>0.46388888888888885</v>
      </c>
      <c r="H3231" s="625" t="s">
        <v>5840</v>
      </c>
      <c r="I3231" s="761" t="s">
        <v>674</v>
      </c>
      <c r="J3231" s="625" t="s">
        <v>3411</v>
      </c>
      <c r="K3231" s="625" t="s">
        <v>2764</v>
      </c>
      <c r="L3231" s="625" t="s">
        <v>3497</v>
      </c>
      <c r="M3231" s="762" t="s">
        <v>3081</v>
      </c>
    </row>
    <row r="3232" spans="3:13" ht="19.5">
      <c r="C3232" s="735"/>
      <c r="D3232" s="625" t="s">
        <v>5839</v>
      </c>
      <c r="E3232" s="760">
        <v>0.63541666666666663</v>
      </c>
      <c r="F3232" s="731">
        <v>45035</v>
      </c>
      <c r="G3232" s="730">
        <v>0.66597222222222219</v>
      </c>
      <c r="H3232" s="625" t="s">
        <v>2813</v>
      </c>
      <c r="I3232" s="761" t="s">
        <v>124</v>
      </c>
      <c r="J3232" s="625" t="s">
        <v>3356</v>
      </c>
      <c r="K3232" s="625" t="s">
        <v>100</v>
      </c>
      <c r="L3232" s="625" t="s">
        <v>3055</v>
      </c>
      <c r="M3232" s="762" t="s">
        <v>3055</v>
      </c>
    </row>
    <row r="3233" spans="3:13" ht="19.5">
      <c r="C3233" s="735"/>
      <c r="D3233" s="625" t="s">
        <v>5839</v>
      </c>
      <c r="E3233" s="760">
        <v>0.96736111111111101</v>
      </c>
      <c r="F3233" s="731">
        <v>45036</v>
      </c>
      <c r="G3233" s="730">
        <v>0.72499999999999998</v>
      </c>
      <c r="H3233" s="625" t="s">
        <v>3184</v>
      </c>
      <c r="I3233" s="761" t="s">
        <v>1352</v>
      </c>
      <c r="J3233" s="625" t="s">
        <v>2839</v>
      </c>
      <c r="K3233" s="625" t="s">
        <v>2483</v>
      </c>
      <c r="L3233" s="625" t="s">
        <v>45</v>
      </c>
      <c r="M3233" s="762" t="s">
        <v>45</v>
      </c>
    </row>
    <row r="3234" spans="3:13" ht="19.5">
      <c r="C3234" s="735"/>
      <c r="D3234" s="625" t="s">
        <v>5842</v>
      </c>
      <c r="E3234" s="760">
        <v>0.25138888888888888</v>
      </c>
      <c r="F3234" s="731" t="s">
        <v>45</v>
      </c>
      <c r="G3234" s="730" t="s">
        <v>45</v>
      </c>
      <c r="H3234" s="625" t="s">
        <v>2945</v>
      </c>
      <c r="I3234" s="761" t="s">
        <v>124</v>
      </c>
      <c r="J3234" s="625" t="s">
        <v>2780</v>
      </c>
      <c r="K3234" s="625" t="s">
        <v>2764</v>
      </c>
      <c r="L3234" s="625" t="s">
        <v>3055</v>
      </c>
      <c r="M3234" s="762" t="s">
        <v>3055</v>
      </c>
    </row>
    <row r="3235" spans="3:13" ht="19.5">
      <c r="C3235" s="735"/>
      <c r="D3235" s="625" t="s">
        <v>5843</v>
      </c>
      <c r="E3235" s="760">
        <v>0.39027777777777778</v>
      </c>
      <c r="F3235" s="731">
        <v>45040</v>
      </c>
      <c r="G3235" s="730">
        <v>0.74236111111111114</v>
      </c>
      <c r="H3235" s="625" t="s">
        <v>5845</v>
      </c>
      <c r="I3235" s="761" t="s">
        <v>124</v>
      </c>
      <c r="J3235" s="625" t="s">
        <v>3356</v>
      </c>
      <c r="K3235" s="625" t="s">
        <v>2764</v>
      </c>
      <c r="L3235" s="625" t="s">
        <v>3889</v>
      </c>
      <c r="M3235" s="762" t="s">
        <v>45</v>
      </c>
    </row>
    <row r="3236" spans="3:13" ht="19.5">
      <c r="C3236" s="735"/>
      <c r="D3236" s="625" t="s">
        <v>5846</v>
      </c>
      <c r="E3236" s="760">
        <v>0.43958333333333338</v>
      </c>
      <c r="F3236" s="731">
        <v>45041</v>
      </c>
      <c r="G3236" s="730">
        <v>0.65486111111111112</v>
      </c>
      <c r="H3236" s="625" t="s">
        <v>3424</v>
      </c>
      <c r="I3236" s="761" t="s">
        <v>124</v>
      </c>
      <c r="J3236" s="625" t="s">
        <v>2910</v>
      </c>
      <c r="K3236" s="625" t="s">
        <v>2764</v>
      </c>
      <c r="L3236" s="625" t="s">
        <v>3055</v>
      </c>
      <c r="M3236" s="762" t="s">
        <v>3055</v>
      </c>
    </row>
    <row r="3237" spans="3:13" ht="19.5">
      <c r="C3237" s="735"/>
      <c r="D3237" s="625" t="s">
        <v>5847</v>
      </c>
      <c r="E3237" s="760">
        <v>0.52152777777777781</v>
      </c>
      <c r="F3237" s="731">
        <v>45042</v>
      </c>
      <c r="G3237" s="730">
        <v>0.59375</v>
      </c>
      <c r="H3237" s="625" t="s">
        <v>5848</v>
      </c>
      <c r="I3237" s="761" t="s">
        <v>124</v>
      </c>
      <c r="J3237" s="625" t="s">
        <v>3356</v>
      </c>
      <c r="K3237" s="625" t="s">
        <v>100</v>
      </c>
      <c r="L3237" s="625" t="s">
        <v>3055</v>
      </c>
      <c r="M3237" s="762" t="s">
        <v>3055</v>
      </c>
    </row>
    <row r="3238" spans="3:13" ht="19.5">
      <c r="C3238" s="735"/>
      <c r="D3238" s="625" t="s">
        <v>5849</v>
      </c>
      <c r="E3238" s="760">
        <v>0.45833333333333331</v>
      </c>
      <c r="F3238" s="731">
        <v>45043</v>
      </c>
      <c r="G3238" s="730">
        <v>0.4680555555555555</v>
      </c>
      <c r="H3238" s="625" t="s">
        <v>5850</v>
      </c>
      <c r="I3238" s="761" t="s">
        <v>1352</v>
      </c>
      <c r="J3238" s="625" t="s">
        <v>3402</v>
      </c>
      <c r="K3238" s="625" t="s">
        <v>100</v>
      </c>
      <c r="L3238" s="625" t="s">
        <v>3055</v>
      </c>
      <c r="M3238" s="762" t="s">
        <v>3055</v>
      </c>
    </row>
    <row r="3239" spans="3:13" ht="19.5">
      <c r="C3239" s="735"/>
      <c r="D3239" s="625" t="s">
        <v>5849</v>
      </c>
      <c r="E3239" s="760">
        <v>0.1673611111111111</v>
      </c>
      <c r="F3239" s="731">
        <v>45044</v>
      </c>
      <c r="G3239" s="730">
        <v>0.51944444444444449</v>
      </c>
      <c r="H3239" s="625" t="s">
        <v>2819</v>
      </c>
      <c r="I3239" s="761" t="s">
        <v>124</v>
      </c>
      <c r="J3239" s="625" t="s">
        <v>3356</v>
      </c>
      <c r="K3239" s="625" t="s">
        <v>100</v>
      </c>
      <c r="L3239" s="625" t="s">
        <v>3055</v>
      </c>
      <c r="M3239" s="762" t="s">
        <v>3055</v>
      </c>
    </row>
    <row r="3240" spans="3:13" ht="20.25" thickBot="1">
      <c r="C3240" s="735"/>
      <c r="D3240" s="626" t="s">
        <v>5852</v>
      </c>
      <c r="E3240" s="763">
        <v>0</v>
      </c>
      <c r="F3240" s="731">
        <v>45045</v>
      </c>
      <c r="G3240" s="730">
        <v>0.83333333333333337</v>
      </c>
      <c r="H3240" s="626" t="s">
        <v>5853</v>
      </c>
      <c r="I3240" s="764" t="s">
        <v>1352</v>
      </c>
      <c r="J3240" s="626" t="s">
        <v>2753</v>
      </c>
      <c r="K3240" s="626" t="s">
        <v>22</v>
      </c>
      <c r="L3240" s="626" t="s">
        <v>45</v>
      </c>
      <c r="M3240" s="765" t="s">
        <v>5854</v>
      </c>
    </row>
    <row r="3241" spans="3:13" ht="19.5">
      <c r="C3241" s="735"/>
      <c r="D3241" s="766"/>
      <c r="E3241" s="767"/>
      <c r="F3241" s="731"/>
      <c r="G3241" s="730"/>
      <c r="H3241" s="627"/>
      <c r="I3241" s="627"/>
      <c r="J3241" s="627"/>
      <c r="K3241" s="628"/>
      <c r="L3241" s="627"/>
      <c r="M3241" s="768"/>
    </row>
    <row r="3242" spans="3:13" ht="19.5">
      <c r="C3242" s="735"/>
      <c r="D3242" s="766"/>
      <c r="E3242" s="769"/>
      <c r="F3242" s="731"/>
      <c r="G3242" s="730"/>
      <c r="H3242" s="628"/>
      <c r="I3242" s="628"/>
      <c r="J3242" s="628"/>
      <c r="K3242" s="628"/>
      <c r="L3242" s="628"/>
      <c r="M3242" s="770"/>
    </row>
    <row r="3243" spans="3:13" ht="19.5">
      <c r="C3243" s="735"/>
      <c r="D3243" s="766"/>
      <c r="E3243" s="769"/>
      <c r="F3243" s="731"/>
      <c r="G3243" s="730"/>
      <c r="H3243" s="628"/>
      <c r="I3243" s="628"/>
      <c r="J3243" s="628"/>
      <c r="K3243" s="628"/>
      <c r="L3243" s="628"/>
      <c r="M3243" s="770"/>
    </row>
    <row r="3244" spans="3:13" ht="19.5">
      <c r="C3244" s="735"/>
      <c r="D3244" s="766"/>
      <c r="E3244" s="769"/>
      <c r="F3244" s="731"/>
      <c r="G3244" s="730"/>
      <c r="H3244" s="628"/>
      <c r="I3244" s="628"/>
      <c r="J3244" s="628"/>
      <c r="K3244" s="628"/>
      <c r="L3244" s="628"/>
      <c r="M3244" s="770"/>
    </row>
    <row r="3245" spans="3:13" ht="19.5">
      <c r="C3245" s="735"/>
      <c r="D3245" s="766"/>
      <c r="E3245" s="769"/>
      <c r="F3245" s="731"/>
      <c r="G3245" s="730"/>
      <c r="H3245" s="629"/>
      <c r="I3245" s="629"/>
      <c r="J3245" s="628"/>
      <c r="K3245" s="629"/>
      <c r="L3245" s="629"/>
      <c r="M3245" s="771"/>
    </row>
    <row r="3246" spans="3:13" ht="19.5">
      <c r="C3246" s="735"/>
      <c r="D3246" s="766"/>
      <c r="E3246" s="769"/>
      <c r="F3246" s="731"/>
      <c r="G3246" s="730"/>
      <c r="H3246" s="628"/>
      <c r="I3246" s="628"/>
      <c r="J3246" s="628"/>
      <c r="K3246" s="628"/>
      <c r="L3246" s="628"/>
      <c r="M3246" s="770"/>
    </row>
    <row r="3247" spans="3:13" ht="19.5">
      <c r="C3247" s="735"/>
      <c r="D3247" s="766"/>
      <c r="E3247" s="769"/>
      <c r="F3247" s="731"/>
      <c r="G3247" s="730"/>
      <c r="H3247" s="628"/>
      <c r="I3247" s="628"/>
      <c r="J3247" s="628"/>
      <c r="K3247" s="628"/>
      <c r="L3247" s="628"/>
      <c r="M3247" s="770"/>
    </row>
    <row r="3248" spans="3:13" ht="19.5">
      <c r="C3248" s="735"/>
      <c r="D3248" s="766"/>
      <c r="E3248" s="769"/>
      <c r="F3248" s="731"/>
      <c r="G3248" s="730"/>
      <c r="H3248" s="628"/>
      <c r="I3248" s="628"/>
      <c r="J3248" s="628"/>
      <c r="K3248" s="628"/>
      <c r="L3248" s="628"/>
      <c r="M3248" s="770"/>
    </row>
    <row r="3249" spans="3:13" ht="19.5">
      <c r="C3249" s="735"/>
      <c r="D3249" s="766"/>
      <c r="E3249" s="769"/>
      <c r="F3249" s="731"/>
      <c r="G3249" s="730"/>
      <c r="H3249" s="628"/>
      <c r="I3249" s="628"/>
      <c r="J3249" s="628"/>
      <c r="K3249" s="628"/>
      <c r="L3249" s="628"/>
      <c r="M3249" s="770"/>
    </row>
    <row r="3250" spans="3:13" ht="19.5">
      <c r="C3250" s="735"/>
      <c r="D3250" s="766"/>
      <c r="E3250" s="769"/>
      <c r="F3250" s="731"/>
      <c r="G3250" s="730"/>
      <c r="H3250" s="628"/>
      <c r="I3250" s="628"/>
      <c r="J3250" s="628"/>
      <c r="K3250" s="628"/>
      <c r="L3250" s="628"/>
      <c r="M3250" s="770"/>
    </row>
    <row r="3251" spans="3:13" ht="19.5">
      <c r="C3251" s="735"/>
      <c r="D3251" s="766"/>
      <c r="E3251" s="769"/>
      <c r="F3251" s="731"/>
      <c r="G3251" s="730"/>
      <c r="H3251" s="628"/>
      <c r="I3251" s="628"/>
      <c r="J3251" s="628"/>
      <c r="K3251" s="628"/>
      <c r="L3251" s="628"/>
      <c r="M3251" s="770"/>
    </row>
    <row r="3252" spans="3:13" ht="19.5">
      <c r="C3252" s="735"/>
      <c r="D3252" s="766"/>
      <c r="E3252" s="769"/>
      <c r="F3252" s="731"/>
      <c r="G3252" s="730"/>
      <c r="H3252" s="628"/>
      <c r="I3252" s="628"/>
      <c r="J3252" s="628"/>
      <c r="K3252" s="628"/>
      <c r="L3252" s="628"/>
      <c r="M3252" s="770"/>
    </row>
    <row r="3253" spans="3:13" ht="19.5">
      <c r="C3253" s="735"/>
      <c r="D3253" s="766"/>
      <c r="E3253" s="769"/>
      <c r="F3253" s="731"/>
      <c r="G3253" s="730"/>
      <c r="H3253" s="628"/>
      <c r="I3253" s="628"/>
      <c r="J3253" s="628"/>
      <c r="K3253" s="628"/>
      <c r="L3253" s="628"/>
      <c r="M3253" s="770"/>
    </row>
    <row r="3254" spans="3:13" ht="19.5">
      <c r="C3254" s="735"/>
      <c r="D3254" s="766"/>
      <c r="E3254" s="769"/>
      <c r="F3254" s="731"/>
      <c r="G3254" s="730"/>
      <c r="H3254" s="628"/>
      <c r="I3254" s="628"/>
      <c r="J3254" s="628"/>
      <c r="K3254" s="628"/>
      <c r="L3254" s="628"/>
      <c r="M3254" s="770"/>
    </row>
    <row r="3255" spans="3:13" ht="19.5">
      <c r="C3255" s="735"/>
      <c r="D3255" s="766"/>
      <c r="E3255" s="769"/>
      <c r="F3255" s="731"/>
      <c r="G3255" s="730"/>
      <c r="H3255" s="628"/>
      <c r="I3255" s="628"/>
      <c r="J3255" s="628"/>
      <c r="K3255" s="628"/>
      <c r="L3255" s="628"/>
      <c r="M3255" s="770"/>
    </row>
    <row r="3256" spans="3:13" ht="19.5">
      <c r="C3256" s="735"/>
      <c r="D3256" s="766"/>
      <c r="E3256" s="769"/>
      <c r="F3256" s="731"/>
      <c r="G3256" s="730"/>
      <c r="H3256" s="628"/>
      <c r="I3256" s="628"/>
      <c r="J3256" s="628"/>
      <c r="K3256" s="628"/>
      <c r="L3256" s="628"/>
      <c r="M3256" s="770"/>
    </row>
    <row r="3257" spans="3:13" ht="19.5">
      <c r="C3257" s="735"/>
      <c r="D3257" s="766"/>
      <c r="E3257" s="769"/>
      <c r="F3257" s="731"/>
      <c r="G3257" s="730"/>
      <c r="H3257" s="628"/>
      <c r="I3257" s="628"/>
      <c r="J3257" s="628"/>
      <c r="K3257" s="628"/>
      <c r="L3257" s="628"/>
      <c r="M3257" s="770"/>
    </row>
    <row r="3258" spans="3:13" ht="19.5">
      <c r="C3258" s="735"/>
      <c r="D3258" s="766"/>
      <c r="E3258" s="769"/>
      <c r="F3258" s="731"/>
      <c r="G3258" s="730"/>
      <c r="H3258" s="772"/>
      <c r="I3258" s="628"/>
      <c r="J3258" s="772"/>
      <c r="K3258" s="628"/>
      <c r="L3258" s="628"/>
      <c r="M3258" s="770"/>
    </row>
    <row r="3259" spans="3:13" ht="19.5">
      <c r="C3259" s="735"/>
      <c r="D3259" s="766"/>
      <c r="E3259" s="773"/>
      <c r="F3259" s="731"/>
      <c r="G3259" s="730"/>
      <c r="H3259" s="628"/>
      <c r="I3259" s="628"/>
      <c r="J3259" s="628"/>
      <c r="K3259" s="628"/>
      <c r="L3259" s="628"/>
      <c r="M3259" s="770"/>
    </row>
    <row r="3260" spans="3:13" ht="19.5">
      <c r="C3260" s="735"/>
      <c r="D3260" s="766"/>
      <c r="E3260" s="769"/>
      <c r="F3260" s="731"/>
      <c r="G3260" s="730"/>
      <c r="H3260" s="628"/>
      <c r="I3260" s="628"/>
      <c r="J3260" s="628"/>
      <c r="K3260" s="628"/>
      <c r="L3260" s="628"/>
      <c r="M3260" s="770"/>
    </row>
    <row r="3261" spans="3:13" ht="19.5">
      <c r="C3261" s="735"/>
      <c r="D3261" s="766"/>
      <c r="E3261" s="769"/>
      <c r="F3261" s="731"/>
      <c r="G3261" s="730"/>
      <c r="H3261" s="628"/>
      <c r="I3261" s="628"/>
      <c r="J3261" s="628"/>
      <c r="K3261" s="628"/>
      <c r="L3261" s="628"/>
      <c r="M3261" s="770"/>
    </row>
    <row r="3262" spans="3:13" ht="19.5">
      <c r="C3262" s="735"/>
      <c r="D3262" s="766"/>
      <c r="E3262" s="769"/>
      <c r="F3262" s="731"/>
      <c r="G3262" s="730"/>
      <c r="H3262" s="628"/>
      <c r="I3262" s="628"/>
      <c r="J3262" s="628"/>
      <c r="K3262" s="628"/>
      <c r="L3262" s="628"/>
      <c r="M3262" s="628"/>
    </row>
    <row r="3263" spans="3:13" ht="19.5">
      <c r="C3263" s="735"/>
      <c r="D3263" s="766"/>
      <c r="E3263" s="769"/>
      <c r="F3263" s="731"/>
      <c r="G3263" s="730"/>
      <c r="H3263" s="628"/>
      <c r="I3263" s="628"/>
      <c r="J3263" s="628"/>
      <c r="K3263" s="628"/>
      <c r="L3263" s="628"/>
      <c r="M3263" s="628"/>
    </row>
    <row r="3264" spans="3:13" ht="19.5">
      <c r="C3264" s="735"/>
      <c r="D3264" s="766"/>
      <c r="E3264" s="769"/>
      <c r="F3264" s="731"/>
      <c r="G3264" s="730"/>
      <c r="H3264" s="628"/>
      <c r="I3264" s="628"/>
      <c r="J3264" s="628"/>
      <c r="K3264" s="628"/>
      <c r="L3264" s="628"/>
      <c r="M3264" s="628"/>
    </row>
    <row r="3265" spans="3:13" ht="19.5">
      <c r="C3265" s="735"/>
      <c r="D3265" s="766"/>
      <c r="E3265" s="769"/>
      <c r="F3265" s="731"/>
      <c r="G3265" s="730"/>
      <c r="H3265" s="628"/>
      <c r="I3265" s="628"/>
      <c r="J3265" s="628"/>
      <c r="K3265" s="628"/>
      <c r="L3265" s="628"/>
      <c r="M3265" s="628"/>
    </row>
    <row r="3266" spans="3:13" ht="19.5">
      <c r="C3266" s="735"/>
      <c r="D3266" s="766"/>
      <c r="E3266" s="769"/>
      <c r="F3266" s="731"/>
      <c r="G3266" s="730"/>
      <c r="H3266" s="628"/>
      <c r="I3266" s="628"/>
      <c r="J3266" s="628"/>
      <c r="K3266" s="628"/>
      <c r="L3266" s="628"/>
      <c r="M3266" s="628"/>
    </row>
    <row r="3267" spans="3:13" ht="19.5">
      <c r="C3267" s="735"/>
      <c r="D3267" s="766"/>
      <c r="E3267" s="769"/>
      <c r="F3267" s="731"/>
      <c r="G3267" s="730"/>
      <c r="H3267" s="628"/>
      <c r="I3267" s="628"/>
      <c r="J3267" s="628"/>
      <c r="K3267" s="628"/>
      <c r="L3267" s="628"/>
      <c r="M3267" s="628"/>
    </row>
    <row r="3268" spans="3:13" ht="19.5">
      <c r="C3268" s="735"/>
      <c r="D3268" s="766"/>
      <c r="E3268" s="769"/>
      <c r="F3268" s="731"/>
      <c r="G3268" s="730"/>
      <c r="H3268" s="628"/>
      <c r="I3268" s="628"/>
      <c r="J3268" s="628"/>
      <c r="K3268" s="628"/>
      <c r="L3268" s="628"/>
      <c r="M3268" s="628"/>
    </row>
    <row r="3269" spans="3:13" ht="19.5">
      <c r="C3269" s="735"/>
      <c r="D3269" s="766"/>
      <c r="E3269" s="769"/>
      <c r="F3269" s="731"/>
      <c r="G3269" s="730"/>
      <c r="H3269" s="628"/>
      <c r="I3269" s="628"/>
      <c r="J3269" s="628"/>
      <c r="K3269" s="628"/>
      <c r="L3269" s="628"/>
      <c r="M3269" s="628"/>
    </row>
    <row r="3270" spans="3:13" ht="19.5">
      <c r="C3270" s="735"/>
      <c r="D3270" s="766"/>
      <c r="E3270" s="769"/>
      <c r="F3270" s="731"/>
      <c r="G3270" s="730"/>
      <c r="H3270" s="628"/>
      <c r="I3270" s="628"/>
      <c r="J3270" s="628"/>
      <c r="K3270" s="628"/>
      <c r="L3270" s="628"/>
      <c r="M3270" s="628"/>
    </row>
    <row r="3271" spans="3:13" ht="19.5">
      <c r="C3271" s="735"/>
      <c r="D3271" s="766"/>
      <c r="E3271" s="769"/>
      <c r="F3271" s="731"/>
      <c r="G3271" s="730"/>
      <c r="H3271" s="628"/>
      <c r="I3271" s="628"/>
      <c r="J3271" s="628"/>
      <c r="K3271" s="628"/>
      <c r="L3271" s="628"/>
      <c r="M3271" s="628"/>
    </row>
    <row r="3272" spans="3:13" ht="19.5">
      <c r="C3272" s="735"/>
      <c r="D3272" s="766"/>
      <c r="E3272" s="769"/>
      <c r="F3272" s="731"/>
      <c r="G3272" s="730"/>
      <c r="H3272" s="628"/>
      <c r="I3272" s="628"/>
      <c r="J3272" s="628"/>
      <c r="K3272" s="628"/>
      <c r="L3272" s="628"/>
      <c r="M3272" s="628"/>
    </row>
    <row r="3273" spans="3:13" ht="19.5">
      <c r="C3273" s="735"/>
      <c r="D3273" s="766"/>
      <c r="E3273" s="769"/>
      <c r="F3273" s="731"/>
      <c r="G3273" s="730"/>
      <c r="H3273" s="628"/>
      <c r="I3273" s="628"/>
      <c r="J3273" s="628"/>
      <c r="K3273" s="628"/>
      <c r="L3273" s="628"/>
      <c r="M3273" s="628"/>
    </row>
    <row r="3274" spans="3:13" ht="19.5">
      <c r="C3274" s="735"/>
      <c r="D3274" s="766"/>
      <c r="E3274" s="769"/>
      <c r="F3274" s="731"/>
      <c r="G3274" s="730"/>
      <c r="H3274" s="628"/>
      <c r="I3274" s="628"/>
      <c r="J3274" s="628"/>
      <c r="K3274" s="628"/>
      <c r="L3274" s="628"/>
      <c r="M3274" s="628"/>
    </row>
  </sheetData>
  <autoFilter ref="C2:M3274" xr:uid="{6D113031-DE0A-4738-9688-1709BBCEF58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FB5EA-FB10-4DBF-AC79-1CAD713F7B32}">
  <dimension ref="A1:M3460"/>
  <sheetViews>
    <sheetView tabSelected="1" zoomScale="115" zoomScaleNormal="115" workbookViewId="0">
      <pane ySplit="2" topLeftCell="A3" activePane="bottomLeft" state="frozen"/>
      <selection pane="bottomLeft" activeCell="A2" sqref="A2"/>
    </sheetView>
  </sheetViews>
  <sheetFormatPr defaultRowHeight="12.75"/>
  <cols>
    <col min="1" max="1" width="8.85546875" bestFit="1" customWidth="1"/>
    <col min="2" max="2" width="25" style="678" bestFit="1" customWidth="1"/>
    <col min="3" max="3" width="25.28515625" style="532" bestFit="1" customWidth="1"/>
    <col min="4" max="4" width="27.42578125" style="678" bestFit="1" customWidth="1"/>
    <col min="5" max="5" width="27.7109375" style="532" bestFit="1" customWidth="1"/>
    <col min="6" max="6" width="21.7109375" customWidth="1"/>
    <col min="7" max="7" width="19" customWidth="1"/>
    <col min="8" max="8" width="25.28515625" customWidth="1"/>
    <col min="9" max="9" width="47.7109375" style="677" customWidth="1"/>
    <col min="10" max="10" width="27.140625" style="783" bestFit="1" customWidth="1"/>
    <col min="11" max="11" width="24.42578125" style="783" bestFit="1" customWidth="1"/>
  </cols>
  <sheetData>
    <row r="1" spans="1:13">
      <c r="M1" t="str">
        <f>""</f>
        <v/>
      </c>
    </row>
    <row r="2" spans="1:13" ht="19.5">
      <c r="A2" s="778" t="s">
        <v>5872</v>
      </c>
      <c r="B2" s="779" t="s">
        <v>2105</v>
      </c>
      <c r="C2" s="780" t="s">
        <v>2106</v>
      </c>
      <c r="D2" s="779" t="s">
        <v>2107</v>
      </c>
      <c r="E2" s="780" t="s">
        <v>2108</v>
      </c>
      <c r="F2" s="778" t="s">
        <v>67</v>
      </c>
      <c r="G2" s="778" t="s">
        <v>57</v>
      </c>
      <c r="H2" s="778" t="s">
        <v>2743</v>
      </c>
      <c r="I2" s="781" t="s">
        <v>2109</v>
      </c>
      <c r="J2" s="784" t="s">
        <v>2110</v>
      </c>
      <c r="K2" s="784" t="s">
        <v>5874</v>
      </c>
      <c r="M2" t="str">
        <f>""</f>
        <v/>
      </c>
    </row>
    <row r="3" spans="1:13" ht="15.75">
      <c r="A3" s="728">
        <v>2010</v>
      </c>
      <c r="B3" s="777">
        <v>40184</v>
      </c>
      <c r="C3" s="730">
        <v>0.75</v>
      </c>
      <c r="D3" s="777">
        <v>40186</v>
      </c>
      <c r="E3" s="730">
        <v>0.75</v>
      </c>
      <c r="F3" s="558" t="s">
        <v>133</v>
      </c>
      <c r="G3" s="558" t="s">
        <v>63</v>
      </c>
      <c r="H3" s="558" t="s">
        <v>5873</v>
      </c>
      <c r="I3" s="679" t="s">
        <v>962</v>
      </c>
      <c r="J3" s="676" t="s">
        <v>5873</v>
      </c>
      <c r="K3" s="676" t="s">
        <v>5873</v>
      </c>
      <c r="M3" t="str">
        <f>""</f>
        <v/>
      </c>
    </row>
    <row r="4" spans="1:13" ht="15.75">
      <c r="A4" s="728">
        <v>2010</v>
      </c>
      <c r="B4" s="777">
        <v>40189</v>
      </c>
      <c r="C4" s="730">
        <v>0.15625</v>
      </c>
      <c r="D4" s="777">
        <v>40189</v>
      </c>
      <c r="E4" s="730">
        <v>0.41458333333333336</v>
      </c>
      <c r="F4" s="558" t="s">
        <v>1845</v>
      </c>
      <c r="G4" s="558" t="s">
        <v>5878</v>
      </c>
      <c r="H4" s="558" t="s">
        <v>5873</v>
      </c>
      <c r="I4" s="679" t="s">
        <v>1846</v>
      </c>
      <c r="J4" s="676" t="s">
        <v>5873</v>
      </c>
      <c r="K4" s="676" t="s">
        <v>5873</v>
      </c>
      <c r="M4" t="str">
        <f>""</f>
        <v/>
      </c>
    </row>
    <row r="5" spans="1:13" ht="15.75">
      <c r="A5" s="728">
        <v>2010</v>
      </c>
      <c r="B5" s="777">
        <v>40228</v>
      </c>
      <c r="C5" s="730">
        <v>0.85416666666666663</v>
      </c>
      <c r="D5" s="777">
        <v>40229</v>
      </c>
      <c r="E5" s="730">
        <v>0.1673611111111111</v>
      </c>
      <c r="F5" s="558" t="s">
        <v>1884</v>
      </c>
      <c r="G5" s="558" t="s">
        <v>124</v>
      </c>
      <c r="H5" s="558" t="s">
        <v>5873</v>
      </c>
      <c r="I5" s="679" t="s">
        <v>1885</v>
      </c>
      <c r="J5" s="676">
        <v>1000</v>
      </c>
      <c r="K5" s="676" t="s">
        <v>5873</v>
      </c>
      <c r="M5" t="str">
        <f>""</f>
        <v/>
      </c>
    </row>
    <row r="6" spans="1:13" ht="15.75">
      <c r="A6" s="728">
        <v>2010</v>
      </c>
      <c r="B6" s="777">
        <v>40268</v>
      </c>
      <c r="C6" s="730">
        <v>0.99930555555555556</v>
      </c>
      <c r="D6" s="777">
        <v>40269</v>
      </c>
      <c r="E6" s="730">
        <v>2.6388888888888889E-2</v>
      </c>
      <c r="F6" s="558" t="s">
        <v>1912</v>
      </c>
      <c r="G6" s="558" t="s">
        <v>124</v>
      </c>
      <c r="H6" s="558" t="s">
        <v>5873</v>
      </c>
      <c r="I6" s="679" t="s">
        <v>973</v>
      </c>
      <c r="J6" s="676">
        <v>324</v>
      </c>
      <c r="K6" s="676" t="s">
        <v>5873</v>
      </c>
      <c r="M6" t="str">
        <f>""</f>
        <v/>
      </c>
    </row>
    <row r="7" spans="1:13" ht="15.75">
      <c r="A7" s="728">
        <v>2010</v>
      </c>
      <c r="B7" s="777">
        <v>40289</v>
      </c>
      <c r="C7" s="730">
        <v>0.62847222222222221</v>
      </c>
      <c r="D7" s="777">
        <v>40289</v>
      </c>
      <c r="E7" s="730">
        <v>0.83333333333333337</v>
      </c>
      <c r="F7" s="558" t="s">
        <v>1914</v>
      </c>
      <c r="G7" s="558" t="s">
        <v>63</v>
      </c>
      <c r="H7" s="558" t="s">
        <v>5873</v>
      </c>
      <c r="I7" s="679" t="s">
        <v>1915</v>
      </c>
      <c r="J7" s="676" t="s">
        <v>5873</v>
      </c>
      <c r="K7" s="676" t="s">
        <v>5873</v>
      </c>
      <c r="M7" t="str">
        <f>""</f>
        <v/>
      </c>
    </row>
    <row r="8" spans="1:13" ht="15.75">
      <c r="A8" s="728">
        <v>2010</v>
      </c>
      <c r="B8" s="777">
        <v>40316</v>
      </c>
      <c r="C8" s="730">
        <v>0.34375</v>
      </c>
      <c r="D8" s="777">
        <v>40316</v>
      </c>
      <c r="E8" s="730">
        <v>0.94861111111111107</v>
      </c>
      <c r="F8" s="558" t="s">
        <v>1922</v>
      </c>
      <c r="G8" s="558" t="s">
        <v>124</v>
      </c>
      <c r="H8" s="558" t="s">
        <v>5873</v>
      </c>
      <c r="I8" s="679" t="s">
        <v>1923</v>
      </c>
      <c r="J8" s="676">
        <v>318</v>
      </c>
      <c r="K8" s="676" t="s">
        <v>5873</v>
      </c>
      <c r="M8" t="str">
        <f>""</f>
        <v/>
      </c>
    </row>
    <row r="9" spans="1:13" ht="15.75">
      <c r="A9" s="728">
        <v>2010</v>
      </c>
      <c r="B9" s="777">
        <v>40324</v>
      </c>
      <c r="C9" s="730">
        <v>0.48958333333333331</v>
      </c>
      <c r="D9" s="777">
        <v>40324</v>
      </c>
      <c r="E9" s="730">
        <v>0.625</v>
      </c>
      <c r="F9" s="558" t="s">
        <v>1926</v>
      </c>
      <c r="G9" s="558" t="s">
        <v>5879</v>
      </c>
      <c r="H9" s="558" t="s">
        <v>5873</v>
      </c>
      <c r="I9" s="679" t="s">
        <v>1927</v>
      </c>
      <c r="J9" s="676" t="s">
        <v>5873</v>
      </c>
      <c r="K9" s="676" t="s">
        <v>5873</v>
      </c>
      <c r="M9" t="str">
        <f>""</f>
        <v/>
      </c>
    </row>
    <row r="10" spans="1:13" ht="15.75">
      <c r="A10" s="728">
        <v>2010</v>
      </c>
      <c r="B10" s="777">
        <v>40345</v>
      </c>
      <c r="C10" s="730">
        <v>0.46597222222222223</v>
      </c>
      <c r="D10" s="777">
        <v>40345</v>
      </c>
      <c r="E10" s="730">
        <v>0.48055555555555557</v>
      </c>
      <c r="F10" s="558" t="s">
        <v>1944</v>
      </c>
      <c r="G10" s="558" t="s">
        <v>61</v>
      </c>
      <c r="H10" s="558" t="s">
        <v>5873</v>
      </c>
      <c r="I10" s="679" t="s">
        <v>1945</v>
      </c>
      <c r="J10" s="676" t="s">
        <v>5873</v>
      </c>
      <c r="K10" s="676" t="s">
        <v>5873</v>
      </c>
      <c r="M10" t="str">
        <f>""</f>
        <v/>
      </c>
    </row>
    <row r="11" spans="1:13" ht="15.75">
      <c r="A11" s="728">
        <v>2010</v>
      </c>
      <c r="B11" s="777">
        <v>40346</v>
      </c>
      <c r="C11" s="730">
        <v>0.35416666666666669</v>
      </c>
      <c r="D11" s="777">
        <v>40346</v>
      </c>
      <c r="E11" s="730">
        <v>0.74097222222222225</v>
      </c>
      <c r="F11" s="558" t="s">
        <v>1947</v>
      </c>
      <c r="G11" s="558" t="s">
        <v>58</v>
      </c>
      <c r="H11" s="558" t="s">
        <v>5873</v>
      </c>
      <c r="I11" s="679" t="s">
        <v>1173</v>
      </c>
      <c r="J11" s="676" t="s">
        <v>5873</v>
      </c>
      <c r="K11" s="676" t="s">
        <v>5873</v>
      </c>
      <c r="M11" t="str">
        <f>""</f>
        <v/>
      </c>
    </row>
    <row r="12" spans="1:13" ht="15.75">
      <c r="A12" s="728">
        <v>2010</v>
      </c>
      <c r="B12" s="777">
        <v>40346</v>
      </c>
      <c r="C12" s="730">
        <v>0.39583333333333331</v>
      </c>
      <c r="D12" s="777">
        <v>40346</v>
      </c>
      <c r="E12" s="730">
        <v>0.72013888888888888</v>
      </c>
      <c r="F12" s="558" t="s">
        <v>1949</v>
      </c>
      <c r="G12" s="558" t="s">
        <v>63</v>
      </c>
      <c r="H12" s="558" t="s">
        <v>5873</v>
      </c>
      <c r="I12" s="679" t="s">
        <v>1173</v>
      </c>
      <c r="J12" s="676" t="s">
        <v>5873</v>
      </c>
      <c r="K12" s="676" t="s">
        <v>5873</v>
      </c>
      <c r="M12" t="str">
        <f>""</f>
        <v/>
      </c>
    </row>
    <row r="13" spans="1:13" ht="15.75">
      <c r="A13" s="728">
        <v>2010</v>
      </c>
      <c r="B13" s="777">
        <v>40346</v>
      </c>
      <c r="C13" s="730">
        <v>0.39583333333333331</v>
      </c>
      <c r="D13" s="777">
        <v>40346</v>
      </c>
      <c r="E13" s="730">
        <v>0.69444444444444442</v>
      </c>
      <c r="F13" s="558" t="s">
        <v>1949</v>
      </c>
      <c r="G13" s="558" t="s">
        <v>63</v>
      </c>
      <c r="H13" s="558" t="s">
        <v>5873</v>
      </c>
      <c r="I13" s="679" t="s">
        <v>1173</v>
      </c>
      <c r="J13" s="676" t="s">
        <v>5873</v>
      </c>
      <c r="K13" s="676" t="s">
        <v>5873</v>
      </c>
      <c r="M13" t="str">
        <f>""</f>
        <v/>
      </c>
    </row>
    <row r="14" spans="1:13" ht="15.75">
      <c r="A14" s="728">
        <v>2010</v>
      </c>
      <c r="B14" s="777">
        <v>40346</v>
      </c>
      <c r="C14" s="730">
        <v>0.39583333333333331</v>
      </c>
      <c r="D14" s="777">
        <v>40346</v>
      </c>
      <c r="E14" s="730">
        <v>0.69444444444444442</v>
      </c>
      <c r="F14" s="558" t="s">
        <v>1952</v>
      </c>
      <c r="G14" s="558" t="s">
        <v>58</v>
      </c>
      <c r="H14" s="558" t="s">
        <v>5873</v>
      </c>
      <c r="I14" s="679" t="s">
        <v>1173</v>
      </c>
      <c r="J14" s="676" t="s">
        <v>5873</v>
      </c>
      <c r="K14" s="676" t="s">
        <v>5873</v>
      </c>
      <c r="M14" t="str">
        <f>""</f>
        <v/>
      </c>
    </row>
    <row r="15" spans="1:13" ht="15.75">
      <c r="A15" s="728">
        <v>2010</v>
      </c>
      <c r="B15" s="777">
        <v>40346</v>
      </c>
      <c r="C15" s="730">
        <v>0.45069444444444445</v>
      </c>
      <c r="D15" s="777">
        <v>40346</v>
      </c>
      <c r="E15" s="730">
        <v>0.4597222222222222</v>
      </c>
      <c r="F15" s="558" t="s">
        <v>1955</v>
      </c>
      <c r="G15" s="558" t="s">
        <v>674</v>
      </c>
      <c r="H15" s="558" t="s">
        <v>5873</v>
      </c>
      <c r="I15" s="679" t="s">
        <v>1223</v>
      </c>
      <c r="J15" s="676" t="s">
        <v>5873</v>
      </c>
      <c r="K15" s="676" t="s">
        <v>5873</v>
      </c>
      <c r="M15" t="str">
        <f>""</f>
        <v/>
      </c>
    </row>
    <row r="16" spans="1:13" ht="15.75">
      <c r="A16" s="728">
        <v>2010</v>
      </c>
      <c r="B16" s="777">
        <v>40354</v>
      </c>
      <c r="C16" s="730">
        <v>0.98333333333333328</v>
      </c>
      <c r="D16" s="777">
        <v>40355</v>
      </c>
      <c r="E16" s="730">
        <v>6.805555555555555E-2</v>
      </c>
      <c r="F16" s="558" t="s">
        <v>141</v>
      </c>
      <c r="G16" s="558" t="s">
        <v>124</v>
      </c>
      <c r="H16" s="558" t="s">
        <v>5873</v>
      </c>
      <c r="I16" s="679" t="s">
        <v>1223</v>
      </c>
      <c r="J16" s="676" t="s">
        <v>5873</v>
      </c>
      <c r="K16" s="676" t="s">
        <v>5873</v>
      </c>
      <c r="M16" t="str">
        <f>""</f>
        <v/>
      </c>
    </row>
    <row r="17" spans="1:13" ht="15.75">
      <c r="A17" s="728">
        <v>2010</v>
      </c>
      <c r="B17" s="777">
        <v>40382</v>
      </c>
      <c r="C17" s="730">
        <v>0.41666666666666669</v>
      </c>
      <c r="D17" s="777">
        <v>40383</v>
      </c>
      <c r="E17" s="730">
        <v>0.99652777777777779</v>
      </c>
      <c r="F17" s="558" t="s">
        <v>1992</v>
      </c>
      <c r="G17" s="558" t="s">
        <v>124</v>
      </c>
      <c r="H17" s="558" t="s">
        <v>5873</v>
      </c>
      <c r="I17" s="679" t="s">
        <v>962</v>
      </c>
      <c r="J17" s="676">
        <v>40702</v>
      </c>
      <c r="K17" s="676" t="s">
        <v>5873</v>
      </c>
      <c r="M17" t="str">
        <f>""</f>
        <v/>
      </c>
    </row>
    <row r="18" spans="1:13" ht="15.75">
      <c r="A18" s="728">
        <v>2010</v>
      </c>
      <c r="B18" s="777">
        <v>40388</v>
      </c>
      <c r="C18" s="730">
        <v>0.77708333333333335</v>
      </c>
      <c r="D18" s="777">
        <v>40388</v>
      </c>
      <c r="E18" s="730">
        <v>0.80972222222222223</v>
      </c>
      <c r="F18" s="558" t="s">
        <v>703</v>
      </c>
      <c r="G18" s="558" t="s">
        <v>124</v>
      </c>
      <c r="H18" s="558" t="s">
        <v>5873</v>
      </c>
      <c r="I18" s="679" t="s">
        <v>2006</v>
      </c>
      <c r="J18" s="676">
        <v>522</v>
      </c>
      <c r="K18" s="676" t="s">
        <v>5873</v>
      </c>
      <c r="M18" t="str">
        <f>""</f>
        <v/>
      </c>
    </row>
    <row r="19" spans="1:13" ht="15.75">
      <c r="A19" s="728">
        <v>2010</v>
      </c>
      <c r="B19" s="777">
        <v>40388</v>
      </c>
      <c r="C19" s="730">
        <v>0.77708333333333335</v>
      </c>
      <c r="D19" s="777">
        <v>40388</v>
      </c>
      <c r="E19" s="730">
        <v>0.80972222222222223</v>
      </c>
      <c r="F19" s="558" t="s">
        <v>703</v>
      </c>
      <c r="G19" s="558" t="s">
        <v>124</v>
      </c>
      <c r="H19" s="558" t="s">
        <v>5873</v>
      </c>
      <c r="I19" s="679" t="s">
        <v>2006</v>
      </c>
      <c r="J19" s="676">
        <v>522</v>
      </c>
      <c r="K19" s="676" t="s">
        <v>5873</v>
      </c>
      <c r="M19" t="str">
        <f>""</f>
        <v/>
      </c>
    </row>
    <row r="20" spans="1:13" ht="15.75">
      <c r="A20" s="728">
        <v>2010</v>
      </c>
      <c r="B20" s="777">
        <v>40392</v>
      </c>
      <c r="C20" s="730">
        <v>0.5</v>
      </c>
      <c r="D20" s="777">
        <v>40392</v>
      </c>
      <c r="E20" s="730">
        <v>0.95833333333333337</v>
      </c>
      <c r="F20" s="558" t="s">
        <v>1922</v>
      </c>
      <c r="G20" s="558" t="s">
        <v>124</v>
      </c>
      <c r="H20" s="558" t="s">
        <v>5873</v>
      </c>
      <c r="I20" s="679" t="s">
        <v>2008</v>
      </c>
      <c r="J20" s="676" t="s">
        <v>5873</v>
      </c>
      <c r="K20" s="676" t="s">
        <v>5873</v>
      </c>
      <c r="M20" t="str">
        <f>""</f>
        <v/>
      </c>
    </row>
    <row r="21" spans="1:13" ht="15.75">
      <c r="A21" s="728">
        <v>2010</v>
      </c>
      <c r="B21" s="777">
        <v>40392</v>
      </c>
      <c r="C21" s="730">
        <v>0.53125</v>
      </c>
      <c r="D21" s="777">
        <v>40394</v>
      </c>
      <c r="E21" s="730">
        <v>0.45833333333333331</v>
      </c>
      <c r="F21" s="558" t="s">
        <v>1949</v>
      </c>
      <c r="G21" s="558" t="s">
        <v>63</v>
      </c>
      <c r="H21" s="558" t="s">
        <v>5873</v>
      </c>
      <c r="I21" s="679" t="s">
        <v>962</v>
      </c>
      <c r="J21" s="676" t="s">
        <v>5873</v>
      </c>
      <c r="K21" s="676" t="s">
        <v>5873</v>
      </c>
      <c r="M21" t="str">
        <f>""</f>
        <v/>
      </c>
    </row>
    <row r="22" spans="1:13" ht="15.75">
      <c r="A22" s="728">
        <v>2010</v>
      </c>
      <c r="B22" s="777">
        <v>40392</v>
      </c>
      <c r="C22" s="730">
        <v>0.53125</v>
      </c>
      <c r="D22" s="777">
        <v>40394</v>
      </c>
      <c r="E22" s="730">
        <v>0.45833333333333331</v>
      </c>
      <c r="F22" s="558" t="s">
        <v>1949</v>
      </c>
      <c r="G22" s="558" t="s">
        <v>63</v>
      </c>
      <c r="H22" s="558" t="s">
        <v>5873</v>
      </c>
      <c r="I22" s="679" t="s">
        <v>962</v>
      </c>
      <c r="J22" s="676" t="s">
        <v>5873</v>
      </c>
      <c r="K22" s="676" t="s">
        <v>5873</v>
      </c>
      <c r="M22" t="str">
        <f>""</f>
        <v/>
      </c>
    </row>
    <row r="23" spans="1:13" ht="15.75">
      <c r="A23" s="728">
        <v>2010</v>
      </c>
      <c r="B23" s="777">
        <v>40392</v>
      </c>
      <c r="C23" s="730">
        <v>0.53125</v>
      </c>
      <c r="D23" s="777">
        <v>40394</v>
      </c>
      <c r="E23" s="730">
        <v>0.45833333333333331</v>
      </c>
      <c r="F23" s="558" t="s">
        <v>1952</v>
      </c>
      <c r="G23" s="558" t="s">
        <v>63</v>
      </c>
      <c r="H23" s="558" t="s">
        <v>5873</v>
      </c>
      <c r="I23" s="679" t="s">
        <v>962</v>
      </c>
      <c r="J23" s="676" t="s">
        <v>5873</v>
      </c>
      <c r="K23" s="676" t="s">
        <v>5873</v>
      </c>
      <c r="M23" t="str">
        <f>""</f>
        <v/>
      </c>
    </row>
    <row r="24" spans="1:13" ht="15.75">
      <c r="A24" s="728">
        <v>2010</v>
      </c>
      <c r="B24" s="777">
        <v>40392</v>
      </c>
      <c r="C24" s="730">
        <v>0.53125</v>
      </c>
      <c r="D24" s="777">
        <v>40394</v>
      </c>
      <c r="E24" s="730">
        <v>0.45833333333333331</v>
      </c>
      <c r="F24" s="558" t="s">
        <v>1949</v>
      </c>
      <c r="G24" s="558" t="s">
        <v>58</v>
      </c>
      <c r="H24" s="558" t="s">
        <v>5873</v>
      </c>
      <c r="I24" s="679" t="s">
        <v>962</v>
      </c>
      <c r="J24" s="676" t="s">
        <v>5873</v>
      </c>
      <c r="K24" s="676" t="s">
        <v>5873</v>
      </c>
      <c r="M24" t="str">
        <f>""</f>
        <v/>
      </c>
    </row>
    <row r="25" spans="1:13" ht="15.75">
      <c r="A25" s="728">
        <v>2010</v>
      </c>
      <c r="B25" s="777">
        <v>40394</v>
      </c>
      <c r="C25" s="730">
        <v>0.5</v>
      </c>
      <c r="D25" s="777">
        <v>40394</v>
      </c>
      <c r="E25" s="730">
        <v>0.91666666666666663</v>
      </c>
      <c r="F25" s="558" t="s">
        <v>2011</v>
      </c>
      <c r="G25" s="558" t="s">
        <v>58</v>
      </c>
      <c r="H25" s="558" t="s">
        <v>5873</v>
      </c>
      <c r="I25" s="679" t="s">
        <v>962</v>
      </c>
      <c r="J25" s="676" t="s">
        <v>5873</v>
      </c>
      <c r="K25" s="676" t="s">
        <v>5873</v>
      </c>
      <c r="M25" t="str">
        <f>""</f>
        <v/>
      </c>
    </row>
    <row r="26" spans="1:13" ht="15.75">
      <c r="A26" s="728">
        <v>2010</v>
      </c>
      <c r="B26" s="777">
        <v>40399</v>
      </c>
      <c r="C26" s="730">
        <v>0.5</v>
      </c>
      <c r="D26" s="777">
        <v>40406</v>
      </c>
      <c r="E26" s="730">
        <v>0.5</v>
      </c>
      <c r="F26" s="558" t="s">
        <v>89</v>
      </c>
      <c r="G26" s="558" t="s">
        <v>826</v>
      </c>
      <c r="H26" s="558" t="s">
        <v>5873</v>
      </c>
      <c r="I26" s="679" t="s">
        <v>2022</v>
      </c>
      <c r="J26" s="676" t="s">
        <v>5873</v>
      </c>
      <c r="K26" s="676" t="s">
        <v>5873</v>
      </c>
      <c r="M26" t="str">
        <f>""</f>
        <v/>
      </c>
    </row>
    <row r="27" spans="1:13" ht="15.75">
      <c r="A27" s="728">
        <v>2010</v>
      </c>
      <c r="B27" s="777">
        <v>40402</v>
      </c>
      <c r="C27" s="730">
        <v>0.34791666666666665</v>
      </c>
      <c r="D27" s="777">
        <v>40402</v>
      </c>
      <c r="E27" s="730">
        <v>0.45833333333333331</v>
      </c>
      <c r="F27" s="558" t="s">
        <v>2029</v>
      </c>
      <c r="G27" s="558" t="s">
        <v>58</v>
      </c>
      <c r="H27" s="558" t="s">
        <v>5873</v>
      </c>
      <c r="I27" s="679" t="s">
        <v>962</v>
      </c>
      <c r="J27" s="676">
        <v>65</v>
      </c>
      <c r="K27" s="676" t="s">
        <v>5873</v>
      </c>
      <c r="M27" t="str">
        <f>""</f>
        <v/>
      </c>
    </row>
    <row r="28" spans="1:13" ht="15.75">
      <c r="A28" s="728">
        <v>2010</v>
      </c>
      <c r="B28" s="777">
        <v>40441</v>
      </c>
      <c r="C28" s="730">
        <v>0.70833333333333337</v>
      </c>
      <c r="D28" s="777">
        <v>40441</v>
      </c>
      <c r="E28" s="730">
        <v>0.72916666666666663</v>
      </c>
      <c r="F28" s="558" t="s">
        <v>2040</v>
      </c>
      <c r="G28" s="558" t="s">
        <v>63</v>
      </c>
      <c r="H28" s="558" t="s">
        <v>5873</v>
      </c>
      <c r="I28" s="679" t="s">
        <v>2041</v>
      </c>
      <c r="J28" s="676" t="s">
        <v>5873</v>
      </c>
      <c r="K28" s="676" t="s">
        <v>5873</v>
      </c>
      <c r="M28" t="str">
        <f>""</f>
        <v/>
      </c>
    </row>
    <row r="29" spans="1:13" ht="15.75">
      <c r="A29" s="728">
        <v>2010</v>
      </c>
      <c r="B29" s="777">
        <v>40443</v>
      </c>
      <c r="C29" s="730">
        <v>0.25833333333333336</v>
      </c>
      <c r="D29" s="777">
        <v>40443</v>
      </c>
      <c r="E29" s="730">
        <v>0.95833333333333337</v>
      </c>
      <c r="F29" s="558" t="s">
        <v>2047</v>
      </c>
      <c r="G29" s="558" t="s">
        <v>124</v>
      </c>
      <c r="H29" s="558" t="s">
        <v>5873</v>
      </c>
      <c r="I29" s="679" t="s">
        <v>1930</v>
      </c>
      <c r="J29" s="676">
        <v>526</v>
      </c>
      <c r="K29" s="676" t="s">
        <v>5873</v>
      </c>
      <c r="M29" t="str">
        <f>""</f>
        <v/>
      </c>
    </row>
    <row r="30" spans="1:13" ht="15.75">
      <c r="A30" s="728">
        <v>2010</v>
      </c>
      <c r="B30" s="777">
        <v>40448</v>
      </c>
      <c r="C30" s="730">
        <v>0.63541666666666663</v>
      </c>
      <c r="D30" s="777">
        <v>40448</v>
      </c>
      <c r="E30" s="730">
        <v>0.7583333333333333</v>
      </c>
      <c r="F30" s="558" t="s">
        <v>393</v>
      </c>
      <c r="G30" s="558" t="s">
        <v>124</v>
      </c>
      <c r="H30" s="558" t="s">
        <v>5873</v>
      </c>
      <c r="I30" s="679" t="s">
        <v>2054</v>
      </c>
      <c r="J30" s="676">
        <v>595</v>
      </c>
      <c r="K30" s="676" t="s">
        <v>5873</v>
      </c>
      <c r="M30" t="str">
        <f>""</f>
        <v/>
      </c>
    </row>
    <row r="31" spans="1:13" ht="15.75">
      <c r="A31" s="728">
        <v>2010</v>
      </c>
      <c r="B31" s="777">
        <v>40482</v>
      </c>
      <c r="C31" s="730">
        <v>0.93472222222222223</v>
      </c>
      <c r="D31" s="777">
        <v>40483</v>
      </c>
      <c r="E31" s="730">
        <v>7.2916666666666671E-2</v>
      </c>
      <c r="F31" s="558" t="s">
        <v>2047</v>
      </c>
      <c r="G31" s="558" t="s">
        <v>124</v>
      </c>
      <c r="H31" s="558" t="s">
        <v>5873</v>
      </c>
      <c r="I31" s="679" t="s">
        <v>2069</v>
      </c>
      <c r="J31" s="676">
        <v>500</v>
      </c>
      <c r="K31" s="676" t="s">
        <v>5873</v>
      </c>
      <c r="M31" t="str">
        <f>""</f>
        <v/>
      </c>
    </row>
    <row r="32" spans="1:13" ht="15.75">
      <c r="A32" s="728">
        <v>2010</v>
      </c>
      <c r="B32" s="777">
        <v>40486</v>
      </c>
      <c r="C32" s="730">
        <v>0.40694444444444444</v>
      </c>
      <c r="D32" s="777">
        <v>40486</v>
      </c>
      <c r="E32" s="730">
        <v>0.44930555555555557</v>
      </c>
      <c r="F32" s="558" t="s">
        <v>2072</v>
      </c>
      <c r="G32" s="558" t="s">
        <v>124</v>
      </c>
      <c r="H32" s="558" t="s">
        <v>5873</v>
      </c>
      <c r="I32" s="679" t="s">
        <v>2073</v>
      </c>
      <c r="J32" s="676" t="s">
        <v>5873</v>
      </c>
      <c r="K32" s="676" t="s">
        <v>5873</v>
      </c>
      <c r="M32" t="str">
        <f>""</f>
        <v/>
      </c>
    </row>
    <row r="33" spans="1:13" ht="15.75">
      <c r="A33" s="728">
        <v>2010</v>
      </c>
      <c r="B33" s="777">
        <v>40526</v>
      </c>
      <c r="C33" s="730">
        <v>0.31666666666666665</v>
      </c>
      <c r="D33" s="777">
        <v>40527</v>
      </c>
      <c r="E33" s="730">
        <v>0.375</v>
      </c>
      <c r="F33" s="558" t="s">
        <v>703</v>
      </c>
      <c r="G33" s="558" t="s">
        <v>124</v>
      </c>
      <c r="H33" s="558" t="s">
        <v>5873</v>
      </c>
      <c r="I33" s="679" t="s">
        <v>2096</v>
      </c>
      <c r="J33" s="676">
        <v>464</v>
      </c>
      <c r="K33" s="676" t="s">
        <v>5873</v>
      </c>
      <c r="M33" t="str">
        <f>""</f>
        <v/>
      </c>
    </row>
    <row r="34" spans="1:13" ht="15.75">
      <c r="A34" s="728">
        <v>2010</v>
      </c>
      <c r="B34" s="777">
        <v>40542</v>
      </c>
      <c r="C34" s="730">
        <v>0.58333333333333337</v>
      </c>
      <c r="D34" s="777">
        <v>40190</v>
      </c>
      <c r="E34" s="730">
        <v>0.25</v>
      </c>
      <c r="F34" s="558" t="s">
        <v>30</v>
      </c>
      <c r="G34" s="558" t="s">
        <v>826</v>
      </c>
      <c r="H34" s="558" t="s">
        <v>5873</v>
      </c>
      <c r="I34" s="679" t="s">
        <v>1138</v>
      </c>
      <c r="J34" s="676">
        <v>300</v>
      </c>
      <c r="K34" s="676" t="s">
        <v>5873</v>
      </c>
      <c r="M34" t="str">
        <f>""</f>
        <v/>
      </c>
    </row>
    <row r="35" spans="1:13" ht="15.75">
      <c r="A35">
        <v>2011</v>
      </c>
      <c r="B35" s="777">
        <v>40570</v>
      </c>
      <c r="C35" s="730">
        <v>0.70833333333333337</v>
      </c>
      <c r="D35" s="777">
        <v>40573</v>
      </c>
      <c r="E35" s="730">
        <v>0.20833333333333334</v>
      </c>
      <c r="F35" s="558" t="s">
        <v>2125</v>
      </c>
      <c r="G35" s="558" t="s">
        <v>61</v>
      </c>
      <c r="H35" s="558" t="s">
        <v>5873</v>
      </c>
      <c r="I35" s="679" t="s">
        <v>2126</v>
      </c>
      <c r="J35" s="676">
        <v>108</v>
      </c>
      <c r="K35" s="676" t="s">
        <v>5873</v>
      </c>
      <c r="M35" t="str">
        <f>""</f>
        <v/>
      </c>
    </row>
    <row r="36" spans="1:13" ht="15.75">
      <c r="A36">
        <v>2011</v>
      </c>
      <c r="B36" s="777">
        <v>40576</v>
      </c>
      <c r="C36" s="730">
        <v>0.70833333333333337</v>
      </c>
      <c r="D36" s="777">
        <v>40577</v>
      </c>
      <c r="E36" s="730">
        <v>0.91666666666666663</v>
      </c>
      <c r="F36" s="558" t="s">
        <v>2135</v>
      </c>
      <c r="G36" s="558" t="s">
        <v>58</v>
      </c>
      <c r="H36" s="558" t="s">
        <v>5873</v>
      </c>
      <c r="I36" s="679" t="s">
        <v>2136</v>
      </c>
      <c r="J36" s="676" t="s">
        <v>5873</v>
      </c>
      <c r="K36" s="676" t="s">
        <v>5873</v>
      </c>
      <c r="M36" t="str">
        <f>""</f>
        <v/>
      </c>
    </row>
    <row r="37" spans="1:13" ht="15.75">
      <c r="A37">
        <v>2011</v>
      </c>
      <c r="B37" s="777">
        <v>40577</v>
      </c>
      <c r="C37" s="730">
        <v>0.625</v>
      </c>
      <c r="D37" s="777">
        <v>40578</v>
      </c>
      <c r="E37" s="730">
        <v>0.5</v>
      </c>
      <c r="F37" s="558" t="s">
        <v>2137</v>
      </c>
      <c r="G37" s="558" t="s">
        <v>124</v>
      </c>
      <c r="H37" s="558" t="s">
        <v>5873</v>
      </c>
      <c r="I37" s="679" t="s">
        <v>2136</v>
      </c>
      <c r="J37" s="676" t="s">
        <v>5873</v>
      </c>
      <c r="K37" s="676" t="s">
        <v>5873</v>
      </c>
      <c r="M37" t="str">
        <f>""</f>
        <v/>
      </c>
    </row>
    <row r="38" spans="1:13" ht="15.75">
      <c r="A38">
        <v>2011</v>
      </c>
      <c r="B38" s="777">
        <v>40583</v>
      </c>
      <c r="C38" s="730">
        <v>0.6875</v>
      </c>
      <c r="D38" s="777">
        <v>40584</v>
      </c>
      <c r="E38" s="730">
        <v>0.5229166666666667</v>
      </c>
      <c r="F38" s="558" t="s">
        <v>166</v>
      </c>
      <c r="G38" s="558" t="s">
        <v>1352</v>
      </c>
      <c r="H38" s="558" t="s">
        <v>5873</v>
      </c>
      <c r="I38" s="679" t="s">
        <v>2142</v>
      </c>
      <c r="J38" s="676" t="s">
        <v>5873</v>
      </c>
      <c r="K38" s="676" t="s">
        <v>5873</v>
      </c>
      <c r="M38" t="str">
        <f>""</f>
        <v/>
      </c>
    </row>
    <row r="39" spans="1:13" ht="15.75">
      <c r="A39">
        <v>2011</v>
      </c>
      <c r="B39" s="777">
        <v>40598</v>
      </c>
      <c r="C39" s="730">
        <v>0.70208333333333328</v>
      </c>
      <c r="D39" s="777">
        <v>40598</v>
      </c>
      <c r="E39" s="730">
        <v>0.70416666666666672</v>
      </c>
      <c r="F39" s="558" t="s">
        <v>48</v>
      </c>
      <c r="G39" s="558" t="s">
        <v>58</v>
      </c>
      <c r="H39" s="558" t="s">
        <v>5873</v>
      </c>
      <c r="I39" s="679" t="s">
        <v>2037</v>
      </c>
      <c r="J39" s="676">
        <v>4</v>
      </c>
      <c r="K39" s="676" t="s">
        <v>5873</v>
      </c>
      <c r="M39" t="str">
        <f>""</f>
        <v/>
      </c>
    </row>
    <row r="40" spans="1:13" ht="15.75">
      <c r="A40">
        <v>2011</v>
      </c>
      <c r="B40" s="777">
        <v>40603</v>
      </c>
      <c r="C40" s="730">
        <v>0.33333333333333331</v>
      </c>
      <c r="D40" s="777">
        <v>40607</v>
      </c>
      <c r="E40" s="730">
        <v>0.39583333333333331</v>
      </c>
      <c r="F40" s="558" t="s">
        <v>2148</v>
      </c>
      <c r="G40" s="558" t="s">
        <v>61</v>
      </c>
      <c r="H40" s="558" t="s">
        <v>5873</v>
      </c>
      <c r="I40" s="679" t="s">
        <v>2126</v>
      </c>
      <c r="J40" s="676">
        <v>675</v>
      </c>
      <c r="K40" s="676" t="s">
        <v>5873</v>
      </c>
      <c r="M40" t="str">
        <f>""</f>
        <v/>
      </c>
    </row>
    <row r="41" spans="1:13" ht="15.75">
      <c r="A41">
        <v>2011</v>
      </c>
      <c r="B41" s="777">
        <v>40610</v>
      </c>
      <c r="C41" s="730">
        <v>0.33333333333333331</v>
      </c>
      <c r="D41" s="777">
        <v>36968</v>
      </c>
      <c r="E41" s="730">
        <v>0.375</v>
      </c>
      <c r="F41" s="558" t="s">
        <v>2148</v>
      </c>
      <c r="G41" s="558" t="s">
        <v>61</v>
      </c>
      <c r="H41" s="558" t="s">
        <v>5873</v>
      </c>
      <c r="I41" s="679" t="s">
        <v>2126</v>
      </c>
      <c r="J41" s="676">
        <v>676</v>
      </c>
      <c r="K41" s="676" t="s">
        <v>5873</v>
      </c>
      <c r="M41" t="str">
        <f>""</f>
        <v/>
      </c>
    </row>
    <row r="42" spans="1:13" ht="15.75">
      <c r="A42">
        <v>2011</v>
      </c>
      <c r="B42" s="777">
        <v>40612</v>
      </c>
      <c r="C42" s="730">
        <v>0.50208333333333333</v>
      </c>
      <c r="D42" s="777">
        <v>40613</v>
      </c>
      <c r="E42" s="730">
        <v>0.25</v>
      </c>
      <c r="F42" s="558" t="s">
        <v>166</v>
      </c>
      <c r="G42" s="558" t="s">
        <v>1352</v>
      </c>
      <c r="H42" s="558" t="s">
        <v>5873</v>
      </c>
      <c r="I42" s="679" t="s">
        <v>2150</v>
      </c>
      <c r="J42" s="676" t="s">
        <v>5873</v>
      </c>
      <c r="K42" s="676" t="s">
        <v>5873</v>
      </c>
      <c r="M42" t="str">
        <f>""</f>
        <v/>
      </c>
    </row>
    <row r="43" spans="1:13" ht="15.75">
      <c r="A43">
        <v>2011</v>
      </c>
      <c r="B43" s="777">
        <v>40616</v>
      </c>
      <c r="C43" s="730">
        <v>0.3125</v>
      </c>
      <c r="D43" s="777">
        <v>40616</v>
      </c>
      <c r="E43" s="730">
        <v>0.70486111111111116</v>
      </c>
      <c r="F43" s="558" t="s">
        <v>2153</v>
      </c>
      <c r="G43" s="558" t="s">
        <v>826</v>
      </c>
      <c r="H43" s="558" t="s">
        <v>5873</v>
      </c>
      <c r="I43" s="679" t="s">
        <v>2139</v>
      </c>
      <c r="J43" s="676" t="s">
        <v>5873</v>
      </c>
      <c r="K43" s="676" t="s">
        <v>5873</v>
      </c>
      <c r="M43" t="str">
        <f>""</f>
        <v/>
      </c>
    </row>
    <row r="44" spans="1:13" ht="15.75">
      <c r="A44">
        <v>2011</v>
      </c>
      <c r="B44" s="777">
        <v>40617</v>
      </c>
      <c r="C44" s="730">
        <v>0.75</v>
      </c>
      <c r="D44" s="777">
        <v>40617</v>
      </c>
      <c r="E44" s="730">
        <v>0.80138888888888893</v>
      </c>
      <c r="F44" s="558" t="s">
        <v>2154</v>
      </c>
      <c r="G44" s="558" t="s">
        <v>1352</v>
      </c>
      <c r="H44" s="558" t="s">
        <v>5873</v>
      </c>
      <c r="I44" s="679" t="s">
        <v>2150</v>
      </c>
      <c r="J44" s="676" t="s">
        <v>5873</v>
      </c>
      <c r="K44" s="676" t="s">
        <v>5873</v>
      </c>
      <c r="M44" t="str">
        <f>""</f>
        <v/>
      </c>
    </row>
    <row r="45" spans="1:13" ht="15.75">
      <c r="A45">
        <v>2011</v>
      </c>
      <c r="B45" s="777">
        <v>40619</v>
      </c>
      <c r="C45" s="730">
        <v>0.31944444444444442</v>
      </c>
      <c r="D45" s="777">
        <v>40619</v>
      </c>
      <c r="E45" s="730">
        <v>0.45833333333333331</v>
      </c>
      <c r="F45" s="558" t="s">
        <v>2155</v>
      </c>
      <c r="G45" s="558" t="s">
        <v>61</v>
      </c>
      <c r="H45" s="558" t="s">
        <v>5873</v>
      </c>
      <c r="I45" s="679" t="s">
        <v>100</v>
      </c>
      <c r="J45" s="676" t="s">
        <v>5873</v>
      </c>
      <c r="K45" s="676" t="s">
        <v>5873</v>
      </c>
      <c r="M45" t="str">
        <f>""</f>
        <v/>
      </c>
    </row>
    <row r="46" spans="1:13" ht="15.75">
      <c r="A46">
        <v>2011</v>
      </c>
      <c r="B46" s="777">
        <v>40620</v>
      </c>
      <c r="C46" s="730">
        <v>0.41249999999999998</v>
      </c>
      <c r="D46" s="777">
        <v>40620</v>
      </c>
      <c r="E46" s="730">
        <v>0.64861111111111114</v>
      </c>
      <c r="F46" s="558" t="s">
        <v>2156</v>
      </c>
      <c r="G46" s="558" t="s">
        <v>826</v>
      </c>
      <c r="H46" s="558" t="s">
        <v>5873</v>
      </c>
      <c r="I46" s="679" t="s">
        <v>100</v>
      </c>
      <c r="J46" s="676" t="s">
        <v>5873</v>
      </c>
      <c r="K46" s="676" t="s">
        <v>5873</v>
      </c>
      <c r="M46" t="str">
        <f>""</f>
        <v/>
      </c>
    </row>
    <row r="47" spans="1:13" ht="15.75">
      <c r="A47">
        <v>2011</v>
      </c>
      <c r="B47" s="777">
        <v>40623</v>
      </c>
      <c r="C47" s="730">
        <v>3.9583333333333331E-2</v>
      </c>
      <c r="D47" s="777">
        <v>40623</v>
      </c>
      <c r="E47" s="730">
        <v>0.10347222222222222</v>
      </c>
      <c r="F47" s="558" t="s">
        <v>2155</v>
      </c>
      <c r="G47" s="558" t="s">
        <v>61</v>
      </c>
      <c r="H47" s="558" t="s">
        <v>5873</v>
      </c>
      <c r="I47" s="679" t="s">
        <v>100</v>
      </c>
      <c r="J47" s="676" t="s">
        <v>5873</v>
      </c>
      <c r="K47" s="676" t="s">
        <v>5873</v>
      </c>
      <c r="M47" t="str">
        <f>""</f>
        <v/>
      </c>
    </row>
    <row r="48" spans="1:13" ht="15.75">
      <c r="A48">
        <v>2011</v>
      </c>
      <c r="B48" s="777">
        <v>40652</v>
      </c>
      <c r="C48" s="730">
        <v>0.96736111111111112</v>
      </c>
      <c r="D48" s="777">
        <v>40653</v>
      </c>
      <c r="E48" s="730">
        <v>0.80138888888888893</v>
      </c>
      <c r="F48" s="558" t="s">
        <v>2173</v>
      </c>
      <c r="G48" s="558" t="s">
        <v>63</v>
      </c>
      <c r="H48" s="558" t="s">
        <v>5873</v>
      </c>
      <c r="I48" s="679" t="s">
        <v>22</v>
      </c>
      <c r="J48" s="676">
        <v>22</v>
      </c>
      <c r="K48" s="676" t="s">
        <v>5873</v>
      </c>
      <c r="M48" t="str">
        <f>""</f>
        <v/>
      </c>
    </row>
    <row r="49" spans="1:13" ht="15.75">
      <c r="A49">
        <v>2011</v>
      </c>
      <c r="B49" s="777">
        <v>40654</v>
      </c>
      <c r="C49" s="730">
        <v>0.79166666666666663</v>
      </c>
      <c r="D49" s="777">
        <v>40662</v>
      </c>
      <c r="E49" s="730">
        <v>0.79513888888888884</v>
      </c>
      <c r="F49" s="558" t="s">
        <v>2178</v>
      </c>
      <c r="G49" s="558" t="s">
        <v>826</v>
      </c>
      <c r="H49" s="558" t="s">
        <v>5873</v>
      </c>
      <c r="I49" s="679" t="s">
        <v>2118</v>
      </c>
      <c r="J49" s="676" t="s">
        <v>5873</v>
      </c>
      <c r="K49" s="676" t="s">
        <v>5873</v>
      </c>
      <c r="M49" t="str">
        <f>""</f>
        <v/>
      </c>
    </row>
    <row r="50" spans="1:13" ht="15.75">
      <c r="A50">
        <v>2011</v>
      </c>
      <c r="B50" s="777">
        <v>40658</v>
      </c>
      <c r="C50" s="730">
        <v>0.68958333333333333</v>
      </c>
      <c r="D50" s="777">
        <v>40658</v>
      </c>
      <c r="E50" s="730">
        <v>0.72152777777777777</v>
      </c>
      <c r="F50" s="558" t="s">
        <v>2180</v>
      </c>
      <c r="G50" s="558" t="s">
        <v>63</v>
      </c>
      <c r="H50" s="558" t="s">
        <v>5873</v>
      </c>
      <c r="I50" s="679" t="s">
        <v>2176</v>
      </c>
      <c r="J50" s="676">
        <v>140</v>
      </c>
      <c r="K50" s="676" t="s">
        <v>5873</v>
      </c>
      <c r="M50" t="str">
        <f>""</f>
        <v/>
      </c>
    </row>
    <row r="51" spans="1:13" ht="15.75">
      <c r="A51">
        <v>2011</v>
      </c>
      <c r="B51" s="777">
        <v>40659</v>
      </c>
      <c r="C51" s="730">
        <v>0.24236111111111111</v>
      </c>
      <c r="D51" s="777">
        <v>40660</v>
      </c>
      <c r="E51" s="730">
        <v>0.41597222222222224</v>
      </c>
      <c r="F51" s="558" t="s">
        <v>1949</v>
      </c>
      <c r="G51" s="558" t="s">
        <v>58</v>
      </c>
      <c r="H51" s="558" t="s">
        <v>5873</v>
      </c>
      <c r="I51" s="679" t="s">
        <v>22</v>
      </c>
      <c r="J51" s="676">
        <v>120</v>
      </c>
      <c r="K51" s="676" t="s">
        <v>5873</v>
      </c>
      <c r="M51" t="str">
        <f>""</f>
        <v/>
      </c>
    </row>
    <row r="52" spans="1:13" ht="15.75">
      <c r="A52">
        <v>2011</v>
      </c>
      <c r="B52" s="777">
        <v>40661</v>
      </c>
      <c r="C52" s="730">
        <v>0.67291666666666672</v>
      </c>
      <c r="D52" s="777">
        <v>40661</v>
      </c>
      <c r="E52" s="730">
        <v>0.67361111111111116</v>
      </c>
      <c r="F52" s="558" t="s">
        <v>137</v>
      </c>
      <c r="G52" s="558" t="s">
        <v>124</v>
      </c>
      <c r="H52" s="558" t="s">
        <v>5873</v>
      </c>
      <c r="I52" s="679" t="s">
        <v>2176</v>
      </c>
      <c r="J52" s="676">
        <v>960</v>
      </c>
      <c r="K52" s="676" t="s">
        <v>5873</v>
      </c>
      <c r="M52" t="str">
        <f>""</f>
        <v/>
      </c>
    </row>
    <row r="53" spans="1:13" ht="15.75">
      <c r="A53">
        <v>2011</v>
      </c>
      <c r="B53" s="777">
        <v>40672</v>
      </c>
      <c r="C53" s="730">
        <v>0.17222222222222222</v>
      </c>
      <c r="D53" s="777">
        <v>40672</v>
      </c>
      <c r="E53" s="730">
        <v>0.27777777777777779</v>
      </c>
      <c r="F53" s="558" t="s">
        <v>2193</v>
      </c>
      <c r="G53" s="558" t="s">
        <v>826</v>
      </c>
      <c r="H53" s="558" t="s">
        <v>5873</v>
      </c>
      <c r="I53" s="679" t="s">
        <v>2150</v>
      </c>
      <c r="J53" s="676">
        <v>630</v>
      </c>
      <c r="K53" s="676" t="s">
        <v>5873</v>
      </c>
      <c r="M53" t="str">
        <f>""</f>
        <v/>
      </c>
    </row>
    <row r="54" spans="1:13" ht="15.75">
      <c r="A54">
        <v>2011</v>
      </c>
      <c r="B54" s="777">
        <v>40684</v>
      </c>
      <c r="C54" s="730">
        <v>0.70833333333333337</v>
      </c>
      <c r="D54" s="777">
        <v>40685</v>
      </c>
      <c r="E54" s="730">
        <v>0.77361111111111114</v>
      </c>
      <c r="F54" s="558" t="s">
        <v>2201</v>
      </c>
      <c r="G54" s="558" t="s">
        <v>124</v>
      </c>
      <c r="H54" s="558" t="s">
        <v>5873</v>
      </c>
      <c r="I54" s="679" t="s">
        <v>2202</v>
      </c>
      <c r="J54" s="676">
        <v>56</v>
      </c>
      <c r="K54" s="676" t="s">
        <v>5873</v>
      </c>
      <c r="M54" t="str">
        <f>""</f>
        <v/>
      </c>
    </row>
    <row r="55" spans="1:13" ht="15.75">
      <c r="A55">
        <v>2011</v>
      </c>
      <c r="B55" s="777">
        <v>40702</v>
      </c>
      <c r="C55" s="730">
        <v>0.54027777777777775</v>
      </c>
      <c r="D55" s="777">
        <v>40702</v>
      </c>
      <c r="E55" s="730">
        <v>0.54027777777777775</v>
      </c>
      <c r="F55" s="558" t="s">
        <v>2222</v>
      </c>
      <c r="G55" s="558" t="s">
        <v>124</v>
      </c>
      <c r="H55" s="558" t="s">
        <v>5873</v>
      </c>
      <c r="I55" s="679" t="s">
        <v>100</v>
      </c>
      <c r="J55" s="676" t="s">
        <v>5873</v>
      </c>
      <c r="K55" s="676" t="s">
        <v>5873</v>
      </c>
      <c r="M55" t="str">
        <f>""</f>
        <v/>
      </c>
    </row>
    <row r="56" spans="1:13" ht="15.75">
      <c r="A56">
        <v>2011</v>
      </c>
      <c r="B56" s="777">
        <v>40709</v>
      </c>
      <c r="C56" s="730">
        <v>0.66666666666666663</v>
      </c>
      <c r="D56" s="777">
        <v>40710</v>
      </c>
      <c r="E56" s="730">
        <v>0.27083333333333331</v>
      </c>
      <c r="F56" s="558" t="s">
        <v>2225</v>
      </c>
      <c r="G56" s="558" t="s">
        <v>124</v>
      </c>
      <c r="H56" s="558" t="s">
        <v>5873</v>
      </c>
      <c r="I56" s="679" t="s">
        <v>100</v>
      </c>
      <c r="J56" s="676" t="s">
        <v>5873</v>
      </c>
      <c r="K56" s="676" t="s">
        <v>5873</v>
      </c>
      <c r="M56" t="str">
        <f>""</f>
        <v/>
      </c>
    </row>
    <row r="57" spans="1:13" ht="15.75">
      <c r="A57">
        <v>2011</v>
      </c>
      <c r="B57" s="777">
        <v>40712</v>
      </c>
      <c r="C57" s="730">
        <v>0.69791666666666663</v>
      </c>
      <c r="D57" s="777">
        <v>40714</v>
      </c>
      <c r="E57" s="730">
        <v>0.99930555555555556</v>
      </c>
      <c r="F57" s="558" t="s">
        <v>2220</v>
      </c>
      <c r="G57" s="558" t="s">
        <v>58</v>
      </c>
      <c r="H57" s="558" t="s">
        <v>5873</v>
      </c>
      <c r="I57" s="679" t="s">
        <v>2221</v>
      </c>
      <c r="J57" s="676" t="s">
        <v>5873</v>
      </c>
      <c r="K57" s="676" t="s">
        <v>5873</v>
      </c>
      <c r="M57" t="str">
        <f>""</f>
        <v/>
      </c>
    </row>
    <row r="58" spans="1:13" ht="15.75">
      <c r="A58">
        <v>2011</v>
      </c>
      <c r="B58" s="777">
        <v>40720</v>
      </c>
      <c r="C58" s="730">
        <v>0.69861111111111107</v>
      </c>
      <c r="D58" s="777">
        <v>40721</v>
      </c>
      <c r="E58" s="730">
        <v>0.33263888888888887</v>
      </c>
      <c r="F58" s="558" t="s">
        <v>2235</v>
      </c>
      <c r="G58" s="558" t="s">
        <v>58</v>
      </c>
      <c r="H58" s="558" t="s">
        <v>5873</v>
      </c>
      <c r="I58" s="679" t="s">
        <v>2221</v>
      </c>
      <c r="J58" s="676" t="s">
        <v>5873</v>
      </c>
      <c r="K58" s="676" t="s">
        <v>5873</v>
      </c>
      <c r="M58" t="str">
        <f>""</f>
        <v/>
      </c>
    </row>
    <row r="59" spans="1:13" ht="15.75">
      <c r="A59">
        <v>2011</v>
      </c>
      <c r="B59" s="777">
        <v>40721</v>
      </c>
      <c r="C59" s="730">
        <v>0.78819444444444442</v>
      </c>
      <c r="D59" s="777">
        <v>40721</v>
      </c>
      <c r="E59" s="730">
        <v>0.78819444444444442</v>
      </c>
      <c r="F59" s="558" t="s">
        <v>2237</v>
      </c>
      <c r="G59" s="558" t="s">
        <v>124</v>
      </c>
      <c r="H59" s="558" t="s">
        <v>5873</v>
      </c>
      <c r="I59" s="679" t="s">
        <v>100</v>
      </c>
      <c r="J59" s="676" t="s">
        <v>5873</v>
      </c>
      <c r="K59" s="676" t="s">
        <v>5873</v>
      </c>
      <c r="M59" t="str">
        <f>""</f>
        <v/>
      </c>
    </row>
    <row r="60" spans="1:13" ht="15.75">
      <c r="A60">
        <v>2011</v>
      </c>
      <c r="B60" s="777">
        <v>40730</v>
      </c>
      <c r="C60" s="730">
        <v>0.41041666666666665</v>
      </c>
      <c r="D60" s="777">
        <v>40730</v>
      </c>
      <c r="E60" s="730">
        <v>0.41111111111111109</v>
      </c>
      <c r="F60" s="558" t="s">
        <v>2245</v>
      </c>
      <c r="G60" s="558" t="s">
        <v>61</v>
      </c>
      <c r="H60" s="558" t="s">
        <v>5873</v>
      </c>
      <c r="I60" s="679" t="s">
        <v>100</v>
      </c>
      <c r="J60" s="676" t="s">
        <v>5873</v>
      </c>
      <c r="K60" s="676" t="s">
        <v>5873</v>
      </c>
      <c r="M60" t="str">
        <f>""</f>
        <v/>
      </c>
    </row>
    <row r="61" spans="1:13" ht="15.75">
      <c r="A61">
        <v>2011</v>
      </c>
      <c r="B61" s="777">
        <v>40732</v>
      </c>
      <c r="C61" s="730">
        <v>0.41666666666666669</v>
      </c>
      <c r="D61" s="777">
        <v>40735</v>
      </c>
      <c r="E61" s="730">
        <v>0.375</v>
      </c>
      <c r="F61" s="558" t="s">
        <v>2247</v>
      </c>
      <c r="G61" s="558" t="s">
        <v>826</v>
      </c>
      <c r="H61" s="558" t="s">
        <v>5873</v>
      </c>
      <c r="I61" s="679" t="s">
        <v>2139</v>
      </c>
      <c r="J61" s="676" t="s">
        <v>5873</v>
      </c>
      <c r="K61" s="676" t="s">
        <v>5873</v>
      </c>
      <c r="M61" t="str">
        <f>""</f>
        <v/>
      </c>
    </row>
    <row r="62" spans="1:13" ht="15.75">
      <c r="A62">
        <v>2011</v>
      </c>
      <c r="B62" s="777">
        <v>40736</v>
      </c>
      <c r="C62" s="730">
        <v>0.84722222222222221</v>
      </c>
      <c r="D62" s="777">
        <v>40736</v>
      </c>
      <c r="E62" s="730">
        <v>0.89583333333333337</v>
      </c>
      <c r="F62" s="558" t="s">
        <v>18</v>
      </c>
      <c r="G62" s="558" t="s">
        <v>124</v>
      </c>
      <c r="H62" s="558" t="s">
        <v>5873</v>
      </c>
      <c r="I62" s="679" t="s">
        <v>2150</v>
      </c>
      <c r="J62" s="676" t="s">
        <v>5873</v>
      </c>
      <c r="K62" s="676" t="s">
        <v>5873</v>
      </c>
      <c r="M62" t="str">
        <f>""</f>
        <v/>
      </c>
    </row>
    <row r="63" spans="1:13" ht="15.75">
      <c r="A63">
        <v>2011</v>
      </c>
      <c r="B63" s="777">
        <v>40737</v>
      </c>
      <c r="C63" s="730">
        <v>0.72152777777777777</v>
      </c>
      <c r="D63" s="777">
        <v>40737</v>
      </c>
      <c r="E63" s="730">
        <v>0.91874999999999996</v>
      </c>
      <c r="F63" s="558" t="s">
        <v>2250</v>
      </c>
      <c r="G63" s="558" t="s">
        <v>124</v>
      </c>
      <c r="H63" s="558" t="s">
        <v>5873</v>
      </c>
      <c r="I63" s="679" t="s">
        <v>905</v>
      </c>
      <c r="J63" s="676">
        <v>580</v>
      </c>
      <c r="K63" s="676" t="s">
        <v>5873</v>
      </c>
      <c r="M63" t="str">
        <f>""</f>
        <v/>
      </c>
    </row>
    <row r="64" spans="1:13" ht="15.75">
      <c r="A64">
        <v>2011</v>
      </c>
      <c r="B64" s="777">
        <v>40743</v>
      </c>
      <c r="C64" s="730">
        <v>0.48958333333333331</v>
      </c>
      <c r="D64" s="777">
        <v>40743</v>
      </c>
      <c r="E64" s="730">
        <v>0.625</v>
      </c>
      <c r="F64" s="558" t="s">
        <v>2079</v>
      </c>
      <c r="G64" s="558" t="s">
        <v>61</v>
      </c>
      <c r="H64" s="558" t="s">
        <v>5873</v>
      </c>
      <c r="I64" s="679" t="s">
        <v>100</v>
      </c>
      <c r="J64" s="676" t="s">
        <v>5873</v>
      </c>
      <c r="K64" s="676" t="s">
        <v>5873</v>
      </c>
      <c r="M64" t="str">
        <f>""</f>
        <v/>
      </c>
    </row>
    <row r="65" spans="1:13" ht="15.75">
      <c r="A65">
        <v>2011</v>
      </c>
      <c r="B65" s="777">
        <v>40744</v>
      </c>
      <c r="C65" s="730">
        <v>0.38194444444444442</v>
      </c>
      <c r="D65" s="777">
        <v>40744</v>
      </c>
      <c r="E65" s="730">
        <v>0.6875</v>
      </c>
      <c r="F65" s="558" t="s">
        <v>2251</v>
      </c>
      <c r="G65" s="558" t="s">
        <v>124</v>
      </c>
      <c r="H65" s="558" t="s">
        <v>5873</v>
      </c>
      <c r="I65" s="679" t="s">
        <v>100</v>
      </c>
      <c r="J65" s="676" t="s">
        <v>5873</v>
      </c>
      <c r="K65" s="676" t="s">
        <v>5873</v>
      </c>
      <c r="M65" t="str">
        <f>""</f>
        <v/>
      </c>
    </row>
    <row r="66" spans="1:13" ht="15.75">
      <c r="A66">
        <v>2011</v>
      </c>
      <c r="B66" s="777">
        <v>40745</v>
      </c>
      <c r="C66" s="730">
        <v>0.52222222222222225</v>
      </c>
      <c r="D66" s="777">
        <v>40746</v>
      </c>
      <c r="E66" s="730">
        <v>0.27083333333333331</v>
      </c>
      <c r="F66" s="558" t="s">
        <v>2252</v>
      </c>
      <c r="G66" s="558" t="s">
        <v>826</v>
      </c>
      <c r="H66" s="558" t="s">
        <v>5873</v>
      </c>
      <c r="I66" s="679" t="s">
        <v>2221</v>
      </c>
      <c r="J66" s="676">
        <v>8881</v>
      </c>
      <c r="K66" s="676" t="s">
        <v>5873</v>
      </c>
      <c r="M66" t="str">
        <f>""</f>
        <v/>
      </c>
    </row>
    <row r="67" spans="1:13" ht="15.75">
      <c r="A67">
        <v>2011</v>
      </c>
      <c r="B67" s="777">
        <v>40745</v>
      </c>
      <c r="C67" s="730">
        <v>0.54166666666666663</v>
      </c>
      <c r="D67" s="777">
        <v>40745</v>
      </c>
      <c r="E67" s="730">
        <v>0.625</v>
      </c>
      <c r="F67" s="558" t="s">
        <v>2253</v>
      </c>
      <c r="G67" s="558" t="s">
        <v>63</v>
      </c>
      <c r="H67" s="558" t="s">
        <v>5873</v>
      </c>
      <c r="I67" s="679" t="s">
        <v>2221</v>
      </c>
      <c r="J67" s="676" t="s">
        <v>5873</v>
      </c>
      <c r="K67" s="676" t="s">
        <v>5873</v>
      </c>
      <c r="M67" t="str">
        <f>""</f>
        <v/>
      </c>
    </row>
    <row r="68" spans="1:13" ht="15.75">
      <c r="A68">
        <v>2011</v>
      </c>
      <c r="B68" s="777">
        <v>40746</v>
      </c>
      <c r="C68" s="730">
        <v>0.45833333333333331</v>
      </c>
      <c r="D68" s="777">
        <v>40746</v>
      </c>
      <c r="E68" s="730">
        <v>0.75</v>
      </c>
      <c r="F68" s="558" t="s">
        <v>2254</v>
      </c>
      <c r="G68" s="558" t="s">
        <v>61</v>
      </c>
      <c r="H68" s="558" t="s">
        <v>5873</v>
      </c>
      <c r="I68" s="679" t="s">
        <v>2221</v>
      </c>
      <c r="J68" s="676" t="s">
        <v>5873</v>
      </c>
      <c r="K68" s="676" t="s">
        <v>5873</v>
      </c>
      <c r="M68" t="str">
        <f>""</f>
        <v/>
      </c>
    </row>
    <row r="69" spans="1:13" ht="15.75">
      <c r="A69">
        <v>2011</v>
      </c>
      <c r="B69" s="777">
        <v>40751</v>
      </c>
      <c r="C69" s="730">
        <v>0.50486111111111109</v>
      </c>
      <c r="D69" s="777">
        <v>40751</v>
      </c>
      <c r="E69" s="730">
        <v>0.50555555555555554</v>
      </c>
      <c r="F69" s="558" t="s">
        <v>2257</v>
      </c>
      <c r="G69" s="558" t="s">
        <v>124</v>
      </c>
      <c r="H69" s="558" t="s">
        <v>5873</v>
      </c>
      <c r="I69" s="679" t="s">
        <v>100</v>
      </c>
      <c r="J69" s="676" t="s">
        <v>5873</v>
      </c>
      <c r="K69" s="676" t="s">
        <v>5873</v>
      </c>
      <c r="M69" t="str">
        <f>""</f>
        <v/>
      </c>
    </row>
    <row r="70" spans="1:13" ht="15.75">
      <c r="A70">
        <v>2011</v>
      </c>
      <c r="B70" s="777">
        <v>40752</v>
      </c>
      <c r="C70" s="730">
        <v>0.30972222222222223</v>
      </c>
      <c r="D70" s="777">
        <v>40753</v>
      </c>
      <c r="E70" s="730">
        <v>0.30972222222222223</v>
      </c>
      <c r="F70" s="558" t="s">
        <v>2258</v>
      </c>
      <c r="G70" s="558" t="s">
        <v>63</v>
      </c>
      <c r="H70" s="558" t="s">
        <v>5873</v>
      </c>
      <c r="I70" s="679" t="s">
        <v>2126</v>
      </c>
      <c r="J70" s="676" t="s">
        <v>5873</v>
      </c>
      <c r="K70" s="676" t="s">
        <v>5873</v>
      </c>
      <c r="M70" t="str">
        <f>""</f>
        <v/>
      </c>
    </row>
    <row r="71" spans="1:13" ht="15.75">
      <c r="A71">
        <v>2011</v>
      </c>
      <c r="B71" s="777">
        <v>40752</v>
      </c>
      <c r="C71" s="730">
        <v>0.56388888888888888</v>
      </c>
      <c r="D71" s="777">
        <v>40752</v>
      </c>
      <c r="E71" s="730">
        <v>0.56388888888888888</v>
      </c>
      <c r="F71" s="558" t="s">
        <v>2260</v>
      </c>
      <c r="G71" s="558" t="s">
        <v>826</v>
      </c>
      <c r="H71" s="558" t="s">
        <v>5873</v>
      </c>
      <c r="I71" s="679" t="s">
        <v>100</v>
      </c>
      <c r="J71" s="676" t="s">
        <v>5873</v>
      </c>
      <c r="K71" s="676" t="s">
        <v>5873</v>
      </c>
      <c r="M71" t="str">
        <f>""</f>
        <v/>
      </c>
    </row>
    <row r="72" spans="1:13" ht="15.75">
      <c r="A72">
        <v>2011</v>
      </c>
      <c r="B72" s="777">
        <v>40752</v>
      </c>
      <c r="C72" s="730">
        <v>0.80902777777777779</v>
      </c>
      <c r="D72" s="777">
        <v>40752</v>
      </c>
      <c r="E72" s="730">
        <v>0.80902777777777779</v>
      </c>
      <c r="F72" s="558" t="s">
        <v>2261</v>
      </c>
      <c r="G72" s="558" t="s">
        <v>124</v>
      </c>
      <c r="H72" s="558" t="s">
        <v>5873</v>
      </c>
      <c r="I72" s="679" t="s">
        <v>100</v>
      </c>
      <c r="J72" s="676" t="s">
        <v>5873</v>
      </c>
      <c r="K72" s="676" t="s">
        <v>5873</v>
      </c>
      <c r="M72" t="str">
        <f>""</f>
        <v/>
      </c>
    </row>
    <row r="73" spans="1:13" ht="15.75">
      <c r="A73">
        <v>2011</v>
      </c>
      <c r="B73" s="777">
        <v>40753</v>
      </c>
      <c r="C73" s="730">
        <v>0.49027777777777776</v>
      </c>
      <c r="D73" s="777">
        <v>40753</v>
      </c>
      <c r="E73" s="730">
        <v>0.70833333333333337</v>
      </c>
      <c r="F73" s="558" t="s">
        <v>2262</v>
      </c>
      <c r="G73" s="558" t="s">
        <v>124</v>
      </c>
      <c r="H73" s="558" t="s">
        <v>5873</v>
      </c>
      <c r="I73" s="679" t="s">
        <v>100</v>
      </c>
      <c r="J73" s="676" t="s">
        <v>5873</v>
      </c>
      <c r="K73" s="676" t="s">
        <v>5873</v>
      </c>
      <c r="M73" t="str">
        <f>""</f>
        <v/>
      </c>
    </row>
    <row r="74" spans="1:13" ht="15.75">
      <c r="A74">
        <v>2011</v>
      </c>
      <c r="B74" s="777">
        <v>40756</v>
      </c>
      <c r="C74" s="730">
        <v>0.59583333333333333</v>
      </c>
      <c r="D74" s="777">
        <v>40756</v>
      </c>
      <c r="E74" s="730">
        <v>0.59583333333333333</v>
      </c>
      <c r="F74" s="558" t="s">
        <v>2263</v>
      </c>
      <c r="G74" s="558" t="s">
        <v>124</v>
      </c>
      <c r="H74" s="558" t="s">
        <v>5873</v>
      </c>
      <c r="I74" s="679" t="s">
        <v>100</v>
      </c>
      <c r="J74" s="676" t="s">
        <v>5873</v>
      </c>
      <c r="K74" s="676" t="s">
        <v>5873</v>
      </c>
      <c r="M74" t="str">
        <f>""</f>
        <v/>
      </c>
    </row>
    <row r="75" spans="1:13" ht="15.75">
      <c r="A75">
        <v>2011</v>
      </c>
      <c r="B75" s="777">
        <v>40757</v>
      </c>
      <c r="C75" s="730">
        <v>0.42708333333333331</v>
      </c>
      <c r="D75" s="777">
        <v>40758</v>
      </c>
      <c r="E75" s="730">
        <v>0.38611111111111113</v>
      </c>
      <c r="F75" s="558" t="s">
        <v>10</v>
      </c>
      <c r="G75" s="558" t="s">
        <v>58</v>
      </c>
      <c r="H75" s="558" t="s">
        <v>5873</v>
      </c>
      <c r="I75" s="679" t="s">
        <v>2221</v>
      </c>
      <c r="J75" s="676" t="s">
        <v>5873</v>
      </c>
      <c r="K75" s="676" t="s">
        <v>5873</v>
      </c>
      <c r="M75" t="str">
        <f>""</f>
        <v/>
      </c>
    </row>
    <row r="76" spans="1:13" ht="15.75">
      <c r="A76">
        <v>2011</v>
      </c>
      <c r="B76" s="777">
        <v>40758</v>
      </c>
      <c r="C76" s="730">
        <v>0.41666666666666669</v>
      </c>
      <c r="D76" s="777">
        <v>40774</v>
      </c>
      <c r="E76" s="730">
        <v>0.41666666666666669</v>
      </c>
      <c r="F76" s="558" t="s">
        <v>2148</v>
      </c>
      <c r="G76" s="558" t="s">
        <v>61</v>
      </c>
      <c r="H76" s="558" t="s">
        <v>5873</v>
      </c>
      <c r="I76" s="679" t="s">
        <v>2126</v>
      </c>
      <c r="J76" s="676">
        <v>675</v>
      </c>
      <c r="K76" s="676" t="s">
        <v>5873</v>
      </c>
      <c r="M76" t="str">
        <f>""</f>
        <v/>
      </c>
    </row>
    <row r="77" spans="1:13" ht="15.75">
      <c r="A77">
        <v>2011</v>
      </c>
      <c r="B77" s="777">
        <v>40758</v>
      </c>
      <c r="C77" s="730">
        <v>0.68680555555555556</v>
      </c>
      <c r="D77" s="777">
        <v>40758</v>
      </c>
      <c r="E77" s="730">
        <v>0.98611111111111116</v>
      </c>
      <c r="F77" s="558" t="s">
        <v>2266</v>
      </c>
      <c r="G77" s="558" t="s">
        <v>58</v>
      </c>
      <c r="H77" s="558" t="s">
        <v>5873</v>
      </c>
      <c r="I77" s="679" t="s">
        <v>2221</v>
      </c>
      <c r="J77" s="676">
        <v>300</v>
      </c>
      <c r="K77" s="676" t="s">
        <v>5873</v>
      </c>
      <c r="M77" t="str">
        <f>""</f>
        <v/>
      </c>
    </row>
    <row r="78" spans="1:13" ht="15.75">
      <c r="A78">
        <v>2011</v>
      </c>
      <c r="B78" s="777">
        <v>40759</v>
      </c>
      <c r="C78" s="730">
        <v>0.4375</v>
      </c>
      <c r="D78" s="777">
        <v>40759</v>
      </c>
      <c r="E78" s="730">
        <v>0.66666666666666663</v>
      </c>
      <c r="F78" s="558" t="s">
        <v>2267</v>
      </c>
      <c r="G78" s="558" t="s">
        <v>58</v>
      </c>
      <c r="H78" s="558" t="s">
        <v>5873</v>
      </c>
      <c r="I78" s="679" t="s">
        <v>2221</v>
      </c>
      <c r="J78" s="676" t="s">
        <v>5873</v>
      </c>
      <c r="K78" s="676" t="s">
        <v>5873</v>
      </c>
      <c r="M78" t="str">
        <f>""</f>
        <v/>
      </c>
    </row>
    <row r="79" spans="1:13" ht="15.75">
      <c r="A79">
        <v>2011</v>
      </c>
      <c r="B79" s="777">
        <v>40763</v>
      </c>
      <c r="C79" s="730">
        <v>0.39930555555555558</v>
      </c>
      <c r="D79" s="777">
        <v>40763</v>
      </c>
      <c r="E79" s="730">
        <v>0.66666666666666663</v>
      </c>
      <c r="F79" s="558" t="s">
        <v>2228</v>
      </c>
      <c r="G79" s="558" t="s">
        <v>124</v>
      </c>
      <c r="H79" s="558" t="s">
        <v>5873</v>
      </c>
      <c r="I79" s="679" t="s">
        <v>100</v>
      </c>
      <c r="J79" s="676" t="s">
        <v>5873</v>
      </c>
      <c r="K79" s="676" t="s">
        <v>5873</v>
      </c>
      <c r="M79" t="str">
        <f>""</f>
        <v/>
      </c>
    </row>
    <row r="80" spans="1:13" ht="15.75">
      <c r="A80">
        <v>2011</v>
      </c>
      <c r="B80" s="777">
        <v>40764</v>
      </c>
      <c r="C80" s="730">
        <v>0.43472222222222223</v>
      </c>
      <c r="D80" s="777">
        <v>40764</v>
      </c>
      <c r="E80" s="730">
        <v>0.70833333333333337</v>
      </c>
      <c r="F80" s="558" t="s">
        <v>2269</v>
      </c>
      <c r="G80" s="558" t="s">
        <v>124</v>
      </c>
      <c r="H80" s="558" t="s">
        <v>5873</v>
      </c>
      <c r="I80" s="679" t="s">
        <v>100</v>
      </c>
      <c r="J80" s="676" t="s">
        <v>5873</v>
      </c>
      <c r="K80" s="676" t="s">
        <v>5873</v>
      </c>
      <c r="M80" t="str">
        <f>""</f>
        <v/>
      </c>
    </row>
    <row r="81" spans="1:13" ht="15.75">
      <c r="A81">
        <v>2011</v>
      </c>
      <c r="B81" s="777">
        <v>40773</v>
      </c>
      <c r="C81" s="730">
        <v>0.41041666666666665</v>
      </c>
      <c r="D81" s="777">
        <v>40773</v>
      </c>
      <c r="E81" s="730">
        <v>0.66666666666666663</v>
      </c>
      <c r="F81" s="558" t="s">
        <v>2228</v>
      </c>
      <c r="G81" s="558" t="s">
        <v>124</v>
      </c>
      <c r="H81" s="558" t="s">
        <v>5873</v>
      </c>
      <c r="I81" s="679" t="s">
        <v>2150</v>
      </c>
      <c r="J81" s="676" t="s">
        <v>5873</v>
      </c>
      <c r="K81" s="676" t="s">
        <v>5873</v>
      </c>
      <c r="M81" t="str">
        <f>""</f>
        <v/>
      </c>
    </row>
    <row r="82" spans="1:13" ht="15.75">
      <c r="A82">
        <v>2011</v>
      </c>
      <c r="B82" s="777">
        <v>40777</v>
      </c>
      <c r="C82" s="730">
        <v>0.4201388888888889</v>
      </c>
      <c r="D82" s="777">
        <v>40777</v>
      </c>
      <c r="E82" s="730">
        <v>0.66666666666666663</v>
      </c>
      <c r="F82" s="558" t="s">
        <v>2228</v>
      </c>
      <c r="G82" s="558" t="s">
        <v>124</v>
      </c>
      <c r="H82" s="558" t="s">
        <v>5873</v>
      </c>
      <c r="I82" s="679" t="s">
        <v>2150</v>
      </c>
      <c r="J82" s="676" t="s">
        <v>5873</v>
      </c>
      <c r="K82" s="676" t="s">
        <v>5873</v>
      </c>
      <c r="M82" t="str">
        <f>""</f>
        <v/>
      </c>
    </row>
    <row r="83" spans="1:13" ht="15.75">
      <c r="A83">
        <v>2011</v>
      </c>
      <c r="B83" s="777">
        <v>40787</v>
      </c>
      <c r="C83" s="730">
        <v>0.34236111111111112</v>
      </c>
      <c r="D83" s="777">
        <v>40787</v>
      </c>
      <c r="E83" s="730">
        <v>0.66666666666666663</v>
      </c>
      <c r="F83" s="558" t="s">
        <v>2290</v>
      </c>
      <c r="G83" s="558" t="s">
        <v>124</v>
      </c>
      <c r="H83" s="558" t="s">
        <v>5873</v>
      </c>
      <c r="I83" s="679" t="s">
        <v>100</v>
      </c>
      <c r="J83" s="676" t="s">
        <v>5873</v>
      </c>
      <c r="K83" s="676" t="s">
        <v>5873</v>
      </c>
      <c r="M83" t="str">
        <f>""</f>
        <v/>
      </c>
    </row>
    <row r="84" spans="1:13" ht="15.75">
      <c r="A84">
        <v>2011</v>
      </c>
      <c r="B84" s="777">
        <v>40794</v>
      </c>
      <c r="C84" s="730">
        <v>0.82847222222222228</v>
      </c>
      <c r="D84" s="777">
        <v>40795</v>
      </c>
      <c r="E84" s="730">
        <v>0.66666666666666663</v>
      </c>
      <c r="F84" s="558" t="s">
        <v>2296</v>
      </c>
      <c r="G84" s="558" t="s">
        <v>124</v>
      </c>
      <c r="H84" s="558" t="s">
        <v>5873</v>
      </c>
      <c r="I84" s="679" t="s">
        <v>100</v>
      </c>
      <c r="J84" s="676" t="s">
        <v>5873</v>
      </c>
      <c r="K84" s="676" t="s">
        <v>5873</v>
      </c>
      <c r="M84" t="str">
        <f>""</f>
        <v/>
      </c>
    </row>
    <row r="85" spans="1:13" ht="15.75">
      <c r="A85">
        <v>2011</v>
      </c>
      <c r="B85" s="777">
        <v>40799</v>
      </c>
      <c r="C85" s="730">
        <v>0.48819444444444443</v>
      </c>
      <c r="D85" s="777">
        <v>40800</v>
      </c>
      <c r="E85" s="730">
        <v>0.66666666666666663</v>
      </c>
      <c r="F85" s="558" t="s">
        <v>2298</v>
      </c>
      <c r="G85" s="558" t="s">
        <v>124</v>
      </c>
      <c r="H85" s="558" t="s">
        <v>5873</v>
      </c>
      <c r="I85" s="679" t="s">
        <v>100</v>
      </c>
      <c r="J85" s="676" t="s">
        <v>5873</v>
      </c>
      <c r="K85" s="676" t="s">
        <v>5873</v>
      </c>
      <c r="M85" t="str">
        <f>""</f>
        <v/>
      </c>
    </row>
    <row r="86" spans="1:13" ht="15.75">
      <c r="A86">
        <v>2011</v>
      </c>
      <c r="B86" s="777">
        <v>40806</v>
      </c>
      <c r="C86" s="730">
        <v>0.53819444444444442</v>
      </c>
      <c r="D86" s="777">
        <v>40806</v>
      </c>
      <c r="E86" s="730">
        <v>0.70833333333333337</v>
      </c>
      <c r="F86" s="558" t="s">
        <v>2301</v>
      </c>
      <c r="G86" s="558" t="s">
        <v>124</v>
      </c>
      <c r="H86" s="558" t="s">
        <v>5873</v>
      </c>
      <c r="I86" s="679" t="s">
        <v>100</v>
      </c>
      <c r="J86" s="676" t="s">
        <v>5873</v>
      </c>
      <c r="K86" s="676" t="s">
        <v>5873</v>
      </c>
      <c r="M86" t="str">
        <f>""</f>
        <v/>
      </c>
    </row>
    <row r="87" spans="1:13" ht="15.75">
      <c r="A87">
        <v>2011</v>
      </c>
      <c r="B87" s="777">
        <v>40810</v>
      </c>
      <c r="C87" s="730">
        <v>0.67847222222222225</v>
      </c>
      <c r="D87" s="777">
        <v>40811</v>
      </c>
      <c r="E87" s="730">
        <v>0.66666666666666663</v>
      </c>
      <c r="F87" s="558" t="s">
        <v>2296</v>
      </c>
      <c r="G87" s="558" t="s">
        <v>124</v>
      </c>
      <c r="H87" s="558" t="s">
        <v>5873</v>
      </c>
      <c r="I87" s="679" t="s">
        <v>100</v>
      </c>
      <c r="J87" s="676" t="s">
        <v>5873</v>
      </c>
      <c r="K87" s="676" t="s">
        <v>5873</v>
      </c>
      <c r="M87" t="str">
        <f>""</f>
        <v/>
      </c>
    </row>
    <row r="88" spans="1:13" ht="15.75">
      <c r="A88">
        <v>2011</v>
      </c>
      <c r="B88" s="777">
        <v>40814</v>
      </c>
      <c r="C88" s="730">
        <v>0.39583333333333331</v>
      </c>
      <c r="D88" s="777">
        <v>40814</v>
      </c>
      <c r="E88" s="730">
        <v>0.54166666666666663</v>
      </c>
      <c r="F88" s="558" t="s">
        <v>2307</v>
      </c>
      <c r="G88" s="558" t="s">
        <v>61</v>
      </c>
      <c r="H88" s="558" t="s">
        <v>5873</v>
      </c>
      <c r="I88" s="679" t="s">
        <v>100</v>
      </c>
      <c r="J88" s="676" t="s">
        <v>5873</v>
      </c>
      <c r="K88" s="676" t="s">
        <v>5873</v>
      </c>
      <c r="M88" t="str">
        <f>""</f>
        <v/>
      </c>
    </row>
    <row r="89" spans="1:13" ht="15.75">
      <c r="A89">
        <v>2011</v>
      </c>
      <c r="B89" s="777">
        <v>40815</v>
      </c>
      <c r="C89" s="730">
        <v>0.78055555555555556</v>
      </c>
      <c r="D89" s="777">
        <v>40816</v>
      </c>
      <c r="E89" s="730">
        <v>0.66666666666666663</v>
      </c>
      <c r="F89" s="558" t="s">
        <v>2296</v>
      </c>
      <c r="G89" s="558" t="s">
        <v>124</v>
      </c>
      <c r="H89" s="558" t="s">
        <v>5873</v>
      </c>
      <c r="I89" s="679" t="s">
        <v>100</v>
      </c>
      <c r="J89" s="676" t="s">
        <v>5873</v>
      </c>
      <c r="K89" s="676" t="s">
        <v>5873</v>
      </c>
      <c r="M89" t="str">
        <f>""</f>
        <v/>
      </c>
    </row>
    <row r="90" spans="1:13" ht="15.75">
      <c r="A90">
        <v>2011</v>
      </c>
      <c r="B90" s="777">
        <v>40823</v>
      </c>
      <c r="C90" s="730">
        <v>0.33611111111111114</v>
      </c>
      <c r="D90" s="777">
        <v>40823</v>
      </c>
      <c r="E90" s="730">
        <v>0.66666666666666663</v>
      </c>
      <c r="F90" s="558" t="s">
        <v>2312</v>
      </c>
      <c r="G90" s="558" t="s">
        <v>124</v>
      </c>
      <c r="H90" s="558" t="s">
        <v>5873</v>
      </c>
      <c r="I90" s="679" t="s">
        <v>2150</v>
      </c>
      <c r="J90" s="676" t="s">
        <v>5873</v>
      </c>
      <c r="K90" s="676" t="s">
        <v>5873</v>
      </c>
      <c r="M90" t="str">
        <f>""</f>
        <v/>
      </c>
    </row>
    <row r="91" spans="1:13" ht="15.75">
      <c r="A91">
        <v>2011</v>
      </c>
      <c r="B91" s="777">
        <v>40843</v>
      </c>
      <c r="C91" s="730">
        <v>4.1666666666666664E-2</v>
      </c>
      <c r="D91" s="777">
        <v>40843</v>
      </c>
      <c r="E91" s="730">
        <v>0.10833333333333334</v>
      </c>
      <c r="F91" s="558" t="s">
        <v>2317</v>
      </c>
      <c r="G91" s="558" t="s">
        <v>826</v>
      </c>
      <c r="H91" s="558" t="s">
        <v>5873</v>
      </c>
      <c r="I91" s="679" t="s">
        <v>100</v>
      </c>
      <c r="J91" s="676" t="s">
        <v>5873</v>
      </c>
      <c r="K91" s="676" t="s">
        <v>5873</v>
      </c>
      <c r="M91" t="str">
        <f>""</f>
        <v/>
      </c>
    </row>
    <row r="92" spans="1:13" ht="15.75">
      <c r="A92">
        <v>2011</v>
      </c>
      <c r="B92" s="777">
        <v>40879</v>
      </c>
      <c r="C92" s="730">
        <v>0.67708333333333337</v>
      </c>
      <c r="D92" s="777">
        <v>40879</v>
      </c>
      <c r="E92" s="730">
        <v>0.85416666666666663</v>
      </c>
      <c r="F92" s="558" t="s">
        <v>2331</v>
      </c>
      <c r="G92" s="558" t="s">
        <v>1352</v>
      </c>
      <c r="H92" s="558" t="s">
        <v>5873</v>
      </c>
      <c r="I92" s="679" t="s">
        <v>2150</v>
      </c>
      <c r="J92" s="676" t="s">
        <v>5873</v>
      </c>
      <c r="K92" s="676" t="s">
        <v>5873</v>
      </c>
      <c r="M92" t="str">
        <f>""</f>
        <v/>
      </c>
    </row>
    <row r="93" spans="1:13" ht="15.75">
      <c r="A93">
        <v>2011</v>
      </c>
      <c r="B93" s="777">
        <v>40882</v>
      </c>
      <c r="C93" s="730">
        <v>0.58333333333333337</v>
      </c>
      <c r="D93" s="777">
        <v>40883</v>
      </c>
      <c r="E93" s="730">
        <v>0.70833333333333337</v>
      </c>
      <c r="F93" s="558" t="s">
        <v>2332</v>
      </c>
      <c r="G93" s="558" t="s">
        <v>124</v>
      </c>
      <c r="H93" s="558" t="s">
        <v>5873</v>
      </c>
      <c r="I93" s="679" t="s">
        <v>2150</v>
      </c>
      <c r="J93" s="676" t="s">
        <v>5873</v>
      </c>
      <c r="K93" s="676" t="s">
        <v>5873</v>
      </c>
      <c r="M93" t="str">
        <f>""</f>
        <v/>
      </c>
    </row>
    <row r="94" spans="1:13" ht="15.75">
      <c r="A94">
        <v>2011</v>
      </c>
      <c r="B94" s="777">
        <v>40885</v>
      </c>
      <c r="C94" s="730">
        <v>0.36458333333333331</v>
      </c>
      <c r="D94" s="777">
        <v>40885</v>
      </c>
      <c r="E94" s="730">
        <v>0.6875</v>
      </c>
      <c r="F94" s="558" t="s">
        <v>2332</v>
      </c>
      <c r="G94" s="558" t="s">
        <v>124</v>
      </c>
      <c r="H94" s="558" t="s">
        <v>5873</v>
      </c>
      <c r="I94" s="679" t="s">
        <v>2150</v>
      </c>
      <c r="J94" s="676" t="s">
        <v>5873</v>
      </c>
      <c r="K94" s="676" t="s">
        <v>5873</v>
      </c>
      <c r="M94" t="str">
        <f>""</f>
        <v/>
      </c>
    </row>
    <row r="95" spans="1:13" ht="15.75">
      <c r="A95">
        <v>2011</v>
      </c>
      <c r="B95" s="777">
        <v>40896</v>
      </c>
      <c r="C95" s="730">
        <v>0.36666666666666664</v>
      </c>
      <c r="D95" s="777">
        <v>40896</v>
      </c>
      <c r="E95" s="730">
        <v>0.66666666666666663</v>
      </c>
      <c r="F95" s="558" t="s">
        <v>2336</v>
      </c>
      <c r="G95" s="558" t="s">
        <v>124</v>
      </c>
      <c r="H95" s="558" t="s">
        <v>5873</v>
      </c>
      <c r="I95" s="679" t="s">
        <v>2150</v>
      </c>
      <c r="J95" s="676" t="s">
        <v>5873</v>
      </c>
      <c r="K95" s="676" t="s">
        <v>5873</v>
      </c>
      <c r="M95" t="str">
        <f>""</f>
        <v/>
      </c>
    </row>
    <row r="96" spans="1:13" ht="15.75">
      <c r="A96">
        <v>2011</v>
      </c>
      <c r="B96" s="777">
        <v>40897</v>
      </c>
      <c r="C96" s="730">
        <v>0.39583333333333331</v>
      </c>
      <c r="D96" s="777">
        <v>40897</v>
      </c>
      <c r="E96" s="730">
        <v>0.39652777777777776</v>
      </c>
      <c r="F96" s="558" t="s">
        <v>2332</v>
      </c>
      <c r="G96" s="558" t="s">
        <v>124</v>
      </c>
      <c r="H96" s="558" t="s">
        <v>5873</v>
      </c>
      <c r="I96" s="679" t="s">
        <v>2150</v>
      </c>
      <c r="J96" s="676" t="s">
        <v>5873</v>
      </c>
      <c r="K96" s="676" t="s">
        <v>5873</v>
      </c>
      <c r="M96" t="str">
        <f>""</f>
        <v/>
      </c>
    </row>
    <row r="97" spans="1:13" ht="15.75">
      <c r="A97">
        <v>2011</v>
      </c>
      <c r="B97" s="777">
        <v>40908</v>
      </c>
      <c r="C97" s="730">
        <v>0.8930555555555556</v>
      </c>
      <c r="D97" s="777">
        <v>40908</v>
      </c>
      <c r="E97" s="730">
        <v>0.8930555555555556</v>
      </c>
      <c r="F97" s="558" t="s">
        <v>2332</v>
      </c>
      <c r="G97" s="558" t="s">
        <v>124</v>
      </c>
      <c r="H97" s="558" t="s">
        <v>5873</v>
      </c>
      <c r="I97" s="679" t="s">
        <v>2150</v>
      </c>
      <c r="J97" s="676" t="s">
        <v>5873</v>
      </c>
      <c r="K97" s="676" t="s">
        <v>5873</v>
      </c>
      <c r="M97" t="str">
        <f>""</f>
        <v/>
      </c>
    </row>
    <row r="98" spans="1:13" ht="15.75">
      <c r="A98">
        <v>2012</v>
      </c>
      <c r="B98" s="777">
        <v>40912</v>
      </c>
      <c r="C98" s="730">
        <v>0.50972222222222219</v>
      </c>
      <c r="D98" s="777">
        <v>40912</v>
      </c>
      <c r="E98" s="730">
        <v>0.50972222222222219</v>
      </c>
      <c r="F98" s="558" t="s">
        <v>2332</v>
      </c>
      <c r="G98" s="558" t="s">
        <v>124</v>
      </c>
      <c r="H98" s="558" t="s">
        <v>5873</v>
      </c>
      <c r="I98" s="679" t="s">
        <v>2341</v>
      </c>
      <c r="J98" s="676" t="s">
        <v>5873</v>
      </c>
      <c r="K98" s="676" t="s">
        <v>5873</v>
      </c>
      <c r="M98" t="str">
        <f>""</f>
        <v/>
      </c>
    </row>
    <row r="99" spans="1:13" ht="15.75">
      <c r="A99">
        <v>2012</v>
      </c>
      <c r="B99" s="777">
        <v>40913</v>
      </c>
      <c r="C99" s="730">
        <v>0.43611111111111112</v>
      </c>
      <c r="D99" s="777">
        <v>40913</v>
      </c>
      <c r="E99" s="730">
        <v>0.51736111111111116</v>
      </c>
      <c r="F99" s="558" t="s">
        <v>2344</v>
      </c>
      <c r="G99" s="558" t="s">
        <v>58</v>
      </c>
      <c r="H99" s="558" t="s">
        <v>5873</v>
      </c>
      <c r="I99" s="679" t="s">
        <v>2341</v>
      </c>
      <c r="J99" s="676" t="s">
        <v>5873</v>
      </c>
      <c r="K99" s="676" t="s">
        <v>5873</v>
      </c>
      <c r="M99" t="str">
        <f>""</f>
        <v/>
      </c>
    </row>
    <row r="100" spans="1:13" ht="15.75">
      <c r="A100">
        <v>2012</v>
      </c>
      <c r="B100" s="777">
        <v>40917</v>
      </c>
      <c r="C100" s="730">
        <v>0.60416666666666663</v>
      </c>
      <c r="D100" s="777">
        <v>40917</v>
      </c>
      <c r="E100" s="730">
        <v>0.64583333333333337</v>
      </c>
      <c r="F100" s="558" t="s">
        <v>2307</v>
      </c>
      <c r="G100" s="558" t="s">
        <v>61</v>
      </c>
      <c r="H100" s="558" t="s">
        <v>5873</v>
      </c>
      <c r="I100" s="679" t="s">
        <v>100</v>
      </c>
      <c r="J100" s="676" t="s">
        <v>5873</v>
      </c>
      <c r="K100" s="676" t="s">
        <v>5873</v>
      </c>
      <c r="M100" t="str">
        <f>""</f>
        <v/>
      </c>
    </row>
    <row r="101" spans="1:13" ht="15.75">
      <c r="A101">
        <v>2012</v>
      </c>
      <c r="B101" s="777">
        <v>40918</v>
      </c>
      <c r="C101" s="730">
        <v>0.89583333333333337</v>
      </c>
      <c r="D101" s="777">
        <v>40918</v>
      </c>
      <c r="E101" s="730">
        <v>0.89583333333333337</v>
      </c>
      <c r="F101" s="558" t="s">
        <v>2345</v>
      </c>
      <c r="G101" s="558" t="s">
        <v>1352</v>
      </c>
      <c r="H101" s="558" t="s">
        <v>5873</v>
      </c>
      <c r="I101" s="679" t="s">
        <v>905</v>
      </c>
      <c r="J101" s="676" t="s">
        <v>5873</v>
      </c>
      <c r="K101" s="676" t="s">
        <v>5873</v>
      </c>
      <c r="M101" t="str">
        <f>""</f>
        <v/>
      </c>
    </row>
    <row r="102" spans="1:13" ht="15.75">
      <c r="A102">
        <v>2012</v>
      </c>
      <c r="B102" s="777">
        <v>40923</v>
      </c>
      <c r="C102" s="730">
        <v>0.39930555555555558</v>
      </c>
      <c r="D102" s="777">
        <v>40923</v>
      </c>
      <c r="E102" s="730">
        <v>0.39930555555555558</v>
      </c>
      <c r="F102" s="558" t="s">
        <v>2332</v>
      </c>
      <c r="G102" s="558" t="s">
        <v>124</v>
      </c>
      <c r="H102" s="558" t="s">
        <v>5873</v>
      </c>
      <c r="I102" s="679" t="s">
        <v>100</v>
      </c>
      <c r="J102" s="676" t="s">
        <v>5873</v>
      </c>
      <c r="K102" s="676" t="s">
        <v>5873</v>
      </c>
      <c r="M102" t="str">
        <f>""</f>
        <v/>
      </c>
    </row>
    <row r="103" spans="1:13" ht="15.75">
      <c r="A103">
        <v>2012</v>
      </c>
      <c r="B103" s="777">
        <v>40932</v>
      </c>
      <c r="C103" s="730">
        <v>0.47361111111111109</v>
      </c>
      <c r="D103" s="777">
        <v>40932</v>
      </c>
      <c r="E103" s="730">
        <v>0.47361111111111109</v>
      </c>
      <c r="F103" s="558" t="s">
        <v>2332</v>
      </c>
      <c r="G103" s="558" t="s">
        <v>124</v>
      </c>
      <c r="H103" s="558" t="s">
        <v>5873</v>
      </c>
      <c r="I103" s="679" t="s">
        <v>100</v>
      </c>
      <c r="J103" s="676" t="s">
        <v>5873</v>
      </c>
      <c r="K103" s="676" t="s">
        <v>5873</v>
      </c>
      <c r="M103" t="str">
        <f>""</f>
        <v/>
      </c>
    </row>
    <row r="104" spans="1:13" ht="15.75">
      <c r="A104">
        <v>2012</v>
      </c>
      <c r="B104" s="777">
        <v>40935</v>
      </c>
      <c r="C104" s="730">
        <v>0.40277777777777779</v>
      </c>
      <c r="D104" s="777">
        <v>40935</v>
      </c>
      <c r="E104" s="730">
        <v>0.40277777777777779</v>
      </c>
      <c r="F104" s="558" t="s">
        <v>2350</v>
      </c>
      <c r="G104" s="558" t="s">
        <v>124</v>
      </c>
      <c r="H104" s="558" t="s">
        <v>5873</v>
      </c>
      <c r="I104" s="679" t="s">
        <v>100</v>
      </c>
      <c r="J104" s="676" t="s">
        <v>5873</v>
      </c>
      <c r="K104" s="676" t="s">
        <v>5873</v>
      </c>
      <c r="M104" t="str">
        <f>""</f>
        <v/>
      </c>
    </row>
    <row r="105" spans="1:13" ht="15.75">
      <c r="A105">
        <v>2012</v>
      </c>
      <c r="B105" s="777">
        <v>40937</v>
      </c>
      <c r="C105" s="730">
        <v>0.53125</v>
      </c>
      <c r="D105" s="777">
        <v>40937</v>
      </c>
      <c r="E105" s="730">
        <v>0.53125</v>
      </c>
      <c r="F105" s="558" t="s">
        <v>2351</v>
      </c>
      <c r="G105" s="558" t="s">
        <v>124</v>
      </c>
      <c r="H105" s="558" t="s">
        <v>5873</v>
      </c>
      <c r="I105" s="679" t="s">
        <v>100</v>
      </c>
      <c r="J105" s="676" t="s">
        <v>5873</v>
      </c>
      <c r="K105" s="676" t="s">
        <v>5873</v>
      </c>
      <c r="M105" t="str">
        <f>""</f>
        <v/>
      </c>
    </row>
    <row r="106" spans="1:13" ht="15.75">
      <c r="A106">
        <v>2012</v>
      </c>
      <c r="B106" s="777">
        <v>40950</v>
      </c>
      <c r="C106" s="730">
        <v>0.37152777777777779</v>
      </c>
      <c r="D106" s="777">
        <v>40950</v>
      </c>
      <c r="E106" s="730">
        <v>0.37152777777777779</v>
      </c>
      <c r="F106" s="558" t="s">
        <v>2332</v>
      </c>
      <c r="G106" s="558" t="s">
        <v>124</v>
      </c>
      <c r="H106" s="558" t="s">
        <v>5873</v>
      </c>
      <c r="I106" s="679" t="s">
        <v>2150</v>
      </c>
      <c r="J106" s="676" t="s">
        <v>5873</v>
      </c>
      <c r="K106" s="676" t="s">
        <v>5873</v>
      </c>
      <c r="M106" t="str">
        <f>""</f>
        <v/>
      </c>
    </row>
    <row r="107" spans="1:13" ht="15.75">
      <c r="A107">
        <v>2012</v>
      </c>
      <c r="B107" s="777">
        <v>40952</v>
      </c>
      <c r="C107" s="730">
        <v>0.29305555555555557</v>
      </c>
      <c r="D107" s="777">
        <v>40952</v>
      </c>
      <c r="E107" s="730">
        <v>0.68402777777777779</v>
      </c>
      <c r="F107" s="558" t="s">
        <v>2353</v>
      </c>
      <c r="G107" s="558" t="s">
        <v>63</v>
      </c>
      <c r="H107" s="558" t="s">
        <v>5873</v>
      </c>
      <c r="I107" s="679" t="s">
        <v>2150</v>
      </c>
      <c r="J107" s="676" t="s">
        <v>5873</v>
      </c>
      <c r="K107" s="676" t="s">
        <v>5873</v>
      </c>
      <c r="M107" t="str">
        <f>""</f>
        <v/>
      </c>
    </row>
    <row r="108" spans="1:13" ht="15.75">
      <c r="A108">
        <v>2012</v>
      </c>
      <c r="B108" s="777">
        <v>40953</v>
      </c>
      <c r="C108" s="730">
        <v>0.80555555555555558</v>
      </c>
      <c r="D108" s="777">
        <v>40954</v>
      </c>
      <c r="E108" s="730">
        <v>0.66666666666666663</v>
      </c>
      <c r="F108" s="558" t="s">
        <v>2332</v>
      </c>
      <c r="G108" s="558" t="s">
        <v>124</v>
      </c>
      <c r="H108" s="558" t="s">
        <v>5873</v>
      </c>
      <c r="I108" s="679" t="s">
        <v>2150</v>
      </c>
      <c r="J108" s="676" t="s">
        <v>5873</v>
      </c>
      <c r="K108" s="676" t="s">
        <v>5873</v>
      </c>
      <c r="M108" t="str">
        <f>""</f>
        <v/>
      </c>
    </row>
    <row r="109" spans="1:13" ht="15.75">
      <c r="A109">
        <v>2012</v>
      </c>
      <c r="B109" s="777">
        <v>40956</v>
      </c>
      <c r="C109" s="730">
        <v>0.125</v>
      </c>
      <c r="D109" s="777">
        <v>40956</v>
      </c>
      <c r="E109" s="730">
        <v>0.48125000000000001</v>
      </c>
      <c r="F109" s="558" t="s">
        <v>2355</v>
      </c>
      <c r="G109" s="558" t="s">
        <v>63</v>
      </c>
      <c r="H109" s="558" t="s">
        <v>5873</v>
      </c>
      <c r="I109" s="679" t="s">
        <v>2139</v>
      </c>
      <c r="J109" s="676" t="s">
        <v>5873</v>
      </c>
      <c r="K109" s="676" t="s">
        <v>5873</v>
      </c>
      <c r="M109" t="str">
        <f>""</f>
        <v/>
      </c>
    </row>
    <row r="110" spans="1:13" ht="15.75">
      <c r="A110">
        <v>2012</v>
      </c>
      <c r="B110" s="777">
        <v>40963</v>
      </c>
      <c r="C110" s="730">
        <v>0.47499999999999998</v>
      </c>
      <c r="D110" s="777">
        <v>40963</v>
      </c>
      <c r="E110" s="730">
        <v>0.49236111111111114</v>
      </c>
      <c r="F110" s="558" t="s">
        <v>2261</v>
      </c>
      <c r="G110" s="558" t="s">
        <v>124</v>
      </c>
      <c r="H110" s="558" t="s">
        <v>5873</v>
      </c>
      <c r="I110" s="679" t="s">
        <v>2150</v>
      </c>
      <c r="J110" s="676" t="s">
        <v>5873</v>
      </c>
      <c r="K110" s="676" t="s">
        <v>5873</v>
      </c>
      <c r="M110" t="str">
        <f>""</f>
        <v/>
      </c>
    </row>
    <row r="111" spans="1:13" ht="15.75">
      <c r="A111">
        <v>2012</v>
      </c>
      <c r="B111" s="777">
        <v>40967</v>
      </c>
      <c r="C111" s="730">
        <v>0.29166666666666669</v>
      </c>
      <c r="D111" s="777">
        <v>40967</v>
      </c>
      <c r="E111" s="730">
        <v>0.29166666666666669</v>
      </c>
      <c r="F111" s="558" t="s">
        <v>2360</v>
      </c>
      <c r="G111" s="558" t="s">
        <v>124</v>
      </c>
      <c r="H111" s="558" t="s">
        <v>5873</v>
      </c>
      <c r="I111" s="679" t="s">
        <v>2150</v>
      </c>
      <c r="J111" s="676" t="s">
        <v>5873</v>
      </c>
      <c r="K111" s="676" t="s">
        <v>5873</v>
      </c>
      <c r="M111" t="str">
        <f>""</f>
        <v/>
      </c>
    </row>
    <row r="112" spans="1:13" ht="15.75">
      <c r="A112">
        <v>2012</v>
      </c>
      <c r="B112" s="777">
        <v>40970</v>
      </c>
      <c r="C112" s="730">
        <v>0.52569444444444446</v>
      </c>
      <c r="D112" s="777">
        <v>40973</v>
      </c>
      <c r="E112" s="730">
        <v>0.50069444444444444</v>
      </c>
      <c r="F112" s="558" t="s">
        <v>2361</v>
      </c>
      <c r="G112" s="558" t="s">
        <v>63</v>
      </c>
      <c r="H112" s="558" t="s">
        <v>5873</v>
      </c>
      <c r="I112" s="679" t="s">
        <v>2623</v>
      </c>
      <c r="J112" s="676">
        <v>500</v>
      </c>
      <c r="K112" s="676" t="s">
        <v>5873</v>
      </c>
      <c r="M112" t="str">
        <f>""</f>
        <v/>
      </c>
    </row>
    <row r="113" spans="1:13" ht="15.75">
      <c r="A113">
        <v>2012</v>
      </c>
      <c r="B113" s="777">
        <v>40970</v>
      </c>
      <c r="C113" s="730">
        <v>0.57291666666666663</v>
      </c>
      <c r="D113" s="777">
        <v>40970</v>
      </c>
      <c r="E113" s="730">
        <v>0.64583333333333337</v>
      </c>
      <c r="F113" s="558" t="s">
        <v>2363</v>
      </c>
      <c r="G113" s="558" t="s">
        <v>63</v>
      </c>
      <c r="H113" s="558" t="s">
        <v>5873</v>
      </c>
      <c r="I113" s="679" t="s">
        <v>2364</v>
      </c>
      <c r="J113" s="676" t="s">
        <v>5873</v>
      </c>
      <c r="K113" s="676" t="s">
        <v>5873</v>
      </c>
      <c r="M113" t="str">
        <f>""</f>
        <v/>
      </c>
    </row>
    <row r="114" spans="1:13" ht="15.75">
      <c r="A114">
        <v>2012</v>
      </c>
      <c r="B114" s="777">
        <v>40972</v>
      </c>
      <c r="C114" s="730">
        <v>6.0416666666666667E-2</v>
      </c>
      <c r="D114" s="777">
        <v>40972</v>
      </c>
      <c r="E114" s="730">
        <v>0.2902777777777778</v>
      </c>
      <c r="F114" s="558" t="s">
        <v>2366</v>
      </c>
      <c r="G114" s="558" t="s">
        <v>826</v>
      </c>
      <c r="H114" s="558" t="s">
        <v>5873</v>
      </c>
      <c r="I114" s="679" t="s">
        <v>2150</v>
      </c>
      <c r="J114" s="676" t="s">
        <v>5873</v>
      </c>
      <c r="K114" s="676" t="s">
        <v>5873</v>
      </c>
      <c r="M114" t="str">
        <f>""</f>
        <v/>
      </c>
    </row>
    <row r="115" spans="1:13" ht="15.75">
      <c r="A115">
        <v>2012</v>
      </c>
      <c r="B115" s="777">
        <v>40972</v>
      </c>
      <c r="C115" s="730">
        <v>0.56805555555555554</v>
      </c>
      <c r="D115" s="777">
        <v>40973</v>
      </c>
      <c r="E115" s="730">
        <v>0.45833333333333331</v>
      </c>
      <c r="F115" s="558" t="s">
        <v>166</v>
      </c>
      <c r="G115" s="558" t="s">
        <v>63</v>
      </c>
      <c r="H115" s="558" t="s">
        <v>5873</v>
      </c>
      <c r="I115" s="679" t="s">
        <v>2150</v>
      </c>
      <c r="J115" s="676" t="s">
        <v>5873</v>
      </c>
      <c r="K115" s="676" t="s">
        <v>5873</v>
      </c>
      <c r="M115" t="str">
        <f>""</f>
        <v/>
      </c>
    </row>
    <row r="116" spans="1:13" ht="15.75">
      <c r="A116">
        <v>2012</v>
      </c>
      <c r="B116" s="777">
        <v>40994</v>
      </c>
      <c r="C116" s="730">
        <v>0.55833333333333335</v>
      </c>
      <c r="D116" s="777">
        <v>40994</v>
      </c>
      <c r="E116" s="730">
        <v>0.55833333333333335</v>
      </c>
      <c r="F116" s="558" t="s">
        <v>2332</v>
      </c>
      <c r="G116" s="558" t="s">
        <v>124</v>
      </c>
      <c r="H116" s="558" t="s">
        <v>5873</v>
      </c>
      <c r="I116" s="679" t="s">
        <v>2150</v>
      </c>
      <c r="J116" s="676" t="s">
        <v>5873</v>
      </c>
      <c r="K116" s="676" t="s">
        <v>5873</v>
      </c>
      <c r="M116" t="str">
        <f>""</f>
        <v/>
      </c>
    </row>
    <row r="117" spans="1:13" ht="15.75">
      <c r="A117">
        <v>2012</v>
      </c>
      <c r="B117" s="777">
        <v>40996</v>
      </c>
      <c r="C117" s="730">
        <v>0.4284722222222222</v>
      </c>
      <c r="D117" s="777">
        <v>40996</v>
      </c>
      <c r="E117" s="730">
        <v>0.4284722222222222</v>
      </c>
      <c r="F117" s="558" t="s">
        <v>2172</v>
      </c>
      <c r="G117" s="558" t="s">
        <v>124</v>
      </c>
      <c r="H117" s="558" t="s">
        <v>5873</v>
      </c>
      <c r="I117" s="679" t="s">
        <v>2150</v>
      </c>
      <c r="J117" s="676" t="s">
        <v>5873</v>
      </c>
      <c r="K117" s="676" t="s">
        <v>5873</v>
      </c>
      <c r="M117" t="str">
        <f>""</f>
        <v/>
      </c>
    </row>
    <row r="118" spans="1:13" ht="15.75">
      <c r="A118">
        <v>2012</v>
      </c>
      <c r="B118" s="777">
        <v>40998</v>
      </c>
      <c r="C118" s="730">
        <v>0.46527777777777779</v>
      </c>
      <c r="D118" s="777">
        <v>40998</v>
      </c>
      <c r="E118" s="730">
        <v>0.47916666666666669</v>
      </c>
      <c r="F118" s="558" t="s">
        <v>2245</v>
      </c>
      <c r="G118" s="558" t="s">
        <v>61</v>
      </c>
      <c r="H118" s="558" t="s">
        <v>5873</v>
      </c>
      <c r="I118" s="679" t="s">
        <v>2150</v>
      </c>
      <c r="J118" s="676" t="s">
        <v>5873</v>
      </c>
      <c r="K118" s="676" t="s">
        <v>5873</v>
      </c>
      <c r="M118" t="str">
        <f>""</f>
        <v/>
      </c>
    </row>
    <row r="119" spans="1:13" ht="15.75">
      <c r="A119">
        <v>2012</v>
      </c>
      <c r="B119" s="777">
        <v>41003</v>
      </c>
      <c r="C119" s="730">
        <v>0.64722222222222225</v>
      </c>
      <c r="D119" s="777">
        <v>41005</v>
      </c>
      <c r="E119" s="730">
        <v>0.64583333333333337</v>
      </c>
      <c r="F119" s="558" t="s">
        <v>2373</v>
      </c>
      <c r="G119" s="558" t="s">
        <v>124</v>
      </c>
      <c r="H119" s="558" t="s">
        <v>5873</v>
      </c>
      <c r="I119" s="679" t="s">
        <v>2150</v>
      </c>
      <c r="J119" s="676" t="s">
        <v>5873</v>
      </c>
      <c r="K119" s="676" t="s">
        <v>5873</v>
      </c>
      <c r="M119" t="str">
        <f>""</f>
        <v/>
      </c>
    </row>
    <row r="120" spans="1:13" ht="15.75">
      <c r="A120">
        <v>2012</v>
      </c>
      <c r="B120" s="777">
        <v>41011</v>
      </c>
      <c r="C120" s="730">
        <v>0.33888888888888891</v>
      </c>
      <c r="D120" s="777">
        <v>41011</v>
      </c>
      <c r="E120" s="730">
        <v>0.6875</v>
      </c>
      <c r="F120" s="558" t="s">
        <v>2332</v>
      </c>
      <c r="G120" s="558" t="s">
        <v>124</v>
      </c>
      <c r="H120" s="558" t="s">
        <v>5873</v>
      </c>
      <c r="I120" s="679" t="s">
        <v>2150</v>
      </c>
      <c r="J120" s="676" t="s">
        <v>5873</v>
      </c>
      <c r="K120" s="676" t="s">
        <v>5873</v>
      </c>
      <c r="M120" t="str">
        <f>""</f>
        <v/>
      </c>
    </row>
    <row r="121" spans="1:13" ht="15.75">
      <c r="A121">
        <v>2012</v>
      </c>
      <c r="B121" s="777">
        <v>41014</v>
      </c>
      <c r="C121" s="730">
        <v>0.81805555555555554</v>
      </c>
      <c r="D121" s="777">
        <v>41014</v>
      </c>
      <c r="E121" s="730">
        <v>0.8930555555555556</v>
      </c>
      <c r="F121" s="558" t="s">
        <v>361</v>
      </c>
      <c r="G121" s="558" t="s">
        <v>63</v>
      </c>
      <c r="H121" s="558" t="s">
        <v>5873</v>
      </c>
      <c r="I121" s="679" t="s">
        <v>2150</v>
      </c>
      <c r="J121" s="676" t="s">
        <v>5873</v>
      </c>
      <c r="K121" s="676" t="s">
        <v>5873</v>
      </c>
      <c r="M121" t="str">
        <f>""</f>
        <v/>
      </c>
    </row>
    <row r="122" spans="1:13" ht="15.75">
      <c r="A122">
        <v>2012</v>
      </c>
      <c r="B122" s="777">
        <v>41018</v>
      </c>
      <c r="C122" s="730">
        <v>0.32847222222222222</v>
      </c>
      <c r="D122" s="777">
        <v>41018</v>
      </c>
      <c r="E122" s="730">
        <v>0.66666666666666663</v>
      </c>
      <c r="F122" s="558" t="s">
        <v>2332</v>
      </c>
      <c r="G122" s="558" t="s">
        <v>124</v>
      </c>
      <c r="H122" s="558" t="s">
        <v>5873</v>
      </c>
      <c r="I122" s="679" t="s">
        <v>2150</v>
      </c>
      <c r="J122" s="676" t="s">
        <v>5873</v>
      </c>
      <c r="K122" s="676" t="s">
        <v>5873</v>
      </c>
      <c r="M122" t="str">
        <f>""</f>
        <v/>
      </c>
    </row>
    <row r="123" spans="1:13" ht="15.75">
      <c r="A123">
        <v>2012</v>
      </c>
      <c r="B123" s="777">
        <v>41020</v>
      </c>
      <c r="C123" s="730">
        <v>0.62638888888888888</v>
      </c>
      <c r="D123" s="777">
        <v>41020</v>
      </c>
      <c r="E123" s="730">
        <v>0.83958333333333335</v>
      </c>
      <c r="F123" s="558" t="s">
        <v>2377</v>
      </c>
      <c r="G123" s="558" t="s">
        <v>61</v>
      </c>
      <c r="H123" s="558" t="s">
        <v>5873</v>
      </c>
      <c r="I123" s="679" t="s">
        <v>2202</v>
      </c>
      <c r="J123" s="676" t="s">
        <v>5873</v>
      </c>
      <c r="K123" s="676" t="s">
        <v>5873</v>
      </c>
      <c r="M123" t="str">
        <f>""</f>
        <v/>
      </c>
    </row>
    <row r="124" spans="1:13" ht="15.75">
      <c r="A124">
        <v>2012</v>
      </c>
      <c r="B124" s="777">
        <v>41020</v>
      </c>
      <c r="C124" s="730">
        <v>0.87152777777777779</v>
      </c>
      <c r="D124" s="777">
        <v>41022</v>
      </c>
      <c r="E124" s="730">
        <v>0.6875</v>
      </c>
      <c r="F124" s="558" t="s">
        <v>2332</v>
      </c>
      <c r="G124" s="558" t="s">
        <v>124</v>
      </c>
      <c r="H124" s="558" t="s">
        <v>5873</v>
      </c>
      <c r="I124" s="679" t="s">
        <v>2150</v>
      </c>
      <c r="J124" s="676" t="s">
        <v>5873</v>
      </c>
      <c r="K124" s="676" t="s">
        <v>5873</v>
      </c>
      <c r="M124" t="str">
        <f>""</f>
        <v/>
      </c>
    </row>
    <row r="125" spans="1:13" ht="15.75">
      <c r="A125">
        <v>2012</v>
      </c>
      <c r="B125" s="777">
        <v>41022</v>
      </c>
      <c r="C125" s="730">
        <v>0.34097222222222223</v>
      </c>
      <c r="D125" s="777">
        <v>41022</v>
      </c>
      <c r="E125" s="730">
        <v>0.53263888888888888</v>
      </c>
      <c r="F125" s="558" t="s">
        <v>1434</v>
      </c>
      <c r="G125" s="558" t="s">
        <v>826</v>
      </c>
      <c r="H125" s="558" t="s">
        <v>5873</v>
      </c>
      <c r="I125" s="679" t="s">
        <v>2150</v>
      </c>
      <c r="J125" s="676" t="s">
        <v>5873</v>
      </c>
      <c r="K125" s="676" t="s">
        <v>5873</v>
      </c>
      <c r="M125" t="str">
        <f>""</f>
        <v/>
      </c>
    </row>
    <row r="126" spans="1:13" ht="15.75">
      <c r="A126">
        <v>2012</v>
      </c>
      <c r="B126" s="777">
        <v>41022</v>
      </c>
      <c r="C126" s="730">
        <v>0.49722222222222223</v>
      </c>
      <c r="D126" s="777">
        <v>41022</v>
      </c>
      <c r="E126" s="730">
        <v>0.64930555555555558</v>
      </c>
      <c r="F126" s="558" t="s">
        <v>832</v>
      </c>
      <c r="G126" s="558" t="s">
        <v>124</v>
      </c>
      <c r="H126" s="558" t="s">
        <v>5873</v>
      </c>
      <c r="I126" s="679" t="s">
        <v>2150</v>
      </c>
      <c r="J126" s="676" t="s">
        <v>5873</v>
      </c>
      <c r="K126" s="676" t="s">
        <v>5873</v>
      </c>
      <c r="M126" t="str">
        <f>""</f>
        <v/>
      </c>
    </row>
    <row r="127" spans="1:13" ht="15.75">
      <c r="A127">
        <v>2012</v>
      </c>
      <c r="B127" s="777">
        <v>41040</v>
      </c>
      <c r="C127" s="730">
        <v>0.46180555555555558</v>
      </c>
      <c r="D127" s="777">
        <v>41040</v>
      </c>
      <c r="E127" s="730">
        <v>0.47222222222222221</v>
      </c>
      <c r="F127" s="558" t="s">
        <v>2382</v>
      </c>
      <c r="G127" s="558" t="s">
        <v>124</v>
      </c>
      <c r="H127" s="558" t="s">
        <v>5873</v>
      </c>
      <c r="I127" s="679" t="s">
        <v>100</v>
      </c>
      <c r="J127" s="676" t="s">
        <v>5873</v>
      </c>
      <c r="K127" s="676" t="s">
        <v>5873</v>
      </c>
      <c r="M127" t="str">
        <f>""</f>
        <v/>
      </c>
    </row>
    <row r="128" spans="1:13" ht="15.75">
      <c r="A128">
        <v>2012</v>
      </c>
      <c r="B128" s="777">
        <v>41053</v>
      </c>
      <c r="C128" s="730">
        <v>0.63888888888888884</v>
      </c>
      <c r="D128" s="777">
        <v>41054</v>
      </c>
      <c r="E128" s="730">
        <v>0.72847222222222219</v>
      </c>
      <c r="F128" s="558" t="s">
        <v>2383</v>
      </c>
      <c r="G128" s="558" t="s">
        <v>61</v>
      </c>
      <c r="H128" s="558" t="s">
        <v>5873</v>
      </c>
      <c r="I128" s="679" t="s">
        <v>2202</v>
      </c>
      <c r="J128" s="676" t="s">
        <v>5873</v>
      </c>
      <c r="K128" s="676" t="s">
        <v>5873</v>
      </c>
      <c r="M128" t="str">
        <f>""</f>
        <v/>
      </c>
    </row>
    <row r="129" spans="1:13" ht="15.75">
      <c r="A129">
        <v>2012</v>
      </c>
      <c r="B129" s="777">
        <v>41058</v>
      </c>
      <c r="C129" s="730">
        <v>0.77083333333333337</v>
      </c>
      <c r="D129" s="777">
        <v>41058</v>
      </c>
      <c r="E129" s="730">
        <v>0.81944444444444442</v>
      </c>
      <c r="F129" s="558" t="s">
        <v>2384</v>
      </c>
      <c r="G129" s="558" t="s">
        <v>124</v>
      </c>
      <c r="H129" s="558" t="s">
        <v>5873</v>
      </c>
      <c r="I129" s="679" t="s">
        <v>2202</v>
      </c>
      <c r="J129" s="676" t="s">
        <v>5873</v>
      </c>
      <c r="K129" s="676" t="s">
        <v>5873</v>
      </c>
      <c r="M129" t="str">
        <f>""</f>
        <v/>
      </c>
    </row>
    <row r="130" spans="1:13" ht="15.75">
      <c r="A130">
        <v>2012</v>
      </c>
      <c r="B130" s="777">
        <v>41062</v>
      </c>
      <c r="C130" s="730">
        <v>0.3125</v>
      </c>
      <c r="D130" s="777">
        <v>41062</v>
      </c>
      <c r="E130" s="730">
        <v>0.4826388888888889</v>
      </c>
      <c r="F130" s="558" t="s">
        <v>308</v>
      </c>
      <c r="G130" s="558" t="s">
        <v>124</v>
      </c>
      <c r="H130" s="558" t="s">
        <v>5873</v>
      </c>
      <c r="I130" s="679" t="s">
        <v>100</v>
      </c>
      <c r="J130" s="676" t="s">
        <v>5873</v>
      </c>
      <c r="K130" s="676" t="s">
        <v>5873</v>
      </c>
      <c r="M130" t="str">
        <f>""</f>
        <v/>
      </c>
    </row>
    <row r="131" spans="1:13" ht="15.75">
      <c r="A131">
        <v>2012</v>
      </c>
      <c r="B131" s="777">
        <v>41066</v>
      </c>
      <c r="C131" s="730">
        <v>0.33333333333333331</v>
      </c>
      <c r="D131" s="777">
        <v>41066</v>
      </c>
      <c r="E131" s="730">
        <v>0.33333333333333331</v>
      </c>
      <c r="F131" s="558" t="s">
        <v>2387</v>
      </c>
      <c r="G131" s="558" t="s">
        <v>61</v>
      </c>
      <c r="H131" s="558" t="s">
        <v>5873</v>
      </c>
      <c r="I131" s="679" t="s">
        <v>100</v>
      </c>
      <c r="J131" s="676" t="s">
        <v>5873</v>
      </c>
      <c r="K131" s="676" t="s">
        <v>5873</v>
      </c>
      <c r="M131" t="str">
        <f>""</f>
        <v/>
      </c>
    </row>
    <row r="132" spans="1:13" ht="15.75">
      <c r="A132">
        <v>2012</v>
      </c>
      <c r="B132" s="777">
        <v>41079</v>
      </c>
      <c r="C132" s="730">
        <v>0.22916666666666666</v>
      </c>
      <c r="D132" s="777">
        <v>41081</v>
      </c>
      <c r="E132" s="730">
        <v>0.22916666666666666</v>
      </c>
      <c r="F132" s="558" t="s">
        <v>2393</v>
      </c>
      <c r="G132" s="558" t="s">
        <v>124</v>
      </c>
      <c r="H132" s="558" t="s">
        <v>5873</v>
      </c>
      <c r="I132" s="679" t="s">
        <v>2394</v>
      </c>
      <c r="J132" s="676" t="s">
        <v>5873</v>
      </c>
      <c r="K132" s="676" t="s">
        <v>5873</v>
      </c>
      <c r="M132" t="str">
        <f>""</f>
        <v/>
      </c>
    </row>
    <row r="133" spans="1:13" ht="15.75">
      <c r="A133">
        <v>2012</v>
      </c>
      <c r="B133" s="777">
        <v>41090</v>
      </c>
      <c r="C133" s="730">
        <v>0.625</v>
      </c>
      <c r="D133" s="777">
        <v>41092</v>
      </c>
      <c r="E133" s="730">
        <v>0.5</v>
      </c>
      <c r="F133" s="558" t="s">
        <v>2180</v>
      </c>
      <c r="G133" s="558" t="s">
        <v>63</v>
      </c>
      <c r="H133" s="558" t="s">
        <v>5873</v>
      </c>
      <c r="I133" s="679" t="s">
        <v>2221</v>
      </c>
      <c r="J133" s="676" t="s">
        <v>5873</v>
      </c>
      <c r="K133" s="676" t="s">
        <v>5873</v>
      </c>
      <c r="M133" t="str">
        <f>""</f>
        <v/>
      </c>
    </row>
    <row r="134" spans="1:13" ht="15.75">
      <c r="A134">
        <v>2012</v>
      </c>
      <c r="B134" s="777">
        <v>41096.628472222219</v>
      </c>
      <c r="C134" s="730">
        <v>41096.628472222219</v>
      </c>
      <c r="D134" s="777">
        <v>41096.629166666666</v>
      </c>
      <c r="E134" s="730">
        <v>41096.629166666666</v>
      </c>
      <c r="F134" s="558" t="s">
        <v>2332</v>
      </c>
      <c r="G134" s="558" t="s">
        <v>124</v>
      </c>
      <c r="H134" s="558" t="s">
        <v>5873</v>
      </c>
      <c r="I134" s="679" t="s">
        <v>100</v>
      </c>
      <c r="J134" s="676" t="s">
        <v>5873</v>
      </c>
      <c r="K134" s="676" t="s">
        <v>5873</v>
      </c>
      <c r="M134" t="str">
        <f>""</f>
        <v/>
      </c>
    </row>
    <row r="135" spans="1:13" ht="15.75">
      <c r="A135">
        <v>2012</v>
      </c>
      <c r="B135" s="777">
        <v>41099.510416666664</v>
      </c>
      <c r="C135" s="730">
        <v>41099.510416666664</v>
      </c>
      <c r="D135" s="777">
        <v>41099.676388888889</v>
      </c>
      <c r="E135" s="730">
        <v>41099.676388888889</v>
      </c>
      <c r="F135" s="558" t="s">
        <v>2418</v>
      </c>
      <c r="G135" s="558" t="s">
        <v>124</v>
      </c>
      <c r="H135" s="558" t="s">
        <v>5873</v>
      </c>
      <c r="I135" s="679" t="s">
        <v>2419</v>
      </c>
      <c r="J135" s="676">
        <v>9896</v>
      </c>
      <c r="K135" s="676" t="s">
        <v>5873</v>
      </c>
      <c r="M135" t="str">
        <f>""</f>
        <v/>
      </c>
    </row>
    <row r="136" spans="1:13" ht="15.75">
      <c r="A136">
        <v>2012</v>
      </c>
      <c r="B136" s="777">
        <v>41106.477083333331</v>
      </c>
      <c r="C136" s="730">
        <v>41106.477083333331</v>
      </c>
      <c r="D136" s="777">
        <v>41106.520138888889</v>
      </c>
      <c r="E136" s="730">
        <v>41106.520138888889</v>
      </c>
      <c r="F136" s="558" t="s">
        <v>2355</v>
      </c>
      <c r="G136" s="558" t="s">
        <v>58</v>
      </c>
      <c r="H136" s="558" t="s">
        <v>5873</v>
      </c>
      <c r="I136" s="679" t="s">
        <v>2420</v>
      </c>
      <c r="J136" s="676" t="s">
        <v>5873</v>
      </c>
      <c r="K136" s="676" t="s">
        <v>5873</v>
      </c>
      <c r="M136" t="str">
        <f>""</f>
        <v/>
      </c>
    </row>
    <row r="137" spans="1:13" ht="15.75">
      <c r="A137">
        <v>2012</v>
      </c>
      <c r="B137" s="777">
        <v>41109.4375</v>
      </c>
      <c r="C137" s="730">
        <v>41109.4375</v>
      </c>
      <c r="D137" s="777">
        <v>41121.458333333336</v>
      </c>
      <c r="E137" s="730">
        <v>41121.458333333336</v>
      </c>
      <c r="F137" s="558" t="s">
        <v>2423</v>
      </c>
      <c r="G137" s="558" t="s">
        <v>61</v>
      </c>
      <c r="H137" s="558" t="s">
        <v>5873</v>
      </c>
      <c r="I137" s="679" t="s">
        <v>2126</v>
      </c>
      <c r="J137" s="676">
        <v>675</v>
      </c>
      <c r="K137" s="676" t="s">
        <v>5873</v>
      </c>
      <c r="M137" t="str">
        <f>""</f>
        <v/>
      </c>
    </row>
    <row r="138" spans="1:13" ht="15.75">
      <c r="A138">
        <v>2012</v>
      </c>
      <c r="B138" s="777">
        <v>41109.522222222222</v>
      </c>
      <c r="C138" s="730">
        <v>41109.522222222222</v>
      </c>
      <c r="D138" s="777">
        <v>41109.522916666669</v>
      </c>
      <c r="E138" s="730">
        <v>41109.522916666669</v>
      </c>
      <c r="F138" s="558" t="s">
        <v>2119</v>
      </c>
      <c r="G138" s="558" t="s">
        <v>826</v>
      </c>
      <c r="H138" s="558" t="s">
        <v>5873</v>
      </c>
      <c r="I138" s="679" t="s">
        <v>100</v>
      </c>
      <c r="J138" s="676" t="s">
        <v>5873</v>
      </c>
      <c r="K138" s="676" t="s">
        <v>5873</v>
      </c>
      <c r="M138" t="str">
        <f>""</f>
        <v/>
      </c>
    </row>
    <row r="139" spans="1:13" ht="15.75">
      <c r="A139">
        <v>2012</v>
      </c>
      <c r="B139" s="777">
        <v>41122.5</v>
      </c>
      <c r="C139" s="730">
        <v>41122.5</v>
      </c>
      <c r="D139" s="777">
        <v>41122.5</v>
      </c>
      <c r="E139" s="730">
        <v>41122.5</v>
      </c>
      <c r="F139" s="558" t="s">
        <v>2428</v>
      </c>
      <c r="G139" s="558" t="s">
        <v>58</v>
      </c>
      <c r="H139" s="558" t="s">
        <v>5873</v>
      </c>
      <c r="I139" s="679" t="s">
        <v>2221</v>
      </c>
      <c r="J139" s="676" t="s">
        <v>5873</v>
      </c>
      <c r="K139" s="676" t="s">
        <v>5873</v>
      </c>
      <c r="M139" t="str">
        <f>""</f>
        <v/>
      </c>
    </row>
    <row r="140" spans="1:13" ht="15.75">
      <c r="A140">
        <v>2012</v>
      </c>
      <c r="B140" s="777">
        <v>41132.53125</v>
      </c>
      <c r="C140" s="730">
        <v>41132.53125</v>
      </c>
      <c r="D140" s="777">
        <v>41132.708333333336</v>
      </c>
      <c r="E140" s="730">
        <v>41132.708333333336</v>
      </c>
      <c r="F140" s="558" t="s">
        <v>2332</v>
      </c>
      <c r="G140" s="558" t="s">
        <v>124</v>
      </c>
      <c r="H140" s="558" t="s">
        <v>5873</v>
      </c>
      <c r="I140" s="679" t="s">
        <v>2150</v>
      </c>
      <c r="J140" s="676" t="s">
        <v>5873</v>
      </c>
      <c r="K140" s="676" t="s">
        <v>5873</v>
      </c>
      <c r="M140" t="str">
        <f>""</f>
        <v/>
      </c>
    </row>
    <row r="141" spans="1:13" ht="15.75">
      <c r="A141">
        <v>2012</v>
      </c>
      <c r="B141" s="777">
        <v>41134.552083333336</v>
      </c>
      <c r="C141" s="730">
        <v>41134.552083333336</v>
      </c>
      <c r="D141" s="777">
        <v>41134</v>
      </c>
      <c r="E141" s="730">
        <v>0.55208333333333337</v>
      </c>
      <c r="F141" s="558" t="s">
        <v>2230</v>
      </c>
      <c r="G141" s="558" t="s">
        <v>63</v>
      </c>
      <c r="H141" s="558" t="s">
        <v>5873</v>
      </c>
      <c r="I141" s="679" t="s">
        <v>100</v>
      </c>
      <c r="J141" s="676" t="s">
        <v>5873</v>
      </c>
      <c r="K141" s="676" t="s">
        <v>5873</v>
      </c>
      <c r="M141" t="str">
        <f>""</f>
        <v/>
      </c>
    </row>
    <row r="142" spans="1:13" ht="15.75">
      <c r="A142">
        <v>2012</v>
      </c>
      <c r="B142" s="777">
        <v>41134.661111111112</v>
      </c>
      <c r="C142" s="730">
        <v>41134.661111111112</v>
      </c>
      <c r="D142" s="777">
        <v>41134</v>
      </c>
      <c r="E142" s="730">
        <v>0.82222222222222219</v>
      </c>
      <c r="F142" s="558" t="s">
        <v>2430</v>
      </c>
      <c r="G142" s="558" t="s">
        <v>124</v>
      </c>
      <c r="H142" s="558" t="s">
        <v>5873</v>
      </c>
      <c r="I142" s="679" t="s">
        <v>2431</v>
      </c>
      <c r="J142" s="676">
        <v>655</v>
      </c>
      <c r="K142" s="676" t="s">
        <v>5873</v>
      </c>
      <c r="M142" t="str">
        <f>""</f>
        <v/>
      </c>
    </row>
    <row r="143" spans="1:13" ht="15.75">
      <c r="A143">
        <v>2012</v>
      </c>
      <c r="B143" s="777">
        <v>41158.197916666664</v>
      </c>
      <c r="C143" s="730">
        <v>41158.197916666664</v>
      </c>
      <c r="D143" s="777" t="s">
        <v>5873</v>
      </c>
      <c r="E143" s="730" t="s">
        <v>5873</v>
      </c>
      <c r="F143" s="558" t="s">
        <v>2434</v>
      </c>
      <c r="G143" s="558" t="s">
        <v>124</v>
      </c>
      <c r="H143" s="558" t="s">
        <v>5873</v>
      </c>
      <c r="I143" s="679" t="s">
        <v>2394</v>
      </c>
      <c r="J143" s="676" t="s">
        <v>5873</v>
      </c>
      <c r="K143" s="676" t="s">
        <v>5873</v>
      </c>
      <c r="M143" t="str">
        <f>""</f>
        <v/>
      </c>
    </row>
    <row r="144" spans="1:13" ht="15.75">
      <c r="A144">
        <v>2012</v>
      </c>
      <c r="B144" s="777">
        <v>41187.729166666664</v>
      </c>
      <c r="C144" s="730">
        <v>41187.729166666664</v>
      </c>
      <c r="D144" s="777">
        <v>41187.743055555555</v>
      </c>
      <c r="E144" s="730">
        <v>41187.743055555555</v>
      </c>
      <c r="F144" s="558" t="s">
        <v>2439</v>
      </c>
      <c r="G144" s="558" t="s">
        <v>124</v>
      </c>
      <c r="H144" s="558" t="s">
        <v>5873</v>
      </c>
      <c r="I144" s="679" t="s">
        <v>2150</v>
      </c>
      <c r="J144" s="676" t="s">
        <v>5873</v>
      </c>
      <c r="K144" s="676" t="s">
        <v>5873</v>
      </c>
      <c r="M144" t="str">
        <f>""</f>
        <v/>
      </c>
    </row>
    <row r="145" spans="1:13" ht="15.75">
      <c r="A145">
        <v>2012</v>
      </c>
      <c r="B145" s="777">
        <v>41207</v>
      </c>
      <c r="C145" s="730">
        <v>41207</v>
      </c>
      <c r="D145" s="777">
        <v>41207.000694444447</v>
      </c>
      <c r="E145" s="730">
        <v>41207.000694444447</v>
      </c>
      <c r="F145" s="558" t="s">
        <v>2447</v>
      </c>
      <c r="G145" s="558" t="s">
        <v>826</v>
      </c>
      <c r="H145" s="558" t="s">
        <v>5873</v>
      </c>
      <c r="I145" s="679" t="s">
        <v>2444</v>
      </c>
      <c r="J145" s="676" t="s">
        <v>5873</v>
      </c>
      <c r="K145" s="676" t="s">
        <v>5873</v>
      </c>
      <c r="M145" t="str">
        <f>""</f>
        <v/>
      </c>
    </row>
    <row r="146" spans="1:13" ht="15.75">
      <c r="A146">
        <v>2012</v>
      </c>
      <c r="B146" s="777">
        <v>41211.333333333336</v>
      </c>
      <c r="C146" s="730">
        <v>41211.333333333336</v>
      </c>
      <c r="D146" s="777">
        <v>41217.958333333336</v>
      </c>
      <c r="E146" s="730">
        <v>41217.958333333336</v>
      </c>
      <c r="F146" s="558" t="s">
        <v>2288</v>
      </c>
      <c r="G146" s="558" t="s">
        <v>826</v>
      </c>
      <c r="H146" s="558" t="s">
        <v>5873</v>
      </c>
      <c r="I146" s="679" t="s">
        <v>2448</v>
      </c>
      <c r="J146" s="676" t="s">
        <v>5873</v>
      </c>
      <c r="K146" s="676" t="s">
        <v>5873</v>
      </c>
      <c r="M146" t="str">
        <f>""</f>
        <v/>
      </c>
    </row>
    <row r="147" spans="1:13" ht="15.75">
      <c r="A147">
        <v>2012</v>
      </c>
      <c r="B147" s="777">
        <v>41211.625</v>
      </c>
      <c r="C147" s="730">
        <v>41211.625</v>
      </c>
      <c r="D147" s="777">
        <v>41211.625</v>
      </c>
      <c r="E147" s="730">
        <v>41211.625694444447</v>
      </c>
      <c r="F147" s="558" t="s">
        <v>2452</v>
      </c>
      <c r="G147" s="558" t="s">
        <v>124</v>
      </c>
      <c r="H147" s="558" t="s">
        <v>5873</v>
      </c>
      <c r="I147" s="679" t="s">
        <v>2150</v>
      </c>
      <c r="J147" s="676" t="s">
        <v>5873</v>
      </c>
      <c r="K147" s="676" t="s">
        <v>5873</v>
      </c>
      <c r="M147" t="str">
        <f>""</f>
        <v/>
      </c>
    </row>
    <row r="148" spans="1:13" ht="15.75">
      <c r="A148">
        <v>2012</v>
      </c>
      <c r="B148" s="777">
        <v>41212.625</v>
      </c>
      <c r="C148" s="730">
        <v>41212.625</v>
      </c>
      <c r="D148" s="777">
        <v>41212.625694444447</v>
      </c>
      <c r="E148" s="730">
        <v>41212.625694444447</v>
      </c>
      <c r="F148" s="558" t="s">
        <v>2250</v>
      </c>
      <c r="G148" s="558" t="s">
        <v>124</v>
      </c>
      <c r="H148" s="558" t="s">
        <v>5873</v>
      </c>
      <c r="I148" s="679" t="s">
        <v>2444</v>
      </c>
      <c r="J148" s="676" t="s">
        <v>5873</v>
      </c>
      <c r="K148" s="676" t="s">
        <v>5873</v>
      </c>
      <c r="M148" t="str">
        <f>""</f>
        <v/>
      </c>
    </row>
    <row r="149" spans="1:13" ht="15.75">
      <c r="A149">
        <v>2012</v>
      </c>
      <c r="B149" s="777">
        <v>41228</v>
      </c>
      <c r="C149" s="730">
        <v>0.88124999999999998</v>
      </c>
      <c r="D149" s="777">
        <v>41228</v>
      </c>
      <c r="E149" s="730">
        <v>0.8930555555555556</v>
      </c>
      <c r="F149" s="558" t="s">
        <v>2473</v>
      </c>
      <c r="G149" s="558" t="s">
        <v>674</v>
      </c>
      <c r="H149" s="558" t="s">
        <v>5873</v>
      </c>
      <c r="I149" s="679" t="s">
        <v>2139</v>
      </c>
      <c r="J149" s="676" t="s">
        <v>5873</v>
      </c>
      <c r="K149" s="676" t="s">
        <v>5873</v>
      </c>
      <c r="M149" t="str">
        <f>""</f>
        <v/>
      </c>
    </row>
    <row r="150" spans="1:13" ht="15.75">
      <c r="A150">
        <v>2012</v>
      </c>
      <c r="B150" s="777">
        <v>41234</v>
      </c>
      <c r="C150" s="730">
        <v>0.61805555555555558</v>
      </c>
      <c r="D150" s="777">
        <v>41234</v>
      </c>
      <c r="E150" s="730">
        <v>0.61875000000000002</v>
      </c>
      <c r="F150" s="558" t="s">
        <v>2309</v>
      </c>
      <c r="G150" s="558" t="s">
        <v>826</v>
      </c>
      <c r="H150" s="558" t="s">
        <v>5873</v>
      </c>
      <c r="I150" s="679" t="s">
        <v>2444</v>
      </c>
      <c r="J150" s="676" t="s">
        <v>5873</v>
      </c>
      <c r="K150" s="676" t="s">
        <v>5873</v>
      </c>
      <c r="M150" t="str">
        <f>""</f>
        <v/>
      </c>
    </row>
    <row r="151" spans="1:13" ht="15.75">
      <c r="A151">
        <v>2012</v>
      </c>
      <c r="B151" s="777">
        <v>41239</v>
      </c>
      <c r="C151" s="730">
        <v>0.62986111111111109</v>
      </c>
      <c r="D151" s="777">
        <v>41239</v>
      </c>
      <c r="E151" s="730">
        <v>0.63055555555555554</v>
      </c>
      <c r="F151" s="558" t="s">
        <v>2476</v>
      </c>
      <c r="G151" s="558" t="s">
        <v>826</v>
      </c>
      <c r="H151" s="558" t="s">
        <v>5873</v>
      </c>
      <c r="I151" s="679" t="s">
        <v>2444</v>
      </c>
      <c r="J151" s="676" t="s">
        <v>5873</v>
      </c>
      <c r="K151" s="676" t="s">
        <v>5873</v>
      </c>
      <c r="M151" t="str">
        <f>""</f>
        <v/>
      </c>
    </row>
    <row r="152" spans="1:13" ht="15.75">
      <c r="A152">
        <v>2012</v>
      </c>
      <c r="B152" s="777">
        <v>41249</v>
      </c>
      <c r="C152" s="730">
        <v>0.88749999999999996</v>
      </c>
      <c r="D152" s="777">
        <v>41249</v>
      </c>
      <c r="E152" s="730">
        <v>0.89652777777777781</v>
      </c>
      <c r="F152" s="558" t="s">
        <v>2477</v>
      </c>
      <c r="G152" s="558" t="s">
        <v>124</v>
      </c>
      <c r="H152" s="558" t="s">
        <v>5873</v>
      </c>
      <c r="I152" s="679" t="s">
        <v>905</v>
      </c>
      <c r="J152" s="676">
        <v>390</v>
      </c>
      <c r="K152" s="676" t="s">
        <v>5873</v>
      </c>
      <c r="M152" t="str">
        <f>""</f>
        <v/>
      </c>
    </row>
    <row r="153" spans="1:13" ht="15.75">
      <c r="A153">
        <v>2013</v>
      </c>
      <c r="B153" s="777">
        <v>41281</v>
      </c>
      <c r="C153" s="730">
        <v>0.4465277777777778</v>
      </c>
      <c r="D153" s="777">
        <v>41281</v>
      </c>
      <c r="E153" s="730">
        <v>0.4465277777777778</v>
      </c>
      <c r="F153" s="558" t="s">
        <v>2485</v>
      </c>
      <c r="G153" s="558" t="s">
        <v>826</v>
      </c>
      <c r="H153" s="558" t="s">
        <v>5873</v>
      </c>
      <c r="I153" s="679" t="s">
        <v>2486</v>
      </c>
      <c r="J153" s="676" t="s">
        <v>5873</v>
      </c>
      <c r="K153" s="676" t="s">
        <v>5873</v>
      </c>
      <c r="M153" t="str">
        <f>""</f>
        <v/>
      </c>
    </row>
    <row r="154" spans="1:13" ht="15.75">
      <c r="A154">
        <v>2013</v>
      </c>
      <c r="B154" s="777">
        <v>41290</v>
      </c>
      <c r="C154" s="730">
        <v>0.60069444444444442</v>
      </c>
      <c r="D154" s="777">
        <v>41290</v>
      </c>
      <c r="E154" s="730">
        <v>0.60069444444444442</v>
      </c>
      <c r="F154" s="558" t="s">
        <v>2485</v>
      </c>
      <c r="G154" s="558" t="s">
        <v>826</v>
      </c>
      <c r="H154" s="558" t="s">
        <v>5873</v>
      </c>
      <c r="I154" s="679" t="s">
        <v>2486</v>
      </c>
      <c r="J154" s="676" t="s">
        <v>5873</v>
      </c>
      <c r="K154" s="676" t="s">
        <v>5873</v>
      </c>
      <c r="M154" t="str">
        <f>""</f>
        <v/>
      </c>
    </row>
    <row r="155" spans="1:13" ht="15.75">
      <c r="A155">
        <v>2013</v>
      </c>
      <c r="B155" s="777">
        <v>41290</v>
      </c>
      <c r="C155" s="730">
        <v>0.32013888888888886</v>
      </c>
      <c r="D155" s="777">
        <v>41291</v>
      </c>
      <c r="E155" s="730">
        <v>0.45694444444444443</v>
      </c>
      <c r="F155" s="558" t="s">
        <v>2487</v>
      </c>
      <c r="G155" s="558" t="s">
        <v>674</v>
      </c>
      <c r="H155" s="558" t="s">
        <v>5873</v>
      </c>
      <c r="I155" s="679" t="s">
        <v>2202</v>
      </c>
      <c r="J155" s="676" t="s">
        <v>5873</v>
      </c>
      <c r="K155" s="676" t="s">
        <v>5873</v>
      </c>
      <c r="M155" t="str">
        <f>""</f>
        <v/>
      </c>
    </row>
    <row r="156" spans="1:13" ht="15.75">
      <c r="A156">
        <v>2013</v>
      </c>
      <c r="B156" s="777">
        <v>41302</v>
      </c>
      <c r="C156" s="730">
        <v>0.69861111111111107</v>
      </c>
      <c r="D156" s="777">
        <v>41302</v>
      </c>
      <c r="E156" s="730">
        <v>0.75</v>
      </c>
      <c r="F156" s="558" t="s">
        <v>2492</v>
      </c>
      <c r="G156" s="558" t="s">
        <v>124</v>
      </c>
      <c r="H156" s="558" t="s">
        <v>5873</v>
      </c>
      <c r="I156" s="679" t="s">
        <v>2202</v>
      </c>
      <c r="J156" s="676" t="s">
        <v>5873</v>
      </c>
      <c r="K156" s="676" t="s">
        <v>5873</v>
      </c>
      <c r="M156" t="str">
        <f>""</f>
        <v/>
      </c>
    </row>
    <row r="157" spans="1:13" ht="15.75">
      <c r="A157">
        <v>2013</v>
      </c>
      <c r="B157" s="777">
        <v>41307</v>
      </c>
      <c r="C157" s="730">
        <v>0.88541666666666663</v>
      </c>
      <c r="D157" s="777">
        <v>41307</v>
      </c>
      <c r="E157" s="730">
        <v>0.92708333333333337</v>
      </c>
      <c r="F157" s="558" t="s">
        <v>2493</v>
      </c>
      <c r="G157" s="558" t="s">
        <v>124</v>
      </c>
      <c r="H157" s="558" t="s">
        <v>5873</v>
      </c>
      <c r="I157" s="679" t="s">
        <v>100</v>
      </c>
      <c r="J157" s="676" t="s">
        <v>5873</v>
      </c>
      <c r="K157" s="676" t="s">
        <v>5873</v>
      </c>
      <c r="M157" t="str">
        <f>""</f>
        <v/>
      </c>
    </row>
    <row r="158" spans="1:13" ht="15.75">
      <c r="A158">
        <v>2013</v>
      </c>
      <c r="B158" s="777">
        <v>41314</v>
      </c>
      <c r="C158" s="730">
        <v>0.35416666666666669</v>
      </c>
      <c r="D158" s="777">
        <v>41314</v>
      </c>
      <c r="E158" s="730">
        <v>0.625</v>
      </c>
      <c r="F158" s="558" t="s">
        <v>2493</v>
      </c>
      <c r="G158" s="558" t="s">
        <v>124</v>
      </c>
      <c r="H158" s="558" t="s">
        <v>5873</v>
      </c>
      <c r="I158" s="679" t="s">
        <v>2498</v>
      </c>
      <c r="J158" s="676" t="s">
        <v>5873</v>
      </c>
      <c r="K158" s="676" t="s">
        <v>5873</v>
      </c>
      <c r="M158" t="str">
        <f>""</f>
        <v/>
      </c>
    </row>
    <row r="159" spans="1:13" ht="15.75">
      <c r="A159">
        <v>2013</v>
      </c>
      <c r="B159" s="777">
        <v>41315</v>
      </c>
      <c r="C159" s="730">
        <v>0.82361111111111107</v>
      </c>
      <c r="D159" s="777">
        <v>41315</v>
      </c>
      <c r="E159" s="730">
        <v>0.84375</v>
      </c>
      <c r="F159" s="558" t="s">
        <v>2271</v>
      </c>
      <c r="G159" s="558" t="s">
        <v>5873</v>
      </c>
      <c r="H159" s="558" t="s">
        <v>5873</v>
      </c>
      <c r="I159" s="679" t="s">
        <v>2499</v>
      </c>
      <c r="J159" s="676">
        <v>350</v>
      </c>
      <c r="K159" s="676" t="s">
        <v>5873</v>
      </c>
      <c r="M159" t="str">
        <f>""</f>
        <v/>
      </c>
    </row>
    <row r="160" spans="1:13" ht="15.75">
      <c r="A160">
        <v>2013</v>
      </c>
      <c r="B160" s="777">
        <v>41320</v>
      </c>
      <c r="C160" s="730">
        <v>0</v>
      </c>
      <c r="D160" s="777">
        <v>41320</v>
      </c>
      <c r="E160" s="730">
        <v>6.9444444444444447E-4</v>
      </c>
      <c r="F160" s="558" t="s">
        <v>2502</v>
      </c>
      <c r="G160" s="558" t="s">
        <v>826</v>
      </c>
      <c r="H160" s="558" t="s">
        <v>5873</v>
      </c>
      <c r="I160" s="679" t="s">
        <v>100</v>
      </c>
      <c r="J160" s="676" t="s">
        <v>5873</v>
      </c>
      <c r="K160" s="676" t="s">
        <v>5873</v>
      </c>
      <c r="M160" t="str">
        <f>""</f>
        <v/>
      </c>
    </row>
    <row r="161" spans="1:13" ht="15.75">
      <c r="A161">
        <v>2013</v>
      </c>
      <c r="B161" s="777">
        <v>41326</v>
      </c>
      <c r="C161" s="730">
        <v>0.45833333333333331</v>
      </c>
      <c r="D161" s="777">
        <v>41326</v>
      </c>
      <c r="E161" s="730">
        <v>0.47916666666666669</v>
      </c>
      <c r="F161" s="558" t="s">
        <v>2505</v>
      </c>
      <c r="G161" s="558" t="s">
        <v>124</v>
      </c>
      <c r="H161" s="558" t="s">
        <v>5873</v>
      </c>
      <c r="I161" s="679" t="s">
        <v>100</v>
      </c>
      <c r="J161" s="676" t="s">
        <v>5873</v>
      </c>
      <c r="K161" s="676" t="s">
        <v>5873</v>
      </c>
      <c r="M161" t="str">
        <f>""</f>
        <v/>
      </c>
    </row>
    <row r="162" spans="1:13" ht="15.75">
      <c r="A162">
        <v>2013</v>
      </c>
      <c r="B162" s="777">
        <v>41336</v>
      </c>
      <c r="C162" s="730">
        <v>0.68541666666666667</v>
      </c>
      <c r="D162" s="777">
        <v>41336</v>
      </c>
      <c r="E162" s="730">
        <v>0.76388888888888884</v>
      </c>
      <c r="F162" s="558" t="s">
        <v>2508</v>
      </c>
      <c r="G162" s="558" t="s">
        <v>826</v>
      </c>
      <c r="H162" s="558" t="s">
        <v>5873</v>
      </c>
      <c r="I162" s="679" t="s">
        <v>100</v>
      </c>
      <c r="J162" s="676" t="s">
        <v>5873</v>
      </c>
      <c r="K162" s="676" t="s">
        <v>5873</v>
      </c>
      <c r="M162" t="str">
        <f>""</f>
        <v/>
      </c>
    </row>
    <row r="163" spans="1:13" ht="15.75">
      <c r="A163">
        <v>2013</v>
      </c>
      <c r="B163" s="777">
        <v>41337</v>
      </c>
      <c r="C163" s="730">
        <v>0.40902777777777777</v>
      </c>
      <c r="D163" s="777">
        <v>41337</v>
      </c>
      <c r="E163" s="730">
        <v>0.91666666666666663</v>
      </c>
      <c r="F163" s="558" t="s">
        <v>2509</v>
      </c>
      <c r="G163" s="558" t="s">
        <v>5873</v>
      </c>
      <c r="H163" s="558" t="s">
        <v>5873</v>
      </c>
      <c r="I163" s="679" t="s">
        <v>2510</v>
      </c>
      <c r="J163" s="676" t="s">
        <v>5873</v>
      </c>
      <c r="K163" s="676" t="s">
        <v>5873</v>
      </c>
      <c r="M163" t="str">
        <f>""</f>
        <v/>
      </c>
    </row>
    <row r="164" spans="1:13" ht="15.75">
      <c r="A164">
        <v>2013</v>
      </c>
      <c r="B164" s="777">
        <v>41356</v>
      </c>
      <c r="C164" s="730">
        <v>0.29166666666666669</v>
      </c>
      <c r="D164" s="777">
        <v>41356</v>
      </c>
      <c r="E164" s="730">
        <v>0.375</v>
      </c>
      <c r="F164" s="558" t="s">
        <v>1579</v>
      </c>
      <c r="G164" s="558" t="s">
        <v>61</v>
      </c>
      <c r="H164" s="558" t="s">
        <v>5873</v>
      </c>
      <c r="I164" s="679" t="s">
        <v>100</v>
      </c>
      <c r="J164" s="676" t="s">
        <v>5873</v>
      </c>
      <c r="K164" s="676" t="s">
        <v>5873</v>
      </c>
      <c r="M164" t="str">
        <f>""</f>
        <v/>
      </c>
    </row>
    <row r="165" spans="1:13" ht="15.75">
      <c r="A165">
        <v>2013</v>
      </c>
      <c r="B165" s="777">
        <v>41360</v>
      </c>
      <c r="C165" s="730">
        <v>0.43402777777777779</v>
      </c>
      <c r="D165" s="777">
        <v>41360</v>
      </c>
      <c r="E165" s="730">
        <v>0.5131944444444444</v>
      </c>
      <c r="F165" s="558" t="s">
        <v>2516</v>
      </c>
      <c r="G165" s="558" t="s">
        <v>61</v>
      </c>
      <c r="H165" s="558" t="s">
        <v>5873</v>
      </c>
      <c r="I165" s="679" t="s">
        <v>2444</v>
      </c>
      <c r="J165" s="676" t="s">
        <v>5873</v>
      </c>
      <c r="K165" s="676" t="s">
        <v>5873</v>
      </c>
      <c r="M165" t="str">
        <f>""</f>
        <v/>
      </c>
    </row>
    <row r="166" spans="1:13" ht="15.75">
      <c r="A166">
        <v>2013</v>
      </c>
      <c r="B166" s="777">
        <v>41361</v>
      </c>
      <c r="C166" s="730">
        <v>0.54236111111111107</v>
      </c>
      <c r="D166" s="777">
        <v>41361</v>
      </c>
      <c r="E166" s="730">
        <v>0.54305555555555551</v>
      </c>
      <c r="F166" s="558" t="s">
        <v>2310</v>
      </c>
      <c r="G166" s="558" t="s">
        <v>826</v>
      </c>
      <c r="H166" s="558" t="s">
        <v>5873</v>
      </c>
      <c r="I166" s="679" t="s">
        <v>100</v>
      </c>
      <c r="J166" s="676" t="s">
        <v>5873</v>
      </c>
      <c r="K166" s="676" t="s">
        <v>5873</v>
      </c>
      <c r="M166" t="str">
        <f>""</f>
        <v/>
      </c>
    </row>
    <row r="167" spans="1:13" ht="15.75">
      <c r="A167">
        <v>2013</v>
      </c>
      <c r="B167" s="777">
        <v>41362</v>
      </c>
      <c r="C167" s="730">
        <v>0.42777777777777776</v>
      </c>
      <c r="D167" s="777">
        <v>41362</v>
      </c>
      <c r="E167" s="730">
        <v>0.4284722222222222</v>
      </c>
      <c r="F167" s="558" t="s">
        <v>2123</v>
      </c>
      <c r="G167" s="558" t="s">
        <v>826</v>
      </c>
      <c r="H167" s="558" t="s">
        <v>5873</v>
      </c>
      <c r="I167" s="679" t="s">
        <v>2150</v>
      </c>
      <c r="J167" s="676" t="s">
        <v>5873</v>
      </c>
      <c r="K167" s="676" t="s">
        <v>5873</v>
      </c>
      <c r="M167" t="str">
        <f>""</f>
        <v/>
      </c>
    </row>
    <row r="168" spans="1:13" ht="15.75">
      <c r="A168">
        <v>2013</v>
      </c>
      <c r="B168" s="777">
        <v>41365</v>
      </c>
      <c r="C168" s="730">
        <v>0.3611111111111111</v>
      </c>
      <c r="D168" s="777">
        <v>41365</v>
      </c>
      <c r="E168" s="730">
        <v>0.36180555555555555</v>
      </c>
      <c r="F168" s="558" t="s">
        <v>1579</v>
      </c>
      <c r="G168" s="558" t="s">
        <v>61</v>
      </c>
      <c r="H168" s="558" t="s">
        <v>5873</v>
      </c>
      <c r="I168" s="679" t="s">
        <v>2517</v>
      </c>
      <c r="J168" s="676" t="s">
        <v>5873</v>
      </c>
      <c r="K168" s="676" t="s">
        <v>5873</v>
      </c>
      <c r="M168" t="str">
        <f>""</f>
        <v/>
      </c>
    </row>
    <row r="169" spans="1:13" ht="15.75">
      <c r="A169">
        <v>2013</v>
      </c>
      <c r="B169" s="777">
        <v>41373</v>
      </c>
      <c r="C169" s="730">
        <v>0.47916666666666669</v>
      </c>
      <c r="D169" s="777">
        <v>41373</v>
      </c>
      <c r="E169" s="730">
        <v>0.47986111111111113</v>
      </c>
      <c r="F169" s="558" t="s">
        <v>2520</v>
      </c>
      <c r="G169" s="558" t="s">
        <v>826</v>
      </c>
      <c r="H169" s="558" t="s">
        <v>5873</v>
      </c>
      <c r="I169" s="679" t="s">
        <v>100</v>
      </c>
      <c r="J169" s="676" t="s">
        <v>5873</v>
      </c>
      <c r="K169" s="676" t="s">
        <v>5873</v>
      </c>
      <c r="M169" t="str">
        <f>""</f>
        <v/>
      </c>
    </row>
    <row r="170" spans="1:13" ht="15.75">
      <c r="A170">
        <v>2013</v>
      </c>
      <c r="B170" s="777">
        <v>41381</v>
      </c>
      <c r="C170" s="730">
        <v>0.65</v>
      </c>
      <c r="D170" s="777">
        <v>41381</v>
      </c>
      <c r="E170" s="730">
        <v>0.70347222222222228</v>
      </c>
      <c r="F170" s="558" t="s">
        <v>2522</v>
      </c>
      <c r="G170" s="558" t="s">
        <v>63</v>
      </c>
      <c r="H170" s="558" t="s">
        <v>5873</v>
      </c>
      <c r="I170" s="679" t="s">
        <v>2150</v>
      </c>
      <c r="J170" s="676" t="s">
        <v>5873</v>
      </c>
      <c r="K170" s="676" t="s">
        <v>5873</v>
      </c>
      <c r="M170" t="str">
        <f>""</f>
        <v/>
      </c>
    </row>
    <row r="171" spans="1:13" ht="15.75">
      <c r="A171">
        <v>2013</v>
      </c>
      <c r="B171" s="777">
        <v>41385</v>
      </c>
      <c r="C171" s="730">
        <v>9.0972222222222218E-2</v>
      </c>
      <c r="D171" s="777">
        <v>41385</v>
      </c>
      <c r="E171" s="730">
        <v>0.52083333333333337</v>
      </c>
      <c r="F171" s="558" t="s">
        <v>2525</v>
      </c>
      <c r="G171" s="558" t="s">
        <v>63</v>
      </c>
      <c r="H171" s="558" t="s">
        <v>5873</v>
      </c>
      <c r="I171" s="679" t="s">
        <v>2150</v>
      </c>
      <c r="J171" s="676" t="s">
        <v>5873</v>
      </c>
      <c r="K171" s="676" t="s">
        <v>5873</v>
      </c>
      <c r="M171" t="str">
        <f>""</f>
        <v/>
      </c>
    </row>
    <row r="172" spans="1:13" ht="15.75">
      <c r="A172">
        <v>2013</v>
      </c>
      <c r="B172" s="777">
        <v>41387</v>
      </c>
      <c r="C172" s="730">
        <v>0.45833333333333331</v>
      </c>
      <c r="D172" s="777">
        <v>41387</v>
      </c>
      <c r="E172" s="730">
        <v>0.45902777777777776</v>
      </c>
      <c r="F172" s="558" t="s">
        <v>2119</v>
      </c>
      <c r="G172" s="558" t="s">
        <v>826</v>
      </c>
      <c r="H172" s="558" t="s">
        <v>5873</v>
      </c>
      <c r="I172" s="679" t="s">
        <v>100</v>
      </c>
      <c r="J172" s="676" t="s">
        <v>5873</v>
      </c>
      <c r="K172" s="676" t="s">
        <v>5873</v>
      </c>
      <c r="M172" t="str">
        <f>""</f>
        <v/>
      </c>
    </row>
    <row r="173" spans="1:13" ht="15.75">
      <c r="A173">
        <v>2013</v>
      </c>
      <c r="B173" s="777">
        <v>41396</v>
      </c>
      <c r="C173" s="730">
        <v>0.28611111111111109</v>
      </c>
      <c r="D173" s="777">
        <v>41396</v>
      </c>
      <c r="E173" s="730">
        <v>0.42152777777777778</v>
      </c>
      <c r="F173" s="558" t="s">
        <v>5873</v>
      </c>
      <c r="G173" s="558" t="s">
        <v>124</v>
      </c>
      <c r="H173" s="558" t="s">
        <v>5873</v>
      </c>
      <c r="I173" s="679" t="s">
        <v>2037</v>
      </c>
      <c r="J173" s="676" t="s">
        <v>5873</v>
      </c>
      <c r="K173" s="676" t="s">
        <v>5873</v>
      </c>
      <c r="M173" t="str">
        <f>""</f>
        <v/>
      </c>
    </row>
    <row r="174" spans="1:13" ht="15.75">
      <c r="A174">
        <v>2013</v>
      </c>
      <c r="B174" s="777">
        <v>41403</v>
      </c>
      <c r="C174" s="730">
        <v>0.55625000000000002</v>
      </c>
      <c r="D174" s="777">
        <v>41403</v>
      </c>
      <c r="E174" s="730">
        <v>0.68125000000000002</v>
      </c>
      <c r="F174" s="558" t="s">
        <v>2529</v>
      </c>
      <c r="G174" s="558" t="s">
        <v>124</v>
      </c>
      <c r="H174" s="558" t="s">
        <v>5873</v>
      </c>
      <c r="I174" s="679" t="s">
        <v>2037</v>
      </c>
      <c r="J174" s="676" t="s">
        <v>5873</v>
      </c>
      <c r="K174" s="676" t="s">
        <v>5873</v>
      </c>
      <c r="M174" t="str">
        <f>""</f>
        <v/>
      </c>
    </row>
    <row r="175" spans="1:13" ht="15.75">
      <c r="A175">
        <v>2013</v>
      </c>
      <c r="B175" s="777">
        <v>41407</v>
      </c>
      <c r="C175" s="730">
        <v>0.53611111111111109</v>
      </c>
      <c r="D175" s="777" t="s">
        <v>5873</v>
      </c>
      <c r="E175" s="730" t="s">
        <v>5873</v>
      </c>
      <c r="F175" s="558" t="s">
        <v>1922</v>
      </c>
      <c r="G175" s="558" t="s">
        <v>124</v>
      </c>
      <c r="H175" s="558" t="s">
        <v>5873</v>
      </c>
      <c r="I175" s="679" t="s">
        <v>2530</v>
      </c>
      <c r="J175" s="676">
        <v>176</v>
      </c>
      <c r="K175" s="676" t="s">
        <v>5873</v>
      </c>
      <c r="M175" t="str">
        <f>""</f>
        <v/>
      </c>
    </row>
    <row r="176" spans="1:13" ht="15.75">
      <c r="A176">
        <v>2013</v>
      </c>
      <c r="B176" s="777">
        <v>41408</v>
      </c>
      <c r="C176" s="730">
        <v>6.9444444444444447E-4</v>
      </c>
      <c r="D176" s="777">
        <v>41408</v>
      </c>
      <c r="E176" s="730">
        <v>0.58263888888888893</v>
      </c>
      <c r="F176" s="558" t="s">
        <v>2531</v>
      </c>
      <c r="G176" s="558" t="s">
        <v>124</v>
      </c>
      <c r="H176" s="558" t="s">
        <v>5873</v>
      </c>
      <c r="I176" s="679" t="s">
        <v>2532</v>
      </c>
      <c r="J176" s="676" t="s">
        <v>5873</v>
      </c>
      <c r="K176" s="676" t="s">
        <v>5873</v>
      </c>
      <c r="M176" t="str">
        <f>""</f>
        <v/>
      </c>
    </row>
    <row r="177" spans="1:13" ht="15.75">
      <c r="A177">
        <v>2013</v>
      </c>
      <c r="B177" s="777">
        <v>41408</v>
      </c>
      <c r="C177" s="730">
        <v>0.43402777777777779</v>
      </c>
      <c r="D177" s="777">
        <v>41408</v>
      </c>
      <c r="E177" s="730">
        <v>0.48749999999999999</v>
      </c>
      <c r="F177" s="558" t="s">
        <v>1115</v>
      </c>
      <c r="G177" s="558" t="s">
        <v>61</v>
      </c>
      <c r="H177" s="558" t="s">
        <v>5873</v>
      </c>
      <c r="I177" s="679" t="s">
        <v>100</v>
      </c>
      <c r="J177" s="676" t="s">
        <v>5873</v>
      </c>
      <c r="K177" s="676" t="s">
        <v>5873</v>
      </c>
      <c r="M177" t="str">
        <f>""</f>
        <v/>
      </c>
    </row>
    <row r="178" spans="1:13" ht="15.75">
      <c r="A178">
        <v>2013</v>
      </c>
      <c r="B178" s="777">
        <v>41409</v>
      </c>
      <c r="C178" s="730">
        <v>0.59097222222222223</v>
      </c>
      <c r="D178" s="777">
        <v>41409</v>
      </c>
      <c r="E178" s="730">
        <v>0.59166666666666667</v>
      </c>
      <c r="F178" s="558" t="s">
        <v>2310</v>
      </c>
      <c r="G178" s="558" t="s">
        <v>826</v>
      </c>
      <c r="H178" s="558" t="s">
        <v>5873</v>
      </c>
      <c r="I178" s="679" t="s">
        <v>100</v>
      </c>
      <c r="J178" s="676" t="s">
        <v>5873</v>
      </c>
      <c r="K178" s="676" t="s">
        <v>5873</v>
      </c>
      <c r="M178" t="str">
        <f>""</f>
        <v/>
      </c>
    </row>
    <row r="179" spans="1:13" ht="15.75">
      <c r="A179">
        <v>2013</v>
      </c>
      <c r="B179" s="777">
        <v>41411</v>
      </c>
      <c r="C179" s="730">
        <v>0.3576388888888889</v>
      </c>
      <c r="D179" s="777">
        <v>41411</v>
      </c>
      <c r="E179" s="730">
        <v>0.35833333333333334</v>
      </c>
      <c r="F179" s="558" t="s">
        <v>2533</v>
      </c>
      <c r="G179" s="558" t="s">
        <v>826</v>
      </c>
      <c r="H179" s="558" t="s">
        <v>5873</v>
      </c>
      <c r="I179" s="679" t="s">
        <v>100</v>
      </c>
      <c r="J179" s="676" t="s">
        <v>5873</v>
      </c>
      <c r="K179" s="676" t="s">
        <v>5873</v>
      </c>
      <c r="M179" t="str">
        <f>""</f>
        <v/>
      </c>
    </row>
    <row r="180" spans="1:13" ht="15.75">
      <c r="A180">
        <v>2013</v>
      </c>
      <c r="B180" s="777">
        <v>41422</v>
      </c>
      <c r="C180" s="730">
        <v>0.54166666666666663</v>
      </c>
      <c r="D180" s="777">
        <v>41422</v>
      </c>
      <c r="E180" s="730">
        <v>0.75</v>
      </c>
      <c r="F180" s="558" t="s">
        <v>2079</v>
      </c>
      <c r="G180" s="558" t="s">
        <v>61</v>
      </c>
      <c r="H180" s="558" t="s">
        <v>5873</v>
      </c>
      <c r="I180" s="679" t="s">
        <v>2532</v>
      </c>
      <c r="J180" s="676" t="s">
        <v>5873</v>
      </c>
      <c r="K180" s="676" t="s">
        <v>5873</v>
      </c>
      <c r="M180" t="str">
        <f>""</f>
        <v/>
      </c>
    </row>
    <row r="181" spans="1:13" ht="15.75">
      <c r="A181">
        <v>2013</v>
      </c>
      <c r="B181" s="777">
        <v>41423</v>
      </c>
      <c r="C181" s="730">
        <v>0</v>
      </c>
      <c r="D181" s="777">
        <v>41423</v>
      </c>
      <c r="E181" s="730">
        <v>1.3888888888888889E-3</v>
      </c>
      <c r="F181" s="558" t="s">
        <v>2539</v>
      </c>
      <c r="G181" s="558" t="s">
        <v>63</v>
      </c>
      <c r="H181" s="558" t="s">
        <v>5873</v>
      </c>
      <c r="I181" s="679" t="s">
        <v>2202</v>
      </c>
      <c r="J181" s="676" t="s">
        <v>5873</v>
      </c>
      <c r="K181" s="676" t="s">
        <v>5873</v>
      </c>
      <c r="M181" t="str">
        <f>""</f>
        <v/>
      </c>
    </row>
    <row r="182" spans="1:13" ht="15.75">
      <c r="A182">
        <v>2013</v>
      </c>
      <c r="B182" s="777">
        <v>41423</v>
      </c>
      <c r="C182" s="730">
        <v>0.41111111111111109</v>
      </c>
      <c r="D182" s="777">
        <v>41423</v>
      </c>
      <c r="E182" s="730">
        <v>0.41180555555555554</v>
      </c>
      <c r="F182" s="558" t="s">
        <v>2310</v>
      </c>
      <c r="G182" s="558" t="s">
        <v>826</v>
      </c>
      <c r="H182" s="558" t="s">
        <v>5873</v>
      </c>
      <c r="I182" s="679" t="s">
        <v>2532</v>
      </c>
      <c r="J182" s="676" t="s">
        <v>5873</v>
      </c>
      <c r="K182" s="676" t="s">
        <v>5873</v>
      </c>
      <c r="M182" t="str">
        <f>""</f>
        <v/>
      </c>
    </row>
    <row r="183" spans="1:13" ht="15.75">
      <c r="A183">
        <v>2013</v>
      </c>
      <c r="B183" s="777">
        <v>41424</v>
      </c>
      <c r="C183" s="730">
        <v>0.42708333333333331</v>
      </c>
      <c r="D183" s="777">
        <v>41424</v>
      </c>
      <c r="E183" s="730">
        <v>0.42777777777777776</v>
      </c>
      <c r="F183" s="558" t="s">
        <v>2299</v>
      </c>
      <c r="G183" s="558" t="s">
        <v>61</v>
      </c>
      <c r="H183" s="558" t="s">
        <v>5873</v>
      </c>
      <c r="I183" s="679" t="s">
        <v>100</v>
      </c>
      <c r="J183" s="676" t="s">
        <v>5873</v>
      </c>
      <c r="K183" s="676" t="s">
        <v>5873</v>
      </c>
      <c r="M183" t="str">
        <f>""</f>
        <v/>
      </c>
    </row>
    <row r="184" spans="1:13" ht="15.75">
      <c r="A184">
        <v>2013</v>
      </c>
      <c r="B184" s="777">
        <v>41425</v>
      </c>
      <c r="C184" s="730">
        <v>4.1666666666666664E-2</v>
      </c>
      <c r="D184" s="777">
        <v>41425</v>
      </c>
      <c r="E184" s="730">
        <v>6.25E-2</v>
      </c>
      <c r="F184" s="558" t="s">
        <v>2541</v>
      </c>
      <c r="G184" s="558" t="s">
        <v>58</v>
      </c>
      <c r="H184" s="558" t="s">
        <v>5873</v>
      </c>
      <c r="I184" s="679" t="s">
        <v>2542</v>
      </c>
      <c r="J184" s="676" t="s">
        <v>5873</v>
      </c>
      <c r="K184" s="676" t="s">
        <v>5873</v>
      </c>
      <c r="M184" t="str">
        <f>""</f>
        <v/>
      </c>
    </row>
    <row r="185" spans="1:13" ht="15.75">
      <c r="A185">
        <v>2013</v>
      </c>
      <c r="B185" s="777">
        <v>41428</v>
      </c>
      <c r="C185" s="730">
        <v>0.53472222222222221</v>
      </c>
      <c r="D185" s="777">
        <v>41428</v>
      </c>
      <c r="E185" s="730">
        <v>0.56666666666666665</v>
      </c>
      <c r="F185" s="558" t="s">
        <v>2418</v>
      </c>
      <c r="G185" s="558" t="s">
        <v>124</v>
      </c>
      <c r="H185" s="558" t="s">
        <v>5873</v>
      </c>
      <c r="I185" s="679" t="s">
        <v>2037</v>
      </c>
      <c r="J185" s="676" t="s">
        <v>5873</v>
      </c>
      <c r="K185" s="676" t="s">
        <v>5873</v>
      </c>
      <c r="M185" t="str">
        <f>""</f>
        <v/>
      </c>
    </row>
    <row r="186" spans="1:13" ht="15.75">
      <c r="A186">
        <v>2013</v>
      </c>
      <c r="B186" s="777">
        <v>41443</v>
      </c>
      <c r="C186" s="730">
        <v>0.66041666666666665</v>
      </c>
      <c r="D186" s="777">
        <v>41443</v>
      </c>
      <c r="E186" s="730">
        <v>0.68263888888888891</v>
      </c>
      <c r="F186" s="558" t="s">
        <v>2553</v>
      </c>
      <c r="G186" s="558" t="s">
        <v>124</v>
      </c>
      <c r="H186" s="558" t="s">
        <v>5873</v>
      </c>
      <c r="I186" s="679" t="s">
        <v>2037</v>
      </c>
      <c r="J186" s="676">
        <v>6</v>
      </c>
      <c r="K186" s="676" t="s">
        <v>5873</v>
      </c>
      <c r="M186" t="str">
        <f>""</f>
        <v/>
      </c>
    </row>
    <row r="187" spans="1:13" ht="15.75">
      <c r="A187">
        <v>2013</v>
      </c>
      <c r="B187" s="777">
        <v>41444</v>
      </c>
      <c r="C187" s="730">
        <v>0.83125000000000004</v>
      </c>
      <c r="D187" s="777">
        <v>41444</v>
      </c>
      <c r="E187" s="730">
        <v>0.83958333333333335</v>
      </c>
      <c r="F187" s="558" t="s">
        <v>2418</v>
      </c>
      <c r="G187" s="558" t="s">
        <v>124</v>
      </c>
      <c r="H187" s="558" t="s">
        <v>5873</v>
      </c>
      <c r="I187" s="679" t="s">
        <v>2037</v>
      </c>
      <c r="J187" s="676" t="s">
        <v>5873</v>
      </c>
      <c r="K187" s="676" t="s">
        <v>5873</v>
      </c>
      <c r="M187" t="str">
        <f>""</f>
        <v/>
      </c>
    </row>
    <row r="188" spans="1:13" ht="15.75">
      <c r="A188">
        <v>2013</v>
      </c>
      <c r="B188" s="777">
        <v>41445</v>
      </c>
      <c r="C188" s="730">
        <v>0.75</v>
      </c>
      <c r="D188" s="777">
        <v>41446</v>
      </c>
      <c r="E188" s="730">
        <v>0.41666666666666669</v>
      </c>
      <c r="F188" s="558" t="s">
        <v>2554</v>
      </c>
      <c r="G188" s="558" t="s">
        <v>826</v>
      </c>
      <c r="H188" s="558" t="s">
        <v>5873</v>
      </c>
      <c r="I188" s="679" t="s">
        <v>2486</v>
      </c>
      <c r="J188" s="676" t="s">
        <v>5873</v>
      </c>
      <c r="K188" s="676" t="s">
        <v>5873</v>
      </c>
      <c r="M188" t="str">
        <f>""</f>
        <v/>
      </c>
    </row>
    <row r="189" spans="1:13" ht="15.75">
      <c r="A189">
        <v>2013</v>
      </c>
      <c r="B189" s="777">
        <v>41446</v>
      </c>
      <c r="C189" s="730">
        <v>0.35486111111111113</v>
      </c>
      <c r="D189" s="777">
        <v>41577</v>
      </c>
      <c r="E189" s="730">
        <v>0.58958333333333335</v>
      </c>
      <c r="F189" s="558" t="s">
        <v>2555</v>
      </c>
      <c r="G189" s="558" t="s">
        <v>674</v>
      </c>
      <c r="H189" s="558" t="s">
        <v>5873</v>
      </c>
      <c r="I189" s="679" t="s">
        <v>2139</v>
      </c>
      <c r="J189" s="676" t="s">
        <v>5873</v>
      </c>
      <c r="K189" s="676" t="s">
        <v>5873</v>
      </c>
      <c r="M189" t="str">
        <f>""</f>
        <v/>
      </c>
    </row>
    <row r="190" spans="1:13" ht="15.75">
      <c r="A190">
        <v>2013</v>
      </c>
      <c r="B190" s="777">
        <v>41446</v>
      </c>
      <c r="C190" s="730">
        <v>0.96805555555555556</v>
      </c>
      <c r="D190" s="777">
        <v>41446</v>
      </c>
      <c r="E190" s="730">
        <v>0.96875</v>
      </c>
      <c r="F190" s="558" t="s">
        <v>2559</v>
      </c>
      <c r="G190" s="558" t="s">
        <v>826</v>
      </c>
      <c r="H190" s="558" t="s">
        <v>5873</v>
      </c>
      <c r="I190" s="679" t="s">
        <v>2444</v>
      </c>
      <c r="J190" s="676" t="s">
        <v>5873</v>
      </c>
      <c r="K190" s="676" t="s">
        <v>5873</v>
      </c>
      <c r="M190" t="str">
        <f>""</f>
        <v/>
      </c>
    </row>
    <row r="191" spans="1:13" ht="15.75">
      <c r="A191">
        <v>2013</v>
      </c>
      <c r="B191" s="777">
        <v>41447</v>
      </c>
      <c r="C191" s="730">
        <v>0.67500000000000004</v>
      </c>
      <c r="D191" s="777">
        <v>41447</v>
      </c>
      <c r="E191" s="730">
        <v>0.73958333333333337</v>
      </c>
      <c r="F191" s="558" t="s">
        <v>1955</v>
      </c>
      <c r="G191" s="558" t="s">
        <v>124</v>
      </c>
      <c r="H191" s="558" t="s">
        <v>5873</v>
      </c>
      <c r="I191" s="679" t="s">
        <v>2150</v>
      </c>
      <c r="J191" s="676" t="s">
        <v>5873</v>
      </c>
      <c r="K191" s="676" t="s">
        <v>5873</v>
      </c>
      <c r="M191" t="str">
        <f>""</f>
        <v/>
      </c>
    </row>
    <row r="192" spans="1:13" ht="15.75">
      <c r="A192">
        <v>2013</v>
      </c>
      <c r="B192" s="777">
        <v>41447</v>
      </c>
      <c r="C192" s="730">
        <v>0.2076388888888889</v>
      </c>
      <c r="D192" s="777">
        <v>41447</v>
      </c>
      <c r="E192" s="730">
        <v>0.89444444444444449</v>
      </c>
      <c r="F192" s="558" t="s">
        <v>2562</v>
      </c>
      <c r="G192" s="558" t="s">
        <v>124</v>
      </c>
      <c r="H192" s="558" t="s">
        <v>5873</v>
      </c>
      <c r="I192" s="679" t="s">
        <v>2444</v>
      </c>
      <c r="J192" s="676" t="s">
        <v>5873</v>
      </c>
      <c r="K192" s="676" t="s">
        <v>5873</v>
      </c>
      <c r="M192" t="str">
        <f>""</f>
        <v/>
      </c>
    </row>
    <row r="193" spans="1:13" ht="15.75">
      <c r="A193">
        <v>2013</v>
      </c>
      <c r="B193" s="777">
        <v>41452</v>
      </c>
      <c r="C193" s="730">
        <v>4.8611111111111112E-2</v>
      </c>
      <c r="D193" s="777">
        <v>41452</v>
      </c>
      <c r="E193" s="730">
        <v>0.11458333333333333</v>
      </c>
      <c r="F193" s="558" t="s">
        <v>2566</v>
      </c>
      <c r="G193" s="558" t="s">
        <v>826</v>
      </c>
      <c r="H193" s="558" t="s">
        <v>5873</v>
      </c>
      <c r="I193" s="679" t="s">
        <v>2444</v>
      </c>
      <c r="J193" s="676" t="s">
        <v>5873</v>
      </c>
      <c r="K193" s="676" t="s">
        <v>5873</v>
      </c>
      <c r="M193" t="str">
        <f>""</f>
        <v/>
      </c>
    </row>
    <row r="194" spans="1:13" ht="15.75">
      <c r="A194">
        <v>2013</v>
      </c>
      <c r="B194" s="777">
        <v>41453</v>
      </c>
      <c r="C194" s="730">
        <v>0.54166666666666663</v>
      </c>
      <c r="D194" s="777">
        <v>41453</v>
      </c>
      <c r="E194" s="730">
        <v>0.54236111111111107</v>
      </c>
      <c r="F194" s="558" t="s">
        <v>2245</v>
      </c>
      <c r="G194" s="558" t="s">
        <v>61</v>
      </c>
      <c r="H194" s="558" t="s">
        <v>5873</v>
      </c>
      <c r="I194" s="679" t="s">
        <v>2444</v>
      </c>
      <c r="J194" s="676" t="s">
        <v>5873</v>
      </c>
      <c r="K194" s="676" t="s">
        <v>5873</v>
      </c>
      <c r="M194" t="str">
        <f>""</f>
        <v/>
      </c>
    </row>
    <row r="195" spans="1:13" ht="15.75">
      <c r="A195">
        <v>2013</v>
      </c>
      <c r="B195" s="777">
        <v>41453</v>
      </c>
      <c r="C195" s="730">
        <v>0.71805555555555556</v>
      </c>
      <c r="D195" s="777">
        <v>41453</v>
      </c>
      <c r="E195" s="730">
        <v>0.71875</v>
      </c>
      <c r="F195" s="558" t="s">
        <v>2559</v>
      </c>
      <c r="G195" s="558" t="s">
        <v>826</v>
      </c>
      <c r="H195" s="558" t="s">
        <v>5873</v>
      </c>
      <c r="I195" s="679" t="s">
        <v>2444</v>
      </c>
      <c r="J195" s="676" t="s">
        <v>5873</v>
      </c>
      <c r="K195" s="676" t="s">
        <v>5873</v>
      </c>
      <c r="M195" t="str">
        <f>""</f>
        <v/>
      </c>
    </row>
    <row r="196" spans="1:13" ht="15.75">
      <c r="A196">
        <v>2013</v>
      </c>
      <c r="B196" s="777">
        <v>41457</v>
      </c>
      <c r="C196" s="730">
        <v>0.59722222222222221</v>
      </c>
      <c r="D196" s="777">
        <v>41460</v>
      </c>
      <c r="E196" s="730">
        <v>0.64583333333333337</v>
      </c>
      <c r="F196" s="558" t="s">
        <v>2418</v>
      </c>
      <c r="G196" s="558" t="s">
        <v>124</v>
      </c>
      <c r="H196" s="558" t="s">
        <v>5873</v>
      </c>
      <c r="I196" s="679" t="s">
        <v>2569</v>
      </c>
      <c r="J196" s="676">
        <v>200</v>
      </c>
      <c r="K196" s="676" t="s">
        <v>5873</v>
      </c>
      <c r="M196" t="str">
        <f>""</f>
        <v/>
      </c>
    </row>
    <row r="197" spans="1:13" ht="15.75">
      <c r="A197">
        <v>2013</v>
      </c>
      <c r="B197" s="777">
        <v>41466</v>
      </c>
      <c r="C197" s="730">
        <v>0.97222222222222221</v>
      </c>
      <c r="D197" s="777">
        <v>41469</v>
      </c>
      <c r="E197" s="730">
        <v>0.64027777777777772</v>
      </c>
      <c r="F197" s="558" t="s">
        <v>24</v>
      </c>
      <c r="G197" s="558" t="s">
        <v>124</v>
      </c>
      <c r="H197" s="558" t="s">
        <v>5873</v>
      </c>
      <c r="I197" s="679" t="s">
        <v>2444</v>
      </c>
      <c r="J197" s="676">
        <v>455</v>
      </c>
      <c r="K197" s="676" t="s">
        <v>5873</v>
      </c>
      <c r="M197" t="str">
        <f>""</f>
        <v/>
      </c>
    </row>
    <row r="198" spans="1:13" ht="15.75">
      <c r="A198">
        <v>2013</v>
      </c>
      <c r="B198" s="777">
        <v>41467</v>
      </c>
      <c r="C198" s="730">
        <v>0.41666666666666669</v>
      </c>
      <c r="D198" s="777">
        <v>41467</v>
      </c>
      <c r="E198" s="730">
        <v>0.41736111111111113</v>
      </c>
      <c r="F198" s="558" t="s">
        <v>2575</v>
      </c>
      <c r="G198" s="558" t="s">
        <v>124</v>
      </c>
      <c r="H198" s="558" t="s">
        <v>5873</v>
      </c>
      <c r="I198" s="679" t="s">
        <v>2444</v>
      </c>
      <c r="J198" s="676" t="s">
        <v>5873</v>
      </c>
      <c r="K198" s="676" t="s">
        <v>5873</v>
      </c>
      <c r="M198" t="str">
        <f>""</f>
        <v/>
      </c>
    </row>
    <row r="199" spans="1:13" ht="15.75">
      <c r="A199">
        <v>2013</v>
      </c>
      <c r="B199" s="777">
        <v>41472</v>
      </c>
      <c r="C199" s="730">
        <v>0.64583333333333337</v>
      </c>
      <c r="D199" s="777">
        <v>41474</v>
      </c>
      <c r="E199" s="730">
        <v>0.28125</v>
      </c>
      <c r="F199" s="558" t="s">
        <v>2576</v>
      </c>
      <c r="G199" s="558" t="s">
        <v>61</v>
      </c>
      <c r="H199" s="558" t="s">
        <v>5873</v>
      </c>
      <c r="I199" s="679" t="s">
        <v>2577</v>
      </c>
      <c r="J199" s="676">
        <v>417</v>
      </c>
      <c r="K199" s="676" t="s">
        <v>5873</v>
      </c>
      <c r="M199" t="str">
        <f>""</f>
        <v/>
      </c>
    </row>
    <row r="200" spans="1:13" ht="15.75">
      <c r="A200">
        <v>2013</v>
      </c>
      <c r="B200" s="777">
        <v>41473</v>
      </c>
      <c r="C200" s="730">
        <v>0.13541666666666666</v>
      </c>
      <c r="D200" s="777">
        <v>41473</v>
      </c>
      <c r="E200" s="730">
        <v>0.16597222222222222</v>
      </c>
      <c r="F200" s="558" t="s">
        <v>1320</v>
      </c>
      <c r="G200" s="558" t="s">
        <v>124</v>
      </c>
      <c r="H200" s="558" t="s">
        <v>5873</v>
      </c>
      <c r="I200" s="679" t="s">
        <v>2444</v>
      </c>
      <c r="J200" s="676" t="s">
        <v>5873</v>
      </c>
      <c r="K200" s="676" t="s">
        <v>5873</v>
      </c>
      <c r="M200" t="str">
        <f>""</f>
        <v/>
      </c>
    </row>
    <row r="201" spans="1:13" ht="15.75">
      <c r="A201">
        <v>2013</v>
      </c>
      <c r="B201" s="777">
        <v>41473</v>
      </c>
      <c r="C201" s="730">
        <v>0.47916666666666669</v>
      </c>
      <c r="D201" s="777">
        <v>41474</v>
      </c>
      <c r="E201" s="730">
        <v>0.72916666666666663</v>
      </c>
      <c r="F201" s="558" t="s">
        <v>89</v>
      </c>
      <c r="G201" s="558" t="s">
        <v>61</v>
      </c>
      <c r="H201" s="558" t="s">
        <v>5873</v>
      </c>
      <c r="I201" s="679" t="s">
        <v>2579</v>
      </c>
      <c r="J201" s="676" t="s">
        <v>5873</v>
      </c>
      <c r="K201" s="676" t="s">
        <v>5873</v>
      </c>
      <c r="M201" t="str">
        <f>""</f>
        <v/>
      </c>
    </row>
    <row r="202" spans="1:13" ht="15.75">
      <c r="A202">
        <v>2013</v>
      </c>
      <c r="B202" s="777">
        <v>41477</v>
      </c>
      <c r="C202" s="730">
        <v>0.29166666666666669</v>
      </c>
      <c r="D202" s="777">
        <v>41477</v>
      </c>
      <c r="E202" s="730">
        <v>0.625</v>
      </c>
      <c r="F202" s="558" t="s">
        <v>18</v>
      </c>
      <c r="G202" s="558" t="s">
        <v>124</v>
      </c>
      <c r="H202" s="558" t="s">
        <v>5873</v>
      </c>
      <c r="I202" s="679" t="s">
        <v>2444</v>
      </c>
      <c r="J202" s="676" t="s">
        <v>5873</v>
      </c>
      <c r="K202" s="676" t="s">
        <v>5873</v>
      </c>
      <c r="M202" t="str">
        <f>""</f>
        <v/>
      </c>
    </row>
    <row r="203" spans="1:13" ht="15.75">
      <c r="A203">
        <v>2013</v>
      </c>
      <c r="B203" s="777">
        <v>41480</v>
      </c>
      <c r="C203" s="730">
        <v>0.54861111111111116</v>
      </c>
      <c r="D203" s="777">
        <v>41480</v>
      </c>
      <c r="E203" s="730">
        <v>0.55208333333333337</v>
      </c>
      <c r="F203" s="558" t="s">
        <v>2581</v>
      </c>
      <c r="G203" s="558" t="s">
        <v>124</v>
      </c>
      <c r="H203" s="558" t="s">
        <v>5873</v>
      </c>
      <c r="I203" s="679" t="s">
        <v>2444</v>
      </c>
      <c r="J203" s="676" t="s">
        <v>5873</v>
      </c>
      <c r="K203" s="676" t="s">
        <v>5873</v>
      </c>
      <c r="M203" t="str">
        <f>""</f>
        <v/>
      </c>
    </row>
    <row r="204" spans="1:13" ht="15.75">
      <c r="A204">
        <v>2013</v>
      </c>
      <c r="B204" s="777">
        <v>41487</v>
      </c>
      <c r="C204" s="730">
        <v>0.45833333333333331</v>
      </c>
      <c r="D204" s="777">
        <v>41487</v>
      </c>
      <c r="E204" s="730">
        <v>0.66666666666666663</v>
      </c>
      <c r="F204" s="558" t="s">
        <v>2582</v>
      </c>
      <c r="G204" s="558" t="s">
        <v>61</v>
      </c>
      <c r="H204" s="558" t="s">
        <v>5873</v>
      </c>
      <c r="I204" s="679" t="s">
        <v>2573</v>
      </c>
      <c r="J204" s="676" t="s">
        <v>5873</v>
      </c>
      <c r="K204" s="676" t="s">
        <v>5873</v>
      </c>
      <c r="M204" t="str">
        <f>""</f>
        <v/>
      </c>
    </row>
    <row r="205" spans="1:13" ht="15.75">
      <c r="A205">
        <v>2013</v>
      </c>
      <c r="B205" s="777">
        <v>41487</v>
      </c>
      <c r="C205" s="730">
        <v>0.78749999999999998</v>
      </c>
      <c r="D205" s="777">
        <v>41487</v>
      </c>
      <c r="E205" s="730">
        <v>0.81736111111111109</v>
      </c>
      <c r="F205" s="558" t="s">
        <v>2583</v>
      </c>
      <c r="G205" s="558" t="s">
        <v>124</v>
      </c>
      <c r="H205" s="558" t="s">
        <v>5873</v>
      </c>
      <c r="I205" s="679" t="s">
        <v>2584</v>
      </c>
      <c r="J205" s="676">
        <v>420</v>
      </c>
      <c r="K205" s="676" t="s">
        <v>5873</v>
      </c>
      <c r="M205" t="str">
        <f>""</f>
        <v/>
      </c>
    </row>
    <row r="206" spans="1:13" ht="15.75">
      <c r="A206">
        <v>2013</v>
      </c>
      <c r="B206" s="777">
        <v>41490</v>
      </c>
      <c r="C206" s="730">
        <v>0.125</v>
      </c>
      <c r="D206" s="777">
        <v>41490</v>
      </c>
      <c r="E206" s="730">
        <v>0.16666666666666666</v>
      </c>
      <c r="F206" s="558" t="s">
        <v>1320</v>
      </c>
      <c r="G206" s="558" t="s">
        <v>124</v>
      </c>
      <c r="H206" s="558" t="s">
        <v>5873</v>
      </c>
      <c r="I206" s="679" t="s">
        <v>2444</v>
      </c>
      <c r="J206" s="676" t="s">
        <v>5873</v>
      </c>
      <c r="K206" s="676" t="s">
        <v>5873</v>
      </c>
      <c r="M206" t="str">
        <f>""</f>
        <v/>
      </c>
    </row>
    <row r="207" spans="1:13" ht="15.75">
      <c r="A207">
        <v>2013</v>
      </c>
      <c r="B207" s="777">
        <v>41491</v>
      </c>
      <c r="C207" s="730">
        <v>0.77430555555555558</v>
      </c>
      <c r="D207" s="777">
        <v>41491</v>
      </c>
      <c r="E207" s="730">
        <v>0.78125</v>
      </c>
      <c r="F207" s="558" t="s">
        <v>2587</v>
      </c>
      <c r="G207" s="558" t="s">
        <v>124</v>
      </c>
      <c r="H207" s="558" t="s">
        <v>5873</v>
      </c>
      <c r="I207" s="679" t="s">
        <v>2588</v>
      </c>
      <c r="J207" s="676" t="s">
        <v>5873</v>
      </c>
      <c r="K207" s="676" t="s">
        <v>5873</v>
      </c>
      <c r="M207" t="str">
        <f>""</f>
        <v/>
      </c>
    </row>
    <row r="208" spans="1:13" ht="15.75">
      <c r="A208">
        <v>2013</v>
      </c>
      <c r="B208" s="777">
        <v>41492</v>
      </c>
      <c r="C208" s="730">
        <v>0.66666666666666663</v>
      </c>
      <c r="D208" s="777">
        <v>41492</v>
      </c>
      <c r="E208" s="730">
        <v>0.73055555555555551</v>
      </c>
      <c r="F208" s="558" t="s">
        <v>2589</v>
      </c>
      <c r="G208" s="558" t="s">
        <v>124</v>
      </c>
      <c r="H208" s="558" t="s">
        <v>5873</v>
      </c>
      <c r="I208" s="679" t="s">
        <v>2486</v>
      </c>
      <c r="J208" s="676" t="s">
        <v>5873</v>
      </c>
      <c r="K208" s="676" t="s">
        <v>5873</v>
      </c>
      <c r="M208" t="str">
        <f>""</f>
        <v/>
      </c>
    </row>
    <row r="209" spans="1:13" ht="15.75">
      <c r="A209">
        <v>2013</v>
      </c>
      <c r="B209" s="777">
        <v>41493</v>
      </c>
      <c r="C209" s="730">
        <v>0.3125</v>
      </c>
      <c r="D209" s="777">
        <v>41493</v>
      </c>
      <c r="E209" s="730">
        <v>0.38472222222222224</v>
      </c>
      <c r="F209" s="558" t="s">
        <v>2590</v>
      </c>
      <c r="G209" s="558" t="s">
        <v>674</v>
      </c>
      <c r="H209" s="558" t="s">
        <v>5873</v>
      </c>
      <c r="I209" s="679" t="s">
        <v>2591</v>
      </c>
      <c r="J209" s="676" t="s">
        <v>5873</v>
      </c>
      <c r="K209" s="676" t="s">
        <v>5873</v>
      </c>
      <c r="M209" t="str">
        <f>""</f>
        <v/>
      </c>
    </row>
    <row r="210" spans="1:13" ht="15.75">
      <c r="A210">
        <v>2013</v>
      </c>
      <c r="B210" s="777">
        <v>41493</v>
      </c>
      <c r="C210" s="730">
        <v>0.60416666666666663</v>
      </c>
      <c r="D210" s="777">
        <v>41494</v>
      </c>
      <c r="E210" s="730">
        <v>0.54166666666666663</v>
      </c>
      <c r="F210" s="558" t="s">
        <v>2592</v>
      </c>
      <c r="G210" s="558" t="s">
        <v>124</v>
      </c>
      <c r="H210" s="558" t="s">
        <v>5873</v>
      </c>
      <c r="I210" s="679" t="s">
        <v>2486</v>
      </c>
      <c r="J210" s="676" t="s">
        <v>5873</v>
      </c>
      <c r="K210" s="676" t="s">
        <v>5873</v>
      </c>
      <c r="M210" t="str">
        <f>""</f>
        <v/>
      </c>
    </row>
    <row r="211" spans="1:13" ht="15.75">
      <c r="A211">
        <v>2013</v>
      </c>
      <c r="B211" s="777">
        <v>41498</v>
      </c>
      <c r="C211" s="730">
        <v>0.49652777777777779</v>
      </c>
      <c r="D211" s="777">
        <v>41498</v>
      </c>
      <c r="E211" s="730">
        <v>0.49930555555555556</v>
      </c>
      <c r="F211" s="558" t="s">
        <v>2531</v>
      </c>
      <c r="G211" s="558" t="s">
        <v>124</v>
      </c>
      <c r="H211" s="558" t="s">
        <v>5873</v>
      </c>
      <c r="I211" s="679" t="s">
        <v>2118</v>
      </c>
      <c r="J211" s="676" t="s">
        <v>5873</v>
      </c>
      <c r="K211" s="676" t="s">
        <v>5873</v>
      </c>
      <c r="M211" t="str">
        <f>""</f>
        <v/>
      </c>
    </row>
    <row r="212" spans="1:13" ht="15.75">
      <c r="A212">
        <v>2013</v>
      </c>
      <c r="B212" s="777">
        <v>41507</v>
      </c>
      <c r="C212" s="730">
        <v>0.58333333333333337</v>
      </c>
      <c r="D212" s="777">
        <v>41507</v>
      </c>
      <c r="E212" s="730">
        <v>0.58402777777777781</v>
      </c>
      <c r="F212" s="558" t="s">
        <v>2596</v>
      </c>
      <c r="G212" s="558" t="s">
        <v>63</v>
      </c>
      <c r="H212" s="558" t="s">
        <v>5873</v>
      </c>
      <c r="I212" s="679" t="s">
        <v>2597</v>
      </c>
      <c r="J212" s="676" t="s">
        <v>5873</v>
      </c>
      <c r="K212" s="676" t="s">
        <v>5873</v>
      </c>
      <c r="M212" t="str">
        <f>""</f>
        <v/>
      </c>
    </row>
    <row r="213" spans="1:13" ht="15.75">
      <c r="A213">
        <v>2013</v>
      </c>
      <c r="B213" s="777">
        <v>41508</v>
      </c>
      <c r="C213" s="730">
        <v>0.3611111111111111</v>
      </c>
      <c r="D213" s="777">
        <v>41508</v>
      </c>
      <c r="E213" s="730">
        <v>0.49236111111111114</v>
      </c>
      <c r="F213" s="558" t="s">
        <v>2598</v>
      </c>
      <c r="G213" s="558" t="s">
        <v>124</v>
      </c>
      <c r="H213" s="558" t="s">
        <v>5873</v>
      </c>
      <c r="I213" s="679" t="s">
        <v>2597</v>
      </c>
      <c r="J213" s="676" t="s">
        <v>5873</v>
      </c>
      <c r="K213" s="676" t="s">
        <v>5873</v>
      </c>
      <c r="M213" t="str">
        <f>""</f>
        <v/>
      </c>
    </row>
    <row r="214" spans="1:13" ht="15.75">
      <c r="A214">
        <v>2013</v>
      </c>
      <c r="B214" s="777">
        <v>41508</v>
      </c>
      <c r="C214" s="730">
        <v>0.53819444444444442</v>
      </c>
      <c r="D214" s="777">
        <v>41508</v>
      </c>
      <c r="E214" s="730">
        <v>0.61458333333333337</v>
      </c>
      <c r="F214" s="558" t="s">
        <v>2367</v>
      </c>
      <c r="G214" s="558" t="s">
        <v>826</v>
      </c>
      <c r="H214" s="558" t="s">
        <v>5873</v>
      </c>
      <c r="I214" s="679" t="s">
        <v>2486</v>
      </c>
      <c r="J214" s="676" t="s">
        <v>5873</v>
      </c>
      <c r="K214" s="676" t="s">
        <v>5873</v>
      </c>
      <c r="M214" t="str">
        <f>""</f>
        <v/>
      </c>
    </row>
    <row r="215" spans="1:13" ht="15.75">
      <c r="A215">
        <v>2013</v>
      </c>
      <c r="B215" s="777">
        <v>41509</v>
      </c>
      <c r="C215" s="730">
        <v>0.3125</v>
      </c>
      <c r="D215" s="777">
        <v>41509</v>
      </c>
      <c r="E215" s="730">
        <v>0.31319444444444444</v>
      </c>
      <c r="F215" s="558" t="s">
        <v>2367</v>
      </c>
      <c r="G215" s="558" t="s">
        <v>826</v>
      </c>
      <c r="H215" s="558" t="s">
        <v>5873</v>
      </c>
      <c r="I215" s="679" t="s">
        <v>2486</v>
      </c>
      <c r="J215" s="676" t="s">
        <v>5873</v>
      </c>
      <c r="K215" s="676" t="s">
        <v>5873</v>
      </c>
      <c r="M215" t="str">
        <f>""</f>
        <v/>
      </c>
    </row>
    <row r="216" spans="1:13" ht="15.75">
      <c r="A216">
        <v>2013</v>
      </c>
      <c r="B216" s="777">
        <v>41512</v>
      </c>
      <c r="C216" s="730">
        <v>0.84375</v>
      </c>
      <c r="D216" s="777">
        <v>41512</v>
      </c>
      <c r="E216" s="730">
        <v>0.84444444444444444</v>
      </c>
      <c r="F216" s="558" t="s">
        <v>2599</v>
      </c>
      <c r="G216" s="558" t="s">
        <v>124</v>
      </c>
      <c r="H216" s="558" t="s">
        <v>5873</v>
      </c>
      <c r="I216" s="679" t="s">
        <v>2486</v>
      </c>
      <c r="J216" s="676" t="s">
        <v>5873</v>
      </c>
      <c r="K216" s="676" t="s">
        <v>5873</v>
      </c>
      <c r="M216" t="str">
        <f>""</f>
        <v/>
      </c>
    </row>
    <row r="217" spans="1:13" ht="15.75">
      <c r="A217">
        <v>2013</v>
      </c>
      <c r="B217" s="777">
        <v>41514</v>
      </c>
      <c r="C217" s="730">
        <v>0.39583333333333331</v>
      </c>
      <c r="D217" s="777">
        <v>41514</v>
      </c>
      <c r="E217" s="730">
        <v>0.39652777777777776</v>
      </c>
      <c r="F217" s="558" t="s">
        <v>2600</v>
      </c>
      <c r="G217" s="558" t="s">
        <v>124</v>
      </c>
      <c r="H217" s="558" t="s">
        <v>5873</v>
      </c>
      <c r="I217" s="679" t="s">
        <v>2486</v>
      </c>
      <c r="J217" s="676" t="s">
        <v>5873</v>
      </c>
      <c r="K217" s="676" t="s">
        <v>5873</v>
      </c>
      <c r="M217" t="str">
        <f>""</f>
        <v/>
      </c>
    </row>
    <row r="218" spans="1:13" ht="15.75">
      <c r="A218">
        <v>2013</v>
      </c>
      <c r="B218" s="777">
        <v>41515</v>
      </c>
      <c r="C218" s="730">
        <v>0.40972222222222221</v>
      </c>
      <c r="D218" s="777">
        <v>41515</v>
      </c>
      <c r="E218" s="730">
        <v>0.40972222222222221</v>
      </c>
      <c r="F218" s="558" t="s">
        <v>2602</v>
      </c>
      <c r="G218" s="558" t="s">
        <v>5873</v>
      </c>
      <c r="H218" s="558" t="s">
        <v>5873</v>
      </c>
      <c r="I218" s="679" t="s">
        <v>2486</v>
      </c>
      <c r="J218" s="676" t="s">
        <v>5873</v>
      </c>
      <c r="K218" s="676" t="s">
        <v>5873</v>
      </c>
      <c r="M218" t="str">
        <f>""</f>
        <v/>
      </c>
    </row>
    <row r="219" spans="1:13" ht="15.75">
      <c r="A219">
        <v>2013</v>
      </c>
      <c r="B219" s="777">
        <v>41527</v>
      </c>
      <c r="C219" s="730">
        <v>0.73750000000000004</v>
      </c>
      <c r="D219" s="777">
        <v>41528</v>
      </c>
      <c r="E219" s="730">
        <v>1.3888888888888889E-3</v>
      </c>
      <c r="F219" s="558" t="s">
        <v>2604</v>
      </c>
      <c r="G219" s="558" t="s">
        <v>826</v>
      </c>
      <c r="H219" s="558" t="s">
        <v>5873</v>
      </c>
      <c r="I219" s="679" t="s">
        <v>2605</v>
      </c>
      <c r="J219" s="676">
        <v>105</v>
      </c>
      <c r="K219" s="676" t="s">
        <v>5873</v>
      </c>
      <c r="M219" t="str">
        <f>""</f>
        <v/>
      </c>
    </row>
    <row r="220" spans="1:13" ht="15.75">
      <c r="A220">
        <v>2013</v>
      </c>
      <c r="B220" s="777">
        <v>41546</v>
      </c>
      <c r="C220" s="730">
        <v>0</v>
      </c>
      <c r="D220" s="777">
        <v>41546</v>
      </c>
      <c r="E220" s="730">
        <v>4.1666666666666664E-2</v>
      </c>
      <c r="F220" s="558" t="s">
        <v>2606</v>
      </c>
      <c r="G220" s="558" t="s">
        <v>63</v>
      </c>
      <c r="H220" s="558" t="s">
        <v>5873</v>
      </c>
      <c r="I220" s="679" t="s">
        <v>2597</v>
      </c>
      <c r="J220" s="676" t="s">
        <v>5873</v>
      </c>
      <c r="K220" s="676" t="s">
        <v>5873</v>
      </c>
      <c r="M220" t="str">
        <f>""</f>
        <v/>
      </c>
    </row>
    <row r="221" spans="1:13" ht="15.75">
      <c r="A221">
        <v>2013</v>
      </c>
      <c r="B221" s="777">
        <v>41558</v>
      </c>
      <c r="C221" s="730">
        <v>0.60416666666666663</v>
      </c>
      <c r="D221" s="777">
        <v>41558</v>
      </c>
      <c r="E221" s="730">
        <v>0.77083333333333337</v>
      </c>
      <c r="F221" s="558" t="s">
        <v>2608</v>
      </c>
      <c r="G221" s="558" t="s">
        <v>63</v>
      </c>
      <c r="H221" s="558" t="s">
        <v>5873</v>
      </c>
      <c r="I221" s="679" t="s">
        <v>2202</v>
      </c>
      <c r="J221" s="676" t="s">
        <v>5873</v>
      </c>
      <c r="K221" s="676" t="s">
        <v>5873</v>
      </c>
      <c r="M221" t="str">
        <f>""</f>
        <v/>
      </c>
    </row>
    <row r="222" spans="1:13" ht="15.75">
      <c r="A222">
        <v>2013</v>
      </c>
      <c r="B222" s="777">
        <v>41566</v>
      </c>
      <c r="C222" s="730">
        <v>0.60555555555555551</v>
      </c>
      <c r="D222" s="777">
        <v>41566</v>
      </c>
      <c r="E222" s="730">
        <v>0.91666666666666663</v>
      </c>
      <c r="F222" s="558" t="s">
        <v>18</v>
      </c>
      <c r="G222" s="558" t="s">
        <v>124</v>
      </c>
      <c r="H222" s="558" t="s">
        <v>5873</v>
      </c>
      <c r="I222" s="679" t="s">
        <v>2202</v>
      </c>
      <c r="J222" s="676" t="s">
        <v>5873</v>
      </c>
      <c r="K222" s="676" t="s">
        <v>5873</v>
      </c>
      <c r="M222" t="str">
        <f>""</f>
        <v/>
      </c>
    </row>
    <row r="223" spans="1:13" ht="15.75">
      <c r="A223">
        <v>2013</v>
      </c>
      <c r="B223" s="777">
        <v>41573</v>
      </c>
      <c r="C223" s="730">
        <v>0.30069444444444443</v>
      </c>
      <c r="D223" s="777">
        <v>41573</v>
      </c>
      <c r="E223" s="730">
        <v>0.30138888888888887</v>
      </c>
      <c r="F223" s="558" t="s">
        <v>24</v>
      </c>
      <c r="G223" s="558" t="s">
        <v>124</v>
      </c>
      <c r="H223" s="558" t="s">
        <v>5873</v>
      </c>
      <c r="I223" s="679" t="s">
        <v>2150</v>
      </c>
      <c r="J223" s="676" t="s">
        <v>5873</v>
      </c>
      <c r="K223" s="676" t="s">
        <v>5873</v>
      </c>
      <c r="M223" t="str">
        <f>""</f>
        <v/>
      </c>
    </row>
    <row r="224" spans="1:13" ht="15.75">
      <c r="A224">
        <v>2013</v>
      </c>
      <c r="B224" s="777">
        <v>41579</v>
      </c>
      <c r="C224" s="730">
        <v>0.55972222222222223</v>
      </c>
      <c r="D224" s="777">
        <v>41579</v>
      </c>
      <c r="E224" s="730">
        <v>0.56041666666666667</v>
      </c>
      <c r="F224" s="558" t="s">
        <v>2310</v>
      </c>
      <c r="G224" s="558" t="s">
        <v>826</v>
      </c>
      <c r="H224" s="558" t="s">
        <v>5873</v>
      </c>
      <c r="I224" s="679" t="s">
        <v>2613</v>
      </c>
      <c r="J224" s="676" t="s">
        <v>5873</v>
      </c>
      <c r="K224" s="676" t="s">
        <v>5873</v>
      </c>
      <c r="M224" t="str">
        <f>""</f>
        <v/>
      </c>
    </row>
    <row r="225" spans="1:13" ht="15.75">
      <c r="A225">
        <v>2013</v>
      </c>
      <c r="B225" s="777">
        <v>41580</v>
      </c>
      <c r="C225" s="730">
        <v>0.35069444444444442</v>
      </c>
      <c r="D225" s="777">
        <v>41580</v>
      </c>
      <c r="E225" s="730">
        <v>0.35138888888888886</v>
      </c>
      <c r="F225" s="558" t="s">
        <v>2147</v>
      </c>
      <c r="G225" s="558" t="s">
        <v>124</v>
      </c>
      <c r="H225" s="558" t="s">
        <v>5873</v>
      </c>
      <c r="I225" s="679" t="s">
        <v>2613</v>
      </c>
      <c r="J225" s="676" t="s">
        <v>5873</v>
      </c>
      <c r="K225" s="676" t="s">
        <v>5873</v>
      </c>
      <c r="M225" t="str">
        <f>""</f>
        <v/>
      </c>
    </row>
    <row r="226" spans="1:13" ht="15.75">
      <c r="A226">
        <v>2013</v>
      </c>
      <c r="B226" s="777">
        <v>41582</v>
      </c>
      <c r="C226" s="730">
        <v>0.37777777777777777</v>
      </c>
      <c r="D226" s="777">
        <v>41582</v>
      </c>
      <c r="E226" s="730">
        <v>0.37847222222222221</v>
      </c>
      <c r="F226" s="558" t="s">
        <v>2616</v>
      </c>
      <c r="G226" s="558" t="s">
        <v>61</v>
      </c>
      <c r="H226" s="558" t="s">
        <v>5873</v>
      </c>
      <c r="I226" s="679" t="s">
        <v>2613</v>
      </c>
      <c r="J226" s="676" t="s">
        <v>5873</v>
      </c>
      <c r="K226" s="676" t="s">
        <v>5873</v>
      </c>
      <c r="M226" t="str">
        <f>""</f>
        <v/>
      </c>
    </row>
    <row r="227" spans="1:13" ht="15.75">
      <c r="A227">
        <v>2013</v>
      </c>
      <c r="B227" s="777">
        <v>41583</v>
      </c>
      <c r="C227" s="730">
        <v>0.4236111111111111</v>
      </c>
      <c r="D227" s="777">
        <v>41585</v>
      </c>
      <c r="E227" s="730">
        <v>0.4236111111111111</v>
      </c>
      <c r="F227" s="558" t="s">
        <v>1470</v>
      </c>
      <c r="G227" s="558" t="s">
        <v>826</v>
      </c>
      <c r="H227" s="558" t="s">
        <v>5873</v>
      </c>
      <c r="I227" s="679" t="s">
        <v>2202</v>
      </c>
      <c r="J227" s="676" t="s">
        <v>5873</v>
      </c>
      <c r="K227" s="676" t="s">
        <v>5873</v>
      </c>
      <c r="M227" t="str">
        <f>""</f>
        <v/>
      </c>
    </row>
    <row r="228" spans="1:13" ht="15.75">
      <c r="A228">
        <v>2013</v>
      </c>
      <c r="B228" s="777">
        <v>41590</v>
      </c>
      <c r="C228" s="730">
        <v>0.38472222222222224</v>
      </c>
      <c r="D228" s="777">
        <v>41590</v>
      </c>
      <c r="E228" s="730">
        <v>0.4375</v>
      </c>
      <c r="F228" s="558" t="s">
        <v>2618</v>
      </c>
      <c r="G228" s="558" t="s">
        <v>58</v>
      </c>
      <c r="H228" s="558" t="s">
        <v>5873</v>
      </c>
      <c r="I228" s="679" t="s">
        <v>2619</v>
      </c>
      <c r="J228" s="676" t="s">
        <v>5873</v>
      </c>
      <c r="K228" s="676" t="s">
        <v>5873</v>
      </c>
      <c r="M228" t="str">
        <f>""</f>
        <v/>
      </c>
    </row>
    <row r="229" spans="1:13" ht="15.75">
      <c r="A229">
        <v>2013</v>
      </c>
      <c r="B229" s="777">
        <v>41594</v>
      </c>
      <c r="C229" s="730">
        <v>0.63541666666666663</v>
      </c>
      <c r="D229" s="777">
        <v>41594</v>
      </c>
      <c r="E229" s="730">
        <v>0.63611111111111107</v>
      </c>
      <c r="F229" s="558" t="s">
        <v>2300</v>
      </c>
      <c r="G229" s="558" t="s">
        <v>124</v>
      </c>
      <c r="H229" s="558" t="s">
        <v>5873</v>
      </c>
      <c r="I229" s="679" t="s">
        <v>2613</v>
      </c>
      <c r="J229" s="676" t="s">
        <v>5873</v>
      </c>
      <c r="K229" s="676" t="s">
        <v>5873</v>
      </c>
      <c r="M229" t="str">
        <f>""</f>
        <v/>
      </c>
    </row>
    <row r="230" spans="1:13" ht="15.75">
      <c r="A230">
        <v>2013</v>
      </c>
      <c r="B230" s="777">
        <v>41598</v>
      </c>
      <c r="C230" s="730">
        <v>0.13055555555555556</v>
      </c>
      <c r="D230" s="777">
        <v>41598</v>
      </c>
      <c r="E230" s="730">
        <v>0.13125000000000001</v>
      </c>
      <c r="F230" s="558" t="s">
        <v>2628</v>
      </c>
      <c r="G230" s="558" t="s">
        <v>124</v>
      </c>
      <c r="H230" s="558" t="s">
        <v>5873</v>
      </c>
      <c r="I230" s="679" t="s">
        <v>2613</v>
      </c>
      <c r="J230" s="676" t="s">
        <v>5873</v>
      </c>
      <c r="K230" s="676" t="s">
        <v>5873</v>
      </c>
      <c r="M230" t="str">
        <f>""</f>
        <v/>
      </c>
    </row>
    <row r="231" spans="1:13" ht="15.75">
      <c r="A231">
        <v>2013</v>
      </c>
      <c r="B231" s="777">
        <v>41602</v>
      </c>
      <c r="C231" s="730">
        <v>0.31805555555555554</v>
      </c>
      <c r="D231" s="777">
        <v>41602</v>
      </c>
      <c r="E231" s="730">
        <v>0.31874999999999998</v>
      </c>
      <c r="F231" s="558" t="s">
        <v>2628</v>
      </c>
      <c r="G231" s="558" t="s">
        <v>124</v>
      </c>
      <c r="H231" s="558" t="s">
        <v>5873</v>
      </c>
      <c r="I231" s="679" t="s">
        <v>2613</v>
      </c>
      <c r="J231" s="676" t="s">
        <v>5873</v>
      </c>
      <c r="K231" s="676" t="s">
        <v>5873</v>
      </c>
      <c r="M231" t="str">
        <f>""</f>
        <v/>
      </c>
    </row>
    <row r="232" spans="1:13" ht="15.75">
      <c r="A232">
        <v>2013</v>
      </c>
      <c r="B232" s="777">
        <v>41612</v>
      </c>
      <c r="C232" s="730">
        <v>0.20833333333333334</v>
      </c>
      <c r="D232" s="777">
        <v>41612</v>
      </c>
      <c r="E232" s="730">
        <v>0.67847222222222225</v>
      </c>
      <c r="F232" s="558" t="s">
        <v>2629</v>
      </c>
      <c r="G232" s="558" t="s">
        <v>124</v>
      </c>
      <c r="H232" s="558" t="s">
        <v>5873</v>
      </c>
      <c r="I232" s="679" t="s">
        <v>2630</v>
      </c>
      <c r="J232" s="676">
        <v>150</v>
      </c>
      <c r="K232" s="676" t="s">
        <v>5873</v>
      </c>
      <c r="M232" t="str">
        <f>""</f>
        <v/>
      </c>
    </row>
    <row r="233" spans="1:13" ht="15.75">
      <c r="A233">
        <v>2013</v>
      </c>
      <c r="B233" s="777">
        <v>41614</v>
      </c>
      <c r="C233" s="730">
        <v>0.3659722222222222</v>
      </c>
      <c r="D233" s="777">
        <v>41614</v>
      </c>
      <c r="E233" s="730">
        <v>0.36736111111111114</v>
      </c>
      <c r="F233" s="558" t="s">
        <v>2631</v>
      </c>
      <c r="G233" s="558" t="s">
        <v>124</v>
      </c>
      <c r="H233" s="558" t="s">
        <v>5873</v>
      </c>
      <c r="I233" s="679" t="s">
        <v>2632</v>
      </c>
      <c r="J233" s="676" t="s">
        <v>5873</v>
      </c>
      <c r="K233" s="676" t="s">
        <v>5873</v>
      </c>
      <c r="M233" t="str">
        <f>""</f>
        <v/>
      </c>
    </row>
    <row r="234" spans="1:13" ht="15.75">
      <c r="A234">
        <v>2013</v>
      </c>
      <c r="B234" s="777">
        <v>41618</v>
      </c>
      <c r="C234" s="730">
        <v>4.2361111111111113E-2</v>
      </c>
      <c r="D234" s="777">
        <v>41619</v>
      </c>
      <c r="E234" s="730">
        <v>4.2361111111111113E-2</v>
      </c>
      <c r="F234" s="558" t="s">
        <v>24</v>
      </c>
      <c r="G234" s="558" t="s">
        <v>124</v>
      </c>
      <c r="H234" s="558" t="s">
        <v>5873</v>
      </c>
      <c r="I234" s="679" t="s">
        <v>2150</v>
      </c>
      <c r="J234" s="676" t="s">
        <v>5873</v>
      </c>
      <c r="K234" s="676" t="s">
        <v>5873</v>
      </c>
      <c r="M234" t="str">
        <f>""</f>
        <v/>
      </c>
    </row>
    <row r="235" spans="1:13" ht="15.75">
      <c r="A235">
        <v>2013</v>
      </c>
      <c r="B235" s="777">
        <v>41621</v>
      </c>
      <c r="C235" s="730">
        <v>0.45833333333333331</v>
      </c>
      <c r="D235" s="777">
        <v>41635</v>
      </c>
      <c r="E235" s="730">
        <v>0.45833333333333331</v>
      </c>
      <c r="F235" s="558" t="s">
        <v>166</v>
      </c>
      <c r="G235" s="558" t="s">
        <v>1352</v>
      </c>
      <c r="H235" s="558" t="s">
        <v>5873</v>
      </c>
      <c r="I235" s="679" t="s">
        <v>2636</v>
      </c>
      <c r="J235" s="676" t="s">
        <v>5873</v>
      </c>
      <c r="K235" s="676" t="s">
        <v>5873</v>
      </c>
      <c r="M235" t="str">
        <f>""</f>
        <v/>
      </c>
    </row>
    <row r="236" spans="1:13" ht="15.75">
      <c r="A236">
        <v>2013</v>
      </c>
      <c r="B236" s="777">
        <v>41621</v>
      </c>
      <c r="C236" s="730">
        <v>0.45833333333333331</v>
      </c>
      <c r="D236" s="777">
        <v>41635</v>
      </c>
      <c r="E236" s="730">
        <v>0.45833333333333331</v>
      </c>
      <c r="F236" s="558" t="s">
        <v>166</v>
      </c>
      <c r="G236" s="558" t="s">
        <v>2637</v>
      </c>
      <c r="H236" s="558" t="s">
        <v>5873</v>
      </c>
      <c r="I236" s="679" t="s">
        <v>2636</v>
      </c>
      <c r="J236" s="676" t="s">
        <v>5873</v>
      </c>
      <c r="K236" s="676" t="s">
        <v>5873</v>
      </c>
      <c r="M236" t="str">
        <f>""</f>
        <v/>
      </c>
    </row>
    <row r="237" spans="1:13" ht="15.75">
      <c r="A237">
        <v>2013</v>
      </c>
      <c r="B237" s="777">
        <v>41635</v>
      </c>
      <c r="C237" s="730">
        <v>0.40486111111111112</v>
      </c>
      <c r="D237" s="777">
        <v>41635</v>
      </c>
      <c r="E237" s="730">
        <v>0.52986111111111112</v>
      </c>
      <c r="F237" s="558" t="s">
        <v>2641</v>
      </c>
      <c r="G237" s="558" t="s">
        <v>124</v>
      </c>
      <c r="H237" s="558" t="s">
        <v>5873</v>
      </c>
      <c r="I237" s="679" t="s">
        <v>2202</v>
      </c>
      <c r="J237" s="676" t="s">
        <v>5873</v>
      </c>
      <c r="K237" s="676" t="s">
        <v>5873</v>
      </c>
      <c r="M237" t="str">
        <f>""</f>
        <v/>
      </c>
    </row>
    <row r="238" spans="1:13" ht="15.75">
      <c r="A238">
        <v>2013</v>
      </c>
      <c r="B238" s="777">
        <v>41638</v>
      </c>
      <c r="C238" s="730">
        <v>0.45833333333333331</v>
      </c>
      <c r="D238" s="777">
        <v>41638</v>
      </c>
      <c r="E238" s="730">
        <v>0.45902777777777776</v>
      </c>
      <c r="F238" s="558" t="s">
        <v>2628</v>
      </c>
      <c r="G238" s="558" t="s">
        <v>124</v>
      </c>
      <c r="H238" s="558" t="s">
        <v>5873</v>
      </c>
      <c r="I238" s="679" t="s">
        <v>2202</v>
      </c>
      <c r="J238" s="676" t="s">
        <v>5873</v>
      </c>
      <c r="K238" s="676" t="s">
        <v>5873</v>
      </c>
      <c r="M238" t="str">
        <f>""</f>
        <v/>
      </c>
    </row>
    <row r="239" spans="1:13" ht="15.75">
      <c r="A239">
        <v>2013</v>
      </c>
      <c r="B239" s="777">
        <v>41638</v>
      </c>
      <c r="C239" s="730">
        <v>0.45833333333333331</v>
      </c>
      <c r="D239" s="777">
        <v>41640</v>
      </c>
      <c r="E239" s="730">
        <v>0.33333333333333331</v>
      </c>
      <c r="F239" s="558" t="s">
        <v>2642</v>
      </c>
      <c r="G239" s="558" t="s">
        <v>124</v>
      </c>
      <c r="H239" s="558" t="s">
        <v>5873</v>
      </c>
      <c r="I239" s="679" t="s">
        <v>2202</v>
      </c>
      <c r="J239" s="676" t="s">
        <v>5873</v>
      </c>
      <c r="K239" s="676" t="s">
        <v>5873</v>
      </c>
      <c r="M239" t="str">
        <f>""</f>
        <v/>
      </c>
    </row>
    <row r="240" spans="1:13" ht="15.75">
      <c r="A240">
        <v>2014</v>
      </c>
      <c r="B240" s="777">
        <v>41645</v>
      </c>
      <c r="C240" s="730">
        <v>0.82638888888888884</v>
      </c>
      <c r="D240" s="777">
        <v>41645</v>
      </c>
      <c r="E240" s="730">
        <v>0.86388888888888893</v>
      </c>
      <c r="F240" s="558" t="s">
        <v>2644</v>
      </c>
      <c r="G240" s="558" t="s">
        <v>826</v>
      </c>
      <c r="H240" s="558" t="s">
        <v>5873</v>
      </c>
      <c r="I240" s="679" t="s">
        <v>2645</v>
      </c>
      <c r="J240" s="676" t="s">
        <v>5873</v>
      </c>
      <c r="K240" s="676" t="s">
        <v>5873</v>
      </c>
      <c r="M240" t="str">
        <f>""</f>
        <v/>
      </c>
    </row>
    <row r="241" spans="1:13" ht="15.75">
      <c r="A241">
        <v>2014</v>
      </c>
      <c r="B241" s="777">
        <v>41645</v>
      </c>
      <c r="C241" s="730">
        <v>0.82638888888888884</v>
      </c>
      <c r="D241" s="777">
        <v>41645</v>
      </c>
      <c r="E241" s="730">
        <v>0.86388888888888893</v>
      </c>
      <c r="F241" s="558" t="s">
        <v>5873</v>
      </c>
      <c r="G241" s="558" t="s">
        <v>826</v>
      </c>
      <c r="H241" s="558" t="s">
        <v>5873</v>
      </c>
      <c r="I241" s="679" t="s">
        <v>2645</v>
      </c>
      <c r="J241" s="676" t="s">
        <v>5873</v>
      </c>
      <c r="K241" s="676" t="s">
        <v>5873</v>
      </c>
      <c r="M241" t="str">
        <f>""</f>
        <v/>
      </c>
    </row>
    <row r="242" spans="1:13" ht="15.75">
      <c r="A242">
        <v>2014</v>
      </c>
      <c r="B242" s="777">
        <v>41645</v>
      </c>
      <c r="C242" s="730">
        <v>0.82777777777777772</v>
      </c>
      <c r="D242" s="777">
        <v>41645</v>
      </c>
      <c r="E242" s="730">
        <v>0.86458333333333337</v>
      </c>
      <c r="F242" s="558" t="s">
        <v>2646</v>
      </c>
      <c r="G242" s="558" t="s">
        <v>826</v>
      </c>
      <c r="H242" s="558" t="s">
        <v>5873</v>
      </c>
      <c r="I242" s="679" t="s">
        <v>2645</v>
      </c>
      <c r="J242" s="676" t="s">
        <v>5873</v>
      </c>
      <c r="K242" s="676" t="s">
        <v>5873</v>
      </c>
      <c r="M242" t="str">
        <f>""</f>
        <v/>
      </c>
    </row>
    <row r="243" spans="1:13" ht="15.75">
      <c r="A243">
        <v>2014</v>
      </c>
      <c r="B243" s="777">
        <v>41645</v>
      </c>
      <c r="C243" s="730">
        <v>0.86458333333333337</v>
      </c>
      <c r="D243" s="777">
        <v>41646</v>
      </c>
      <c r="E243" s="730">
        <v>0.875</v>
      </c>
      <c r="F243" s="558" t="s">
        <v>5873</v>
      </c>
      <c r="G243" s="558" t="s">
        <v>826</v>
      </c>
      <c r="H243" s="558" t="s">
        <v>5873</v>
      </c>
      <c r="I243" s="679" t="s">
        <v>2647</v>
      </c>
      <c r="J243" s="676" t="s">
        <v>5873</v>
      </c>
      <c r="K243" s="676" t="s">
        <v>5873</v>
      </c>
      <c r="M243" t="str">
        <f>""</f>
        <v/>
      </c>
    </row>
    <row r="244" spans="1:13" ht="15.75">
      <c r="A244">
        <v>2014</v>
      </c>
      <c r="B244" s="777">
        <v>41645</v>
      </c>
      <c r="C244" s="730">
        <v>0.82638888888888884</v>
      </c>
      <c r="D244" s="777">
        <v>41645</v>
      </c>
      <c r="E244" s="730">
        <v>0.86388888888888893</v>
      </c>
      <c r="F244" s="558" t="s">
        <v>171</v>
      </c>
      <c r="G244" s="558" t="s">
        <v>826</v>
      </c>
      <c r="H244" s="558" t="s">
        <v>5873</v>
      </c>
      <c r="I244" s="679" t="s">
        <v>2645</v>
      </c>
      <c r="J244" s="676" t="s">
        <v>5873</v>
      </c>
      <c r="K244" s="676" t="s">
        <v>5873</v>
      </c>
      <c r="M244" t="str">
        <f>""</f>
        <v/>
      </c>
    </row>
    <row r="245" spans="1:13" ht="15.75">
      <c r="A245">
        <v>2014</v>
      </c>
      <c r="B245" s="777">
        <v>41645</v>
      </c>
      <c r="C245" s="730">
        <v>0.60902777777777772</v>
      </c>
      <c r="D245" s="777">
        <v>41645</v>
      </c>
      <c r="E245" s="730">
        <v>0.60972222222222228</v>
      </c>
      <c r="F245" s="558" t="s">
        <v>1320</v>
      </c>
      <c r="G245" s="558" t="s">
        <v>826</v>
      </c>
      <c r="H245" s="558" t="s">
        <v>5873</v>
      </c>
      <c r="I245" s="679" t="s">
        <v>100</v>
      </c>
      <c r="J245" s="676" t="s">
        <v>5873</v>
      </c>
      <c r="K245" s="676" t="s">
        <v>5873</v>
      </c>
      <c r="M245" t="str">
        <f>""</f>
        <v/>
      </c>
    </row>
    <row r="246" spans="1:13" ht="15.75">
      <c r="A246">
        <v>2014</v>
      </c>
      <c r="B246" s="777">
        <v>41645</v>
      </c>
      <c r="C246" s="730">
        <v>0.91666666666666663</v>
      </c>
      <c r="D246" s="777">
        <v>41645</v>
      </c>
      <c r="E246" s="730">
        <v>0.91736111111111107</v>
      </c>
      <c r="F246" s="558" t="s">
        <v>2270</v>
      </c>
      <c r="G246" s="558" t="s">
        <v>826</v>
      </c>
      <c r="H246" s="558" t="s">
        <v>5873</v>
      </c>
      <c r="I246" s="679" t="s">
        <v>2647</v>
      </c>
      <c r="J246" s="676" t="s">
        <v>5873</v>
      </c>
      <c r="K246" s="676" t="s">
        <v>5873</v>
      </c>
      <c r="M246" t="str">
        <f>""</f>
        <v/>
      </c>
    </row>
    <row r="247" spans="1:13" ht="15.75">
      <c r="A247">
        <v>2014</v>
      </c>
      <c r="B247" s="777">
        <v>41645</v>
      </c>
      <c r="C247" s="730">
        <v>0.29236111111111113</v>
      </c>
      <c r="D247" s="777">
        <v>41646</v>
      </c>
      <c r="E247" s="730">
        <v>0.375</v>
      </c>
      <c r="F247" s="558" t="s">
        <v>166</v>
      </c>
      <c r="G247" s="558" t="s">
        <v>1352</v>
      </c>
      <c r="H247" s="558" t="s">
        <v>5873</v>
      </c>
      <c r="I247" s="679" t="s">
        <v>2647</v>
      </c>
      <c r="J247" s="676" t="s">
        <v>5873</v>
      </c>
      <c r="K247" s="676" t="s">
        <v>5873</v>
      </c>
      <c r="M247" t="str">
        <f>""</f>
        <v/>
      </c>
    </row>
    <row r="248" spans="1:13" ht="15.75">
      <c r="A248">
        <v>2014</v>
      </c>
      <c r="B248" s="777">
        <v>41646</v>
      </c>
      <c r="C248" s="730">
        <v>0.875</v>
      </c>
      <c r="D248" s="777">
        <v>41647</v>
      </c>
      <c r="E248" s="730">
        <v>0.375</v>
      </c>
      <c r="F248" s="558" t="s">
        <v>5873</v>
      </c>
      <c r="G248" s="558" t="s">
        <v>826</v>
      </c>
      <c r="H248" s="558" t="s">
        <v>5873</v>
      </c>
      <c r="I248" s="679" t="s">
        <v>2647</v>
      </c>
      <c r="J248" s="676" t="s">
        <v>5873</v>
      </c>
      <c r="K248" s="676" t="s">
        <v>5873</v>
      </c>
      <c r="M248" t="str">
        <f>""</f>
        <v/>
      </c>
    </row>
    <row r="249" spans="1:13" ht="15.75">
      <c r="A249">
        <v>2014</v>
      </c>
      <c r="B249" s="777">
        <v>41646</v>
      </c>
      <c r="C249" s="730">
        <v>0.26250000000000001</v>
      </c>
      <c r="D249" s="777">
        <v>41646</v>
      </c>
      <c r="E249" s="730">
        <v>0.26319444444444445</v>
      </c>
      <c r="F249" s="558" t="s">
        <v>171</v>
      </c>
      <c r="G249" s="558" t="s">
        <v>826</v>
      </c>
      <c r="H249" s="558" t="s">
        <v>5873</v>
      </c>
      <c r="I249" s="679" t="s">
        <v>2648</v>
      </c>
      <c r="J249" s="676" t="s">
        <v>5873</v>
      </c>
      <c r="K249" s="676" t="s">
        <v>5873</v>
      </c>
      <c r="M249" t="str">
        <f>""</f>
        <v/>
      </c>
    </row>
    <row r="250" spans="1:13" ht="15.75">
      <c r="A250">
        <v>2014</v>
      </c>
      <c r="B250" s="777">
        <v>41646</v>
      </c>
      <c r="C250" s="730">
        <v>0.33194444444444443</v>
      </c>
      <c r="D250" s="777">
        <v>41646</v>
      </c>
      <c r="E250" s="730">
        <v>0.45833333333333331</v>
      </c>
      <c r="F250" s="558" t="s">
        <v>2482</v>
      </c>
      <c r="G250" s="558" t="s">
        <v>63</v>
      </c>
      <c r="H250" s="558" t="s">
        <v>5873</v>
      </c>
      <c r="I250" s="679" t="s">
        <v>2649</v>
      </c>
      <c r="J250" s="676">
        <v>14435</v>
      </c>
      <c r="K250" s="676" t="s">
        <v>5873</v>
      </c>
      <c r="M250" t="str">
        <f>""</f>
        <v/>
      </c>
    </row>
    <row r="251" spans="1:13" ht="15.75">
      <c r="A251">
        <v>2014</v>
      </c>
      <c r="B251" s="777">
        <v>41646</v>
      </c>
      <c r="C251" s="730">
        <v>0.67708333333333337</v>
      </c>
      <c r="D251" s="777">
        <v>41647</v>
      </c>
      <c r="E251" s="730">
        <v>0.55555555555555558</v>
      </c>
      <c r="F251" s="558" t="s">
        <v>2482</v>
      </c>
      <c r="G251" s="558" t="s">
        <v>63</v>
      </c>
      <c r="H251" s="558" t="s">
        <v>5873</v>
      </c>
      <c r="I251" s="679" t="s">
        <v>2647</v>
      </c>
      <c r="J251" s="676" t="s">
        <v>5873</v>
      </c>
      <c r="K251" s="676" t="s">
        <v>5873</v>
      </c>
      <c r="M251" t="str">
        <f>""</f>
        <v/>
      </c>
    </row>
    <row r="252" spans="1:13" ht="15.75">
      <c r="A252">
        <v>2014</v>
      </c>
      <c r="B252" s="777">
        <v>41646</v>
      </c>
      <c r="C252" s="730">
        <v>0.25</v>
      </c>
      <c r="D252" s="777">
        <v>41646</v>
      </c>
      <c r="E252" s="730">
        <v>0.35416666666666669</v>
      </c>
      <c r="F252" s="558" t="s">
        <v>2180</v>
      </c>
      <c r="G252" s="558" t="s">
        <v>63</v>
      </c>
      <c r="H252" s="558" t="s">
        <v>5873</v>
      </c>
      <c r="I252" s="679" t="s">
        <v>2647</v>
      </c>
      <c r="J252" s="676" t="s">
        <v>5873</v>
      </c>
      <c r="K252" s="676" t="s">
        <v>5873</v>
      </c>
      <c r="M252" t="str">
        <f>""</f>
        <v/>
      </c>
    </row>
    <row r="253" spans="1:13" ht="15.75">
      <c r="A253">
        <v>2014</v>
      </c>
      <c r="B253" s="777">
        <v>41646</v>
      </c>
      <c r="C253" s="730">
        <v>0.25</v>
      </c>
      <c r="D253" s="777">
        <v>41646</v>
      </c>
      <c r="E253" s="730">
        <v>0.35416666666666669</v>
      </c>
      <c r="F253" s="558" t="s">
        <v>2650</v>
      </c>
      <c r="G253" s="558" t="s">
        <v>63</v>
      </c>
      <c r="H253" s="558" t="s">
        <v>5873</v>
      </c>
      <c r="I253" s="679" t="s">
        <v>2647</v>
      </c>
      <c r="J253" s="676" t="s">
        <v>5873</v>
      </c>
      <c r="K253" s="676" t="s">
        <v>5873</v>
      </c>
      <c r="M253" t="str">
        <f>""</f>
        <v/>
      </c>
    </row>
    <row r="254" spans="1:13" ht="15.75">
      <c r="A254">
        <v>2014</v>
      </c>
      <c r="B254" s="777">
        <v>41646</v>
      </c>
      <c r="C254" s="730">
        <v>0.45763888888888887</v>
      </c>
      <c r="D254" s="777">
        <v>41648</v>
      </c>
      <c r="E254" s="730">
        <v>0.375</v>
      </c>
      <c r="F254" s="558" t="s">
        <v>33</v>
      </c>
      <c r="G254" s="558" t="s">
        <v>826</v>
      </c>
      <c r="H254" s="558" t="s">
        <v>5873</v>
      </c>
      <c r="I254" s="679" t="s">
        <v>2652</v>
      </c>
      <c r="J254" s="676" t="s">
        <v>5873</v>
      </c>
      <c r="K254" s="676" t="s">
        <v>5873</v>
      </c>
      <c r="M254" t="str">
        <f>""</f>
        <v/>
      </c>
    </row>
    <row r="255" spans="1:13" ht="15.75">
      <c r="A255">
        <v>2014</v>
      </c>
      <c r="B255" s="777">
        <v>41646</v>
      </c>
      <c r="C255" s="730">
        <v>0.39583333333333331</v>
      </c>
      <c r="D255" s="777">
        <v>41647</v>
      </c>
      <c r="E255" s="730">
        <v>0.39583333333333331</v>
      </c>
      <c r="F255" s="558" t="s">
        <v>2653</v>
      </c>
      <c r="G255" s="558" t="s">
        <v>63</v>
      </c>
      <c r="H255" s="558" t="s">
        <v>5873</v>
      </c>
      <c r="I255" s="679" t="s">
        <v>2654</v>
      </c>
      <c r="J255" s="676" t="s">
        <v>5873</v>
      </c>
      <c r="K255" s="676" t="s">
        <v>5873</v>
      </c>
      <c r="M255" t="str">
        <f>""</f>
        <v/>
      </c>
    </row>
    <row r="256" spans="1:13" ht="15.75">
      <c r="A256">
        <v>2014</v>
      </c>
      <c r="B256" s="777">
        <v>41647</v>
      </c>
      <c r="C256" s="730">
        <v>0.20833333333333334</v>
      </c>
      <c r="D256" s="777">
        <v>41647</v>
      </c>
      <c r="E256" s="730">
        <v>0.27083333333333331</v>
      </c>
      <c r="F256" s="558" t="s">
        <v>5873</v>
      </c>
      <c r="G256" s="558" t="s">
        <v>826</v>
      </c>
      <c r="H256" s="558" t="s">
        <v>5873</v>
      </c>
      <c r="I256" s="679" t="s">
        <v>2645</v>
      </c>
      <c r="J256" s="676">
        <v>576</v>
      </c>
      <c r="K256" s="676" t="s">
        <v>5873</v>
      </c>
      <c r="M256" t="str">
        <f>""</f>
        <v/>
      </c>
    </row>
    <row r="257" spans="1:13" ht="15.75">
      <c r="A257">
        <v>2014</v>
      </c>
      <c r="B257" s="777">
        <v>41652</v>
      </c>
      <c r="C257" s="730">
        <v>0.69722222222222219</v>
      </c>
      <c r="D257" s="777">
        <v>41652</v>
      </c>
      <c r="E257" s="730">
        <v>0.69791666666666663</v>
      </c>
      <c r="F257" s="558" t="s">
        <v>24</v>
      </c>
      <c r="G257" s="558" t="s">
        <v>124</v>
      </c>
      <c r="H257" s="558" t="s">
        <v>5873</v>
      </c>
      <c r="I257" s="679" t="s">
        <v>2613</v>
      </c>
      <c r="J257" s="676" t="s">
        <v>5873</v>
      </c>
      <c r="K257" s="676" t="s">
        <v>5873</v>
      </c>
      <c r="M257" t="str">
        <f>""</f>
        <v/>
      </c>
    </row>
    <row r="258" spans="1:13" ht="15.75">
      <c r="A258">
        <v>2014</v>
      </c>
      <c r="B258" s="777">
        <v>41654</v>
      </c>
      <c r="C258" s="730">
        <v>0.60555555555555551</v>
      </c>
      <c r="D258" s="777">
        <v>41654</v>
      </c>
      <c r="E258" s="730">
        <v>0.61458333333333337</v>
      </c>
      <c r="F258" s="558" t="s">
        <v>1320</v>
      </c>
      <c r="G258" s="558" t="s">
        <v>124</v>
      </c>
      <c r="H258" s="558" t="s">
        <v>5873</v>
      </c>
      <c r="I258" s="679" t="s">
        <v>2613</v>
      </c>
      <c r="J258" s="676" t="s">
        <v>5873</v>
      </c>
      <c r="K258" s="676" t="s">
        <v>5873</v>
      </c>
      <c r="M258" t="str">
        <f>""</f>
        <v/>
      </c>
    </row>
    <row r="259" spans="1:13" ht="15.75">
      <c r="A259">
        <v>2014</v>
      </c>
      <c r="B259" s="777">
        <v>41655</v>
      </c>
      <c r="C259" s="730">
        <v>0.52083333333333337</v>
      </c>
      <c r="D259" s="777">
        <v>41655</v>
      </c>
      <c r="E259" s="730">
        <v>0.58125000000000004</v>
      </c>
      <c r="F259" s="558" t="s">
        <v>24</v>
      </c>
      <c r="G259" s="558" t="s">
        <v>124</v>
      </c>
      <c r="H259" s="558" t="s">
        <v>5873</v>
      </c>
      <c r="I259" s="679" t="s">
        <v>2613</v>
      </c>
      <c r="J259" s="676" t="s">
        <v>5873</v>
      </c>
      <c r="K259" s="676" t="s">
        <v>5873</v>
      </c>
      <c r="M259" t="str">
        <f>""</f>
        <v/>
      </c>
    </row>
    <row r="260" spans="1:13" ht="15.75">
      <c r="A260">
        <v>2014</v>
      </c>
      <c r="B260" s="777">
        <v>41656</v>
      </c>
      <c r="C260" s="730">
        <v>0.51388888888888884</v>
      </c>
      <c r="D260" s="777">
        <v>41656</v>
      </c>
      <c r="E260" s="730">
        <v>0.51388888888888884</v>
      </c>
      <c r="F260" s="558" t="s">
        <v>160</v>
      </c>
      <c r="G260" s="558" t="s">
        <v>826</v>
      </c>
      <c r="H260" s="558" t="s">
        <v>5873</v>
      </c>
      <c r="I260" s="679" t="s">
        <v>2150</v>
      </c>
      <c r="J260" s="676" t="s">
        <v>5873</v>
      </c>
      <c r="K260" s="676" t="s">
        <v>5873</v>
      </c>
      <c r="M260" t="str">
        <f>""</f>
        <v/>
      </c>
    </row>
    <row r="261" spans="1:13" ht="15.75">
      <c r="A261">
        <v>2014</v>
      </c>
      <c r="B261" s="777">
        <v>41656</v>
      </c>
      <c r="C261" s="730">
        <v>0.4375</v>
      </c>
      <c r="D261" s="777">
        <v>41667</v>
      </c>
      <c r="E261" s="730">
        <v>0.375</v>
      </c>
      <c r="F261" s="558" t="s">
        <v>33</v>
      </c>
      <c r="G261" s="558" t="s">
        <v>826</v>
      </c>
      <c r="H261" s="558" t="s">
        <v>5873</v>
      </c>
      <c r="I261" s="679" t="s">
        <v>2652</v>
      </c>
      <c r="J261" s="676" t="s">
        <v>5873</v>
      </c>
      <c r="K261" s="676" t="s">
        <v>5873</v>
      </c>
      <c r="M261" t="str">
        <f>""</f>
        <v/>
      </c>
    </row>
    <row r="262" spans="1:13" ht="15.75">
      <c r="A262">
        <v>2014</v>
      </c>
      <c r="B262" s="777">
        <v>41657</v>
      </c>
      <c r="C262" s="730">
        <v>0.73541666666666672</v>
      </c>
      <c r="D262" s="777" t="s">
        <v>5873</v>
      </c>
      <c r="E262" s="730" t="s">
        <v>5873</v>
      </c>
      <c r="F262" s="558" t="s">
        <v>5873</v>
      </c>
      <c r="G262" s="558" t="s">
        <v>826</v>
      </c>
      <c r="H262" s="558" t="s">
        <v>5873</v>
      </c>
      <c r="I262" s="679" t="s">
        <v>2655</v>
      </c>
      <c r="J262" s="676" t="s">
        <v>5873</v>
      </c>
      <c r="K262" s="676" t="s">
        <v>5873</v>
      </c>
      <c r="M262" t="str">
        <f>""</f>
        <v/>
      </c>
    </row>
    <row r="263" spans="1:13" ht="15.75">
      <c r="A263">
        <v>2014</v>
      </c>
      <c r="B263" s="777">
        <v>41657</v>
      </c>
      <c r="C263" s="730">
        <v>0.375</v>
      </c>
      <c r="D263" s="777">
        <v>41657</v>
      </c>
      <c r="E263" s="730">
        <v>0.40625</v>
      </c>
      <c r="F263" s="558" t="s">
        <v>166</v>
      </c>
      <c r="G263" s="558" t="s">
        <v>1352</v>
      </c>
      <c r="H263" s="558" t="s">
        <v>5873</v>
      </c>
      <c r="I263" s="679" t="s">
        <v>2221</v>
      </c>
      <c r="J263" s="676" t="s">
        <v>5873</v>
      </c>
      <c r="K263" s="676" t="s">
        <v>5873</v>
      </c>
      <c r="M263" t="str">
        <f>""</f>
        <v/>
      </c>
    </row>
    <row r="264" spans="1:13" ht="15.75">
      <c r="A264">
        <v>2014</v>
      </c>
      <c r="B264" s="777">
        <v>41660</v>
      </c>
      <c r="C264" s="730">
        <v>0.70833333333333337</v>
      </c>
      <c r="D264" s="777" t="s">
        <v>5873</v>
      </c>
      <c r="E264" s="730" t="s">
        <v>5873</v>
      </c>
      <c r="F264" s="558" t="s">
        <v>2288</v>
      </c>
      <c r="G264" s="558" t="s">
        <v>826</v>
      </c>
      <c r="H264" s="558" t="s">
        <v>5873</v>
      </c>
      <c r="I264" s="679" t="s">
        <v>2613</v>
      </c>
      <c r="J264" s="676" t="s">
        <v>5873</v>
      </c>
      <c r="K264" s="676" t="s">
        <v>5873</v>
      </c>
      <c r="M264" t="str">
        <f>""</f>
        <v/>
      </c>
    </row>
    <row r="265" spans="1:13" ht="15.75">
      <c r="A265">
        <v>2014</v>
      </c>
      <c r="B265" s="777">
        <v>41660</v>
      </c>
      <c r="C265" s="730">
        <v>0.50972222222222219</v>
      </c>
      <c r="D265" s="777">
        <v>41660</v>
      </c>
      <c r="E265" s="730">
        <v>0.52708333333333335</v>
      </c>
      <c r="F265" s="558" t="s">
        <v>16</v>
      </c>
      <c r="G265" s="558" t="s">
        <v>63</v>
      </c>
      <c r="H265" s="558" t="s">
        <v>5873</v>
      </c>
      <c r="I265" s="679" t="s">
        <v>2613</v>
      </c>
      <c r="J265" s="676">
        <v>10</v>
      </c>
      <c r="K265" s="676" t="s">
        <v>5873</v>
      </c>
      <c r="M265" t="str">
        <f>""</f>
        <v/>
      </c>
    </row>
    <row r="266" spans="1:13" ht="15.75">
      <c r="A266">
        <v>2014</v>
      </c>
      <c r="B266" s="777">
        <v>41661</v>
      </c>
      <c r="C266" s="730">
        <v>0.57986111111111116</v>
      </c>
      <c r="D266" s="777">
        <v>41661</v>
      </c>
      <c r="E266" s="730">
        <v>0.62152777777777779</v>
      </c>
      <c r="F266" s="558" t="s">
        <v>2656</v>
      </c>
      <c r="G266" s="558" t="s">
        <v>674</v>
      </c>
      <c r="H266" s="558" t="s">
        <v>5873</v>
      </c>
      <c r="I266" s="679" t="s">
        <v>2613</v>
      </c>
      <c r="J266" s="676" t="s">
        <v>5873</v>
      </c>
      <c r="K266" s="676" t="s">
        <v>5873</v>
      </c>
      <c r="M266" t="str">
        <f>""</f>
        <v/>
      </c>
    </row>
    <row r="267" spans="1:13" ht="15.75">
      <c r="A267">
        <v>2014</v>
      </c>
      <c r="B267" s="777">
        <v>41661</v>
      </c>
      <c r="C267" s="730">
        <v>0.40625</v>
      </c>
      <c r="D267" s="777">
        <v>41661</v>
      </c>
      <c r="E267" s="730">
        <v>0.84652777777777777</v>
      </c>
      <c r="F267" s="558" t="s">
        <v>160</v>
      </c>
      <c r="G267" s="558" t="s">
        <v>826</v>
      </c>
      <c r="H267" s="558" t="s">
        <v>5873</v>
      </c>
      <c r="I267" s="679" t="s">
        <v>2613</v>
      </c>
      <c r="J267" s="676" t="s">
        <v>5873</v>
      </c>
      <c r="K267" s="676" t="s">
        <v>5873</v>
      </c>
      <c r="M267" t="str">
        <f>""</f>
        <v/>
      </c>
    </row>
    <row r="268" spans="1:13" ht="15.75">
      <c r="A268">
        <v>2014</v>
      </c>
      <c r="B268" s="777">
        <v>41661</v>
      </c>
      <c r="C268" s="730">
        <v>0.88541666666666663</v>
      </c>
      <c r="D268" s="777">
        <v>41662</v>
      </c>
      <c r="E268" s="730">
        <v>0.13055555555555556</v>
      </c>
      <c r="F268" s="558" t="s">
        <v>2657</v>
      </c>
      <c r="G268" s="558" t="s">
        <v>826</v>
      </c>
      <c r="H268" s="558" t="s">
        <v>5873</v>
      </c>
      <c r="I268" s="679" t="s">
        <v>2150</v>
      </c>
      <c r="J268" s="676" t="s">
        <v>5873</v>
      </c>
      <c r="K268" s="676" t="s">
        <v>5873</v>
      </c>
      <c r="M268" t="str">
        <f>""</f>
        <v/>
      </c>
    </row>
    <row r="269" spans="1:13" ht="15.75">
      <c r="A269">
        <v>2014</v>
      </c>
      <c r="B269" s="777">
        <v>41661</v>
      </c>
      <c r="C269" s="730">
        <v>2.0833333333333332E-2</v>
      </c>
      <c r="D269" s="777">
        <v>41661</v>
      </c>
      <c r="E269" s="730">
        <v>0.11458333333333333</v>
      </c>
      <c r="F269" s="558" t="s">
        <v>2656</v>
      </c>
      <c r="G269" s="558" t="s">
        <v>674</v>
      </c>
      <c r="H269" s="558" t="s">
        <v>5873</v>
      </c>
      <c r="I269" s="679" t="s">
        <v>2613</v>
      </c>
      <c r="J269" s="676" t="s">
        <v>5873</v>
      </c>
      <c r="K269" s="676" t="s">
        <v>5873</v>
      </c>
      <c r="M269" t="str">
        <f>""</f>
        <v/>
      </c>
    </row>
    <row r="270" spans="1:13" ht="15.75">
      <c r="A270">
        <v>2014</v>
      </c>
      <c r="B270" s="777">
        <v>41662</v>
      </c>
      <c r="C270" s="730">
        <v>0.16666666666666666</v>
      </c>
      <c r="D270" s="777">
        <v>41663</v>
      </c>
      <c r="E270" s="730">
        <v>0.5</v>
      </c>
      <c r="F270" s="558" t="s">
        <v>2650</v>
      </c>
      <c r="G270" s="558" t="s">
        <v>63</v>
      </c>
      <c r="H270" s="558" t="s">
        <v>5873</v>
      </c>
      <c r="I270" s="679" t="s">
        <v>2647</v>
      </c>
      <c r="J270" s="676" t="s">
        <v>5873</v>
      </c>
      <c r="K270" s="676" t="s">
        <v>5873</v>
      </c>
      <c r="M270" t="str">
        <f>""</f>
        <v/>
      </c>
    </row>
    <row r="271" spans="1:13" ht="15.75">
      <c r="A271">
        <v>2014</v>
      </c>
      <c r="B271" s="777">
        <v>41662</v>
      </c>
      <c r="C271" s="730">
        <v>0.88680555555555551</v>
      </c>
      <c r="D271" s="777">
        <v>41663</v>
      </c>
      <c r="E271" s="730">
        <v>0.70833333333333337</v>
      </c>
      <c r="F271" s="558" t="s">
        <v>2658</v>
      </c>
      <c r="G271" s="558" t="s">
        <v>124</v>
      </c>
      <c r="H271" s="558" t="s">
        <v>5873</v>
      </c>
      <c r="I271" s="679" t="s">
        <v>2613</v>
      </c>
      <c r="J271" s="676" t="s">
        <v>5873</v>
      </c>
      <c r="K271" s="676" t="s">
        <v>5873</v>
      </c>
      <c r="M271" t="str">
        <f>""</f>
        <v/>
      </c>
    </row>
    <row r="272" spans="1:13" ht="15.75">
      <c r="A272">
        <v>2014</v>
      </c>
      <c r="B272" s="777">
        <v>41662</v>
      </c>
      <c r="C272" s="730">
        <v>0.5444444444444444</v>
      </c>
      <c r="D272" s="777">
        <v>41663</v>
      </c>
      <c r="E272" s="730">
        <v>0.375</v>
      </c>
      <c r="F272" s="558" t="s">
        <v>2123</v>
      </c>
      <c r="G272" s="558" t="s">
        <v>826</v>
      </c>
      <c r="H272" s="558" t="s">
        <v>5873</v>
      </c>
      <c r="I272" s="679" t="s">
        <v>2647</v>
      </c>
      <c r="J272" s="676" t="s">
        <v>5873</v>
      </c>
      <c r="K272" s="676" t="s">
        <v>5873</v>
      </c>
      <c r="M272" t="str">
        <f>""</f>
        <v/>
      </c>
    </row>
    <row r="273" spans="1:13" ht="15.75">
      <c r="A273">
        <v>2014</v>
      </c>
      <c r="B273" s="777">
        <v>41662</v>
      </c>
      <c r="C273" s="730">
        <v>0.66666666666666663</v>
      </c>
      <c r="D273" s="777">
        <v>41663</v>
      </c>
      <c r="E273" s="730">
        <v>0.5</v>
      </c>
      <c r="F273" s="558" t="s">
        <v>2650</v>
      </c>
      <c r="G273" s="558" t="s">
        <v>63</v>
      </c>
      <c r="H273" s="558" t="s">
        <v>5873</v>
      </c>
      <c r="I273" s="679" t="s">
        <v>2647</v>
      </c>
      <c r="J273" s="676" t="s">
        <v>5873</v>
      </c>
      <c r="K273" s="676" t="s">
        <v>5873</v>
      </c>
      <c r="M273" t="str">
        <f>""</f>
        <v/>
      </c>
    </row>
    <row r="274" spans="1:13" ht="15.75">
      <c r="A274">
        <v>2014</v>
      </c>
      <c r="B274" s="777">
        <v>41663</v>
      </c>
      <c r="C274" s="730">
        <v>0</v>
      </c>
      <c r="D274" s="777">
        <v>41738</v>
      </c>
      <c r="E274" s="730">
        <v>0.49513888888888891</v>
      </c>
      <c r="F274" s="558" t="s">
        <v>2656</v>
      </c>
      <c r="G274" s="558" t="s">
        <v>826</v>
      </c>
      <c r="H274" s="558" t="s">
        <v>5873</v>
      </c>
      <c r="I274" s="679" t="s">
        <v>2659</v>
      </c>
      <c r="J274" s="676" t="s">
        <v>5873</v>
      </c>
      <c r="K274" s="676" t="s">
        <v>5873</v>
      </c>
      <c r="M274" t="str">
        <f>""</f>
        <v/>
      </c>
    </row>
    <row r="275" spans="1:13" ht="15.75">
      <c r="A275">
        <v>2014</v>
      </c>
      <c r="B275" s="777">
        <v>41663</v>
      </c>
      <c r="C275" s="730">
        <v>0.64583333333333337</v>
      </c>
      <c r="D275" s="777">
        <v>41663</v>
      </c>
      <c r="E275" s="730">
        <v>0.70833333333333337</v>
      </c>
      <c r="F275" s="558" t="s">
        <v>2656</v>
      </c>
      <c r="G275" s="558" t="s">
        <v>674</v>
      </c>
      <c r="H275" s="558" t="s">
        <v>5873</v>
      </c>
      <c r="I275" s="679" t="s">
        <v>2613</v>
      </c>
      <c r="J275" s="676" t="s">
        <v>5873</v>
      </c>
      <c r="K275" s="676" t="s">
        <v>5873</v>
      </c>
      <c r="M275" t="str">
        <f>""</f>
        <v/>
      </c>
    </row>
    <row r="276" spans="1:13" ht="15.75">
      <c r="A276">
        <v>2014</v>
      </c>
      <c r="B276" s="777">
        <v>41664</v>
      </c>
      <c r="C276" s="730">
        <v>0.41666666666666669</v>
      </c>
      <c r="D276" s="777">
        <v>41664</v>
      </c>
      <c r="E276" s="730">
        <v>0.45833333333333331</v>
      </c>
      <c r="F276" s="558" t="s">
        <v>2660</v>
      </c>
      <c r="G276" s="558" t="s">
        <v>674</v>
      </c>
      <c r="H276" s="558" t="s">
        <v>5873</v>
      </c>
      <c r="I276" s="679" t="s">
        <v>2613</v>
      </c>
      <c r="J276" s="676" t="s">
        <v>5873</v>
      </c>
      <c r="K276" s="676" t="s">
        <v>5873</v>
      </c>
      <c r="M276" t="str">
        <f>""</f>
        <v/>
      </c>
    </row>
    <row r="277" spans="1:13" ht="15.75">
      <c r="A277">
        <v>2014</v>
      </c>
      <c r="B277" s="777">
        <v>41665</v>
      </c>
      <c r="C277" s="730">
        <v>0.95833333333333337</v>
      </c>
      <c r="D277" s="777" t="s">
        <v>5873</v>
      </c>
      <c r="E277" s="730" t="s">
        <v>5873</v>
      </c>
      <c r="F277" s="558" t="s">
        <v>2288</v>
      </c>
      <c r="G277" s="558" t="s">
        <v>826</v>
      </c>
      <c r="H277" s="558" t="s">
        <v>5873</v>
      </c>
      <c r="I277" s="679" t="s">
        <v>2202</v>
      </c>
      <c r="J277" s="676" t="s">
        <v>5873</v>
      </c>
      <c r="K277" s="676" t="s">
        <v>5873</v>
      </c>
      <c r="M277" t="str">
        <f>""</f>
        <v/>
      </c>
    </row>
    <row r="278" spans="1:13" ht="15.75">
      <c r="A278">
        <v>2014</v>
      </c>
      <c r="B278" s="777">
        <v>41665</v>
      </c>
      <c r="C278" s="730">
        <v>0.875</v>
      </c>
      <c r="D278" s="777">
        <v>41666</v>
      </c>
      <c r="E278" s="730">
        <v>0.45833333333333331</v>
      </c>
      <c r="F278" s="558" t="s">
        <v>2152</v>
      </c>
      <c r="G278" s="558" t="s">
        <v>124</v>
      </c>
      <c r="H278" s="558" t="s">
        <v>5873</v>
      </c>
      <c r="I278" s="679" t="s">
        <v>2613</v>
      </c>
      <c r="J278" s="676" t="s">
        <v>5873</v>
      </c>
      <c r="K278" s="676" t="s">
        <v>5873</v>
      </c>
      <c r="M278" t="str">
        <f>""</f>
        <v/>
      </c>
    </row>
    <row r="279" spans="1:13" ht="15.75">
      <c r="A279">
        <v>2014</v>
      </c>
      <c r="B279" s="777">
        <v>41666</v>
      </c>
      <c r="C279" s="730">
        <v>0.59722222222222221</v>
      </c>
      <c r="D279" s="777">
        <v>41667</v>
      </c>
      <c r="E279" s="730">
        <v>0.875</v>
      </c>
      <c r="F279" s="558" t="s">
        <v>2123</v>
      </c>
      <c r="G279" s="558" t="s">
        <v>826</v>
      </c>
      <c r="H279" s="558" t="s">
        <v>5873</v>
      </c>
      <c r="I279" s="679" t="s">
        <v>2647</v>
      </c>
      <c r="J279" s="676" t="s">
        <v>5873</v>
      </c>
      <c r="K279" s="676" t="s">
        <v>5873</v>
      </c>
      <c r="M279" t="str">
        <f>""</f>
        <v/>
      </c>
    </row>
    <row r="280" spans="1:13" ht="15.75">
      <c r="A280">
        <v>2014</v>
      </c>
      <c r="B280" s="777">
        <v>41668</v>
      </c>
      <c r="C280" s="730">
        <v>0.66666666666666663</v>
      </c>
      <c r="D280" s="777">
        <v>41668</v>
      </c>
      <c r="E280" s="730">
        <v>0.69722222222222219</v>
      </c>
      <c r="F280" s="558" t="s">
        <v>5873</v>
      </c>
      <c r="G280" s="558" t="s">
        <v>674</v>
      </c>
      <c r="H280" s="558" t="s">
        <v>5873</v>
      </c>
      <c r="I280" s="679" t="s">
        <v>2613</v>
      </c>
      <c r="J280" s="676" t="s">
        <v>5873</v>
      </c>
      <c r="K280" s="676" t="s">
        <v>5873</v>
      </c>
      <c r="M280" t="str">
        <f>""</f>
        <v/>
      </c>
    </row>
    <row r="281" spans="1:13" ht="15.75">
      <c r="A281">
        <v>2014</v>
      </c>
      <c r="B281" s="777">
        <v>41669</v>
      </c>
      <c r="C281" s="730">
        <v>0.625</v>
      </c>
      <c r="D281" s="777" t="s">
        <v>5873</v>
      </c>
      <c r="E281" s="730" t="s">
        <v>5873</v>
      </c>
      <c r="F281" s="558" t="s">
        <v>24</v>
      </c>
      <c r="G281" s="558" t="s">
        <v>124</v>
      </c>
      <c r="H281" s="558" t="s">
        <v>5873</v>
      </c>
      <c r="I281" s="679" t="s">
        <v>2613</v>
      </c>
      <c r="J281" s="676" t="s">
        <v>5873</v>
      </c>
      <c r="K281" s="676" t="s">
        <v>5873</v>
      </c>
      <c r="M281" t="str">
        <f>""</f>
        <v/>
      </c>
    </row>
    <row r="282" spans="1:13" ht="15.75">
      <c r="A282">
        <v>2014</v>
      </c>
      <c r="B282" s="777">
        <v>41675</v>
      </c>
      <c r="C282" s="730">
        <v>0.29166666666666669</v>
      </c>
      <c r="D282" s="777">
        <v>41693</v>
      </c>
      <c r="E282" s="730">
        <v>0.29166666666666669</v>
      </c>
      <c r="F282" s="558" t="s">
        <v>30</v>
      </c>
      <c r="G282" s="558" t="s">
        <v>61</v>
      </c>
      <c r="H282" s="558" t="s">
        <v>5873</v>
      </c>
      <c r="I282" s="679" t="s">
        <v>2659</v>
      </c>
      <c r="J282" s="676">
        <v>300</v>
      </c>
      <c r="K282" s="676" t="s">
        <v>5873</v>
      </c>
      <c r="M282" t="str">
        <f>""</f>
        <v/>
      </c>
    </row>
    <row r="283" spans="1:13" ht="15.75">
      <c r="A283">
        <v>2014</v>
      </c>
      <c r="B283" s="777">
        <v>41676</v>
      </c>
      <c r="C283" s="730">
        <v>0.54166666666666663</v>
      </c>
      <c r="D283" s="777">
        <v>41676</v>
      </c>
      <c r="E283" s="730">
        <v>0.91666666666666663</v>
      </c>
      <c r="F283" s="558" t="s">
        <v>18</v>
      </c>
      <c r="G283" s="558" t="s">
        <v>124</v>
      </c>
      <c r="H283" s="558" t="s">
        <v>5873</v>
      </c>
      <c r="I283" s="679" t="s">
        <v>2652</v>
      </c>
      <c r="J283" s="676">
        <v>4000</v>
      </c>
      <c r="K283" s="676" t="s">
        <v>5873</v>
      </c>
      <c r="M283" t="str">
        <f>""</f>
        <v/>
      </c>
    </row>
    <row r="284" spans="1:13" ht="15.75">
      <c r="A284">
        <v>2014</v>
      </c>
      <c r="B284" s="777">
        <v>41676</v>
      </c>
      <c r="C284" s="730">
        <v>0.54513888888888884</v>
      </c>
      <c r="D284" s="777">
        <v>41676</v>
      </c>
      <c r="E284" s="730">
        <v>0.80208333333333337</v>
      </c>
      <c r="F284" s="558" t="s">
        <v>141</v>
      </c>
      <c r="G284" s="558" t="s">
        <v>124</v>
      </c>
      <c r="H284" s="558" t="s">
        <v>5873</v>
      </c>
      <c r="I284" s="679" t="s">
        <v>2652</v>
      </c>
      <c r="J284" s="676">
        <v>160</v>
      </c>
      <c r="K284" s="676" t="s">
        <v>5873</v>
      </c>
      <c r="M284" t="str">
        <f>""</f>
        <v/>
      </c>
    </row>
    <row r="285" spans="1:13" ht="15.75">
      <c r="A285">
        <v>2014</v>
      </c>
      <c r="B285" s="777">
        <v>41676</v>
      </c>
      <c r="C285" s="730">
        <v>0.58194444444444449</v>
      </c>
      <c r="D285" s="777">
        <v>41676</v>
      </c>
      <c r="E285" s="730">
        <v>0.86111111111111116</v>
      </c>
      <c r="F285" s="558" t="s">
        <v>2665</v>
      </c>
      <c r="G285" s="558" t="s">
        <v>1352</v>
      </c>
      <c r="H285" s="558" t="s">
        <v>5873</v>
      </c>
      <c r="I285" s="679" t="s">
        <v>2221</v>
      </c>
      <c r="J285" s="676" t="s">
        <v>5873</v>
      </c>
      <c r="K285" s="676" t="s">
        <v>5873</v>
      </c>
      <c r="M285" t="str">
        <f>""</f>
        <v/>
      </c>
    </row>
    <row r="286" spans="1:13" ht="15.75">
      <c r="A286">
        <v>2014</v>
      </c>
      <c r="B286" s="777">
        <v>41676</v>
      </c>
      <c r="C286" s="730">
        <v>0.59375</v>
      </c>
      <c r="D286" s="777">
        <v>41676</v>
      </c>
      <c r="E286" s="730">
        <v>0.81874999999999998</v>
      </c>
      <c r="F286" s="558" t="s">
        <v>18</v>
      </c>
      <c r="G286" s="558" t="s">
        <v>124</v>
      </c>
      <c r="H286" s="558" t="s">
        <v>5873</v>
      </c>
      <c r="I286" s="679" t="s">
        <v>2652</v>
      </c>
      <c r="J286" s="676">
        <v>611</v>
      </c>
      <c r="K286" s="676" t="s">
        <v>5873</v>
      </c>
      <c r="M286" t="str">
        <f>""</f>
        <v/>
      </c>
    </row>
    <row r="287" spans="1:13" ht="15.75">
      <c r="A287">
        <v>2014</v>
      </c>
      <c r="B287" s="777">
        <v>41676</v>
      </c>
      <c r="C287" s="730">
        <v>0.64930555555555558</v>
      </c>
      <c r="D287" s="777">
        <v>41677</v>
      </c>
      <c r="E287" s="730">
        <v>0.47916666666666669</v>
      </c>
      <c r="F287" s="558" t="s">
        <v>2666</v>
      </c>
      <c r="G287" s="558" t="s">
        <v>1352</v>
      </c>
      <c r="H287" s="558" t="s">
        <v>5873</v>
      </c>
      <c r="I287" s="679" t="s">
        <v>2221</v>
      </c>
      <c r="J287" s="676" t="s">
        <v>5873</v>
      </c>
      <c r="K287" s="676" t="s">
        <v>5873</v>
      </c>
      <c r="M287" t="str">
        <f>""</f>
        <v/>
      </c>
    </row>
    <row r="288" spans="1:13" ht="15.75">
      <c r="A288">
        <v>2014</v>
      </c>
      <c r="B288" s="777">
        <v>41677</v>
      </c>
      <c r="C288" s="730">
        <v>0.29166666666666669</v>
      </c>
      <c r="D288" s="777">
        <v>41719</v>
      </c>
      <c r="E288" s="730">
        <v>0.33333333333333331</v>
      </c>
      <c r="F288" s="558" t="s">
        <v>2667</v>
      </c>
      <c r="G288" s="558" t="s">
        <v>61</v>
      </c>
      <c r="H288" s="558" t="s">
        <v>5873</v>
      </c>
      <c r="I288" s="679" t="s">
        <v>2659</v>
      </c>
      <c r="J288" s="676">
        <v>675</v>
      </c>
      <c r="K288" s="676" t="s">
        <v>5873</v>
      </c>
      <c r="M288" t="str">
        <f>""</f>
        <v/>
      </c>
    </row>
    <row r="289" spans="1:13" ht="15.75">
      <c r="A289">
        <v>2014</v>
      </c>
      <c r="B289" s="777">
        <v>41677</v>
      </c>
      <c r="C289" s="730">
        <v>0.6875</v>
      </c>
      <c r="D289" s="777">
        <v>41678</v>
      </c>
      <c r="E289" s="730">
        <v>0.375</v>
      </c>
      <c r="F289" s="558" t="s">
        <v>2666</v>
      </c>
      <c r="G289" s="558" t="s">
        <v>1352</v>
      </c>
      <c r="H289" s="558" t="s">
        <v>5873</v>
      </c>
      <c r="I289" s="679" t="s">
        <v>2221</v>
      </c>
      <c r="J289" s="676" t="s">
        <v>5873</v>
      </c>
      <c r="K289" s="676" t="s">
        <v>5873</v>
      </c>
      <c r="M289" t="str">
        <f>""</f>
        <v/>
      </c>
    </row>
    <row r="290" spans="1:13" ht="15.75">
      <c r="A290">
        <v>2014</v>
      </c>
      <c r="B290" s="777">
        <v>41677</v>
      </c>
      <c r="C290" s="730">
        <v>0.70138888888888884</v>
      </c>
      <c r="D290" s="777">
        <v>41677</v>
      </c>
      <c r="E290" s="730">
        <v>0.85416666666666663</v>
      </c>
      <c r="F290" s="558" t="s">
        <v>166</v>
      </c>
      <c r="G290" s="558" t="s">
        <v>1352</v>
      </c>
      <c r="H290" s="558" t="s">
        <v>5873</v>
      </c>
      <c r="I290" s="679" t="s">
        <v>2221</v>
      </c>
      <c r="J290" s="676" t="s">
        <v>5873</v>
      </c>
      <c r="K290" s="676" t="s">
        <v>5873</v>
      </c>
      <c r="M290" t="str">
        <f>""</f>
        <v/>
      </c>
    </row>
    <row r="291" spans="1:13" ht="15.75">
      <c r="A291">
        <v>2014</v>
      </c>
      <c r="B291" s="777">
        <v>41682</v>
      </c>
      <c r="C291" s="730">
        <v>0.59375</v>
      </c>
      <c r="D291" s="777">
        <v>41682</v>
      </c>
      <c r="E291" s="730">
        <v>0.59444444444444444</v>
      </c>
      <c r="F291" s="558" t="s">
        <v>2245</v>
      </c>
      <c r="G291" s="558" t="s">
        <v>61</v>
      </c>
      <c r="H291" s="558" t="s">
        <v>5873</v>
      </c>
      <c r="I291" s="679" t="s">
        <v>2613</v>
      </c>
      <c r="J291" s="676" t="s">
        <v>5873</v>
      </c>
      <c r="K291" s="676" t="s">
        <v>5873</v>
      </c>
      <c r="M291" t="str">
        <f>""</f>
        <v/>
      </c>
    </row>
    <row r="292" spans="1:13" ht="15.75">
      <c r="A292">
        <v>2014</v>
      </c>
      <c r="B292" s="777">
        <v>41684</v>
      </c>
      <c r="C292" s="730">
        <v>0.54166666666666663</v>
      </c>
      <c r="D292" s="777">
        <v>41684</v>
      </c>
      <c r="E292" s="730">
        <v>0.625</v>
      </c>
      <c r="F292" s="558" t="s">
        <v>2531</v>
      </c>
      <c r="G292" s="558" t="s">
        <v>124</v>
      </c>
      <c r="H292" s="558" t="s">
        <v>5873</v>
      </c>
      <c r="I292" s="679" t="s">
        <v>2613</v>
      </c>
      <c r="J292" s="676" t="s">
        <v>5873</v>
      </c>
      <c r="K292" s="676" t="s">
        <v>5873</v>
      </c>
      <c r="M292" t="str">
        <f>""</f>
        <v/>
      </c>
    </row>
    <row r="293" spans="1:13" ht="15.75">
      <c r="A293">
        <v>2014</v>
      </c>
      <c r="B293" s="777">
        <v>41688</v>
      </c>
      <c r="C293" s="730">
        <v>0.77986111111111112</v>
      </c>
      <c r="D293" s="777">
        <v>41688</v>
      </c>
      <c r="E293" s="730">
        <v>0.78055555555555556</v>
      </c>
      <c r="F293" s="558" t="s">
        <v>2669</v>
      </c>
      <c r="G293" s="558" t="s">
        <v>124</v>
      </c>
      <c r="H293" s="558" t="s">
        <v>5873</v>
      </c>
      <c r="I293" s="679" t="s">
        <v>2613</v>
      </c>
      <c r="J293" s="676" t="s">
        <v>5873</v>
      </c>
      <c r="K293" s="676" t="s">
        <v>5873</v>
      </c>
      <c r="M293" t="str">
        <f>""</f>
        <v/>
      </c>
    </row>
    <row r="294" spans="1:13" ht="15.75">
      <c r="A294">
        <v>2014</v>
      </c>
      <c r="B294" s="777">
        <v>41700</v>
      </c>
      <c r="C294" s="730">
        <v>0.79166666666666663</v>
      </c>
      <c r="D294" s="777">
        <v>41702</v>
      </c>
      <c r="E294" s="730">
        <v>0.375</v>
      </c>
      <c r="F294" s="558" t="s">
        <v>2666</v>
      </c>
      <c r="G294" s="558" t="s">
        <v>1352</v>
      </c>
      <c r="H294" s="558" t="s">
        <v>5873</v>
      </c>
      <c r="I294" s="679" t="s">
        <v>2647</v>
      </c>
      <c r="J294" s="676" t="s">
        <v>5873</v>
      </c>
      <c r="K294" s="676" t="s">
        <v>5873</v>
      </c>
      <c r="M294" t="str">
        <f>""</f>
        <v/>
      </c>
    </row>
    <row r="295" spans="1:13" ht="15.75">
      <c r="A295">
        <v>2014</v>
      </c>
      <c r="B295" s="777">
        <v>41701</v>
      </c>
      <c r="C295" s="730">
        <v>0.72569444444444442</v>
      </c>
      <c r="D295" s="777">
        <v>41701</v>
      </c>
      <c r="E295" s="730">
        <v>0.72569444444444442</v>
      </c>
      <c r="F295" s="558" t="s">
        <v>30</v>
      </c>
      <c r="G295" s="558" t="s">
        <v>61</v>
      </c>
      <c r="H295" s="558" t="s">
        <v>5873</v>
      </c>
      <c r="I295" s="679" t="s">
        <v>2150</v>
      </c>
      <c r="J295" s="676" t="s">
        <v>5873</v>
      </c>
      <c r="K295" s="676" t="s">
        <v>5873</v>
      </c>
      <c r="M295" t="str">
        <f>""</f>
        <v/>
      </c>
    </row>
    <row r="296" spans="1:13" ht="15.75">
      <c r="A296">
        <v>2014</v>
      </c>
      <c r="B296" s="777">
        <v>41701</v>
      </c>
      <c r="C296" s="730">
        <v>7.4999999999999997E-2</v>
      </c>
      <c r="D296" s="777">
        <v>41701</v>
      </c>
      <c r="E296" s="730">
        <v>7.5694444444444439E-2</v>
      </c>
      <c r="F296" s="558" t="s">
        <v>2672</v>
      </c>
      <c r="G296" s="558" t="s">
        <v>124</v>
      </c>
      <c r="H296" s="558" t="s">
        <v>5873</v>
      </c>
      <c r="I296" s="679" t="s">
        <v>2530</v>
      </c>
      <c r="J296" s="676">
        <v>630</v>
      </c>
      <c r="K296" s="676" t="s">
        <v>5873</v>
      </c>
      <c r="M296" t="str">
        <f>""</f>
        <v/>
      </c>
    </row>
    <row r="297" spans="1:13" ht="15.75">
      <c r="A297">
        <v>2014</v>
      </c>
      <c r="B297" s="777">
        <v>41702</v>
      </c>
      <c r="C297" s="730">
        <v>0.37916666666666665</v>
      </c>
      <c r="D297" s="777">
        <v>41715</v>
      </c>
      <c r="E297" s="730">
        <v>0.37916666666666665</v>
      </c>
      <c r="F297" s="558" t="s">
        <v>2673</v>
      </c>
      <c r="G297" s="558" t="s">
        <v>674</v>
      </c>
      <c r="H297" s="558" t="s">
        <v>5873</v>
      </c>
      <c r="I297" s="679" t="s">
        <v>2659</v>
      </c>
      <c r="J297" s="676" t="s">
        <v>5873</v>
      </c>
      <c r="K297" s="676" t="s">
        <v>5873</v>
      </c>
      <c r="M297" t="str">
        <f>""</f>
        <v/>
      </c>
    </row>
    <row r="298" spans="1:13" ht="15.75">
      <c r="A298">
        <v>2014</v>
      </c>
      <c r="B298" s="777">
        <v>41703</v>
      </c>
      <c r="C298" s="730">
        <v>0.71250000000000002</v>
      </c>
      <c r="D298" s="777">
        <v>41703</v>
      </c>
      <c r="E298" s="730">
        <v>0.71319444444444446</v>
      </c>
      <c r="F298" s="558" t="s">
        <v>2147</v>
      </c>
      <c r="G298" s="558" t="s">
        <v>124</v>
      </c>
      <c r="H298" s="558" t="s">
        <v>5873</v>
      </c>
      <c r="I298" s="679" t="s">
        <v>2202</v>
      </c>
      <c r="J298" s="676" t="s">
        <v>5873</v>
      </c>
      <c r="K298" s="676" t="s">
        <v>5873</v>
      </c>
      <c r="M298" t="str">
        <f>""</f>
        <v/>
      </c>
    </row>
    <row r="299" spans="1:13" ht="15.75">
      <c r="A299">
        <v>2014</v>
      </c>
      <c r="B299" s="777">
        <v>41709</v>
      </c>
      <c r="C299" s="730">
        <v>0</v>
      </c>
      <c r="D299" s="777">
        <v>41711</v>
      </c>
      <c r="E299" s="730">
        <v>0</v>
      </c>
      <c r="F299" s="558" t="s">
        <v>2675</v>
      </c>
      <c r="G299" s="558" t="s">
        <v>674</v>
      </c>
      <c r="H299" s="558" t="s">
        <v>5873</v>
      </c>
      <c r="I299" s="679" t="s">
        <v>2150</v>
      </c>
      <c r="J299" s="676" t="s">
        <v>5873</v>
      </c>
      <c r="K299" s="676" t="s">
        <v>5873</v>
      </c>
      <c r="M299" t="str">
        <f>""</f>
        <v/>
      </c>
    </row>
    <row r="300" spans="1:13" ht="15.75">
      <c r="A300">
        <v>2014</v>
      </c>
      <c r="B300" s="777">
        <v>41712</v>
      </c>
      <c r="C300" s="730">
        <v>0.52361111111111114</v>
      </c>
      <c r="D300" s="777">
        <v>41712</v>
      </c>
      <c r="E300" s="730">
        <v>0.69791666666666663</v>
      </c>
      <c r="F300" s="558" t="s">
        <v>2675</v>
      </c>
      <c r="G300" s="558" t="s">
        <v>674</v>
      </c>
      <c r="H300" s="558" t="s">
        <v>5873</v>
      </c>
      <c r="I300" s="679" t="s">
        <v>2613</v>
      </c>
      <c r="J300" s="676" t="s">
        <v>5873</v>
      </c>
      <c r="K300" s="676" t="s">
        <v>5873</v>
      </c>
      <c r="M300" t="str">
        <f>""</f>
        <v/>
      </c>
    </row>
    <row r="301" spans="1:13" ht="15.75">
      <c r="A301">
        <v>2014</v>
      </c>
      <c r="B301" s="777">
        <v>41715</v>
      </c>
      <c r="C301" s="730">
        <v>0.72569444444444442</v>
      </c>
      <c r="D301" s="777">
        <v>41716</v>
      </c>
      <c r="E301" s="730">
        <v>3.888888888888889E-2</v>
      </c>
      <c r="F301" s="558" t="s">
        <v>2676</v>
      </c>
      <c r="G301" s="558" t="s">
        <v>124</v>
      </c>
      <c r="H301" s="558" t="s">
        <v>5873</v>
      </c>
      <c r="I301" s="679" t="s">
        <v>2677</v>
      </c>
      <c r="J301" s="676" t="s">
        <v>5873</v>
      </c>
      <c r="K301" s="676" t="s">
        <v>5873</v>
      </c>
      <c r="M301" t="str">
        <f>""</f>
        <v/>
      </c>
    </row>
    <row r="302" spans="1:13" ht="15.75">
      <c r="A302">
        <v>2014</v>
      </c>
      <c r="B302" s="777">
        <v>41718</v>
      </c>
      <c r="C302" s="730">
        <v>0</v>
      </c>
      <c r="D302" s="777">
        <v>41718</v>
      </c>
      <c r="E302" s="730">
        <v>6.9444444444444447E-4</v>
      </c>
      <c r="F302" s="558" t="s">
        <v>30</v>
      </c>
      <c r="G302" s="558" t="s">
        <v>61</v>
      </c>
      <c r="H302" s="558" t="s">
        <v>5873</v>
      </c>
      <c r="I302" s="679" t="s">
        <v>2139</v>
      </c>
      <c r="J302" s="676" t="s">
        <v>5873</v>
      </c>
      <c r="K302" s="676" t="s">
        <v>5873</v>
      </c>
      <c r="M302" t="str">
        <f>""</f>
        <v/>
      </c>
    </row>
    <row r="303" spans="1:13" ht="15.75">
      <c r="A303">
        <v>2014</v>
      </c>
      <c r="B303" s="777">
        <v>41722</v>
      </c>
      <c r="C303" s="730">
        <v>0.46319444444444446</v>
      </c>
      <c r="D303" s="777">
        <v>41722</v>
      </c>
      <c r="E303" s="730">
        <v>0.46388888888888891</v>
      </c>
      <c r="F303" s="558" t="s">
        <v>2147</v>
      </c>
      <c r="G303" s="558" t="s">
        <v>124</v>
      </c>
      <c r="H303" s="558" t="s">
        <v>5873</v>
      </c>
      <c r="I303" s="679" t="s">
        <v>2613</v>
      </c>
      <c r="J303" s="676" t="s">
        <v>5873</v>
      </c>
      <c r="K303" s="676" t="s">
        <v>5873</v>
      </c>
      <c r="M303" t="str">
        <f>""</f>
        <v/>
      </c>
    </row>
    <row r="304" spans="1:13" ht="15.75">
      <c r="A304">
        <v>2014</v>
      </c>
      <c r="B304" s="777">
        <v>41724</v>
      </c>
      <c r="C304" s="730">
        <v>0.66666666666666663</v>
      </c>
      <c r="D304" s="777">
        <v>41739</v>
      </c>
      <c r="E304" s="730">
        <v>0.5</v>
      </c>
      <c r="F304" s="558" t="s">
        <v>2678</v>
      </c>
      <c r="G304" s="558" t="s">
        <v>674</v>
      </c>
      <c r="H304" s="558" t="s">
        <v>5873</v>
      </c>
      <c r="I304" s="679" t="s">
        <v>2202</v>
      </c>
      <c r="J304" s="676" t="s">
        <v>5873</v>
      </c>
      <c r="K304" s="676" t="s">
        <v>5873</v>
      </c>
      <c r="M304" t="str">
        <f>""</f>
        <v/>
      </c>
    </row>
    <row r="305" spans="1:13" ht="15.75">
      <c r="A305">
        <v>2014</v>
      </c>
      <c r="B305" s="777">
        <v>41724</v>
      </c>
      <c r="C305" s="730">
        <v>0.56736111111111109</v>
      </c>
      <c r="D305" s="777">
        <v>41724</v>
      </c>
      <c r="E305" s="730">
        <v>0.60624999999999996</v>
      </c>
      <c r="F305" s="558" t="s">
        <v>2679</v>
      </c>
      <c r="G305" s="558" t="s">
        <v>124</v>
      </c>
      <c r="H305" s="558" t="s">
        <v>5873</v>
      </c>
      <c r="I305" s="679" t="s">
        <v>2037</v>
      </c>
      <c r="J305" s="676" t="s">
        <v>5873</v>
      </c>
      <c r="K305" s="676" t="s">
        <v>5873</v>
      </c>
      <c r="M305" t="str">
        <f>""</f>
        <v/>
      </c>
    </row>
    <row r="306" spans="1:13" ht="15.75">
      <c r="A306">
        <v>2014</v>
      </c>
      <c r="B306" s="777">
        <v>41729</v>
      </c>
      <c r="C306" s="730">
        <v>0.65347222222222223</v>
      </c>
      <c r="D306" s="777">
        <v>41729</v>
      </c>
      <c r="E306" s="730">
        <v>0.83888888888888891</v>
      </c>
      <c r="F306" s="558" t="s">
        <v>2271</v>
      </c>
      <c r="G306" s="558" t="s">
        <v>5873</v>
      </c>
      <c r="H306" s="558" t="s">
        <v>5873</v>
      </c>
      <c r="I306" s="679" t="s">
        <v>968</v>
      </c>
      <c r="J306" s="676" t="s">
        <v>5873</v>
      </c>
      <c r="K306" s="676" t="s">
        <v>5873</v>
      </c>
      <c r="M306" t="str">
        <f>""</f>
        <v/>
      </c>
    </row>
    <row r="307" spans="1:13" ht="15.75">
      <c r="A307">
        <v>2014</v>
      </c>
      <c r="B307" s="777">
        <v>41732</v>
      </c>
      <c r="C307" s="730">
        <v>0</v>
      </c>
      <c r="D307" s="777" t="s">
        <v>5873</v>
      </c>
      <c r="E307" s="730" t="s">
        <v>5873</v>
      </c>
      <c r="F307" s="558" t="s">
        <v>166</v>
      </c>
      <c r="G307" s="558" t="s">
        <v>1352</v>
      </c>
      <c r="H307" s="558" t="s">
        <v>5873</v>
      </c>
      <c r="I307" s="679" t="s">
        <v>2659</v>
      </c>
      <c r="J307" s="676" t="s">
        <v>5873</v>
      </c>
      <c r="K307" s="676" t="s">
        <v>5873</v>
      </c>
      <c r="M307" t="str">
        <f>""</f>
        <v/>
      </c>
    </row>
    <row r="308" spans="1:13" ht="15.75">
      <c r="A308">
        <v>2014</v>
      </c>
      <c r="B308" s="777">
        <v>41732</v>
      </c>
      <c r="C308" s="730">
        <v>0.61458333333333337</v>
      </c>
      <c r="D308" s="777">
        <v>41738</v>
      </c>
      <c r="E308" s="730">
        <v>0.49513888888888891</v>
      </c>
      <c r="F308" s="558" t="s">
        <v>2656</v>
      </c>
      <c r="G308" s="558" t="s">
        <v>674</v>
      </c>
      <c r="H308" s="558" t="s">
        <v>5873</v>
      </c>
      <c r="I308" s="679" t="s">
        <v>2659</v>
      </c>
      <c r="J308" s="676" t="s">
        <v>5873</v>
      </c>
      <c r="K308" s="676" t="s">
        <v>5873</v>
      </c>
      <c r="M308" t="str">
        <f>""</f>
        <v/>
      </c>
    </row>
    <row r="309" spans="1:13" ht="15.75">
      <c r="A309">
        <v>2014</v>
      </c>
      <c r="B309" s="777">
        <v>41737</v>
      </c>
      <c r="C309" s="730">
        <v>0.54166666666666663</v>
      </c>
      <c r="D309" s="777">
        <v>41737</v>
      </c>
      <c r="E309" s="730">
        <v>0.54236111111111107</v>
      </c>
      <c r="F309" s="558" t="s">
        <v>2681</v>
      </c>
      <c r="G309" s="558" t="s">
        <v>124</v>
      </c>
      <c r="H309" s="558" t="s">
        <v>5873</v>
      </c>
      <c r="I309" s="679" t="s">
        <v>2613</v>
      </c>
      <c r="J309" s="676" t="s">
        <v>5873</v>
      </c>
      <c r="K309" s="676" t="s">
        <v>5873</v>
      </c>
      <c r="M309" t="str">
        <f>""</f>
        <v/>
      </c>
    </row>
    <row r="310" spans="1:13" ht="15.75">
      <c r="A310">
        <v>2014</v>
      </c>
      <c r="B310" s="777">
        <v>41737</v>
      </c>
      <c r="C310" s="730">
        <v>0.46458333333333335</v>
      </c>
      <c r="D310" s="777">
        <v>41737</v>
      </c>
      <c r="E310" s="730">
        <v>0.47222222222222221</v>
      </c>
      <c r="F310" s="558" t="s">
        <v>2271</v>
      </c>
      <c r="G310" s="558" t="s">
        <v>5873</v>
      </c>
      <c r="H310" s="558" t="s">
        <v>5873</v>
      </c>
      <c r="I310" s="679" t="s">
        <v>619</v>
      </c>
      <c r="J310" s="676" t="s">
        <v>5873</v>
      </c>
      <c r="K310" s="676" t="s">
        <v>5873</v>
      </c>
      <c r="M310" t="str">
        <f>""</f>
        <v/>
      </c>
    </row>
    <row r="311" spans="1:13" ht="15.75">
      <c r="A311">
        <v>2014</v>
      </c>
      <c r="B311" s="777">
        <v>41753</v>
      </c>
      <c r="C311" s="730">
        <v>0.62638888888888888</v>
      </c>
      <c r="D311" s="777">
        <v>41753</v>
      </c>
      <c r="E311" s="730">
        <v>0.71736111111111112</v>
      </c>
      <c r="F311" s="558" t="s">
        <v>2418</v>
      </c>
      <c r="G311" s="558" t="s">
        <v>124</v>
      </c>
      <c r="H311" s="558" t="s">
        <v>5873</v>
      </c>
      <c r="I311" s="679" t="s">
        <v>2037</v>
      </c>
      <c r="J311" s="676" t="s">
        <v>5873</v>
      </c>
      <c r="K311" s="676" t="s">
        <v>5873</v>
      </c>
      <c r="M311" t="str">
        <f>""</f>
        <v/>
      </c>
    </row>
    <row r="312" spans="1:13" ht="15.75">
      <c r="A312">
        <v>2014</v>
      </c>
      <c r="B312" s="777">
        <v>41754</v>
      </c>
      <c r="C312" s="730">
        <v>0.29166666666666669</v>
      </c>
      <c r="D312" s="777">
        <v>41754</v>
      </c>
      <c r="E312" s="730">
        <v>0.3125</v>
      </c>
      <c r="F312" s="558" t="s">
        <v>2646</v>
      </c>
      <c r="G312" s="558" t="s">
        <v>826</v>
      </c>
      <c r="H312" s="558" t="s">
        <v>5873</v>
      </c>
      <c r="I312" s="679" t="s">
        <v>2613</v>
      </c>
      <c r="J312" s="676" t="s">
        <v>5873</v>
      </c>
      <c r="K312" s="676" t="s">
        <v>5873</v>
      </c>
      <c r="M312" t="str">
        <f>""</f>
        <v/>
      </c>
    </row>
    <row r="313" spans="1:13" ht="15.75">
      <c r="A313">
        <v>2014</v>
      </c>
      <c r="B313" s="777">
        <v>41756</v>
      </c>
      <c r="C313" s="730">
        <v>0.50486111111111109</v>
      </c>
      <c r="D313" s="777">
        <v>41756</v>
      </c>
      <c r="E313" s="730">
        <v>0.50624999999999998</v>
      </c>
      <c r="F313" s="558" t="s">
        <v>2685</v>
      </c>
      <c r="G313" s="558" t="s">
        <v>124</v>
      </c>
      <c r="H313" s="558" t="s">
        <v>5873</v>
      </c>
      <c r="I313" s="679" t="s">
        <v>2613</v>
      </c>
      <c r="J313" s="676" t="s">
        <v>5873</v>
      </c>
      <c r="K313" s="676" t="s">
        <v>5873</v>
      </c>
      <c r="M313" t="str">
        <f>""</f>
        <v/>
      </c>
    </row>
    <row r="314" spans="1:13" ht="15.75">
      <c r="A314">
        <v>2014</v>
      </c>
      <c r="B314" s="777">
        <v>41767</v>
      </c>
      <c r="C314" s="730">
        <v>0.36041666666666666</v>
      </c>
      <c r="D314" s="777">
        <v>41767</v>
      </c>
      <c r="E314" s="730">
        <v>0.3611111111111111</v>
      </c>
      <c r="F314" s="558" t="s">
        <v>2689</v>
      </c>
      <c r="G314" s="558" t="s">
        <v>124</v>
      </c>
      <c r="H314" s="558" t="s">
        <v>5873</v>
      </c>
      <c r="I314" s="679" t="s">
        <v>2202</v>
      </c>
      <c r="J314" s="676" t="s">
        <v>5873</v>
      </c>
      <c r="K314" s="676" t="s">
        <v>5873</v>
      </c>
      <c r="M314" t="str">
        <f>""</f>
        <v/>
      </c>
    </row>
    <row r="315" spans="1:13" ht="15.75">
      <c r="A315">
        <v>2014</v>
      </c>
      <c r="B315" s="777">
        <v>41767</v>
      </c>
      <c r="C315" s="730">
        <v>4.1666666666666664E-2</v>
      </c>
      <c r="D315" s="777">
        <v>41767</v>
      </c>
      <c r="E315" s="730">
        <v>4.2361111111111113E-2</v>
      </c>
      <c r="F315" s="558" t="s">
        <v>2690</v>
      </c>
      <c r="G315" s="558" t="s">
        <v>63</v>
      </c>
      <c r="H315" s="558" t="s">
        <v>5873</v>
      </c>
      <c r="I315" s="679" t="s">
        <v>2202</v>
      </c>
      <c r="J315" s="676" t="s">
        <v>5873</v>
      </c>
      <c r="K315" s="676" t="s">
        <v>5873</v>
      </c>
      <c r="M315" t="str">
        <f>""</f>
        <v/>
      </c>
    </row>
    <row r="316" spans="1:13" ht="15.75">
      <c r="A316">
        <v>2014</v>
      </c>
      <c r="B316" s="777">
        <v>41770</v>
      </c>
      <c r="C316" s="730">
        <v>0.77638888888888891</v>
      </c>
      <c r="D316" s="777">
        <v>41770</v>
      </c>
      <c r="E316" s="730">
        <v>0.77708333333333335</v>
      </c>
      <c r="F316" s="558" t="s">
        <v>2691</v>
      </c>
      <c r="G316" s="558" t="s">
        <v>674</v>
      </c>
      <c r="H316" s="558" t="s">
        <v>5873</v>
      </c>
      <c r="I316" s="679" t="s">
        <v>2613</v>
      </c>
      <c r="J316" s="676" t="s">
        <v>5873</v>
      </c>
      <c r="K316" s="676" t="s">
        <v>5873</v>
      </c>
      <c r="M316" t="str">
        <f>""</f>
        <v/>
      </c>
    </row>
    <row r="317" spans="1:13" ht="15.75">
      <c r="A317">
        <v>2014</v>
      </c>
      <c r="B317" s="777">
        <v>41771</v>
      </c>
      <c r="C317" s="730">
        <v>0.55138888888888893</v>
      </c>
      <c r="D317" s="777">
        <v>41771</v>
      </c>
      <c r="E317" s="730">
        <v>0.55208333333333337</v>
      </c>
      <c r="F317" s="558" t="s">
        <v>2692</v>
      </c>
      <c r="G317" s="558" t="s">
        <v>124</v>
      </c>
      <c r="H317" s="558" t="s">
        <v>5873</v>
      </c>
      <c r="I317" s="679" t="s">
        <v>2613</v>
      </c>
      <c r="J317" s="676" t="s">
        <v>5873</v>
      </c>
      <c r="K317" s="676" t="s">
        <v>5873</v>
      </c>
      <c r="M317" t="str">
        <f>""</f>
        <v/>
      </c>
    </row>
    <row r="318" spans="1:13" ht="15.75">
      <c r="A318">
        <v>2014</v>
      </c>
      <c r="B318" s="777">
        <v>41774</v>
      </c>
      <c r="C318" s="730">
        <v>0.50694444444444442</v>
      </c>
      <c r="D318" s="777">
        <v>41774</v>
      </c>
      <c r="E318" s="730">
        <v>0.50902777777777775</v>
      </c>
      <c r="F318" s="558" t="s">
        <v>2695</v>
      </c>
      <c r="G318" s="558" t="s">
        <v>826</v>
      </c>
      <c r="H318" s="558" t="s">
        <v>5873</v>
      </c>
      <c r="I318" s="679" t="s">
        <v>2150</v>
      </c>
      <c r="J318" s="676" t="s">
        <v>5873</v>
      </c>
      <c r="K318" s="676" t="s">
        <v>5873</v>
      </c>
      <c r="M318" t="str">
        <f>""</f>
        <v/>
      </c>
    </row>
    <row r="319" spans="1:13" ht="15.75">
      <c r="A319">
        <v>2014</v>
      </c>
      <c r="B319" s="777">
        <v>41779</v>
      </c>
      <c r="C319" s="730">
        <v>0.29236111111111113</v>
      </c>
      <c r="D319" s="777">
        <v>41779</v>
      </c>
      <c r="E319" s="730">
        <v>0.29305555555555557</v>
      </c>
      <c r="F319" s="558" t="s">
        <v>2696</v>
      </c>
      <c r="G319" s="558" t="s">
        <v>124</v>
      </c>
      <c r="H319" s="558" t="s">
        <v>5873</v>
      </c>
      <c r="I319" s="679" t="s">
        <v>2613</v>
      </c>
      <c r="J319" s="676" t="s">
        <v>5873</v>
      </c>
      <c r="K319" s="676" t="s">
        <v>5873</v>
      </c>
      <c r="M319" t="str">
        <f>""</f>
        <v/>
      </c>
    </row>
    <row r="320" spans="1:13" ht="15.75">
      <c r="A320">
        <v>2014</v>
      </c>
      <c r="B320" s="777">
        <v>41782</v>
      </c>
      <c r="C320" s="730">
        <v>0.625</v>
      </c>
      <c r="D320" s="777">
        <v>41784</v>
      </c>
      <c r="E320" s="730">
        <v>0.79166666666666663</v>
      </c>
      <c r="F320" s="558" t="s">
        <v>2482</v>
      </c>
      <c r="G320" s="558" t="s">
        <v>63</v>
      </c>
      <c r="H320" s="558" t="s">
        <v>5873</v>
      </c>
      <c r="I320" s="679" t="s">
        <v>2613</v>
      </c>
      <c r="J320" s="676" t="s">
        <v>5873</v>
      </c>
      <c r="K320" s="676" t="s">
        <v>5873</v>
      </c>
      <c r="M320" t="str">
        <f>""</f>
        <v/>
      </c>
    </row>
    <row r="321" spans="1:13" ht="15.75">
      <c r="A321">
        <v>2014</v>
      </c>
      <c r="B321" s="777">
        <v>41785</v>
      </c>
      <c r="C321" s="730">
        <v>0.52152777777777781</v>
      </c>
      <c r="D321" s="777">
        <v>41785</v>
      </c>
      <c r="E321" s="730">
        <v>0.5541666666666667</v>
      </c>
      <c r="F321" s="558" t="s">
        <v>2697</v>
      </c>
      <c r="G321" s="558" t="s">
        <v>124</v>
      </c>
      <c r="H321" s="558" t="s">
        <v>5873</v>
      </c>
      <c r="I321" s="679" t="s">
        <v>2037</v>
      </c>
      <c r="J321" s="676" t="s">
        <v>5873</v>
      </c>
      <c r="K321" s="676" t="s">
        <v>5873</v>
      </c>
      <c r="M321" t="str">
        <f>""</f>
        <v/>
      </c>
    </row>
    <row r="322" spans="1:13" ht="15.75">
      <c r="A322">
        <v>2014</v>
      </c>
      <c r="B322" s="777">
        <v>41786</v>
      </c>
      <c r="C322" s="730">
        <v>0.45833333333333331</v>
      </c>
      <c r="D322" s="777">
        <v>41786</v>
      </c>
      <c r="E322" s="730">
        <v>0.70347222222222228</v>
      </c>
      <c r="F322" s="558" t="s">
        <v>137</v>
      </c>
      <c r="G322" s="558" t="s">
        <v>124</v>
      </c>
      <c r="H322" s="558" t="s">
        <v>5873</v>
      </c>
      <c r="I322" s="679" t="s">
        <v>2613</v>
      </c>
      <c r="J322" s="676" t="s">
        <v>5873</v>
      </c>
      <c r="K322" s="676" t="s">
        <v>5873</v>
      </c>
      <c r="M322" t="str">
        <f>""</f>
        <v/>
      </c>
    </row>
    <row r="323" spans="1:13" ht="15.75">
      <c r="A323">
        <v>2014</v>
      </c>
      <c r="B323" s="777">
        <v>41793</v>
      </c>
      <c r="C323" s="730">
        <v>6.805555555555555E-2</v>
      </c>
      <c r="D323" s="777">
        <v>41793</v>
      </c>
      <c r="E323" s="730">
        <v>7.1527777777777773E-2</v>
      </c>
      <c r="F323" s="558" t="s">
        <v>166</v>
      </c>
      <c r="G323" s="558" t="s">
        <v>90</v>
      </c>
      <c r="H323" s="558" t="s">
        <v>5873</v>
      </c>
      <c r="I323" s="679" t="s">
        <v>2613</v>
      </c>
      <c r="J323" s="676" t="s">
        <v>5873</v>
      </c>
      <c r="K323" s="676" t="s">
        <v>5873</v>
      </c>
      <c r="M323" t="str">
        <f>""</f>
        <v/>
      </c>
    </row>
    <row r="324" spans="1:13" ht="15.75">
      <c r="A324">
        <v>2014</v>
      </c>
      <c r="B324" s="777">
        <v>41793</v>
      </c>
      <c r="C324" s="730">
        <v>0.64722222222222225</v>
      </c>
      <c r="D324" s="777">
        <v>41793</v>
      </c>
      <c r="E324" s="730">
        <v>0.66597222222222219</v>
      </c>
      <c r="F324" s="558" t="s">
        <v>2418</v>
      </c>
      <c r="G324" s="558" t="s">
        <v>124</v>
      </c>
      <c r="H324" s="558" t="s">
        <v>5873</v>
      </c>
      <c r="I324" s="679" t="s">
        <v>2655</v>
      </c>
      <c r="J324" s="676">
        <v>338</v>
      </c>
      <c r="K324" s="676" t="s">
        <v>5873</v>
      </c>
      <c r="M324" t="str">
        <f>""</f>
        <v/>
      </c>
    </row>
    <row r="325" spans="1:13" ht="15.75">
      <c r="A325">
        <v>2014</v>
      </c>
      <c r="B325" s="777">
        <v>41796</v>
      </c>
      <c r="C325" s="730">
        <v>0.54166666666666663</v>
      </c>
      <c r="D325" s="777" t="s">
        <v>5873</v>
      </c>
      <c r="E325" s="730" t="s">
        <v>5873</v>
      </c>
      <c r="F325" s="558" t="s">
        <v>166</v>
      </c>
      <c r="G325" s="558" t="s">
        <v>90</v>
      </c>
      <c r="H325" s="558" t="s">
        <v>5873</v>
      </c>
      <c r="I325" s="679" t="s">
        <v>2659</v>
      </c>
      <c r="J325" s="676" t="s">
        <v>5873</v>
      </c>
      <c r="K325" s="676" t="s">
        <v>5873</v>
      </c>
      <c r="M325" t="str">
        <f>""</f>
        <v/>
      </c>
    </row>
    <row r="326" spans="1:13" ht="15.75">
      <c r="A326">
        <v>2014</v>
      </c>
      <c r="B326" s="777">
        <v>41799</v>
      </c>
      <c r="C326" s="730">
        <v>0.46319444444444446</v>
      </c>
      <c r="D326" s="777">
        <v>41799</v>
      </c>
      <c r="E326" s="730">
        <v>0.47916666666666669</v>
      </c>
      <c r="F326" s="558" t="s">
        <v>2418</v>
      </c>
      <c r="G326" s="558" t="s">
        <v>124</v>
      </c>
      <c r="H326" s="558" t="s">
        <v>5873</v>
      </c>
      <c r="I326" s="679" t="s">
        <v>2655</v>
      </c>
      <c r="J326" s="676" t="s">
        <v>5873</v>
      </c>
      <c r="K326" s="676" t="s">
        <v>5873</v>
      </c>
      <c r="M326" t="str">
        <f>""</f>
        <v/>
      </c>
    </row>
    <row r="327" spans="1:13" ht="15.75">
      <c r="A327">
        <v>2014</v>
      </c>
      <c r="B327" s="777">
        <v>41801</v>
      </c>
      <c r="C327" s="730">
        <v>0.39583333333333331</v>
      </c>
      <c r="D327" s="777">
        <v>41801</v>
      </c>
      <c r="E327" s="730">
        <v>0.39652777777777776</v>
      </c>
      <c r="F327" s="558" t="s">
        <v>2700</v>
      </c>
      <c r="G327" s="558" t="s">
        <v>124</v>
      </c>
      <c r="H327" s="558" t="s">
        <v>5873</v>
      </c>
      <c r="I327" s="679" t="s">
        <v>2150</v>
      </c>
      <c r="J327" s="676" t="s">
        <v>5873</v>
      </c>
      <c r="K327" s="676" t="s">
        <v>5873</v>
      </c>
      <c r="M327" t="str">
        <f>""</f>
        <v/>
      </c>
    </row>
    <row r="328" spans="1:13" ht="15.75">
      <c r="A328">
        <v>2014</v>
      </c>
      <c r="B328" s="777">
        <v>41801</v>
      </c>
      <c r="C328" s="730">
        <v>0.66666666666666663</v>
      </c>
      <c r="D328" s="777">
        <v>41801</v>
      </c>
      <c r="E328" s="730">
        <v>0.6875</v>
      </c>
      <c r="F328" s="558" t="s">
        <v>2701</v>
      </c>
      <c r="G328" s="558" t="s">
        <v>63</v>
      </c>
      <c r="H328" s="558" t="s">
        <v>5873</v>
      </c>
      <c r="I328" s="679" t="s">
        <v>2613</v>
      </c>
      <c r="J328" s="676" t="s">
        <v>5873</v>
      </c>
      <c r="K328" s="676" t="s">
        <v>5873</v>
      </c>
      <c r="M328" t="str">
        <f>""</f>
        <v/>
      </c>
    </row>
    <row r="329" spans="1:13" ht="15.75">
      <c r="A329">
        <v>2014</v>
      </c>
      <c r="B329" s="777">
        <v>41802</v>
      </c>
      <c r="C329" s="730">
        <v>0.38194444444444442</v>
      </c>
      <c r="D329" s="777">
        <v>41802</v>
      </c>
      <c r="E329" s="730">
        <v>0.38263888888888886</v>
      </c>
      <c r="F329" s="558" t="s">
        <v>2702</v>
      </c>
      <c r="G329" s="558" t="s">
        <v>90</v>
      </c>
      <c r="H329" s="558" t="s">
        <v>5873</v>
      </c>
      <c r="I329" s="679" t="s">
        <v>2150</v>
      </c>
      <c r="J329" s="676" t="s">
        <v>5873</v>
      </c>
      <c r="K329" s="676" t="s">
        <v>5873</v>
      </c>
      <c r="M329" t="str">
        <f>""</f>
        <v/>
      </c>
    </row>
    <row r="330" spans="1:13" ht="15.75">
      <c r="A330">
        <v>2014</v>
      </c>
      <c r="B330" s="777">
        <v>41808</v>
      </c>
      <c r="C330" s="730">
        <v>0.41111111111111109</v>
      </c>
      <c r="D330" s="777">
        <v>41808</v>
      </c>
      <c r="E330" s="730">
        <v>0.79166666666666663</v>
      </c>
      <c r="F330" s="558" t="s">
        <v>2575</v>
      </c>
      <c r="G330" s="558" t="s">
        <v>124</v>
      </c>
      <c r="H330" s="558" t="s">
        <v>5873</v>
      </c>
      <c r="I330" s="679" t="s">
        <v>2613</v>
      </c>
      <c r="J330" s="676" t="s">
        <v>5873</v>
      </c>
      <c r="K330" s="676" t="s">
        <v>5873</v>
      </c>
      <c r="M330" t="str">
        <f>""</f>
        <v/>
      </c>
    </row>
    <row r="331" spans="1:13" ht="15.75">
      <c r="A331">
        <v>2014</v>
      </c>
      <c r="B331" s="777">
        <v>41809</v>
      </c>
      <c r="C331" s="730">
        <v>0.3659722222222222</v>
      </c>
      <c r="D331" s="777">
        <v>41809</v>
      </c>
      <c r="E331" s="730">
        <v>0.36666666666666664</v>
      </c>
      <c r="F331" s="558" t="s">
        <v>2704</v>
      </c>
      <c r="G331" s="558" t="s">
        <v>63</v>
      </c>
      <c r="H331" s="558" t="s">
        <v>5873</v>
      </c>
      <c r="I331" s="679" t="s">
        <v>2613</v>
      </c>
      <c r="J331" s="676" t="s">
        <v>5873</v>
      </c>
      <c r="K331" s="676" t="s">
        <v>5873</v>
      </c>
      <c r="M331" t="str">
        <f>""</f>
        <v/>
      </c>
    </row>
    <row r="332" spans="1:13" ht="15.75">
      <c r="A332">
        <v>2014</v>
      </c>
      <c r="B332" s="777">
        <v>41814</v>
      </c>
      <c r="C332" s="730">
        <v>0.62083333333333335</v>
      </c>
      <c r="D332" s="777">
        <v>41814</v>
      </c>
      <c r="E332" s="730">
        <v>0.62152777777777779</v>
      </c>
      <c r="F332" s="558" t="s">
        <v>2704</v>
      </c>
      <c r="G332" s="558" t="s">
        <v>63</v>
      </c>
      <c r="H332" s="558" t="s">
        <v>5873</v>
      </c>
      <c r="I332" s="679" t="s">
        <v>2613</v>
      </c>
      <c r="J332" s="676" t="s">
        <v>5873</v>
      </c>
      <c r="K332" s="676" t="s">
        <v>5873</v>
      </c>
      <c r="M332" t="str">
        <f>""</f>
        <v/>
      </c>
    </row>
    <row r="333" spans="1:13" ht="15.75">
      <c r="A333">
        <v>2014</v>
      </c>
      <c r="B333" s="777">
        <v>41817</v>
      </c>
      <c r="C333" s="730">
        <v>0.55625000000000002</v>
      </c>
      <c r="D333" s="777" t="s">
        <v>5873</v>
      </c>
      <c r="E333" s="730" t="s">
        <v>5873</v>
      </c>
      <c r="F333" s="558" t="s">
        <v>2656</v>
      </c>
      <c r="G333" s="558" t="s">
        <v>674</v>
      </c>
      <c r="H333" s="558" t="s">
        <v>5873</v>
      </c>
      <c r="I333" s="679" t="s">
        <v>2659</v>
      </c>
      <c r="J333" s="676" t="s">
        <v>5873</v>
      </c>
      <c r="K333" s="676" t="s">
        <v>5873</v>
      </c>
      <c r="M333" t="str">
        <f>""</f>
        <v/>
      </c>
    </row>
    <row r="334" spans="1:13" ht="15.75">
      <c r="A334">
        <v>2014</v>
      </c>
      <c r="B334" s="777">
        <v>41822</v>
      </c>
      <c r="C334" s="730">
        <v>0.36041666666666666</v>
      </c>
      <c r="D334" s="777">
        <v>41848</v>
      </c>
      <c r="E334" s="730">
        <v>0.63402777777777775</v>
      </c>
      <c r="F334" s="558" t="s">
        <v>2656</v>
      </c>
      <c r="G334" s="558" t="s">
        <v>674</v>
      </c>
      <c r="H334" s="558" t="s">
        <v>5873</v>
      </c>
      <c r="I334" s="679" t="s">
        <v>2659</v>
      </c>
      <c r="J334" s="676" t="s">
        <v>5873</v>
      </c>
      <c r="K334" s="676" t="s">
        <v>5873</v>
      </c>
      <c r="M334" t="str">
        <f>""</f>
        <v/>
      </c>
    </row>
    <row r="335" spans="1:13" ht="15.75">
      <c r="A335">
        <v>2014</v>
      </c>
      <c r="B335" s="777">
        <v>41834</v>
      </c>
      <c r="C335" s="730">
        <v>0.66666666666666663</v>
      </c>
      <c r="D335" s="777">
        <v>41834</v>
      </c>
      <c r="E335" s="730">
        <v>0.67708333333333337</v>
      </c>
      <c r="F335" s="558" t="s">
        <v>2575</v>
      </c>
      <c r="G335" s="558" t="s">
        <v>124</v>
      </c>
      <c r="H335" s="558" t="s">
        <v>5873</v>
      </c>
      <c r="I335" s="679" t="s">
        <v>2150</v>
      </c>
      <c r="J335" s="676" t="s">
        <v>5873</v>
      </c>
      <c r="K335" s="676" t="s">
        <v>5873</v>
      </c>
      <c r="M335" t="str">
        <f>""</f>
        <v/>
      </c>
    </row>
    <row r="336" spans="1:13" ht="15.75">
      <c r="A336">
        <v>2014</v>
      </c>
      <c r="B336" s="777">
        <v>41852</v>
      </c>
      <c r="C336" s="730">
        <v>0.62708333333333333</v>
      </c>
      <c r="D336" s="777">
        <v>41852</v>
      </c>
      <c r="E336" s="730">
        <v>0.62777777777777777</v>
      </c>
      <c r="F336" s="558" t="s">
        <v>1320</v>
      </c>
      <c r="G336" s="558" t="s">
        <v>124</v>
      </c>
      <c r="H336" s="558" t="s">
        <v>5873</v>
      </c>
      <c r="I336" s="679" t="s">
        <v>2202</v>
      </c>
      <c r="J336" s="676" t="s">
        <v>5873</v>
      </c>
      <c r="K336" s="676" t="s">
        <v>5873</v>
      </c>
      <c r="M336" t="str">
        <f>""</f>
        <v/>
      </c>
    </row>
    <row r="337" spans="1:13" ht="15.75">
      <c r="A337">
        <v>2014</v>
      </c>
      <c r="B337" s="777">
        <v>41864</v>
      </c>
      <c r="C337" s="730">
        <v>0.25555555555555554</v>
      </c>
      <c r="D337" s="777">
        <v>41864</v>
      </c>
      <c r="E337" s="730">
        <v>0.27361111111111114</v>
      </c>
      <c r="F337" s="558" t="s">
        <v>2418</v>
      </c>
      <c r="G337" s="558" t="s">
        <v>124</v>
      </c>
      <c r="H337" s="558" t="s">
        <v>5873</v>
      </c>
      <c r="I337" s="679" t="s">
        <v>2037</v>
      </c>
      <c r="J337" s="676">
        <v>370</v>
      </c>
      <c r="K337" s="676" t="s">
        <v>5873</v>
      </c>
      <c r="M337" t="str">
        <f>""</f>
        <v/>
      </c>
    </row>
    <row r="338" spans="1:13" ht="15.75">
      <c r="A338">
        <v>2014</v>
      </c>
      <c r="B338" s="777">
        <v>41871</v>
      </c>
      <c r="C338" s="730">
        <v>5.6250000000000001E-2</v>
      </c>
      <c r="D338" s="777">
        <v>41871</v>
      </c>
      <c r="E338" s="730">
        <v>7.013888888888889E-2</v>
      </c>
      <c r="F338" s="558" t="s">
        <v>2418</v>
      </c>
      <c r="G338" s="558" t="s">
        <v>124</v>
      </c>
      <c r="H338" s="558" t="s">
        <v>5873</v>
      </c>
      <c r="I338" s="679" t="s">
        <v>2037</v>
      </c>
      <c r="J338" s="676" t="s">
        <v>5873</v>
      </c>
      <c r="K338" s="676" t="s">
        <v>5873</v>
      </c>
      <c r="M338" t="str">
        <f>""</f>
        <v/>
      </c>
    </row>
    <row r="339" spans="1:13" ht="15.75">
      <c r="A339">
        <v>2014</v>
      </c>
      <c r="B339" s="777">
        <v>41877</v>
      </c>
      <c r="C339" s="730">
        <v>0.64583333333333337</v>
      </c>
      <c r="D339" s="777" t="s">
        <v>5873</v>
      </c>
      <c r="E339" s="730" t="s">
        <v>5873</v>
      </c>
      <c r="F339" s="558" t="s">
        <v>420</v>
      </c>
      <c r="G339" s="558" t="s">
        <v>826</v>
      </c>
      <c r="H339" s="558" t="s">
        <v>5873</v>
      </c>
      <c r="I339" s="679" t="s">
        <v>2368</v>
      </c>
      <c r="J339" s="676" t="s">
        <v>5873</v>
      </c>
      <c r="K339" s="676" t="s">
        <v>5873</v>
      </c>
      <c r="M339" t="str">
        <f>""</f>
        <v/>
      </c>
    </row>
    <row r="340" spans="1:13" ht="15.75">
      <c r="A340">
        <v>2014</v>
      </c>
      <c r="B340" s="777">
        <v>41878</v>
      </c>
      <c r="C340" s="730">
        <v>0.53402777777777777</v>
      </c>
      <c r="D340" s="777">
        <v>41878</v>
      </c>
      <c r="E340" s="730">
        <v>0.5625</v>
      </c>
      <c r="F340" s="558" t="s">
        <v>2646</v>
      </c>
      <c r="G340" s="558" t="s">
        <v>826</v>
      </c>
      <c r="H340" s="558" t="s">
        <v>5873</v>
      </c>
      <c r="I340" s="679" t="s">
        <v>2150</v>
      </c>
      <c r="J340" s="676" t="s">
        <v>5873</v>
      </c>
      <c r="K340" s="676" t="s">
        <v>5873</v>
      </c>
      <c r="M340" t="str">
        <f>""</f>
        <v/>
      </c>
    </row>
    <row r="341" spans="1:13" ht="15.75">
      <c r="A341">
        <v>2014</v>
      </c>
      <c r="B341" s="777">
        <v>41881</v>
      </c>
      <c r="C341" s="730">
        <v>0.64583333333333337</v>
      </c>
      <c r="D341" s="777">
        <v>41883</v>
      </c>
      <c r="E341" s="730">
        <v>0.60416666666666663</v>
      </c>
      <c r="F341" s="558" t="s">
        <v>2713</v>
      </c>
      <c r="G341" s="558" t="s">
        <v>826</v>
      </c>
      <c r="H341" s="558" t="s">
        <v>5873</v>
      </c>
      <c r="I341" s="679" t="s">
        <v>2150</v>
      </c>
      <c r="J341" s="676" t="s">
        <v>5873</v>
      </c>
      <c r="K341" s="676" t="s">
        <v>5873</v>
      </c>
      <c r="M341" t="str">
        <f>""</f>
        <v/>
      </c>
    </row>
    <row r="342" spans="1:13" ht="15.75">
      <c r="A342">
        <v>2014</v>
      </c>
      <c r="B342" s="777">
        <v>41891</v>
      </c>
      <c r="C342" s="730">
        <v>0.34583333333333333</v>
      </c>
      <c r="D342" s="777">
        <v>41891</v>
      </c>
      <c r="E342" s="730">
        <v>0.99930555555555556</v>
      </c>
      <c r="F342" s="558" t="s">
        <v>2418</v>
      </c>
      <c r="G342" s="558" t="s">
        <v>124</v>
      </c>
      <c r="H342" s="558" t="s">
        <v>5873</v>
      </c>
      <c r="I342" s="679" t="s">
        <v>2037</v>
      </c>
      <c r="J342" s="676" t="s">
        <v>5873</v>
      </c>
      <c r="K342" s="676" t="s">
        <v>5873</v>
      </c>
      <c r="M342" t="str">
        <f>""</f>
        <v/>
      </c>
    </row>
    <row r="343" spans="1:13" ht="15.75">
      <c r="A343">
        <v>2014</v>
      </c>
      <c r="B343" s="777">
        <v>41893</v>
      </c>
      <c r="C343" s="730">
        <v>0.20555555555555555</v>
      </c>
      <c r="D343" s="777">
        <v>41893</v>
      </c>
      <c r="E343" s="730">
        <v>0.23402777777777778</v>
      </c>
      <c r="F343" s="558" t="s">
        <v>2418</v>
      </c>
      <c r="G343" s="558" t="s">
        <v>124</v>
      </c>
      <c r="H343" s="558" t="s">
        <v>5873</v>
      </c>
      <c r="I343" s="679" t="s">
        <v>2037</v>
      </c>
      <c r="J343" s="676" t="s">
        <v>5873</v>
      </c>
      <c r="K343" s="676" t="s">
        <v>5873</v>
      </c>
      <c r="M343" t="str">
        <f>""</f>
        <v/>
      </c>
    </row>
    <row r="344" spans="1:13" ht="15.75">
      <c r="A344">
        <v>2014</v>
      </c>
      <c r="B344" s="777">
        <v>41898</v>
      </c>
      <c r="C344" s="730">
        <v>0.49722222222222223</v>
      </c>
      <c r="D344" s="777">
        <v>41898</v>
      </c>
      <c r="E344" s="730">
        <v>0.49791666666666667</v>
      </c>
      <c r="F344" s="558" t="s">
        <v>18</v>
      </c>
      <c r="G344" s="558" t="s">
        <v>124</v>
      </c>
      <c r="H344" s="558" t="s">
        <v>5873</v>
      </c>
      <c r="I344" s="679" t="s">
        <v>2613</v>
      </c>
      <c r="J344" s="676" t="s">
        <v>5873</v>
      </c>
      <c r="K344" s="676" t="s">
        <v>5873</v>
      </c>
      <c r="M344" t="str">
        <f>""</f>
        <v/>
      </c>
    </row>
    <row r="345" spans="1:13" ht="15.75">
      <c r="A345">
        <v>2014</v>
      </c>
      <c r="B345" s="777">
        <v>41899</v>
      </c>
      <c r="C345" s="730">
        <v>0.5625</v>
      </c>
      <c r="D345" s="777">
        <v>41899</v>
      </c>
      <c r="E345" s="730">
        <v>0.58333333333333337</v>
      </c>
      <c r="F345" s="558" t="s">
        <v>1833</v>
      </c>
      <c r="G345" s="558" t="s">
        <v>826</v>
      </c>
      <c r="H345" s="558" t="s">
        <v>5873</v>
      </c>
      <c r="I345" s="679" t="s">
        <v>2714</v>
      </c>
      <c r="J345" s="676" t="s">
        <v>5873</v>
      </c>
      <c r="K345" s="676" t="s">
        <v>5873</v>
      </c>
      <c r="M345" t="str">
        <f>""</f>
        <v/>
      </c>
    </row>
    <row r="346" spans="1:13" ht="15.75">
      <c r="A346">
        <v>2014</v>
      </c>
      <c r="B346" s="777">
        <v>41905</v>
      </c>
      <c r="C346" s="730">
        <v>5.0694444444444445E-2</v>
      </c>
      <c r="D346" s="777">
        <v>41905</v>
      </c>
      <c r="E346" s="730">
        <v>0.125</v>
      </c>
      <c r="F346" s="558" t="s">
        <v>30</v>
      </c>
      <c r="G346" s="558" t="s">
        <v>61</v>
      </c>
      <c r="H346" s="558" t="s">
        <v>5873</v>
      </c>
      <c r="I346" s="679" t="s">
        <v>2717</v>
      </c>
      <c r="J346" s="676" t="s">
        <v>5873</v>
      </c>
      <c r="K346" s="676" t="s">
        <v>5873</v>
      </c>
      <c r="M346" t="str">
        <f>""</f>
        <v/>
      </c>
    </row>
    <row r="347" spans="1:13" ht="15.75">
      <c r="A347">
        <v>2014</v>
      </c>
      <c r="B347" s="777">
        <v>41903</v>
      </c>
      <c r="C347" s="730">
        <v>0.5625</v>
      </c>
      <c r="D347" s="777" t="s">
        <v>5873</v>
      </c>
      <c r="E347" s="730" t="s">
        <v>5873</v>
      </c>
      <c r="F347" s="558" t="s">
        <v>30</v>
      </c>
      <c r="G347" s="558" t="s">
        <v>61</v>
      </c>
      <c r="H347" s="558" t="s">
        <v>5873</v>
      </c>
      <c r="I347" s="679" t="s">
        <v>2717</v>
      </c>
      <c r="J347" s="676" t="s">
        <v>5873</v>
      </c>
      <c r="K347" s="676" t="s">
        <v>5873</v>
      </c>
      <c r="M347" t="str">
        <f>""</f>
        <v/>
      </c>
    </row>
    <row r="348" spans="1:13" ht="15.75">
      <c r="A348">
        <v>2014</v>
      </c>
      <c r="B348" s="777">
        <v>41906</v>
      </c>
      <c r="C348" s="730">
        <v>0.47916666666666669</v>
      </c>
      <c r="D348" s="777">
        <v>41906</v>
      </c>
      <c r="E348" s="730">
        <v>0.65486111111111112</v>
      </c>
      <c r="F348" s="558" t="s">
        <v>2575</v>
      </c>
      <c r="G348" s="558" t="s">
        <v>124</v>
      </c>
      <c r="H348" s="558" t="s">
        <v>5873</v>
      </c>
      <c r="I348" s="679" t="s">
        <v>2613</v>
      </c>
      <c r="J348" s="676" t="s">
        <v>5873</v>
      </c>
      <c r="K348" s="676" t="s">
        <v>5873</v>
      </c>
      <c r="M348" t="str">
        <f>""</f>
        <v/>
      </c>
    </row>
    <row r="349" spans="1:13" ht="15.75">
      <c r="A349">
        <v>2014</v>
      </c>
      <c r="B349" s="777">
        <v>41914</v>
      </c>
      <c r="C349" s="730">
        <v>0.625</v>
      </c>
      <c r="D349" s="777">
        <v>41914</v>
      </c>
      <c r="E349" s="730">
        <v>0.62569444444444444</v>
      </c>
      <c r="F349" s="558" t="s">
        <v>2718</v>
      </c>
      <c r="G349" s="558" t="s">
        <v>124</v>
      </c>
      <c r="H349" s="558" t="s">
        <v>5873</v>
      </c>
      <c r="I349" s="679" t="s">
        <v>2719</v>
      </c>
      <c r="J349" s="676" t="s">
        <v>5873</v>
      </c>
      <c r="K349" s="676" t="s">
        <v>5873</v>
      </c>
      <c r="M349" t="str">
        <f>""</f>
        <v/>
      </c>
    </row>
    <row r="350" spans="1:13" ht="15.75">
      <c r="A350">
        <v>2014</v>
      </c>
      <c r="B350" s="777">
        <v>41919</v>
      </c>
      <c r="C350" s="730">
        <v>0.5</v>
      </c>
      <c r="D350" s="777">
        <v>41919</v>
      </c>
      <c r="E350" s="730">
        <v>0.50069444444444444</v>
      </c>
      <c r="F350" s="558" t="s">
        <v>2123</v>
      </c>
      <c r="G350" s="558" t="s">
        <v>826</v>
      </c>
      <c r="H350" s="558" t="s">
        <v>5873</v>
      </c>
      <c r="I350" s="679" t="s">
        <v>2719</v>
      </c>
      <c r="J350" s="676" t="s">
        <v>5873</v>
      </c>
      <c r="K350" s="676" t="s">
        <v>5873</v>
      </c>
      <c r="M350" t="str">
        <f>""</f>
        <v/>
      </c>
    </row>
    <row r="351" spans="1:13" ht="15.75">
      <c r="A351">
        <v>2014</v>
      </c>
      <c r="B351" s="777">
        <v>41920</v>
      </c>
      <c r="C351" s="730">
        <v>0.69930555555555551</v>
      </c>
      <c r="D351" s="777">
        <v>41920</v>
      </c>
      <c r="E351" s="730">
        <v>0.77013888888888893</v>
      </c>
      <c r="F351" s="558" t="s">
        <v>2665</v>
      </c>
      <c r="G351" s="558" t="s">
        <v>1352</v>
      </c>
      <c r="H351" s="558" t="s">
        <v>5873</v>
      </c>
      <c r="I351" s="679" t="s">
        <v>2720</v>
      </c>
      <c r="J351" s="676" t="s">
        <v>5873</v>
      </c>
      <c r="K351" s="676" t="s">
        <v>5873</v>
      </c>
      <c r="M351" t="str">
        <f>""</f>
        <v/>
      </c>
    </row>
    <row r="352" spans="1:13" ht="15.75">
      <c r="A352">
        <v>2014</v>
      </c>
      <c r="B352" s="777">
        <v>41926</v>
      </c>
      <c r="C352" s="730">
        <v>0.31458333333333333</v>
      </c>
      <c r="D352" s="777">
        <v>41926</v>
      </c>
      <c r="E352" s="730">
        <v>0.31527777777777777</v>
      </c>
      <c r="F352" s="558" t="s">
        <v>2152</v>
      </c>
      <c r="G352" s="558" t="s">
        <v>124</v>
      </c>
      <c r="H352" s="558" t="s">
        <v>5873</v>
      </c>
      <c r="I352" s="679" t="s">
        <v>2719</v>
      </c>
      <c r="J352" s="676" t="s">
        <v>5873</v>
      </c>
      <c r="K352" s="676" t="s">
        <v>5873</v>
      </c>
      <c r="M352" t="str">
        <f>""</f>
        <v/>
      </c>
    </row>
    <row r="353" spans="1:13" ht="15.75">
      <c r="A353">
        <v>2014</v>
      </c>
      <c r="B353" s="777">
        <v>41926</v>
      </c>
      <c r="C353" s="730">
        <v>0.76388888888888884</v>
      </c>
      <c r="D353" s="777">
        <v>41926</v>
      </c>
      <c r="E353" s="730">
        <v>0.76944444444444449</v>
      </c>
      <c r="F353" s="558" t="s">
        <v>2271</v>
      </c>
      <c r="G353" s="558" t="s">
        <v>5873</v>
      </c>
      <c r="H353" s="558" t="s">
        <v>5873</v>
      </c>
      <c r="I353" s="679" t="s">
        <v>619</v>
      </c>
      <c r="J353" s="676" t="s">
        <v>5873</v>
      </c>
      <c r="K353" s="676" t="s">
        <v>5873</v>
      </c>
      <c r="M353" t="str">
        <f>""</f>
        <v/>
      </c>
    </row>
    <row r="354" spans="1:13" ht="15.75">
      <c r="A354">
        <v>2014</v>
      </c>
      <c r="B354" s="777">
        <v>41927</v>
      </c>
      <c r="C354" s="730">
        <v>0.32361111111111113</v>
      </c>
      <c r="D354" s="777">
        <v>41927</v>
      </c>
      <c r="E354" s="730">
        <v>0.32430555555555557</v>
      </c>
      <c r="F354" s="558" t="s">
        <v>2152</v>
      </c>
      <c r="G354" s="558" t="s">
        <v>124</v>
      </c>
      <c r="H354" s="558" t="s">
        <v>5873</v>
      </c>
      <c r="I354" s="679" t="s">
        <v>2719</v>
      </c>
      <c r="J354" s="676" t="s">
        <v>5873</v>
      </c>
      <c r="K354" s="676" t="s">
        <v>5873</v>
      </c>
      <c r="M354" t="str">
        <f>""</f>
        <v/>
      </c>
    </row>
    <row r="355" spans="1:13" ht="15.75">
      <c r="A355">
        <v>2014</v>
      </c>
      <c r="B355" s="777">
        <v>41928</v>
      </c>
      <c r="C355" s="730">
        <v>0.38333333333333336</v>
      </c>
      <c r="D355" s="777">
        <v>41929</v>
      </c>
      <c r="E355" s="730">
        <v>0.625</v>
      </c>
      <c r="F355" s="558" t="s">
        <v>2721</v>
      </c>
      <c r="G355" s="558" t="s">
        <v>674</v>
      </c>
      <c r="H355" s="558" t="s">
        <v>5873</v>
      </c>
      <c r="I355" s="679" t="s">
        <v>2719</v>
      </c>
      <c r="J355" s="676" t="s">
        <v>5873</v>
      </c>
      <c r="K355" s="676" t="s">
        <v>5873</v>
      </c>
      <c r="M355" t="str">
        <f>""</f>
        <v/>
      </c>
    </row>
    <row r="356" spans="1:13" ht="15.75">
      <c r="A356">
        <v>2014</v>
      </c>
      <c r="B356" s="777">
        <v>41928</v>
      </c>
      <c r="C356" s="730">
        <v>0.55902777777777779</v>
      </c>
      <c r="D356" s="777">
        <v>41928</v>
      </c>
      <c r="E356" s="730">
        <v>0.72638888888888886</v>
      </c>
      <c r="F356" s="558" t="s">
        <v>2722</v>
      </c>
      <c r="G356" s="558" t="s">
        <v>674</v>
      </c>
      <c r="H356" s="558" t="s">
        <v>5873</v>
      </c>
      <c r="I356" s="679" t="s">
        <v>2150</v>
      </c>
      <c r="J356" s="676">
        <v>129</v>
      </c>
      <c r="K356" s="676" t="s">
        <v>5873</v>
      </c>
      <c r="M356" t="str">
        <f>""</f>
        <v/>
      </c>
    </row>
    <row r="357" spans="1:13" ht="15.75">
      <c r="A357">
        <v>2014</v>
      </c>
      <c r="B357" s="777">
        <v>41932</v>
      </c>
      <c r="C357" s="730">
        <v>0</v>
      </c>
      <c r="D357" s="777" t="s">
        <v>5873</v>
      </c>
      <c r="E357" s="730" t="s">
        <v>5873</v>
      </c>
      <c r="F357" s="558" t="s">
        <v>2723</v>
      </c>
      <c r="G357" s="558" t="s">
        <v>674</v>
      </c>
      <c r="H357" s="558" t="s">
        <v>5873</v>
      </c>
      <c r="I357" s="679" t="s">
        <v>2719</v>
      </c>
      <c r="J357" s="676" t="s">
        <v>5873</v>
      </c>
      <c r="K357" s="676" t="s">
        <v>5873</v>
      </c>
      <c r="M357" t="str">
        <f>""</f>
        <v/>
      </c>
    </row>
    <row r="358" spans="1:13" ht="15.75">
      <c r="A358">
        <v>2014</v>
      </c>
      <c r="B358" s="777">
        <v>41933</v>
      </c>
      <c r="C358" s="730">
        <v>0.35069444444444442</v>
      </c>
      <c r="D358" s="777">
        <v>41933</v>
      </c>
      <c r="E358" s="730">
        <v>0.42222222222222222</v>
      </c>
      <c r="F358" s="558" t="s">
        <v>2724</v>
      </c>
      <c r="G358" s="558" t="s">
        <v>674</v>
      </c>
      <c r="H358" s="558" t="s">
        <v>5873</v>
      </c>
      <c r="I358" s="679" t="s">
        <v>2139</v>
      </c>
      <c r="J358" s="676" t="s">
        <v>5873</v>
      </c>
      <c r="K358" s="676" t="s">
        <v>5873</v>
      </c>
      <c r="M358" t="str">
        <f>""</f>
        <v/>
      </c>
    </row>
    <row r="359" spans="1:13" ht="15.75">
      <c r="A359">
        <v>2014</v>
      </c>
      <c r="B359" s="777">
        <v>41936</v>
      </c>
      <c r="C359" s="730">
        <v>0.76111111111111107</v>
      </c>
      <c r="D359" s="777">
        <v>41937</v>
      </c>
      <c r="E359" s="730">
        <v>0.57708333333333328</v>
      </c>
      <c r="F359" s="558" t="s">
        <v>2726</v>
      </c>
      <c r="G359" s="558" t="s">
        <v>61</v>
      </c>
      <c r="H359" s="558" t="s">
        <v>5873</v>
      </c>
      <c r="I359" s="679" t="s">
        <v>2719</v>
      </c>
      <c r="J359" s="676" t="s">
        <v>5873</v>
      </c>
      <c r="K359" s="676" t="s">
        <v>5873</v>
      </c>
      <c r="M359" t="str">
        <f>""</f>
        <v/>
      </c>
    </row>
    <row r="360" spans="1:13" ht="15.75">
      <c r="A360">
        <v>2014</v>
      </c>
      <c r="B360" s="777">
        <v>41936</v>
      </c>
      <c r="C360" s="730">
        <v>0.66666666666666663</v>
      </c>
      <c r="D360" s="777">
        <v>41936</v>
      </c>
      <c r="E360" s="730">
        <v>0.74305555555555558</v>
      </c>
      <c r="F360" s="558" t="s">
        <v>2723</v>
      </c>
      <c r="G360" s="558" t="s">
        <v>674</v>
      </c>
      <c r="H360" s="558" t="s">
        <v>5873</v>
      </c>
      <c r="I360" s="679" t="s">
        <v>2719</v>
      </c>
      <c r="J360" s="676" t="s">
        <v>5873</v>
      </c>
      <c r="K360" s="676" t="s">
        <v>5873</v>
      </c>
      <c r="M360" t="str">
        <f>""</f>
        <v/>
      </c>
    </row>
    <row r="361" spans="1:13" ht="15.75">
      <c r="A361">
        <v>2014</v>
      </c>
      <c r="B361" s="777">
        <v>41944</v>
      </c>
      <c r="C361" s="730">
        <v>4.1666666666666664E-2</v>
      </c>
      <c r="D361" s="777">
        <v>41944</v>
      </c>
      <c r="E361" s="730">
        <v>4.2361111111111113E-2</v>
      </c>
      <c r="F361" s="558" t="s">
        <v>2531</v>
      </c>
      <c r="G361" s="558" t="s">
        <v>124</v>
      </c>
      <c r="H361" s="558" t="s">
        <v>5873</v>
      </c>
      <c r="I361" s="679" t="s">
        <v>2719</v>
      </c>
      <c r="J361" s="676" t="s">
        <v>5873</v>
      </c>
      <c r="K361" s="676" t="s">
        <v>5873</v>
      </c>
      <c r="M361" t="str">
        <f>""</f>
        <v/>
      </c>
    </row>
    <row r="362" spans="1:13" ht="15.75">
      <c r="A362">
        <v>2014</v>
      </c>
      <c r="B362" s="777">
        <v>41955</v>
      </c>
      <c r="C362" s="730">
        <v>0.12430555555555556</v>
      </c>
      <c r="D362" s="777">
        <v>41955</v>
      </c>
      <c r="E362" s="730">
        <v>0.125</v>
      </c>
      <c r="F362" s="558" t="s">
        <v>5873</v>
      </c>
      <c r="G362" s="558" t="s">
        <v>63</v>
      </c>
      <c r="H362" s="558" t="s">
        <v>5873</v>
      </c>
      <c r="I362" s="679" t="s">
        <v>2719</v>
      </c>
      <c r="J362" s="676" t="s">
        <v>5873</v>
      </c>
      <c r="K362" s="676" t="s">
        <v>5873</v>
      </c>
      <c r="M362" t="str">
        <f>""</f>
        <v/>
      </c>
    </row>
    <row r="363" spans="1:13" ht="15.75">
      <c r="A363">
        <v>2014</v>
      </c>
      <c r="B363" s="777">
        <v>41956</v>
      </c>
      <c r="C363" s="730">
        <v>0.29652777777777778</v>
      </c>
      <c r="D363" s="777">
        <v>41956</v>
      </c>
      <c r="E363" s="730">
        <v>0.29722222222222222</v>
      </c>
      <c r="F363" s="558" t="s">
        <v>2730</v>
      </c>
      <c r="G363" s="558" t="s">
        <v>674</v>
      </c>
      <c r="H363" s="558" t="s">
        <v>5873</v>
      </c>
      <c r="I363" s="679" t="s">
        <v>2719</v>
      </c>
      <c r="J363" s="676" t="s">
        <v>5873</v>
      </c>
      <c r="K363" s="676" t="s">
        <v>5873</v>
      </c>
      <c r="M363" t="str">
        <f>""</f>
        <v/>
      </c>
    </row>
    <row r="364" spans="1:13" ht="15.75">
      <c r="A364">
        <v>2014</v>
      </c>
      <c r="B364" s="777">
        <v>41962</v>
      </c>
      <c r="C364" s="730">
        <v>0.61388888888888893</v>
      </c>
      <c r="D364" s="777">
        <v>41962</v>
      </c>
      <c r="E364" s="730">
        <v>0.61458333333333337</v>
      </c>
      <c r="F364" s="558" t="s">
        <v>2731</v>
      </c>
      <c r="G364" s="558" t="s">
        <v>124</v>
      </c>
      <c r="H364" s="558" t="s">
        <v>5873</v>
      </c>
      <c r="I364" s="679" t="s">
        <v>2719</v>
      </c>
      <c r="J364" s="676" t="s">
        <v>5873</v>
      </c>
      <c r="K364" s="676" t="s">
        <v>5873</v>
      </c>
      <c r="M364" t="str">
        <f>""</f>
        <v/>
      </c>
    </row>
    <row r="365" spans="1:13" ht="15.75">
      <c r="A365">
        <v>2014</v>
      </c>
      <c r="B365" s="777">
        <v>41964</v>
      </c>
      <c r="C365" s="730">
        <v>0.85347222222222219</v>
      </c>
      <c r="D365" s="777">
        <v>41966</v>
      </c>
      <c r="E365" s="730">
        <v>1.1111111111111112E-2</v>
      </c>
      <c r="F365" s="558" t="s">
        <v>2732</v>
      </c>
      <c r="G365" s="558" t="s">
        <v>124</v>
      </c>
      <c r="H365" s="558" t="s">
        <v>5873</v>
      </c>
      <c r="I365" s="679" t="s">
        <v>2719</v>
      </c>
      <c r="J365" s="676" t="s">
        <v>5873</v>
      </c>
      <c r="K365" s="676" t="s">
        <v>5873</v>
      </c>
      <c r="M365" t="str">
        <f>""</f>
        <v/>
      </c>
    </row>
    <row r="366" spans="1:13" ht="15.75">
      <c r="A366">
        <v>2014</v>
      </c>
      <c r="B366" s="777">
        <v>41964</v>
      </c>
      <c r="C366" s="730">
        <v>0.47638888888888886</v>
      </c>
      <c r="D366" s="777">
        <v>41966</v>
      </c>
      <c r="E366" s="730">
        <v>0.72222222222222221</v>
      </c>
      <c r="F366" s="558" t="s">
        <v>2733</v>
      </c>
      <c r="G366" s="558" t="s">
        <v>124</v>
      </c>
      <c r="H366" s="558" t="s">
        <v>5873</v>
      </c>
      <c r="I366" s="679" t="s">
        <v>2719</v>
      </c>
      <c r="J366" s="676" t="s">
        <v>5873</v>
      </c>
      <c r="K366" s="676" t="s">
        <v>5873</v>
      </c>
      <c r="M366" t="str">
        <f>""</f>
        <v/>
      </c>
    </row>
    <row r="367" spans="1:13" ht="15.75">
      <c r="A367">
        <v>2014</v>
      </c>
      <c r="B367" s="777">
        <v>41967</v>
      </c>
      <c r="C367" s="730">
        <v>0</v>
      </c>
      <c r="D367" s="777" t="s">
        <v>5873</v>
      </c>
      <c r="E367" s="730" t="s">
        <v>5873</v>
      </c>
      <c r="F367" s="558" t="s">
        <v>2734</v>
      </c>
      <c r="G367" s="558" t="s">
        <v>58</v>
      </c>
      <c r="H367" s="558" t="s">
        <v>5873</v>
      </c>
      <c r="I367" s="679" t="s">
        <v>2659</v>
      </c>
      <c r="J367" s="676" t="s">
        <v>5873</v>
      </c>
      <c r="K367" s="676" t="s">
        <v>5873</v>
      </c>
      <c r="M367" t="str">
        <f>""</f>
        <v/>
      </c>
    </row>
    <row r="368" spans="1:13" ht="15.75">
      <c r="A368">
        <v>2014</v>
      </c>
      <c r="B368" s="777">
        <v>41974</v>
      </c>
      <c r="C368" s="730">
        <v>0.44722222222222224</v>
      </c>
      <c r="D368" s="777">
        <v>41974</v>
      </c>
      <c r="E368" s="730">
        <v>0.44791666666666669</v>
      </c>
      <c r="F368" s="558" t="s">
        <v>2736</v>
      </c>
      <c r="G368" s="558" t="s">
        <v>63</v>
      </c>
      <c r="H368" s="558" t="s">
        <v>5873</v>
      </c>
      <c r="I368" s="679" t="s">
        <v>2719</v>
      </c>
      <c r="J368" s="676" t="s">
        <v>5873</v>
      </c>
      <c r="K368" s="676" t="s">
        <v>5873</v>
      </c>
      <c r="M368" t="str">
        <f>""</f>
        <v/>
      </c>
    </row>
    <row r="369" spans="1:13" ht="15.75">
      <c r="A369">
        <v>2014</v>
      </c>
      <c r="B369" s="777">
        <v>41976</v>
      </c>
      <c r="C369" s="730">
        <v>0.51041666666666663</v>
      </c>
      <c r="D369" s="777">
        <v>41976</v>
      </c>
      <c r="E369" s="730">
        <v>0.51111111111111107</v>
      </c>
      <c r="F369" s="558" t="s">
        <v>2079</v>
      </c>
      <c r="G369" s="558" t="s">
        <v>61</v>
      </c>
      <c r="H369" s="558" t="s">
        <v>5873</v>
      </c>
      <c r="I369" s="679" t="s">
        <v>2719</v>
      </c>
      <c r="J369" s="676" t="s">
        <v>5873</v>
      </c>
      <c r="K369" s="676" t="s">
        <v>5873</v>
      </c>
      <c r="M369" t="str">
        <f>""</f>
        <v/>
      </c>
    </row>
    <row r="370" spans="1:13" ht="15.75">
      <c r="A370">
        <v>2014</v>
      </c>
      <c r="B370" s="777">
        <v>41984</v>
      </c>
      <c r="C370" s="730">
        <v>0.27777777777777779</v>
      </c>
      <c r="D370" s="777" t="s">
        <v>5873</v>
      </c>
      <c r="E370" s="730" t="s">
        <v>5873</v>
      </c>
      <c r="F370" s="558" t="s">
        <v>141</v>
      </c>
      <c r="G370" s="558" t="s">
        <v>124</v>
      </c>
      <c r="H370" s="558" t="s">
        <v>5873</v>
      </c>
      <c r="I370" s="679" t="s">
        <v>2737</v>
      </c>
      <c r="J370" s="676" t="s">
        <v>5873</v>
      </c>
      <c r="K370" s="676" t="s">
        <v>5873</v>
      </c>
      <c r="M370" t="str">
        <f>""</f>
        <v/>
      </c>
    </row>
    <row r="371" spans="1:13" ht="15.75">
      <c r="A371">
        <v>2014</v>
      </c>
      <c r="B371" s="777">
        <v>41984</v>
      </c>
      <c r="C371" s="730">
        <v>0.96875</v>
      </c>
      <c r="D371" s="777" t="s">
        <v>5873</v>
      </c>
      <c r="E371" s="730" t="s">
        <v>5873</v>
      </c>
      <c r="F371" s="558" t="s">
        <v>141</v>
      </c>
      <c r="G371" s="558" t="s">
        <v>124</v>
      </c>
      <c r="H371" s="558" t="s">
        <v>5873</v>
      </c>
      <c r="I371" s="679" t="s">
        <v>2737</v>
      </c>
      <c r="J371" s="676" t="s">
        <v>5873</v>
      </c>
      <c r="K371" s="676" t="s">
        <v>5873</v>
      </c>
      <c r="M371" t="str">
        <f>""</f>
        <v/>
      </c>
    </row>
    <row r="372" spans="1:13" ht="15.75">
      <c r="A372">
        <v>2014</v>
      </c>
      <c r="B372" s="777">
        <v>41990</v>
      </c>
      <c r="C372" s="730">
        <v>0.45833333333333331</v>
      </c>
      <c r="D372" s="777">
        <v>41990</v>
      </c>
      <c r="E372" s="730">
        <v>0.51041666666666663</v>
      </c>
      <c r="F372" s="558" t="s">
        <v>2575</v>
      </c>
      <c r="G372" s="558" t="s">
        <v>124</v>
      </c>
      <c r="H372" s="558" t="s">
        <v>5873</v>
      </c>
      <c r="I372" s="679" t="s">
        <v>2150</v>
      </c>
      <c r="J372" s="676" t="s">
        <v>5873</v>
      </c>
      <c r="K372" s="676" t="s">
        <v>5873</v>
      </c>
      <c r="M372" t="str">
        <f>""</f>
        <v/>
      </c>
    </row>
    <row r="373" spans="1:13" ht="15.75">
      <c r="A373">
        <v>2014</v>
      </c>
      <c r="B373" s="777">
        <v>42003</v>
      </c>
      <c r="C373" s="730">
        <v>0.65972222222222221</v>
      </c>
      <c r="D373" s="777">
        <v>42004</v>
      </c>
      <c r="E373" s="730">
        <v>0.45833333333333331</v>
      </c>
      <c r="F373" s="558" t="s">
        <v>2735</v>
      </c>
      <c r="G373" s="558" t="s">
        <v>61</v>
      </c>
      <c r="H373" s="558" t="s">
        <v>5873</v>
      </c>
      <c r="I373" s="679" t="s">
        <v>2139</v>
      </c>
      <c r="J373" s="676" t="s">
        <v>5873</v>
      </c>
      <c r="K373" s="676" t="s">
        <v>5873</v>
      </c>
      <c r="M373" t="str">
        <f>""</f>
        <v/>
      </c>
    </row>
    <row r="374" spans="1:13" ht="15.75">
      <c r="A374">
        <v>2015</v>
      </c>
      <c r="B374" s="777">
        <v>42011</v>
      </c>
      <c r="C374" s="730">
        <v>0.70833333333333337</v>
      </c>
      <c r="D374" s="777">
        <v>42012</v>
      </c>
      <c r="E374" s="730">
        <v>0.3576388888888889</v>
      </c>
      <c r="F374" s="558" t="s">
        <v>2650</v>
      </c>
      <c r="G374" s="558" t="s">
        <v>63</v>
      </c>
      <c r="H374" s="558" t="s">
        <v>2744</v>
      </c>
      <c r="I374" s="679" t="s">
        <v>2745</v>
      </c>
      <c r="J374" s="676" t="s">
        <v>5873</v>
      </c>
      <c r="K374" s="676" t="s">
        <v>5873</v>
      </c>
      <c r="M374" t="str">
        <f>""</f>
        <v/>
      </c>
    </row>
    <row r="375" spans="1:13" ht="15.75">
      <c r="A375">
        <v>2015</v>
      </c>
      <c r="B375" s="777">
        <v>42011</v>
      </c>
      <c r="C375" s="730">
        <v>0.70833333333333337</v>
      </c>
      <c r="D375" s="777">
        <v>42012</v>
      </c>
      <c r="E375" s="730">
        <v>0.3576388888888889</v>
      </c>
      <c r="F375" s="558" t="s">
        <v>2746</v>
      </c>
      <c r="G375" s="558" t="s">
        <v>63</v>
      </c>
      <c r="H375" s="558" t="s">
        <v>2744</v>
      </c>
      <c r="I375" s="679" t="s">
        <v>2745</v>
      </c>
      <c r="J375" s="676" t="s">
        <v>5873</v>
      </c>
      <c r="K375" s="676" t="s">
        <v>5873</v>
      </c>
      <c r="M375" t="str">
        <f>""</f>
        <v/>
      </c>
    </row>
    <row r="376" spans="1:13" ht="15.75">
      <c r="A376">
        <v>2015</v>
      </c>
      <c r="B376" s="777">
        <v>42026</v>
      </c>
      <c r="C376" s="730">
        <v>0.18333333333333332</v>
      </c>
      <c r="D376" s="777">
        <v>42026</v>
      </c>
      <c r="E376" s="730">
        <v>0.24652777777777779</v>
      </c>
      <c r="F376" s="558" t="s">
        <v>2531</v>
      </c>
      <c r="G376" s="558" t="s">
        <v>124</v>
      </c>
      <c r="H376" s="558" t="s">
        <v>2150</v>
      </c>
      <c r="I376" s="679" t="s">
        <v>100</v>
      </c>
      <c r="J376" s="676" t="s">
        <v>5873</v>
      </c>
      <c r="K376" s="676" t="s">
        <v>5873</v>
      </c>
      <c r="M376" t="str">
        <f>""</f>
        <v/>
      </c>
    </row>
    <row r="377" spans="1:13" ht="15.75">
      <c r="A377">
        <v>2015</v>
      </c>
      <c r="B377" s="777">
        <v>42030</v>
      </c>
      <c r="C377" s="730">
        <v>0.61041666666666672</v>
      </c>
      <c r="D377" s="777">
        <v>42030</v>
      </c>
      <c r="E377" s="730">
        <v>0.61111111111111116</v>
      </c>
      <c r="F377" s="558" t="s">
        <v>2718</v>
      </c>
      <c r="G377" s="558" t="s">
        <v>124</v>
      </c>
      <c r="H377" s="558" t="s">
        <v>2150</v>
      </c>
      <c r="I377" s="679" t="s">
        <v>100</v>
      </c>
      <c r="J377" s="676" t="s">
        <v>5873</v>
      </c>
      <c r="K377" s="676" t="s">
        <v>5873</v>
      </c>
      <c r="M377" t="str">
        <f>""</f>
        <v/>
      </c>
    </row>
    <row r="378" spans="1:13" ht="15.75">
      <c r="A378">
        <v>2015</v>
      </c>
      <c r="B378" s="777">
        <v>42036</v>
      </c>
      <c r="C378" s="730">
        <v>0.47499999999999998</v>
      </c>
      <c r="D378" s="777">
        <v>42036</v>
      </c>
      <c r="E378" s="730">
        <v>0.48888888888888887</v>
      </c>
      <c r="F378" s="558" t="s">
        <v>2748</v>
      </c>
      <c r="G378" s="558" t="s">
        <v>124</v>
      </c>
      <c r="H378" s="558" t="s">
        <v>2150</v>
      </c>
      <c r="I378" s="679" t="s">
        <v>100</v>
      </c>
      <c r="J378" s="676" t="s">
        <v>5873</v>
      </c>
      <c r="K378" s="676" t="s">
        <v>5873</v>
      </c>
      <c r="M378" t="str">
        <f>""</f>
        <v/>
      </c>
    </row>
    <row r="379" spans="1:13" ht="15.75">
      <c r="A379">
        <v>2015</v>
      </c>
      <c r="B379" s="777">
        <v>42037</v>
      </c>
      <c r="C379" s="730">
        <v>0.40277777777777779</v>
      </c>
      <c r="D379" s="777">
        <v>42037</v>
      </c>
      <c r="E379" s="730">
        <v>0.40347222222222223</v>
      </c>
      <c r="F379" s="558" t="s">
        <v>2749</v>
      </c>
      <c r="G379" s="558" t="s">
        <v>1352</v>
      </c>
      <c r="H379" s="558" t="s">
        <v>2150</v>
      </c>
      <c r="I379" s="679" t="s">
        <v>2343</v>
      </c>
      <c r="J379" s="676" t="s">
        <v>5873</v>
      </c>
      <c r="K379" s="676" t="s">
        <v>5873</v>
      </c>
      <c r="M379" t="str">
        <f>""</f>
        <v/>
      </c>
    </row>
    <row r="380" spans="1:13" ht="15.75">
      <c r="A380">
        <v>2015</v>
      </c>
      <c r="B380" s="777">
        <v>42039</v>
      </c>
      <c r="C380" s="730">
        <v>0.49652777777777779</v>
      </c>
      <c r="D380" s="777">
        <v>42039</v>
      </c>
      <c r="E380" s="730">
        <v>0.49722222222222223</v>
      </c>
      <c r="F380" s="558" t="s">
        <v>2750</v>
      </c>
      <c r="G380" s="558" t="s">
        <v>124</v>
      </c>
      <c r="H380" s="558" t="s">
        <v>2150</v>
      </c>
      <c r="I380" s="679" t="s">
        <v>100</v>
      </c>
      <c r="J380" s="676" t="s">
        <v>5873</v>
      </c>
      <c r="K380" s="676" t="s">
        <v>5873</v>
      </c>
      <c r="M380" t="str">
        <f>""</f>
        <v/>
      </c>
    </row>
    <row r="381" spans="1:13" ht="15.75">
      <c r="A381">
        <v>2015</v>
      </c>
      <c r="B381" s="777">
        <v>42040</v>
      </c>
      <c r="C381" s="730">
        <v>0.34375</v>
      </c>
      <c r="D381" s="777">
        <v>42040</v>
      </c>
      <c r="E381" s="730">
        <v>0.34513888888888888</v>
      </c>
      <c r="F381" s="558" t="s">
        <v>2751</v>
      </c>
      <c r="G381" s="558" t="s">
        <v>124</v>
      </c>
      <c r="H381" s="558" t="s">
        <v>2150</v>
      </c>
      <c r="I381" s="679" t="s">
        <v>100</v>
      </c>
      <c r="J381" s="676" t="s">
        <v>5873</v>
      </c>
      <c r="K381" s="676" t="s">
        <v>5873</v>
      </c>
      <c r="M381" t="str">
        <f>""</f>
        <v/>
      </c>
    </row>
    <row r="382" spans="1:13" ht="15.75">
      <c r="A382">
        <v>2015</v>
      </c>
      <c r="B382" s="777">
        <v>42040</v>
      </c>
      <c r="C382" s="730">
        <v>0.47222222222222221</v>
      </c>
      <c r="D382" s="777">
        <v>42040</v>
      </c>
      <c r="E382" s="730">
        <v>0.47291666666666665</v>
      </c>
      <c r="F382" s="558" t="s">
        <v>2752</v>
      </c>
      <c r="G382" s="558" t="s">
        <v>124</v>
      </c>
      <c r="H382" s="558" t="s">
        <v>2150</v>
      </c>
      <c r="I382" s="679" t="s">
        <v>100</v>
      </c>
      <c r="J382" s="676" t="s">
        <v>5873</v>
      </c>
      <c r="K382" s="676" t="s">
        <v>5873</v>
      </c>
      <c r="M382" t="str">
        <f>""</f>
        <v/>
      </c>
    </row>
    <row r="383" spans="1:13" ht="15.75">
      <c r="A383">
        <v>2015</v>
      </c>
      <c r="B383" s="777">
        <v>42044</v>
      </c>
      <c r="C383" s="730">
        <v>0.47916666666666669</v>
      </c>
      <c r="D383" s="777">
        <v>42044</v>
      </c>
      <c r="E383" s="730">
        <v>0.55208333333333337</v>
      </c>
      <c r="F383" s="558" t="s">
        <v>2518</v>
      </c>
      <c r="G383" s="558" t="s">
        <v>124</v>
      </c>
      <c r="H383" s="558" t="s">
        <v>2150</v>
      </c>
      <c r="I383" s="679" t="s">
        <v>2343</v>
      </c>
      <c r="J383" s="676" t="s">
        <v>5873</v>
      </c>
      <c r="K383" s="676" t="s">
        <v>5873</v>
      </c>
      <c r="M383" t="str">
        <f>""</f>
        <v/>
      </c>
    </row>
    <row r="384" spans="1:13" ht="15.75">
      <c r="A384">
        <v>2015</v>
      </c>
      <c r="B384" s="777">
        <v>42052</v>
      </c>
      <c r="C384" s="730">
        <v>0.2638888888888889</v>
      </c>
      <c r="D384" s="777">
        <v>42052</v>
      </c>
      <c r="E384" s="730">
        <v>0.3125</v>
      </c>
      <c r="F384" s="558" t="s">
        <v>2755</v>
      </c>
      <c r="G384" s="558" t="s">
        <v>124</v>
      </c>
      <c r="H384" s="558" t="s">
        <v>2150</v>
      </c>
      <c r="I384" s="679" t="s">
        <v>100</v>
      </c>
      <c r="J384" s="676" t="s">
        <v>5873</v>
      </c>
      <c r="K384" s="676" t="s">
        <v>5873</v>
      </c>
      <c r="M384" t="str">
        <f>""</f>
        <v/>
      </c>
    </row>
    <row r="385" spans="1:13" ht="15.75">
      <c r="A385">
        <v>2015</v>
      </c>
      <c r="B385" s="777">
        <v>42053</v>
      </c>
      <c r="C385" s="730">
        <v>0.625</v>
      </c>
      <c r="D385" s="777">
        <v>42055</v>
      </c>
      <c r="E385" s="730">
        <v>0.375</v>
      </c>
      <c r="F385" s="558" t="s">
        <v>2746</v>
      </c>
      <c r="G385" s="558" t="s">
        <v>63</v>
      </c>
      <c r="H385" s="558" t="s">
        <v>2744</v>
      </c>
      <c r="I385" s="679" t="s">
        <v>2745</v>
      </c>
      <c r="J385" s="676" t="s">
        <v>5873</v>
      </c>
      <c r="K385" s="676" t="s">
        <v>5873</v>
      </c>
      <c r="M385" t="str">
        <f>""</f>
        <v/>
      </c>
    </row>
    <row r="386" spans="1:13" ht="15.75">
      <c r="A386">
        <v>2015</v>
      </c>
      <c r="B386" s="777">
        <v>42054</v>
      </c>
      <c r="C386" s="730">
        <v>0.60416666666666663</v>
      </c>
      <c r="D386" s="777">
        <v>42054</v>
      </c>
      <c r="E386" s="730">
        <v>0.63888888888888884</v>
      </c>
      <c r="F386" s="558" t="s">
        <v>2756</v>
      </c>
      <c r="G386" s="558" t="s">
        <v>124</v>
      </c>
      <c r="H386" s="558" t="s">
        <v>2150</v>
      </c>
      <c r="I386" s="679" t="s">
        <v>100</v>
      </c>
      <c r="J386" s="676" t="s">
        <v>5873</v>
      </c>
      <c r="K386" s="676" t="s">
        <v>5873</v>
      </c>
      <c r="M386" t="str">
        <f>""</f>
        <v/>
      </c>
    </row>
    <row r="387" spans="1:13" ht="15.75">
      <c r="A387">
        <v>2015</v>
      </c>
      <c r="B387" s="777">
        <v>42055</v>
      </c>
      <c r="C387" s="730">
        <v>0.25</v>
      </c>
      <c r="D387" s="777">
        <v>42055</v>
      </c>
      <c r="E387" s="730">
        <v>0.41666666666666669</v>
      </c>
      <c r="F387" s="558" t="s">
        <v>2169</v>
      </c>
      <c r="G387" s="558" t="s">
        <v>63</v>
      </c>
      <c r="H387" s="558" t="s">
        <v>2622</v>
      </c>
      <c r="I387" s="679" t="s">
        <v>2745</v>
      </c>
      <c r="J387" s="676" t="s">
        <v>5873</v>
      </c>
      <c r="K387" s="676" t="s">
        <v>5873</v>
      </c>
      <c r="M387" t="str">
        <f>""</f>
        <v/>
      </c>
    </row>
    <row r="388" spans="1:13" ht="15.75">
      <c r="A388">
        <v>2015</v>
      </c>
      <c r="B388" s="777">
        <v>42067</v>
      </c>
      <c r="C388" s="730">
        <v>0.37847222222222221</v>
      </c>
      <c r="D388" s="777">
        <v>42067</v>
      </c>
      <c r="E388" s="730">
        <v>0.59375</v>
      </c>
      <c r="F388" s="558" t="s">
        <v>2759</v>
      </c>
      <c r="G388" s="558" t="s">
        <v>63</v>
      </c>
      <c r="H388" s="558" t="s">
        <v>2150</v>
      </c>
      <c r="I388" s="679" t="s">
        <v>100</v>
      </c>
      <c r="J388" s="676" t="s">
        <v>5873</v>
      </c>
      <c r="K388" s="676" t="s">
        <v>5873</v>
      </c>
      <c r="M388" t="str">
        <f>""</f>
        <v/>
      </c>
    </row>
    <row r="389" spans="1:13" ht="15.75">
      <c r="A389">
        <v>2015</v>
      </c>
      <c r="B389" s="777">
        <v>42072</v>
      </c>
      <c r="C389" s="730">
        <v>0.99305555555555558</v>
      </c>
      <c r="D389" s="777">
        <v>42073</v>
      </c>
      <c r="E389" s="730">
        <v>0.45347222222222222</v>
      </c>
      <c r="F389" s="558" t="s">
        <v>2575</v>
      </c>
      <c r="G389" s="558" t="s">
        <v>124</v>
      </c>
      <c r="H389" s="558" t="s">
        <v>2150</v>
      </c>
      <c r="I389" s="679" t="s">
        <v>100</v>
      </c>
      <c r="J389" s="676" t="s">
        <v>5873</v>
      </c>
      <c r="K389" s="676" t="s">
        <v>5873</v>
      </c>
      <c r="M389" t="str">
        <f>""</f>
        <v/>
      </c>
    </row>
    <row r="390" spans="1:13" ht="15.75">
      <c r="A390">
        <v>2015</v>
      </c>
      <c r="B390" s="777">
        <v>42082</v>
      </c>
      <c r="C390" s="730">
        <v>0.77083333333333337</v>
      </c>
      <c r="D390" s="777">
        <v>42082</v>
      </c>
      <c r="E390" s="730">
        <v>0.90069444444444446</v>
      </c>
      <c r="F390" s="558" t="s">
        <v>2235</v>
      </c>
      <c r="G390" s="558" t="s">
        <v>58</v>
      </c>
      <c r="H390" s="558" t="s">
        <v>2150</v>
      </c>
      <c r="I390" s="679" t="s">
        <v>100</v>
      </c>
      <c r="J390" s="676" t="s">
        <v>5873</v>
      </c>
      <c r="K390" s="676" t="s">
        <v>5873</v>
      </c>
      <c r="M390" t="str">
        <f>""</f>
        <v/>
      </c>
    </row>
    <row r="391" spans="1:13" ht="15.75">
      <c r="A391">
        <v>2015</v>
      </c>
      <c r="B391" s="777">
        <v>42089</v>
      </c>
      <c r="C391" s="730">
        <v>0.63958333333333328</v>
      </c>
      <c r="D391" s="777">
        <v>42089</v>
      </c>
      <c r="E391" s="730">
        <v>0.70763888888888893</v>
      </c>
      <c r="F391" s="558" t="s">
        <v>2762</v>
      </c>
      <c r="G391" s="558" t="s">
        <v>124</v>
      </c>
      <c r="H391" s="558" t="s">
        <v>2763</v>
      </c>
      <c r="I391" s="679" t="s">
        <v>2764</v>
      </c>
      <c r="J391" s="676">
        <v>15</v>
      </c>
      <c r="K391" s="676" t="s">
        <v>5873</v>
      </c>
      <c r="M391" t="str">
        <f>""</f>
        <v/>
      </c>
    </row>
    <row r="392" spans="1:13" ht="15.75">
      <c r="A392">
        <v>2015</v>
      </c>
      <c r="B392" s="777">
        <v>42092</v>
      </c>
      <c r="C392" s="730">
        <v>0.18472222222222223</v>
      </c>
      <c r="D392" s="777">
        <v>42092</v>
      </c>
      <c r="E392" s="730">
        <v>0.38958333333333334</v>
      </c>
      <c r="F392" s="558" t="s">
        <v>18</v>
      </c>
      <c r="G392" s="558" t="s">
        <v>124</v>
      </c>
      <c r="H392" s="558" t="s">
        <v>2150</v>
      </c>
      <c r="I392" s="679" t="s">
        <v>100</v>
      </c>
      <c r="J392" s="676" t="s">
        <v>5873</v>
      </c>
      <c r="K392" s="676" t="s">
        <v>5873</v>
      </c>
      <c r="M392" t="str">
        <f>""</f>
        <v/>
      </c>
    </row>
    <row r="393" spans="1:13" ht="15.75">
      <c r="A393">
        <v>2015</v>
      </c>
      <c r="B393" s="777">
        <v>42101</v>
      </c>
      <c r="C393" s="730">
        <v>0.52083333333333337</v>
      </c>
      <c r="D393" s="777">
        <v>42101</v>
      </c>
      <c r="E393" s="730">
        <v>0.7319444444444444</v>
      </c>
      <c r="F393" s="558" t="s">
        <v>5877</v>
      </c>
      <c r="G393" s="558" t="s">
        <v>826</v>
      </c>
      <c r="H393" s="558" t="s">
        <v>2769</v>
      </c>
      <c r="I393" s="679" t="s">
        <v>2764</v>
      </c>
      <c r="J393" s="676" t="s">
        <v>5873</v>
      </c>
      <c r="K393" s="676" t="s">
        <v>5873</v>
      </c>
      <c r="M393" t="str">
        <f>""</f>
        <v/>
      </c>
    </row>
    <row r="394" spans="1:13" ht="15.75">
      <c r="A394">
        <v>2015</v>
      </c>
      <c r="B394" s="777">
        <v>42111</v>
      </c>
      <c r="C394" s="730">
        <v>0.38611111111111113</v>
      </c>
      <c r="D394" s="777">
        <v>42111</v>
      </c>
      <c r="E394" s="730">
        <v>0.45833333333333331</v>
      </c>
      <c r="F394" s="558" t="s">
        <v>2770</v>
      </c>
      <c r="G394" s="558" t="s">
        <v>124</v>
      </c>
      <c r="H394" s="558" t="s">
        <v>2763</v>
      </c>
      <c r="I394" s="679" t="s">
        <v>2764</v>
      </c>
      <c r="J394" s="676">
        <v>9300</v>
      </c>
      <c r="K394" s="676" t="s">
        <v>5873</v>
      </c>
      <c r="M394" t="str">
        <f>""</f>
        <v/>
      </c>
    </row>
    <row r="395" spans="1:13" ht="15.75">
      <c r="A395">
        <v>2015</v>
      </c>
      <c r="B395" s="777">
        <v>42128</v>
      </c>
      <c r="C395" s="730">
        <v>0.64236111111111116</v>
      </c>
      <c r="D395" s="777">
        <v>42128</v>
      </c>
      <c r="E395" s="730">
        <v>0.6430555555555556</v>
      </c>
      <c r="F395" s="558" t="s">
        <v>2300</v>
      </c>
      <c r="G395" s="558" t="s">
        <v>124</v>
      </c>
      <c r="H395" s="558" t="s">
        <v>2150</v>
      </c>
      <c r="I395" s="679" t="s">
        <v>100</v>
      </c>
      <c r="J395" s="676" t="s">
        <v>5873</v>
      </c>
      <c r="K395" s="676" t="s">
        <v>5873</v>
      </c>
      <c r="M395" t="str">
        <f>""</f>
        <v/>
      </c>
    </row>
    <row r="396" spans="1:13" ht="15.75">
      <c r="A396">
        <v>2015</v>
      </c>
      <c r="B396" s="777">
        <v>42158</v>
      </c>
      <c r="C396" s="730">
        <v>0.625</v>
      </c>
      <c r="D396" s="777">
        <v>42160</v>
      </c>
      <c r="E396" s="730">
        <v>0.70833333333333337</v>
      </c>
      <c r="F396" s="558" t="s">
        <v>166</v>
      </c>
      <c r="G396" s="558" t="s">
        <v>1352</v>
      </c>
      <c r="H396" s="558" t="s">
        <v>2744</v>
      </c>
      <c r="I396" s="679" t="s">
        <v>2764</v>
      </c>
      <c r="J396" s="676" t="s">
        <v>5873</v>
      </c>
      <c r="K396" s="676" t="s">
        <v>5873</v>
      </c>
      <c r="M396" t="str">
        <f>""</f>
        <v/>
      </c>
    </row>
    <row r="397" spans="1:13" ht="15.75">
      <c r="A397">
        <v>2015</v>
      </c>
      <c r="B397" s="777">
        <v>42162</v>
      </c>
      <c r="C397" s="730">
        <v>0.57916666666666672</v>
      </c>
      <c r="D397" s="777">
        <v>42162</v>
      </c>
      <c r="E397" s="730">
        <v>0.59236111111111112</v>
      </c>
      <c r="F397" s="558" t="s">
        <v>2164</v>
      </c>
      <c r="G397" s="558" t="s">
        <v>63</v>
      </c>
      <c r="H397" s="558" t="s">
        <v>2779</v>
      </c>
      <c r="I397" s="679" t="s">
        <v>2764</v>
      </c>
      <c r="J397" s="676">
        <v>926</v>
      </c>
      <c r="K397" s="676" t="s">
        <v>5873</v>
      </c>
      <c r="M397" t="str">
        <f>""</f>
        <v/>
      </c>
    </row>
    <row r="398" spans="1:13" ht="15.75">
      <c r="A398">
        <v>2015</v>
      </c>
      <c r="B398" s="777">
        <v>42162</v>
      </c>
      <c r="C398" s="730">
        <v>0.57777777777777772</v>
      </c>
      <c r="D398" s="777">
        <v>42162</v>
      </c>
      <c r="E398" s="730">
        <v>0.59236111111111112</v>
      </c>
      <c r="F398" s="558" t="s">
        <v>2650</v>
      </c>
      <c r="G398" s="558" t="s">
        <v>63</v>
      </c>
      <c r="H398" s="558" t="s">
        <v>2769</v>
      </c>
      <c r="I398" s="679" t="s">
        <v>2764</v>
      </c>
      <c r="J398" s="676" t="s">
        <v>5873</v>
      </c>
      <c r="K398" s="676" t="s">
        <v>5873</v>
      </c>
      <c r="M398" t="str">
        <f>""</f>
        <v/>
      </c>
    </row>
    <row r="399" spans="1:13" ht="15.75">
      <c r="A399">
        <v>2015</v>
      </c>
      <c r="B399" s="777">
        <v>42163</v>
      </c>
      <c r="C399" s="730">
        <v>0</v>
      </c>
      <c r="D399" s="777" t="s">
        <v>5873</v>
      </c>
      <c r="E399" s="730" t="s">
        <v>5873</v>
      </c>
      <c r="F399" s="558" t="s">
        <v>2507</v>
      </c>
      <c r="G399" s="558" t="s">
        <v>124</v>
      </c>
      <c r="H399" s="558" t="s">
        <v>2780</v>
      </c>
      <c r="I399" s="679" t="s">
        <v>2764</v>
      </c>
      <c r="J399" s="676">
        <v>176</v>
      </c>
      <c r="K399" s="676" t="s">
        <v>5873</v>
      </c>
      <c r="M399" t="str">
        <f>""</f>
        <v/>
      </c>
    </row>
    <row r="400" spans="1:13" ht="15.75">
      <c r="A400">
        <v>2015</v>
      </c>
      <c r="B400" s="777">
        <v>42185</v>
      </c>
      <c r="C400" s="730">
        <v>0.58333333333333337</v>
      </c>
      <c r="D400" s="777">
        <v>42185</v>
      </c>
      <c r="E400" s="730">
        <v>0.875</v>
      </c>
      <c r="F400" s="558" t="s">
        <v>18</v>
      </c>
      <c r="G400" s="558" t="s">
        <v>124</v>
      </c>
      <c r="H400" s="558" t="s">
        <v>2744</v>
      </c>
      <c r="I400" s="679" t="s">
        <v>22</v>
      </c>
      <c r="J400" s="676" t="s">
        <v>5873</v>
      </c>
      <c r="K400" s="676" t="s">
        <v>5873</v>
      </c>
      <c r="M400" t="str">
        <f>""</f>
        <v/>
      </c>
    </row>
    <row r="401" spans="1:13" ht="15.75">
      <c r="A401">
        <v>2015</v>
      </c>
      <c r="B401" s="777">
        <v>42185</v>
      </c>
      <c r="C401" s="730">
        <v>0.4513888888888889</v>
      </c>
      <c r="D401" s="777">
        <v>42186</v>
      </c>
      <c r="E401" s="730">
        <v>0.875</v>
      </c>
      <c r="F401" s="558" t="s">
        <v>18</v>
      </c>
      <c r="G401" s="558" t="s">
        <v>124</v>
      </c>
      <c r="H401" s="558" t="s">
        <v>2744</v>
      </c>
      <c r="I401" s="679" t="s">
        <v>22</v>
      </c>
      <c r="J401" s="676" t="s">
        <v>5873</v>
      </c>
      <c r="K401" s="676" t="s">
        <v>5873</v>
      </c>
      <c r="M401" t="str">
        <f>""</f>
        <v/>
      </c>
    </row>
    <row r="402" spans="1:13" ht="15.75">
      <c r="A402">
        <v>2015</v>
      </c>
      <c r="B402" s="777">
        <v>42199</v>
      </c>
      <c r="C402" s="730">
        <v>0.64513888888888893</v>
      </c>
      <c r="D402" s="777">
        <v>42200</v>
      </c>
      <c r="E402" s="730">
        <v>0.49652777777777779</v>
      </c>
      <c r="F402" s="558" t="s">
        <v>48</v>
      </c>
      <c r="G402" s="558" t="s">
        <v>58</v>
      </c>
      <c r="H402" s="558" t="s">
        <v>2769</v>
      </c>
      <c r="I402" s="679" t="s">
        <v>22</v>
      </c>
      <c r="J402" s="676" t="s">
        <v>5873</v>
      </c>
      <c r="K402" s="676" t="s">
        <v>5873</v>
      </c>
      <c r="M402" t="str">
        <f>""</f>
        <v/>
      </c>
    </row>
    <row r="403" spans="1:13" ht="15.75">
      <c r="A403">
        <v>2015</v>
      </c>
      <c r="B403" s="777">
        <v>42206</v>
      </c>
      <c r="C403" s="730">
        <v>0.53263888888888888</v>
      </c>
      <c r="D403" s="777">
        <v>42206</v>
      </c>
      <c r="E403" s="730">
        <v>0.55000000000000004</v>
      </c>
      <c r="F403" s="558" t="s">
        <v>2575</v>
      </c>
      <c r="G403" s="558" t="s">
        <v>124</v>
      </c>
      <c r="H403" s="558" t="s">
        <v>2791</v>
      </c>
      <c r="I403" s="679" t="s">
        <v>2764</v>
      </c>
      <c r="J403" s="676">
        <v>200</v>
      </c>
      <c r="K403" s="676" t="s">
        <v>5873</v>
      </c>
      <c r="M403" t="str">
        <f>""</f>
        <v/>
      </c>
    </row>
    <row r="404" spans="1:13" ht="15.75">
      <c r="A404">
        <v>2015</v>
      </c>
      <c r="B404" s="777">
        <v>42213</v>
      </c>
      <c r="C404" s="730">
        <v>0.50347222222222221</v>
      </c>
      <c r="D404" s="777">
        <v>42213</v>
      </c>
      <c r="E404" s="730">
        <v>0.5180555555555556</v>
      </c>
      <c r="F404" s="558" t="s">
        <v>2271</v>
      </c>
      <c r="G404" s="558" t="s">
        <v>5873</v>
      </c>
      <c r="H404" s="558" t="s">
        <v>2622</v>
      </c>
      <c r="I404" s="679" t="s">
        <v>2764</v>
      </c>
      <c r="J404" s="676">
        <v>150</v>
      </c>
      <c r="K404" s="676" t="s">
        <v>5873</v>
      </c>
      <c r="M404" t="str">
        <f>""</f>
        <v/>
      </c>
    </row>
    <row r="405" spans="1:13" ht="15.75">
      <c r="A405">
        <v>2015</v>
      </c>
      <c r="B405" s="777">
        <v>42215</v>
      </c>
      <c r="C405" s="730">
        <v>0.40972222222222221</v>
      </c>
      <c r="D405" s="777">
        <v>42215</v>
      </c>
      <c r="E405" s="730">
        <v>0.79166666666666663</v>
      </c>
      <c r="F405" s="558" t="s">
        <v>166</v>
      </c>
      <c r="G405" s="558" t="s">
        <v>1352</v>
      </c>
      <c r="H405" s="558" t="s">
        <v>2744</v>
      </c>
      <c r="I405" s="679" t="s">
        <v>2764</v>
      </c>
      <c r="J405" s="676" t="s">
        <v>5873</v>
      </c>
      <c r="K405" s="676" t="s">
        <v>5873</v>
      </c>
      <c r="M405" t="str">
        <f>""</f>
        <v/>
      </c>
    </row>
    <row r="406" spans="1:13" ht="15.75">
      <c r="A406">
        <v>2015</v>
      </c>
      <c r="B406" s="777">
        <v>42219</v>
      </c>
      <c r="C406" s="730">
        <v>0.35208333333333336</v>
      </c>
      <c r="D406" s="777">
        <v>42220</v>
      </c>
      <c r="E406" s="730">
        <v>5.4166666666666669E-2</v>
      </c>
      <c r="F406" s="558" t="s">
        <v>2794</v>
      </c>
      <c r="G406" s="558" t="s">
        <v>124</v>
      </c>
      <c r="H406" s="558" t="s">
        <v>2150</v>
      </c>
      <c r="I406" s="679" t="s">
        <v>2343</v>
      </c>
      <c r="J406" s="676">
        <v>0</v>
      </c>
      <c r="K406" s="676" t="s">
        <v>5873</v>
      </c>
      <c r="M406" t="str">
        <f>""</f>
        <v/>
      </c>
    </row>
    <row r="407" spans="1:13" ht="15.75">
      <c r="A407">
        <v>2015</v>
      </c>
      <c r="B407" s="777">
        <v>42229</v>
      </c>
      <c r="C407" s="730">
        <v>0.63541666666666663</v>
      </c>
      <c r="D407" s="777">
        <v>42229</v>
      </c>
      <c r="E407" s="730">
        <v>0.79166666666666663</v>
      </c>
      <c r="F407" s="558" t="s">
        <v>2797</v>
      </c>
      <c r="G407" s="558" t="s">
        <v>1352</v>
      </c>
      <c r="H407" s="558" t="s">
        <v>2744</v>
      </c>
      <c r="I407" s="679" t="s">
        <v>2798</v>
      </c>
      <c r="J407" s="676" t="s">
        <v>5873</v>
      </c>
      <c r="K407" s="676" t="s">
        <v>5873</v>
      </c>
      <c r="M407" t="str">
        <f>""</f>
        <v/>
      </c>
    </row>
    <row r="408" spans="1:13" ht="15.75">
      <c r="A408">
        <v>2015</v>
      </c>
      <c r="B408" s="777">
        <v>42243</v>
      </c>
      <c r="C408" s="730">
        <v>0.91041666666666665</v>
      </c>
      <c r="D408" s="777">
        <v>42244</v>
      </c>
      <c r="E408" s="730">
        <v>0.75</v>
      </c>
      <c r="F408" s="558" t="s">
        <v>2271</v>
      </c>
      <c r="G408" s="558" t="s">
        <v>124</v>
      </c>
      <c r="H408" s="558" t="s">
        <v>2799</v>
      </c>
      <c r="I408" s="679" t="s">
        <v>2764</v>
      </c>
      <c r="J408" s="676">
        <v>360</v>
      </c>
      <c r="K408" s="676" t="s">
        <v>5873</v>
      </c>
      <c r="M408" t="str">
        <f>""</f>
        <v/>
      </c>
    </row>
    <row r="409" spans="1:13" ht="15.75">
      <c r="A409">
        <v>2015</v>
      </c>
      <c r="B409" s="777">
        <v>42267</v>
      </c>
      <c r="C409" s="730">
        <v>0.55000000000000004</v>
      </c>
      <c r="D409" s="777">
        <v>42267</v>
      </c>
      <c r="E409" s="730">
        <v>0.57222222222222219</v>
      </c>
      <c r="F409" s="558" t="s">
        <v>18</v>
      </c>
      <c r="G409" s="558" t="s">
        <v>124</v>
      </c>
      <c r="H409" s="558" t="s">
        <v>2791</v>
      </c>
      <c r="I409" s="679" t="s">
        <v>2764</v>
      </c>
      <c r="J409" s="676">
        <v>150</v>
      </c>
      <c r="K409" s="676" t="s">
        <v>5873</v>
      </c>
      <c r="M409" t="str">
        <f>""</f>
        <v/>
      </c>
    </row>
    <row r="410" spans="1:13" ht="15.75">
      <c r="A410">
        <v>2015</v>
      </c>
      <c r="B410" s="777">
        <v>42276</v>
      </c>
      <c r="C410" s="730">
        <v>0.65277777777777779</v>
      </c>
      <c r="D410" s="777">
        <v>42276</v>
      </c>
      <c r="E410" s="730">
        <v>0.65347222222222223</v>
      </c>
      <c r="F410" s="558" t="s">
        <v>2152</v>
      </c>
      <c r="G410" s="558" t="s">
        <v>124</v>
      </c>
      <c r="H410" s="558" t="s">
        <v>2150</v>
      </c>
      <c r="I410" s="679" t="s">
        <v>100</v>
      </c>
      <c r="J410" s="676" t="s">
        <v>5873</v>
      </c>
      <c r="K410" s="676" t="s">
        <v>5873</v>
      </c>
      <c r="M410" t="str">
        <f>""</f>
        <v/>
      </c>
    </row>
    <row r="411" spans="1:13" ht="15.75">
      <c r="A411">
        <v>2015</v>
      </c>
      <c r="B411" s="777">
        <v>42290</v>
      </c>
      <c r="C411" s="730">
        <v>0.43402777777777779</v>
      </c>
      <c r="D411" s="777">
        <v>42290</v>
      </c>
      <c r="E411" s="730">
        <v>0.75</v>
      </c>
      <c r="F411" s="558" t="s">
        <v>166</v>
      </c>
      <c r="G411" s="558" t="s">
        <v>1352</v>
      </c>
      <c r="H411" s="558" t="s">
        <v>2744</v>
      </c>
      <c r="I411" s="679" t="s">
        <v>2798</v>
      </c>
      <c r="J411" s="676" t="s">
        <v>5873</v>
      </c>
      <c r="K411" s="676" t="s">
        <v>5873</v>
      </c>
      <c r="M411" t="str">
        <f>""</f>
        <v/>
      </c>
    </row>
    <row r="412" spans="1:13" ht="15.75">
      <c r="A412">
        <v>2015</v>
      </c>
      <c r="B412" s="777">
        <v>42290</v>
      </c>
      <c r="C412" s="730">
        <v>0.68888888888888888</v>
      </c>
      <c r="D412" s="777">
        <v>42290</v>
      </c>
      <c r="E412" s="730">
        <v>0.86041666666666672</v>
      </c>
      <c r="F412" s="558" t="s">
        <v>18</v>
      </c>
      <c r="G412" s="558" t="s">
        <v>124</v>
      </c>
      <c r="H412" s="558" t="s">
        <v>2744</v>
      </c>
      <c r="I412" s="679" t="s">
        <v>2798</v>
      </c>
      <c r="J412" s="676">
        <v>41788</v>
      </c>
      <c r="K412" s="676" t="s">
        <v>5873</v>
      </c>
      <c r="M412" t="str">
        <f>""</f>
        <v/>
      </c>
    </row>
    <row r="413" spans="1:13" ht="15.75">
      <c r="A413">
        <v>2015</v>
      </c>
      <c r="B413" s="777">
        <v>42321</v>
      </c>
      <c r="C413" s="730">
        <v>0.47916666666666669</v>
      </c>
      <c r="D413" s="777">
        <v>42321</v>
      </c>
      <c r="E413" s="730">
        <v>0.4826388888888889</v>
      </c>
      <c r="F413" s="558" t="s">
        <v>30</v>
      </c>
      <c r="G413" s="558" t="s">
        <v>61</v>
      </c>
      <c r="H413" s="558" t="s">
        <v>2150</v>
      </c>
      <c r="I413" s="679" t="s">
        <v>2118</v>
      </c>
      <c r="J413" s="676" t="s">
        <v>5873</v>
      </c>
      <c r="K413" s="676" t="s">
        <v>5873</v>
      </c>
      <c r="M413" t="str">
        <f>""</f>
        <v/>
      </c>
    </row>
    <row r="414" spans="1:13" ht="15.75">
      <c r="A414">
        <v>2015</v>
      </c>
      <c r="B414" s="777">
        <v>42348</v>
      </c>
      <c r="C414" s="730">
        <v>0.74652777777777779</v>
      </c>
      <c r="D414" s="777">
        <v>42348</v>
      </c>
      <c r="E414" s="730">
        <v>0.74722222222222223</v>
      </c>
      <c r="F414" s="558" t="s">
        <v>2819</v>
      </c>
      <c r="G414" s="558" t="s">
        <v>124</v>
      </c>
      <c r="H414" s="558" t="s">
        <v>2150</v>
      </c>
      <c r="I414" s="679" t="s">
        <v>100</v>
      </c>
      <c r="J414" s="676" t="s">
        <v>5873</v>
      </c>
      <c r="K414" s="676" t="s">
        <v>5873</v>
      </c>
      <c r="M414" t="str">
        <f>""</f>
        <v/>
      </c>
    </row>
    <row r="415" spans="1:13" ht="15.75">
      <c r="A415">
        <v>2016</v>
      </c>
      <c r="B415" s="777">
        <v>42407</v>
      </c>
      <c r="C415" s="730">
        <v>0.47916666666666669</v>
      </c>
      <c r="D415" s="777" t="s">
        <v>5873</v>
      </c>
      <c r="E415" s="730" t="s">
        <v>5873</v>
      </c>
      <c r="F415" s="558" t="s">
        <v>2835</v>
      </c>
      <c r="G415" s="558" t="s">
        <v>61</v>
      </c>
      <c r="H415" s="558" t="s">
        <v>2139</v>
      </c>
      <c r="I415" s="679" t="s">
        <v>2836</v>
      </c>
      <c r="J415" s="676" t="s">
        <v>5873</v>
      </c>
      <c r="K415" s="676" t="s">
        <v>5873</v>
      </c>
      <c r="M415" t="str">
        <f>""</f>
        <v/>
      </c>
    </row>
    <row r="416" spans="1:13" ht="15.75">
      <c r="A416">
        <v>2016</v>
      </c>
      <c r="B416" s="777">
        <v>42407</v>
      </c>
      <c r="C416" s="730">
        <v>0.62361111111111112</v>
      </c>
      <c r="D416" s="777" t="s">
        <v>5873</v>
      </c>
      <c r="E416" s="730" t="s">
        <v>5873</v>
      </c>
      <c r="F416" s="558" t="s">
        <v>2837</v>
      </c>
      <c r="G416" s="558" t="s">
        <v>124</v>
      </c>
      <c r="H416" s="558" t="s">
        <v>2150</v>
      </c>
      <c r="I416" s="679" t="s">
        <v>2343</v>
      </c>
      <c r="J416" s="676" t="s">
        <v>5873</v>
      </c>
      <c r="K416" s="676" t="s">
        <v>5873</v>
      </c>
      <c r="M416" t="str">
        <f>""</f>
        <v/>
      </c>
    </row>
    <row r="417" spans="1:13" ht="15.75">
      <c r="A417">
        <v>2016</v>
      </c>
      <c r="B417" s="777">
        <v>42498</v>
      </c>
      <c r="C417" s="730">
        <v>0.38333333333333336</v>
      </c>
      <c r="D417" s="777" t="s">
        <v>5877</v>
      </c>
      <c r="E417" s="730" t="s">
        <v>5877</v>
      </c>
      <c r="F417" s="558" t="s">
        <v>2862</v>
      </c>
      <c r="G417" s="558" t="s">
        <v>124</v>
      </c>
      <c r="H417" s="558" t="s">
        <v>2839</v>
      </c>
      <c r="I417" s="679" t="s">
        <v>2840</v>
      </c>
      <c r="J417" s="676" t="s">
        <v>5873</v>
      </c>
      <c r="K417" s="676" t="s">
        <v>5873</v>
      </c>
      <c r="M417" t="str">
        <f>""</f>
        <v/>
      </c>
    </row>
    <row r="418" spans="1:13" ht="15.75">
      <c r="A418">
        <v>2016</v>
      </c>
      <c r="B418" s="777">
        <v>42521</v>
      </c>
      <c r="C418" s="730">
        <v>0.3125</v>
      </c>
      <c r="D418" s="777">
        <v>42534</v>
      </c>
      <c r="E418" s="730">
        <v>0.31041666666666667</v>
      </c>
      <c r="F418" s="558" t="s">
        <v>2869</v>
      </c>
      <c r="G418" s="558" t="s">
        <v>61</v>
      </c>
      <c r="H418" s="558" t="s">
        <v>2780</v>
      </c>
      <c r="I418" s="679" t="s">
        <v>1138</v>
      </c>
      <c r="J418" s="676">
        <v>150</v>
      </c>
      <c r="K418" s="676" t="s">
        <v>5873</v>
      </c>
      <c r="M418" t="str">
        <f>""</f>
        <v/>
      </c>
    </row>
    <row r="419" spans="1:13" ht="15.75">
      <c r="A419">
        <v>2016</v>
      </c>
      <c r="B419" s="777">
        <v>42564</v>
      </c>
      <c r="C419" s="730">
        <v>0.625</v>
      </c>
      <c r="D419" s="777" t="s">
        <v>5873</v>
      </c>
      <c r="E419" s="730" t="s">
        <v>5873</v>
      </c>
      <c r="F419" s="558" t="s">
        <v>2882</v>
      </c>
      <c r="G419" s="558" t="s">
        <v>63</v>
      </c>
      <c r="H419" s="558" t="s">
        <v>1152</v>
      </c>
      <c r="I419" s="679" t="s">
        <v>2764</v>
      </c>
      <c r="J419" s="676" t="s">
        <v>5873</v>
      </c>
      <c r="K419" s="676" t="s">
        <v>5873</v>
      </c>
      <c r="M419" t="str">
        <f>""</f>
        <v/>
      </c>
    </row>
    <row r="420" spans="1:13" ht="15.75">
      <c r="A420">
        <v>2016</v>
      </c>
      <c r="B420" s="777">
        <v>42570</v>
      </c>
      <c r="C420" s="730">
        <v>0.65625</v>
      </c>
      <c r="D420" s="777">
        <v>42570</v>
      </c>
      <c r="E420" s="730">
        <v>0.81180555555555556</v>
      </c>
      <c r="F420" s="558" t="s">
        <v>126</v>
      </c>
      <c r="G420" s="558" t="s">
        <v>124</v>
      </c>
      <c r="H420" s="558" t="s">
        <v>2886</v>
      </c>
      <c r="I420" s="679" t="s">
        <v>2764</v>
      </c>
      <c r="J420" s="676">
        <v>290</v>
      </c>
      <c r="K420" s="676" t="s">
        <v>5873</v>
      </c>
      <c r="M420" t="str">
        <f>""</f>
        <v/>
      </c>
    </row>
    <row r="421" spans="1:13" ht="15.75">
      <c r="A421">
        <v>2016</v>
      </c>
      <c r="B421" s="777">
        <v>42570</v>
      </c>
      <c r="C421" s="730">
        <v>0.65625</v>
      </c>
      <c r="D421" s="777">
        <v>42570</v>
      </c>
      <c r="E421" s="730">
        <v>0.80902777777777779</v>
      </c>
      <c r="F421" s="558" t="s">
        <v>126</v>
      </c>
      <c r="G421" s="558" t="s">
        <v>124</v>
      </c>
      <c r="H421" s="558" t="s">
        <v>2886</v>
      </c>
      <c r="I421" s="679" t="s">
        <v>2764</v>
      </c>
      <c r="J421" s="676">
        <v>485</v>
      </c>
      <c r="K421" s="676" t="s">
        <v>5873</v>
      </c>
      <c r="M421" t="str">
        <f>""</f>
        <v/>
      </c>
    </row>
    <row r="422" spans="1:13" ht="15.75">
      <c r="A422">
        <v>2016</v>
      </c>
      <c r="B422" s="777">
        <v>42574</v>
      </c>
      <c r="C422" s="730">
        <v>0.63541666666666663</v>
      </c>
      <c r="D422" s="777">
        <v>42574</v>
      </c>
      <c r="E422" s="730">
        <v>0.82847222222222228</v>
      </c>
      <c r="F422" s="558" t="s">
        <v>2890</v>
      </c>
      <c r="G422" s="558" t="s">
        <v>826</v>
      </c>
      <c r="H422" s="558" t="s">
        <v>619</v>
      </c>
      <c r="I422" s="679" t="s">
        <v>2764</v>
      </c>
      <c r="J422" s="676">
        <v>87</v>
      </c>
      <c r="K422" s="676" t="s">
        <v>5873</v>
      </c>
      <c r="M422" t="str">
        <f>""</f>
        <v/>
      </c>
    </row>
    <row r="423" spans="1:13" ht="15.75">
      <c r="A423">
        <v>2016</v>
      </c>
      <c r="B423" s="777">
        <v>42589</v>
      </c>
      <c r="C423" s="730">
        <v>0.77708333333333335</v>
      </c>
      <c r="D423" s="777">
        <v>42589</v>
      </c>
      <c r="E423" s="730">
        <v>0.8520833333333333</v>
      </c>
      <c r="F423" s="558" t="s">
        <v>2893</v>
      </c>
      <c r="G423" s="558" t="s">
        <v>124</v>
      </c>
      <c r="H423" s="558" t="s">
        <v>2769</v>
      </c>
      <c r="I423" s="679" t="s">
        <v>2764</v>
      </c>
      <c r="J423" s="676" t="s">
        <v>5873</v>
      </c>
      <c r="K423" s="676" t="s">
        <v>5873</v>
      </c>
      <c r="M423" t="str">
        <f>""</f>
        <v/>
      </c>
    </row>
    <row r="424" spans="1:13" ht="15.75">
      <c r="A424">
        <v>2016</v>
      </c>
      <c r="B424" s="777">
        <v>42606</v>
      </c>
      <c r="C424" s="730">
        <v>0.8041666666666667</v>
      </c>
      <c r="D424" s="777">
        <v>42606</v>
      </c>
      <c r="E424" s="730">
        <v>0.82430555555555551</v>
      </c>
      <c r="F424" s="558" t="s">
        <v>2801</v>
      </c>
      <c r="G424" s="558" t="s">
        <v>124</v>
      </c>
      <c r="H424" s="558" t="s">
        <v>2839</v>
      </c>
      <c r="I424" s="679" t="s">
        <v>2840</v>
      </c>
      <c r="J424" s="676">
        <v>9232</v>
      </c>
      <c r="K424" s="676" t="s">
        <v>5873</v>
      </c>
      <c r="M424" t="str">
        <f>""</f>
        <v/>
      </c>
    </row>
    <row r="425" spans="1:13" ht="15.75">
      <c r="A425">
        <v>2016</v>
      </c>
      <c r="B425" s="777">
        <v>42614</v>
      </c>
      <c r="C425" s="730">
        <v>0.91666666666666663</v>
      </c>
      <c r="D425" s="777" t="s">
        <v>5873</v>
      </c>
      <c r="E425" s="730" t="s">
        <v>5873</v>
      </c>
      <c r="F425" s="558" t="s">
        <v>2901</v>
      </c>
      <c r="G425" s="558" t="s">
        <v>301</v>
      </c>
      <c r="H425" s="558" t="s">
        <v>2753</v>
      </c>
      <c r="I425" s="679" t="s">
        <v>22</v>
      </c>
      <c r="J425" s="676">
        <v>100</v>
      </c>
      <c r="K425" s="676" t="s">
        <v>5873</v>
      </c>
      <c r="M425" t="str">
        <f>""</f>
        <v/>
      </c>
    </row>
    <row r="426" spans="1:13" ht="15.75">
      <c r="A426">
        <v>2016</v>
      </c>
      <c r="B426" s="777">
        <v>42619</v>
      </c>
      <c r="C426" s="730">
        <v>0.7583333333333333</v>
      </c>
      <c r="D426" s="777">
        <v>42619</v>
      </c>
      <c r="E426" s="730">
        <v>0.89166666666666672</v>
      </c>
      <c r="F426" s="558" t="s">
        <v>2862</v>
      </c>
      <c r="G426" s="558" t="s">
        <v>124</v>
      </c>
      <c r="H426" s="558" t="s">
        <v>2839</v>
      </c>
      <c r="I426" s="679" t="s">
        <v>2840</v>
      </c>
      <c r="J426" s="676">
        <v>300</v>
      </c>
      <c r="K426" s="676" t="s">
        <v>5873</v>
      </c>
      <c r="M426" t="str">
        <f>""</f>
        <v/>
      </c>
    </row>
    <row r="427" spans="1:13" ht="15.75">
      <c r="A427">
        <v>2016</v>
      </c>
      <c r="B427" s="777">
        <v>42621</v>
      </c>
      <c r="C427" s="730">
        <v>0.35416666666666669</v>
      </c>
      <c r="D427" s="777">
        <v>42638</v>
      </c>
      <c r="E427" s="730">
        <v>0</v>
      </c>
      <c r="F427" s="558" t="s">
        <v>2869</v>
      </c>
      <c r="G427" s="558" t="s">
        <v>61</v>
      </c>
      <c r="H427" s="558" t="s">
        <v>2780</v>
      </c>
      <c r="I427" s="679" t="s">
        <v>1138</v>
      </c>
      <c r="J427" s="676">
        <v>210</v>
      </c>
      <c r="K427" s="676" t="s">
        <v>5873</v>
      </c>
      <c r="M427" t="str">
        <f>""</f>
        <v/>
      </c>
    </row>
    <row r="428" spans="1:13" ht="15.75">
      <c r="A428">
        <v>2016</v>
      </c>
      <c r="B428" s="777">
        <v>42623</v>
      </c>
      <c r="C428" s="730">
        <v>0.40416666666666667</v>
      </c>
      <c r="D428" s="777">
        <v>42623</v>
      </c>
      <c r="E428" s="730">
        <v>0.41458333333333336</v>
      </c>
      <c r="F428" s="558" t="s">
        <v>2862</v>
      </c>
      <c r="G428" s="558" t="s">
        <v>124</v>
      </c>
      <c r="H428" s="558" t="s">
        <v>2791</v>
      </c>
      <c r="I428" s="679" t="s">
        <v>2905</v>
      </c>
      <c r="J428" s="676">
        <v>135</v>
      </c>
      <c r="K428" s="676" t="s">
        <v>5873</v>
      </c>
      <c r="M428" t="str">
        <f>""</f>
        <v/>
      </c>
    </row>
    <row r="429" spans="1:13" ht="15.75">
      <c r="A429">
        <v>2016</v>
      </c>
      <c r="B429" s="777">
        <v>42646</v>
      </c>
      <c r="C429" s="730">
        <v>0.63124999999999998</v>
      </c>
      <c r="D429" s="777">
        <v>42647</v>
      </c>
      <c r="E429" s="730">
        <v>0.79166666666666663</v>
      </c>
      <c r="F429" s="558" t="s">
        <v>2919</v>
      </c>
      <c r="G429" s="558" t="s">
        <v>1352</v>
      </c>
      <c r="H429" s="558" t="s">
        <v>2917</v>
      </c>
      <c r="I429" s="679" t="s">
        <v>1152</v>
      </c>
      <c r="J429" s="676" t="s">
        <v>5873</v>
      </c>
      <c r="K429" s="676" t="s">
        <v>5873</v>
      </c>
      <c r="M429" t="str">
        <f>""</f>
        <v/>
      </c>
    </row>
    <row r="430" spans="1:13" ht="15.75">
      <c r="A430">
        <v>2016</v>
      </c>
      <c r="B430" s="777">
        <v>42648</v>
      </c>
      <c r="C430" s="730">
        <v>0.48055555555555557</v>
      </c>
      <c r="D430" s="777">
        <v>42648</v>
      </c>
      <c r="E430" s="730">
        <v>0.79166666666666663</v>
      </c>
      <c r="F430" s="558" t="s">
        <v>2919</v>
      </c>
      <c r="G430" s="558" t="s">
        <v>1352</v>
      </c>
      <c r="H430" s="558" t="s">
        <v>2917</v>
      </c>
      <c r="I430" s="679" t="s">
        <v>1152</v>
      </c>
      <c r="J430" s="676" t="s">
        <v>5873</v>
      </c>
      <c r="K430" s="676" t="s">
        <v>5873</v>
      </c>
      <c r="M430" t="str">
        <f>""</f>
        <v/>
      </c>
    </row>
    <row r="431" spans="1:13" ht="15.75">
      <c r="A431">
        <v>2016</v>
      </c>
      <c r="B431" s="777">
        <v>42649</v>
      </c>
      <c r="C431" s="730">
        <v>0.40972222222222221</v>
      </c>
      <c r="D431" s="777">
        <v>42649</v>
      </c>
      <c r="E431" s="730">
        <v>0.79166666666666663</v>
      </c>
      <c r="F431" s="558" t="s">
        <v>2919</v>
      </c>
      <c r="G431" s="558" t="s">
        <v>1352</v>
      </c>
      <c r="H431" s="558" t="s">
        <v>2917</v>
      </c>
      <c r="I431" s="679" t="s">
        <v>1152</v>
      </c>
      <c r="J431" s="676" t="s">
        <v>5873</v>
      </c>
      <c r="K431" s="676" t="s">
        <v>5873</v>
      </c>
      <c r="M431" t="str">
        <f>""</f>
        <v/>
      </c>
    </row>
    <row r="432" spans="1:13" ht="15.75">
      <c r="A432">
        <v>2016</v>
      </c>
      <c r="B432" s="777">
        <v>42650</v>
      </c>
      <c r="C432" s="730">
        <v>0.46388888888888891</v>
      </c>
      <c r="D432" s="777">
        <v>42650</v>
      </c>
      <c r="E432" s="730">
        <v>0.79166666666666663</v>
      </c>
      <c r="F432" s="558" t="s">
        <v>2919</v>
      </c>
      <c r="G432" s="558" t="s">
        <v>1352</v>
      </c>
      <c r="H432" s="558" t="s">
        <v>2917</v>
      </c>
      <c r="I432" s="679" t="s">
        <v>2905</v>
      </c>
      <c r="J432" s="676" t="s">
        <v>5873</v>
      </c>
      <c r="K432" s="676" t="s">
        <v>5873</v>
      </c>
      <c r="M432" t="str">
        <f>""</f>
        <v/>
      </c>
    </row>
    <row r="433" spans="1:13" ht="15.75">
      <c r="A433">
        <v>2016</v>
      </c>
      <c r="B433" s="777">
        <v>42650</v>
      </c>
      <c r="C433" s="730">
        <v>0.94791666666666663</v>
      </c>
      <c r="D433" s="777" t="s">
        <v>5873</v>
      </c>
      <c r="E433" s="730" t="s">
        <v>5873</v>
      </c>
      <c r="F433" s="558" t="s">
        <v>2901</v>
      </c>
      <c r="G433" s="558" t="s">
        <v>301</v>
      </c>
      <c r="H433" s="558" t="s">
        <v>2753</v>
      </c>
      <c r="I433" s="679" t="s">
        <v>22</v>
      </c>
      <c r="J433" s="676" t="s">
        <v>5873</v>
      </c>
      <c r="K433" s="676" t="s">
        <v>5873</v>
      </c>
      <c r="M433" t="str">
        <f>""</f>
        <v/>
      </c>
    </row>
    <row r="434" spans="1:13" ht="15.75">
      <c r="A434">
        <v>2016</v>
      </c>
      <c r="B434" s="777">
        <v>42650</v>
      </c>
      <c r="C434" s="730">
        <v>0.95833333333333337</v>
      </c>
      <c r="D434" s="777" t="s">
        <v>5873</v>
      </c>
      <c r="E434" s="730" t="s">
        <v>5873</v>
      </c>
      <c r="F434" s="558" t="s">
        <v>2925</v>
      </c>
      <c r="G434" s="558" t="s">
        <v>63</v>
      </c>
      <c r="H434" s="558" t="s">
        <v>2926</v>
      </c>
      <c r="I434" s="679" t="s">
        <v>22</v>
      </c>
      <c r="J434" s="676" t="s">
        <v>5873</v>
      </c>
      <c r="K434" s="676" t="s">
        <v>5873</v>
      </c>
      <c r="M434" t="str">
        <f>""</f>
        <v/>
      </c>
    </row>
    <row r="435" spans="1:13" ht="15.75">
      <c r="A435">
        <v>2016</v>
      </c>
      <c r="B435" s="777">
        <v>42651</v>
      </c>
      <c r="C435" s="730">
        <v>0.34791666666666665</v>
      </c>
      <c r="D435" s="777">
        <v>42656</v>
      </c>
      <c r="E435" s="730">
        <v>0.72916666666666663</v>
      </c>
      <c r="F435" s="558" t="s">
        <v>2832</v>
      </c>
      <c r="G435" s="558" t="s">
        <v>63</v>
      </c>
      <c r="H435" s="558" t="s">
        <v>2753</v>
      </c>
      <c r="I435" s="679" t="s">
        <v>22</v>
      </c>
      <c r="J435" s="676" t="s">
        <v>5873</v>
      </c>
      <c r="K435" s="676" t="s">
        <v>5873</v>
      </c>
      <c r="M435" t="str">
        <f>""</f>
        <v/>
      </c>
    </row>
    <row r="436" spans="1:13" ht="15.75">
      <c r="A436">
        <v>2016</v>
      </c>
      <c r="B436" s="777">
        <v>42653</v>
      </c>
      <c r="C436" s="730">
        <v>0.55208333333333337</v>
      </c>
      <c r="D436" s="777">
        <v>42653</v>
      </c>
      <c r="E436" s="730">
        <v>0.79166666666666663</v>
      </c>
      <c r="F436" s="558" t="s">
        <v>2919</v>
      </c>
      <c r="G436" s="558" t="s">
        <v>1352</v>
      </c>
      <c r="H436" s="558" t="s">
        <v>2917</v>
      </c>
      <c r="I436" s="679" t="s">
        <v>2905</v>
      </c>
      <c r="J436" s="676" t="s">
        <v>5873</v>
      </c>
      <c r="K436" s="676" t="s">
        <v>5873</v>
      </c>
      <c r="M436" t="str">
        <f>""</f>
        <v/>
      </c>
    </row>
    <row r="437" spans="1:13" ht="15.75">
      <c r="A437">
        <v>2016</v>
      </c>
      <c r="B437" s="777">
        <v>42719</v>
      </c>
      <c r="C437" s="730">
        <v>0.27083333333333331</v>
      </c>
      <c r="D437" s="777" t="s">
        <v>5873</v>
      </c>
      <c r="E437" s="730" t="s">
        <v>5873</v>
      </c>
      <c r="F437" s="558" t="s">
        <v>2953</v>
      </c>
      <c r="G437" s="558" t="s">
        <v>124</v>
      </c>
      <c r="H437" s="558" t="s">
        <v>2780</v>
      </c>
      <c r="I437" s="679" t="s">
        <v>1138</v>
      </c>
      <c r="J437" s="676" t="s">
        <v>5873</v>
      </c>
      <c r="K437" s="676" t="s">
        <v>5873</v>
      </c>
      <c r="M437" t="str">
        <f>""</f>
        <v/>
      </c>
    </row>
    <row r="438" spans="1:13" ht="15.75">
      <c r="A438">
        <v>2017</v>
      </c>
      <c r="B438" s="777">
        <v>42768</v>
      </c>
      <c r="C438" s="730">
        <v>4.9305555555555554E-2</v>
      </c>
      <c r="D438" s="777" t="s">
        <v>5873</v>
      </c>
      <c r="E438" s="730" t="s">
        <v>5873</v>
      </c>
      <c r="F438" s="558" t="s">
        <v>2893</v>
      </c>
      <c r="G438" s="558" t="s">
        <v>124</v>
      </c>
      <c r="H438" s="558" t="s">
        <v>2769</v>
      </c>
      <c r="I438" s="679" t="s">
        <v>2483</v>
      </c>
      <c r="J438" s="676">
        <v>400</v>
      </c>
      <c r="K438" s="676" t="s">
        <v>5873</v>
      </c>
      <c r="M438" t="str">
        <f>""</f>
        <v/>
      </c>
    </row>
    <row r="439" spans="1:13" ht="15.75">
      <c r="A439">
        <v>2017</v>
      </c>
      <c r="B439" s="777">
        <v>42858</v>
      </c>
      <c r="C439" s="730">
        <v>0.79513888888888884</v>
      </c>
      <c r="D439" s="777">
        <v>42858</v>
      </c>
      <c r="E439" s="730">
        <v>0.875</v>
      </c>
      <c r="F439" s="558" t="s">
        <v>18</v>
      </c>
      <c r="G439" s="558" t="s">
        <v>124</v>
      </c>
      <c r="H439" s="558" t="s">
        <v>2791</v>
      </c>
      <c r="I439" s="679" t="s">
        <v>2905</v>
      </c>
      <c r="J439" s="676">
        <v>878</v>
      </c>
      <c r="K439" s="676" t="s">
        <v>5873</v>
      </c>
      <c r="M439" t="str">
        <f>""</f>
        <v/>
      </c>
    </row>
    <row r="440" spans="1:13" ht="15.75">
      <c r="A440">
        <v>2017</v>
      </c>
      <c r="B440" s="777">
        <v>42897</v>
      </c>
      <c r="C440" s="730">
        <v>0.61041666666666672</v>
      </c>
      <c r="D440" s="777">
        <v>42897</v>
      </c>
      <c r="E440" s="730">
        <v>0.74652777777777779</v>
      </c>
      <c r="F440" s="558" t="s">
        <v>1833</v>
      </c>
      <c r="G440" s="558" t="s">
        <v>826</v>
      </c>
      <c r="H440" s="558" t="s">
        <v>2839</v>
      </c>
      <c r="I440" s="679" t="s">
        <v>2483</v>
      </c>
      <c r="J440" s="676">
        <v>63</v>
      </c>
      <c r="K440" s="676" t="s">
        <v>5873</v>
      </c>
      <c r="M440" t="str">
        <f>""</f>
        <v/>
      </c>
    </row>
    <row r="441" spans="1:13" ht="15.75">
      <c r="A441">
        <v>2017</v>
      </c>
      <c r="B441" s="777">
        <v>42928</v>
      </c>
      <c r="C441" s="730">
        <v>0.51736111111111116</v>
      </c>
      <c r="D441" s="777" t="s">
        <v>5873</v>
      </c>
      <c r="E441" s="730" t="s">
        <v>5873</v>
      </c>
      <c r="F441" s="558" t="s">
        <v>2882</v>
      </c>
      <c r="G441" s="558" t="s">
        <v>63</v>
      </c>
      <c r="H441" s="558" t="s">
        <v>2910</v>
      </c>
      <c r="I441" s="679" t="s">
        <v>100</v>
      </c>
      <c r="J441" s="676" t="s">
        <v>5873</v>
      </c>
      <c r="K441" s="676" t="s">
        <v>5873</v>
      </c>
      <c r="M441" t="str">
        <f>""</f>
        <v/>
      </c>
    </row>
    <row r="442" spans="1:13" ht="15.75">
      <c r="A442">
        <v>2017</v>
      </c>
      <c r="B442" s="777">
        <v>42973</v>
      </c>
      <c r="C442" s="730">
        <v>2.7083333333333334E-2</v>
      </c>
      <c r="D442" s="777">
        <v>42973</v>
      </c>
      <c r="E442" s="730">
        <v>3.6111111111111108E-2</v>
      </c>
      <c r="F442" s="558" t="s">
        <v>2919</v>
      </c>
      <c r="G442" s="558" t="s">
        <v>1352</v>
      </c>
      <c r="H442" s="558" t="s">
        <v>2839</v>
      </c>
      <c r="I442" s="679" t="s">
        <v>22</v>
      </c>
      <c r="J442" s="676" t="s">
        <v>5873</v>
      </c>
      <c r="K442" s="676" t="s">
        <v>5873</v>
      </c>
      <c r="M442" t="str">
        <f>""</f>
        <v/>
      </c>
    </row>
    <row r="443" spans="1:13" ht="15.75">
      <c r="A443">
        <v>2017</v>
      </c>
      <c r="B443" s="777">
        <v>43012</v>
      </c>
      <c r="C443" s="730">
        <v>5.5555555555555552E-2</v>
      </c>
      <c r="D443" s="777">
        <v>43012</v>
      </c>
      <c r="E443" s="730">
        <v>0.125</v>
      </c>
      <c r="F443" s="558" t="s">
        <v>3116</v>
      </c>
      <c r="G443" s="558" t="s">
        <v>63</v>
      </c>
      <c r="H443" s="558" t="s">
        <v>2910</v>
      </c>
      <c r="I443" s="679" t="s">
        <v>2293</v>
      </c>
      <c r="J443" s="676" t="s">
        <v>5873</v>
      </c>
      <c r="K443" s="676" t="s">
        <v>5873</v>
      </c>
      <c r="M443" t="str">
        <f>""</f>
        <v/>
      </c>
    </row>
    <row r="444" spans="1:13" ht="15.75">
      <c r="A444">
        <v>2017</v>
      </c>
      <c r="B444" s="777">
        <v>43017</v>
      </c>
      <c r="C444" s="730">
        <v>0.28055555555555556</v>
      </c>
      <c r="D444" s="777" t="s">
        <v>5873</v>
      </c>
      <c r="E444" s="730" t="s">
        <v>5873</v>
      </c>
      <c r="F444" s="558" t="s">
        <v>2945</v>
      </c>
      <c r="G444" s="558" t="s">
        <v>124</v>
      </c>
      <c r="H444" s="558" t="s">
        <v>2839</v>
      </c>
      <c r="I444" s="679" t="s">
        <v>22</v>
      </c>
      <c r="J444" s="676">
        <v>100</v>
      </c>
      <c r="K444" s="676" t="s">
        <v>5873</v>
      </c>
      <c r="M444" t="str">
        <f>""</f>
        <v/>
      </c>
    </row>
    <row r="445" spans="1:13" ht="15.75">
      <c r="A445">
        <v>2017</v>
      </c>
      <c r="B445" s="777">
        <v>43020</v>
      </c>
      <c r="C445" s="730">
        <v>0.38124999999999998</v>
      </c>
      <c r="D445" s="777" t="s">
        <v>5873</v>
      </c>
      <c r="E445" s="730" t="s">
        <v>5873</v>
      </c>
      <c r="F445" s="558" t="s">
        <v>3123</v>
      </c>
      <c r="G445" s="558" t="s">
        <v>63</v>
      </c>
      <c r="H445" s="558" t="s">
        <v>2917</v>
      </c>
      <c r="I445" s="679" t="s">
        <v>2764</v>
      </c>
      <c r="J445" s="676" t="s">
        <v>5873</v>
      </c>
      <c r="K445" s="676" t="s">
        <v>5873</v>
      </c>
      <c r="M445" t="str">
        <f>""</f>
        <v/>
      </c>
    </row>
    <row r="446" spans="1:13" ht="15.75">
      <c r="A446">
        <v>2017</v>
      </c>
      <c r="B446" s="777">
        <v>43028</v>
      </c>
      <c r="C446" s="730">
        <v>0.15555555555555556</v>
      </c>
      <c r="D446" s="777">
        <v>43028</v>
      </c>
      <c r="E446" s="730">
        <v>0.15625</v>
      </c>
      <c r="F446" s="558" t="s">
        <v>2853</v>
      </c>
      <c r="G446" s="558" t="s">
        <v>124</v>
      </c>
      <c r="H446" s="558" t="s">
        <v>2769</v>
      </c>
      <c r="I446" s="679" t="s">
        <v>22</v>
      </c>
      <c r="J446" s="676">
        <v>900</v>
      </c>
      <c r="K446" s="676" t="s">
        <v>5873</v>
      </c>
      <c r="M446" t="str">
        <f>""</f>
        <v/>
      </c>
    </row>
    <row r="447" spans="1:13" ht="15.75">
      <c r="A447">
        <v>2017</v>
      </c>
      <c r="B447" s="777">
        <v>43030</v>
      </c>
      <c r="C447" s="730">
        <v>0.36458333333333331</v>
      </c>
      <c r="D447" s="777">
        <v>43030</v>
      </c>
      <c r="E447" s="730">
        <v>0.58333333333333337</v>
      </c>
      <c r="F447" s="558" t="s">
        <v>3130</v>
      </c>
      <c r="G447" s="558" t="s">
        <v>63</v>
      </c>
      <c r="H447" s="558" t="s">
        <v>2753</v>
      </c>
      <c r="I447" s="679" t="s">
        <v>22</v>
      </c>
      <c r="J447" s="676" t="s">
        <v>5873</v>
      </c>
      <c r="K447" s="676" t="s">
        <v>5873</v>
      </c>
      <c r="M447" t="str">
        <f>""</f>
        <v/>
      </c>
    </row>
    <row r="448" spans="1:13" ht="15.75">
      <c r="A448">
        <v>2017</v>
      </c>
      <c r="B448" s="777">
        <v>43033</v>
      </c>
      <c r="C448" s="730">
        <v>0.5</v>
      </c>
      <c r="D448" s="777">
        <v>43033</v>
      </c>
      <c r="E448" s="730">
        <v>0.66666666666666663</v>
      </c>
      <c r="F448" s="558" t="s">
        <v>2945</v>
      </c>
      <c r="G448" s="558" t="s">
        <v>124</v>
      </c>
      <c r="H448" s="558" t="s">
        <v>2944</v>
      </c>
      <c r="I448" s="679" t="s">
        <v>2118</v>
      </c>
      <c r="J448" s="676" t="s">
        <v>5873</v>
      </c>
      <c r="K448" s="676" t="s">
        <v>5873</v>
      </c>
      <c r="M448" t="str">
        <f>""</f>
        <v/>
      </c>
    </row>
    <row r="449" spans="1:13" ht="15.75">
      <c r="A449">
        <v>2017</v>
      </c>
      <c r="B449" s="777">
        <v>43098</v>
      </c>
      <c r="C449" s="730">
        <v>0.26041666666666669</v>
      </c>
      <c r="D449" s="777">
        <v>43098</v>
      </c>
      <c r="E449" s="730">
        <v>0.48888888888888887</v>
      </c>
      <c r="F449" s="558" t="s">
        <v>3184</v>
      </c>
      <c r="G449" s="558" t="s">
        <v>1352</v>
      </c>
      <c r="H449" s="558" t="s">
        <v>2910</v>
      </c>
      <c r="I449" s="679" t="s">
        <v>2118</v>
      </c>
      <c r="J449" s="676" t="s">
        <v>5873</v>
      </c>
      <c r="K449" s="676" t="s">
        <v>5873</v>
      </c>
      <c r="M449" t="str">
        <f>""</f>
        <v/>
      </c>
    </row>
    <row r="450" spans="1:13" ht="15.75">
      <c r="A450">
        <v>2017</v>
      </c>
      <c r="B450" s="777">
        <v>43098</v>
      </c>
      <c r="C450" s="730">
        <v>0.29166666666666669</v>
      </c>
      <c r="D450" s="777" t="s">
        <v>5873</v>
      </c>
      <c r="E450" s="730" t="s">
        <v>5873</v>
      </c>
      <c r="F450" s="558" t="s">
        <v>2869</v>
      </c>
      <c r="G450" s="558" t="s">
        <v>61</v>
      </c>
      <c r="H450" s="558" t="s">
        <v>2780</v>
      </c>
      <c r="I450" s="679" t="s">
        <v>1138</v>
      </c>
      <c r="J450" s="676">
        <v>210</v>
      </c>
      <c r="K450" s="676" t="s">
        <v>5873</v>
      </c>
      <c r="M450" t="str">
        <f>""</f>
        <v/>
      </c>
    </row>
    <row r="451" spans="1:13" ht="15.75">
      <c r="A451">
        <v>2018</v>
      </c>
      <c r="B451" s="777">
        <v>43101</v>
      </c>
      <c r="C451" s="730">
        <v>0.76458333333333328</v>
      </c>
      <c r="D451" s="777">
        <v>43102</v>
      </c>
      <c r="E451" s="730">
        <v>0.75763888888888886</v>
      </c>
      <c r="F451" s="558" t="s">
        <v>3189</v>
      </c>
      <c r="G451" s="558" t="s">
        <v>63</v>
      </c>
      <c r="H451" s="558" t="s">
        <v>2917</v>
      </c>
      <c r="I451" s="679" t="s">
        <v>22</v>
      </c>
      <c r="J451" s="676" t="s">
        <v>5873</v>
      </c>
      <c r="K451" s="676" t="s">
        <v>5873</v>
      </c>
      <c r="M451" t="str">
        <f>""</f>
        <v/>
      </c>
    </row>
    <row r="452" spans="1:13" ht="15.75">
      <c r="A452">
        <v>2018</v>
      </c>
      <c r="B452" s="777">
        <v>43101</v>
      </c>
      <c r="C452" s="730">
        <v>0.73819444444444449</v>
      </c>
      <c r="D452" s="777" t="s">
        <v>5873</v>
      </c>
      <c r="E452" s="730" t="s">
        <v>5873</v>
      </c>
      <c r="F452" s="558" t="s">
        <v>2919</v>
      </c>
      <c r="G452" s="558" t="s">
        <v>1352</v>
      </c>
      <c r="H452" s="558" t="s">
        <v>2917</v>
      </c>
      <c r="I452" s="679" t="s">
        <v>22</v>
      </c>
      <c r="J452" s="676" t="s">
        <v>5873</v>
      </c>
      <c r="K452" s="676" t="s">
        <v>5873</v>
      </c>
      <c r="M452" t="str">
        <f>""</f>
        <v/>
      </c>
    </row>
    <row r="453" spans="1:13" ht="15.75">
      <c r="A453">
        <v>2018</v>
      </c>
      <c r="B453" s="777">
        <v>43101</v>
      </c>
      <c r="C453" s="730">
        <v>0.90069444444444446</v>
      </c>
      <c r="D453" s="777">
        <v>43102</v>
      </c>
      <c r="E453" s="730">
        <v>0.4375</v>
      </c>
      <c r="F453" s="558" t="s">
        <v>3189</v>
      </c>
      <c r="G453" s="558" t="s">
        <v>63</v>
      </c>
      <c r="H453" s="558" t="s">
        <v>2917</v>
      </c>
      <c r="I453" s="679" t="s">
        <v>2764</v>
      </c>
      <c r="J453" s="676" t="s">
        <v>5873</v>
      </c>
      <c r="K453" s="676" t="s">
        <v>5873</v>
      </c>
      <c r="M453" t="str">
        <f>""</f>
        <v/>
      </c>
    </row>
    <row r="454" spans="1:13" ht="15.75">
      <c r="A454">
        <v>2018</v>
      </c>
      <c r="B454" s="777">
        <v>43102</v>
      </c>
      <c r="C454" s="730">
        <v>0.41666666666666669</v>
      </c>
      <c r="D454" s="777">
        <v>43143</v>
      </c>
      <c r="E454" s="730">
        <v>0.33333333333333331</v>
      </c>
      <c r="F454" s="558" t="s">
        <v>3192</v>
      </c>
      <c r="G454" s="558" t="s">
        <v>61</v>
      </c>
      <c r="H454" s="558" t="s">
        <v>2780</v>
      </c>
      <c r="I454" s="679" t="s">
        <v>1138</v>
      </c>
      <c r="J454" s="676">
        <v>675</v>
      </c>
      <c r="K454" s="676" t="s">
        <v>5873</v>
      </c>
      <c r="M454" t="str">
        <f>""</f>
        <v/>
      </c>
    </row>
    <row r="455" spans="1:13" ht="15.75">
      <c r="A455">
        <v>2018</v>
      </c>
      <c r="B455" s="777">
        <v>43102</v>
      </c>
      <c r="C455" s="730">
        <v>0.28125</v>
      </c>
      <c r="D455" s="777">
        <v>43102</v>
      </c>
      <c r="E455" s="730">
        <v>0.375</v>
      </c>
      <c r="F455" s="558" t="s">
        <v>2832</v>
      </c>
      <c r="G455" s="558" t="s">
        <v>63</v>
      </c>
      <c r="H455" s="558" t="s">
        <v>2622</v>
      </c>
      <c r="I455" s="679" t="s">
        <v>22</v>
      </c>
      <c r="J455" s="676">
        <v>14998</v>
      </c>
      <c r="K455" s="676" t="s">
        <v>5873</v>
      </c>
      <c r="M455" t="str">
        <f>""</f>
        <v/>
      </c>
    </row>
    <row r="456" spans="1:13" ht="15.75">
      <c r="A456">
        <v>2018</v>
      </c>
      <c r="B456" s="777">
        <v>43115</v>
      </c>
      <c r="C456" s="730">
        <v>0.18055555555555555</v>
      </c>
      <c r="D456" s="777">
        <v>43118</v>
      </c>
      <c r="E456" s="730">
        <v>0.24166666666666667</v>
      </c>
      <c r="F456" s="558" t="s">
        <v>2919</v>
      </c>
      <c r="G456" s="558" t="s">
        <v>1352</v>
      </c>
      <c r="H456" s="558" t="s">
        <v>2917</v>
      </c>
      <c r="I456" s="679" t="s">
        <v>22</v>
      </c>
      <c r="J456" s="676" t="s">
        <v>5873</v>
      </c>
      <c r="K456" s="676" t="s">
        <v>5873</v>
      </c>
      <c r="M456" t="str">
        <f>""</f>
        <v/>
      </c>
    </row>
    <row r="457" spans="1:13" ht="15.75">
      <c r="A457">
        <v>2018</v>
      </c>
      <c r="B457" s="777">
        <v>43116</v>
      </c>
      <c r="C457" s="730">
        <v>0.625</v>
      </c>
      <c r="D457" s="777">
        <v>43118</v>
      </c>
      <c r="E457" s="730">
        <v>0.54166666666666663</v>
      </c>
      <c r="F457" s="558" t="s">
        <v>3189</v>
      </c>
      <c r="G457" s="558" t="s">
        <v>63</v>
      </c>
      <c r="H457" s="558" t="s">
        <v>2917</v>
      </c>
      <c r="I457" s="679" t="s">
        <v>22</v>
      </c>
      <c r="J457" s="676" t="s">
        <v>5873</v>
      </c>
      <c r="K457" s="676" t="s">
        <v>5873</v>
      </c>
      <c r="M457" t="str">
        <f>""</f>
        <v/>
      </c>
    </row>
    <row r="458" spans="1:13" ht="15.75">
      <c r="A458">
        <v>2018</v>
      </c>
      <c r="B458" s="777">
        <v>43116</v>
      </c>
      <c r="C458" s="730">
        <v>0.625</v>
      </c>
      <c r="D458" s="777">
        <v>43118</v>
      </c>
      <c r="E458" s="730">
        <v>0.54166666666666663</v>
      </c>
      <c r="F458" s="558" t="s">
        <v>2935</v>
      </c>
      <c r="G458" s="558" t="s">
        <v>63</v>
      </c>
      <c r="H458" s="558" t="s">
        <v>2917</v>
      </c>
      <c r="I458" s="679" t="s">
        <v>2764</v>
      </c>
      <c r="J458" s="676" t="s">
        <v>5873</v>
      </c>
      <c r="K458" s="676" t="s">
        <v>5873</v>
      </c>
      <c r="M458" t="str">
        <f>""</f>
        <v/>
      </c>
    </row>
    <row r="459" spans="1:13" ht="15.75">
      <c r="A459">
        <v>2018</v>
      </c>
      <c r="B459" s="777">
        <v>43116</v>
      </c>
      <c r="C459" s="730">
        <v>0.58125000000000004</v>
      </c>
      <c r="D459" s="777">
        <v>43116</v>
      </c>
      <c r="E459" s="730">
        <v>0.60555555555555551</v>
      </c>
      <c r="F459" s="558" t="s">
        <v>2919</v>
      </c>
      <c r="G459" s="558" t="s">
        <v>1352</v>
      </c>
      <c r="H459" s="558" t="s">
        <v>2839</v>
      </c>
      <c r="I459" s="679" t="s">
        <v>22</v>
      </c>
      <c r="J459" s="676" t="s">
        <v>5873</v>
      </c>
      <c r="K459" s="676" t="s">
        <v>5873</v>
      </c>
      <c r="M459" t="str">
        <f>""</f>
        <v/>
      </c>
    </row>
    <row r="460" spans="1:13" ht="15.75">
      <c r="A460">
        <v>2018</v>
      </c>
      <c r="B460" s="777">
        <v>43117</v>
      </c>
      <c r="C460" s="730">
        <v>0.25694444444444442</v>
      </c>
      <c r="D460" s="777">
        <v>43117</v>
      </c>
      <c r="E460" s="730">
        <v>0.58333333333333337</v>
      </c>
      <c r="F460" s="558" t="s">
        <v>2866</v>
      </c>
      <c r="G460" s="558" t="s">
        <v>63</v>
      </c>
      <c r="H460" s="558" t="s">
        <v>2917</v>
      </c>
      <c r="I460" s="679" t="s">
        <v>2764</v>
      </c>
      <c r="J460" s="676" t="s">
        <v>5873</v>
      </c>
      <c r="K460" s="676" t="s">
        <v>5873</v>
      </c>
      <c r="M460" t="str">
        <f>""</f>
        <v/>
      </c>
    </row>
    <row r="461" spans="1:13" ht="15.75">
      <c r="A461">
        <v>2018</v>
      </c>
      <c r="B461" s="777">
        <v>43118</v>
      </c>
      <c r="C461" s="730">
        <v>0.20833333333333334</v>
      </c>
      <c r="D461" s="777">
        <v>43118</v>
      </c>
      <c r="E461" s="730">
        <v>0.45833333333333331</v>
      </c>
      <c r="F461" s="558" t="s">
        <v>3210</v>
      </c>
      <c r="G461" s="558" t="s">
        <v>63</v>
      </c>
      <c r="H461" s="558" t="s">
        <v>2917</v>
      </c>
      <c r="I461" s="679" t="s">
        <v>22</v>
      </c>
      <c r="J461" s="676">
        <v>31500</v>
      </c>
      <c r="K461" s="676" t="s">
        <v>5873</v>
      </c>
      <c r="M461" t="str">
        <f>""</f>
        <v/>
      </c>
    </row>
    <row r="462" spans="1:13" ht="15.75">
      <c r="A462">
        <v>2018</v>
      </c>
      <c r="B462" s="777">
        <v>43118</v>
      </c>
      <c r="C462" s="730">
        <v>0.25</v>
      </c>
      <c r="D462" s="777" t="s">
        <v>5873</v>
      </c>
      <c r="E462" s="730" t="s">
        <v>5873</v>
      </c>
      <c r="F462" s="558" t="s">
        <v>2866</v>
      </c>
      <c r="G462" s="558" t="s">
        <v>63</v>
      </c>
      <c r="H462" s="558" t="s">
        <v>2917</v>
      </c>
      <c r="I462" s="679" t="s">
        <v>2764</v>
      </c>
      <c r="J462" s="676" t="s">
        <v>5873</v>
      </c>
      <c r="K462" s="676" t="s">
        <v>5873</v>
      </c>
      <c r="M462" t="str">
        <f>""</f>
        <v/>
      </c>
    </row>
    <row r="463" spans="1:13" ht="15.75">
      <c r="A463">
        <v>2018</v>
      </c>
      <c r="B463" s="777">
        <v>43125</v>
      </c>
      <c r="C463" s="730">
        <v>0.84652777777777777</v>
      </c>
      <c r="D463" s="777">
        <v>43126</v>
      </c>
      <c r="E463" s="730">
        <v>8.3333333333333329E-2</v>
      </c>
      <c r="F463" s="558" t="s">
        <v>3215</v>
      </c>
      <c r="G463" s="558" t="s">
        <v>3143</v>
      </c>
      <c r="H463" s="558" t="s">
        <v>2944</v>
      </c>
      <c r="I463" s="679" t="s">
        <v>2118</v>
      </c>
      <c r="J463" s="676" t="s">
        <v>5873</v>
      </c>
      <c r="K463" s="676" t="s">
        <v>5873</v>
      </c>
      <c r="M463" t="str">
        <f>""</f>
        <v/>
      </c>
    </row>
    <row r="464" spans="1:13" ht="15.75">
      <c r="A464">
        <v>2018</v>
      </c>
      <c r="B464" s="777">
        <v>43261</v>
      </c>
      <c r="C464" s="730">
        <v>0.60069444444444442</v>
      </c>
      <c r="D464" s="777">
        <v>43262</v>
      </c>
      <c r="E464" s="730">
        <v>0.24861111111111112</v>
      </c>
      <c r="F464" s="558" t="s">
        <v>3354</v>
      </c>
      <c r="G464" s="558" t="s">
        <v>63</v>
      </c>
      <c r="H464" s="558" t="s">
        <v>3351</v>
      </c>
      <c r="I464" s="679" t="s">
        <v>2764</v>
      </c>
      <c r="J464" s="676" t="s">
        <v>5873</v>
      </c>
      <c r="K464" s="676" t="s">
        <v>5873</v>
      </c>
      <c r="M464" t="str">
        <f>""</f>
        <v/>
      </c>
    </row>
    <row r="465" spans="1:13" ht="15.75">
      <c r="A465">
        <v>2018</v>
      </c>
      <c r="B465" s="777">
        <v>43280</v>
      </c>
      <c r="C465" s="730">
        <v>0.31597222222222221</v>
      </c>
      <c r="D465" s="777">
        <v>43280</v>
      </c>
      <c r="E465" s="730">
        <v>0.39583333333333331</v>
      </c>
      <c r="F465" s="558" t="s">
        <v>3378</v>
      </c>
      <c r="G465" s="558" t="s">
        <v>674</v>
      </c>
      <c r="H465" s="558" t="s">
        <v>3379</v>
      </c>
      <c r="I465" s="679" t="s">
        <v>22</v>
      </c>
      <c r="J465" s="676">
        <v>350</v>
      </c>
      <c r="K465" s="676" t="s">
        <v>5873</v>
      </c>
      <c r="M465" t="str">
        <f>""</f>
        <v/>
      </c>
    </row>
    <row r="466" spans="1:13" ht="15.75">
      <c r="A466">
        <v>2018</v>
      </c>
      <c r="B466" s="777">
        <v>43280</v>
      </c>
      <c r="C466" s="730">
        <v>0.15138888888888888</v>
      </c>
      <c r="D466" s="777" t="s">
        <v>5873</v>
      </c>
      <c r="E466" s="730" t="s">
        <v>5873</v>
      </c>
      <c r="F466" s="558" t="s">
        <v>3354</v>
      </c>
      <c r="G466" s="558" t="s">
        <v>63</v>
      </c>
      <c r="H466" s="558" t="s">
        <v>3381</v>
      </c>
      <c r="I466" s="679" t="s">
        <v>2764</v>
      </c>
      <c r="J466" s="676" t="s">
        <v>5873</v>
      </c>
      <c r="K466" s="676" t="s">
        <v>5873</v>
      </c>
      <c r="M466" t="str">
        <f>""</f>
        <v/>
      </c>
    </row>
    <row r="467" spans="1:13" ht="15.75">
      <c r="A467">
        <v>2018</v>
      </c>
      <c r="B467" s="777">
        <v>43295</v>
      </c>
      <c r="C467" s="730">
        <v>0.43055555555555558</v>
      </c>
      <c r="D467" s="777" t="s">
        <v>5873</v>
      </c>
      <c r="E467" s="730" t="s">
        <v>5873</v>
      </c>
      <c r="F467" s="558" t="s">
        <v>2895</v>
      </c>
      <c r="G467" s="558" t="s">
        <v>3143</v>
      </c>
      <c r="H467" s="558" t="s">
        <v>3387</v>
      </c>
      <c r="I467" s="679" t="s">
        <v>2764</v>
      </c>
      <c r="J467" s="676" t="s">
        <v>5873</v>
      </c>
      <c r="K467" s="676" t="s">
        <v>5873</v>
      </c>
      <c r="M467" t="str">
        <f>""</f>
        <v/>
      </c>
    </row>
    <row r="468" spans="1:13" ht="15.75">
      <c r="A468">
        <v>2018</v>
      </c>
      <c r="B468" s="777">
        <v>43299</v>
      </c>
      <c r="C468" s="730">
        <v>0.72777777777777775</v>
      </c>
      <c r="D468" s="777">
        <v>43299</v>
      </c>
      <c r="E468" s="730">
        <v>0.72986111111111107</v>
      </c>
      <c r="F468" s="558" t="s">
        <v>2933</v>
      </c>
      <c r="G468" s="558" t="s">
        <v>124</v>
      </c>
      <c r="H468" s="558" t="s">
        <v>3396</v>
      </c>
      <c r="I468" s="679" t="s">
        <v>2990</v>
      </c>
      <c r="J468" s="676" t="s">
        <v>5873</v>
      </c>
      <c r="K468" s="676" t="s">
        <v>5873</v>
      </c>
      <c r="M468" t="str">
        <f>""</f>
        <v/>
      </c>
    </row>
    <row r="469" spans="1:13" ht="15.75">
      <c r="A469">
        <v>2018</v>
      </c>
      <c r="B469" s="777">
        <v>43300</v>
      </c>
      <c r="C469" s="730">
        <v>0.85069444444444442</v>
      </c>
      <c r="D469" s="777" t="s">
        <v>5873</v>
      </c>
      <c r="E469" s="730" t="s">
        <v>5873</v>
      </c>
      <c r="F469" s="558" t="s">
        <v>3354</v>
      </c>
      <c r="G469" s="558" t="s">
        <v>63</v>
      </c>
      <c r="H469" s="558" t="s">
        <v>3387</v>
      </c>
      <c r="I469" s="679" t="s">
        <v>2764</v>
      </c>
      <c r="J469" s="676" t="s">
        <v>5873</v>
      </c>
      <c r="K469" s="676" t="s">
        <v>5873</v>
      </c>
      <c r="M469" t="str">
        <f>""</f>
        <v/>
      </c>
    </row>
    <row r="470" spans="1:13" ht="15.75">
      <c r="A470">
        <v>2018</v>
      </c>
      <c r="B470" s="777">
        <v>43304</v>
      </c>
      <c r="C470" s="730">
        <v>0.17777777777777778</v>
      </c>
      <c r="D470" s="777">
        <v>43304</v>
      </c>
      <c r="E470" s="730">
        <v>0.18680555555555556</v>
      </c>
      <c r="F470" s="558" t="s">
        <v>3410</v>
      </c>
      <c r="G470" s="558" t="s">
        <v>301</v>
      </c>
      <c r="H470" s="558" t="s">
        <v>3411</v>
      </c>
      <c r="I470" s="679" t="s">
        <v>2990</v>
      </c>
      <c r="J470" s="676">
        <v>40</v>
      </c>
      <c r="K470" s="676" t="s">
        <v>5873</v>
      </c>
      <c r="M470" t="str">
        <f>""</f>
        <v/>
      </c>
    </row>
    <row r="471" spans="1:13" ht="15.75">
      <c r="A471">
        <v>2018</v>
      </c>
      <c r="B471" s="777">
        <v>43307</v>
      </c>
      <c r="C471" s="730">
        <v>0.85</v>
      </c>
      <c r="D471" s="777" t="s">
        <v>5873</v>
      </c>
      <c r="E471" s="730" t="s">
        <v>5873</v>
      </c>
      <c r="F471" s="558" t="s">
        <v>3414</v>
      </c>
      <c r="G471" s="558" t="s">
        <v>124</v>
      </c>
      <c r="H471" s="558" t="s">
        <v>3415</v>
      </c>
      <c r="I471" s="679" t="s">
        <v>3416</v>
      </c>
      <c r="J471" s="676" t="s">
        <v>5873</v>
      </c>
      <c r="K471" s="676" t="s">
        <v>5873</v>
      </c>
      <c r="M471" t="str">
        <f>""</f>
        <v/>
      </c>
    </row>
    <row r="472" spans="1:13" ht="15.75">
      <c r="A472">
        <v>2018</v>
      </c>
      <c r="B472" s="777">
        <v>43308</v>
      </c>
      <c r="C472" s="730">
        <v>0.39861111111111114</v>
      </c>
      <c r="D472" s="777">
        <v>43308</v>
      </c>
      <c r="E472" s="730">
        <v>0.41041666666666665</v>
      </c>
      <c r="F472" s="558" t="s">
        <v>2862</v>
      </c>
      <c r="G472" s="558" t="s">
        <v>124</v>
      </c>
      <c r="H472" s="558" t="s">
        <v>3366</v>
      </c>
      <c r="I472" s="679" t="s">
        <v>2764</v>
      </c>
      <c r="J472" s="676" t="s">
        <v>5873</v>
      </c>
      <c r="K472" s="676" t="s">
        <v>5873</v>
      </c>
      <c r="M472" t="str">
        <f>""</f>
        <v/>
      </c>
    </row>
    <row r="473" spans="1:13" ht="15.75">
      <c r="A473">
        <v>2018</v>
      </c>
      <c r="B473" s="777">
        <v>43312</v>
      </c>
      <c r="C473" s="730">
        <v>0.48888888888888887</v>
      </c>
      <c r="D473" s="777">
        <v>43312</v>
      </c>
      <c r="E473" s="730">
        <v>0.59513888888888888</v>
      </c>
      <c r="F473" s="558" t="s">
        <v>3357</v>
      </c>
      <c r="G473" s="558" t="s">
        <v>124</v>
      </c>
      <c r="H473" s="558" t="s">
        <v>3356</v>
      </c>
      <c r="I473" s="679" t="s">
        <v>2118</v>
      </c>
      <c r="J473" s="676" t="s">
        <v>5873</v>
      </c>
      <c r="K473" s="676" t="s">
        <v>5873</v>
      </c>
      <c r="M473" t="str">
        <f>""</f>
        <v/>
      </c>
    </row>
    <row r="474" spans="1:13" ht="15.75">
      <c r="A474">
        <v>2018</v>
      </c>
      <c r="B474" s="777">
        <v>43316</v>
      </c>
      <c r="C474" s="730">
        <v>0.34722222222222221</v>
      </c>
      <c r="D474" s="777">
        <v>43316</v>
      </c>
      <c r="E474" s="730">
        <v>0.34791666666666665</v>
      </c>
      <c r="F474" s="558" t="s">
        <v>3357</v>
      </c>
      <c r="G474" s="558" t="s">
        <v>124</v>
      </c>
      <c r="H474" s="558" t="s">
        <v>3356</v>
      </c>
      <c r="I474" s="679" t="s">
        <v>100</v>
      </c>
      <c r="J474" s="676" t="s">
        <v>5873</v>
      </c>
      <c r="K474" s="676" t="s">
        <v>5873</v>
      </c>
      <c r="M474" t="str">
        <f>""</f>
        <v/>
      </c>
    </row>
    <row r="475" spans="1:13" ht="15.75">
      <c r="A475">
        <v>2018</v>
      </c>
      <c r="B475" s="777">
        <v>43348</v>
      </c>
      <c r="C475" s="730">
        <v>0.54166666666666663</v>
      </c>
      <c r="D475" s="777">
        <v>43348</v>
      </c>
      <c r="E475" s="730">
        <v>0.54236111111111107</v>
      </c>
      <c r="F475" s="558" t="s">
        <v>3357</v>
      </c>
      <c r="G475" s="558" t="s">
        <v>124</v>
      </c>
      <c r="H475" s="558" t="s">
        <v>3356</v>
      </c>
      <c r="I475" s="679" t="s">
        <v>100</v>
      </c>
      <c r="J475" s="676" t="s">
        <v>5873</v>
      </c>
      <c r="K475" s="676" t="s">
        <v>5873</v>
      </c>
      <c r="M475" t="str">
        <f>""</f>
        <v/>
      </c>
    </row>
    <row r="476" spans="1:13" ht="15.75">
      <c r="A476">
        <v>2018</v>
      </c>
      <c r="B476" s="777">
        <v>43358</v>
      </c>
      <c r="C476" s="730">
        <v>0.625</v>
      </c>
      <c r="D476" s="777">
        <v>43358</v>
      </c>
      <c r="E476" s="730">
        <v>0.75</v>
      </c>
      <c r="F476" s="558" t="s">
        <v>2866</v>
      </c>
      <c r="G476" s="558" t="s">
        <v>63</v>
      </c>
      <c r="H476" s="558" t="s">
        <v>3478</v>
      </c>
      <c r="I476" s="679" t="s">
        <v>2764</v>
      </c>
      <c r="J476" s="676" t="s">
        <v>5873</v>
      </c>
      <c r="K476" s="676" t="s">
        <v>5873</v>
      </c>
      <c r="M476" t="str">
        <f>""</f>
        <v/>
      </c>
    </row>
    <row r="477" spans="1:13" ht="15.75">
      <c r="A477">
        <v>2018</v>
      </c>
      <c r="B477" s="777">
        <v>43374</v>
      </c>
      <c r="C477" s="730">
        <v>0.53055555555555556</v>
      </c>
      <c r="D477" s="777">
        <v>43374</v>
      </c>
      <c r="E477" s="730">
        <v>0.73055555555555551</v>
      </c>
      <c r="F477" s="558" t="s">
        <v>3493</v>
      </c>
      <c r="G477" s="558" t="s">
        <v>3143</v>
      </c>
      <c r="H477" s="558" t="s">
        <v>3387</v>
      </c>
      <c r="I477" s="679" t="s">
        <v>2764</v>
      </c>
      <c r="J477" s="676" t="s">
        <v>5873</v>
      </c>
      <c r="K477" s="676" t="s">
        <v>5873</v>
      </c>
      <c r="M477" t="str">
        <f>""</f>
        <v/>
      </c>
    </row>
    <row r="478" spans="1:13" ht="15.75">
      <c r="A478">
        <v>2018</v>
      </c>
      <c r="B478" s="777">
        <v>43437</v>
      </c>
      <c r="C478" s="730">
        <v>0.13541666666666666</v>
      </c>
      <c r="D478" s="777">
        <v>43437</v>
      </c>
      <c r="E478" s="730">
        <v>0.15555555555555556</v>
      </c>
      <c r="F478" s="558" t="s">
        <v>2919</v>
      </c>
      <c r="G478" s="558" t="s">
        <v>1352</v>
      </c>
      <c r="H478" s="558" t="s">
        <v>3411</v>
      </c>
      <c r="I478" s="679" t="s">
        <v>2483</v>
      </c>
      <c r="J478" s="676">
        <v>16</v>
      </c>
      <c r="K478" s="676" t="s">
        <v>5873</v>
      </c>
      <c r="M478" t="str">
        <f>""</f>
        <v/>
      </c>
    </row>
    <row r="479" spans="1:13" ht="15.75">
      <c r="A479">
        <v>2018</v>
      </c>
      <c r="B479" s="777">
        <v>43461</v>
      </c>
      <c r="C479" s="730">
        <v>0.8833333333333333</v>
      </c>
      <c r="D479" s="777">
        <v>43461</v>
      </c>
      <c r="E479" s="730">
        <v>0.88611111111111107</v>
      </c>
      <c r="F479" s="558" t="s">
        <v>3370</v>
      </c>
      <c r="G479" s="558" t="s">
        <v>61</v>
      </c>
      <c r="H479" s="558" t="s">
        <v>3411</v>
      </c>
      <c r="I479" s="679" t="s">
        <v>2483</v>
      </c>
      <c r="J479" s="676" t="s">
        <v>5873</v>
      </c>
      <c r="K479" s="676" t="s">
        <v>5873</v>
      </c>
      <c r="M479" t="str">
        <f>""</f>
        <v/>
      </c>
    </row>
    <row r="480" spans="1:13" ht="15.75">
      <c r="A480">
        <v>2019</v>
      </c>
      <c r="B480" s="777">
        <v>43470</v>
      </c>
      <c r="C480" s="730">
        <v>0.55486111111111114</v>
      </c>
      <c r="D480" s="777">
        <v>43470</v>
      </c>
      <c r="E480" s="730">
        <v>0.62986111111111109</v>
      </c>
      <c r="F480" s="558" t="s">
        <v>2853</v>
      </c>
      <c r="G480" s="558" t="s">
        <v>124</v>
      </c>
      <c r="H480" s="558" t="s">
        <v>3611</v>
      </c>
      <c r="I480" s="679" t="s">
        <v>2764</v>
      </c>
      <c r="J480" s="676">
        <v>0</v>
      </c>
      <c r="K480" s="676" t="s">
        <v>5873</v>
      </c>
      <c r="M480" t="str">
        <f>""</f>
        <v/>
      </c>
    </row>
    <row r="481" spans="1:13" ht="15.75">
      <c r="A481">
        <v>2019</v>
      </c>
      <c r="B481" s="777">
        <v>43478</v>
      </c>
      <c r="C481" s="730">
        <v>0.22916666666666666</v>
      </c>
      <c r="D481" s="777">
        <v>43480</v>
      </c>
      <c r="E481" s="730">
        <v>0.70833333333333337</v>
      </c>
      <c r="F481" s="558" t="s">
        <v>2832</v>
      </c>
      <c r="G481" s="558" t="s">
        <v>63</v>
      </c>
      <c r="H481" s="558" t="s">
        <v>3451</v>
      </c>
      <c r="I481" s="679" t="s">
        <v>22</v>
      </c>
      <c r="J481" s="676">
        <v>133200</v>
      </c>
      <c r="K481" s="676" t="s">
        <v>5873</v>
      </c>
      <c r="M481" t="str">
        <f>""</f>
        <v/>
      </c>
    </row>
    <row r="482" spans="1:13" ht="15.75">
      <c r="A482">
        <v>2019</v>
      </c>
      <c r="B482" s="777">
        <v>43479</v>
      </c>
      <c r="C482" s="730">
        <v>0.46527777777777779</v>
      </c>
      <c r="D482" s="777" t="s">
        <v>5873</v>
      </c>
      <c r="E482" s="730" t="s">
        <v>5873</v>
      </c>
      <c r="F482" s="558" t="s">
        <v>3307</v>
      </c>
      <c r="G482" s="558" t="s">
        <v>3143</v>
      </c>
      <c r="H482" s="558" t="s">
        <v>3463</v>
      </c>
      <c r="I482" s="679" t="s">
        <v>2293</v>
      </c>
      <c r="J482" s="676" t="s">
        <v>5873</v>
      </c>
      <c r="K482" s="676" t="s">
        <v>5873</v>
      </c>
      <c r="M482" t="str">
        <f>""</f>
        <v/>
      </c>
    </row>
    <row r="483" spans="1:13" ht="15.75">
      <c r="A483">
        <v>2019</v>
      </c>
      <c r="B483" s="777">
        <v>43483</v>
      </c>
      <c r="C483" s="730">
        <v>0.91249999999999998</v>
      </c>
      <c r="D483" s="777">
        <v>43484</v>
      </c>
      <c r="E483" s="730">
        <v>1.3194444444444444E-2</v>
      </c>
      <c r="F483" s="558" t="s">
        <v>3642</v>
      </c>
      <c r="G483" s="558" t="s">
        <v>674</v>
      </c>
      <c r="H483" s="558" t="s">
        <v>3411</v>
      </c>
      <c r="I483" s="679" t="s">
        <v>2483</v>
      </c>
      <c r="J483" s="676">
        <v>8</v>
      </c>
      <c r="K483" s="676" t="s">
        <v>5873</v>
      </c>
      <c r="M483" t="str">
        <f>""</f>
        <v/>
      </c>
    </row>
    <row r="484" spans="1:13" ht="15.75">
      <c r="A484">
        <v>2019</v>
      </c>
      <c r="B484" s="777">
        <v>43494</v>
      </c>
      <c r="C484" s="730">
        <v>0.77361111111111114</v>
      </c>
      <c r="D484" s="777">
        <v>43494</v>
      </c>
      <c r="E484" s="730">
        <v>0.77500000000000002</v>
      </c>
      <c r="F484" s="558" t="s">
        <v>3650</v>
      </c>
      <c r="G484" s="558" t="s">
        <v>63</v>
      </c>
      <c r="H484" s="558" t="s">
        <v>3411</v>
      </c>
      <c r="I484" s="679" t="s">
        <v>2483</v>
      </c>
      <c r="J484" s="676" t="s">
        <v>5873</v>
      </c>
      <c r="K484" s="676" t="s">
        <v>5873</v>
      </c>
      <c r="M484" t="str">
        <f>""</f>
        <v/>
      </c>
    </row>
    <row r="485" spans="1:13" ht="15.75">
      <c r="A485">
        <v>2019</v>
      </c>
      <c r="B485" s="777">
        <v>43495</v>
      </c>
      <c r="C485" s="730">
        <v>0.18263888888888888</v>
      </c>
      <c r="D485" s="777">
        <v>43498</v>
      </c>
      <c r="E485" s="730">
        <v>0.375</v>
      </c>
      <c r="F485" s="558" t="s">
        <v>3653</v>
      </c>
      <c r="G485" s="558" t="s">
        <v>63</v>
      </c>
      <c r="H485" s="558" t="s">
        <v>3654</v>
      </c>
      <c r="I485" s="679" t="s">
        <v>1138</v>
      </c>
      <c r="J485" s="676" t="s">
        <v>5873</v>
      </c>
      <c r="K485" s="676" t="s">
        <v>5873</v>
      </c>
      <c r="M485" t="str">
        <f>""</f>
        <v/>
      </c>
    </row>
    <row r="486" spans="1:13" ht="15.75">
      <c r="A486">
        <v>2019</v>
      </c>
      <c r="B486" s="777">
        <v>43495</v>
      </c>
      <c r="C486" s="730">
        <v>0.39583333333333331</v>
      </c>
      <c r="D486" s="777">
        <v>43496</v>
      </c>
      <c r="E486" s="730">
        <v>0.75</v>
      </c>
      <c r="F486" s="558" t="s">
        <v>3307</v>
      </c>
      <c r="G486" s="558" t="s">
        <v>3143</v>
      </c>
      <c r="H486" s="558" t="s">
        <v>3478</v>
      </c>
      <c r="I486" s="679" t="s">
        <v>22</v>
      </c>
      <c r="J486" s="676" t="s">
        <v>5873</v>
      </c>
      <c r="K486" s="676" t="s">
        <v>5873</v>
      </c>
      <c r="M486" t="str">
        <f>""</f>
        <v/>
      </c>
    </row>
    <row r="487" spans="1:13" ht="15.75">
      <c r="A487">
        <v>2019</v>
      </c>
      <c r="B487" s="777">
        <v>43495</v>
      </c>
      <c r="C487" s="730">
        <v>0.29166666666666669</v>
      </c>
      <c r="D487" s="777">
        <v>43495</v>
      </c>
      <c r="E487" s="730">
        <v>0.33888888888888891</v>
      </c>
      <c r="F487" s="558" t="s">
        <v>3656</v>
      </c>
      <c r="G487" s="558" t="s">
        <v>63</v>
      </c>
      <c r="H487" s="558" t="s">
        <v>3654</v>
      </c>
      <c r="I487" s="679" t="s">
        <v>22</v>
      </c>
      <c r="J487" s="676" t="s">
        <v>5873</v>
      </c>
      <c r="K487" s="676" t="s">
        <v>5873</v>
      </c>
      <c r="M487" t="str">
        <f>""</f>
        <v/>
      </c>
    </row>
    <row r="488" spans="1:13" ht="15.75">
      <c r="A488">
        <v>2019</v>
      </c>
      <c r="B488" s="777">
        <v>43519</v>
      </c>
      <c r="C488" s="730">
        <v>0.58680555555555558</v>
      </c>
      <c r="D488" s="777" t="s">
        <v>5873</v>
      </c>
      <c r="E488" s="730" t="s">
        <v>5873</v>
      </c>
      <c r="F488" s="558" t="s">
        <v>2004</v>
      </c>
      <c r="G488" s="558" t="s">
        <v>63</v>
      </c>
      <c r="H488" s="558" t="s">
        <v>3411</v>
      </c>
      <c r="I488" s="679" t="s">
        <v>2990</v>
      </c>
      <c r="J488" s="676" t="s">
        <v>5873</v>
      </c>
      <c r="K488" s="676" t="s">
        <v>5873</v>
      </c>
      <c r="M488" t="str">
        <f>""</f>
        <v/>
      </c>
    </row>
    <row r="489" spans="1:13" ht="15.75">
      <c r="A489">
        <v>2019</v>
      </c>
      <c r="B489" s="777">
        <v>43549</v>
      </c>
      <c r="C489" s="730">
        <v>0.32430555555555557</v>
      </c>
      <c r="D489" s="777">
        <v>43549</v>
      </c>
      <c r="E489" s="730">
        <v>0.32500000000000001</v>
      </c>
      <c r="F489" s="558" t="s">
        <v>3712</v>
      </c>
      <c r="G489" s="558" t="s">
        <v>124</v>
      </c>
      <c r="H489" s="558" t="s">
        <v>3463</v>
      </c>
      <c r="I489" s="679" t="s">
        <v>2293</v>
      </c>
      <c r="J489" s="676">
        <v>5</v>
      </c>
      <c r="K489" s="676" t="s">
        <v>5873</v>
      </c>
      <c r="M489" t="str">
        <f>""</f>
        <v/>
      </c>
    </row>
    <row r="490" spans="1:13" ht="15.75">
      <c r="A490">
        <v>2019</v>
      </c>
      <c r="B490" s="777">
        <v>43600</v>
      </c>
      <c r="C490" s="730">
        <v>0.50694444444444442</v>
      </c>
      <c r="D490" s="777">
        <v>43600</v>
      </c>
      <c r="E490" s="730">
        <v>0.50763888888888886</v>
      </c>
      <c r="F490" s="558" t="s">
        <v>3524</v>
      </c>
      <c r="G490" s="558" t="s">
        <v>3143</v>
      </c>
      <c r="H490" s="558" t="s">
        <v>3402</v>
      </c>
      <c r="I490" s="679" t="s">
        <v>2118</v>
      </c>
      <c r="J490" s="676" t="s">
        <v>5873</v>
      </c>
      <c r="K490" s="676" t="s">
        <v>5873</v>
      </c>
      <c r="M490" t="str">
        <f>""</f>
        <v/>
      </c>
    </row>
    <row r="491" spans="1:13" ht="15.75">
      <c r="A491">
        <v>2019</v>
      </c>
      <c r="B491" s="777">
        <v>43618</v>
      </c>
      <c r="C491" s="730">
        <v>0.7631944444444444</v>
      </c>
      <c r="D491" s="777">
        <v>43618</v>
      </c>
      <c r="E491" s="730">
        <v>0.86319444444444449</v>
      </c>
      <c r="F491" s="558" t="s">
        <v>2945</v>
      </c>
      <c r="G491" s="558" t="s">
        <v>124</v>
      </c>
      <c r="H491" s="558" t="s">
        <v>3431</v>
      </c>
      <c r="I491" s="679" t="s">
        <v>2990</v>
      </c>
      <c r="J491" s="676" t="s">
        <v>5873</v>
      </c>
      <c r="K491" s="676" t="s">
        <v>5873</v>
      </c>
      <c r="M491" t="str">
        <f>""</f>
        <v/>
      </c>
    </row>
    <row r="492" spans="1:13" ht="15.75">
      <c r="A492">
        <v>2019</v>
      </c>
      <c r="B492" s="777">
        <v>43632</v>
      </c>
      <c r="C492" s="730">
        <v>0.1423611111111111</v>
      </c>
      <c r="D492" s="777" t="s">
        <v>5873</v>
      </c>
      <c r="E492" s="730" t="s">
        <v>5873</v>
      </c>
      <c r="F492" s="558" t="s">
        <v>3693</v>
      </c>
      <c r="G492" s="558" t="s">
        <v>3347</v>
      </c>
      <c r="H492" s="558" t="s">
        <v>3411</v>
      </c>
      <c r="I492" s="679" t="s">
        <v>2990</v>
      </c>
      <c r="J492" s="676" t="s">
        <v>5873</v>
      </c>
      <c r="K492" s="676" t="s">
        <v>5873</v>
      </c>
      <c r="M492" t="str">
        <f>""</f>
        <v/>
      </c>
    </row>
    <row r="493" spans="1:13" ht="15.75">
      <c r="A493">
        <v>2019</v>
      </c>
      <c r="B493" s="777">
        <v>43665</v>
      </c>
      <c r="C493" s="730">
        <v>0.41319444444444442</v>
      </c>
      <c r="D493" s="777">
        <v>43665</v>
      </c>
      <c r="E493" s="730">
        <v>0.54166666666666663</v>
      </c>
      <c r="F493" s="558" t="s">
        <v>3872</v>
      </c>
      <c r="G493" s="558" t="s">
        <v>674</v>
      </c>
      <c r="H493" s="558" t="s">
        <v>3447</v>
      </c>
      <c r="I493" s="679" t="s">
        <v>2764</v>
      </c>
      <c r="J493" s="676" t="s">
        <v>5873</v>
      </c>
      <c r="K493" s="676" t="s">
        <v>5873</v>
      </c>
      <c r="M493" t="str">
        <f>""</f>
        <v/>
      </c>
    </row>
    <row r="494" spans="1:13" ht="15.75">
      <c r="A494">
        <v>2019</v>
      </c>
      <c r="B494" s="777">
        <v>43682</v>
      </c>
      <c r="C494" s="730">
        <v>0.72430555555555554</v>
      </c>
      <c r="D494" s="777">
        <v>43683</v>
      </c>
      <c r="E494" s="730">
        <v>1.3888888888888889E-3</v>
      </c>
      <c r="F494" s="558" t="s">
        <v>3900</v>
      </c>
      <c r="G494" s="558" t="s">
        <v>124</v>
      </c>
      <c r="H494" s="558" t="s">
        <v>3411</v>
      </c>
      <c r="I494" s="679" t="s">
        <v>2483</v>
      </c>
      <c r="J494" s="676">
        <v>66</v>
      </c>
      <c r="K494" s="676" t="s">
        <v>5873</v>
      </c>
      <c r="M494" t="str">
        <f>""</f>
        <v/>
      </c>
    </row>
    <row r="495" spans="1:13" ht="15.75">
      <c r="A495">
        <v>2019</v>
      </c>
      <c r="B495" s="777">
        <v>43690</v>
      </c>
      <c r="C495" s="730">
        <v>0</v>
      </c>
      <c r="D495" s="777" t="s">
        <v>5873</v>
      </c>
      <c r="E495" s="730" t="s">
        <v>5873</v>
      </c>
      <c r="F495" s="558" t="s">
        <v>3911</v>
      </c>
      <c r="G495" s="558" t="s">
        <v>674</v>
      </c>
      <c r="H495" s="558" t="s">
        <v>3356</v>
      </c>
      <c r="I495" s="679" t="s">
        <v>100</v>
      </c>
      <c r="J495" s="676" t="s">
        <v>5873</v>
      </c>
      <c r="K495" s="676" t="s">
        <v>5873</v>
      </c>
      <c r="M495" t="str">
        <f>""</f>
        <v/>
      </c>
    </row>
    <row r="496" spans="1:13" ht="15.75">
      <c r="A496">
        <v>2019</v>
      </c>
      <c r="B496" s="777">
        <v>43690</v>
      </c>
      <c r="C496" s="730">
        <v>0.63194444444444442</v>
      </c>
      <c r="D496" s="777">
        <v>43690</v>
      </c>
      <c r="E496" s="730">
        <v>0.72916666666666663</v>
      </c>
      <c r="F496" s="558" t="s">
        <v>2797</v>
      </c>
      <c r="G496" s="558" t="s">
        <v>1352</v>
      </c>
      <c r="H496" s="558" t="s">
        <v>3478</v>
      </c>
      <c r="I496" s="679" t="s">
        <v>22</v>
      </c>
      <c r="J496" s="676" t="s">
        <v>5873</v>
      </c>
      <c r="K496" s="676" t="s">
        <v>5873</v>
      </c>
      <c r="M496" t="str">
        <f>""</f>
        <v/>
      </c>
    </row>
    <row r="497" spans="1:13" ht="15.75">
      <c r="A497">
        <v>2019</v>
      </c>
      <c r="B497" s="777">
        <v>43692</v>
      </c>
      <c r="C497" s="730">
        <v>0.35416666666666669</v>
      </c>
      <c r="D497" s="777" t="s">
        <v>5873</v>
      </c>
      <c r="E497" s="730" t="s">
        <v>5873</v>
      </c>
      <c r="F497" s="558" t="s">
        <v>2869</v>
      </c>
      <c r="G497" s="558" t="s">
        <v>61</v>
      </c>
      <c r="H497" s="558" t="s">
        <v>3654</v>
      </c>
      <c r="I497" s="679" t="s">
        <v>1138</v>
      </c>
      <c r="J497" s="676">
        <v>150</v>
      </c>
      <c r="K497" s="676" t="s">
        <v>5873</v>
      </c>
      <c r="M497" t="str">
        <f>""</f>
        <v/>
      </c>
    </row>
    <row r="498" spans="1:13" ht="15.75">
      <c r="A498">
        <v>2019</v>
      </c>
      <c r="B498" s="777">
        <v>43692</v>
      </c>
      <c r="C498" s="730">
        <v>0.63263888888888886</v>
      </c>
      <c r="D498" s="777">
        <v>43692</v>
      </c>
      <c r="E498" s="730">
        <v>0.75</v>
      </c>
      <c r="F498" s="558" t="s">
        <v>2919</v>
      </c>
      <c r="G498" s="558" t="s">
        <v>1352</v>
      </c>
      <c r="H498" s="558" t="s">
        <v>3478</v>
      </c>
      <c r="I498" s="679" t="s">
        <v>22</v>
      </c>
      <c r="J498" s="676" t="s">
        <v>5873</v>
      </c>
      <c r="K498" s="676" t="s">
        <v>5873</v>
      </c>
      <c r="M498" t="str">
        <f>""</f>
        <v/>
      </c>
    </row>
    <row r="499" spans="1:13" ht="15.75">
      <c r="A499">
        <v>2019</v>
      </c>
      <c r="B499" s="777">
        <v>43712</v>
      </c>
      <c r="C499" s="730">
        <v>0.60416666666666663</v>
      </c>
      <c r="D499" s="777">
        <v>43714</v>
      </c>
      <c r="E499" s="730">
        <v>0.75</v>
      </c>
      <c r="F499" s="558" t="s">
        <v>2919</v>
      </c>
      <c r="G499" s="558" t="s">
        <v>1352</v>
      </c>
      <c r="H499" s="558" t="s">
        <v>3478</v>
      </c>
      <c r="I499" s="679" t="s">
        <v>22</v>
      </c>
      <c r="J499" s="676" t="s">
        <v>5873</v>
      </c>
      <c r="K499" s="676" t="s">
        <v>5873</v>
      </c>
      <c r="M499" t="str">
        <f>""</f>
        <v/>
      </c>
    </row>
    <row r="500" spans="1:13" ht="15.75">
      <c r="A500">
        <v>2019</v>
      </c>
      <c r="B500" s="777">
        <v>43733</v>
      </c>
      <c r="C500" s="730">
        <v>0.41597222222222224</v>
      </c>
      <c r="D500" s="777">
        <v>43733</v>
      </c>
      <c r="E500" s="730">
        <v>0.41666666666666669</v>
      </c>
      <c r="F500" s="558" t="s">
        <v>2919</v>
      </c>
      <c r="G500" s="558" t="s">
        <v>1352</v>
      </c>
      <c r="H500" s="558" t="s">
        <v>3356</v>
      </c>
      <c r="I500" s="679" t="s">
        <v>100</v>
      </c>
      <c r="J500" s="676" t="s">
        <v>5873</v>
      </c>
      <c r="K500" s="676" t="s">
        <v>5873</v>
      </c>
      <c r="M500" t="str">
        <f>""</f>
        <v/>
      </c>
    </row>
    <row r="501" spans="1:13" ht="15.75">
      <c r="A501">
        <v>2019</v>
      </c>
      <c r="B501" s="777">
        <v>43744</v>
      </c>
      <c r="C501" s="730">
        <v>0.61805555555555558</v>
      </c>
      <c r="D501" s="777">
        <v>43744</v>
      </c>
      <c r="E501" s="730">
        <v>0.625</v>
      </c>
      <c r="F501" s="558" t="s">
        <v>3976</v>
      </c>
      <c r="G501" s="558" t="s">
        <v>1352</v>
      </c>
      <c r="H501" s="558" t="s">
        <v>3411</v>
      </c>
      <c r="I501" s="679" t="s">
        <v>2483</v>
      </c>
      <c r="J501" s="676" t="s">
        <v>5873</v>
      </c>
      <c r="K501" s="676" t="s">
        <v>5873</v>
      </c>
      <c r="M501" t="str">
        <f>""</f>
        <v/>
      </c>
    </row>
    <row r="502" spans="1:13" ht="15.75">
      <c r="A502">
        <v>2019</v>
      </c>
      <c r="B502" s="777">
        <v>43774</v>
      </c>
      <c r="C502" s="730">
        <v>0.37222222222222223</v>
      </c>
      <c r="D502" s="777">
        <v>43774</v>
      </c>
      <c r="E502" s="730">
        <v>0.49375000000000002</v>
      </c>
      <c r="F502" s="558" t="s">
        <v>4019</v>
      </c>
      <c r="G502" s="558" t="s">
        <v>301</v>
      </c>
      <c r="H502" s="558" t="s">
        <v>3411</v>
      </c>
      <c r="I502" s="679" t="s">
        <v>2483</v>
      </c>
      <c r="J502" s="676">
        <v>1500</v>
      </c>
      <c r="K502" s="676" t="s">
        <v>5873</v>
      </c>
      <c r="M502" t="str">
        <f>""</f>
        <v/>
      </c>
    </row>
    <row r="503" spans="1:13" ht="15.75">
      <c r="A503">
        <v>2019</v>
      </c>
      <c r="B503" s="777">
        <v>43777</v>
      </c>
      <c r="C503" s="730">
        <v>0.24305555555555555</v>
      </c>
      <c r="D503" s="777">
        <v>43777</v>
      </c>
      <c r="E503" s="730">
        <v>0.25694444444444442</v>
      </c>
      <c r="F503" s="558" t="s">
        <v>4024</v>
      </c>
      <c r="G503" s="558" t="s">
        <v>124</v>
      </c>
      <c r="H503" s="558" t="s">
        <v>3431</v>
      </c>
      <c r="I503" s="679" t="s">
        <v>2764</v>
      </c>
      <c r="J503" s="676">
        <v>72</v>
      </c>
      <c r="K503" s="676" t="s">
        <v>5873</v>
      </c>
      <c r="M503" t="str">
        <f>""</f>
        <v/>
      </c>
    </row>
    <row r="504" spans="1:13" ht="15.75">
      <c r="A504">
        <v>2019</v>
      </c>
      <c r="B504" s="777">
        <v>43802</v>
      </c>
      <c r="C504" s="730">
        <v>0.28819444444444442</v>
      </c>
      <c r="D504" s="777" t="s">
        <v>5873</v>
      </c>
      <c r="E504" s="730" t="s">
        <v>5873</v>
      </c>
      <c r="F504" s="558" t="s">
        <v>3397</v>
      </c>
      <c r="G504" s="558" t="s">
        <v>124</v>
      </c>
      <c r="H504" s="558" t="s">
        <v>3356</v>
      </c>
      <c r="I504" s="679" t="s">
        <v>100</v>
      </c>
      <c r="J504" s="676" t="s">
        <v>5873</v>
      </c>
      <c r="K504" s="676" t="s">
        <v>5873</v>
      </c>
      <c r="M504" t="str">
        <f>""</f>
        <v/>
      </c>
    </row>
    <row r="505" spans="1:13" ht="15.75">
      <c r="A505">
        <v>2019</v>
      </c>
      <c r="B505" s="777">
        <v>43804</v>
      </c>
      <c r="C505" s="730">
        <v>0</v>
      </c>
      <c r="D505" s="777" t="s">
        <v>5873</v>
      </c>
      <c r="E505" s="730" t="s">
        <v>5873</v>
      </c>
      <c r="F505" s="558" t="s">
        <v>4049</v>
      </c>
      <c r="G505" s="558" t="s">
        <v>124</v>
      </c>
      <c r="H505" s="558" t="s">
        <v>3402</v>
      </c>
      <c r="I505" s="679" t="s">
        <v>2118</v>
      </c>
      <c r="J505" s="676" t="s">
        <v>5873</v>
      </c>
      <c r="K505" s="676" t="s">
        <v>5873</v>
      </c>
      <c r="M505" t="str">
        <f>""</f>
        <v/>
      </c>
    </row>
    <row r="506" spans="1:13" ht="15.75">
      <c r="A506">
        <v>2020</v>
      </c>
      <c r="B506" s="777">
        <v>43839</v>
      </c>
      <c r="C506" s="730">
        <v>0.96319444444444446</v>
      </c>
      <c r="D506" s="777">
        <v>43839</v>
      </c>
      <c r="E506" s="730">
        <v>0.97083333333333333</v>
      </c>
      <c r="F506" s="558" t="s">
        <v>3405</v>
      </c>
      <c r="G506" s="558" t="s">
        <v>3347</v>
      </c>
      <c r="H506" s="558" t="s">
        <v>4071</v>
      </c>
      <c r="I506" s="679" t="s">
        <v>2764</v>
      </c>
      <c r="J506" s="676" t="s">
        <v>5873</v>
      </c>
      <c r="K506" s="676" t="s">
        <v>5873</v>
      </c>
      <c r="M506" t="str">
        <f>""</f>
        <v/>
      </c>
    </row>
    <row r="507" spans="1:13" ht="15.75">
      <c r="A507">
        <v>2020</v>
      </c>
      <c r="B507" s="777">
        <v>43840</v>
      </c>
      <c r="C507" s="730">
        <v>0.62013888888888891</v>
      </c>
      <c r="D507" s="777" t="s">
        <v>5873</v>
      </c>
      <c r="E507" s="730" t="s">
        <v>5873</v>
      </c>
      <c r="F507" s="558" t="s">
        <v>4072</v>
      </c>
      <c r="G507" s="558" t="s">
        <v>63</v>
      </c>
      <c r="H507" s="558" t="s">
        <v>3402</v>
      </c>
      <c r="I507" s="679" t="s">
        <v>2118</v>
      </c>
      <c r="J507" s="676" t="s">
        <v>5873</v>
      </c>
      <c r="K507" s="676" t="s">
        <v>5873</v>
      </c>
      <c r="M507" t="str">
        <f>""</f>
        <v/>
      </c>
    </row>
    <row r="508" spans="1:13" ht="15.75">
      <c r="A508">
        <v>2020</v>
      </c>
      <c r="B508" s="777">
        <v>43841</v>
      </c>
      <c r="C508" s="730">
        <v>0.55555555555555558</v>
      </c>
      <c r="D508" s="777" t="s">
        <v>5873</v>
      </c>
      <c r="E508" s="730" t="s">
        <v>5873</v>
      </c>
      <c r="F508" s="558" t="s">
        <v>3189</v>
      </c>
      <c r="G508" s="558" t="s">
        <v>63</v>
      </c>
      <c r="H508" s="558" t="s">
        <v>4071</v>
      </c>
      <c r="I508" s="679" t="s">
        <v>22</v>
      </c>
      <c r="J508" s="676">
        <v>4</v>
      </c>
      <c r="K508" s="676" t="s">
        <v>5873</v>
      </c>
      <c r="M508" t="str">
        <f>""</f>
        <v/>
      </c>
    </row>
    <row r="509" spans="1:13" ht="15.75">
      <c r="A509">
        <v>2020</v>
      </c>
      <c r="B509" s="777">
        <v>43878</v>
      </c>
      <c r="C509" s="730">
        <v>0.40763888888888888</v>
      </c>
      <c r="D509" s="777">
        <v>43878</v>
      </c>
      <c r="E509" s="730">
        <v>0.64652777777777781</v>
      </c>
      <c r="F509" s="558" t="s">
        <v>3581</v>
      </c>
      <c r="G509" s="558" t="s">
        <v>63</v>
      </c>
      <c r="H509" s="558" t="s">
        <v>3356</v>
      </c>
      <c r="I509" s="679" t="s">
        <v>100</v>
      </c>
      <c r="J509" s="676">
        <v>97</v>
      </c>
      <c r="K509" s="676" t="s">
        <v>5873</v>
      </c>
      <c r="M509" t="str">
        <f>""</f>
        <v/>
      </c>
    </row>
    <row r="510" spans="1:13" ht="15.75">
      <c r="A510">
        <v>2020</v>
      </c>
      <c r="B510" s="777">
        <v>43891</v>
      </c>
      <c r="C510" s="730">
        <v>0.33333333333333331</v>
      </c>
      <c r="D510" s="777" t="s">
        <v>5873</v>
      </c>
      <c r="E510" s="730" t="s">
        <v>5873</v>
      </c>
      <c r="F510" s="558" t="s">
        <v>4138</v>
      </c>
      <c r="G510" s="558" t="s">
        <v>61</v>
      </c>
      <c r="H510" s="558" t="s">
        <v>3654</v>
      </c>
      <c r="I510" s="679" t="s">
        <v>1138</v>
      </c>
      <c r="J510" s="676">
        <v>675</v>
      </c>
      <c r="K510" s="676" t="s">
        <v>5873</v>
      </c>
      <c r="M510" t="str">
        <f>""</f>
        <v/>
      </c>
    </row>
    <row r="511" spans="1:13" ht="15.75">
      <c r="A511">
        <v>2020</v>
      </c>
      <c r="B511" s="777">
        <v>43923</v>
      </c>
      <c r="C511" s="730">
        <v>0.56736111111111109</v>
      </c>
      <c r="D511" s="777">
        <v>43923</v>
      </c>
      <c r="E511" s="730">
        <v>0.61319444444444449</v>
      </c>
      <c r="F511" s="558" t="s">
        <v>4181</v>
      </c>
      <c r="G511" s="558" t="s">
        <v>674</v>
      </c>
      <c r="H511" s="558" t="s">
        <v>3411</v>
      </c>
      <c r="I511" s="679" t="s">
        <v>2483</v>
      </c>
      <c r="J511" s="676">
        <v>5</v>
      </c>
      <c r="K511" s="676" t="s">
        <v>5873</v>
      </c>
      <c r="M511" t="str">
        <f>""</f>
        <v/>
      </c>
    </row>
    <row r="512" spans="1:13" ht="15.75">
      <c r="A512">
        <v>2020</v>
      </c>
      <c r="B512" s="777">
        <v>43923</v>
      </c>
      <c r="C512" s="730">
        <v>0.86458333333333337</v>
      </c>
      <c r="D512" s="777" t="s">
        <v>5873</v>
      </c>
      <c r="E512" s="730" t="s">
        <v>5873</v>
      </c>
      <c r="F512" s="558" t="s">
        <v>4182</v>
      </c>
      <c r="G512" s="558" t="s">
        <v>124</v>
      </c>
      <c r="H512" s="558" t="s">
        <v>3463</v>
      </c>
      <c r="I512" s="679" t="s">
        <v>100</v>
      </c>
      <c r="J512" s="676" t="s">
        <v>5873</v>
      </c>
      <c r="K512" s="676" t="s">
        <v>5873</v>
      </c>
      <c r="M512" t="str">
        <f>""</f>
        <v/>
      </c>
    </row>
    <row r="513" spans="1:13" ht="15.75">
      <c r="A513">
        <v>2020</v>
      </c>
      <c r="B513" s="777">
        <v>43932</v>
      </c>
      <c r="C513" s="730">
        <v>0.73611111111111116</v>
      </c>
      <c r="D513" s="777">
        <v>43932</v>
      </c>
      <c r="E513" s="730">
        <v>0.74375000000000002</v>
      </c>
      <c r="F513" s="558" t="s">
        <v>4196</v>
      </c>
      <c r="G513" s="558" t="s">
        <v>124</v>
      </c>
      <c r="H513" s="558" t="s">
        <v>3463</v>
      </c>
      <c r="I513" s="679" t="s">
        <v>2118</v>
      </c>
      <c r="J513" s="676" t="s">
        <v>5873</v>
      </c>
      <c r="K513" s="676" t="s">
        <v>5873</v>
      </c>
      <c r="M513" t="str">
        <f>""</f>
        <v/>
      </c>
    </row>
    <row r="514" spans="1:13" ht="15.75">
      <c r="A514">
        <v>2020</v>
      </c>
      <c r="B514" s="777">
        <v>43934</v>
      </c>
      <c r="C514" s="730">
        <v>0.31319444444444444</v>
      </c>
      <c r="D514" s="777">
        <v>43934</v>
      </c>
      <c r="E514" s="730">
        <v>0.58333333333333337</v>
      </c>
      <c r="F514" s="558" t="s">
        <v>2832</v>
      </c>
      <c r="G514" s="558" t="s">
        <v>63</v>
      </c>
      <c r="H514" s="558" t="s">
        <v>3451</v>
      </c>
      <c r="I514" s="679" t="s">
        <v>22</v>
      </c>
      <c r="J514" s="676" t="s">
        <v>5873</v>
      </c>
      <c r="K514" s="676" t="s">
        <v>5873</v>
      </c>
      <c r="M514" t="str">
        <f>""</f>
        <v/>
      </c>
    </row>
    <row r="515" spans="1:13" ht="15.75">
      <c r="A515">
        <v>2020</v>
      </c>
      <c r="B515" s="777">
        <v>44019</v>
      </c>
      <c r="C515" s="730">
        <v>0.80347222222222225</v>
      </c>
      <c r="D515" s="777">
        <v>44019</v>
      </c>
      <c r="E515" s="730">
        <v>0.99236111111111114</v>
      </c>
      <c r="F515" s="558" t="s">
        <v>4313</v>
      </c>
      <c r="G515" s="558" t="s">
        <v>3143</v>
      </c>
      <c r="H515" s="558" t="s">
        <v>3411</v>
      </c>
      <c r="I515" s="679" t="s">
        <v>2990</v>
      </c>
      <c r="J515" s="676" t="s">
        <v>5873</v>
      </c>
      <c r="K515" s="676" t="s">
        <v>5873</v>
      </c>
      <c r="M515" t="str">
        <f>""</f>
        <v/>
      </c>
    </row>
    <row r="516" spans="1:13" ht="15.75">
      <c r="A516">
        <v>2020</v>
      </c>
      <c r="B516" s="777">
        <v>44031</v>
      </c>
      <c r="C516" s="730">
        <v>0.4375</v>
      </c>
      <c r="D516" s="777" t="s">
        <v>5873</v>
      </c>
      <c r="E516" s="730" t="s">
        <v>5873</v>
      </c>
      <c r="F516" s="558" t="s">
        <v>4332</v>
      </c>
      <c r="G516" s="558" t="s">
        <v>61</v>
      </c>
      <c r="H516" s="558" t="s">
        <v>3654</v>
      </c>
      <c r="I516" s="679" t="s">
        <v>1138</v>
      </c>
      <c r="J516" s="676">
        <v>675</v>
      </c>
      <c r="K516" s="676" t="s">
        <v>5873</v>
      </c>
      <c r="M516" t="str">
        <f>""</f>
        <v/>
      </c>
    </row>
    <row r="517" spans="1:13" ht="15.75">
      <c r="A517">
        <v>2020</v>
      </c>
      <c r="B517" s="777">
        <v>44044</v>
      </c>
      <c r="C517" s="730">
        <v>0.46805555555555556</v>
      </c>
      <c r="D517" s="777">
        <v>44053</v>
      </c>
      <c r="E517" s="730">
        <v>0.8930555555555556</v>
      </c>
      <c r="F517" s="558" t="s">
        <v>4354</v>
      </c>
      <c r="G517" s="558" t="s">
        <v>1352</v>
      </c>
      <c r="H517" s="558" t="s">
        <v>3478</v>
      </c>
      <c r="I517" s="679" t="s">
        <v>22</v>
      </c>
      <c r="J517" s="676" t="s">
        <v>5873</v>
      </c>
      <c r="K517" s="676" t="s">
        <v>5873</v>
      </c>
      <c r="M517" t="str">
        <f>""</f>
        <v/>
      </c>
    </row>
    <row r="518" spans="1:13" ht="15.75">
      <c r="A518">
        <v>2020</v>
      </c>
      <c r="B518" s="777">
        <v>44044</v>
      </c>
      <c r="C518" s="730">
        <v>0</v>
      </c>
      <c r="D518" s="777">
        <v>44044</v>
      </c>
      <c r="E518" s="730">
        <v>6.9444444444444447E-4</v>
      </c>
      <c r="F518" s="558" t="s">
        <v>4356</v>
      </c>
      <c r="G518" s="558" t="s">
        <v>1352</v>
      </c>
      <c r="H518" s="558" t="s">
        <v>4043</v>
      </c>
      <c r="I518" s="679" t="s">
        <v>22</v>
      </c>
      <c r="J518" s="676" t="s">
        <v>5873</v>
      </c>
      <c r="K518" s="676" t="s">
        <v>5873</v>
      </c>
      <c r="M518" t="str">
        <f>""</f>
        <v/>
      </c>
    </row>
    <row r="519" spans="1:13" ht="15.75">
      <c r="A519">
        <v>2020</v>
      </c>
      <c r="B519" s="777">
        <v>44046</v>
      </c>
      <c r="C519" s="730">
        <v>0.95972222222222225</v>
      </c>
      <c r="D519" s="777" t="s">
        <v>5873</v>
      </c>
      <c r="E519" s="730" t="s">
        <v>5873</v>
      </c>
      <c r="F519" s="558" t="s">
        <v>2928</v>
      </c>
      <c r="G519" s="558" t="s">
        <v>63</v>
      </c>
      <c r="H519" s="558" t="s">
        <v>4362</v>
      </c>
      <c r="I519" s="679" t="s">
        <v>22</v>
      </c>
      <c r="J519" s="676" t="s">
        <v>5873</v>
      </c>
      <c r="K519" s="676" t="s">
        <v>5873</v>
      </c>
      <c r="M519" t="str">
        <f>""</f>
        <v/>
      </c>
    </row>
    <row r="520" spans="1:13" ht="15.75">
      <c r="A520">
        <v>2020</v>
      </c>
      <c r="B520" s="777">
        <v>44053</v>
      </c>
      <c r="C520" s="730">
        <v>0.45833333333333331</v>
      </c>
      <c r="D520" s="777">
        <v>44053</v>
      </c>
      <c r="E520" s="730">
        <v>0.66666666666666663</v>
      </c>
      <c r="F520" s="558" t="s">
        <v>4388</v>
      </c>
      <c r="G520" s="558" t="s">
        <v>674</v>
      </c>
      <c r="H520" s="558" t="s">
        <v>4389</v>
      </c>
      <c r="I520" s="679" t="s">
        <v>22</v>
      </c>
      <c r="J520" s="676">
        <v>550</v>
      </c>
      <c r="K520" s="676" t="s">
        <v>5873</v>
      </c>
      <c r="M520" t="str">
        <f>""</f>
        <v/>
      </c>
    </row>
    <row r="521" spans="1:13" ht="15.75">
      <c r="A521">
        <v>2020</v>
      </c>
      <c r="B521" s="777">
        <v>44053</v>
      </c>
      <c r="C521" s="730">
        <v>0.53402777777777777</v>
      </c>
      <c r="D521" s="777" t="s">
        <v>5873</v>
      </c>
      <c r="E521" s="730" t="s">
        <v>5873</v>
      </c>
      <c r="F521" s="558" t="s">
        <v>4394</v>
      </c>
      <c r="G521" s="558" t="s">
        <v>674</v>
      </c>
      <c r="H521" s="558" t="s">
        <v>4362</v>
      </c>
      <c r="I521" s="679" t="s">
        <v>22</v>
      </c>
      <c r="J521" s="676" t="s">
        <v>5873</v>
      </c>
      <c r="K521" s="676" t="s">
        <v>5873</v>
      </c>
      <c r="M521" t="str">
        <f>""</f>
        <v/>
      </c>
    </row>
    <row r="522" spans="1:13" ht="15.75">
      <c r="A522">
        <v>2020</v>
      </c>
      <c r="B522" s="777">
        <v>44057</v>
      </c>
      <c r="C522" s="730">
        <v>0.71875</v>
      </c>
      <c r="D522" s="777">
        <v>44058</v>
      </c>
      <c r="E522" s="730">
        <v>0.875</v>
      </c>
      <c r="F522" s="558" t="s">
        <v>2945</v>
      </c>
      <c r="G522" s="558" t="s">
        <v>124</v>
      </c>
      <c r="H522" s="558" t="s">
        <v>3750</v>
      </c>
      <c r="I522" s="679" t="s">
        <v>22</v>
      </c>
      <c r="J522" s="676">
        <v>1120</v>
      </c>
      <c r="K522" s="676" t="s">
        <v>5873</v>
      </c>
      <c r="M522" t="str">
        <f>""</f>
        <v/>
      </c>
    </row>
    <row r="523" spans="1:13" ht="15.75">
      <c r="A523">
        <v>2020</v>
      </c>
      <c r="B523" s="777">
        <v>44058</v>
      </c>
      <c r="C523" s="730">
        <v>0.62013888888888891</v>
      </c>
      <c r="D523" s="777">
        <v>44058</v>
      </c>
      <c r="E523" s="730">
        <v>0.83333333333333337</v>
      </c>
      <c r="F523" s="558" t="s">
        <v>2945</v>
      </c>
      <c r="G523" s="558" t="s">
        <v>124</v>
      </c>
      <c r="H523" s="558" t="s">
        <v>3750</v>
      </c>
      <c r="I523" s="679" t="s">
        <v>22</v>
      </c>
      <c r="J523" s="676">
        <v>795</v>
      </c>
      <c r="K523" s="676" t="s">
        <v>5873</v>
      </c>
      <c r="M523" t="str">
        <f>""</f>
        <v/>
      </c>
    </row>
    <row r="524" spans="1:13" ht="15.75">
      <c r="A524">
        <v>2020</v>
      </c>
      <c r="B524" s="777">
        <v>44059</v>
      </c>
      <c r="C524" s="730">
        <v>0.72916666666666663</v>
      </c>
      <c r="D524" s="777">
        <v>44059</v>
      </c>
      <c r="E524" s="730">
        <v>0.79861111111111116</v>
      </c>
      <c r="F524" s="558" t="s">
        <v>2945</v>
      </c>
      <c r="G524" s="558" t="s">
        <v>124</v>
      </c>
      <c r="H524" s="558" t="s">
        <v>3478</v>
      </c>
      <c r="I524" s="679" t="s">
        <v>22</v>
      </c>
      <c r="J524" s="676">
        <v>712</v>
      </c>
      <c r="K524" s="676" t="s">
        <v>5873</v>
      </c>
      <c r="M524" t="str">
        <f>""</f>
        <v/>
      </c>
    </row>
    <row r="525" spans="1:13" ht="15.75">
      <c r="A525">
        <v>2020</v>
      </c>
      <c r="B525" s="777">
        <v>44060</v>
      </c>
      <c r="C525" s="730">
        <v>0.62847222222222221</v>
      </c>
      <c r="D525" s="777">
        <v>44060</v>
      </c>
      <c r="E525" s="730">
        <v>0.89166666666666672</v>
      </c>
      <c r="F525" s="558" t="s">
        <v>2945</v>
      </c>
      <c r="G525" s="558" t="s">
        <v>124</v>
      </c>
      <c r="H525" s="558" t="s">
        <v>3478</v>
      </c>
      <c r="I525" s="679" t="s">
        <v>22</v>
      </c>
      <c r="J525" s="676">
        <v>829</v>
      </c>
      <c r="K525" s="676" t="s">
        <v>5873</v>
      </c>
      <c r="M525" t="str">
        <f>""</f>
        <v/>
      </c>
    </row>
    <row r="526" spans="1:13" ht="15.75">
      <c r="A526">
        <v>2020</v>
      </c>
      <c r="B526" s="777">
        <v>44061</v>
      </c>
      <c r="C526" s="730">
        <v>0.5625</v>
      </c>
      <c r="D526" s="777">
        <v>44061</v>
      </c>
      <c r="E526" s="730">
        <v>0.85416666666666663</v>
      </c>
      <c r="F526" s="558" t="s">
        <v>2945</v>
      </c>
      <c r="G526" s="558" t="s">
        <v>124</v>
      </c>
      <c r="H526" s="558" t="s">
        <v>3478</v>
      </c>
      <c r="I526" s="679" t="s">
        <v>22</v>
      </c>
      <c r="J526" s="676">
        <v>917</v>
      </c>
      <c r="K526" s="676" t="s">
        <v>5873</v>
      </c>
      <c r="M526" t="str">
        <f>""</f>
        <v/>
      </c>
    </row>
    <row r="527" spans="1:13" ht="15.75">
      <c r="A527">
        <v>2020</v>
      </c>
      <c r="B527" s="777">
        <v>44061</v>
      </c>
      <c r="C527" s="730">
        <v>0.60416666666666663</v>
      </c>
      <c r="D527" s="777" t="s">
        <v>5873</v>
      </c>
      <c r="E527" s="730" t="s">
        <v>5873</v>
      </c>
      <c r="F527" s="558" t="s">
        <v>3741</v>
      </c>
      <c r="G527" s="558" t="s">
        <v>124</v>
      </c>
      <c r="H527" s="558" t="s">
        <v>3478</v>
      </c>
      <c r="I527" s="679" t="s">
        <v>22</v>
      </c>
      <c r="J527" s="676">
        <v>0</v>
      </c>
      <c r="K527" s="676" t="s">
        <v>5873</v>
      </c>
      <c r="M527" t="str">
        <f>""</f>
        <v/>
      </c>
    </row>
    <row r="528" spans="1:13" ht="15.75">
      <c r="A528">
        <v>2020</v>
      </c>
      <c r="B528" s="777">
        <v>44062</v>
      </c>
      <c r="C528" s="730">
        <v>0.5</v>
      </c>
      <c r="D528" s="777">
        <v>44062</v>
      </c>
      <c r="E528" s="730">
        <v>0.875</v>
      </c>
      <c r="F528" s="558" t="s">
        <v>2945</v>
      </c>
      <c r="G528" s="558" t="s">
        <v>124</v>
      </c>
      <c r="H528" s="558" t="s">
        <v>3478</v>
      </c>
      <c r="I528" s="679" t="s">
        <v>22</v>
      </c>
      <c r="J528" s="676" t="s">
        <v>5873</v>
      </c>
      <c r="K528" s="676" t="s">
        <v>5873</v>
      </c>
      <c r="M528" t="str">
        <f>""</f>
        <v/>
      </c>
    </row>
    <row r="529" spans="1:13" ht="15.75">
      <c r="A529">
        <v>2020</v>
      </c>
      <c r="B529" s="777">
        <v>44063</v>
      </c>
      <c r="C529" s="730">
        <v>0.64513888888888893</v>
      </c>
      <c r="D529" s="777">
        <v>44063</v>
      </c>
      <c r="E529" s="730">
        <v>0.65208333333333335</v>
      </c>
      <c r="F529" s="558" t="s">
        <v>4443</v>
      </c>
      <c r="G529" s="558" t="s">
        <v>674</v>
      </c>
      <c r="H529" s="558" t="s">
        <v>3411</v>
      </c>
      <c r="I529" s="679" t="s">
        <v>2483</v>
      </c>
      <c r="J529" s="676">
        <v>60</v>
      </c>
      <c r="K529" s="676" t="s">
        <v>5873</v>
      </c>
      <c r="M529" t="str">
        <f>""</f>
        <v/>
      </c>
    </row>
    <row r="530" spans="1:13" ht="15.75">
      <c r="A530">
        <v>2020</v>
      </c>
      <c r="B530" s="777">
        <v>44066</v>
      </c>
      <c r="C530" s="730">
        <v>0.4375</v>
      </c>
      <c r="D530" s="777" t="s">
        <v>5873</v>
      </c>
      <c r="E530" s="730" t="s">
        <v>5873</v>
      </c>
      <c r="F530" s="558" t="s">
        <v>4446</v>
      </c>
      <c r="G530" s="558" t="s">
        <v>1352</v>
      </c>
      <c r="H530" s="558" t="s">
        <v>3478</v>
      </c>
      <c r="I530" s="679" t="s">
        <v>22</v>
      </c>
      <c r="J530" s="676" t="s">
        <v>5873</v>
      </c>
      <c r="K530" s="676" t="s">
        <v>5873</v>
      </c>
      <c r="M530" t="str">
        <f>""</f>
        <v/>
      </c>
    </row>
    <row r="531" spans="1:13" ht="15.75">
      <c r="A531">
        <v>2020</v>
      </c>
      <c r="B531" s="777">
        <v>44070</v>
      </c>
      <c r="C531" s="730">
        <v>0.29166666666666669</v>
      </c>
      <c r="D531" s="777">
        <v>44073</v>
      </c>
      <c r="E531" s="730">
        <v>0.79166666666666663</v>
      </c>
      <c r="F531" s="558" t="s">
        <v>3399</v>
      </c>
      <c r="G531" s="558" t="s">
        <v>63</v>
      </c>
      <c r="H531" s="558" t="s">
        <v>4453</v>
      </c>
      <c r="I531" s="679" t="s">
        <v>22</v>
      </c>
      <c r="J531" s="676">
        <v>48</v>
      </c>
      <c r="K531" s="676" t="s">
        <v>5873</v>
      </c>
      <c r="M531" t="str">
        <f>""</f>
        <v/>
      </c>
    </row>
    <row r="532" spans="1:13" ht="15.75">
      <c r="A532">
        <v>2020</v>
      </c>
      <c r="B532" s="777">
        <v>44070</v>
      </c>
      <c r="C532" s="730">
        <v>0.53055555555555556</v>
      </c>
      <c r="D532" s="777">
        <v>44070</v>
      </c>
      <c r="E532" s="730">
        <v>0.95833333333333337</v>
      </c>
      <c r="F532" s="558" t="s">
        <v>2919</v>
      </c>
      <c r="G532" s="558" t="s">
        <v>1352</v>
      </c>
      <c r="H532" s="558" t="s">
        <v>3478</v>
      </c>
      <c r="I532" s="679" t="s">
        <v>22</v>
      </c>
      <c r="J532" s="676" t="s">
        <v>5873</v>
      </c>
      <c r="K532" s="676" t="s">
        <v>5873</v>
      </c>
      <c r="M532" t="str">
        <f>""</f>
        <v/>
      </c>
    </row>
    <row r="533" spans="1:13" ht="15.75">
      <c r="A533">
        <v>2020</v>
      </c>
      <c r="B533" s="777">
        <v>44070</v>
      </c>
      <c r="C533" s="730">
        <v>0.50416666666666665</v>
      </c>
      <c r="D533" s="777">
        <v>44070</v>
      </c>
      <c r="E533" s="730">
        <v>0.9506944444444444</v>
      </c>
      <c r="F533" s="558" t="s">
        <v>2919</v>
      </c>
      <c r="G533" s="558" t="s">
        <v>1352</v>
      </c>
      <c r="H533" s="558" t="s">
        <v>3750</v>
      </c>
      <c r="I533" s="679" t="s">
        <v>22</v>
      </c>
      <c r="J533" s="676">
        <v>581</v>
      </c>
      <c r="K533" s="676" t="s">
        <v>5873</v>
      </c>
      <c r="M533" t="str">
        <f>""</f>
        <v/>
      </c>
    </row>
    <row r="534" spans="1:13" ht="15.75">
      <c r="A534">
        <v>2020</v>
      </c>
      <c r="B534" s="777">
        <v>44070</v>
      </c>
      <c r="C534" s="730">
        <v>0.50138888888888888</v>
      </c>
      <c r="D534" s="777">
        <v>44070</v>
      </c>
      <c r="E534" s="730">
        <v>0.95416666666666672</v>
      </c>
      <c r="F534" s="558" t="s">
        <v>2919</v>
      </c>
      <c r="G534" s="558" t="s">
        <v>1352</v>
      </c>
      <c r="H534" s="558" t="s">
        <v>3750</v>
      </c>
      <c r="I534" s="679" t="s">
        <v>22</v>
      </c>
      <c r="J534" s="676">
        <v>573</v>
      </c>
      <c r="K534" s="676" t="s">
        <v>5873</v>
      </c>
      <c r="M534" t="str">
        <f>""</f>
        <v/>
      </c>
    </row>
    <row r="535" spans="1:13" ht="15.75">
      <c r="A535">
        <v>2020</v>
      </c>
      <c r="B535" s="777">
        <v>44070</v>
      </c>
      <c r="C535" s="730">
        <v>0.55833333333333335</v>
      </c>
      <c r="D535" s="777" t="s">
        <v>5873</v>
      </c>
      <c r="E535" s="730" t="s">
        <v>5873</v>
      </c>
      <c r="F535" s="558" t="s">
        <v>4464</v>
      </c>
      <c r="G535" s="558" t="s">
        <v>1352</v>
      </c>
      <c r="H535" s="558" t="s">
        <v>3750</v>
      </c>
      <c r="I535" s="679" t="s">
        <v>22</v>
      </c>
      <c r="J535" s="676">
        <v>208</v>
      </c>
      <c r="K535" s="676" t="s">
        <v>5873</v>
      </c>
      <c r="M535" t="str">
        <f>""</f>
        <v/>
      </c>
    </row>
    <row r="536" spans="1:13" ht="15.75">
      <c r="A536">
        <v>2020</v>
      </c>
      <c r="B536" s="777">
        <v>44070</v>
      </c>
      <c r="C536" s="730">
        <v>0.50416666666666665</v>
      </c>
      <c r="D536" s="777" t="s">
        <v>5873</v>
      </c>
      <c r="E536" s="730" t="s">
        <v>5873</v>
      </c>
      <c r="F536" s="558" t="s">
        <v>2919</v>
      </c>
      <c r="G536" s="558" t="s">
        <v>1352</v>
      </c>
      <c r="H536" s="558" t="s">
        <v>3750</v>
      </c>
      <c r="I536" s="679" t="s">
        <v>22</v>
      </c>
      <c r="J536" s="676">
        <v>350</v>
      </c>
      <c r="K536" s="676" t="s">
        <v>5873</v>
      </c>
      <c r="M536" t="str">
        <f>""</f>
        <v/>
      </c>
    </row>
    <row r="537" spans="1:13" ht="15.75">
      <c r="A537">
        <v>2020</v>
      </c>
      <c r="B537" s="777">
        <v>44070</v>
      </c>
      <c r="C537" s="730">
        <v>0.25</v>
      </c>
      <c r="D537" s="777">
        <v>44070</v>
      </c>
      <c r="E537" s="730">
        <v>0.25347222222222221</v>
      </c>
      <c r="F537" s="558" t="s">
        <v>4445</v>
      </c>
      <c r="G537" s="558" t="s">
        <v>3143</v>
      </c>
      <c r="H537" s="558" t="s">
        <v>3402</v>
      </c>
      <c r="I537" s="679" t="s">
        <v>2118</v>
      </c>
      <c r="J537" s="676">
        <v>2900</v>
      </c>
      <c r="K537" s="676" t="s">
        <v>5873</v>
      </c>
      <c r="M537" t="str">
        <f>""</f>
        <v/>
      </c>
    </row>
    <row r="538" spans="1:13" ht="15.75">
      <c r="A538">
        <v>2020</v>
      </c>
      <c r="B538" s="777">
        <v>44070</v>
      </c>
      <c r="C538" s="730">
        <v>0.13472222222222222</v>
      </c>
      <c r="D538" s="777" t="s">
        <v>5873</v>
      </c>
      <c r="E538" s="730" t="s">
        <v>5873</v>
      </c>
      <c r="F538" s="558" t="s">
        <v>4467</v>
      </c>
      <c r="G538" s="558" t="s">
        <v>63</v>
      </c>
      <c r="H538" s="558" t="s">
        <v>3451</v>
      </c>
      <c r="I538" s="679" t="s">
        <v>22</v>
      </c>
      <c r="J538" s="676" t="s">
        <v>5873</v>
      </c>
      <c r="K538" s="676" t="s">
        <v>5873</v>
      </c>
      <c r="M538" t="str">
        <f>""</f>
        <v/>
      </c>
    </row>
    <row r="539" spans="1:13" ht="15.75">
      <c r="A539">
        <v>2020</v>
      </c>
      <c r="B539" s="777">
        <v>44072</v>
      </c>
      <c r="C539" s="730">
        <v>0.14930555555555555</v>
      </c>
      <c r="D539" s="777">
        <v>44072</v>
      </c>
      <c r="E539" s="730">
        <v>0.23958333333333334</v>
      </c>
      <c r="F539" s="558" t="s">
        <v>2919</v>
      </c>
      <c r="G539" s="558" t="s">
        <v>1352</v>
      </c>
      <c r="H539" s="558" t="s">
        <v>3387</v>
      </c>
      <c r="I539" s="679" t="s">
        <v>22</v>
      </c>
      <c r="J539" s="676" t="s">
        <v>5873</v>
      </c>
      <c r="K539" s="676" t="s">
        <v>5873</v>
      </c>
      <c r="M539" t="str">
        <f>""</f>
        <v/>
      </c>
    </row>
    <row r="540" spans="1:13" ht="15.75">
      <c r="A540">
        <v>2020</v>
      </c>
      <c r="B540" s="777">
        <v>44077</v>
      </c>
      <c r="C540" s="730">
        <v>0.57361111111111107</v>
      </c>
      <c r="D540" s="777">
        <v>44077</v>
      </c>
      <c r="E540" s="730">
        <v>0.94930555555555551</v>
      </c>
      <c r="F540" s="558" t="s">
        <v>2853</v>
      </c>
      <c r="G540" s="558" t="s">
        <v>124</v>
      </c>
      <c r="H540" s="558" t="s">
        <v>3411</v>
      </c>
      <c r="I540" s="679" t="s">
        <v>2483</v>
      </c>
      <c r="J540" s="676" t="s">
        <v>5873</v>
      </c>
      <c r="K540" s="676" t="s">
        <v>5873</v>
      </c>
      <c r="M540" t="str">
        <f>""</f>
        <v/>
      </c>
    </row>
    <row r="541" spans="1:13" ht="15.75">
      <c r="A541">
        <v>2020</v>
      </c>
      <c r="B541" s="777">
        <v>44079</v>
      </c>
      <c r="C541" s="730">
        <v>0.72222222222222221</v>
      </c>
      <c r="D541" s="777">
        <v>44079</v>
      </c>
      <c r="E541" s="730">
        <v>0.85902777777777772</v>
      </c>
      <c r="F541" s="558" t="s">
        <v>2945</v>
      </c>
      <c r="G541" s="558" t="s">
        <v>124</v>
      </c>
      <c r="H541" s="558" t="s">
        <v>3478</v>
      </c>
      <c r="I541" s="679" t="s">
        <v>22</v>
      </c>
      <c r="J541" s="676">
        <v>986</v>
      </c>
      <c r="K541" s="676" t="s">
        <v>5873</v>
      </c>
      <c r="M541" t="str">
        <f>""</f>
        <v/>
      </c>
    </row>
    <row r="542" spans="1:13" ht="15.75">
      <c r="A542">
        <v>2020</v>
      </c>
      <c r="B542" s="777">
        <v>44080</v>
      </c>
      <c r="C542" s="730">
        <v>0.6875</v>
      </c>
      <c r="D542" s="777">
        <v>44080</v>
      </c>
      <c r="E542" s="730">
        <v>0.87847222222222221</v>
      </c>
      <c r="F542" s="558" t="s">
        <v>2945</v>
      </c>
      <c r="G542" s="558" t="s">
        <v>124</v>
      </c>
      <c r="H542" s="558" t="s">
        <v>3478</v>
      </c>
      <c r="I542" s="679" t="s">
        <v>2764</v>
      </c>
      <c r="J542" s="676">
        <v>1071</v>
      </c>
      <c r="K542" s="676" t="s">
        <v>5873</v>
      </c>
      <c r="M542" t="str">
        <f>""</f>
        <v/>
      </c>
    </row>
    <row r="543" spans="1:13" ht="15.75">
      <c r="A543">
        <v>2020</v>
      </c>
      <c r="B543" s="777">
        <v>44094</v>
      </c>
      <c r="C543" s="730">
        <v>0.83402777777777781</v>
      </c>
      <c r="D543" s="777">
        <v>44095</v>
      </c>
      <c r="E543" s="730">
        <v>0.65555555555555556</v>
      </c>
      <c r="F543" s="558" t="s">
        <v>4505</v>
      </c>
      <c r="G543" s="558" t="s">
        <v>3347</v>
      </c>
      <c r="H543" s="558" t="s">
        <v>3356</v>
      </c>
      <c r="I543" s="679" t="s">
        <v>2293</v>
      </c>
      <c r="J543" s="676">
        <v>0</v>
      </c>
      <c r="K543" s="676" t="s">
        <v>5873</v>
      </c>
      <c r="M543" t="str">
        <f>""</f>
        <v/>
      </c>
    </row>
    <row r="544" spans="1:13" ht="15.75">
      <c r="A544">
        <v>2020</v>
      </c>
      <c r="B544" s="777">
        <v>44114</v>
      </c>
      <c r="C544" s="730">
        <v>9.8611111111111108E-2</v>
      </c>
      <c r="D544" s="777">
        <v>44114</v>
      </c>
      <c r="E544" s="730">
        <v>0.20833333333333334</v>
      </c>
      <c r="F544" s="558" t="s">
        <v>4532</v>
      </c>
      <c r="G544" s="558" t="s">
        <v>63</v>
      </c>
      <c r="H544" s="558" t="s">
        <v>3387</v>
      </c>
      <c r="I544" s="679" t="s">
        <v>22</v>
      </c>
      <c r="J544" s="676" t="s">
        <v>5873</v>
      </c>
      <c r="K544" s="676" t="s">
        <v>5873</v>
      </c>
      <c r="M544" t="str">
        <f>""</f>
        <v/>
      </c>
    </row>
    <row r="545" spans="1:13" ht="15.75">
      <c r="A545">
        <v>2020</v>
      </c>
      <c r="B545" s="777">
        <v>44118</v>
      </c>
      <c r="C545" s="730">
        <v>0.7680555555555556</v>
      </c>
      <c r="D545" s="777">
        <v>44119</v>
      </c>
      <c r="E545" s="730">
        <v>0.5493055555555556</v>
      </c>
      <c r="F545" s="558" t="s">
        <v>3801</v>
      </c>
      <c r="G545" s="558" t="s">
        <v>1352</v>
      </c>
      <c r="H545" s="558" t="s">
        <v>3411</v>
      </c>
      <c r="I545" s="679" t="s">
        <v>2483</v>
      </c>
      <c r="J545" s="676">
        <v>18</v>
      </c>
      <c r="K545" s="676" t="s">
        <v>5873</v>
      </c>
      <c r="M545" t="str">
        <f>""</f>
        <v/>
      </c>
    </row>
    <row r="546" spans="1:13" ht="15.75">
      <c r="A546">
        <v>2020</v>
      </c>
      <c r="B546" s="777">
        <v>44127</v>
      </c>
      <c r="C546" s="730">
        <v>0.65416666666666667</v>
      </c>
      <c r="D546" s="777">
        <v>44127</v>
      </c>
      <c r="E546" s="730">
        <v>0.96597222222222223</v>
      </c>
      <c r="F546" s="558" t="s">
        <v>2895</v>
      </c>
      <c r="G546" s="558" t="s">
        <v>3143</v>
      </c>
      <c r="H546" s="558" t="s">
        <v>3411</v>
      </c>
      <c r="I546" s="679" t="s">
        <v>2483</v>
      </c>
      <c r="J546" s="676" t="s">
        <v>5873</v>
      </c>
      <c r="K546" s="676" t="s">
        <v>5873</v>
      </c>
      <c r="M546" t="str">
        <f>""</f>
        <v/>
      </c>
    </row>
    <row r="547" spans="1:13" ht="15.75">
      <c r="A547">
        <v>2020</v>
      </c>
      <c r="B547" s="777">
        <v>44132</v>
      </c>
      <c r="C547" s="730">
        <v>0.49513888888888891</v>
      </c>
      <c r="D547" s="777">
        <v>44132</v>
      </c>
      <c r="E547" s="730">
        <v>0.6430555555555556</v>
      </c>
      <c r="F547" s="558" t="s">
        <v>2919</v>
      </c>
      <c r="G547" s="558" t="s">
        <v>1352</v>
      </c>
      <c r="H547" s="558" t="s">
        <v>3411</v>
      </c>
      <c r="I547" s="679" t="s">
        <v>2483</v>
      </c>
      <c r="J547" s="676" t="s">
        <v>5873</v>
      </c>
      <c r="K547" s="676" t="s">
        <v>5873</v>
      </c>
      <c r="M547" t="str">
        <f>""</f>
        <v/>
      </c>
    </row>
    <row r="548" spans="1:13" ht="15.75">
      <c r="A548">
        <v>2020</v>
      </c>
      <c r="B548" s="777">
        <v>44132</v>
      </c>
      <c r="C548" s="730">
        <v>0.43611111111111112</v>
      </c>
      <c r="D548" s="777">
        <v>44132</v>
      </c>
      <c r="E548" s="730">
        <v>0.43680555555555556</v>
      </c>
      <c r="F548" s="558" t="s">
        <v>2919</v>
      </c>
      <c r="G548" s="558" t="s">
        <v>1352</v>
      </c>
      <c r="H548" s="558" t="s">
        <v>4071</v>
      </c>
      <c r="I548" s="679" t="s">
        <v>22</v>
      </c>
      <c r="J548" s="676" t="s">
        <v>5873</v>
      </c>
      <c r="K548" s="676" t="s">
        <v>5873</v>
      </c>
      <c r="M548" t="str">
        <f>""</f>
        <v/>
      </c>
    </row>
    <row r="549" spans="1:13" ht="15.75">
      <c r="A549">
        <v>2020</v>
      </c>
      <c r="B549" s="777">
        <v>44155</v>
      </c>
      <c r="C549" s="730">
        <v>0.38194444444444442</v>
      </c>
      <c r="D549" s="777">
        <v>44155</v>
      </c>
      <c r="E549" s="730">
        <v>0.39027777777777778</v>
      </c>
      <c r="F549" s="558" t="s">
        <v>4592</v>
      </c>
      <c r="G549" s="558" t="s">
        <v>1352</v>
      </c>
      <c r="H549" s="558" t="s">
        <v>3696</v>
      </c>
      <c r="I549" s="679" t="s">
        <v>2764</v>
      </c>
      <c r="J549" s="676">
        <v>0</v>
      </c>
      <c r="K549" s="676" t="s">
        <v>5873</v>
      </c>
      <c r="M549" t="str">
        <f>""</f>
        <v/>
      </c>
    </row>
    <row r="550" spans="1:13" ht="15.75">
      <c r="A550">
        <v>2020</v>
      </c>
      <c r="B550" s="777">
        <v>44181</v>
      </c>
      <c r="C550" s="730">
        <v>0.97222222222222221</v>
      </c>
      <c r="D550" s="777">
        <v>44182</v>
      </c>
      <c r="E550" s="730">
        <v>0.30555555555555558</v>
      </c>
      <c r="F550" s="558" t="s">
        <v>3693</v>
      </c>
      <c r="G550" s="558" t="s">
        <v>674</v>
      </c>
      <c r="H550" s="558" t="s">
        <v>3411</v>
      </c>
      <c r="I550" s="679" t="s">
        <v>2483</v>
      </c>
      <c r="J550" s="676" t="s">
        <v>5873</v>
      </c>
      <c r="K550" s="676" t="s">
        <v>5873</v>
      </c>
      <c r="M550" t="str">
        <f>""</f>
        <v/>
      </c>
    </row>
    <row r="551" spans="1:13" ht="15.75">
      <c r="A551">
        <v>2021</v>
      </c>
      <c r="B551" s="777">
        <v>44219</v>
      </c>
      <c r="C551" s="730">
        <v>0.29166666666666669</v>
      </c>
      <c r="D551" s="777">
        <v>44223</v>
      </c>
      <c r="E551" s="730">
        <v>0.57291666666666663</v>
      </c>
      <c r="F551" s="558" t="s">
        <v>4676</v>
      </c>
      <c r="G551" s="558" t="s">
        <v>63</v>
      </c>
      <c r="H551" s="558" t="s">
        <v>3402</v>
      </c>
      <c r="I551" s="679" t="s">
        <v>2952</v>
      </c>
      <c r="J551" s="676">
        <v>29</v>
      </c>
      <c r="K551" s="676" t="s">
        <v>5873</v>
      </c>
      <c r="M551" t="str">
        <f>""</f>
        <v/>
      </c>
    </row>
    <row r="552" spans="1:13" ht="15.75">
      <c r="A552">
        <v>2021</v>
      </c>
      <c r="B552" s="777">
        <v>44238</v>
      </c>
      <c r="C552" s="730">
        <v>0.35416666666666669</v>
      </c>
      <c r="D552" s="777">
        <v>44249</v>
      </c>
      <c r="E552" s="730">
        <v>0.375</v>
      </c>
      <c r="F552" s="558" t="s">
        <v>3653</v>
      </c>
      <c r="G552" s="558" t="s">
        <v>63</v>
      </c>
      <c r="H552" s="558" t="s">
        <v>3654</v>
      </c>
      <c r="I552" s="679" t="s">
        <v>1138</v>
      </c>
      <c r="J552" s="676" t="s">
        <v>5873</v>
      </c>
      <c r="K552" s="676" t="s">
        <v>5873</v>
      </c>
      <c r="M552" t="str">
        <f>""</f>
        <v/>
      </c>
    </row>
    <row r="553" spans="1:13" ht="15.75">
      <c r="A553">
        <v>2021</v>
      </c>
      <c r="B553" s="777">
        <v>44239</v>
      </c>
      <c r="C553" s="730">
        <v>0.64583333333333337</v>
      </c>
      <c r="D553" s="777">
        <v>44249</v>
      </c>
      <c r="E553" s="730">
        <v>0.3125</v>
      </c>
      <c r="F553" s="558" t="s">
        <v>2919</v>
      </c>
      <c r="G553" s="558" t="s">
        <v>1352</v>
      </c>
      <c r="H553" s="558" t="s">
        <v>3654</v>
      </c>
      <c r="I553" s="679" t="s">
        <v>1138</v>
      </c>
      <c r="J553" s="676" t="s">
        <v>5873</v>
      </c>
      <c r="K553" s="676" t="s">
        <v>5873</v>
      </c>
      <c r="M553" t="str">
        <f>""</f>
        <v/>
      </c>
    </row>
    <row r="554" spans="1:13" ht="15.75">
      <c r="A554">
        <v>2021</v>
      </c>
      <c r="B554" s="777">
        <v>44240</v>
      </c>
      <c r="C554" s="730">
        <v>0.5625</v>
      </c>
      <c r="D554" s="777">
        <v>44247</v>
      </c>
      <c r="E554" s="730">
        <v>0.33333333333333331</v>
      </c>
      <c r="F554" s="558" t="s">
        <v>2919</v>
      </c>
      <c r="G554" s="558" t="s">
        <v>1352</v>
      </c>
      <c r="H554" s="558" t="s">
        <v>3478</v>
      </c>
      <c r="I554" s="679" t="s">
        <v>22</v>
      </c>
      <c r="J554" s="676" t="s">
        <v>5873</v>
      </c>
      <c r="K554" s="676" t="s">
        <v>5873</v>
      </c>
      <c r="M554" t="str">
        <f>""</f>
        <v/>
      </c>
    </row>
    <row r="555" spans="1:13" ht="15.75">
      <c r="A555">
        <v>2021</v>
      </c>
      <c r="B555" s="777">
        <v>44241</v>
      </c>
      <c r="C555" s="730">
        <v>0.35416666666666669</v>
      </c>
      <c r="D555" s="777">
        <v>44246</v>
      </c>
      <c r="E555" s="730">
        <v>0.75</v>
      </c>
      <c r="F555" s="558" t="s">
        <v>2919</v>
      </c>
      <c r="G555" s="558" t="s">
        <v>1352</v>
      </c>
      <c r="H555" s="558" t="s">
        <v>3478</v>
      </c>
      <c r="I555" s="679" t="s">
        <v>22</v>
      </c>
      <c r="J555" s="676">
        <v>7214</v>
      </c>
      <c r="K555" s="676" t="s">
        <v>5873</v>
      </c>
      <c r="M555" t="str">
        <f>""</f>
        <v/>
      </c>
    </row>
    <row r="556" spans="1:13" ht="15.75">
      <c r="A556">
        <v>2021</v>
      </c>
      <c r="B556" s="777">
        <v>44241</v>
      </c>
      <c r="C556" s="730">
        <v>0.35416666666666669</v>
      </c>
      <c r="D556" s="777">
        <v>44246</v>
      </c>
      <c r="E556" s="730">
        <v>0.75</v>
      </c>
      <c r="F556" s="558" t="s">
        <v>2919</v>
      </c>
      <c r="G556" s="558" t="s">
        <v>1352</v>
      </c>
      <c r="H556" s="558" t="s">
        <v>3478</v>
      </c>
      <c r="I556" s="679" t="s">
        <v>22</v>
      </c>
      <c r="J556" s="676" t="s">
        <v>5873</v>
      </c>
      <c r="K556" s="676" t="s">
        <v>5873</v>
      </c>
      <c r="M556" t="str">
        <f>""</f>
        <v/>
      </c>
    </row>
    <row r="557" spans="1:13" ht="15.75">
      <c r="A557">
        <v>2021</v>
      </c>
      <c r="B557" s="777">
        <v>44241</v>
      </c>
      <c r="C557" s="730">
        <v>0.22916666666666666</v>
      </c>
      <c r="D557" s="777">
        <v>44245</v>
      </c>
      <c r="E557" s="730">
        <v>0.41666666666666669</v>
      </c>
      <c r="F557" s="558" t="s">
        <v>3693</v>
      </c>
      <c r="G557" s="558" t="s">
        <v>674</v>
      </c>
      <c r="H557" s="558" t="s">
        <v>3478</v>
      </c>
      <c r="I557" s="679" t="s">
        <v>22</v>
      </c>
      <c r="J557" s="676" t="s">
        <v>5873</v>
      </c>
      <c r="K557" s="676" t="s">
        <v>5873</v>
      </c>
      <c r="M557" t="str">
        <f>""</f>
        <v/>
      </c>
    </row>
    <row r="558" spans="1:13" ht="15.75">
      <c r="A558">
        <v>2021</v>
      </c>
      <c r="B558" s="777">
        <v>44241</v>
      </c>
      <c r="C558" s="730">
        <v>0.83333333333333337</v>
      </c>
      <c r="D558" s="777">
        <v>44245</v>
      </c>
      <c r="E558" s="730">
        <v>0.39444444444444443</v>
      </c>
      <c r="F558" s="558" t="s">
        <v>4723</v>
      </c>
      <c r="G558" s="558" t="s">
        <v>674</v>
      </c>
      <c r="H558" s="558" t="s">
        <v>3750</v>
      </c>
      <c r="I558" s="679" t="s">
        <v>22</v>
      </c>
      <c r="J558" s="676">
        <v>3000</v>
      </c>
      <c r="K558" s="676" t="s">
        <v>5873</v>
      </c>
      <c r="M558" t="str">
        <f>""</f>
        <v/>
      </c>
    </row>
    <row r="559" spans="1:13" ht="15.75">
      <c r="A559">
        <v>2021</v>
      </c>
      <c r="B559" s="777">
        <v>44241</v>
      </c>
      <c r="C559" s="730">
        <v>0.79513888888888884</v>
      </c>
      <c r="D559" s="777" t="s">
        <v>5873</v>
      </c>
      <c r="E559" s="730" t="s">
        <v>5873</v>
      </c>
      <c r="F559" s="558" t="s">
        <v>4614</v>
      </c>
      <c r="G559" s="558" t="s">
        <v>63</v>
      </c>
      <c r="H559" s="558" t="s">
        <v>3478</v>
      </c>
      <c r="I559" s="679" t="s">
        <v>22</v>
      </c>
      <c r="J559" s="676" t="s">
        <v>5873</v>
      </c>
      <c r="K559" s="676" t="s">
        <v>5873</v>
      </c>
      <c r="M559" t="str">
        <f>""</f>
        <v/>
      </c>
    </row>
    <row r="560" spans="1:13" ht="15.75">
      <c r="A560">
        <v>2021</v>
      </c>
      <c r="B560" s="777">
        <v>44242</v>
      </c>
      <c r="C560" s="730">
        <v>5.5555555555555552E-2</v>
      </c>
      <c r="D560" s="777">
        <v>44245</v>
      </c>
      <c r="E560" s="730">
        <v>2.9166666666666667E-2</v>
      </c>
      <c r="F560" s="558" t="s">
        <v>3976</v>
      </c>
      <c r="G560" s="558" t="s">
        <v>1352</v>
      </c>
      <c r="H560" s="558" t="s">
        <v>3750</v>
      </c>
      <c r="I560" s="679" t="s">
        <v>22</v>
      </c>
      <c r="J560" s="676" t="s">
        <v>5873</v>
      </c>
      <c r="K560" s="676" t="s">
        <v>5873</v>
      </c>
      <c r="M560" t="str">
        <f>""</f>
        <v/>
      </c>
    </row>
    <row r="561" spans="1:13" ht="15.75">
      <c r="A561">
        <v>2021</v>
      </c>
      <c r="B561" s="777">
        <v>44242</v>
      </c>
      <c r="C561" s="730">
        <v>0</v>
      </c>
      <c r="D561" s="777" t="s">
        <v>5873</v>
      </c>
      <c r="E561" s="730" t="s">
        <v>5873</v>
      </c>
      <c r="F561" s="558" t="s">
        <v>2919</v>
      </c>
      <c r="G561" s="558" t="s">
        <v>1352</v>
      </c>
      <c r="H561" s="558" t="s">
        <v>3750</v>
      </c>
      <c r="I561" s="679" t="s">
        <v>22</v>
      </c>
      <c r="J561" s="676">
        <v>500</v>
      </c>
      <c r="K561" s="676" t="s">
        <v>5873</v>
      </c>
      <c r="M561" t="str">
        <f>""</f>
        <v/>
      </c>
    </row>
    <row r="562" spans="1:13" ht="15.75">
      <c r="A562">
        <v>2021</v>
      </c>
      <c r="B562" s="777">
        <v>44242</v>
      </c>
      <c r="C562" s="730">
        <v>0.23333333333333334</v>
      </c>
      <c r="D562" s="777" t="s">
        <v>5873</v>
      </c>
      <c r="E562" s="730" t="s">
        <v>5873</v>
      </c>
      <c r="F562" s="558" t="s">
        <v>2919</v>
      </c>
      <c r="G562" s="558" t="s">
        <v>1352</v>
      </c>
      <c r="H562" s="558" t="s">
        <v>3750</v>
      </c>
      <c r="I562" s="679" t="s">
        <v>22</v>
      </c>
      <c r="J562" s="676">
        <v>300</v>
      </c>
      <c r="K562" s="676" t="s">
        <v>5873</v>
      </c>
      <c r="M562" t="str">
        <f>""</f>
        <v/>
      </c>
    </row>
    <row r="563" spans="1:13" ht="15.75">
      <c r="A563">
        <v>2021</v>
      </c>
      <c r="B563" s="777">
        <v>44242</v>
      </c>
      <c r="C563" s="730">
        <v>7.9166666666666663E-2</v>
      </c>
      <c r="D563" s="777">
        <v>44244</v>
      </c>
      <c r="E563" s="730">
        <v>0.99722222222222223</v>
      </c>
      <c r="F563" s="558" t="s">
        <v>2919</v>
      </c>
      <c r="G563" s="558" t="s">
        <v>1352</v>
      </c>
      <c r="H563" s="558" t="s">
        <v>3750</v>
      </c>
      <c r="I563" s="679" t="s">
        <v>22</v>
      </c>
      <c r="J563" s="676">
        <v>524</v>
      </c>
      <c r="K563" s="676" t="s">
        <v>5873</v>
      </c>
      <c r="M563" t="str">
        <f>""</f>
        <v/>
      </c>
    </row>
    <row r="564" spans="1:13" ht="15.75">
      <c r="A564">
        <v>2021</v>
      </c>
      <c r="B564" s="777">
        <v>44242</v>
      </c>
      <c r="C564" s="730">
        <v>5.5555555555555552E-2</v>
      </c>
      <c r="D564" s="777">
        <v>44246</v>
      </c>
      <c r="E564" s="730">
        <v>0.375</v>
      </c>
      <c r="F564" s="558" t="s">
        <v>2919</v>
      </c>
      <c r="G564" s="558" t="s">
        <v>1352</v>
      </c>
      <c r="H564" s="558" t="s">
        <v>3750</v>
      </c>
      <c r="I564" s="679" t="s">
        <v>22</v>
      </c>
      <c r="J564" s="676">
        <v>7214</v>
      </c>
      <c r="K564" s="676" t="s">
        <v>5873</v>
      </c>
      <c r="M564" t="str">
        <f>""</f>
        <v/>
      </c>
    </row>
    <row r="565" spans="1:13" ht="15.75">
      <c r="A565">
        <v>2021</v>
      </c>
      <c r="B565" s="777">
        <v>44242</v>
      </c>
      <c r="C565" s="730">
        <v>0.625</v>
      </c>
      <c r="D565" s="777">
        <v>44246</v>
      </c>
      <c r="E565" s="730">
        <v>0.41666666666666669</v>
      </c>
      <c r="F565" s="558" t="s">
        <v>2866</v>
      </c>
      <c r="G565" s="558" t="s">
        <v>63</v>
      </c>
      <c r="H565" s="558" t="s">
        <v>3478</v>
      </c>
      <c r="I565" s="679" t="s">
        <v>22</v>
      </c>
      <c r="J565" s="676" t="s">
        <v>5873</v>
      </c>
      <c r="K565" s="676" t="s">
        <v>5873</v>
      </c>
      <c r="M565" t="str">
        <f>""</f>
        <v/>
      </c>
    </row>
    <row r="566" spans="1:13" ht="15.75">
      <c r="A566">
        <v>2021</v>
      </c>
      <c r="B566" s="777">
        <v>44242</v>
      </c>
      <c r="C566" s="730">
        <v>7.9166666666666663E-2</v>
      </c>
      <c r="D566" s="777">
        <v>44246</v>
      </c>
      <c r="E566" s="730">
        <v>0.375</v>
      </c>
      <c r="F566" s="558" t="s">
        <v>3591</v>
      </c>
      <c r="G566" s="558" t="s">
        <v>1352</v>
      </c>
      <c r="H566" s="558" t="s">
        <v>3750</v>
      </c>
      <c r="I566" s="679" t="s">
        <v>22</v>
      </c>
      <c r="J566" s="676">
        <v>724</v>
      </c>
      <c r="K566" s="676" t="s">
        <v>5873</v>
      </c>
      <c r="M566" t="str">
        <f>""</f>
        <v/>
      </c>
    </row>
    <row r="567" spans="1:13" ht="15.75">
      <c r="A567">
        <v>2021</v>
      </c>
      <c r="B567" s="777">
        <v>44242</v>
      </c>
      <c r="C567" s="730">
        <v>0.22708333333333333</v>
      </c>
      <c r="D567" s="777">
        <v>44245</v>
      </c>
      <c r="E567" s="730">
        <v>0.34583333333333333</v>
      </c>
      <c r="F567" s="558" t="s">
        <v>2919</v>
      </c>
      <c r="G567" s="558" t="s">
        <v>1352</v>
      </c>
      <c r="H567" s="558" t="s">
        <v>3396</v>
      </c>
      <c r="I567" s="679" t="s">
        <v>22</v>
      </c>
      <c r="J567" s="676" t="s">
        <v>5873</v>
      </c>
      <c r="K567" s="676" t="s">
        <v>5873</v>
      </c>
      <c r="M567" t="str">
        <f>""</f>
        <v/>
      </c>
    </row>
    <row r="568" spans="1:13" ht="15.75">
      <c r="A568">
        <v>2021</v>
      </c>
      <c r="B568" s="777">
        <v>44242</v>
      </c>
      <c r="C568" s="730">
        <v>5.7638888888888892E-2</v>
      </c>
      <c r="D568" s="777">
        <v>44246</v>
      </c>
      <c r="E568" s="730">
        <v>0.22916666666666666</v>
      </c>
      <c r="F568" s="558" t="s">
        <v>2919</v>
      </c>
      <c r="G568" s="558" t="s">
        <v>1352</v>
      </c>
      <c r="H568" s="558" t="s">
        <v>3750</v>
      </c>
      <c r="I568" s="679" t="s">
        <v>22</v>
      </c>
      <c r="J568" s="676" t="s">
        <v>5873</v>
      </c>
      <c r="K568" s="676" t="s">
        <v>5873</v>
      </c>
      <c r="M568" t="str">
        <f>""</f>
        <v/>
      </c>
    </row>
    <row r="569" spans="1:13" ht="15.75">
      <c r="A569">
        <v>2021</v>
      </c>
      <c r="B569" s="777">
        <v>44242</v>
      </c>
      <c r="C569" s="730">
        <v>0.36805555555555558</v>
      </c>
      <c r="D569" s="777">
        <v>44245</v>
      </c>
      <c r="E569" s="730">
        <v>0.39583333333333331</v>
      </c>
      <c r="F569" s="558" t="s">
        <v>4703</v>
      </c>
      <c r="G569" s="558" t="s">
        <v>674</v>
      </c>
      <c r="H569" s="558" t="s">
        <v>3478</v>
      </c>
      <c r="I569" s="679" t="s">
        <v>22</v>
      </c>
      <c r="J569" s="676" t="s">
        <v>5873</v>
      </c>
      <c r="K569" s="676" t="s">
        <v>5873</v>
      </c>
      <c r="M569" t="str">
        <f>""</f>
        <v/>
      </c>
    </row>
    <row r="570" spans="1:13" ht="15.75">
      <c r="A570">
        <v>2021</v>
      </c>
      <c r="B570" s="777">
        <v>44242</v>
      </c>
      <c r="C570" s="730">
        <v>0.82499999999999996</v>
      </c>
      <c r="D570" s="777">
        <v>44245</v>
      </c>
      <c r="E570" s="730">
        <v>0.4375</v>
      </c>
      <c r="F570" s="558" t="s">
        <v>4736</v>
      </c>
      <c r="G570" s="558" t="s">
        <v>674</v>
      </c>
      <c r="H570" s="558" t="s">
        <v>3654</v>
      </c>
      <c r="I570" s="679" t="s">
        <v>1138</v>
      </c>
      <c r="J570" s="676">
        <v>0</v>
      </c>
      <c r="K570" s="676" t="s">
        <v>5873</v>
      </c>
      <c r="M570" t="str">
        <f>""</f>
        <v/>
      </c>
    </row>
    <row r="571" spans="1:13" ht="15.75">
      <c r="A571">
        <v>2021</v>
      </c>
      <c r="B571" s="777">
        <v>44242</v>
      </c>
      <c r="C571" s="730">
        <v>0.75</v>
      </c>
      <c r="D571" s="777">
        <v>44242</v>
      </c>
      <c r="E571" s="730">
        <v>0.99652777777777779</v>
      </c>
      <c r="F571" s="558" t="s">
        <v>2919</v>
      </c>
      <c r="G571" s="558" t="s">
        <v>1352</v>
      </c>
      <c r="H571" s="558" t="s">
        <v>3478</v>
      </c>
      <c r="I571" s="679" t="s">
        <v>22</v>
      </c>
      <c r="J571" s="676" t="s">
        <v>5873</v>
      </c>
      <c r="K571" s="676" t="s">
        <v>5873</v>
      </c>
      <c r="M571" t="str">
        <f>""</f>
        <v/>
      </c>
    </row>
    <row r="572" spans="1:13" ht="15.75">
      <c r="A572">
        <v>2021</v>
      </c>
      <c r="B572" s="777">
        <v>44242</v>
      </c>
      <c r="C572" s="730">
        <v>0.2361111111111111</v>
      </c>
      <c r="D572" s="777">
        <v>44243</v>
      </c>
      <c r="E572" s="730">
        <v>0.5493055555555556</v>
      </c>
      <c r="F572" s="558" t="s">
        <v>2919</v>
      </c>
      <c r="G572" s="558" t="s">
        <v>1352</v>
      </c>
      <c r="H572" s="558" t="s">
        <v>3750</v>
      </c>
      <c r="I572" s="679" t="s">
        <v>22</v>
      </c>
      <c r="J572" s="676">
        <v>800</v>
      </c>
      <c r="K572" s="676" t="s">
        <v>5873</v>
      </c>
      <c r="M572" t="str">
        <f>""</f>
        <v/>
      </c>
    </row>
    <row r="573" spans="1:13" ht="15.75">
      <c r="A573">
        <v>2021</v>
      </c>
      <c r="B573" s="777">
        <v>44242</v>
      </c>
      <c r="C573" s="730">
        <v>0.28125</v>
      </c>
      <c r="D573" s="777" t="s">
        <v>5873</v>
      </c>
      <c r="E573" s="730" t="s">
        <v>5873</v>
      </c>
      <c r="F573" s="558" t="s">
        <v>4739</v>
      </c>
      <c r="G573" s="558" t="s">
        <v>1352</v>
      </c>
      <c r="H573" s="558" t="s">
        <v>3451</v>
      </c>
      <c r="I573" s="679" t="s">
        <v>22</v>
      </c>
      <c r="J573" s="676" t="s">
        <v>5873</v>
      </c>
      <c r="K573" s="676" t="s">
        <v>5873</v>
      </c>
      <c r="M573" t="str">
        <f>""</f>
        <v/>
      </c>
    </row>
    <row r="574" spans="1:13" ht="15.75">
      <c r="A574">
        <v>2021</v>
      </c>
      <c r="B574" s="777">
        <v>44242</v>
      </c>
      <c r="C574" s="730">
        <v>0.20833333333333334</v>
      </c>
      <c r="D574" s="777">
        <v>44244</v>
      </c>
      <c r="E574" s="730">
        <v>0.66666666666666663</v>
      </c>
      <c r="F574" s="558" t="s">
        <v>4740</v>
      </c>
      <c r="G574" s="558" t="s">
        <v>63</v>
      </c>
      <c r="H574" s="558" t="s">
        <v>3478</v>
      </c>
      <c r="I574" s="679" t="s">
        <v>22</v>
      </c>
      <c r="J574" s="676" t="s">
        <v>5873</v>
      </c>
      <c r="K574" s="676" t="s">
        <v>5873</v>
      </c>
      <c r="M574" t="str">
        <f>""</f>
        <v/>
      </c>
    </row>
    <row r="575" spans="1:13" ht="15.75">
      <c r="A575">
        <v>2021</v>
      </c>
      <c r="B575" s="777">
        <v>44242</v>
      </c>
      <c r="C575" s="730">
        <v>0.70833333333333337</v>
      </c>
      <c r="D575" s="777">
        <v>44242</v>
      </c>
      <c r="E575" s="730">
        <v>0.95763888888888893</v>
      </c>
      <c r="F575" s="558" t="s">
        <v>3116</v>
      </c>
      <c r="G575" s="558" t="s">
        <v>63</v>
      </c>
      <c r="H575" s="558" t="s">
        <v>3478</v>
      </c>
      <c r="I575" s="679" t="s">
        <v>22</v>
      </c>
      <c r="J575" s="676" t="s">
        <v>5873</v>
      </c>
      <c r="K575" s="676" t="s">
        <v>5873</v>
      </c>
      <c r="M575" t="str">
        <f>""</f>
        <v/>
      </c>
    </row>
    <row r="576" spans="1:13" ht="15.75">
      <c r="A576">
        <v>2021</v>
      </c>
      <c r="B576" s="777">
        <v>44242</v>
      </c>
      <c r="C576" s="730">
        <v>0.75</v>
      </c>
      <c r="D576" s="777">
        <v>44242</v>
      </c>
      <c r="E576" s="730">
        <v>0.99930555555555556</v>
      </c>
      <c r="F576" s="558" t="s">
        <v>2866</v>
      </c>
      <c r="G576" s="558" t="s">
        <v>63</v>
      </c>
      <c r="H576" s="558" t="s">
        <v>3478</v>
      </c>
      <c r="I576" s="679" t="s">
        <v>2764</v>
      </c>
      <c r="J576" s="676" t="s">
        <v>5873</v>
      </c>
      <c r="K576" s="676" t="s">
        <v>5873</v>
      </c>
      <c r="M576" t="str">
        <f>""</f>
        <v/>
      </c>
    </row>
    <row r="577" spans="1:13" ht="15.75">
      <c r="A577">
        <v>2021</v>
      </c>
      <c r="B577" s="777">
        <v>44242</v>
      </c>
      <c r="C577" s="730">
        <v>0.75</v>
      </c>
      <c r="D577" s="777">
        <v>44242</v>
      </c>
      <c r="E577" s="730">
        <v>0.99930555555555556</v>
      </c>
      <c r="F577" s="558" t="s">
        <v>2919</v>
      </c>
      <c r="G577" s="558" t="s">
        <v>1352</v>
      </c>
      <c r="H577" s="558" t="s">
        <v>3478</v>
      </c>
      <c r="I577" s="679" t="s">
        <v>22</v>
      </c>
      <c r="J577" s="676" t="s">
        <v>5873</v>
      </c>
      <c r="K577" s="676" t="s">
        <v>5873</v>
      </c>
      <c r="M577" t="str">
        <f>""</f>
        <v/>
      </c>
    </row>
    <row r="578" spans="1:13" ht="15.75">
      <c r="A578">
        <v>2021</v>
      </c>
      <c r="B578" s="777">
        <v>44242</v>
      </c>
      <c r="C578" s="730">
        <v>0.58333333333333337</v>
      </c>
      <c r="D578" s="777">
        <v>44242</v>
      </c>
      <c r="E578" s="730">
        <v>0.75</v>
      </c>
      <c r="F578" s="558" t="s">
        <v>2866</v>
      </c>
      <c r="G578" s="558" t="s">
        <v>63</v>
      </c>
      <c r="H578" s="558" t="s">
        <v>3654</v>
      </c>
      <c r="I578" s="679" t="s">
        <v>1138</v>
      </c>
      <c r="J578" s="676" t="s">
        <v>5873</v>
      </c>
      <c r="K578" s="676" t="s">
        <v>5873</v>
      </c>
      <c r="M578" t="str">
        <f>""</f>
        <v/>
      </c>
    </row>
    <row r="579" spans="1:13" ht="15.75">
      <c r="A579">
        <v>2021</v>
      </c>
      <c r="B579" s="777">
        <v>44242</v>
      </c>
      <c r="C579" s="730">
        <v>0.51249999999999996</v>
      </c>
      <c r="D579" s="777">
        <v>44242</v>
      </c>
      <c r="E579" s="730">
        <v>0.55694444444444446</v>
      </c>
      <c r="F579" s="558" t="s">
        <v>4614</v>
      </c>
      <c r="G579" s="558" t="s">
        <v>63</v>
      </c>
      <c r="H579" s="558" t="s">
        <v>3750</v>
      </c>
      <c r="I579" s="679" t="s">
        <v>22</v>
      </c>
      <c r="J579" s="676" t="s">
        <v>5873</v>
      </c>
      <c r="K579" s="676" t="s">
        <v>5873</v>
      </c>
      <c r="M579" t="str">
        <f>""</f>
        <v/>
      </c>
    </row>
    <row r="580" spans="1:13" ht="15.75">
      <c r="A580">
        <v>2021</v>
      </c>
      <c r="B580" s="777">
        <v>44242</v>
      </c>
      <c r="C580" s="730">
        <v>0.41666666666666669</v>
      </c>
      <c r="D580" s="777" t="s">
        <v>5873</v>
      </c>
      <c r="E580" s="730" t="s">
        <v>5873</v>
      </c>
      <c r="F580" s="558" t="s">
        <v>4724</v>
      </c>
      <c r="G580" s="558" t="s">
        <v>674</v>
      </c>
      <c r="H580" s="558" t="s">
        <v>3654</v>
      </c>
      <c r="I580" s="679" t="s">
        <v>1138</v>
      </c>
      <c r="J580" s="676">
        <v>613</v>
      </c>
      <c r="K580" s="676" t="s">
        <v>5873</v>
      </c>
      <c r="M580" t="str">
        <f>""</f>
        <v/>
      </c>
    </row>
    <row r="581" spans="1:13" ht="15.75">
      <c r="A581">
        <v>2021</v>
      </c>
      <c r="B581" s="777">
        <v>44242</v>
      </c>
      <c r="C581" s="730">
        <v>0.23333333333333334</v>
      </c>
      <c r="D581" s="777" t="s">
        <v>5873</v>
      </c>
      <c r="E581" s="730" t="s">
        <v>5873</v>
      </c>
      <c r="F581" s="558" t="s">
        <v>2919</v>
      </c>
      <c r="G581" s="558" t="s">
        <v>1352</v>
      </c>
      <c r="H581" s="558" t="s">
        <v>3750</v>
      </c>
      <c r="I581" s="679" t="s">
        <v>22</v>
      </c>
      <c r="J581" s="676">
        <v>300</v>
      </c>
      <c r="K581" s="676" t="s">
        <v>5873</v>
      </c>
      <c r="M581" t="str">
        <f>""</f>
        <v/>
      </c>
    </row>
    <row r="582" spans="1:13" ht="15.75">
      <c r="A582">
        <v>2021</v>
      </c>
      <c r="B582" s="777">
        <v>44242</v>
      </c>
      <c r="C582" s="730">
        <v>0</v>
      </c>
      <c r="D582" s="777" t="s">
        <v>5873</v>
      </c>
      <c r="E582" s="730" t="s">
        <v>5873</v>
      </c>
      <c r="F582" s="558" t="s">
        <v>2919</v>
      </c>
      <c r="G582" s="558" t="s">
        <v>1352</v>
      </c>
      <c r="H582" s="558" t="s">
        <v>3750</v>
      </c>
      <c r="I582" s="679" t="s">
        <v>22</v>
      </c>
      <c r="J582" s="676">
        <v>500</v>
      </c>
      <c r="K582" s="676" t="s">
        <v>5873</v>
      </c>
      <c r="M582" t="str">
        <f>""</f>
        <v/>
      </c>
    </row>
    <row r="583" spans="1:13" ht="15.75">
      <c r="A583">
        <v>2021</v>
      </c>
      <c r="B583" s="777">
        <v>44243</v>
      </c>
      <c r="C583" s="730">
        <v>0.7631944444444444</v>
      </c>
      <c r="D583" s="777" t="s">
        <v>5873</v>
      </c>
      <c r="E583" s="730" t="s">
        <v>5873</v>
      </c>
      <c r="F583" s="558" t="s">
        <v>3405</v>
      </c>
      <c r="G583" s="558" t="s">
        <v>63</v>
      </c>
      <c r="H583" s="558" t="s">
        <v>3411</v>
      </c>
      <c r="I583" s="679" t="s">
        <v>2483</v>
      </c>
      <c r="J583" s="676" t="s">
        <v>5873</v>
      </c>
      <c r="K583" s="676" t="s">
        <v>5873</v>
      </c>
      <c r="M583" t="str">
        <f>""</f>
        <v/>
      </c>
    </row>
    <row r="584" spans="1:13" ht="15.75">
      <c r="A584">
        <v>2021</v>
      </c>
      <c r="B584" s="777">
        <v>44243</v>
      </c>
      <c r="C584" s="730">
        <v>0.28333333333333333</v>
      </c>
      <c r="D584" s="777" t="s">
        <v>5873</v>
      </c>
      <c r="E584" s="730" t="s">
        <v>5873</v>
      </c>
      <c r="F584" s="558" t="s">
        <v>2866</v>
      </c>
      <c r="G584" s="558" t="s">
        <v>63</v>
      </c>
      <c r="H584" s="558" t="s">
        <v>3750</v>
      </c>
      <c r="I584" s="679" t="s">
        <v>22</v>
      </c>
      <c r="J584" s="676">
        <v>360</v>
      </c>
      <c r="K584" s="676" t="s">
        <v>5873</v>
      </c>
      <c r="M584" t="str">
        <f>""</f>
        <v/>
      </c>
    </row>
    <row r="585" spans="1:13" ht="15.75">
      <c r="A585">
        <v>2021</v>
      </c>
      <c r="B585" s="777">
        <v>44243</v>
      </c>
      <c r="C585" s="730">
        <v>0.77430555555555558</v>
      </c>
      <c r="D585" s="777">
        <v>44244</v>
      </c>
      <c r="E585" s="730">
        <v>4.1666666666666664E-2</v>
      </c>
      <c r="F585" s="558" t="s">
        <v>2919</v>
      </c>
      <c r="G585" s="558" t="s">
        <v>1352</v>
      </c>
      <c r="H585" s="558" t="s">
        <v>3478</v>
      </c>
      <c r="I585" s="679" t="s">
        <v>1138</v>
      </c>
      <c r="J585" s="676" t="s">
        <v>5873</v>
      </c>
      <c r="K585" s="676" t="s">
        <v>5873</v>
      </c>
      <c r="M585" t="str">
        <f>""</f>
        <v/>
      </c>
    </row>
    <row r="586" spans="1:13" ht="15.75">
      <c r="A586">
        <v>2021</v>
      </c>
      <c r="B586" s="777">
        <v>44243</v>
      </c>
      <c r="C586" s="730">
        <v>0.69444444444444442</v>
      </c>
      <c r="D586" s="777">
        <v>44247</v>
      </c>
      <c r="E586" s="730">
        <v>0</v>
      </c>
      <c r="F586" s="558" t="s">
        <v>2864</v>
      </c>
      <c r="G586" s="558" t="s">
        <v>63</v>
      </c>
      <c r="H586" s="558" t="s">
        <v>3478</v>
      </c>
      <c r="I586" s="679" t="s">
        <v>22</v>
      </c>
      <c r="J586" s="676" t="s">
        <v>5873</v>
      </c>
      <c r="K586" s="676" t="s">
        <v>5873</v>
      </c>
      <c r="M586" t="str">
        <f>""</f>
        <v/>
      </c>
    </row>
    <row r="587" spans="1:13" ht="15.75">
      <c r="A587">
        <v>2021</v>
      </c>
      <c r="B587" s="777">
        <v>44243</v>
      </c>
      <c r="C587" s="730">
        <v>0.73263888888888884</v>
      </c>
      <c r="D587" s="777">
        <v>44244</v>
      </c>
      <c r="E587" s="730">
        <v>0</v>
      </c>
      <c r="F587" s="558" t="s">
        <v>3116</v>
      </c>
      <c r="G587" s="558" t="s">
        <v>63</v>
      </c>
      <c r="H587" s="558" t="s">
        <v>3478</v>
      </c>
      <c r="I587" s="679" t="s">
        <v>22</v>
      </c>
      <c r="J587" s="676" t="s">
        <v>5873</v>
      </c>
      <c r="K587" s="676" t="s">
        <v>5873</v>
      </c>
      <c r="M587" t="str">
        <f>""</f>
        <v/>
      </c>
    </row>
    <row r="588" spans="1:13" ht="15.75">
      <c r="A588">
        <v>2021</v>
      </c>
      <c r="B588" s="777">
        <v>44243</v>
      </c>
      <c r="C588" s="730">
        <v>0.22916666666666666</v>
      </c>
      <c r="D588" s="777">
        <v>44243</v>
      </c>
      <c r="E588" s="730">
        <v>0.58333333333333337</v>
      </c>
      <c r="F588" s="558" t="s">
        <v>4752</v>
      </c>
      <c r="G588" s="558" t="s">
        <v>63</v>
      </c>
      <c r="H588" s="558" t="s">
        <v>3750</v>
      </c>
      <c r="I588" s="679" t="s">
        <v>22</v>
      </c>
      <c r="J588" s="676">
        <v>1420</v>
      </c>
      <c r="K588" s="676" t="s">
        <v>5873</v>
      </c>
      <c r="M588" t="str">
        <f>""</f>
        <v/>
      </c>
    </row>
    <row r="589" spans="1:13" ht="15.75">
      <c r="A589">
        <v>2021</v>
      </c>
      <c r="B589" s="777">
        <v>44243</v>
      </c>
      <c r="C589" s="730">
        <v>0.82152777777777775</v>
      </c>
      <c r="D589" s="777">
        <v>44243</v>
      </c>
      <c r="E589" s="730">
        <v>0.90347222222222223</v>
      </c>
      <c r="F589" s="558" t="s">
        <v>4754</v>
      </c>
      <c r="G589" s="558" t="s">
        <v>63</v>
      </c>
      <c r="H589" s="558" t="s">
        <v>3750</v>
      </c>
      <c r="I589" s="679" t="s">
        <v>22</v>
      </c>
      <c r="J589" s="676">
        <v>700</v>
      </c>
      <c r="K589" s="676" t="s">
        <v>5873</v>
      </c>
      <c r="M589" t="str">
        <f>""</f>
        <v/>
      </c>
    </row>
    <row r="590" spans="1:13" ht="15.75">
      <c r="A590">
        <v>2021</v>
      </c>
      <c r="B590" s="777">
        <v>44243</v>
      </c>
      <c r="C590" s="730">
        <v>0.81944444444444442</v>
      </c>
      <c r="D590" s="777">
        <v>44244</v>
      </c>
      <c r="E590" s="730">
        <v>4.1666666666666664E-2</v>
      </c>
      <c r="F590" s="558" t="s">
        <v>2919</v>
      </c>
      <c r="G590" s="558" t="s">
        <v>1352</v>
      </c>
      <c r="H590" s="558" t="s">
        <v>3750</v>
      </c>
      <c r="I590" s="679" t="s">
        <v>22</v>
      </c>
      <c r="J590" s="676">
        <v>538</v>
      </c>
      <c r="K590" s="676" t="s">
        <v>5873</v>
      </c>
      <c r="M590" t="str">
        <f>""</f>
        <v/>
      </c>
    </row>
    <row r="591" spans="1:13" ht="15.75">
      <c r="A591">
        <v>2021</v>
      </c>
      <c r="B591" s="777">
        <v>44243</v>
      </c>
      <c r="C591" s="730">
        <v>0.77430555555555558</v>
      </c>
      <c r="D591" s="777">
        <v>44244</v>
      </c>
      <c r="E591" s="730">
        <v>4.1666666666666664E-2</v>
      </c>
      <c r="F591" s="558" t="s">
        <v>2866</v>
      </c>
      <c r="G591" s="558" t="s">
        <v>63</v>
      </c>
      <c r="H591" s="558" t="s">
        <v>3478</v>
      </c>
      <c r="I591" s="679" t="s">
        <v>2764</v>
      </c>
      <c r="J591" s="676" t="s">
        <v>5873</v>
      </c>
      <c r="K591" s="676" t="s">
        <v>5873</v>
      </c>
      <c r="M591" t="str">
        <f>""</f>
        <v/>
      </c>
    </row>
    <row r="592" spans="1:13" ht="15.75">
      <c r="A592">
        <v>2021</v>
      </c>
      <c r="B592" s="777">
        <v>44243</v>
      </c>
      <c r="C592" s="730">
        <v>0.39652777777777776</v>
      </c>
      <c r="D592" s="777">
        <v>44243</v>
      </c>
      <c r="E592" s="730">
        <v>0.43541666666666667</v>
      </c>
      <c r="F592" s="558" t="s">
        <v>4443</v>
      </c>
      <c r="G592" s="558" t="s">
        <v>674</v>
      </c>
      <c r="H592" s="558" t="s">
        <v>3411</v>
      </c>
      <c r="I592" s="679" t="s">
        <v>2483</v>
      </c>
      <c r="J592" s="676">
        <v>31</v>
      </c>
      <c r="K592" s="676" t="s">
        <v>5873</v>
      </c>
      <c r="M592" t="str">
        <f>""</f>
        <v/>
      </c>
    </row>
    <row r="593" spans="1:13" ht="15.75">
      <c r="A593">
        <v>2021</v>
      </c>
      <c r="B593" s="777">
        <v>44243</v>
      </c>
      <c r="C593" s="730">
        <v>0.73263888888888884</v>
      </c>
      <c r="D593" s="777">
        <v>44244</v>
      </c>
      <c r="E593" s="730">
        <v>0</v>
      </c>
      <c r="F593" s="558" t="s">
        <v>4532</v>
      </c>
      <c r="G593" s="558" t="s">
        <v>63</v>
      </c>
      <c r="H593" s="558" t="s">
        <v>3478</v>
      </c>
      <c r="I593" s="679" t="s">
        <v>22</v>
      </c>
      <c r="J593" s="676" t="s">
        <v>5873</v>
      </c>
      <c r="K593" s="676" t="s">
        <v>5873</v>
      </c>
      <c r="M593" t="str">
        <f>""</f>
        <v/>
      </c>
    </row>
    <row r="594" spans="1:13" ht="15.75">
      <c r="A594">
        <v>2021</v>
      </c>
      <c r="B594" s="777">
        <v>44243</v>
      </c>
      <c r="C594" s="730">
        <v>0.25694444444444442</v>
      </c>
      <c r="D594" s="777" t="s">
        <v>5873</v>
      </c>
      <c r="E594" s="730" t="s">
        <v>5873</v>
      </c>
      <c r="F594" s="558" t="s">
        <v>2864</v>
      </c>
      <c r="G594" s="558" t="s">
        <v>63</v>
      </c>
      <c r="H594" s="558" t="s">
        <v>3750</v>
      </c>
      <c r="I594" s="679" t="s">
        <v>2990</v>
      </c>
      <c r="J594" s="676">
        <v>130</v>
      </c>
      <c r="K594" s="676" t="s">
        <v>5873</v>
      </c>
      <c r="M594" t="str">
        <f>""</f>
        <v/>
      </c>
    </row>
    <row r="595" spans="1:13" ht="15.75">
      <c r="A595">
        <v>2021</v>
      </c>
      <c r="B595" s="777">
        <v>44243</v>
      </c>
      <c r="C595" s="730">
        <v>0.30694444444444446</v>
      </c>
      <c r="D595" s="777">
        <v>44243</v>
      </c>
      <c r="E595" s="730">
        <v>0.33333333333333331</v>
      </c>
      <c r="F595" s="558" t="s">
        <v>4763</v>
      </c>
      <c r="G595" s="558" t="s">
        <v>63</v>
      </c>
      <c r="H595" s="558" t="s">
        <v>3750</v>
      </c>
      <c r="I595" s="679" t="s">
        <v>22</v>
      </c>
      <c r="J595" s="676">
        <v>153</v>
      </c>
      <c r="K595" s="676" t="s">
        <v>5873</v>
      </c>
      <c r="M595" t="str">
        <f>""</f>
        <v/>
      </c>
    </row>
    <row r="596" spans="1:13" ht="15.75">
      <c r="A596">
        <v>2021</v>
      </c>
      <c r="B596" s="777">
        <v>44243</v>
      </c>
      <c r="C596" s="730">
        <v>0.28333333333333333</v>
      </c>
      <c r="D596" s="777" t="s">
        <v>5873</v>
      </c>
      <c r="E596" s="730" t="s">
        <v>5873</v>
      </c>
      <c r="F596" s="558" t="s">
        <v>3767</v>
      </c>
      <c r="G596" s="558" t="s">
        <v>63</v>
      </c>
      <c r="H596" s="558" t="s">
        <v>3750</v>
      </c>
      <c r="I596" s="679" t="s">
        <v>22</v>
      </c>
      <c r="J596" s="676">
        <v>402</v>
      </c>
      <c r="K596" s="676" t="s">
        <v>5873</v>
      </c>
      <c r="M596" t="str">
        <f>""</f>
        <v/>
      </c>
    </row>
    <row r="597" spans="1:13" ht="15.75">
      <c r="A597">
        <v>2021</v>
      </c>
      <c r="B597" s="777">
        <v>44243</v>
      </c>
      <c r="C597" s="730">
        <v>0.18472222222222223</v>
      </c>
      <c r="D597" s="777" t="s">
        <v>5873</v>
      </c>
      <c r="E597" s="730" t="s">
        <v>5873</v>
      </c>
      <c r="F597" s="558" t="s">
        <v>2919</v>
      </c>
      <c r="G597" s="558" t="s">
        <v>1352</v>
      </c>
      <c r="H597" s="558" t="s">
        <v>3750</v>
      </c>
      <c r="I597" s="679" t="s">
        <v>22</v>
      </c>
      <c r="J597" s="676">
        <v>300</v>
      </c>
      <c r="K597" s="676" t="s">
        <v>5873</v>
      </c>
      <c r="M597" t="str">
        <f>""</f>
        <v/>
      </c>
    </row>
    <row r="598" spans="1:13" ht="15.75">
      <c r="A598">
        <v>2021</v>
      </c>
      <c r="B598" s="777">
        <v>44244</v>
      </c>
      <c r="C598" s="730">
        <v>0.75</v>
      </c>
      <c r="D598" s="777">
        <v>44244</v>
      </c>
      <c r="E598" s="730">
        <v>0.95833333333333337</v>
      </c>
      <c r="F598" s="558" t="s">
        <v>2866</v>
      </c>
      <c r="G598" s="558" t="s">
        <v>63</v>
      </c>
      <c r="H598" s="558" t="s">
        <v>3478</v>
      </c>
      <c r="I598" s="679" t="s">
        <v>2764</v>
      </c>
      <c r="J598" s="676" t="s">
        <v>5873</v>
      </c>
      <c r="K598" s="676" t="s">
        <v>5873</v>
      </c>
      <c r="M598" t="str">
        <f>""</f>
        <v/>
      </c>
    </row>
    <row r="599" spans="1:13" ht="15.75">
      <c r="A599">
        <v>2021</v>
      </c>
      <c r="B599" s="777">
        <v>44244</v>
      </c>
      <c r="C599" s="730">
        <v>0.75</v>
      </c>
      <c r="D599" s="777">
        <v>44244</v>
      </c>
      <c r="E599" s="730">
        <v>0.95833333333333337</v>
      </c>
      <c r="F599" s="558" t="s">
        <v>2919</v>
      </c>
      <c r="G599" s="558" t="s">
        <v>1352</v>
      </c>
      <c r="H599" s="558" t="s">
        <v>3478</v>
      </c>
      <c r="I599" s="679" t="s">
        <v>22</v>
      </c>
      <c r="J599" s="676" t="s">
        <v>5873</v>
      </c>
      <c r="K599" s="676" t="s">
        <v>5873</v>
      </c>
      <c r="M599" t="str">
        <f>""</f>
        <v/>
      </c>
    </row>
    <row r="600" spans="1:13" ht="15.75">
      <c r="A600">
        <v>2021</v>
      </c>
      <c r="B600" s="777">
        <v>44244</v>
      </c>
      <c r="C600" s="730">
        <v>0.375</v>
      </c>
      <c r="D600" s="777">
        <v>44246</v>
      </c>
      <c r="E600" s="730">
        <v>0.375</v>
      </c>
      <c r="F600" s="558" t="s">
        <v>4703</v>
      </c>
      <c r="G600" s="558" t="s">
        <v>674</v>
      </c>
      <c r="H600" s="558" t="s">
        <v>3654</v>
      </c>
      <c r="I600" s="679" t="s">
        <v>1138</v>
      </c>
      <c r="J600" s="676" t="s">
        <v>5873</v>
      </c>
      <c r="K600" s="676" t="s">
        <v>5873</v>
      </c>
      <c r="M600" t="str">
        <f>""</f>
        <v/>
      </c>
    </row>
    <row r="601" spans="1:13" ht="15.75">
      <c r="A601">
        <v>2021</v>
      </c>
      <c r="B601" s="777">
        <v>44244</v>
      </c>
      <c r="C601" s="730">
        <v>0.70833333333333337</v>
      </c>
      <c r="D601" s="777">
        <v>44244</v>
      </c>
      <c r="E601" s="730">
        <v>0.91666666666666663</v>
      </c>
      <c r="F601" s="558" t="s">
        <v>3116</v>
      </c>
      <c r="G601" s="558" t="s">
        <v>63</v>
      </c>
      <c r="H601" s="558" t="s">
        <v>3478</v>
      </c>
      <c r="I601" s="679" t="s">
        <v>22</v>
      </c>
      <c r="J601" s="676" t="s">
        <v>5873</v>
      </c>
      <c r="K601" s="676" t="s">
        <v>5873</v>
      </c>
      <c r="M601" t="str">
        <f>""</f>
        <v/>
      </c>
    </row>
    <row r="602" spans="1:13" ht="15.75">
      <c r="A602">
        <v>2021</v>
      </c>
      <c r="B602" s="777">
        <v>44246</v>
      </c>
      <c r="C602" s="730">
        <v>0.28333333333333333</v>
      </c>
      <c r="D602" s="777" t="s">
        <v>5873</v>
      </c>
      <c r="E602" s="730" t="s">
        <v>5873</v>
      </c>
      <c r="F602" s="558" t="s">
        <v>3767</v>
      </c>
      <c r="G602" s="558" t="s">
        <v>63</v>
      </c>
      <c r="H602" s="558" t="s">
        <v>3750</v>
      </c>
      <c r="I602" s="679" t="s">
        <v>22</v>
      </c>
      <c r="J602" s="676">
        <v>402</v>
      </c>
      <c r="K602" s="676" t="s">
        <v>5873</v>
      </c>
      <c r="M602" t="str">
        <f>""</f>
        <v/>
      </c>
    </row>
    <row r="603" spans="1:13" ht="15.75">
      <c r="A603">
        <v>2021</v>
      </c>
      <c r="B603" s="777">
        <v>44274</v>
      </c>
      <c r="C603" s="730">
        <v>0.7993055555555556</v>
      </c>
      <c r="D603" s="777">
        <v>44274</v>
      </c>
      <c r="E603" s="730">
        <v>0.83263888888888893</v>
      </c>
      <c r="F603" s="558" t="s">
        <v>2833</v>
      </c>
      <c r="G603" s="558" t="s">
        <v>3143</v>
      </c>
      <c r="H603" s="558" t="s">
        <v>3387</v>
      </c>
      <c r="I603" s="679" t="s">
        <v>2764</v>
      </c>
      <c r="J603" s="676" t="s">
        <v>5873</v>
      </c>
      <c r="K603" s="676" t="s">
        <v>5873</v>
      </c>
      <c r="M603" t="str">
        <f>""</f>
        <v/>
      </c>
    </row>
    <row r="604" spans="1:13" ht="15.75">
      <c r="A604">
        <v>2021</v>
      </c>
      <c r="B604" s="777">
        <v>44361</v>
      </c>
      <c r="C604" s="730">
        <v>0.53819444444444442</v>
      </c>
      <c r="D604" s="777">
        <v>44365</v>
      </c>
      <c r="E604" s="730">
        <v>0.79166666666666663</v>
      </c>
      <c r="F604" s="558" t="s">
        <v>2919</v>
      </c>
      <c r="G604" s="558" t="s">
        <v>1352</v>
      </c>
      <c r="H604" s="558" t="s">
        <v>3478</v>
      </c>
      <c r="I604" s="679" t="s">
        <v>2764</v>
      </c>
      <c r="J604" s="676" t="s">
        <v>5873</v>
      </c>
      <c r="K604" s="676" t="s">
        <v>5873</v>
      </c>
      <c r="M604" t="str">
        <f>""</f>
        <v/>
      </c>
    </row>
    <row r="605" spans="1:13" ht="15.75">
      <c r="A605">
        <v>2021</v>
      </c>
      <c r="B605" s="777">
        <v>44361</v>
      </c>
      <c r="C605" s="730">
        <v>0.51041666666666663</v>
      </c>
      <c r="D605" s="777">
        <v>44365</v>
      </c>
      <c r="E605" s="730">
        <v>0.79166666666666663</v>
      </c>
      <c r="F605" s="558" t="s">
        <v>2919</v>
      </c>
      <c r="G605" s="558" t="s">
        <v>1352</v>
      </c>
      <c r="H605" s="558" t="s">
        <v>3478</v>
      </c>
      <c r="I605" s="679" t="s">
        <v>2764</v>
      </c>
      <c r="J605" s="676" t="s">
        <v>5873</v>
      </c>
      <c r="K605" s="676" t="s">
        <v>5873</v>
      </c>
      <c r="M605" t="str">
        <f>""</f>
        <v/>
      </c>
    </row>
    <row r="606" spans="1:13" ht="15.75">
      <c r="A606">
        <v>2021</v>
      </c>
      <c r="B606" s="777">
        <v>44362</v>
      </c>
      <c r="C606" s="730">
        <v>0.49652777777777779</v>
      </c>
      <c r="D606" s="777">
        <v>44362</v>
      </c>
      <c r="E606" s="730">
        <v>0.88680555555555551</v>
      </c>
      <c r="F606" s="558" t="s">
        <v>2919</v>
      </c>
      <c r="G606" s="558" t="s">
        <v>1352</v>
      </c>
      <c r="H606" s="558" t="s">
        <v>3928</v>
      </c>
      <c r="I606" s="679" t="s">
        <v>2952</v>
      </c>
      <c r="J606" s="676" t="s">
        <v>5873</v>
      </c>
      <c r="K606" s="676" t="s">
        <v>5873</v>
      </c>
      <c r="M606" t="str">
        <f>""</f>
        <v/>
      </c>
    </row>
    <row r="607" spans="1:13" ht="15.75">
      <c r="A607">
        <v>2021</v>
      </c>
      <c r="B607" s="777">
        <v>44375</v>
      </c>
      <c r="C607" s="730">
        <v>0.55555555555555558</v>
      </c>
      <c r="D607" s="777" t="s">
        <v>5873</v>
      </c>
      <c r="E607" s="730" t="s">
        <v>5873</v>
      </c>
      <c r="F607" s="558" t="s">
        <v>4890</v>
      </c>
      <c r="G607" s="558" t="s">
        <v>124</v>
      </c>
      <c r="H607" s="558" t="s">
        <v>3478</v>
      </c>
      <c r="I607" s="679" t="s">
        <v>22</v>
      </c>
      <c r="J607" s="676">
        <v>44</v>
      </c>
      <c r="K607" s="676" t="s">
        <v>5873</v>
      </c>
      <c r="M607" t="str">
        <f>""</f>
        <v/>
      </c>
    </row>
    <row r="608" spans="1:13" ht="15.75">
      <c r="A608">
        <v>2021</v>
      </c>
      <c r="B608" s="777">
        <v>44386</v>
      </c>
      <c r="C608" s="730">
        <v>0.73888888888888893</v>
      </c>
      <c r="D608" s="777">
        <v>44386</v>
      </c>
      <c r="E608" s="730">
        <v>0.87847222222222221</v>
      </c>
      <c r="F608" s="558" t="s">
        <v>2945</v>
      </c>
      <c r="G608" s="558" t="s">
        <v>124</v>
      </c>
      <c r="H608" s="558" t="s">
        <v>3415</v>
      </c>
      <c r="I608" s="679" t="s">
        <v>1138</v>
      </c>
      <c r="J608" s="676">
        <v>810</v>
      </c>
      <c r="K608" s="676" t="s">
        <v>5873</v>
      </c>
      <c r="M608" t="str">
        <f>""</f>
        <v/>
      </c>
    </row>
    <row r="609" spans="1:13" ht="15.75">
      <c r="A609">
        <v>2021</v>
      </c>
      <c r="B609" s="777">
        <v>44411</v>
      </c>
      <c r="C609" s="730">
        <v>0.19097222222222221</v>
      </c>
      <c r="D609" s="777">
        <v>44411</v>
      </c>
      <c r="E609" s="730">
        <v>0.22777777777777777</v>
      </c>
      <c r="F609" s="558" t="s">
        <v>4954</v>
      </c>
      <c r="G609" s="558" t="s">
        <v>124</v>
      </c>
      <c r="H609" s="558" t="s">
        <v>3411</v>
      </c>
      <c r="I609" s="679" t="s">
        <v>2764</v>
      </c>
      <c r="J609" s="676">
        <v>4</v>
      </c>
      <c r="K609" s="676" t="s">
        <v>5873</v>
      </c>
      <c r="M609" t="str">
        <f>""</f>
        <v/>
      </c>
    </row>
    <row r="610" spans="1:13" ht="15.75">
      <c r="A610">
        <v>2021</v>
      </c>
      <c r="B610" s="777">
        <v>44437</v>
      </c>
      <c r="C610" s="730">
        <v>0.47916666666666669</v>
      </c>
      <c r="D610" s="777" t="s">
        <v>5873</v>
      </c>
      <c r="E610" s="730" t="s">
        <v>5873</v>
      </c>
      <c r="F610" s="558" t="s">
        <v>2866</v>
      </c>
      <c r="G610" s="558" t="s">
        <v>63</v>
      </c>
      <c r="H610" s="558" t="s">
        <v>2753</v>
      </c>
      <c r="I610" s="679" t="s">
        <v>22</v>
      </c>
      <c r="J610" s="676" t="s">
        <v>5873</v>
      </c>
      <c r="K610" s="676" t="s">
        <v>5873</v>
      </c>
      <c r="M610" t="str">
        <f>""</f>
        <v/>
      </c>
    </row>
    <row r="611" spans="1:13" ht="15.75">
      <c r="A611">
        <v>2021</v>
      </c>
      <c r="B611" s="777">
        <v>44437</v>
      </c>
      <c r="C611" s="730">
        <v>0.75277777777777777</v>
      </c>
      <c r="D611" s="777">
        <v>44439</v>
      </c>
      <c r="E611" s="730">
        <v>0.94166666666666665</v>
      </c>
      <c r="F611" s="558" t="s">
        <v>4408</v>
      </c>
      <c r="G611" s="558" t="s">
        <v>63</v>
      </c>
      <c r="H611" s="558" t="s">
        <v>4362</v>
      </c>
      <c r="I611" s="679" t="s">
        <v>22</v>
      </c>
      <c r="J611" s="676" t="s">
        <v>5873</v>
      </c>
      <c r="K611" s="676" t="s">
        <v>5873</v>
      </c>
      <c r="M611" t="str">
        <f>""</f>
        <v/>
      </c>
    </row>
    <row r="612" spans="1:13" ht="15.75">
      <c r="A612">
        <v>2021</v>
      </c>
      <c r="B612" s="777">
        <v>44437</v>
      </c>
      <c r="C612" s="730">
        <v>0.3972222222222222</v>
      </c>
      <c r="D612" s="777">
        <v>44437</v>
      </c>
      <c r="E612" s="730">
        <v>0.89722222222222225</v>
      </c>
      <c r="F612" s="558" t="s">
        <v>4996</v>
      </c>
      <c r="G612" s="558" t="s">
        <v>63</v>
      </c>
      <c r="H612" s="558" t="s">
        <v>3411</v>
      </c>
      <c r="I612" s="679" t="s">
        <v>2483</v>
      </c>
      <c r="J612" s="676" t="s">
        <v>5873</v>
      </c>
      <c r="K612" s="676" t="s">
        <v>5873</v>
      </c>
      <c r="M612" t="str">
        <f>""</f>
        <v/>
      </c>
    </row>
    <row r="613" spans="1:13" ht="15.75">
      <c r="A613">
        <v>2021</v>
      </c>
      <c r="B613" s="777">
        <v>44437</v>
      </c>
      <c r="C613" s="730">
        <v>0.74513888888888891</v>
      </c>
      <c r="D613" s="777" t="s">
        <v>5873</v>
      </c>
      <c r="E613" s="730" t="s">
        <v>5873</v>
      </c>
      <c r="F613" s="558" t="s">
        <v>2866</v>
      </c>
      <c r="G613" s="558" t="s">
        <v>63</v>
      </c>
      <c r="H613" s="558" t="s">
        <v>2839</v>
      </c>
      <c r="I613" s="679" t="s">
        <v>22</v>
      </c>
      <c r="J613" s="676" t="s">
        <v>5873</v>
      </c>
      <c r="K613" s="676" t="s">
        <v>5873</v>
      </c>
      <c r="M613" t="str">
        <f>""</f>
        <v/>
      </c>
    </row>
    <row r="614" spans="1:13" ht="15.75">
      <c r="A614">
        <v>2021</v>
      </c>
      <c r="B614" s="777">
        <v>44449</v>
      </c>
      <c r="C614" s="730">
        <v>7.9861111111111105E-2</v>
      </c>
      <c r="D614" s="777">
        <v>44449</v>
      </c>
      <c r="E614" s="730">
        <v>8.611111111111111E-2</v>
      </c>
      <c r="F614" s="558" t="s">
        <v>5012</v>
      </c>
      <c r="G614" s="558" t="s">
        <v>63</v>
      </c>
      <c r="H614" s="558" t="s">
        <v>3411</v>
      </c>
      <c r="I614" s="679" t="s">
        <v>22</v>
      </c>
      <c r="J614" s="676">
        <v>75</v>
      </c>
      <c r="K614" s="676" t="s">
        <v>5873</v>
      </c>
      <c r="M614" t="str">
        <f>""</f>
        <v/>
      </c>
    </row>
    <row r="615" spans="1:13" ht="15.75">
      <c r="A615">
        <v>2021</v>
      </c>
      <c r="B615" s="777">
        <v>44453</v>
      </c>
      <c r="C615" s="730">
        <v>0.31666666666666665</v>
      </c>
      <c r="D615" s="777">
        <v>44454</v>
      </c>
      <c r="E615" s="730">
        <v>7.4999999999999997E-2</v>
      </c>
      <c r="F615" s="558" t="s">
        <v>2919</v>
      </c>
      <c r="G615" s="558" t="s">
        <v>1352</v>
      </c>
      <c r="H615" s="558" t="s">
        <v>2839</v>
      </c>
      <c r="I615" s="679" t="s">
        <v>22</v>
      </c>
      <c r="J615" s="676">
        <v>0</v>
      </c>
      <c r="K615" s="676" t="s">
        <v>5873</v>
      </c>
      <c r="M615" t="str">
        <f>""</f>
        <v/>
      </c>
    </row>
    <row r="616" spans="1:13" ht="15.75">
      <c r="A616">
        <v>2021</v>
      </c>
      <c r="B616" s="777">
        <v>44453</v>
      </c>
      <c r="C616" s="730">
        <v>0.32777777777777778</v>
      </c>
      <c r="D616" s="777">
        <v>44453</v>
      </c>
      <c r="E616" s="730">
        <v>0.94722222222222219</v>
      </c>
      <c r="F616" s="558" t="s">
        <v>2919</v>
      </c>
      <c r="G616" s="558" t="s">
        <v>1352</v>
      </c>
      <c r="H616" s="558" t="s">
        <v>2839</v>
      </c>
      <c r="I616" s="679" t="s">
        <v>22</v>
      </c>
      <c r="J616" s="676">
        <v>0</v>
      </c>
      <c r="K616" s="676" t="s">
        <v>5873</v>
      </c>
      <c r="M616" t="str">
        <f>""</f>
        <v/>
      </c>
    </row>
    <row r="617" spans="1:13" ht="15.75">
      <c r="A617">
        <v>2021</v>
      </c>
      <c r="B617" s="777">
        <v>44485</v>
      </c>
      <c r="C617" s="730">
        <v>0.59444444444444444</v>
      </c>
      <c r="D617" s="777">
        <v>44485</v>
      </c>
      <c r="E617" s="730">
        <v>0.77847222222222223</v>
      </c>
      <c r="F617" s="558" t="s">
        <v>3712</v>
      </c>
      <c r="G617" s="558" t="s">
        <v>124</v>
      </c>
      <c r="H617" s="558" t="s">
        <v>3411</v>
      </c>
      <c r="I617" s="679" t="s">
        <v>2483</v>
      </c>
      <c r="J617" s="676" t="s">
        <v>5873</v>
      </c>
      <c r="K617" s="676" t="s">
        <v>5873</v>
      </c>
      <c r="M617" t="str">
        <f>""</f>
        <v/>
      </c>
    </row>
    <row r="618" spans="1:13" ht="15.75">
      <c r="A618">
        <v>2021</v>
      </c>
      <c r="B618" s="777">
        <v>44497</v>
      </c>
      <c r="C618" s="730">
        <v>0.50416666666666665</v>
      </c>
      <c r="D618" s="777">
        <v>44497</v>
      </c>
      <c r="E618" s="730">
        <v>0.52083333333333337</v>
      </c>
      <c r="F618" s="558" t="s">
        <v>5074</v>
      </c>
      <c r="G618" s="558" t="s">
        <v>1352</v>
      </c>
      <c r="H618" s="558" t="s">
        <v>3356</v>
      </c>
      <c r="I618" s="679" t="s">
        <v>5075</v>
      </c>
      <c r="J618" s="676" t="s">
        <v>5873</v>
      </c>
      <c r="K618" s="676" t="s">
        <v>5873</v>
      </c>
      <c r="M618" t="str">
        <f>""</f>
        <v/>
      </c>
    </row>
    <row r="619" spans="1:13" ht="15.75">
      <c r="A619">
        <v>2021</v>
      </c>
      <c r="B619" s="777">
        <v>44499</v>
      </c>
      <c r="C619" s="730">
        <v>0.31319444444444444</v>
      </c>
      <c r="D619" s="777" t="s">
        <v>5873</v>
      </c>
      <c r="E619" s="730" t="s">
        <v>5873</v>
      </c>
      <c r="F619" s="558" t="s">
        <v>2833</v>
      </c>
      <c r="G619" s="558" t="s">
        <v>3143</v>
      </c>
      <c r="H619" s="558" t="s">
        <v>3402</v>
      </c>
      <c r="I619" s="679" t="s">
        <v>2118</v>
      </c>
      <c r="J619" s="676" t="s">
        <v>5873</v>
      </c>
      <c r="K619" s="676" t="s">
        <v>5873</v>
      </c>
      <c r="M619" t="str">
        <f>""</f>
        <v/>
      </c>
    </row>
    <row r="620" spans="1:13" ht="15.75">
      <c r="A620">
        <v>2021</v>
      </c>
      <c r="B620" s="777">
        <v>44504</v>
      </c>
      <c r="C620" s="730">
        <v>0.89861111111111114</v>
      </c>
      <c r="D620" s="777">
        <v>44504</v>
      </c>
      <c r="E620" s="730">
        <v>0.95625000000000004</v>
      </c>
      <c r="F620" s="558" t="s">
        <v>5079</v>
      </c>
      <c r="G620" s="558" t="s">
        <v>124</v>
      </c>
      <c r="H620" s="558" t="s">
        <v>3411</v>
      </c>
      <c r="I620" s="679" t="s">
        <v>2764</v>
      </c>
      <c r="J620" s="676">
        <v>44</v>
      </c>
      <c r="K620" s="676" t="s">
        <v>5873</v>
      </c>
      <c r="M620" t="str">
        <f>""</f>
        <v/>
      </c>
    </row>
    <row r="621" spans="1:13" ht="15.75">
      <c r="A621">
        <v>2021</v>
      </c>
      <c r="B621" s="777">
        <v>44508</v>
      </c>
      <c r="C621" s="730">
        <v>0.95347222222222228</v>
      </c>
      <c r="D621" s="777">
        <v>44508</v>
      </c>
      <c r="E621" s="730">
        <v>0.98124999999999996</v>
      </c>
      <c r="F621" s="558" t="s">
        <v>2801</v>
      </c>
      <c r="G621" s="558" t="s">
        <v>124</v>
      </c>
      <c r="H621" s="558" t="s">
        <v>2839</v>
      </c>
      <c r="I621" s="679" t="s">
        <v>2764</v>
      </c>
      <c r="J621" s="676">
        <v>9</v>
      </c>
      <c r="K621" s="676" t="s">
        <v>5873</v>
      </c>
      <c r="M621" t="str">
        <f>""</f>
        <v/>
      </c>
    </row>
    <row r="622" spans="1:13" ht="15.75">
      <c r="A622">
        <v>2021</v>
      </c>
      <c r="B622" s="777">
        <v>44509</v>
      </c>
      <c r="C622" s="730">
        <v>0.75</v>
      </c>
      <c r="D622" s="777">
        <v>44509</v>
      </c>
      <c r="E622" s="730">
        <v>0.83333333333333337</v>
      </c>
      <c r="F622" s="558" t="s">
        <v>3123</v>
      </c>
      <c r="G622" s="558" t="s">
        <v>63</v>
      </c>
      <c r="H622" s="558" t="s">
        <v>5085</v>
      </c>
      <c r="I622" s="679" t="s">
        <v>2764</v>
      </c>
      <c r="J622" s="676" t="s">
        <v>5873</v>
      </c>
      <c r="K622" s="676" t="s">
        <v>5873</v>
      </c>
      <c r="M622" t="str">
        <f>""</f>
        <v/>
      </c>
    </row>
    <row r="623" spans="1:13" ht="15.75">
      <c r="A623">
        <v>2021</v>
      </c>
      <c r="B623" s="777">
        <v>44511</v>
      </c>
      <c r="C623" s="730">
        <v>0.24444444444444444</v>
      </c>
      <c r="D623" s="777">
        <v>44511</v>
      </c>
      <c r="E623" s="730">
        <v>0.25624999999999998</v>
      </c>
      <c r="F623" s="558" t="s">
        <v>5089</v>
      </c>
      <c r="G623" s="558" t="s">
        <v>1352</v>
      </c>
      <c r="H623" s="558" t="s">
        <v>3411</v>
      </c>
      <c r="I623" s="679" t="s">
        <v>2764</v>
      </c>
      <c r="J623" s="676">
        <v>67</v>
      </c>
      <c r="K623" s="676" t="s">
        <v>5873</v>
      </c>
      <c r="M623" t="str">
        <f>""</f>
        <v/>
      </c>
    </row>
    <row r="624" spans="1:13" ht="15.75">
      <c r="A624">
        <v>2021</v>
      </c>
      <c r="B624" s="777">
        <v>44542</v>
      </c>
      <c r="C624" s="730">
        <v>0.25972222222222224</v>
      </c>
      <c r="D624" s="777">
        <v>44542</v>
      </c>
      <c r="E624" s="730">
        <v>0.27777777777777779</v>
      </c>
      <c r="F624" s="558" t="s">
        <v>5121</v>
      </c>
      <c r="G624" s="558" t="s">
        <v>63</v>
      </c>
      <c r="H624" s="558" t="s">
        <v>2910</v>
      </c>
      <c r="I624" s="679" t="s">
        <v>100</v>
      </c>
      <c r="J624" s="676">
        <v>36</v>
      </c>
      <c r="K624" s="676" t="s">
        <v>5873</v>
      </c>
      <c r="M624" t="str">
        <f>""</f>
        <v/>
      </c>
    </row>
    <row r="625" spans="1:13" ht="15.75">
      <c r="A625">
        <v>2021</v>
      </c>
      <c r="B625" s="777">
        <v>44545</v>
      </c>
      <c r="C625" s="730">
        <v>0.875</v>
      </c>
      <c r="D625" s="777" t="s">
        <v>5873</v>
      </c>
      <c r="E625" s="730" t="s">
        <v>5873</v>
      </c>
      <c r="F625" s="558" t="s">
        <v>5131</v>
      </c>
      <c r="G625" s="558" t="s">
        <v>674</v>
      </c>
      <c r="H625" s="558" t="s">
        <v>5132</v>
      </c>
      <c r="I625" s="679" t="s">
        <v>22</v>
      </c>
      <c r="J625" s="676" t="s">
        <v>5873</v>
      </c>
      <c r="K625" s="676" t="s">
        <v>5873</v>
      </c>
      <c r="M625" t="str">
        <f>""</f>
        <v/>
      </c>
    </row>
    <row r="626" spans="1:13" ht="15.75">
      <c r="A626">
        <v>2021</v>
      </c>
      <c r="B626" s="777">
        <v>44545</v>
      </c>
      <c r="C626" s="730">
        <v>0.66388888888888886</v>
      </c>
      <c r="D626" s="777">
        <v>44545</v>
      </c>
      <c r="E626" s="730">
        <v>0.7270833333333333</v>
      </c>
      <c r="F626" s="558" t="s">
        <v>5133</v>
      </c>
      <c r="G626" s="558" t="s">
        <v>674</v>
      </c>
      <c r="H626" s="558" t="s">
        <v>3411</v>
      </c>
      <c r="I626" s="679" t="s">
        <v>2764</v>
      </c>
      <c r="J626" s="676">
        <v>5</v>
      </c>
      <c r="K626" s="676" t="s">
        <v>5873</v>
      </c>
      <c r="M626" t="str">
        <f>""</f>
        <v/>
      </c>
    </row>
    <row r="627" spans="1:13" ht="15.75">
      <c r="A627">
        <v>2021</v>
      </c>
      <c r="B627" s="777">
        <v>44545</v>
      </c>
      <c r="C627" s="730">
        <v>0.69236111111111109</v>
      </c>
      <c r="D627" s="777" t="s">
        <v>5873</v>
      </c>
      <c r="E627" s="730" t="s">
        <v>5873</v>
      </c>
      <c r="F627" s="558" t="s">
        <v>4614</v>
      </c>
      <c r="G627" s="558" t="s">
        <v>5055</v>
      </c>
      <c r="H627" s="558" t="s">
        <v>2753</v>
      </c>
      <c r="I627" s="679" t="s">
        <v>22</v>
      </c>
      <c r="J627" s="676" t="s">
        <v>5873</v>
      </c>
      <c r="K627" s="676" t="s">
        <v>5873</v>
      </c>
      <c r="M627" t="str">
        <f>""</f>
        <v/>
      </c>
    </row>
    <row r="628" spans="1:13" ht="15.75">
      <c r="A628">
        <v>2021</v>
      </c>
      <c r="B628" s="777">
        <v>44551</v>
      </c>
      <c r="C628" s="730">
        <v>0.91597222222222219</v>
      </c>
      <c r="D628" s="777">
        <v>44552</v>
      </c>
      <c r="E628" s="730">
        <v>0.59375</v>
      </c>
      <c r="F628" s="558" t="s">
        <v>4185</v>
      </c>
      <c r="G628" s="558" t="s">
        <v>1352</v>
      </c>
      <c r="H628" s="558" t="s">
        <v>3411</v>
      </c>
      <c r="I628" s="679" t="s">
        <v>2764</v>
      </c>
      <c r="J628" s="676">
        <v>22</v>
      </c>
      <c r="K628" s="676" t="s">
        <v>5873</v>
      </c>
      <c r="M628" t="str">
        <f>""</f>
        <v/>
      </c>
    </row>
    <row r="629" spans="1:13" ht="15.75">
      <c r="A629">
        <v>2021</v>
      </c>
      <c r="B629" s="777">
        <v>44554</v>
      </c>
      <c r="C629" s="730">
        <v>2.361111111111111E-2</v>
      </c>
      <c r="D629" s="777">
        <v>44554</v>
      </c>
      <c r="E629" s="730">
        <v>0.27777777777777779</v>
      </c>
      <c r="F629" s="558" t="s">
        <v>5145</v>
      </c>
      <c r="G629" s="558" t="s">
        <v>1352</v>
      </c>
      <c r="H629" s="558" t="s">
        <v>3411</v>
      </c>
      <c r="I629" s="679" t="s">
        <v>2764</v>
      </c>
      <c r="J629" s="676" t="s">
        <v>5873</v>
      </c>
      <c r="K629" s="676" t="s">
        <v>5873</v>
      </c>
      <c r="M629" t="str">
        <f>""</f>
        <v/>
      </c>
    </row>
    <row r="630" spans="1:13" ht="15.75">
      <c r="A630">
        <v>2022</v>
      </c>
      <c r="B630" s="777">
        <v>44570</v>
      </c>
      <c r="C630" s="730">
        <v>0.75555555555555554</v>
      </c>
      <c r="D630" s="777" t="s">
        <v>5873</v>
      </c>
      <c r="E630" s="730" t="s">
        <v>5873</v>
      </c>
      <c r="F630" s="558" t="s">
        <v>5172</v>
      </c>
      <c r="G630" s="558" t="s">
        <v>63</v>
      </c>
      <c r="H630" s="558" t="s">
        <v>3411</v>
      </c>
      <c r="I630" s="679" t="s">
        <v>2764</v>
      </c>
      <c r="J630" s="676" t="s">
        <v>5873</v>
      </c>
      <c r="K630" s="676" t="s">
        <v>5873</v>
      </c>
      <c r="M630" t="str">
        <f>""</f>
        <v/>
      </c>
    </row>
    <row r="631" spans="1:13" ht="15.75">
      <c r="A631">
        <v>2022</v>
      </c>
      <c r="B631" s="777">
        <v>44573</v>
      </c>
      <c r="C631" s="730">
        <v>0.3888888888888889</v>
      </c>
      <c r="D631" s="777">
        <v>44573</v>
      </c>
      <c r="E631" s="730">
        <v>0.43402777777777779</v>
      </c>
      <c r="F631" s="558" t="s">
        <v>5173</v>
      </c>
      <c r="G631" s="558" t="s">
        <v>5174</v>
      </c>
      <c r="H631" s="558" t="s">
        <v>3387</v>
      </c>
      <c r="I631" s="679" t="s">
        <v>2764</v>
      </c>
      <c r="J631" s="676" t="s">
        <v>5873</v>
      </c>
      <c r="K631" s="676" t="s">
        <v>5873</v>
      </c>
      <c r="M631" t="str">
        <f>""</f>
        <v/>
      </c>
    </row>
    <row r="632" spans="1:13" ht="15.75">
      <c r="A632">
        <v>2022</v>
      </c>
      <c r="B632" s="777">
        <v>44596</v>
      </c>
      <c r="C632" s="730">
        <v>0.76458333333333328</v>
      </c>
      <c r="D632" s="777">
        <v>44596</v>
      </c>
      <c r="E632" s="730">
        <v>0.91666666666666663</v>
      </c>
      <c r="F632" s="558" t="s">
        <v>2919</v>
      </c>
      <c r="G632" s="558" t="s">
        <v>1352</v>
      </c>
      <c r="H632" s="558" t="s">
        <v>2839</v>
      </c>
      <c r="I632" s="679" t="s">
        <v>2483</v>
      </c>
      <c r="J632" s="676" t="s">
        <v>5873</v>
      </c>
      <c r="K632" s="676" t="s">
        <v>5873</v>
      </c>
      <c r="M632" t="str">
        <f>""</f>
        <v/>
      </c>
    </row>
    <row r="633" spans="1:13" ht="15.75">
      <c r="A633">
        <v>2022</v>
      </c>
      <c r="B633" s="777">
        <v>44604</v>
      </c>
      <c r="C633" s="730">
        <v>0.68680555555555556</v>
      </c>
      <c r="D633" s="777">
        <v>44604</v>
      </c>
      <c r="E633" s="730">
        <v>0.6875</v>
      </c>
      <c r="F633" s="558" t="s">
        <v>3967</v>
      </c>
      <c r="G633" s="558" t="s">
        <v>124</v>
      </c>
      <c r="H633" s="558" t="s">
        <v>2910</v>
      </c>
      <c r="I633" s="679" t="s">
        <v>100</v>
      </c>
      <c r="J633" s="676" t="s">
        <v>5873</v>
      </c>
      <c r="K633" s="676" t="s">
        <v>5873</v>
      </c>
      <c r="M633" t="str">
        <f>""</f>
        <v/>
      </c>
    </row>
    <row r="634" spans="1:13" ht="15.75">
      <c r="A634">
        <v>2022</v>
      </c>
      <c r="B634" s="777">
        <v>44634</v>
      </c>
      <c r="C634" s="730">
        <v>0.65625</v>
      </c>
      <c r="D634" s="777" t="s">
        <v>5873</v>
      </c>
      <c r="E634" s="730" t="s">
        <v>5873</v>
      </c>
      <c r="F634" s="558" t="s">
        <v>2833</v>
      </c>
      <c r="G634" s="558" t="s">
        <v>3143</v>
      </c>
      <c r="H634" s="558" t="s">
        <v>3402</v>
      </c>
      <c r="I634" s="679" t="s">
        <v>2118</v>
      </c>
      <c r="J634" s="676" t="s">
        <v>5873</v>
      </c>
      <c r="K634" s="676" t="s">
        <v>5873</v>
      </c>
      <c r="M634" t="str">
        <f>""</f>
        <v/>
      </c>
    </row>
    <row r="635" spans="1:13" ht="15.75">
      <c r="A635">
        <v>2022</v>
      </c>
      <c r="B635" s="777">
        <v>44661</v>
      </c>
      <c r="C635" s="730">
        <v>0.65347222222222223</v>
      </c>
      <c r="D635" s="777">
        <v>44661</v>
      </c>
      <c r="E635" s="730">
        <v>0.65972222222222221</v>
      </c>
      <c r="F635" s="558" t="s">
        <v>4740</v>
      </c>
      <c r="G635" s="558" t="s">
        <v>63</v>
      </c>
      <c r="H635" s="558" t="s">
        <v>2839</v>
      </c>
      <c r="I635" s="679" t="s">
        <v>2764</v>
      </c>
      <c r="J635" s="676">
        <v>5</v>
      </c>
      <c r="K635" s="676" t="s">
        <v>5873</v>
      </c>
      <c r="M635" t="str">
        <f>""</f>
        <v/>
      </c>
    </row>
    <row r="636" spans="1:13" ht="15.75">
      <c r="A636">
        <v>2022</v>
      </c>
      <c r="B636" s="777">
        <v>44661</v>
      </c>
      <c r="C636" s="730">
        <v>0.65347222222222223</v>
      </c>
      <c r="D636" s="777">
        <v>44661</v>
      </c>
      <c r="E636" s="730">
        <v>0.65972222222222221</v>
      </c>
      <c r="F636" s="558" t="s">
        <v>4740</v>
      </c>
      <c r="G636" s="558" t="s">
        <v>63</v>
      </c>
      <c r="H636" s="558" t="s">
        <v>2839</v>
      </c>
      <c r="I636" s="679" t="s">
        <v>2764</v>
      </c>
      <c r="J636" s="676">
        <v>5</v>
      </c>
      <c r="K636" s="676" t="s">
        <v>5873</v>
      </c>
      <c r="M636" t="str">
        <f>""</f>
        <v/>
      </c>
    </row>
    <row r="637" spans="1:13" ht="15.75">
      <c r="A637">
        <v>2022</v>
      </c>
      <c r="B637" s="777">
        <v>44667</v>
      </c>
      <c r="C637" s="730">
        <v>0.73888888888888893</v>
      </c>
      <c r="D637" s="777" t="s">
        <v>5873</v>
      </c>
      <c r="E637" s="730" t="s">
        <v>5873</v>
      </c>
      <c r="F637" s="558" t="s">
        <v>2945</v>
      </c>
      <c r="G637" s="558" t="s">
        <v>124</v>
      </c>
      <c r="H637" s="558" t="s">
        <v>2839</v>
      </c>
      <c r="I637" s="679" t="s">
        <v>2764</v>
      </c>
      <c r="J637" s="676">
        <v>9290</v>
      </c>
      <c r="K637" s="676" t="s">
        <v>5873</v>
      </c>
      <c r="M637" t="str">
        <f>""</f>
        <v/>
      </c>
    </row>
    <row r="638" spans="1:13" ht="15.75">
      <c r="A638">
        <v>2022</v>
      </c>
      <c r="B638" s="777">
        <v>44673</v>
      </c>
      <c r="C638" s="730">
        <v>0.95833333333333337</v>
      </c>
      <c r="D638" s="777">
        <v>44675</v>
      </c>
      <c r="E638" s="730">
        <v>0.66666666666666663</v>
      </c>
      <c r="F638" s="558" t="s">
        <v>3931</v>
      </c>
      <c r="G638" s="558" t="s">
        <v>674</v>
      </c>
      <c r="H638" s="558" t="s">
        <v>3379</v>
      </c>
      <c r="I638" s="679" t="s">
        <v>22</v>
      </c>
      <c r="J638" s="676">
        <v>1000</v>
      </c>
      <c r="K638" s="676" t="s">
        <v>5873</v>
      </c>
      <c r="M638" t="str">
        <f>""</f>
        <v/>
      </c>
    </row>
    <row r="639" spans="1:13" ht="15.75">
      <c r="A639">
        <v>2022</v>
      </c>
      <c r="B639" s="777">
        <v>44673</v>
      </c>
      <c r="C639" s="730">
        <v>0.96944444444444444</v>
      </c>
      <c r="D639" s="777">
        <v>44675</v>
      </c>
      <c r="E639" s="730">
        <v>0.66666666666666663</v>
      </c>
      <c r="F639" s="558" t="s">
        <v>5308</v>
      </c>
      <c r="G639" s="558" t="s">
        <v>5309</v>
      </c>
      <c r="H639" s="558" t="s">
        <v>3411</v>
      </c>
      <c r="I639" s="679" t="s">
        <v>22</v>
      </c>
      <c r="J639" s="676" t="s">
        <v>5873</v>
      </c>
      <c r="K639" s="676" t="s">
        <v>5873</v>
      </c>
      <c r="M639" t="str">
        <f>""</f>
        <v/>
      </c>
    </row>
    <row r="640" spans="1:13" ht="15.75">
      <c r="A640">
        <v>2022</v>
      </c>
      <c r="B640" s="777">
        <v>44678</v>
      </c>
      <c r="C640" s="730">
        <v>0.375</v>
      </c>
      <c r="D640" s="777">
        <v>44678</v>
      </c>
      <c r="E640" s="730">
        <v>0.37569444444444444</v>
      </c>
      <c r="F640" s="558" t="s">
        <v>5318</v>
      </c>
      <c r="G640" s="558" t="s">
        <v>3143</v>
      </c>
      <c r="H640" s="558" t="s">
        <v>3402</v>
      </c>
      <c r="I640" s="679" t="s">
        <v>2118</v>
      </c>
      <c r="J640" s="676" t="s">
        <v>5873</v>
      </c>
      <c r="K640" s="676" t="s">
        <v>5873</v>
      </c>
      <c r="M640" t="str">
        <f>""</f>
        <v/>
      </c>
    </row>
    <row r="641" spans="1:13" ht="15.75">
      <c r="A641">
        <v>2022</v>
      </c>
      <c r="B641" s="777">
        <v>44679</v>
      </c>
      <c r="C641" s="730">
        <v>0.33055555555555555</v>
      </c>
      <c r="D641" s="777">
        <v>44679</v>
      </c>
      <c r="E641" s="730">
        <v>0.36666666666666664</v>
      </c>
      <c r="F641" s="558" t="s">
        <v>2832</v>
      </c>
      <c r="G641" s="558" t="s">
        <v>63</v>
      </c>
      <c r="H641" s="558" t="s">
        <v>3411</v>
      </c>
      <c r="I641" s="679" t="s">
        <v>2764</v>
      </c>
      <c r="J641" s="676">
        <v>74</v>
      </c>
      <c r="K641" s="676" t="s">
        <v>5873</v>
      </c>
      <c r="M641" t="str">
        <f>""</f>
        <v/>
      </c>
    </row>
    <row r="642" spans="1:13" ht="15.75">
      <c r="A642">
        <v>2022</v>
      </c>
      <c r="B642" s="777">
        <v>44693</v>
      </c>
      <c r="C642" s="730">
        <v>0.70138888888888884</v>
      </c>
      <c r="D642" s="777">
        <v>44694</v>
      </c>
      <c r="E642" s="730">
        <v>0.11666666666666667</v>
      </c>
      <c r="F642" s="558" t="s">
        <v>5335</v>
      </c>
      <c r="G642" s="558" t="s">
        <v>674</v>
      </c>
      <c r="H642" s="558" t="s">
        <v>3411</v>
      </c>
      <c r="I642" s="679" t="s">
        <v>2483</v>
      </c>
      <c r="J642" s="676" t="s">
        <v>5873</v>
      </c>
      <c r="K642" s="676" t="s">
        <v>5873</v>
      </c>
      <c r="M642" t="str">
        <f>""</f>
        <v/>
      </c>
    </row>
    <row r="643" spans="1:13" ht="15.75">
      <c r="A643">
        <v>2022</v>
      </c>
      <c r="B643" s="777">
        <v>44698</v>
      </c>
      <c r="C643" s="730">
        <v>0.50694444444444442</v>
      </c>
      <c r="D643" s="777" t="s">
        <v>5873</v>
      </c>
      <c r="E643" s="730" t="s">
        <v>5873</v>
      </c>
      <c r="F643" s="558" t="s">
        <v>5347</v>
      </c>
      <c r="G643" s="558" t="s">
        <v>124</v>
      </c>
      <c r="H643" s="558" t="s">
        <v>3411</v>
      </c>
      <c r="I643" s="679" t="s">
        <v>2483</v>
      </c>
      <c r="J643" s="676">
        <v>25</v>
      </c>
      <c r="K643" s="676" t="s">
        <v>5873</v>
      </c>
      <c r="M643" t="str">
        <f>""</f>
        <v/>
      </c>
    </row>
    <row r="644" spans="1:13" ht="15.75">
      <c r="A644">
        <v>2022</v>
      </c>
      <c r="B644" s="777">
        <v>44717</v>
      </c>
      <c r="C644" s="730">
        <v>0.63888888888888884</v>
      </c>
      <c r="D644" s="777">
        <v>44717</v>
      </c>
      <c r="E644" s="730">
        <v>0.84166666666666667</v>
      </c>
      <c r="F644" s="558" t="s">
        <v>2945</v>
      </c>
      <c r="G644" s="558" t="s">
        <v>124</v>
      </c>
      <c r="H644" s="558" t="s">
        <v>5369</v>
      </c>
      <c r="I644" s="679" t="s">
        <v>2905</v>
      </c>
      <c r="J644" s="676" t="s">
        <v>5873</v>
      </c>
      <c r="K644" s="676" t="s">
        <v>5873</v>
      </c>
      <c r="M644" t="str">
        <f>""</f>
        <v/>
      </c>
    </row>
    <row r="645" spans="1:13" ht="15.75">
      <c r="A645">
        <v>2022</v>
      </c>
      <c r="B645" s="777">
        <v>44722</v>
      </c>
      <c r="C645" s="730">
        <v>0.84722222222222221</v>
      </c>
      <c r="D645" s="777">
        <v>44722</v>
      </c>
      <c r="E645" s="730">
        <v>0.85277777777777775</v>
      </c>
      <c r="F645" s="558" t="s">
        <v>3357</v>
      </c>
      <c r="G645" s="558" t="s">
        <v>124</v>
      </c>
      <c r="H645" s="558" t="s">
        <v>5369</v>
      </c>
      <c r="I645" s="679" t="s">
        <v>2764</v>
      </c>
      <c r="J645" s="676">
        <v>100</v>
      </c>
      <c r="K645" s="676" t="s">
        <v>5873</v>
      </c>
      <c r="M645" t="str">
        <f>""</f>
        <v/>
      </c>
    </row>
    <row r="646" spans="1:13" ht="15.75">
      <c r="A646">
        <v>2022</v>
      </c>
      <c r="B646" s="777">
        <v>44726</v>
      </c>
      <c r="C646" s="730">
        <v>0.57361111111111107</v>
      </c>
      <c r="D646" s="777" t="s">
        <v>5873</v>
      </c>
      <c r="E646" s="730" t="s">
        <v>5873</v>
      </c>
      <c r="F646" s="558" t="s">
        <v>2895</v>
      </c>
      <c r="G646" s="558" t="s">
        <v>3143</v>
      </c>
      <c r="H646" s="558" t="s">
        <v>5369</v>
      </c>
      <c r="I646" s="679" t="s">
        <v>2764</v>
      </c>
      <c r="J646" s="676">
        <v>373</v>
      </c>
      <c r="K646" s="676" t="s">
        <v>5873</v>
      </c>
      <c r="M646" t="str">
        <f>""</f>
        <v/>
      </c>
    </row>
    <row r="647" spans="1:13" ht="15.75">
      <c r="A647">
        <v>2022</v>
      </c>
      <c r="B647" s="777">
        <v>44736</v>
      </c>
      <c r="C647" s="730">
        <v>0.96458333333333335</v>
      </c>
      <c r="D647" s="777">
        <v>44737</v>
      </c>
      <c r="E647" s="730">
        <v>0</v>
      </c>
      <c r="F647" s="558" t="s">
        <v>2866</v>
      </c>
      <c r="G647" s="558" t="s">
        <v>63</v>
      </c>
      <c r="H647" s="558" t="s">
        <v>2780</v>
      </c>
      <c r="I647" s="679" t="s">
        <v>1138</v>
      </c>
      <c r="J647" s="676" t="s">
        <v>5873</v>
      </c>
      <c r="K647" s="676" t="s">
        <v>5873</v>
      </c>
      <c r="M647" t="str">
        <f>""</f>
        <v/>
      </c>
    </row>
    <row r="648" spans="1:13" ht="15.75">
      <c r="A648">
        <v>2022</v>
      </c>
      <c r="B648" s="777">
        <v>44752</v>
      </c>
      <c r="C648" s="730">
        <v>0.875</v>
      </c>
      <c r="D648" s="777">
        <v>44753</v>
      </c>
      <c r="E648" s="730">
        <v>0.83333333333333337</v>
      </c>
      <c r="F648" s="558" t="s">
        <v>2919</v>
      </c>
      <c r="G648" s="558" t="s">
        <v>1352</v>
      </c>
      <c r="H648" s="558" t="s">
        <v>3415</v>
      </c>
      <c r="I648" s="679" t="s">
        <v>2764</v>
      </c>
      <c r="J648" s="676" t="s">
        <v>5873</v>
      </c>
      <c r="K648" s="676" t="s">
        <v>5873</v>
      </c>
      <c r="M648" t="str">
        <f>""</f>
        <v/>
      </c>
    </row>
    <row r="649" spans="1:13" ht="15.75">
      <c r="A649">
        <v>2022</v>
      </c>
      <c r="B649" s="777">
        <v>44755</v>
      </c>
      <c r="C649" s="730">
        <v>0.47916666666666669</v>
      </c>
      <c r="D649" s="777">
        <v>44755</v>
      </c>
      <c r="E649" s="730">
        <v>0.875</v>
      </c>
      <c r="F649" s="558" t="s">
        <v>2919</v>
      </c>
      <c r="G649" s="558" t="s">
        <v>1352</v>
      </c>
      <c r="H649" s="558" t="s">
        <v>3415</v>
      </c>
      <c r="I649" s="679" t="s">
        <v>2764</v>
      </c>
      <c r="J649" s="676" t="s">
        <v>5873</v>
      </c>
      <c r="K649" s="676" t="s">
        <v>5873</v>
      </c>
      <c r="M649" t="str">
        <f>""</f>
        <v/>
      </c>
    </row>
    <row r="650" spans="1:13" ht="15.75">
      <c r="A650">
        <v>2022</v>
      </c>
      <c r="B650" s="777">
        <v>44768</v>
      </c>
      <c r="C650" s="730">
        <v>0.18055555555555555</v>
      </c>
      <c r="D650" s="777">
        <v>44768</v>
      </c>
      <c r="E650" s="730">
        <v>0.20624999999999999</v>
      </c>
      <c r="F650" s="558" t="s">
        <v>5452</v>
      </c>
      <c r="G650" s="558" t="s">
        <v>124</v>
      </c>
      <c r="H650" s="558" t="s">
        <v>3356</v>
      </c>
      <c r="I650" s="679" t="s">
        <v>2118</v>
      </c>
      <c r="J650" s="676" t="s">
        <v>5873</v>
      </c>
      <c r="K650" s="676" t="s">
        <v>5873</v>
      </c>
      <c r="M650" t="str">
        <f>""</f>
        <v/>
      </c>
    </row>
    <row r="651" spans="1:13" ht="15.75">
      <c r="A651">
        <v>2022</v>
      </c>
      <c r="B651" s="777">
        <v>44791</v>
      </c>
      <c r="C651" s="730">
        <v>0.75347222222222221</v>
      </c>
      <c r="D651" s="777">
        <v>44791</v>
      </c>
      <c r="E651" s="730">
        <v>0.90208333333333335</v>
      </c>
      <c r="F651" s="558" t="s">
        <v>4271</v>
      </c>
      <c r="G651" s="558" t="s">
        <v>3143</v>
      </c>
      <c r="H651" s="558" t="s">
        <v>3387</v>
      </c>
      <c r="I651" s="679" t="s">
        <v>2764</v>
      </c>
      <c r="J651" s="676" t="s">
        <v>5873</v>
      </c>
      <c r="K651" s="676" t="s">
        <v>5873</v>
      </c>
      <c r="M651" t="str">
        <f>""</f>
        <v/>
      </c>
    </row>
    <row r="652" spans="1:13" ht="15.75">
      <c r="A652">
        <v>2022</v>
      </c>
      <c r="B652" s="777">
        <v>44802</v>
      </c>
      <c r="C652" s="730">
        <v>0.74305555555555558</v>
      </c>
      <c r="D652" s="777" t="s">
        <v>5873</v>
      </c>
      <c r="E652" s="730" t="s">
        <v>5873</v>
      </c>
      <c r="F652" s="558" t="s">
        <v>3307</v>
      </c>
      <c r="G652" s="558" t="s">
        <v>3143</v>
      </c>
      <c r="H652" s="558" t="s">
        <v>2753</v>
      </c>
      <c r="I652" s="679" t="s">
        <v>22</v>
      </c>
      <c r="J652" s="676" t="s">
        <v>5873</v>
      </c>
      <c r="K652" s="676" t="s">
        <v>5873</v>
      </c>
      <c r="M652" t="str">
        <f>""</f>
        <v/>
      </c>
    </row>
    <row r="653" spans="1:13" ht="15.75">
      <c r="A653">
        <v>2022</v>
      </c>
      <c r="B653" s="777">
        <v>44810</v>
      </c>
      <c r="C653" s="730">
        <v>0.80555555555555558</v>
      </c>
      <c r="D653" s="777">
        <v>44810</v>
      </c>
      <c r="E653" s="730">
        <v>0.87569444444444444</v>
      </c>
      <c r="F653" s="558" t="s">
        <v>4622</v>
      </c>
      <c r="G653" s="558" t="s">
        <v>124</v>
      </c>
      <c r="H653" s="558" t="s">
        <v>3415</v>
      </c>
      <c r="I653" s="679" t="s">
        <v>2764</v>
      </c>
      <c r="J653" s="676" t="s">
        <v>5873</v>
      </c>
      <c r="K653" s="676" t="s">
        <v>5873</v>
      </c>
      <c r="M653" t="str">
        <f>""</f>
        <v/>
      </c>
    </row>
    <row r="654" spans="1:13" ht="15.75">
      <c r="A654">
        <v>2022</v>
      </c>
      <c r="B654" s="777">
        <v>44814</v>
      </c>
      <c r="C654" s="730">
        <v>0.9375</v>
      </c>
      <c r="D654" s="777">
        <v>44814</v>
      </c>
      <c r="E654" s="730">
        <v>0.93819444444444444</v>
      </c>
      <c r="F654" s="558" t="s">
        <v>5514</v>
      </c>
      <c r="G654" s="558" t="s">
        <v>3143</v>
      </c>
      <c r="H654" s="558" t="s">
        <v>3402</v>
      </c>
      <c r="I654" s="679" t="s">
        <v>2118</v>
      </c>
      <c r="J654" s="676" t="s">
        <v>5873</v>
      </c>
      <c r="K654" s="676" t="s">
        <v>5873</v>
      </c>
      <c r="M654" t="str">
        <f>""</f>
        <v/>
      </c>
    </row>
    <row r="655" spans="1:13" ht="15.75">
      <c r="A655">
        <v>2022</v>
      </c>
      <c r="B655" s="777">
        <v>44826</v>
      </c>
      <c r="C655" s="730">
        <v>0.16527777777777777</v>
      </c>
      <c r="D655" s="777">
        <v>44826</v>
      </c>
      <c r="E655" s="730">
        <v>0.16666666666666666</v>
      </c>
      <c r="F655" s="558" t="s">
        <v>5525</v>
      </c>
      <c r="G655" s="558" t="s">
        <v>63</v>
      </c>
      <c r="H655" s="558" t="s">
        <v>3402</v>
      </c>
      <c r="I655" s="679" t="s">
        <v>100</v>
      </c>
      <c r="J655" s="676" t="s">
        <v>5873</v>
      </c>
      <c r="K655" s="676" t="s">
        <v>5873</v>
      </c>
      <c r="M655" t="str">
        <f>""</f>
        <v/>
      </c>
    </row>
    <row r="656" spans="1:13" ht="15.75">
      <c r="A656">
        <v>2022</v>
      </c>
      <c r="B656" s="777">
        <v>44852</v>
      </c>
      <c r="C656" s="730">
        <v>0.6333333333333333</v>
      </c>
      <c r="D656" s="777" t="s">
        <v>5877</v>
      </c>
      <c r="E656" s="730" t="s">
        <v>5873</v>
      </c>
      <c r="F656" s="558" t="s">
        <v>5549</v>
      </c>
      <c r="G656" s="558" t="s">
        <v>5015</v>
      </c>
      <c r="H656" s="558" t="s">
        <v>3356</v>
      </c>
      <c r="I656" s="679" t="s">
        <v>100</v>
      </c>
      <c r="J656" s="676" t="s">
        <v>5873</v>
      </c>
      <c r="K656" s="676" t="s">
        <v>5873</v>
      </c>
      <c r="M656" t="str">
        <f>""</f>
        <v/>
      </c>
    </row>
    <row r="657" spans="1:13" ht="15.75">
      <c r="A657">
        <v>2022</v>
      </c>
      <c r="B657" s="777">
        <v>44876</v>
      </c>
      <c r="C657" s="730">
        <v>4.1666666666666664E-2</v>
      </c>
      <c r="D657" s="777">
        <v>44876</v>
      </c>
      <c r="E657" s="730">
        <v>0.20833333333333334</v>
      </c>
      <c r="F657" s="558" t="s">
        <v>2849</v>
      </c>
      <c r="G657" s="558" t="s">
        <v>124</v>
      </c>
      <c r="H657" s="558" t="s">
        <v>3356</v>
      </c>
      <c r="I657" s="679" t="s">
        <v>100</v>
      </c>
      <c r="J657" s="676" t="s">
        <v>5873</v>
      </c>
      <c r="K657" s="676" t="s">
        <v>5873</v>
      </c>
      <c r="M657" t="str">
        <f>""</f>
        <v/>
      </c>
    </row>
    <row r="658" spans="1:13" ht="15.75">
      <c r="A658">
        <v>2022</v>
      </c>
      <c r="B658" s="777">
        <v>44888</v>
      </c>
      <c r="C658" s="730">
        <v>0.39583333333333331</v>
      </c>
      <c r="D658" s="777" t="s">
        <v>5873</v>
      </c>
      <c r="E658" s="730" t="s">
        <v>5873</v>
      </c>
      <c r="F658" s="558" t="s">
        <v>5601</v>
      </c>
      <c r="G658" s="558" t="s">
        <v>3143</v>
      </c>
      <c r="H658" s="558" t="s">
        <v>2944</v>
      </c>
      <c r="I658" s="679" t="s">
        <v>2952</v>
      </c>
      <c r="J658" s="676" t="s">
        <v>5873</v>
      </c>
      <c r="K658" s="676" t="s">
        <v>5873</v>
      </c>
      <c r="M658" t="str">
        <f>""</f>
        <v/>
      </c>
    </row>
    <row r="659" spans="1:13" ht="15.75">
      <c r="A659">
        <v>2022</v>
      </c>
      <c r="B659" s="777">
        <v>44901</v>
      </c>
      <c r="C659" s="730">
        <v>0.53125</v>
      </c>
      <c r="D659" s="777" t="s">
        <v>5873</v>
      </c>
      <c r="E659" s="730" t="s">
        <v>5873</v>
      </c>
      <c r="F659" s="558" t="s">
        <v>2895</v>
      </c>
      <c r="G659" s="558" t="s">
        <v>3143</v>
      </c>
      <c r="H659" s="558" t="s">
        <v>3402</v>
      </c>
      <c r="I659" s="679" t="s">
        <v>2118</v>
      </c>
      <c r="J659" s="676">
        <v>2600</v>
      </c>
      <c r="K659" s="676" t="s">
        <v>5873</v>
      </c>
      <c r="M659" t="str">
        <f>""</f>
        <v/>
      </c>
    </row>
    <row r="660" spans="1:13" ht="15.75">
      <c r="A660">
        <v>2022</v>
      </c>
      <c r="B660" s="777">
        <v>44901</v>
      </c>
      <c r="C660" s="730">
        <v>0.34375</v>
      </c>
      <c r="D660" s="777">
        <v>44901</v>
      </c>
      <c r="E660" s="730">
        <v>0.51041666666666663</v>
      </c>
      <c r="F660" s="558" t="s">
        <v>3245</v>
      </c>
      <c r="G660" s="558" t="s">
        <v>3143</v>
      </c>
      <c r="H660" s="558" t="s">
        <v>3402</v>
      </c>
      <c r="I660" s="679" t="s">
        <v>2118</v>
      </c>
      <c r="J660" s="676">
        <v>1883</v>
      </c>
      <c r="K660" s="676" t="s">
        <v>5873</v>
      </c>
      <c r="M660" t="str">
        <f>""</f>
        <v/>
      </c>
    </row>
    <row r="661" spans="1:13" ht="15.75">
      <c r="A661">
        <v>2022</v>
      </c>
      <c r="B661" s="777">
        <v>44909</v>
      </c>
      <c r="C661" s="730">
        <v>0.53611111111111109</v>
      </c>
      <c r="D661" s="777" t="s">
        <v>5873</v>
      </c>
      <c r="E661" s="730" t="s">
        <v>5873</v>
      </c>
      <c r="F661" s="558" t="s">
        <v>5637</v>
      </c>
      <c r="G661" s="558" t="s">
        <v>124</v>
      </c>
      <c r="H661" s="558" t="s">
        <v>3402</v>
      </c>
      <c r="I661" s="679" t="s">
        <v>2118</v>
      </c>
      <c r="J661" s="676" t="s">
        <v>5873</v>
      </c>
      <c r="K661" s="676" t="s">
        <v>5873</v>
      </c>
      <c r="M661" t="str">
        <f>""</f>
        <v/>
      </c>
    </row>
    <row r="662" spans="1:13" ht="15.75">
      <c r="A662">
        <v>2022</v>
      </c>
      <c r="B662" s="777">
        <v>44917</v>
      </c>
      <c r="C662" s="730">
        <v>0.37777777777777777</v>
      </c>
      <c r="D662" s="777">
        <v>44920</v>
      </c>
      <c r="E662" s="730">
        <v>0</v>
      </c>
      <c r="F662" s="558" t="s">
        <v>5647</v>
      </c>
      <c r="G662" s="558" t="s">
        <v>63</v>
      </c>
      <c r="H662" s="558" t="s">
        <v>3750</v>
      </c>
      <c r="I662" s="679" t="s">
        <v>2483</v>
      </c>
      <c r="J662" s="676">
        <v>3200</v>
      </c>
      <c r="K662" s="676" t="s">
        <v>5873</v>
      </c>
      <c r="M662" t="str">
        <f>""</f>
        <v/>
      </c>
    </row>
    <row r="663" spans="1:13" ht="15.75">
      <c r="A663">
        <v>2022</v>
      </c>
      <c r="B663" s="777">
        <v>44918</v>
      </c>
      <c r="C663" s="730">
        <v>0.35486111111111113</v>
      </c>
      <c r="D663" s="777" t="s">
        <v>5873</v>
      </c>
      <c r="E663" s="730" t="s">
        <v>5873</v>
      </c>
      <c r="F663" s="558" t="s">
        <v>2935</v>
      </c>
      <c r="G663" s="558" t="s">
        <v>63</v>
      </c>
      <c r="H663" s="558" t="s">
        <v>3750</v>
      </c>
      <c r="I663" s="679" t="s">
        <v>22</v>
      </c>
      <c r="J663" s="676" t="s">
        <v>5873</v>
      </c>
      <c r="K663" s="676" t="s">
        <v>5873</v>
      </c>
      <c r="M663" t="str">
        <f>""</f>
        <v/>
      </c>
    </row>
    <row r="664" spans="1:13" ht="15.75">
      <c r="A664">
        <v>2022</v>
      </c>
      <c r="B664" s="777">
        <v>44921</v>
      </c>
      <c r="C664" s="730">
        <v>0.28749999999999998</v>
      </c>
      <c r="D664" s="777">
        <v>44921</v>
      </c>
      <c r="E664" s="730">
        <v>0.34652777777777777</v>
      </c>
      <c r="F664" s="558" t="s">
        <v>2853</v>
      </c>
      <c r="G664" s="558" t="s">
        <v>124</v>
      </c>
      <c r="H664" s="558" t="s">
        <v>3356</v>
      </c>
      <c r="I664" s="679" t="s">
        <v>100</v>
      </c>
      <c r="J664" s="676" t="s">
        <v>5873</v>
      </c>
      <c r="K664" s="676" t="s">
        <v>5873</v>
      </c>
      <c r="M664" t="str">
        <f>""</f>
        <v/>
      </c>
    </row>
    <row r="665" spans="1:13" ht="15.75">
      <c r="A665">
        <v>2022</v>
      </c>
      <c r="B665" s="777">
        <v>44922</v>
      </c>
      <c r="C665" s="730">
        <v>0.29652777777777778</v>
      </c>
      <c r="D665" s="777">
        <v>44924</v>
      </c>
      <c r="E665" s="730">
        <v>0.46527777777777779</v>
      </c>
      <c r="F665" s="558" t="s">
        <v>3616</v>
      </c>
      <c r="G665" s="558" t="s">
        <v>124</v>
      </c>
      <c r="H665" s="558" t="s">
        <v>3402</v>
      </c>
      <c r="I665" s="679" t="s">
        <v>2118</v>
      </c>
      <c r="J665" s="676" t="s">
        <v>5873</v>
      </c>
      <c r="K665" s="676" t="s">
        <v>5873</v>
      </c>
      <c r="M665" t="str">
        <f>""</f>
        <v/>
      </c>
    </row>
    <row r="666" spans="1:13" ht="15.75">
      <c r="A666">
        <v>2022</v>
      </c>
      <c r="B666" s="777">
        <v>44924</v>
      </c>
      <c r="C666" s="730">
        <v>0.66666666666666663</v>
      </c>
      <c r="D666" s="777" t="s">
        <v>5873</v>
      </c>
      <c r="E666" s="730" t="s">
        <v>5873</v>
      </c>
      <c r="F666" s="558" t="s">
        <v>2895</v>
      </c>
      <c r="G666" s="558" t="s">
        <v>3143</v>
      </c>
      <c r="H666" s="558" t="s">
        <v>3402</v>
      </c>
      <c r="I666" s="679" t="s">
        <v>100</v>
      </c>
      <c r="J666" s="676">
        <v>2600</v>
      </c>
      <c r="K666" s="676" t="s">
        <v>5873</v>
      </c>
      <c r="M666" t="str">
        <f>""</f>
        <v/>
      </c>
    </row>
    <row r="667" spans="1:13" ht="15.75">
      <c r="A667">
        <v>2022</v>
      </c>
      <c r="B667" s="777">
        <v>44925</v>
      </c>
      <c r="C667" s="730">
        <v>0.71111111111111114</v>
      </c>
      <c r="D667" s="777" t="s">
        <v>5873</v>
      </c>
      <c r="E667" s="730" t="s">
        <v>5873</v>
      </c>
      <c r="F667" s="558" t="s">
        <v>3956</v>
      </c>
      <c r="G667" s="558" t="s">
        <v>674</v>
      </c>
      <c r="H667" s="558" t="s">
        <v>3411</v>
      </c>
      <c r="I667" s="679" t="s">
        <v>2483</v>
      </c>
      <c r="J667" s="676" t="s">
        <v>5873</v>
      </c>
      <c r="K667" s="676" t="s">
        <v>5873</v>
      </c>
      <c r="M667" t="str">
        <f>""</f>
        <v/>
      </c>
    </row>
    <row r="668" spans="1:13" ht="15.75">
      <c r="A668">
        <v>2023</v>
      </c>
      <c r="B668" s="777">
        <v>44932</v>
      </c>
      <c r="C668" s="730">
        <v>0.39583333333333331</v>
      </c>
      <c r="D668" s="777">
        <v>44932</v>
      </c>
      <c r="E668" s="730">
        <v>0.47916666666666669</v>
      </c>
      <c r="F668" s="558" t="s">
        <v>5687</v>
      </c>
      <c r="G668" s="558" t="s">
        <v>3143</v>
      </c>
      <c r="H668" s="558" t="s">
        <v>3402</v>
      </c>
      <c r="I668" s="679" t="s">
        <v>2118</v>
      </c>
      <c r="J668" s="676" t="s">
        <v>5873</v>
      </c>
      <c r="K668" s="676" t="s">
        <v>5873</v>
      </c>
      <c r="M668" t="str">
        <f>""</f>
        <v/>
      </c>
    </row>
    <row r="669" spans="1:13" ht="15.75">
      <c r="A669">
        <v>2023</v>
      </c>
      <c r="B669" s="777">
        <v>44938</v>
      </c>
      <c r="C669" s="730">
        <v>0.49861111111111112</v>
      </c>
      <c r="D669" s="777">
        <v>44938</v>
      </c>
      <c r="E669" s="730">
        <v>0.52083333333333337</v>
      </c>
      <c r="F669" s="558" t="s">
        <v>2801</v>
      </c>
      <c r="G669" s="558" t="s">
        <v>124</v>
      </c>
      <c r="H669" s="558" t="s">
        <v>3356</v>
      </c>
      <c r="I669" s="679" t="s">
        <v>100</v>
      </c>
      <c r="J669" s="676" t="s">
        <v>5873</v>
      </c>
      <c r="K669" s="676" t="s">
        <v>5873</v>
      </c>
      <c r="M669" t="str">
        <f>""</f>
        <v/>
      </c>
    </row>
    <row r="670" spans="1:13" ht="15.75">
      <c r="A670">
        <v>2023</v>
      </c>
      <c r="B670" s="777">
        <v>44945</v>
      </c>
      <c r="C670" s="730">
        <v>0.45833333333333331</v>
      </c>
      <c r="D670" s="777">
        <v>44945</v>
      </c>
      <c r="E670" s="730">
        <v>0.54166666666666663</v>
      </c>
      <c r="F670" s="558" t="s">
        <v>5701</v>
      </c>
      <c r="G670" s="558" t="s">
        <v>63</v>
      </c>
      <c r="H670" s="558" t="s">
        <v>3402</v>
      </c>
      <c r="I670" s="679" t="s">
        <v>2118</v>
      </c>
      <c r="J670" s="676" t="s">
        <v>5873</v>
      </c>
      <c r="K670" s="676" t="s">
        <v>5873</v>
      </c>
      <c r="M670" t="str">
        <f>""</f>
        <v/>
      </c>
    </row>
    <row r="671" spans="1:13" ht="15.75">
      <c r="A671">
        <v>2023</v>
      </c>
      <c r="B671" s="777">
        <v>44949</v>
      </c>
      <c r="C671" s="730">
        <v>0.70833333333333337</v>
      </c>
      <c r="D671" s="777" t="s">
        <v>5873</v>
      </c>
      <c r="E671" s="730" t="s">
        <v>5873</v>
      </c>
      <c r="F671" s="558" t="s">
        <v>3616</v>
      </c>
      <c r="G671" s="558" t="s">
        <v>124</v>
      </c>
      <c r="H671" s="558" t="s">
        <v>3402</v>
      </c>
      <c r="I671" s="679" t="s">
        <v>2118</v>
      </c>
      <c r="J671" s="676" t="s">
        <v>5873</v>
      </c>
      <c r="K671" s="676" t="s">
        <v>5873</v>
      </c>
      <c r="M671" t="str">
        <f>""</f>
        <v/>
      </c>
    </row>
    <row r="672" spans="1:13" ht="15.75">
      <c r="A672">
        <v>2023</v>
      </c>
      <c r="B672" s="777">
        <v>44949</v>
      </c>
      <c r="C672" s="730">
        <v>0.38958333333333334</v>
      </c>
      <c r="D672" s="777" t="s">
        <v>5873</v>
      </c>
      <c r="E672" s="730" t="s">
        <v>5873</v>
      </c>
      <c r="F672" s="558" t="s">
        <v>3616</v>
      </c>
      <c r="G672" s="558" t="s">
        <v>124</v>
      </c>
      <c r="H672" s="558" t="s">
        <v>3402</v>
      </c>
      <c r="I672" s="679" t="s">
        <v>2118</v>
      </c>
      <c r="J672" s="676" t="s">
        <v>5873</v>
      </c>
      <c r="K672" s="676" t="s">
        <v>5873</v>
      </c>
      <c r="M672" t="str">
        <f>""</f>
        <v/>
      </c>
    </row>
    <row r="673" spans="1:13" ht="15.75">
      <c r="A673">
        <v>2023</v>
      </c>
      <c r="B673" s="777">
        <v>44956</v>
      </c>
      <c r="C673" s="730">
        <v>0.4375</v>
      </c>
      <c r="D673" s="777" t="s">
        <v>5873</v>
      </c>
      <c r="E673" s="730" t="s">
        <v>5873</v>
      </c>
      <c r="F673" s="558" t="s">
        <v>3738</v>
      </c>
      <c r="G673" s="558" t="s">
        <v>674</v>
      </c>
      <c r="H673" s="558" t="s">
        <v>3874</v>
      </c>
      <c r="I673" s="679" t="s">
        <v>2118</v>
      </c>
      <c r="J673" s="676" t="s">
        <v>5873</v>
      </c>
      <c r="K673" s="676" t="s">
        <v>5873</v>
      </c>
      <c r="M673" t="str">
        <f>""</f>
        <v/>
      </c>
    </row>
    <row r="674" spans="1:13" ht="15.75">
      <c r="A674">
        <v>2023</v>
      </c>
      <c r="B674" s="777">
        <v>44983</v>
      </c>
      <c r="C674" s="730">
        <v>0.58888888888888891</v>
      </c>
      <c r="D674" s="777">
        <v>44983</v>
      </c>
      <c r="E674" s="730">
        <v>0.63402777777777775</v>
      </c>
      <c r="F674" s="558" t="s">
        <v>2928</v>
      </c>
      <c r="G674" s="558" t="s">
        <v>63</v>
      </c>
      <c r="H674" s="558" t="s">
        <v>2910</v>
      </c>
      <c r="I674" s="679" t="s">
        <v>5075</v>
      </c>
      <c r="J674" s="676" t="s">
        <v>5873</v>
      </c>
      <c r="K674" s="676" t="s">
        <v>5873</v>
      </c>
      <c r="M674" t="str">
        <f>""</f>
        <v/>
      </c>
    </row>
    <row r="675" spans="1:13" ht="15.75">
      <c r="A675">
        <v>2023</v>
      </c>
      <c r="B675" s="777">
        <v>44988</v>
      </c>
      <c r="C675" s="730">
        <v>0.65277777777777779</v>
      </c>
      <c r="D675" s="777" t="s">
        <v>5873</v>
      </c>
      <c r="E675" s="730" t="s">
        <v>5873</v>
      </c>
      <c r="F675" s="558" t="s">
        <v>5777</v>
      </c>
      <c r="G675" s="558" t="s">
        <v>63</v>
      </c>
      <c r="H675" s="558" t="s">
        <v>2753</v>
      </c>
      <c r="I675" s="679" t="s">
        <v>22</v>
      </c>
      <c r="J675" s="676" t="s">
        <v>5873</v>
      </c>
      <c r="K675" s="676" t="s">
        <v>5873</v>
      </c>
      <c r="M675" t="str">
        <f>""</f>
        <v/>
      </c>
    </row>
    <row r="676" spans="1:13" ht="15.75">
      <c r="A676">
        <v>2023</v>
      </c>
      <c r="B676" s="777">
        <v>44999</v>
      </c>
      <c r="C676" s="730">
        <v>0.3923611111111111</v>
      </c>
      <c r="D676" s="777">
        <v>45000</v>
      </c>
      <c r="E676" s="730">
        <v>0.625</v>
      </c>
      <c r="F676" s="558" t="s">
        <v>2868</v>
      </c>
      <c r="G676" s="558" t="s">
        <v>61</v>
      </c>
      <c r="H676" s="558" t="s">
        <v>2753</v>
      </c>
      <c r="I676" s="679" t="s">
        <v>22</v>
      </c>
      <c r="J676" s="676" t="s">
        <v>5873</v>
      </c>
      <c r="K676" s="676" t="s">
        <v>5873</v>
      </c>
      <c r="M676" t="str">
        <f>""</f>
        <v/>
      </c>
    </row>
    <row r="677" spans="1:13" ht="15.75">
      <c r="A677">
        <v>2023</v>
      </c>
      <c r="B677" s="777">
        <v>45015</v>
      </c>
      <c r="C677" s="730">
        <v>0.80625000000000002</v>
      </c>
      <c r="D677" s="777" t="s">
        <v>5873</v>
      </c>
      <c r="E677" s="730" t="s">
        <v>5873</v>
      </c>
      <c r="F677" s="558" t="s">
        <v>3645</v>
      </c>
      <c r="G677" s="558" t="s">
        <v>124</v>
      </c>
      <c r="H677" s="558" t="s">
        <v>2839</v>
      </c>
      <c r="I677" s="679" t="s">
        <v>2483</v>
      </c>
      <c r="J677" s="676" t="s">
        <v>5873</v>
      </c>
      <c r="K677" s="676" t="s">
        <v>5873</v>
      </c>
      <c r="M677" t="str">
        <f>""</f>
        <v/>
      </c>
    </row>
    <row r="678" spans="1:13" ht="15.75">
      <c r="A678">
        <v>2023</v>
      </c>
      <c r="B678" s="777">
        <v>45035</v>
      </c>
      <c r="C678" s="730">
        <v>0.96736111111111112</v>
      </c>
      <c r="D678" s="777">
        <v>45036</v>
      </c>
      <c r="E678" s="730">
        <v>0.72499999999999998</v>
      </c>
      <c r="F678" s="558" t="s">
        <v>3184</v>
      </c>
      <c r="G678" s="558" t="s">
        <v>1352</v>
      </c>
      <c r="H678" s="558" t="s">
        <v>2839</v>
      </c>
      <c r="I678" s="679" t="s">
        <v>2483</v>
      </c>
      <c r="J678" s="676" t="s">
        <v>5873</v>
      </c>
      <c r="K678" s="676" t="s">
        <v>5873</v>
      </c>
      <c r="M678" t="str">
        <f>""</f>
        <v/>
      </c>
    </row>
    <row r="679" spans="1:13" ht="15.75">
      <c r="A679">
        <v>2023</v>
      </c>
      <c r="B679" s="777">
        <v>45102</v>
      </c>
      <c r="C679" s="730">
        <v>0.72916666666666663</v>
      </c>
      <c r="D679" s="777">
        <v>45103</v>
      </c>
      <c r="E679" s="730">
        <v>0.64652777777777781</v>
      </c>
      <c r="F679" s="558" t="s">
        <v>5864</v>
      </c>
      <c r="G679" s="558" t="s">
        <v>63</v>
      </c>
      <c r="H679" s="558" t="s">
        <v>2753</v>
      </c>
      <c r="I679" s="679" t="s">
        <v>5883</v>
      </c>
      <c r="J679" s="676" t="s">
        <v>5873</v>
      </c>
      <c r="K679" s="676" t="s">
        <v>5873</v>
      </c>
      <c r="M679" t="str">
        <f>""</f>
        <v/>
      </c>
    </row>
    <row r="680" spans="1:13" ht="15.75">
      <c r="A680">
        <v>2023</v>
      </c>
      <c r="B680" s="777">
        <v>45102</v>
      </c>
      <c r="C680" s="730">
        <v>0.79166666666666663</v>
      </c>
      <c r="D680" s="777" t="s">
        <v>5873</v>
      </c>
      <c r="E680" s="730" t="s">
        <v>5873</v>
      </c>
      <c r="F680" s="558" t="s">
        <v>1833</v>
      </c>
      <c r="G680" s="558" t="s">
        <v>3143</v>
      </c>
      <c r="H680" s="558" t="s">
        <v>3451</v>
      </c>
      <c r="I680" s="679" t="s">
        <v>5883</v>
      </c>
      <c r="J680" s="676" t="s">
        <v>5873</v>
      </c>
      <c r="K680" s="676" t="s">
        <v>5873</v>
      </c>
      <c r="M680" t="str">
        <f>""</f>
        <v/>
      </c>
    </row>
    <row r="681" spans="1:13" ht="15.75">
      <c r="A681">
        <v>2023</v>
      </c>
      <c r="B681" s="777">
        <v>45113</v>
      </c>
      <c r="C681" s="532">
        <v>0.37638888888888888</v>
      </c>
      <c r="D681" s="678">
        <v>45113</v>
      </c>
      <c r="E681" s="532">
        <v>0.45069444444444445</v>
      </c>
      <c r="F681" t="s">
        <v>4402</v>
      </c>
      <c r="G681" t="s">
        <v>1352</v>
      </c>
      <c r="H681" t="s">
        <v>3411</v>
      </c>
      <c r="I681" s="677" t="s">
        <v>6040</v>
      </c>
      <c r="J681" s="785" t="s">
        <v>5873</v>
      </c>
      <c r="K681" s="785" t="s">
        <v>5873</v>
      </c>
      <c r="M681" t="str">
        <f>""</f>
        <v/>
      </c>
    </row>
    <row r="682" spans="1:13" ht="15.75">
      <c r="A682">
        <v>2023</v>
      </c>
      <c r="B682" s="777" t="s">
        <v>5873</v>
      </c>
      <c r="C682" s="532">
        <v>0.37638888888888888</v>
      </c>
      <c r="D682" s="678">
        <v>45113</v>
      </c>
      <c r="E682" s="532">
        <v>0.45069444444444445</v>
      </c>
      <c r="F682" t="s">
        <v>4402</v>
      </c>
      <c r="G682" t="s">
        <v>1352</v>
      </c>
      <c r="H682" t="s">
        <v>3411</v>
      </c>
      <c r="I682" s="677" t="s">
        <v>6040</v>
      </c>
      <c r="J682" s="785" t="s">
        <v>5873</v>
      </c>
      <c r="K682" s="785" t="s">
        <v>5873</v>
      </c>
      <c r="M682" t="str">
        <f>""</f>
        <v/>
      </c>
    </row>
    <row r="683" spans="1:13" ht="15.75">
      <c r="A683">
        <v>2023</v>
      </c>
      <c r="B683" s="777">
        <v>45176</v>
      </c>
      <c r="C683" s="532">
        <v>0.44791666666666669</v>
      </c>
      <c r="D683" s="678">
        <v>45176</v>
      </c>
      <c r="E683" s="532">
        <v>0.875</v>
      </c>
      <c r="F683" t="s">
        <v>2919</v>
      </c>
      <c r="G683" t="s">
        <v>1352</v>
      </c>
      <c r="H683" t="s">
        <v>3415</v>
      </c>
      <c r="I683" s="677" t="s">
        <v>5936</v>
      </c>
      <c r="J683" s="785" t="s">
        <v>5873</v>
      </c>
      <c r="K683" s="785" t="s">
        <v>5873</v>
      </c>
      <c r="M683" t="str">
        <f>""</f>
        <v/>
      </c>
    </row>
    <row r="684" spans="1:13" ht="15.75">
      <c r="A684">
        <v>2023</v>
      </c>
      <c r="B684" s="777">
        <v>45175</v>
      </c>
      <c r="C684" s="532">
        <v>0.6875</v>
      </c>
      <c r="D684" s="678">
        <v>45175</v>
      </c>
      <c r="E684" s="532">
        <v>0.875</v>
      </c>
      <c r="F684" t="s">
        <v>2919</v>
      </c>
      <c r="G684" t="s">
        <v>1352</v>
      </c>
      <c r="H684" t="s">
        <v>3415</v>
      </c>
      <c r="I684" s="677" t="s">
        <v>5936</v>
      </c>
      <c r="J684" s="785" t="s">
        <v>5873</v>
      </c>
      <c r="K684" s="785" t="s">
        <v>5873</v>
      </c>
      <c r="M684" t="str">
        <f>""</f>
        <v/>
      </c>
    </row>
    <row r="685" spans="1:13" ht="15.75">
      <c r="A685">
        <v>2023</v>
      </c>
      <c r="B685" s="777">
        <v>45202</v>
      </c>
      <c r="C685" s="532">
        <v>3.8194444444444448E-2</v>
      </c>
      <c r="D685" s="678">
        <v>45202</v>
      </c>
      <c r="E685" s="532">
        <v>5.0694444444444445E-2</v>
      </c>
      <c r="F685" t="s">
        <v>5940</v>
      </c>
      <c r="G685" t="s">
        <v>63</v>
      </c>
      <c r="H685" t="s">
        <v>3356</v>
      </c>
      <c r="I685" s="677" t="s">
        <v>6048</v>
      </c>
      <c r="J685" s="785" t="s">
        <v>5873</v>
      </c>
      <c r="K685" s="785" t="s">
        <v>5873</v>
      </c>
      <c r="M685" t="str">
        <f>""</f>
        <v/>
      </c>
    </row>
    <row r="686" spans="1:13" ht="15.75">
      <c r="A686">
        <v>2023</v>
      </c>
      <c r="B686" s="777">
        <v>45202</v>
      </c>
      <c r="C686" s="532">
        <v>0.66666666666666663</v>
      </c>
      <c r="D686" s="678">
        <v>45202</v>
      </c>
      <c r="E686" s="532">
        <v>0.78472222222222221</v>
      </c>
      <c r="F686" t="s">
        <v>2832</v>
      </c>
      <c r="G686" t="s">
        <v>63</v>
      </c>
      <c r="H686" t="s">
        <v>3402</v>
      </c>
      <c r="I686" s="677" t="s">
        <v>5545</v>
      </c>
      <c r="J686" s="785" t="s">
        <v>5873</v>
      </c>
      <c r="K686" s="785" t="s">
        <v>5873</v>
      </c>
      <c r="M686" t="str">
        <f>""</f>
        <v/>
      </c>
    </row>
    <row r="687" spans="1:13" ht="15.75">
      <c r="A687">
        <v>2023</v>
      </c>
      <c r="B687" s="777">
        <v>45206</v>
      </c>
      <c r="C687" s="532">
        <v>0.36736111111111114</v>
      </c>
      <c r="D687" s="678">
        <v>45207</v>
      </c>
      <c r="E687" s="532">
        <v>0.10555555555555556</v>
      </c>
      <c r="F687" t="s">
        <v>5951</v>
      </c>
      <c r="G687" t="s">
        <v>3143</v>
      </c>
      <c r="H687" t="s">
        <v>3356</v>
      </c>
      <c r="I687" s="677" t="s">
        <v>5545</v>
      </c>
      <c r="J687" s="785" t="s">
        <v>5873</v>
      </c>
      <c r="K687" s="785" t="s">
        <v>5873</v>
      </c>
      <c r="M687" t="str">
        <f>""</f>
        <v/>
      </c>
    </row>
    <row r="688" spans="1:13" ht="15.75">
      <c r="A688">
        <v>2023</v>
      </c>
      <c r="B688" s="777">
        <v>45211</v>
      </c>
      <c r="C688" s="532">
        <v>0.60902777777777772</v>
      </c>
      <c r="D688" s="678">
        <v>45211</v>
      </c>
      <c r="E688" s="532">
        <v>0.65069444444444446</v>
      </c>
      <c r="F688" t="s">
        <v>5953</v>
      </c>
      <c r="G688" t="s">
        <v>3143</v>
      </c>
      <c r="H688" t="s">
        <v>3402</v>
      </c>
      <c r="I688" s="677" t="s">
        <v>5545</v>
      </c>
      <c r="J688" s="785" t="s">
        <v>5873</v>
      </c>
      <c r="K688" s="785" t="s">
        <v>5873</v>
      </c>
      <c r="M688" t="str">
        <f>""</f>
        <v/>
      </c>
    </row>
    <row r="689" spans="1:13" ht="15.75">
      <c r="A689">
        <v>2023</v>
      </c>
      <c r="B689" s="777">
        <v>45211</v>
      </c>
      <c r="C689" s="532">
        <v>0.60902777777777772</v>
      </c>
      <c r="D689" s="678">
        <v>45211</v>
      </c>
      <c r="E689" s="532">
        <v>0.65069444444444446</v>
      </c>
      <c r="F689" t="s">
        <v>5953</v>
      </c>
      <c r="G689" t="s">
        <v>3143</v>
      </c>
      <c r="H689" t="s">
        <v>3402</v>
      </c>
      <c r="I689" s="677" t="s">
        <v>5545</v>
      </c>
      <c r="J689" s="785" t="s">
        <v>5873</v>
      </c>
      <c r="K689" s="785" t="s">
        <v>5873</v>
      </c>
      <c r="M689" t="str">
        <f>""</f>
        <v/>
      </c>
    </row>
    <row r="690" spans="1:13" ht="15.75">
      <c r="A690">
        <v>2023</v>
      </c>
      <c r="B690" s="777">
        <v>45213</v>
      </c>
      <c r="C690" s="532">
        <v>0.2986111111111111</v>
      </c>
      <c r="D690" s="777" t="s">
        <v>5873</v>
      </c>
      <c r="E690" s="782" t="s">
        <v>5873</v>
      </c>
      <c r="F690" t="s">
        <v>3967</v>
      </c>
      <c r="G690" t="s">
        <v>124</v>
      </c>
      <c r="H690" t="s">
        <v>3356</v>
      </c>
      <c r="I690" s="677" t="s">
        <v>6052</v>
      </c>
      <c r="J690" s="785" t="s">
        <v>5873</v>
      </c>
      <c r="K690" s="785" t="s">
        <v>5873</v>
      </c>
      <c r="M690" t="str">
        <f>""</f>
        <v/>
      </c>
    </row>
    <row r="691" spans="1:13" ht="15.75">
      <c r="A691">
        <v>2023</v>
      </c>
      <c r="B691" s="777">
        <v>45231</v>
      </c>
      <c r="C691" s="532">
        <v>0.60902777777777772</v>
      </c>
      <c r="D691" s="777" t="s">
        <v>5873</v>
      </c>
      <c r="E691" s="782" t="s">
        <v>5873</v>
      </c>
      <c r="F691" t="s">
        <v>4185</v>
      </c>
      <c r="G691" t="s">
        <v>5880</v>
      </c>
      <c r="H691" t="s">
        <v>3356</v>
      </c>
      <c r="I691" s="677" t="s">
        <v>6047</v>
      </c>
      <c r="J691" s="785" t="s">
        <v>5873</v>
      </c>
      <c r="K691" s="785" t="s">
        <v>5873</v>
      </c>
      <c r="M691" t="str">
        <f>""</f>
        <v/>
      </c>
    </row>
    <row r="692" spans="1:13" ht="15.75">
      <c r="A692">
        <v>2023</v>
      </c>
      <c r="B692" s="777">
        <v>45232</v>
      </c>
      <c r="C692" s="532">
        <v>0.83333333333333337</v>
      </c>
      <c r="D692" s="678">
        <v>45232</v>
      </c>
      <c r="E692" s="532">
        <v>0.83750000000000002</v>
      </c>
      <c r="F692" t="s">
        <v>5976</v>
      </c>
      <c r="G692" t="s">
        <v>63</v>
      </c>
      <c r="H692" t="s">
        <v>3402</v>
      </c>
      <c r="I692" s="677" t="s">
        <v>5545</v>
      </c>
      <c r="J692" s="785" t="s">
        <v>5873</v>
      </c>
      <c r="K692" s="785" t="s">
        <v>5873</v>
      </c>
      <c r="M692" t="str">
        <f>""</f>
        <v/>
      </c>
    </row>
    <row r="693" spans="1:13" ht="15.75">
      <c r="A693">
        <v>2023</v>
      </c>
      <c r="B693" s="777">
        <v>45232</v>
      </c>
      <c r="C693" s="532">
        <v>0.46527777777777779</v>
      </c>
      <c r="D693" s="678">
        <v>45232</v>
      </c>
      <c r="E693" s="532">
        <v>0.47222222222222221</v>
      </c>
      <c r="F693" t="s">
        <v>5977</v>
      </c>
      <c r="G693" t="s">
        <v>124</v>
      </c>
      <c r="H693" t="s">
        <v>2910</v>
      </c>
      <c r="I693" s="677" t="s">
        <v>6055</v>
      </c>
      <c r="J693" s="785" t="s">
        <v>5873</v>
      </c>
      <c r="K693" s="785" t="s">
        <v>5873</v>
      </c>
      <c r="M693" t="str">
        <f>""</f>
        <v/>
      </c>
    </row>
    <row r="694" spans="1:13" ht="15.75">
      <c r="A694">
        <v>2023</v>
      </c>
      <c r="B694" s="777">
        <v>45236</v>
      </c>
      <c r="C694" s="532">
        <v>0.66666666666666663</v>
      </c>
      <c r="D694" s="678">
        <v>45236</v>
      </c>
      <c r="E694" s="532">
        <v>0.70833333333333337</v>
      </c>
      <c r="F694" t="s">
        <v>3405</v>
      </c>
      <c r="G694" t="s">
        <v>124</v>
      </c>
      <c r="H694" t="s">
        <v>3356</v>
      </c>
      <c r="I694" s="677" t="s">
        <v>6049</v>
      </c>
      <c r="J694" s="785" t="s">
        <v>5873</v>
      </c>
      <c r="K694" s="785" t="s">
        <v>5873</v>
      </c>
      <c r="M694" t="str">
        <f>""</f>
        <v/>
      </c>
    </row>
    <row r="695" spans="1:13" ht="15.75">
      <c r="A695">
        <v>2023</v>
      </c>
      <c r="B695" s="777">
        <v>45239</v>
      </c>
      <c r="C695" s="532">
        <v>0.56597222222222221</v>
      </c>
      <c r="D695" s="678">
        <v>45239</v>
      </c>
      <c r="E695" s="532">
        <v>0.60763888888888884</v>
      </c>
      <c r="F695" t="s">
        <v>5981</v>
      </c>
      <c r="G695" t="s">
        <v>5982</v>
      </c>
      <c r="H695" t="s">
        <v>3447</v>
      </c>
      <c r="I695" s="677" t="s">
        <v>2798</v>
      </c>
      <c r="J695" s="785" t="s">
        <v>5873</v>
      </c>
      <c r="K695" s="785" t="s">
        <v>5873</v>
      </c>
      <c r="M695" t="str">
        <f>""</f>
        <v/>
      </c>
    </row>
    <row r="696" spans="1:13" ht="15.75">
      <c r="A696">
        <v>2023</v>
      </c>
      <c r="B696" s="777">
        <v>45239</v>
      </c>
      <c r="C696" s="532">
        <v>0.125</v>
      </c>
      <c r="D696" s="678">
        <v>45239</v>
      </c>
      <c r="E696" s="532">
        <v>0.13541666666666666</v>
      </c>
      <c r="F696" t="s">
        <v>3397</v>
      </c>
      <c r="G696" t="s">
        <v>124</v>
      </c>
      <c r="H696" t="s">
        <v>2910</v>
      </c>
      <c r="I696" s="677" t="s">
        <v>6050</v>
      </c>
      <c r="J696" s="785" t="s">
        <v>5873</v>
      </c>
      <c r="K696" s="785" t="s">
        <v>5873</v>
      </c>
      <c r="M696" t="str">
        <f>""</f>
        <v/>
      </c>
    </row>
    <row r="697" spans="1:13" ht="15.75">
      <c r="A697">
        <v>2023</v>
      </c>
      <c r="B697" s="777">
        <v>45240</v>
      </c>
      <c r="C697" s="532">
        <v>0.75694444444444442</v>
      </c>
      <c r="D697" s="678">
        <v>45240</v>
      </c>
      <c r="E697" s="532">
        <v>0.83194444444444449</v>
      </c>
      <c r="F697" t="s">
        <v>3965</v>
      </c>
      <c r="G697" t="s">
        <v>3143</v>
      </c>
      <c r="H697" t="s">
        <v>2910</v>
      </c>
      <c r="I697" s="677" t="s">
        <v>5545</v>
      </c>
      <c r="J697" s="785" t="s">
        <v>5873</v>
      </c>
      <c r="K697" s="785" t="s">
        <v>5873</v>
      </c>
      <c r="M697" t="str">
        <f>""</f>
        <v/>
      </c>
    </row>
    <row r="698" spans="1:13" ht="15.75">
      <c r="A698">
        <v>2023</v>
      </c>
      <c r="B698" s="777">
        <v>45240</v>
      </c>
      <c r="C698" s="532">
        <v>0.75694444444444442</v>
      </c>
      <c r="D698" s="678">
        <v>45240</v>
      </c>
      <c r="E698" s="532">
        <v>0.83194444444444449</v>
      </c>
      <c r="F698" t="s">
        <v>3215</v>
      </c>
      <c r="G698" t="s">
        <v>3143</v>
      </c>
      <c r="H698" t="s">
        <v>3402</v>
      </c>
      <c r="I698" s="677" t="s">
        <v>5545</v>
      </c>
      <c r="J698" s="785" t="s">
        <v>5873</v>
      </c>
      <c r="K698" s="785" t="s">
        <v>5873</v>
      </c>
      <c r="M698" t="str">
        <f>""</f>
        <v/>
      </c>
    </row>
    <row r="699" spans="1:13" ht="15.75">
      <c r="A699">
        <v>2023</v>
      </c>
      <c r="B699" s="777">
        <v>45240</v>
      </c>
      <c r="C699" s="532">
        <v>0.33333333333333331</v>
      </c>
      <c r="D699" s="678">
        <v>45240</v>
      </c>
      <c r="E699" s="532">
        <v>0.33402777777777776</v>
      </c>
      <c r="F699" t="s">
        <v>4430</v>
      </c>
      <c r="G699" t="s">
        <v>124</v>
      </c>
      <c r="H699" t="s">
        <v>3402</v>
      </c>
      <c r="I699" s="677" t="s">
        <v>6048</v>
      </c>
      <c r="J699" s="785" t="s">
        <v>5873</v>
      </c>
      <c r="K699" s="785" t="s">
        <v>5873</v>
      </c>
      <c r="M699" t="str">
        <f>""</f>
        <v/>
      </c>
    </row>
    <row r="700" spans="1:13" ht="15.75">
      <c r="A700">
        <v>2023</v>
      </c>
      <c r="B700" s="777">
        <v>45241</v>
      </c>
      <c r="C700" s="532">
        <v>3.125E-2</v>
      </c>
      <c r="D700" s="678">
        <v>45241</v>
      </c>
      <c r="E700" s="532">
        <v>4.9305555555555554E-2</v>
      </c>
      <c r="F700" t="s">
        <v>3600</v>
      </c>
      <c r="G700" t="s">
        <v>124</v>
      </c>
      <c r="H700" t="s">
        <v>2910</v>
      </c>
      <c r="I700" s="677" t="s">
        <v>100</v>
      </c>
      <c r="J700" s="785" t="s">
        <v>5873</v>
      </c>
      <c r="K700" s="785" t="s">
        <v>5873</v>
      </c>
      <c r="M700" t="str">
        <f>""</f>
        <v/>
      </c>
    </row>
    <row r="701" spans="1:13" ht="15.75">
      <c r="A701">
        <v>2023</v>
      </c>
      <c r="B701" s="777">
        <v>45242</v>
      </c>
      <c r="C701" s="532">
        <v>0.28125</v>
      </c>
      <c r="D701" s="678">
        <v>45242</v>
      </c>
      <c r="E701" s="532">
        <v>0.37430555555555556</v>
      </c>
      <c r="F701" t="s">
        <v>2801</v>
      </c>
      <c r="G701" t="s">
        <v>124</v>
      </c>
      <c r="H701" t="s">
        <v>3356</v>
      </c>
      <c r="I701" s="677" t="s">
        <v>2798</v>
      </c>
      <c r="J701" s="785" t="s">
        <v>5873</v>
      </c>
      <c r="K701" s="785" t="s">
        <v>5873</v>
      </c>
      <c r="M701" t="str">
        <f>""</f>
        <v/>
      </c>
    </row>
    <row r="702" spans="1:13" ht="15.75">
      <c r="A702">
        <v>2023</v>
      </c>
      <c r="B702" s="777">
        <v>45243</v>
      </c>
      <c r="C702" s="532">
        <v>0.67777777777777781</v>
      </c>
      <c r="D702" s="678">
        <v>45243</v>
      </c>
      <c r="E702" s="532">
        <v>0.69166666666666665</v>
      </c>
      <c r="F702" t="s">
        <v>4057</v>
      </c>
      <c r="G702" t="s">
        <v>674</v>
      </c>
      <c r="H702" t="s">
        <v>3411</v>
      </c>
      <c r="I702" s="677" t="s">
        <v>2798</v>
      </c>
      <c r="J702" s="785" t="s">
        <v>5873</v>
      </c>
      <c r="K702" s="785" t="s">
        <v>5873</v>
      </c>
      <c r="M702" t="str">
        <f>""</f>
        <v/>
      </c>
    </row>
    <row r="703" spans="1:13" ht="15.75">
      <c r="A703">
        <v>2023</v>
      </c>
      <c r="B703" s="777">
        <v>45245</v>
      </c>
      <c r="C703" s="532">
        <v>0.83333333333333337</v>
      </c>
      <c r="D703" s="678">
        <v>45246</v>
      </c>
      <c r="E703" s="532">
        <v>0.85416666666666663</v>
      </c>
      <c r="F703" t="s">
        <v>2920</v>
      </c>
      <c r="G703" t="s">
        <v>124</v>
      </c>
      <c r="H703" t="s">
        <v>2780</v>
      </c>
      <c r="I703" s="677" t="s">
        <v>6056</v>
      </c>
      <c r="J703" s="785" t="s">
        <v>5873</v>
      </c>
      <c r="K703" s="785" t="s">
        <v>5873</v>
      </c>
      <c r="M703" t="str">
        <f>""</f>
        <v/>
      </c>
    </row>
    <row r="704" spans="1:13" ht="15.75">
      <c r="A704">
        <v>2023</v>
      </c>
      <c r="B704" s="777">
        <v>45246</v>
      </c>
      <c r="C704" s="532">
        <v>0.13750000000000001</v>
      </c>
      <c r="D704" s="777" t="s">
        <v>5873</v>
      </c>
      <c r="E704" s="782" t="s">
        <v>5873</v>
      </c>
      <c r="F704" t="s">
        <v>5990</v>
      </c>
      <c r="G704" t="s">
        <v>63</v>
      </c>
      <c r="H704" t="s">
        <v>2753</v>
      </c>
      <c r="I704" s="677" t="s">
        <v>5883</v>
      </c>
      <c r="J704" s="785" t="s">
        <v>5873</v>
      </c>
      <c r="K704" s="785" t="s">
        <v>5873</v>
      </c>
      <c r="M704" t="str">
        <f>""</f>
        <v/>
      </c>
    </row>
    <row r="705" spans="1:13" ht="15.75">
      <c r="A705">
        <v>2023</v>
      </c>
      <c r="B705" s="777">
        <v>45247</v>
      </c>
      <c r="C705" s="532">
        <v>7.1527777777777773E-2</v>
      </c>
      <c r="D705" s="678">
        <v>45247</v>
      </c>
      <c r="E705" s="532">
        <v>0.14791666666666667</v>
      </c>
      <c r="F705" t="s">
        <v>3338</v>
      </c>
      <c r="G705" t="s">
        <v>124</v>
      </c>
      <c r="H705" t="s">
        <v>3402</v>
      </c>
      <c r="I705" s="677" t="s">
        <v>2798</v>
      </c>
      <c r="J705" s="785" t="s">
        <v>5873</v>
      </c>
      <c r="K705" s="785" t="s">
        <v>5873</v>
      </c>
      <c r="M705" t="str">
        <f>""</f>
        <v/>
      </c>
    </row>
    <row r="706" spans="1:13" ht="15.75">
      <c r="A706">
        <v>2023</v>
      </c>
      <c r="B706" s="777">
        <v>45247</v>
      </c>
      <c r="C706" s="532">
        <v>0.6875</v>
      </c>
      <c r="D706" s="678">
        <v>45247</v>
      </c>
      <c r="E706" s="532">
        <v>0.69513888888888886</v>
      </c>
      <c r="F706" t="s">
        <v>4185</v>
      </c>
      <c r="G706" t="s">
        <v>5880</v>
      </c>
      <c r="H706" t="s">
        <v>3356</v>
      </c>
      <c r="I706" s="677" t="s">
        <v>45</v>
      </c>
      <c r="J706" s="785" t="s">
        <v>5873</v>
      </c>
      <c r="K706" s="785" t="s">
        <v>5873</v>
      </c>
      <c r="M706" t="str">
        <f>""</f>
        <v/>
      </c>
    </row>
    <row r="707" spans="1:13" ht="15.75">
      <c r="A707">
        <v>2023</v>
      </c>
      <c r="B707" s="777">
        <v>45247</v>
      </c>
      <c r="C707" s="532">
        <v>0.17152777777777778</v>
      </c>
      <c r="D707" s="678">
        <v>45247</v>
      </c>
      <c r="E707" s="532">
        <v>0.18124999999999999</v>
      </c>
      <c r="F707" t="s">
        <v>5993</v>
      </c>
      <c r="G707" t="s">
        <v>124</v>
      </c>
      <c r="H707" t="s">
        <v>3411</v>
      </c>
      <c r="I707" s="677" t="s">
        <v>2798</v>
      </c>
      <c r="J707" s="785" t="s">
        <v>5873</v>
      </c>
      <c r="K707" s="785" t="s">
        <v>5873</v>
      </c>
      <c r="M707" t="str">
        <f>""</f>
        <v/>
      </c>
    </row>
    <row r="708" spans="1:13" ht="15.75">
      <c r="A708">
        <v>2023</v>
      </c>
      <c r="B708" s="777">
        <v>45249</v>
      </c>
      <c r="C708" s="532">
        <v>0.19375000000000001</v>
      </c>
      <c r="D708" s="777" t="s">
        <v>5873</v>
      </c>
      <c r="E708" s="782" t="s">
        <v>5873</v>
      </c>
      <c r="F708" t="s">
        <v>5964</v>
      </c>
      <c r="G708" t="s">
        <v>124</v>
      </c>
      <c r="H708" t="s">
        <v>3356</v>
      </c>
      <c r="I708" s="677" t="s">
        <v>100</v>
      </c>
      <c r="J708" s="785" t="s">
        <v>5873</v>
      </c>
      <c r="K708" s="785" t="s">
        <v>5873</v>
      </c>
      <c r="M708" t="str">
        <f>""</f>
        <v/>
      </c>
    </row>
    <row r="709" spans="1:13" ht="15.75">
      <c r="A709">
        <v>2023</v>
      </c>
      <c r="B709" s="777">
        <v>45249</v>
      </c>
      <c r="C709" s="532">
        <v>0.58333333333333337</v>
      </c>
      <c r="D709" s="678">
        <v>45249</v>
      </c>
      <c r="E709" s="532">
        <v>0.59027777777777779</v>
      </c>
      <c r="F709" t="s">
        <v>5923</v>
      </c>
      <c r="G709" t="s">
        <v>63</v>
      </c>
      <c r="H709" t="s">
        <v>3402</v>
      </c>
      <c r="I709" s="677" t="s">
        <v>5545</v>
      </c>
      <c r="J709" s="785" t="s">
        <v>5873</v>
      </c>
      <c r="K709" s="785" t="s">
        <v>5873</v>
      </c>
      <c r="M709" t="str">
        <f>""</f>
        <v/>
      </c>
    </row>
    <row r="710" spans="1:13" ht="15.75">
      <c r="A710">
        <v>2023</v>
      </c>
      <c r="B710" s="777">
        <v>45249</v>
      </c>
      <c r="C710" s="532">
        <v>0.125</v>
      </c>
      <c r="D710" s="678">
        <v>45249</v>
      </c>
      <c r="E710" s="532">
        <v>0.14583333333333334</v>
      </c>
      <c r="F710" t="s">
        <v>3885</v>
      </c>
      <c r="G710" t="s">
        <v>3143</v>
      </c>
      <c r="H710" t="s">
        <v>3402</v>
      </c>
      <c r="I710" s="677" t="s">
        <v>6055</v>
      </c>
      <c r="J710" s="785" t="s">
        <v>5873</v>
      </c>
      <c r="K710" s="785" t="s">
        <v>5873</v>
      </c>
      <c r="M710" t="str">
        <f>""</f>
        <v/>
      </c>
    </row>
    <row r="711" spans="1:13" ht="15.75">
      <c r="A711">
        <v>2023</v>
      </c>
      <c r="B711" s="777">
        <v>45250</v>
      </c>
      <c r="C711" s="532">
        <v>0</v>
      </c>
      <c r="D711" s="678">
        <v>45250</v>
      </c>
      <c r="E711" s="532">
        <v>8.3333333333333329E-2</v>
      </c>
      <c r="F711" t="s">
        <v>4430</v>
      </c>
      <c r="G711" t="s">
        <v>124</v>
      </c>
      <c r="H711" t="s">
        <v>3402</v>
      </c>
      <c r="I711" s="677" t="s">
        <v>6057</v>
      </c>
      <c r="J711" s="785" t="s">
        <v>5873</v>
      </c>
      <c r="K711" s="785" t="s">
        <v>5873</v>
      </c>
      <c r="M711" t="str">
        <f>""</f>
        <v/>
      </c>
    </row>
    <row r="712" spans="1:13" ht="15.75">
      <c r="A712">
        <v>2023</v>
      </c>
      <c r="B712" s="777">
        <v>45251</v>
      </c>
      <c r="C712" s="532">
        <v>0.39513888888888887</v>
      </c>
      <c r="D712" s="678">
        <v>45251</v>
      </c>
      <c r="E712" s="532">
        <v>0.39583333333333331</v>
      </c>
      <c r="F712" t="s">
        <v>5964</v>
      </c>
      <c r="G712" t="s">
        <v>124</v>
      </c>
      <c r="H712" t="s">
        <v>3356</v>
      </c>
      <c r="I712" s="677" t="s">
        <v>6055</v>
      </c>
      <c r="J712" s="785" t="s">
        <v>5873</v>
      </c>
      <c r="K712" s="785" t="s">
        <v>5873</v>
      </c>
      <c r="M712" t="str">
        <f>""</f>
        <v/>
      </c>
    </row>
    <row r="713" spans="1:13" ht="15.75">
      <c r="A713">
        <v>2023</v>
      </c>
      <c r="B713" s="777">
        <v>45255</v>
      </c>
      <c r="C713" s="532">
        <v>0.43055555555555558</v>
      </c>
      <c r="D713" s="777" t="s">
        <v>5873</v>
      </c>
      <c r="E713" s="782" t="s">
        <v>5873</v>
      </c>
      <c r="F713" t="s">
        <v>2849</v>
      </c>
      <c r="G713" t="s">
        <v>124</v>
      </c>
      <c r="H713" t="s">
        <v>5999</v>
      </c>
      <c r="I713" s="677" t="s">
        <v>45</v>
      </c>
      <c r="J713" s="785" t="s">
        <v>5873</v>
      </c>
      <c r="K713" s="785" t="s">
        <v>5873</v>
      </c>
      <c r="M713" t="str">
        <f>""</f>
        <v/>
      </c>
    </row>
    <row r="714" spans="1:13" ht="15.75">
      <c r="A714">
        <v>2023</v>
      </c>
      <c r="B714" s="777">
        <v>45256</v>
      </c>
      <c r="C714" s="532">
        <v>4.1666666666666664E-2</v>
      </c>
      <c r="D714" s="678">
        <v>45256</v>
      </c>
      <c r="E714" s="532">
        <v>8.3333333333333329E-2</v>
      </c>
      <c r="F714" t="s">
        <v>6001</v>
      </c>
      <c r="G714" t="s">
        <v>124</v>
      </c>
      <c r="H714" t="s">
        <v>3356</v>
      </c>
      <c r="I714" s="677" t="s">
        <v>6058</v>
      </c>
      <c r="J714" s="785" t="s">
        <v>5873</v>
      </c>
      <c r="K714" s="785" t="s">
        <v>5873</v>
      </c>
      <c r="M714" t="str">
        <f>""</f>
        <v/>
      </c>
    </row>
    <row r="715" spans="1:13" ht="15.75">
      <c r="A715">
        <v>2023</v>
      </c>
      <c r="B715" s="777">
        <v>45257</v>
      </c>
      <c r="C715" s="532">
        <v>0.25</v>
      </c>
      <c r="D715" s="678">
        <v>45257</v>
      </c>
      <c r="E715" s="532">
        <v>0.54166666666666663</v>
      </c>
      <c r="F715" t="s">
        <v>5925</v>
      </c>
      <c r="G715" t="s">
        <v>61</v>
      </c>
      <c r="H715" t="s">
        <v>2753</v>
      </c>
      <c r="I715" s="677" t="s">
        <v>5883</v>
      </c>
      <c r="J715" s="785" t="s">
        <v>5873</v>
      </c>
      <c r="K715" s="785" t="s">
        <v>5873</v>
      </c>
      <c r="M715" t="str">
        <f>""</f>
        <v/>
      </c>
    </row>
    <row r="716" spans="1:13" ht="15.75">
      <c r="A716">
        <v>2023</v>
      </c>
      <c r="B716" s="777">
        <v>45257</v>
      </c>
      <c r="C716" s="532">
        <v>0.49513888888888891</v>
      </c>
      <c r="D716" s="678">
        <v>45257</v>
      </c>
      <c r="E716" s="532">
        <v>0.57847222222222228</v>
      </c>
      <c r="F716" t="s">
        <v>2900</v>
      </c>
      <c r="G716" t="s">
        <v>124</v>
      </c>
      <c r="H716" t="s">
        <v>3411</v>
      </c>
      <c r="I716" s="677" t="s">
        <v>2798</v>
      </c>
      <c r="J716" s="785" t="s">
        <v>5873</v>
      </c>
      <c r="K716" s="785" t="s">
        <v>5873</v>
      </c>
      <c r="M716" t="str">
        <f>""</f>
        <v/>
      </c>
    </row>
    <row r="717" spans="1:13" ht="15.75">
      <c r="A717">
        <v>2023</v>
      </c>
      <c r="B717" s="777">
        <v>45259</v>
      </c>
      <c r="C717" s="532">
        <v>0.375</v>
      </c>
      <c r="D717" s="777" t="s">
        <v>5873</v>
      </c>
      <c r="E717" s="782" t="s">
        <v>5873</v>
      </c>
      <c r="F717" t="s">
        <v>6005</v>
      </c>
      <c r="G717" t="s">
        <v>5880</v>
      </c>
      <c r="H717" t="s">
        <v>3356</v>
      </c>
      <c r="I717" s="677" t="s">
        <v>6059</v>
      </c>
      <c r="J717" s="785" t="s">
        <v>5873</v>
      </c>
      <c r="K717" s="785" t="s">
        <v>5873</v>
      </c>
      <c r="M717" t="str">
        <f>""</f>
        <v/>
      </c>
    </row>
    <row r="718" spans="1:13" ht="15.75">
      <c r="A718">
        <v>2023</v>
      </c>
      <c r="B718" s="777">
        <v>45275</v>
      </c>
      <c r="C718" s="532">
        <v>0.53194444444444444</v>
      </c>
      <c r="D718" s="678">
        <v>45275</v>
      </c>
      <c r="E718" s="532">
        <v>0.66666666666666663</v>
      </c>
      <c r="F718" t="s">
        <v>6029</v>
      </c>
      <c r="G718" t="s">
        <v>3143</v>
      </c>
      <c r="H718" t="s">
        <v>2910</v>
      </c>
      <c r="I718" s="677" t="s">
        <v>6059</v>
      </c>
      <c r="J718" s="785" t="s">
        <v>5873</v>
      </c>
      <c r="K718" s="785" t="s">
        <v>5873</v>
      </c>
      <c r="M718" t="str">
        <f>""</f>
        <v/>
      </c>
    </row>
    <row r="719" spans="1:13" ht="15.75">
      <c r="A719">
        <v>2023</v>
      </c>
      <c r="B719" s="777">
        <v>45275</v>
      </c>
      <c r="C719" s="532">
        <v>0.53194444444444444</v>
      </c>
      <c r="D719" s="678">
        <v>45275</v>
      </c>
      <c r="E719" s="532">
        <v>0.66666666666666663</v>
      </c>
      <c r="F719" t="s">
        <v>6029</v>
      </c>
      <c r="G719" t="s">
        <v>3143</v>
      </c>
      <c r="H719" t="s">
        <v>2910</v>
      </c>
      <c r="I719" s="677" t="s">
        <v>6059</v>
      </c>
      <c r="J719" s="785" t="s">
        <v>5873</v>
      </c>
      <c r="K719" s="785" t="s">
        <v>5873</v>
      </c>
      <c r="M719" t="str">
        <f>""</f>
        <v/>
      </c>
    </row>
    <row r="720" spans="1:13" ht="15.75">
      <c r="A720">
        <v>2023</v>
      </c>
      <c r="B720" s="777">
        <v>45276</v>
      </c>
      <c r="C720" s="532">
        <v>8.6805555555555552E-2</v>
      </c>
      <c r="D720" s="678">
        <v>45276</v>
      </c>
      <c r="E720" s="532">
        <v>0.10347222222222222</v>
      </c>
      <c r="F720" t="s">
        <v>6030</v>
      </c>
      <c r="G720" t="s">
        <v>255</v>
      </c>
      <c r="H720" t="s">
        <v>3379</v>
      </c>
      <c r="I720" s="677" t="s">
        <v>6062</v>
      </c>
      <c r="J720" s="785" t="s">
        <v>5873</v>
      </c>
      <c r="K720" s="785" t="s">
        <v>5873</v>
      </c>
      <c r="M720" t="str">
        <f>""</f>
        <v/>
      </c>
    </row>
    <row r="721" spans="1:13" ht="15.75">
      <c r="A721">
        <v>2023</v>
      </c>
      <c r="B721" s="777">
        <v>45290</v>
      </c>
      <c r="C721" s="532">
        <v>0.875</v>
      </c>
      <c r="D721" s="678">
        <v>45290</v>
      </c>
      <c r="E721" s="532">
        <v>0.92708333333333337</v>
      </c>
      <c r="F721" t="s">
        <v>6038</v>
      </c>
      <c r="G721" t="s">
        <v>3143</v>
      </c>
      <c r="H721" t="s">
        <v>3402</v>
      </c>
      <c r="I721" s="677" t="s">
        <v>5545</v>
      </c>
      <c r="J721" s="785" t="s">
        <v>5873</v>
      </c>
      <c r="K721" s="785" t="s">
        <v>5873</v>
      </c>
      <c r="M721" t="str">
        <f>""</f>
        <v/>
      </c>
    </row>
    <row r="722" spans="1:13" ht="15.75">
      <c r="A722">
        <v>2023</v>
      </c>
      <c r="B722" s="777">
        <v>45070</v>
      </c>
      <c r="C722" s="730">
        <v>0.38611111111111113</v>
      </c>
      <c r="D722" s="777" t="s">
        <v>5873</v>
      </c>
      <c r="E722" s="730" t="s">
        <v>5873</v>
      </c>
      <c r="F722" s="558" t="s">
        <v>5131</v>
      </c>
      <c r="G722" s="558" t="s">
        <v>674</v>
      </c>
      <c r="H722" s="558" t="s">
        <v>5858</v>
      </c>
      <c r="I722" s="679" t="s">
        <v>2764</v>
      </c>
      <c r="J722" s="676">
        <v>2200</v>
      </c>
      <c r="K722" s="676" t="s">
        <v>5873</v>
      </c>
      <c r="M722" t="str">
        <f>""</f>
        <v/>
      </c>
    </row>
    <row r="723" spans="1:13" ht="15.75">
      <c r="A723">
        <v>2023</v>
      </c>
      <c r="B723" s="777">
        <v>44961</v>
      </c>
      <c r="C723" s="730">
        <v>0.46805555555555556</v>
      </c>
      <c r="D723" s="777">
        <v>44961</v>
      </c>
      <c r="E723" s="730">
        <v>0.53819444444444442</v>
      </c>
      <c r="F723" s="558" t="s">
        <v>5730</v>
      </c>
      <c r="G723" s="558" t="s">
        <v>3143</v>
      </c>
      <c r="H723" s="558" t="s">
        <v>2910</v>
      </c>
      <c r="I723" s="679" t="s">
        <v>100</v>
      </c>
      <c r="J723" s="676">
        <v>2000</v>
      </c>
      <c r="K723" s="676" t="s">
        <v>5873</v>
      </c>
      <c r="M723" t="str">
        <f>""</f>
        <v/>
      </c>
    </row>
    <row r="724" spans="1:13" ht="15.75">
      <c r="A724">
        <v>2023</v>
      </c>
      <c r="B724" s="777">
        <v>45132</v>
      </c>
      <c r="C724" s="532">
        <v>0.78611111111111109</v>
      </c>
      <c r="D724" s="678">
        <v>45132</v>
      </c>
      <c r="E724" s="532">
        <v>0.79166666666666663</v>
      </c>
      <c r="F724" t="s">
        <v>2935</v>
      </c>
      <c r="G724" t="s">
        <v>63</v>
      </c>
      <c r="H724" t="s">
        <v>3910</v>
      </c>
      <c r="I724" s="677" t="s">
        <v>6041</v>
      </c>
      <c r="J724" s="783">
        <v>820</v>
      </c>
      <c r="K724" s="785" t="s">
        <v>5873</v>
      </c>
      <c r="M724" t="str">
        <f>""</f>
        <v/>
      </c>
    </row>
    <row r="725" spans="1:13" ht="15.75">
      <c r="A725">
        <v>2023</v>
      </c>
      <c r="B725" s="777" t="s">
        <v>5873</v>
      </c>
      <c r="C725" s="532">
        <v>0.78611111111111109</v>
      </c>
      <c r="D725" s="678">
        <v>45132</v>
      </c>
      <c r="E725" s="532">
        <v>0.79166666666666663</v>
      </c>
      <c r="F725" t="s">
        <v>2935</v>
      </c>
      <c r="G725" t="s">
        <v>63</v>
      </c>
      <c r="H725" t="s">
        <v>3910</v>
      </c>
      <c r="I725" s="677" t="s">
        <v>6041</v>
      </c>
      <c r="J725" s="783">
        <v>820</v>
      </c>
      <c r="K725" s="785" t="s">
        <v>5873</v>
      </c>
      <c r="M725" t="str">
        <f>""</f>
        <v/>
      </c>
    </row>
    <row r="726" spans="1:13" ht="15.75">
      <c r="A726">
        <v>2023</v>
      </c>
      <c r="B726" s="777">
        <v>44989</v>
      </c>
      <c r="C726" s="730">
        <v>0.2951388888888889</v>
      </c>
      <c r="D726" s="777">
        <v>44989</v>
      </c>
      <c r="E726" s="730">
        <v>0.29583333333333334</v>
      </c>
      <c r="F726" s="558" t="s">
        <v>2866</v>
      </c>
      <c r="G726" s="558" t="s">
        <v>63</v>
      </c>
      <c r="H726" s="558" t="s">
        <v>3379</v>
      </c>
      <c r="I726" s="679" t="s">
        <v>2483</v>
      </c>
      <c r="J726" s="676">
        <v>800</v>
      </c>
      <c r="K726" s="676" t="s">
        <v>5873</v>
      </c>
      <c r="M726" t="str">
        <f>""</f>
        <v/>
      </c>
    </row>
    <row r="727" spans="1:13" ht="15.75">
      <c r="A727">
        <v>2023</v>
      </c>
      <c r="B727" s="777">
        <v>45277</v>
      </c>
      <c r="C727" s="532">
        <v>0.44861111111111113</v>
      </c>
      <c r="D727" s="678">
        <v>45277</v>
      </c>
      <c r="E727" s="532">
        <v>0.45624999999999999</v>
      </c>
      <c r="F727" t="s">
        <v>6030</v>
      </c>
      <c r="G727" t="s">
        <v>255</v>
      </c>
      <c r="H727" t="s">
        <v>6031</v>
      </c>
      <c r="I727" s="677" t="s">
        <v>6062</v>
      </c>
      <c r="J727" s="783">
        <v>126</v>
      </c>
      <c r="K727" s="785" t="s">
        <v>5873</v>
      </c>
      <c r="M727" t="str">
        <f>""</f>
        <v/>
      </c>
    </row>
    <row r="728" spans="1:13" ht="15.75">
      <c r="A728">
        <v>2023</v>
      </c>
      <c r="B728" s="777">
        <v>45189</v>
      </c>
      <c r="C728" s="532">
        <v>0.52847222222222223</v>
      </c>
      <c r="D728" s="678">
        <v>45189</v>
      </c>
      <c r="E728" s="532">
        <v>0.97569444444444442</v>
      </c>
      <c r="F728" t="s">
        <v>3693</v>
      </c>
      <c r="G728" t="s">
        <v>674</v>
      </c>
      <c r="H728" t="s">
        <v>5920</v>
      </c>
      <c r="I728" s="677" t="s">
        <v>45</v>
      </c>
      <c r="J728" s="783">
        <v>51</v>
      </c>
      <c r="K728" s="785" t="s">
        <v>5873</v>
      </c>
      <c r="M728" t="str">
        <f>""</f>
        <v/>
      </c>
    </row>
    <row r="729" spans="1:13" ht="15.75">
      <c r="A729">
        <v>2023</v>
      </c>
      <c r="B729" s="777">
        <v>45011</v>
      </c>
      <c r="C729" s="730">
        <v>0.53611111111111109</v>
      </c>
      <c r="D729" s="777">
        <v>45011</v>
      </c>
      <c r="E729" s="730">
        <v>0.57916666666666672</v>
      </c>
      <c r="F729" s="558" t="s">
        <v>5809</v>
      </c>
      <c r="G729" s="558" t="s">
        <v>251</v>
      </c>
      <c r="H729" s="558" t="s">
        <v>3402</v>
      </c>
      <c r="I729" s="679" t="s">
        <v>100</v>
      </c>
      <c r="J729" s="676">
        <v>34</v>
      </c>
      <c r="K729" s="676" t="s">
        <v>5873</v>
      </c>
      <c r="M729" t="str">
        <f>""</f>
        <v/>
      </c>
    </row>
    <row r="730" spans="1:13" ht="15.75">
      <c r="A730">
        <v>2023</v>
      </c>
      <c r="B730" s="777">
        <v>45039</v>
      </c>
      <c r="C730" s="730">
        <v>0.39027777777777778</v>
      </c>
      <c r="D730" s="777">
        <v>45040</v>
      </c>
      <c r="E730" s="730">
        <v>0.74236111111111114</v>
      </c>
      <c r="F730" s="558" t="s">
        <v>5845</v>
      </c>
      <c r="G730" s="558" t="s">
        <v>124</v>
      </c>
      <c r="H730" s="558" t="s">
        <v>3356</v>
      </c>
      <c r="I730" s="679" t="s">
        <v>2764</v>
      </c>
      <c r="J730" s="676">
        <v>25</v>
      </c>
      <c r="K730" s="676" t="s">
        <v>5873</v>
      </c>
      <c r="M730" t="str">
        <f>""</f>
        <v/>
      </c>
    </row>
    <row r="731" spans="1:13" ht="15.75">
      <c r="A731">
        <v>2023</v>
      </c>
      <c r="B731" s="777">
        <v>45015</v>
      </c>
      <c r="C731" s="730">
        <v>0.76944444444444449</v>
      </c>
      <c r="D731" s="777">
        <v>45015</v>
      </c>
      <c r="E731" s="730">
        <v>0.92569444444444449</v>
      </c>
      <c r="F731" s="558" t="s">
        <v>3645</v>
      </c>
      <c r="G731" s="558" t="s">
        <v>124</v>
      </c>
      <c r="H731" s="558" t="s">
        <v>2839</v>
      </c>
      <c r="I731" s="679" t="s">
        <v>2483</v>
      </c>
      <c r="J731" s="676">
        <v>18</v>
      </c>
      <c r="K731" s="676" t="s">
        <v>5873</v>
      </c>
      <c r="M731" t="str">
        <f>""</f>
        <v/>
      </c>
    </row>
    <row r="732" spans="1:13" ht="15.75">
      <c r="A732">
        <v>2012</v>
      </c>
      <c r="B732" s="777">
        <v>41089</v>
      </c>
      <c r="C732" s="730">
        <v>0.71875</v>
      </c>
      <c r="D732" s="777">
        <v>41092</v>
      </c>
      <c r="E732" s="730">
        <v>0.99930555555555556</v>
      </c>
      <c r="F732" s="558" t="s">
        <v>2401</v>
      </c>
      <c r="G732" s="558" t="s">
        <v>826</v>
      </c>
      <c r="H732" s="558" t="s">
        <v>5873</v>
      </c>
      <c r="I732" s="679" t="s">
        <v>2368</v>
      </c>
      <c r="J732" s="676">
        <v>2946</v>
      </c>
      <c r="K732" s="676">
        <v>4645572</v>
      </c>
      <c r="M732" t="str">
        <f>""</f>
        <v/>
      </c>
    </row>
    <row r="733" spans="1:13" ht="15.75">
      <c r="A733">
        <v>2018</v>
      </c>
      <c r="B733" s="777">
        <v>43273</v>
      </c>
      <c r="C733" s="730">
        <v>0.60972222222222228</v>
      </c>
      <c r="D733" s="777" t="s">
        <v>5873</v>
      </c>
      <c r="E733" s="730" t="s">
        <v>5873</v>
      </c>
      <c r="F733" s="558" t="s">
        <v>2853</v>
      </c>
      <c r="G733" s="558" t="s">
        <v>124</v>
      </c>
      <c r="H733" s="558" t="s">
        <v>3366</v>
      </c>
      <c r="I733" s="679" t="s">
        <v>22</v>
      </c>
      <c r="J733" s="676">
        <v>10000</v>
      </c>
      <c r="K733" s="676">
        <v>4200000</v>
      </c>
      <c r="M733" t="str">
        <f>""</f>
        <v/>
      </c>
    </row>
    <row r="734" spans="1:13" ht="15.75">
      <c r="A734">
        <v>2014</v>
      </c>
      <c r="B734" s="777">
        <v>41756</v>
      </c>
      <c r="C734" s="730">
        <v>0.38541666666666669</v>
      </c>
      <c r="D734" s="777" t="s">
        <v>5873</v>
      </c>
      <c r="E734" s="730" t="s">
        <v>5873</v>
      </c>
      <c r="F734" s="558" t="s">
        <v>2418</v>
      </c>
      <c r="G734" s="558" t="s">
        <v>124</v>
      </c>
      <c r="H734" s="558" t="s">
        <v>5873</v>
      </c>
      <c r="I734" s="679" t="s">
        <v>2037</v>
      </c>
      <c r="J734" s="676">
        <v>9750</v>
      </c>
      <c r="K734" s="676">
        <v>4000000</v>
      </c>
      <c r="M734" t="str">
        <f>""</f>
        <v/>
      </c>
    </row>
    <row r="735" spans="1:13" ht="15.75">
      <c r="A735">
        <v>2017</v>
      </c>
      <c r="B735" s="777">
        <v>42987</v>
      </c>
      <c r="C735" s="730">
        <v>0.52083333333333337</v>
      </c>
      <c r="D735" s="777" t="s">
        <v>5873</v>
      </c>
      <c r="E735" s="730" t="s">
        <v>5873</v>
      </c>
      <c r="F735" s="558" t="s">
        <v>2901</v>
      </c>
      <c r="G735" s="558" t="s">
        <v>301</v>
      </c>
      <c r="H735" s="558" t="s">
        <v>2753</v>
      </c>
      <c r="I735" s="679" t="s">
        <v>22</v>
      </c>
      <c r="J735" s="676" t="s">
        <v>5873</v>
      </c>
      <c r="K735" s="676">
        <v>3500000</v>
      </c>
      <c r="M735" t="str">
        <f>""</f>
        <v/>
      </c>
    </row>
    <row r="736" spans="1:13" ht="15.75">
      <c r="A736">
        <v>2011</v>
      </c>
      <c r="B736" s="777">
        <v>40794</v>
      </c>
      <c r="C736" s="730">
        <v>0.64444444444444449</v>
      </c>
      <c r="D736" s="777">
        <v>40796</v>
      </c>
      <c r="E736" s="730">
        <v>0.64583333333333337</v>
      </c>
      <c r="F736" s="558" t="s">
        <v>2294</v>
      </c>
      <c r="G736" s="558" t="s">
        <v>124</v>
      </c>
      <c r="H736" s="558" t="s">
        <v>5873</v>
      </c>
      <c r="I736" s="679" t="s">
        <v>2295</v>
      </c>
      <c r="J736" s="676">
        <v>7000</v>
      </c>
      <c r="K736" s="676">
        <v>2000000</v>
      </c>
      <c r="M736" t="str">
        <f>""</f>
        <v/>
      </c>
    </row>
    <row r="737" spans="1:13" ht="15.75">
      <c r="A737">
        <v>2021</v>
      </c>
      <c r="B737" s="777">
        <v>44237</v>
      </c>
      <c r="C737" s="730">
        <v>0.625</v>
      </c>
      <c r="D737" s="777">
        <v>44250</v>
      </c>
      <c r="E737" s="730">
        <v>0.625</v>
      </c>
      <c r="F737" s="558" t="s">
        <v>2919</v>
      </c>
      <c r="G737" s="558" t="s">
        <v>1352</v>
      </c>
      <c r="H737" s="558" t="s">
        <v>3451</v>
      </c>
      <c r="I737" s="679" t="s">
        <v>22</v>
      </c>
      <c r="J737" s="676" t="s">
        <v>5873</v>
      </c>
      <c r="K737" s="676">
        <v>2000000</v>
      </c>
      <c r="M737" t="str">
        <f>""</f>
        <v/>
      </c>
    </row>
    <row r="738" spans="1:13" ht="15.75">
      <c r="A738" s="728">
        <v>2010</v>
      </c>
      <c r="B738" s="777">
        <v>40196</v>
      </c>
      <c r="C738" s="730">
        <v>0.47916666666666669</v>
      </c>
      <c r="D738" s="777">
        <v>40206</v>
      </c>
      <c r="E738" s="730">
        <v>0.33333333333333331</v>
      </c>
      <c r="F738" s="558" t="s">
        <v>39</v>
      </c>
      <c r="G738" s="558" t="s">
        <v>124</v>
      </c>
      <c r="H738" s="558" t="s">
        <v>5873</v>
      </c>
      <c r="I738" s="679" t="s">
        <v>362</v>
      </c>
      <c r="J738" s="676">
        <v>290</v>
      </c>
      <c r="K738" s="676">
        <v>1700000</v>
      </c>
      <c r="M738" t="str">
        <f>""</f>
        <v/>
      </c>
    </row>
    <row r="739" spans="1:13" ht="15.75">
      <c r="A739">
        <v>2016</v>
      </c>
      <c r="B739" s="777">
        <v>42634</v>
      </c>
      <c r="C739" s="730">
        <v>0.60416666666666663</v>
      </c>
      <c r="D739" s="777">
        <v>42637</v>
      </c>
      <c r="E739" s="730">
        <v>0.10416666666666667</v>
      </c>
      <c r="F739" s="558" t="s">
        <v>2897</v>
      </c>
      <c r="G739" s="558" t="s">
        <v>5873</v>
      </c>
      <c r="H739" s="558" t="s">
        <v>2908</v>
      </c>
      <c r="I739" s="679" t="s">
        <v>2764</v>
      </c>
      <c r="J739" s="676">
        <v>2750</v>
      </c>
      <c r="K739" s="676">
        <v>1475000</v>
      </c>
      <c r="M739" t="str">
        <f>""</f>
        <v/>
      </c>
    </row>
    <row r="740" spans="1:13" ht="15.75">
      <c r="A740">
        <v>2018</v>
      </c>
      <c r="B740" s="777">
        <v>43356</v>
      </c>
      <c r="C740" s="730">
        <v>0.87222222222222223</v>
      </c>
      <c r="D740" s="777">
        <v>43363</v>
      </c>
      <c r="E740" s="730">
        <v>0.79166666666666663</v>
      </c>
      <c r="F740" s="558" t="s">
        <v>2832</v>
      </c>
      <c r="G740" s="558" t="s">
        <v>63</v>
      </c>
      <c r="H740" s="558" t="s">
        <v>3451</v>
      </c>
      <c r="I740" s="679" t="s">
        <v>22</v>
      </c>
      <c r="J740" s="676" t="s">
        <v>5873</v>
      </c>
      <c r="K740" s="676">
        <v>1457583</v>
      </c>
      <c r="M740" t="str">
        <f>""</f>
        <v/>
      </c>
    </row>
    <row r="741" spans="1:13" ht="15.75">
      <c r="A741">
        <v>2011</v>
      </c>
      <c r="B741" s="777">
        <v>40845</v>
      </c>
      <c r="C741" s="730">
        <v>0.67638888888888893</v>
      </c>
      <c r="D741" s="777">
        <v>40854</v>
      </c>
      <c r="E741" s="730">
        <v>0.66666666666666663</v>
      </c>
      <c r="F741" s="558" t="s">
        <v>2323</v>
      </c>
      <c r="G741" s="558" t="s">
        <v>61</v>
      </c>
      <c r="H741" s="558" t="s">
        <v>5873</v>
      </c>
      <c r="I741" s="679" t="s">
        <v>22</v>
      </c>
      <c r="J741" s="676" t="s">
        <v>5873</v>
      </c>
      <c r="K741" s="676">
        <v>1418100</v>
      </c>
      <c r="M741" t="str">
        <f>""</f>
        <v/>
      </c>
    </row>
    <row r="742" spans="1:13" ht="15.75">
      <c r="A742">
        <v>2014</v>
      </c>
      <c r="B742" s="777">
        <v>41774</v>
      </c>
      <c r="C742" s="730">
        <v>0.4465277777777778</v>
      </c>
      <c r="D742" s="777" t="s">
        <v>5873</v>
      </c>
      <c r="E742" s="730" t="s">
        <v>5873</v>
      </c>
      <c r="F742" s="558" t="s">
        <v>2693</v>
      </c>
      <c r="G742" s="558" t="s">
        <v>124</v>
      </c>
      <c r="H742" s="558" t="s">
        <v>5873</v>
      </c>
      <c r="I742" s="679" t="s">
        <v>2694</v>
      </c>
      <c r="J742" s="676">
        <v>3300</v>
      </c>
      <c r="K742" s="676">
        <v>1400000</v>
      </c>
      <c r="M742" t="str">
        <f>""</f>
        <v/>
      </c>
    </row>
    <row r="743" spans="1:13" ht="15.75">
      <c r="A743">
        <v>2014</v>
      </c>
      <c r="B743" s="777">
        <v>41775</v>
      </c>
      <c r="C743" s="730">
        <v>0.4465277777777778</v>
      </c>
      <c r="D743" s="777">
        <v>41775</v>
      </c>
      <c r="E743" s="730">
        <v>0.875</v>
      </c>
      <c r="F743" s="558" t="s">
        <v>2693</v>
      </c>
      <c r="G743" s="558" t="s">
        <v>124</v>
      </c>
      <c r="H743" s="558" t="s">
        <v>5873</v>
      </c>
      <c r="I743" s="679" t="s">
        <v>2694</v>
      </c>
      <c r="J743" s="676">
        <v>3900</v>
      </c>
      <c r="K743" s="676">
        <v>1400000</v>
      </c>
      <c r="M743" t="str">
        <f>""</f>
        <v/>
      </c>
    </row>
    <row r="744" spans="1:13" ht="15.75">
      <c r="A744">
        <v>2020</v>
      </c>
      <c r="B744" s="777">
        <v>44061</v>
      </c>
      <c r="C744" s="730">
        <v>0.58333333333333337</v>
      </c>
      <c r="D744" s="777">
        <v>44061</v>
      </c>
      <c r="E744" s="730">
        <v>0.875</v>
      </c>
      <c r="F744" s="558" t="s">
        <v>4430</v>
      </c>
      <c r="G744" s="558" t="s">
        <v>124</v>
      </c>
      <c r="H744" s="558" t="s">
        <v>3478</v>
      </c>
      <c r="I744" s="679" t="s">
        <v>22</v>
      </c>
      <c r="J744" s="676">
        <v>7800</v>
      </c>
      <c r="K744" s="676">
        <v>1400000</v>
      </c>
      <c r="M744" t="str">
        <f>""</f>
        <v/>
      </c>
    </row>
    <row r="745" spans="1:13" ht="15.75">
      <c r="A745">
        <v>2020</v>
      </c>
      <c r="B745" s="777">
        <v>44062</v>
      </c>
      <c r="C745" s="730">
        <v>0.58333333333333337</v>
      </c>
      <c r="D745" s="777">
        <v>44062</v>
      </c>
      <c r="E745" s="730">
        <v>0.875</v>
      </c>
      <c r="F745" s="558" t="s">
        <v>4430</v>
      </c>
      <c r="G745" s="558" t="s">
        <v>124</v>
      </c>
      <c r="H745" s="558" t="s">
        <v>3478</v>
      </c>
      <c r="I745" s="679" t="s">
        <v>22</v>
      </c>
      <c r="J745" s="676">
        <v>7500</v>
      </c>
      <c r="K745" s="676">
        <v>1400000</v>
      </c>
      <c r="M745" t="str">
        <f>""</f>
        <v/>
      </c>
    </row>
    <row r="746" spans="1:13" ht="15.75">
      <c r="A746">
        <v>2020</v>
      </c>
      <c r="B746" s="777">
        <v>44080</v>
      </c>
      <c r="C746" s="730">
        <v>0.66666666666666663</v>
      </c>
      <c r="D746" s="777">
        <v>44080</v>
      </c>
      <c r="E746" s="730">
        <v>0.875</v>
      </c>
      <c r="F746" s="558" t="s">
        <v>4430</v>
      </c>
      <c r="G746" s="558" t="s">
        <v>124</v>
      </c>
      <c r="H746" s="558" t="s">
        <v>3478</v>
      </c>
      <c r="I746" s="679" t="s">
        <v>22</v>
      </c>
      <c r="J746" s="676">
        <v>8180</v>
      </c>
      <c r="K746" s="676">
        <v>1400000</v>
      </c>
      <c r="M746" t="str">
        <f>""</f>
        <v/>
      </c>
    </row>
    <row r="747" spans="1:13" ht="15.75">
      <c r="A747">
        <v>2021</v>
      </c>
      <c r="B747" s="777">
        <v>44242</v>
      </c>
      <c r="C747" s="730">
        <v>5.5555555555555552E-2</v>
      </c>
      <c r="D747" s="777">
        <v>44245</v>
      </c>
      <c r="E747" s="730">
        <v>1.3888888888888889E-3</v>
      </c>
      <c r="F747" s="558" t="s">
        <v>2809</v>
      </c>
      <c r="G747" s="558" t="s">
        <v>1352</v>
      </c>
      <c r="H747" s="558" t="s">
        <v>3750</v>
      </c>
      <c r="I747" s="679" t="s">
        <v>22</v>
      </c>
      <c r="J747" s="676">
        <v>4966</v>
      </c>
      <c r="K747" s="676">
        <v>1390000</v>
      </c>
      <c r="M747" t="str">
        <f>""</f>
        <v/>
      </c>
    </row>
    <row r="748" spans="1:13" ht="15.75">
      <c r="A748">
        <v>2012</v>
      </c>
      <c r="B748" s="777">
        <v>41089</v>
      </c>
      <c r="C748" s="730">
        <v>0.66666666666666663</v>
      </c>
      <c r="D748" s="777">
        <v>41092</v>
      </c>
      <c r="E748" s="730">
        <v>0.66666666666666663</v>
      </c>
      <c r="F748" s="558" t="s">
        <v>2399</v>
      </c>
      <c r="G748" s="558" t="s">
        <v>826</v>
      </c>
      <c r="H748" s="558" t="s">
        <v>5873</v>
      </c>
      <c r="I748" s="679" t="s">
        <v>2368</v>
      </c>
      <c r="J748" s="676" t="s">
        <v>5873</v>
      </c>
      <c r="K748" s="676">
        <v>1355919</v>
      </c>
      <c r="M748" t="str">
        <f>""</f>
        <v/>
      </c>
    </row>
    <row r="749" spans="1:13" ht="15.75">
      <c r="A749">
        <v>2021</v>
      </c>
      <c r="B749" s="777">
        <v>44387</v>
      </c>
      <c r="C749" s="730">
        <v>0.75</v>
      </c>
      <c r="D749" s="777">
        <v>44387</v>
      </c>
      <c r="E749" s="730">
        <v>0.875</v>
      </c>
      <c r="F749" s="558" t="s">
        <v>4133</v>
      </c>
      <c r="G749" s="558" t="s">
        <v>124</v>
      </c>
      <c r="H749" s="558" t="s">
        <v>3415</v>
      </c>
      <c r="I749" s="679" t="s">
        <v>2483</v>
      </c>
      <c r="J749" s="676">
        <v>9000</v>
      </c>
      <c r="K749" s="676">
        <v>1300000</v>
      </c>
      <c r="M749" t="str">
        <f>""</f>
        <v/>
      </c>
    </row>
    <row r="750" spans="1:13" ht="15.75">
      <c r="A750">
        <v>2021</v>
      </c>
      <c r="B750" s="777">
        <v>44388</v>
      </c>
      <c r="C750" s="730">
        <v>0.75</v>
      </c>
      <c r="D750" s="777">
        <v>44388</v>
      </c>
      <c r="E750" s="730">
        <v>0.875</v>
      </c>
      <c r="F750" s="558" t="s">
        <v>4133</v>
      </c>
      <c r="G750" s="558" t="s">
        <v>124</v>
      </c>
      <c r="H750" s="558" t="s">
        <v>3415</v>
      </c>
      <c r="I750" s="679" t="s">
        <v>2483</v>
      </c>
      <c r="J750" s="676">
        <v>9000</v>
      </c>
      <c r="K750" s="676">
        <v>1300000</v>
      </c>
      <c r="M750" t="str">
        <f>""</f>
        <v/>
      </c>
    </row>
    <row r="751" spans="1:13" ht="15.75">
      <c r="A751">
        <v>2021</v>
      </c>
      <c r="B751" s="777">
        <v>44448</v>
      </c>
      <c r="C751" s="730">
        <v>0.70833333333333337</v>
      </c>
      <c r="D751" s="777">
        <v>44448</v>
      </c>
      <c r="E751" s="730">
        <v>0.83333333333333337</v>
      </c>
      <c r="F751" s="558" t="s">
        <v>4133</v>
      </c>
      <c r="G751" s="558" t="s">
        <v>124</v>
      </c>
      <c r="H751" s="558" t="s">
        <v>3415</v>
      </c>
      <c r="I751" s="679" t="s">
        <v>2764</v>
      </c>
      <c r="J751" s="676">
        <v>8000</v>
      </c>
      <c r="K751" s="676">
        <v>1300000</v>
      </c>
      <c r="M751" t="str">
        <f>""</f>
        <v/>
      </c>
    </row>
    <row r="752" spans="1:13" ht="15.75">
      <c r="A752">
        <v>2022</v>
      </c>
      <c r="B752" s="777">
        <v>44810</v>
      </c>
      <c r="C752" s="730">
        <v>0.70833333333333337</v>
      </c>
      <c r="D752" s="777">
        <v>44810</v>
      </c>
      <c r="E752" s="730">
        <v>0.83333333333333337</v>
      </c>
      <c r="F752" s="558" t="s">
        <v>4133</v>
      </c>
      <c r="G752" s="558" t="s">
        <v>124</v>
      </c>
      <c r="H752" s="558" t="s">
        <v>3415</v>
      </c>
      <c r="I752" s="679" t="s">
        <v>2764</v>
      </c>
      <c r="J752" s="676">
        <v>8800</v>
      </c>
      <c r="K752" s="676">
        <v>1300000</v>
      </c>
      <c r="M752" t="str">
        <f>""</f>
        <v/>
      </c>
    </row>
    <row r="753" spans="1:13" ht="15.75">
      <c r="A753">
        <v>2022</v>
      </c>
      <c r="B753" s="777">
        <v>44811</v>
      </c>
      <c r="C753" s="730">
        <v>0.70833333333333337</v>
      </c>
      <c r="D753" s="777">
        <v>44811</v>
      </c>
      <c r="E753" s="730">
        <v>0.83333333333333337</v>
      </c>
      <c r="F753" s="558" t="s">
        <v>4133</v>
      </c>
      <c r="G753" s="558" t="s">
        <v>124</v>
      </c>
      <c r="H753" s="558" t="s">
        <v>3415</v>
      </c>
      <c r="I753" s="679" t="s">
        <v>2764</v>
      </c>
      <c r="J753" s="676">
        <v>8600</v>
      </c>
      <c r="K753" s="676">
        <v>1300000</v>
      </c>
      <c r="M753" t="str">
        <f>""</f>
        <v/>
      </c>
    </row>
    <row r="754" spans="1:13" ht="15.75">
      <c r="A754">
        <v>2022</v>
      </c>
      <c r="B754" s="777">
        <v>44812</v>
      </c>
      <c r="C754" s="730">
        <v>0.70833333333333337</v>
      </c>
      <c r="D754" s="777">
        <v>44812</v>
      </c>
      <c r="E754" s="730">
        <v>0.83333333333333337</v>
      </c>
      <c r="F754" s="558" t="s">
        <v>4133</v>
      </c>
      <c r="G754" s="558" t="s">
        <v>124</v>
      </c>
      <c r="H754" s="558" t="s">
        <v>3415</v>
      </c>
      <c r="I754" s="679" t="s">
        <v>2764</v>
      </c>
      <c r="J754" s="676">
        <v>8250</v>
      </c>
      <c r="K754" s="676">
        <v>1300000</v>
      </c>
      <c r="M754" t="str">
        <f>""</f>
        <v/>
      </c>
    </row>
    <row r="755" spans="1:13" ht="15.75">
      <c r="A755">
        <v>2016</v>
      </c>
      <c r="B755" s="777">
        <v>42649</v>
      </c>
      <c r="C755" s="730">
        <v>0.8125</v>
      </c>
      <c r="D755" s="777">
        <v>42651</v>
      </c>
      <c r="E755" s="730">
        <v>0.75</v>
      </c>
      <c r="F755" s="558" t="s">
        <v>2901</v>
      </c>
      <c r="G755" s="558" t="s">
        <v>301</v>
      </c>
      <c r="H755" s="558" t="s">
        <v>2753</v>
      </c>
      <c r="I755" s="679" t="s">
        <v>22</v>
      </c>
      <c r="J755" s="676">
        <v>5600</v>
      </c>
      <c r="K755" s="676">
        <v>1200000</v>
      </c>
      <c r="M755" t="str">
        <f>""</f>
        <v/>
      </c>
    </row>
    <row r="756" spans="1:13" ht="15.75">
      <c r="A756">
        <v>2020</v>
      </c>
      <c r="B756" s="777">
        <v>44047</v>
      </c>
      <c r="C756" s="730">
        <v>0.63541666666666663</v>
      </c>
      <c r="D756" s="777">
        <v>44050</v>
      </c>
      <c r="E756" s="730">
        <v>0.43541666666666667</v>
      </c>
      <c r="F756" s="558" t="s">
        <v>3139</v>
      </c>
      <c r="G756" s="558" t="s">
        <v>61</v>
      </c>
      <c r="H756" s="558" t="s">
        <v>3451</v>
      </c>
      <c r="I756" s="679" t="s">
        <v>22</v>
      </c>
      <c r="J756" s="676">
        <v>2000</v>
      </c>
      <c r="K756" s="676">
        <v>1188247</v>
      </c>
      <c r="M756" t="str">
        <f>""</f>
        <v/>
      </c>
    </row>
    <row r="757" spans="1:13" ht="15.75">
      <c r="A757">
        <v>2017</v>
      </c>
      <c r="B757" s="777">
        <v>42973</v>
      </c>
      <c r="C757" s="730">
        <v>0.26805555555555555</v>
      </c>
      <c r="D757" s="777">
        <v>42986</v>
      </c>
      <c r="E757" s="730">
        <v>0</v>
      </c>
      <c r="F757" s="558" t="s">
        <v>2919</v>
      </c>
      <c r="G757" s="558" t="s">
        <v>1352</v>
      </c>
      <c r="H757" s="558" t="s">
        <v>2753</v>
      </c>
      <c r="I757" s="679" t="s">
        <v>22</v>
      </c>
      <c r="J757" s="676" t="s">
        <v>5873</v>
      </c>
      <c r="K757" s="676">
        <v>1076868</v>
      </c>
      <c r="M757" t="str">
        <f>""</f>
        <v/>
      </c>
    </row>
    <row r="758" spans="1:13" ht="15.75">
      <c r="A758">
        <v>2017</v>
      </c>
      <c r="B758" s="777">
        <v>42974</v>
      </c>
      <c r="C758" s="730">
        <v>0.21527777777777779</v>
      </c>
      <c r="D758" s="777">
        <v>42986</v>
      </c>
      <c r="E758" s="730">
        <v>0</v>
      </c>
      <c r="F758" s="558" t="s">
        <v>2809</v>
      </c>
      <c r="G758" s="558" t="s">
        <v>1352</v>
      </c>
      <c r="H758" s="558" t="s">
        <v>2753</v>
      </c>
      <c r="I758" s="679" t="s">
        <v>22</v>
      </c>
      <c r="J758" s="676" t="s">
        <v>5873</v>
      </c>
      <c r="K758" s="676">
        <v>1076868</v>
      </c>
      <c r="M758" t="str">
        <f>""</f>
        <v/>
      </c>
    </row>
    <row r="759" spans="1:13" ht="15.75">
      <c r="A759">
        <v>2011</v>
      </c>
      <c r="B759" s="777">
        <v>40576</v>
      </c>
      <c r="C759" s="730">
        <v>0.23819444444444443</v>
      </c>
      <c r="D759" s="777">
        <v>40577</v>
      </c>
      <c r="E759" s="730">
        <v>0.41666666666666669</v>
      </c>
      <c r="F759" s="558" t="s">
        <v>166</v>
      </c>
      <c r="G759" s="558" t="s">
        <v>1352</v>
      </c>
      <c r="H759" s="558" t="s">
        <v>5873</v>
      </c>
      <c r="I759" s="679" t="s">
        <v>2132</v>
      </c>
      <c r="J759" s="676">
        <v>4000</v>
      </c>
      <c r="K759" s="676">
        <v>1069730</v>
      </c>
      <c r="M759" t="str">
        <f>""</f>
        <v/>
      </c>
    </row>
    <row r="760" spans="1:13" ht="15.75">
      <c r="A760">
        <v>2011</v>
      </c>
      <c r="B760" s="777">
        <v>40782</v>
      </c>
      <c r="C760" s="730">
        <v>0.43958333333333333</v>
      </c>
      <c r="D760" s="777">
        <v>40784</v>
      </c>
      <c r="E760" s="730">
        <v>0.58333333333333337</v>
      </c>
      <c r="F760" s="558" t="s">
        <v>2278</v>
      </c>
      <c r="G760" s="558" t="s">
        <v>63</v>
      </c>
      <c r="H760" s="558" t="s">
        <v>5873</v>
      </c>
      <c r="I760" s="679" t="s">
        <v>22</v>
      </c>
      <c r="J760" s="676" t="s">
        <v>5873</v>
      </c>
      <c r="K760" s="676">
        <v>1000000</v>
      </c>
      <c r="M760" t="str">
        <f>""</f>
        <v/>
      </c>
    </row>
    <row r="761" spans="1:13" ht="15.75">
      <c r="A761">
        <v>2017</v>
      </c>
      <c r="B761" s="777">
        <v>42988</v>
      </c>
      <c r="C761" s="730">
        <v>0.77430555555555558</v>
      </c>
      <c r="D761" s="777">
        <v>42991</v>
      </c>
      <c r="E761" s="730">
        <v>0.70833333333333337</v>
      </c>
      <c r="F761" s="558" t="s">
        <v>3102</v>
      </c>
      <c r="G761" s="558" t="s">
        <v>301</v>
      </c>
      <c r="H761" s="558" t="s">
        <v>2753</v>
      </c>
      <c r="I761" s="679" t="s">
        <v>22</v>
      </c>
      <c r="J761" s="676">
        <v>4500</v>
      </c>
      <c r="K761" s="676">
        <v>1000000</v>
      </c>
      <c r="M761" t="str">
        <f>""</f>
        <v/>
      </c>
    </row>
    <row r="762" spans="1:13" ht="15.75">
      <c r="A762">
        <v>2019</v>
      </c>
      <c r="B762" s="777">
        <v>43764</v>
      </c>
      <c r="C762" s="730">
        <v>0.76388888888888884</v>
      </c>
      <c r="D762" s="777">
        <v>43769</v>
      </c>
      <c r="E762" s="730">
        <v>6.0416666666666667E-2</v>
      </c>
      <c r="F762" s="558" t="s">
        <v>2945</v>
      </c>
      <c r="G762" s="558" t="s">
        <v>124</v>
      </c>
      <c r="H762" s="558" t="s">
        <v>3451</v>
      </c>
      <c r="I762" s="679" t="s">
        <v>2990</v>
      </c>
      <c r="J762" s="676">
        <v>3190</v>
      </c>
      <c r="K762" s="676">
        <v>972000</v>
      </c>
      <c r="M762" t="str">
        <f>""</f>
        <v/>
      </c>
    </row>
    <row r="763" spans="1:13" ht="15.75">
      <c r="A763">
        <v>2011</v>
      </c>
      <c r="B763" s="777">
        <v>40776</v>
      </c>
      <c r="C763" s="730">
        <v>0.94791666666666663</v>
      </c>
      <c r="D763" s="777">
        <v>40778</v>
      </c>
      <c r="E763" s="730">
        <v>0.94791666666666663</v>
      </c>
      <c r="F763" s="558" t="s">
        <v>2271</v>
      </c>
      <c r="G763" s="558" t="s">
        <v>5873</v>
      </c>
      <c r="H763" s="558" t="s">
        <v>5873</v>
      </c>
      <c r="I763" s="679" t="s">
        <v>22</v>
      </c>
      <c r="J763" s="676">
        <v>2200</v>
      </c>
      <c r="K763" s="676">
        <v>931000</v>
      </c>
      <c r="M763" t="str">
        <f>""</f>
        <v/>
      </c>
    </row>
    <row r="764" spans="1:13" ht="15.75">
      <c r="A764">
        <v>2012</v>
      </c>
      <c r="B764" s="777">
        <v>41089</v>
      </c>
      <c r="C764" s="730">
        <v>0.50694444444444442</v>
      </c>
      <c r="D764" s="777">
        <v>41089</v>
      </c>
      <c r="E764" s="730">
        <v>0.70972222222222225</v>
      </c>
      <c r="F764" s="558" t="s">
        <v>2271</v>
      </c>
      <c r="G764" s="558" t="s">
        <v>5873</v>
      </c>
      <c r="H764" s="558" t="s">
        <v>5873</v>
      </c>
      <c r="I764" s="679" t="s">
        <v>2397</v>
      </c>
      <c r="J764" s="676">
        <v>1800</v>
      </c>
      <c r="K764" s="676">
        <v>900000</v>
      </c>
      <c r="M764" t="str">
        <f>""</f>
        <v/>
      </c>
    </row>
    <row r="765" spans="1:13" ht="15.75">
      <c r="A765">
        <v>2013</v>
      </c>
      <c r="B765" s="777">
        <v>41614</v>
      </c>
      <c r="C765" s="730">
        <v>7.7083333333333337E-2</v>
      </c>
      <c r="D765" s="777">
        <v>41619</v>
      </c>
      <c r="E765" s="730">
        <v>0.5</v>
      </c>
      <c r="F765" s="558" t="s">
        <v>2633</v>
      </c>
      <c r="G765" s="558" t="s">
        <v>1352</v>
      </c>
      <c r="H765" s="558" t="s">
        <v>5873</v>
      </c>
      <c r="I765" s="679" t="s">
        <v>2634</v>
      </c>
      <c r="J765" s="676" t="s">
        <v>5873</v>
      </c>
      <c r="K765" s="676">
        <v>881000</v>
      </c>
      <c r="M765" t="str">
        <f>""</f>
        <v/>
      </c>
    </row>
    <row r="766" spans="1:13" ht="15.75">
      <c r="A766">
        <v>2012</v>
      </c>
      <c r="B766" s="777">
        <v>41089</v>
      </c>
      <c r="C766" s="730">
        <v>0.93680555555555556</v>
      </c>
      <c r="D766" s="777">
        <v>41094</v>
      </c>
      <c r="E766" s="730">
        <v>0.65</v>
      </c>
      <c r="F766" s="558" t="s">
        <v>2004</v>
      </c>
      <c r="G766" s="558" t="s">
        <v>63</v>
      </c>
      <c r="H766" s="558" t="s">
        <v>5873</v>
      </c>
      <c r="I766" s="679" t="s">
        <v>2368</v>
      </c>
      <c r="J766" s="676">
        <v>5000</v>
      </c>
      <c r="K766" s="676">
        <v>880000</v>
      </c>
      <c r="M766" t="str">
        <f>""</f>
        <v/>
      </c>
    </row>
    <row r="767" spans="1:13" ht="15.75">
      <c r="A767">
        <v>2020</v>
      </c>
      <c r="B767" s="777">
        <v>44053</v>
      </c>
      <c r="C767" s="730">
        <v>0.60416666666666663</v>
      </c>
      <c r="D767" s="777" t="s">
        <v>5873</v>
      </c>
      <c r="E767" s="730" t="s">
        <v>5873</v>
      </c>
      <c r="F767" s="558" t="s">
        <v>4396</v>
      </c>
      <c r="G767" s="558" t="s">
        <v>63</v>
      </c>
      <c r="H767" s="558" t="s">
        <v>3451</v>
      </c>
      <c r="I767" s="679" t="s">
        <v>22</v>
      </c>
      <c r="J767" s="676" t="s">
        <v>5873</v>
      </c>
      <c r="K767" s="676">
        <v>856000</v>
      </c>
      <c r="M767" t="str">
        <f>""</f>
        <v/>
      </c>
    </row>
    <row r="768" spans="1:13" ht="15.75">
      <c r="A768">
        <v>2012</v>
      </c>
      <c r="B768" s="777">
        <v>41211.729166666664</v>
      </c>
      <c r="C768" s="730">
        <v>41211.729166666664</v>
      </c>
      <c r="D768" s="777">
        <v>41219</v>
      </c>
      <c r="E768" s="730">
        <v>41219</v>
      </c>
      <c r="F768" s="558" t="s">
        <v>2457</v>
      </c>
      <c r="G768" s="558" t="s">
        <v>826</v>
      </c>
      <c r="H768" s="558" t="s">
        <v>5873</v>
      </c>
      <c r="I768" s="679" t="s">
        <v>2448</v>
      </c>
      <c r="J768" s="676" t="s">
        <v>5873</v>
      </c>
      <c r="K768" s="676">
        <v>850000</v>
      </c>
      <c r="M768" t="str">
        <f>""</f>
        <v/>
      </c>
    </row>
    <row r="769" spans="1:13" ht="15.75">
      <c r="A769">
        <v>2021</v>
      </c>
      <c r="B769" s="777">
        <v>44243</v>
      </c>
      <c r="C769" s="730">
        <v>0.3034722222222222</v>
      </c>
      <c r="D769" s="777">
        <v>44243</v>
      </c>
      <c r="E769" s="730">
        <v>0.42222222222222222</v>
      </c>
      <c r="F769" s="558" t="s">
        <v>2919</v>
      </c>
      <c r="G769" s="558" t="s">
        <v>1352</v>
      </c>
      <c r="H769" s="558" t="s">
        <v>3478</v>
      </c>
      <c r="I769" s="679" t="s">
        <v>22</v>
      </c>
      <c r="J769" s="676">
        <v>168</v>
      </c>
      <c r="K769" s="676">
        <v>840000</v>
      </c>
      <c r="M769" t="str">
        <f>""</f>
        <v/>
      </c>
    </row>
    <row r="770" spans="1:13" ht="15.75">
      <c r="A770">
        <v>2012</v>
      </c>
      <c r="B770" s="777">
        <v>41211.667361111111</v>
      </c>
      <c r="C770" s="730">
        <v>41211.667361111111</v>
      </c>
      <c r="D770" s="777">
        <v>41221</v>
      </c>
      <c r="E770" s="730">
        <v>41211.791666666664</v>
      </c>
      <c r="F770" s="558" t="s">
        <v>2455</v>
      </c>
      <c r="G770" s="558" t="s">
        <v>61</v>
      </c>
      <c r="H770" s="558" t="s">
        <v>5873</v>
      </c>
      <c r="I770" s="679" t="s">
        <v>2448</v>
      </c>
      <c r="J770" s="676">
        <v>0</v>
      </c>
      <c r="K770" s="676">
        <v>818000</v>
      </c>
      <c r="M770" t="str">
        <f>""</f>
        <v/>
      </c>
    </row>
    <row r="771" spans="1:13" ht="15.75">
      <c r="A771">
        <v>2017</v>
      </c>
      <c r="B771" s="777">
        <v>42802</v>
      </c>
      <c r="C771" s="730">
        <v>0.5</v>
      </c>
      <c r="D771" s="777">
        <v>42805</v>
      </c>
      <c r="E771" s="730">
        <v>0.47986111111111113</v>
      </c>
      <c r="F771" s="558" t="s">
        <v>1833</v>
      </c>
      <c r="G771" s="558" t="s">
        <v>826</v>
      </c>
      <c r="H771" s="558" t="s">
        <v>2753</v>
      </c>
      <c r="I771" s="679" t="s">
        <v>22</v>
      </c>
      <c r="J771" s="676" t="s">
        <v>5873</v>
      </c>
      <c r="K771" s="676">
        <v>800000</v>
      </c>
      <c r="M771" t="str">
        <f>""</f>
        <v/>
      </c>
    </row>
    <row r="772" spans="1:13" ht="15.75">
      <c r="A772">
        <v>2020</v>
      </c>
      <c r="B772" s="777">
        <v>44047</v>
      </c>
      <c r="C772" s="730">
        <v>0.51249999999999996</v>
      </c>
      <c r="D772" s="777">
        <v>44051</v>
      </c>
      <c r="E772" s="730">
        <v>0.72986111111111107</v>
      </c>
      <c r="F772" s="558" t="s">
        <v>2833</v>
      </c>
      <c r="G772" s="558" t="s">
        <v>3143</v>
      </c>
      <c r="H772" s="558" t="s">
        <v>3451</v>
      </c>
      <c r="I772" s="679" t="s">
        <v>22</v>
      </c>
      <c r="J772" s="676" t="s">
        <v>5873</v>
      </c>
      <c r="K772" s="676">
        <v>788000</v>
      </c>
      <c r="M772" t="str">
        <f>""</f>
        <v/>
      </c>
    </row>
    <row r="773" spans="1:13" ht="15.75">
      <c r="A773">
        <v>2012</v>
      </c>
      <c r="B773" s="777">
        <v>41149.25</v>
      </c>
      <c r="C773" s="730">
        <v>41149.25</v>
      </c>
      <c r="D773" s="777">
        <v>41156.333333333336</v>
      </c>
      <c r="E773" s="730">
        <v>41156.333333333336</v>
      </c>
      <c r="F773" s="558" t="s">
        <v>2181</v>
      </c>
      <c r="G773" s="558" t="s">
        <v>63</v>
      </c>
      <c r="H773" s="558" t="s">
        <v>5873</v>
      </c>
      <c r="I773" s="679" t="s">
        <v>2433</v>
      </c>
      <c r="J773" s="676" t="s">
        <v>5873</v>
      </c>
      <c r="K773" s="676">
        <v>770000</v>
      </c>
      <c r="M773" t="str">
        <f>""</f>
        <v/>
      </c>
    </row>
    <row r="774" spans="1:13" ht="15.75">
      <c r="A774">
        <v>2011</v>
      </c>
      <c r="B774" s="777">
        <v>40782</v>
      </c>
      <c r="C774" s="730">
        <v>0.85416666666666663</v>
      </c>
      <c r="D774" s="777">
        <v>40790</v>
      </c>
      <c r="E774" s="730">
        <v>0.97916666666666663</v>
      </c>
      <c r="F774" s="558" t="s">
        <v>2123</v>
      </c>
      <c r="G774" s="558" t="s">
        <v>826</v>
      </c>
      <c r="H774" s="558" t="s">
        <v>5873</v>
      </c>
      <c r="I774" s="679" t="s">
        <v>22</v>
      </c>
      <c r="J774" s="676">
        <v>1114</v>
      </c>
      <c r="K774" s="676">
        <v>760113</v>
      </c>
      <c r="M774" t="str">
        <f>""</f>
        <v/>
      </c>
    </row>
    <row r="775" spans="1:13" ht="15.75">
      <c r="A775">
        <v>2019</v>
      </c>
      <c r="B775" s="777">
        <v>43747</v>
      </c>
      <c r="C775" s="730">
        <v>1.8749999999999999E-2</v>
      </c>
      <c r="D775" s="777" t="s">
        <v>5873</v>
      </c>
      <c r="E775" s="730" t="s">
        <v>5873</v>
      </c>
      <c r="F775" s="558" t="s">
        <v>2945</v>
      </c>
      <c r="G775" s="558" t="s">
        <v>124</v>
      </c>
      <c r="H775" s="558" t="s">
        <v>3451</v>
      </c>
      <c r="I775" s="679" t="s">
        <v>2990</v>
      </c>
      <c r="J775" s="676">
        <v>2400</v>
      </c>
      <c r="K775" s="676">
        <v>737808</v>
      </c>
      <c r="M775" t="str">
        <f>""</f>
        <v/>
      </c>
    </row>
    <row r="776" spans="1:13" ht="15.75">
      <c r="A776">
        <v>2023</v>
      </c>
      <c r="B776" s="777">
        <v>45278</v>
      </c>
      <c r="C776" s="532">
        <v>0.23958333333333334</v>
      </c>
      <c r="D776" s="777" t="s">
        <v>5873</v>
      </c>
      <c r="E776" s="782" t="s">
        <v>5873</v>
      </c>
      <c r="F776" t="s">
        <v>6033</v>
      </c>
      <c r="G776" t="s">
        <v>124</v>
      </c>
      <c r="H776" t="s">
        <v>2753</v>
      </c>
      <c r="I776" s="677" t="s">
        <v>5883</v>
      </c>
      <c r="J776" s="785" t="s">
        <v>5873</v>
      </c>
      <c r="K776" s="783">
        <v>730000</v>
      </c>
      <c r="M776" t="str">
        <f>""</f>
        <v/>
      </c>
    </row>
    <row r="777" spans="1:13" ht="15.75">
      <c r="A777">
        <v>2018</v>
      </c>
      <c r="B777" s="777">
        <v>43102</v>
      </c>
      <c r="C777" s="730">
        <v>0.3125</v>
      </c>
      <c r="D777" s="777" t="s">
        <v>5873</v>
      </c>
      <c r="E777" s="730" t="s">
        <v>5873</v>
      </c>
      <c r="F777" s="558" t="s">
        <v>2896</v>
      </c>
      <c r="G777" s="558" t="s">
        <v>63</v>
      </c>
      <c r="H777" s="558" t="s">
        <v>2917</v>
      </c>
      <c r="I777" s="679" t="s">
        <v>22</v>
      </c>
      <c r="J777" s="676">
        <v>0</v>
      </c>
      <c r="K777" s="676">
        <v>717000</v>
      </c>
      <c r="M777" t="str">
        <f>""</f>
        <v/>
      </c>
    </row>
    <row r="778" spans="1:13" ht="15.75">
      <c r="A778">
        <v>2014</v>
      </c>
      <c r="B778" s="777">
        <v>41675</v>
      </c>
      <c r="C778" s="730">
        <v>0.20833333333333334</v>
      </c>
      <c r="D778" s="777">
        <v>41675</v>
      </c>
      <c r="E778" s="730">
        <v>0.20902777777777778</v>
      </c>
      <c r="F778" s="558" t="s">
        <v>171</v>
      </c>
      <c r="G778" s="558" t="s">
        <v>826</v>
      </c>
      <c r="H778" s="558" t="s">
        <v>5873</v>
      </c>
      <c r="I778" s="679" t="s">
        <v>2662</v>
      </c>
      <c r="J778" s="676" t="s">
        <v>5873</v>
      </c>
      <c r="K778" s="676">
        <v>715000</v>
      </c>
      <c r="M778" t="str">
        <f>""</f>
        <v/>
      </c>
    </row>
    <row r="779" spans="1:13" ht="15.75">
      <c r="A779">
        <v>2020</v>
      </c>
      <c r="B779" s="777">
        <v>43985</v>
      </c>
      <c r="C779" s="730">
        <v>0.52083333333333337</v>
      </c>
      <c r="D779" s="777">
        <v>43985</v>
      </c>
      <c r="E779" s="730">
        <v>0.75</v>
      </c>
      <c r="F779" s="558" t="s">
        <v>4237</v>
      </c>
      <c r="G779" s="558" t="s">
        <v>3143</v>
      </c>
      <c r="H779" s="558" t="s">
        <v>3451</v>
      </c>
      <c r="I779" s="679" t="s">
        <v>22</v>
      </c>
      <c r="J779" s="676" t="s">
        <v>5873</v>
      </c>
      <c r="K779" s="676">
        <v>708000</v>
      </c>
      <c r="M779" t="str">
        <f>""</f>
        <v/>
      </c>
    </row>
    <row r="780" spans="1:13" ht="15.75">
      <c r="A780">
        <v>2021</v>
      </c>
      <c r="B780" s="777">
        <v>44453</v>
      </c>
      <c r="C780" s="730">
        <v>2.4305555555555556E-2</v>
      </c>
      <c r="D780" s="777">
        <v>44457</v>
      </c>
      <c r="E780" s="730">
        <v>0.80555555555555558</v>
      </c>
      <c r="F780" s="558" t="s">
        <v>2809</v>
      </c>
      <c r="G780" s="558" t="s">
        <v>1352</v>
      </c>
      <c r="H780" s="558" t="s">
        <v>2753</v>
      </c>
      <c r="I780" s="679" t="s">
        <v>22</v>
      </c>
      <c r="J780" s="676">
        <v>1905</v>
      </c>
      <c r="K780" s="676">
        <v>705415</v>
      </c>
      <c r="M780" t="str">
        <f>""</f>
        <v/>
      </c>
    </row>
    <row r="781" spans="1:13" ht="15.75">
      <c r="A781">
        <v>2021</v>
      </c>
      <c r="B781" s="777">
        <v>44419</v>
      </c>
      <c r="C781" s="730">
        <v>0.64930555555555558</v>
      </c>
      <c r="D781" s="777" t="s">
        <v>5873</v>
      </c>
      <c r="E781" s="730" t="s">
        <v>5873</v>
      </c>
      <c r="F781" s="558" t="s">
        <v>4962</v>
      </c>
      <c r="G781" s="558" t="s">
        <v>3143</v>
      </c>
      <c r="H781" s="558" t="s">
        <v>2753</v>
      </c>
      <c r="I781" s="679" t="s">
        <v>22</v>
      </c>
      <c r="J781" s="676" t="s">
        <v>5873</v>
      </c>
      <c r="K781" s="676">
        <v>700000</v>
      </c>
      <c r="M781" t="str">
        <f>""</f>
        <v/>
      </c>
    </row>
    <row r="782" spans="1:13" ht="15.75">
      <c r="A782">
        <v>2014</v>
      </c>
      <c r="B782" s="777">
        <v>41646</v>
      </c>
      <c r="C782" s="730">
        <v>0.75</v>
      </c>
      <c r="D782" s="777">
        <v>41646</v>
      </c>
      <c r="E782" s="730">
        <v>0.95833333333333337</v>
      </c>
      <c r="F782" s="558" t="s">
        <v>108</v>
      </c>
      <c r="G782" s="558" t="s">
        <v>63</v>
      </c>
      <c r="H782" s="558" t="s">
        <v>5873</v>
      </c>
      <c r="I782" s="679" t="s">
        <v>2651</v>
      </c>
      <c r="J782" s="676">
        <v>4853</v>
      </c>
      <c r="K782" s="676">
        <v>677858</v>
      </c>
      <c r="M782" t="str">
        <f>""</f>
        <v/>
      </c>
    </row>
    <row r="783" spans="1:13" ht="15.75">
      <c r="A783">
        <v>2014</v>
      </c>
      <c r="B783" s="777">
        <v>41647</v>
      </c>
      <c r="C783" s="730">
        <v>0.25</v>
      </c>
      <c r="D783" s="777">
        <v>41647</v>
      </c>
      <c r="E783" s="730">
        <v>0.375</v>
      </c>
      <c r="F783" s="558" t="s">
        <v>108</v>
      </c>
      <c r="G783" s="558" t="s">
        <v>63</v>
      </c>
      <c r="H783" s="558" t="s">
        <v>5873</v>
      </c>
      <c r="I783" s="679" t="s">
        <v>2651</v>
      </c>
      <c r="J783" s="676">
        <v>4545</v>
      </c>
      <c r="K783" s="676">
        <v>677858</v>
      </c>
      <c r="M783" t="str">
        <f>""</f>
        <v/>
      </c>
    </row>
    <row r="784" spans="1:13" ht="15.75">
      <c r="A784">
        <v>2022</v>
      </c>
      <c r="B784" s="777">
        <v>44832</v>
      </c>
      <c r="C784" s="730">
        <v>0.625</v>
      </c>
      <c r="D784" s="777">
        <v>44837</v>
      </c>
      <c r="E784" s="730">
        <v>0.66180555555555554</v>
      </c>
      <c r="F784" s="558" t="s">
        <v>2903</v>
      </c>
      <c r="G784" s="558" t="s">
        <v>63</v>
      </c>
      <c r="H784" s="558" t="s">
        <v>2753</v>
      </c>
      <c r="I784" s="679" t="s">
        <v>22</v>
      </c>
      <c r="J784" s="676" t="s">
        <v>5873</v>
      </c>
      <c r="K784" s="676">
        <v>676000</v>
      </c>
      <c r="M784" t="str">
        <f>""</f>
        <v/>
      </c>
    </row>
    <row r="785" spans="1:13" ht="15.75">
      <c r="A785">
        <v>2011</v>
      </c>
      <c r="B785" s="777">
        <v>40783</v>
      </c>
      <c r="C785" s="730">
        <v>1.5972222222222221E-2</v>
      </c>
      <c r="D785" s="777">
        <v>40785</v>
      </c>
      <c r="E785" s="730">
        <v>1.5972222222222221E-2</v>
      </c>
      <c r="F785" s="558" t="s">
        <v>2288</v>
      </c>
      <c r="G785" s="558" t="s">
        <v>826</v>
      </c>
      <c r="H785" s="558" t="s">
        <v>5873</v>
      </c>
      <c r="I785" s="679" t="s">
        <v>22</v>
      </c>
      <c r="J785" s="676">
        <v>500</v>
      </c>
      <c r="K785" s="676">
        <v>665000</v>
      </c>
      <c r="M785" t="str">
        <f>""</f>
        <v/>
      </c>
    </row>
    <row r="786" spans="1:13" ht="15.75">
      <c r="A786">
        <v>2011</v>
      </c>
      <c r="B786" s="777">
        <v>40783</v>
      </c>
      <c r="C786" s="730">
        <v>2.0833333333333332E-2</v>
      </c>
      <c r="D786" s="777">
        <v>40785</v>
      </c>
      <c r="E786" s="730">
        <v>2.0833333333333332E-2</v>
      </c>
      <c r="F786" s="558" t="s">
        <v>2287</v>
      </c>
      <c r="G786" s="558" t="s">
        <v>826</v>
      </c>
      <c r="H786" s="558" t="s">
        <v>5873</v>
      </c>
      <c r="I786" s="679" t="s">
        <v>22</v>
      </c>
      <c r="J786" s="676" t="s">
        <v>5873</v>
      </c>
      <c r="K786" s="676">
        <v>650000</v>
      </c>
      <c r="M786" t="str">
        <f>""</f>
        <v/>
      </c>
    </row>
    <row r="787" spans="1:13" ht="15.75">
      <c r="A787">
        <v>2012</v>
      </c>
      <c r="B787" s="777">
        <v>41211.635416666664</v>
      </c>
      <c r="C787" s="730">
        <v>41211.635416666664</v>
      </c>
      <c r="D787" s="777">
        <v>41217</v>
      </c>
      <c r="E787" s="730">
        <v>0.83333333333333337</v>
      </c>
      <c r="F787" s="558" t="s">
        <v>2453</v>
      </c>
      <c r="G787" s="558" t="s">
        <v>61</v>
      </c>
      <c r="H787" s="558" t="s">
        <v>5873</v>
      </c>
      <c r="I787" s="679" t="s">
        <v>2448</v>
      </c>
      <c r="J787" s="676">
        <v>0</v>
      </c>
      <c r="K787" s="676">
        <v>649075</v>
      </c>
      <c r="M787" t="str">
        <f>""</f>
        <v/>
      </c>
    </row>
    <row r="788" spans="1:13" ht="15.75">
      <c r="A788">
        <v>2012</v>
      </c>
      <c r="B788" s="777">
        <v>41211.541666666664</v>
      </c>
      <c r="C788" s="730">
        <v>41211.541666666664</v>
      </c>
      <c r="D788" s="777">
        <v>41225.583333333336</v>
      </c>
      <c r="E788" s="730">
        <v>41225.583333333336</v>
      </c>
      <c r="F788" s="558" t="s">
        <v>2284</v>
      </c>
      <c r="G788" s="558" t="s">
        <v>61</v>
      </c>
      <c r="H788" s="558" t="s">
        <v>5873</v>
      </c>
      <c r="I788" s="679" t="s">
        <v>2448</v>
      </c>
      <c r="J788" s="676">
        <v>0</v>
      </c>
      <c r="K788" s="676">
        <v>632816</v>
      </c>
      <c r="M788" t="str">
        <f>""</f>
        <v/>
      </c>
    </row>
    <row r="789" spans="1:13" ht="15.75">
      <c r="A789">
        <v>2018</v>
      </c>
      <c r="B789" s="777">
        <v>43161</v>
      </c>
      <c r="C789" s="730">
        <v>0.5</v>
      </c>
      <c r="D789" s="777">
        <v>43164</v>
      </c>
      <c r="E789" s="730">
        <v>0</v>
      </c>
      <c r="F789" s="558" t="s">
        <v>3245</v>
      </c>
      <c r="G789" s="558" t="s">
        <v>3143</v>
      </c>
      <c r="H789" s="558" t="s">
        <v>2753</v>
      </c>
      <c r="I789" s="679" t="s">
        <v>22</v>
      </c>
      <c r="J789" s="676" t="s">
        <v>5873</v>
      </c>
      <c r="K789" s="676">
        <v>630000</v>
      </c>
      <c r="M789" t="str">
        <f>""</f>
        <v/>
      </c>
    </row>
    <row r="790" spans="1:13" ht="15.75">
      <c r="A790">
        <v>2023</v>
      </c>
      <c r="B790" s="777">
        <v>44979</v>
      </c>
      <c r="C790" s="730">
        <v>0.77083333333333337</v>
      </c>
      <c r="D790" s="777" t="s">
        <v>5873</v>
      </c>
      <c r="E790" s="730" t="s">
        <v>5873</v>
      </c>
      <c r="F790" s="558" t="s">
        <v>3307</v>
      </c>
      <c r="G790" s="558" t="s">
        <v>3143</v>
      </c>
      <c r="H790" s="558" t="s">
        <v>2753</v>
      </c>
      <c r="I790" s="679" t="s">
        <v>22</v>
      </c>
      <c r="J790" s="676">
        <v>6200</v>
      </c>
      <c r="K790" s="676">
        <v>623358</v>
      </c>
      <c r="M790" t="str">
        <f>""</f>
        <v/>
      </c>
    </row>
    <row r="791" spans="1:13" ht="15.75">
      <c r="A791">
        <v>2020</v>
      </c>
      <c r="B791" s="777">
        <v>44070</v>
      </c>
      <c r="C791" s="730">
        <v>5.2083333333333336E-2</v>
      </c>
      <c r="D791" s="777" t="s">
        <v>5873</v>
      </c>
      <c r="E791" s="730" t="s">
        <v>5873</v>
      </c>
      <c r="F791" s="558" t="s">
        <v>4457</v>
      </c>
      <c r="G791" s="558" t="s">
        <v>1352</v>
      </c>
      <c r="H791" s="558" t="s">
        <v>3451</v>
      </c>
      <c r="I791" s="679" t="s">
        <v>22</v>
      </c>
      <c r="J791" s="676" t="s">
        <v>5873</v>
      </c>
      <c r="K791" s="676">
        <v>615992</v>
      </c>
      <c r="M791" t="str">
        <f>""</f>
        <v/>
      </c>
    </row>
    <row r="792" spans="1:13" ht="15.75">
      <c r="A792">
        <v>2011</v>
      </c>
      <c r="B792" s="777">
        <v>40660</v>
      </c>
      <c r="C792" s="730">
        <v>0.41666666666666669</v>
      </c>
      <c r="D792" s="777">
        <v>40662</v>
      </c>
      <c r="E792" s="730">
        <v>0.68680555555555556</v>
      </c>
      <c r="F792" s="558" t="s">
        <v>2182</v>
      </c>
      <c r="G792" s="558" t="s">
        <v>63</v>
      </c>
      <c r="H792" s="558" t="s">
        <v>5873</v>
      </c>
      <c r="I792" s="679" t="s">
        <v>22</v>
      </c>
      <c r="J792" s="676" t="s">
        <v>5873</v>
      </c>
      <c r="K792" s="676">
        <v>612000</v>
      </c>
      <c r="M792" t="str">
        <f>""</f>
        <v/>
      </c>
    </row>
    <row r="793" spans="1:13" ht="15.75">
      <c r="A793">
        <v>2012</v>
      </c>
      <c r="B793" s="777">
        <v>41089</v>
      </c>
      <c r="C793" s="730">
        <v>0.94652777777777775</v>
      </c>
      <c r="D793" s="777">
        <v>41095</v>
      </c>
      <c r="E793" s="730">
        <v>0.49305555555555558</v>
      </c>
      <c r="F793" s="558" t="s">
        <v>2405</v>
      </c>
      <c r="G793" s="558" t="s">
        <v>826</v>
      </c>
      <c r="H793" s="558" t="s">
        <v>5873</v>
      </c>
      <c r="I793" s="679" t="s">
        <v>2368</v>
      </c>
      <c r="J793" s="676">
        <v>1465</v>
      </c>
      <c r="K793" s="676">
        <v>600000</v>
      </c>
      <c r="M793" t="str">
        <f>""</f>
        <v/>
      </c>
    </row>
    <row r="794" spans="1:13" ht="15.75">
      <c r="A794">
        <v>2019</v>
      </c>
      <c r="B794" s="777">
        <v>43625</v>
      </c>
      <c r="C794" s="730">
        <v>0.61458333333333337</v>
      </c>
      <c r="D794" s="777">
        <v>43629</v>
      </c>
      <c r="E794" s="730">
        <v>0.9375</v>
      </c>
      <c r="F794" s="558" t="s">
        <v>3806</v>
      </c>
      <c r="G794" s="558" t="s">
        <v>1352</v>
      </c>
      <c r="H794" s="558" t="s">
        <v>3451</v>
      </c>
      <c r="I794" s="679" t="s">
        <v>22</v>
      </c>
      <c r="J794" s="676" t="s">
        <v>5873</v>
      </c>
      <c r="K794" s="676">
        <v>558000</v>
      </c>
      <c r="M794" t="str">
        <f>""</f>
        <v/>
      </c>
    </row>
    <row r="795" spans="1:13" ht="15.75">
      <c r="A795" s="728">
        <v>2010</v>
      </c>
      <c r="B795" s="777">
        <v>40234</v>
      </c>
      <c r="C795" s="730">
        <v>0.99513888888888891</v>
      </c>
      <c r="D795" s="777">
        <v>40238</v>
      </c>
      <c r="E795" s="730">
        <v>0.69444444444444442</v>
      </c>
      <c r="F795" s="558" t="s">
        <v>1895</v>
      </c>
      <c r="G795" s="558" t="s">
        <v>61</v>
      </c>
      <c r="H795" s="558" t="s">
        <v>5873</v>
      </c>
      <c r="I795" s="679" t="s">
        <v>40</v>
      </c>
      <c r="J795" s="676">
        <v>510</v>
      </c>
      <c r="K795" s="676">
        <v>509606</v>
      </c>
      <c r="M795" t="str">
        <f>""</f>
        <v/>
      </c>
    </row>
    <row r="796" spans="1:13" ht="15.75">
      <c r="A796">
        <v>2020</v>
      </c>
      <c r="B796" s="777">
        <v>44047</v>
      </c>
      <c r="C796" s="730">
        <v>0.19513888888888889</v>
      </c>
      <c r="D796" s="777">
        <v>44048</v>
      </c>
      <c r="E796" s="730">
        <v>0.68472222222222223</v>
      </c>
      <c r="F796" s="558" t="s">
        <v>3325</v>
      </c>
      <c r="G796" s="558" t="s">
        <v>63</v>
      </c>
      <c r="H796" s="558" t="s">
        <v>3451</v>
      </c>
      <c r="I796" s="679" t="s">
        <v>22</v>
      </c>
      <c r="J796" s="676" t="s">
        <v>5873</v>
      </c>
      <c r="K796" s="676">
        <v>508000</v>
      </c>
      <c r="M796" t="str">
        <f>""</f>
        <v/>
      </c>
    </row>
    <row r="797" spans="1:13" ht="15.75">
      <c r="A797" s="728">
        <v>2010</v>
      </c>
      <c r="B797" s="777">
        <v>40220</v>
      </c>
      <c r="C797" s="730">
        <v>0.5</v>
      </c>
      <c r="D797" s="777">
        <v>40224</v>
      </c>
      <c r="E797" s="730">
        <v>0.875</v>
      </c>
      <c r="F797" s="558" t="s">
        <v>1879</v>
      </c>
      <c r="G797" s="558" t="s">
        <v>1352</v>
      </c>
      <c r="H797" s="558" t="s">
        <v>5873</v>
      </c>
      <c r="I797" s="679" t="s">
        <v>40</v>
      </c>
      <c r="J797" s="676" t="s">
        <v>5873</v>
      </c>
      <c r="K797" s="676">
        <v>500000</v>
      </c>
      <c r="M797" t="str">
        <f>""</f>
        <v/>
      </c>
    </row>
    <row r="798" spans="1:13" ht="15.75">
      <c r="A798">
        <v>2011</v>
      </c>
      <c r="B798" s="777">
        <v>40735</v>
      </c>
      <c r="C798" s="730">
        <v>0.375</v>
      </c>
      <c r="D798" s="777">
        <v>40735</v>
      </c>
      <c r="E798" s="730">
        <v>0.375</v>
      </c>
      <c r="F798" s="558" t="s">
        <v>33</v>
      </c>
      <c r="G798" s="558" t="s">
        <v>826</v>
      </c>
      <c r="H798" s="558" t="s">
        <v>5873</v>
      </c>
      <c r="I798" s="679" t="s">
        <v>22</v>
      </c>
      <c r="J798" s="676" t="s">
        <v>5873</v>
      </c>
      <c r="K798" s="676">
        <v>500000</v>
      </c>
      <c r="M798" t="str">
        <f>""</f>
        <v/>
      </c>
    </row>
    <row r="799" spans="1:13" ht="15.75">
      <c r="A799">
        <v>2014</v>
      </c>
      <c r="B799" s="777">
        <v>41914</v>
      </c>
      <c r="C799" s="730">
        <v>0.66666666666666663</v>
      </c>
      <c r="D799" s="777">
        <v>41919</v>
      </c>
      <c r="E799" s="730">
        <v>0.41666666666666669</v>
      </c>
      <c r="F799" s="558" t="s">
        <v>166</v>
      </c>
      <c r="G799" s="558" t="s">
        <v>1352</v>
      </c>
      <c r="H799" s="558" t="s">
        <v>5873</v>
      </c>
      <c r="I799" s="679" t="s">
        <v>2368</v>
      </c>
      <c r="J799" s="676" t="s">
        <v>5873</v>
      </c>
      <c r="K799" s="676">
        <v>500000</v>
      </c>
      <c r="M799" t="str">
        <f>""</f>
        <v/>
      </c>
    </row>
    <row r="800" spans="1:13" ht="15.75">
      <c r="A800">
        <v>2015</v>
      </c>
      <c r="B800" s="777">
        <v>42245</v>
      </c>
      <c r="C800" s="730">
        <v>0.41666666666666669</v>
      </c>
      <c r="D800" s="777" t="s">
        <v>5873</v>
      </c>
      <c r="E800" s="730" t="s">
        <v>5873</v>
      </c>
      <c r="F800" s="558" t="s">
        <v>2575</v>
      </c>
      <c r="G800" s="558" t="s">
        <v>124</v>
      </c>
      <c r="H800" s="558" t="s">
        <v>2753</v>
      </c>
      <c r="I800" s="679" t="s">
        <v>22</v>
      </c>
      <c r="J800" s="676" t="s">
        <v>5873</v>
      </c>
      <c r="K800" s="676">
        <v>500000</v>
      </c>
      <c r="M800" t="str">
        <f>""</f>
        <v/>
      </c>
    </row>
    <row r="801" spans="1:13" ht="15.75">
      <c r="A801">
        <v>2022</v>
      </c>
      <c r="B801" s="777">
        <v>44918</v>
      </c>
      <c r="C801" s="730">
        <v>0.22222222222222221</v>
      </c>
      <c r="D801" s="777" t="s">
        <v>5873</v>
      </c>
      <c r="E801" s="730" t="s">
        <v>5873</v>
      </c>
      <c r="F801" s="558" t="s">
        <v>3521</v>
      </c>
      <c r="G801" s="558" t="s">
        <v>61</v>
      </c>
      <c r="H801" s="558" t="s">
        <v>3451</v>
      </c>
      <c r="I801" s="679" t="s">
        <v>22</v>
      </c>
      <c r="J801" s="676" t="s">
        <v>5873</v>
      </c>
      <c r="K801" s="676">
        <v>500000</v>
      </c>
      <c r="M801" t="str">
        <f>""</f>
        <v/>
      </c>
    </row>
    <row r="802" spans="1:13" ht="15.75">
      <c r="A802">
        <v>2020</v>
      </c>
      <c r="B802" s="777">
        <v>44132</v>
      </c>
      <c r="C802" s="730">
        <v>0.75</v>
      </c>
      <c r="D802" s="777">
        <v>44133</v>
      </c>
      <c r="E802" s="730">
        <v>5.2083333333333336E-2</v>
      </c>
      <c r="F802" s="558" t="s">
        <v>2866</v>
      </c>
      <c r="G802" s="558" t="s">
        <v>63</v>
      </c>
      <c r="H802" s="558" t="s">
        <v>3451</v>
      </c>
      <c r="I802" s="679" t="s">
        <v>22</v>
      </c>
      <c r="J802" s="676" t="s">
        <v>5873</v>
      </c>
      <c r="K802" s="676">
        <v>481268</v>
      </c>
      <c r="M802" t="str">
        <f>""</f>
        <v/>
      </c>
    </row>
    <row r="803" spans="1:13" ht="15.75">
      <c r="A803">
        <v>2020</v>
      </c>
      <c r="B803" s="777">
        <v>44113</v>
      </c>
      <c r="C803" s="730">
        <v>0.72916666666666663</v>
      </c>
      <c r="D803" s="777">
        <v>44114</v>
      </c>
      <c r="E803" s="730">
        <v>0.75</v>
      </c>
      <c r="F803" s="558" t="s">
        <v>4530</v>
      </c>
      <c r="G803" s="558" t="s">
        <v>63</v>
      </c>
      <c r="H803" s="558" t="s">
        <v>3451</v>
      </c>
      <c r="I803" s="679" t="s">
        <v>22</v>
      </c>
      <c r="J803" s="676" t="s">
        <v>5873</v>
      </c>
      <c r="K803" s="676">
        <v>477966</v>
      </c>
      <c r="M803" t="str">
        <f>""</f>
        <v/>
      </c>
    </row>
    <row r="804" spans="1:13" ht="15.75">
      <c r="A804">
        <v>2018</v>
      </c>
      <c r="B804" s="777">
        <v>43161</v>
      </c>
      <c r="C804" s="730">
        <v>0.5</v>
      </c>
      <c r="D804" s="777" t="s">
        <v>5873</v>
      </c>
      <c r="E804" s="730" t="s">
        <v>5873</v>
      </c>
      <c r="F804" s="558" t="s">
        <v>3252</v>
      </c>
      <c r="G804" s="558" t="s">
        <v>3143</v>
      </c>
      <c r="H804" s="558" t="s">
        <v>2917</v>
      </c>
      <c r="I804" s="679" t="s">
        <v>22</v>
      </c>
      <c r="J804" s="676">
        <v>670</v>
      </c>
      <c r="K804" s="676">
        <v>474019</v>
      </c>
      <c r="M804" t="str">
        <f>""</f>
        <v/>
      </c>
    </row>
    <row r="805" spans="1:13" ht="15.75">
      <c r="A805">
        <v>2023</v>
      </c>
      <c r="B805" s="777">
        <v>44987</v>
      </c>
      <c r="C805" s="730">
        <v>0.79166666666666663</v>
      </c>
      <c r="D805" s="777">
        <v>44989</v>
      </c>
      <c r="E805" s="730">
        <v>0.95833333333333337</v>
      </c>
      <c r="F805" s="558" t="s">
        <v>5766</v>
      </c>
      <c r="G805" s="558" t="s">
        <v>1352</v>
      </c>
      <c r="H805" s="558" t="s">
        <v>2753</v>
      </c>
      <c r="I805" s="679" t="s">
        <v>22</v>
      </c>
      <c r="J805" s="676" t="s">
        <v>5873</v>
      </c>
      <c r="K805" s="676">
        <v>470000</v>
      </c>
      <c r="M805" t="str">
        <f>""</f>
        <v/>
      </c>
    </row>
    <row r="806" spans="1:13" ht="15.75">
      <c r="A806">
        <v>2020</v>
      </c>
      <c r="B806" s="777">
        <v>44133</v>
      </c>
      <c r="C806" s="730">
        <v>0.34375</v>
      </c>
      <c r="D806" s="777">
        <v>44135</v>
      </c>
      <c r="E806" s="730">
        <v>0.78125</v>
      </c>
      <c r="F806" s="558" t="s">
        <v>2832</v>
      </c>
      <c r="G806" s="558" t="s">
        <v>63</v>
      </c>
      <c r="H806" s="558" t="s">
        <v>3451</v>
      </c>
      <c r="I806" s="679" t="s">
        <v>22</v>
      </c>
      <c r="J806" s="676" t="s">
        <v>5873</v>
      </c>
      <c r="K806" s="676">
        <v>461580</v>
      </c>
      <c r="M806" t="str">
        <f>""</f>
        <v/>
      </c>
    </row>
    <row r="807" spans="1:13" ht="15.75">
      <c r="A807">
        <v>2015</v>
      </c>
      <c r="B807" s="777">
        <v>42149</v>
      </c>
      <c r="C807" s="730">
        <v>0.75</v>
      </c>
      <c r="D807" s="777">
        <v>42153</v>
      </c>
      <c r="E807" s="730">
        <v>0.30208333333333331</v>
      </c>
      <c r="F807" s="558" t="s">
        <v>116</v>
      </c>
      <c r="G807" s="558" t="s">
        <v>1352</v>
      </c>
      <c r="H807" s="558" t="s">
        <v>2753</v>
      </c>
      <c r="I807" s="679" t="s">
        <v>22</v>
      </c>
      <c r="J807" s="676" t="s">
        <v>5873</v>
      </c>
      <c r="K807" s="676">
        <v>454000</v>
      </c>
      <c r="M807" t="str">
        <f>""</f>
        <v/>
      </c>
    </row>
    <row r="808" spans="1:13" ht="15.75">
      <c r="A808">
        <v>2017</v>
      </c>
      <c r="B808" s="777">
        <v>42988</v>
      </c>
      <c r="C808" s="730">
        <v>0.85902777777777772</v>
      </c>
      <c r="D808" s="777" t="s">
        <v>5873</v>
      </c>
      <c r="E808" s="730" t="s">
        <v>5873</v>
      </c>
      <c r="F808" s="558" t="s">
        <v>2901</v>
      </c>
      <c r="G808" s="558" t="s">
        <v>301</v>
      </c>
      <c r="H808" s="558" t="s">
        <v>2753</v>
      </c>
      <c r="I808" s="679" t="s">
        <v>22</v>
      </c>
      <c r="J808" s="676" t="s">
        <v>5873</v>
      </c>
      <c r="K808" s="676">
        <v>452555</v>
      </c>
      <c r="M808" t="str">
        <f>""</f>
        <v/>
      </c>
    </row>
    <row r="809" spans="1:13" ht="15.75">
      <c r="A809">
        <v>2020</v>
      </c>
      <c r="B809" s="777">
        <v>44130</v>
      </c>
      <c r="C809" s="730">
        <v>0.54166666666666663</v>
      </c>
      <c r="D809" s="777">
        <v>44142</v>
      </c>
      <c r="E809" s="730">
        <v>0.79166666666666663</v>
      </c>
      <c r="F809" s="558" t="s">
        <v>4554</v>
      </c>
      <c r="G809" s="558" t="s">
        <v>3347</v>
      </c>
      <c r="H809" s="558" t="s">
        <v>3451</v>
      </c>
      <c r="I809" s="679" t="s">
        <v>22</v>
      </c>
      <c r="J809" s="676" t="s">
        <v>5873</v>
      </c>
      <c r="K809" s="676">
        <v>447000</v>
      </c>
      <c r="M809" t="str">
        <f>""</f>
        <v/>
      </c>
    </row>
    <row r="810" spans="1:13" ht="15.75">
      <c r="A810">
        <v>2012</v>
      </c>
      <c r="B810" s="777">
        <v>41147.919444444444</v>
      </c>
      <c r="C810" s="730">
        <v>41147.919444444444</v>
      </c>
      <c r="D810" s="777">
        <v>41148</v>
      </c>
      <c r="E810" s="730">
        <v>8.611111111111111E-2</v>
      </c>
      <c r="F810" s="558" t="s">
        <v>34</v>
      </c>
      <c r="G810" s="558" t="s">
        <v>301</v>
      </c>
      <c r="H810" s="558" t="s">
        <v>5873</v>
      </c>
      <c r="I810" s="679" t="s">
        <v>2432</v>
      </c>
      <c r="J810" s="676" t="s">
        <v>5873</v>
      </c>
      <c r="K810" s="676">
        <v>440000</v>
      </c>
      <c r="M810" t="str">
        <f>""</f>
        <v/>
      </c>
    </row>
    <row r="811" spans="1:13" ht="15.75">
      <c r="A811">
        <v>2011</v>
      </c>
      <c r="B811" s="777">
        <v>40660</v>
      </c>
      <c r="C811" s="730">
        <v>0.33333333333333331</v>
      </c>
      <c r="D811" s="777">
        <v>40665</v>
      </c>
      <c r="E811" s="730">
        <v>0.66874999999999996</v>
      </c>
      <c r="F811" s="558" t="s">
        <v>2168</v>
      </c>
      <c r="G811" s="558" t="s">
        <v>63</v>
      </c>
      <c r="H811" s="558" t="s">
        <v>5873</v>
      </c>
      <c r="I811" s="679" t="s">
        <v>22</v>
      </c>
      <c r="J811" s="676">
        <v>1422</v>
      </c>
      <c r="K811" s="676">
        <v>426640</v>
      </c>
      <c r="M811" t="str">
        <f>""</f>
        <v/>
      </c>
    </row>
    <row r="812" spans="1:13" ht="15.75">
      <c r="A812">
        <v>2012</v>
      </c>
      <c r="B812" s="777">
        <v>40927</v>
      </c>
      <c r="C812" s="730">
        <v>0.29166666666666669</v>
      </c>
      <c r="D812" s="777">
        <v>40928</v>
      </c>
      <c r="E812" s="730">
        <v>0.625</v>
      </c>
      <c r="F812" s="558" t="s">
        <v>2348</v>
      </c>
      <c r="G812" s="558" t="s">
        <v>124</v>
      </c>
      <c r="H812" s="558" t="s">
        <v>5873</v>
      </c>
      <c r="I812" s="679" t="s">
        <v>2349</v>
      </c>
      <c r="J812" s="676">
        <v>1600</v>
      </c>
      <c r="K812" s="676">
        <v>426000</v>
      </c>
      <c r="M812" t="str">
        <f>""</f>
        <v/>
      </c>
    </row>
    <row r="813" spans="1:13" ht="15.75">
      <c r="A813">
        <v>2012</v>
      </c>
      <c r="B813" s="777">
        <v>41089</v>
      </c>
      <c r="C813" s="730">
        <v>0.92708333333333337</v>
      </c>
      <c r="D813" s="777">
        <v>41095</v>
      </c>
      <c r="E813" s="730">
        <v>0.53611111111111109</v>
      </c>
      <c r="F813" s="558" t="s">
        <v>2404</v>
      </c>
      <c r="G813" s="558" t="s">
        <v>826</v>
      </c>
      <c r="H813" s="558" t="s">
        <v>5873</v>
      </c>
      <c r="I813" s="679" t="s">
        <v>2368</v>
      </c>
      <c r="J813" s="676">
        <v>3000</v>
      </c>
      <c r="K813" s="676">
        <v>425000</v>
      </c>
      <c r="M813" t="str">
        <f>""</f>
        <v/>
      </c>
    </row>
    <row r="814" spans="1:13" ht="15.75">
      <c r="A814">
        <v>2017</v>
      </c>
      <c r="B814" s="777">
        <v>42987</v>
      </c>
      <c r="C814" s="730">
        <v>0</v>
      </c>
      <c r="D814" s="777" t="s">
        <v>5873</v>
      </c>
      <c r="E814" s="730" t="s">
        <v>5873</v>
      </c>
      <c r="F814" s="558" t="s">
        <v>3096</v>
      </c>
      <c r="G814" s="558" t="s">
        <v>301</v>
      </c>
      <c r="H814" s="558" t="s">
        <v>2753</v>
      </c>
      <c r="I814" s="679" t="s">
        <v>22</v>
      </c>
      <c r="J814" s="676">
        <v>1275</v>
      </c>
      <c r="K814" s="676">
        <v>425000</v>
      </c>
      <c r="M814" t="str">
        <f>""</f>
        <v/>
      </c>
    </row>
    <row r="815" spans="1:13" ht="15.75">
      <c r="A815">
        <v>2014</v>
      </c>
      <c r="B815" s="777">
        <v>41820</v>
      </c>
      <c r="C815" s="730">
        <v>0.83333333333333337</v>
      </c>
      <c r="D815" s="777">
        <v>41822</v>
      </c>
      <c r="E815" s="730">
        <v>0.77083333333333337</v>
      </c>
      <c r="F815" s="558" t="s">
        <v>33</v>
      </c>
      <c r="G815" s="558" t="s">
        <v>826</v>
      </c>
      <c r="H815" s="558" t="s">
        <v>5873</v>
      </c>
      <c r="I815" s="679" t="s">
        <v>2368</v>
      </c>
      <c r="J815" s="676" t="s">
        <v>5873</v>
      </c>
      <c r="K815" s="676">
        <v>420000</v>
      </c>
      <c r="M815" t="str">
        <f>""</f>
        <v/>
      </c>
    </row>
    <row r="816" spans="1:13" ht="15.75">
      <c r="A816">
        <v>2018</v>
      </c>
      <c r="B816" s="777">
        <v>43117</v>
      </c>
      <c r="C816" s="730">
        <v>0.21527777777777779</v>
      </c>
      <c r="D816" s="777">
        <v>43117</v>
      </c>
      <c r="E816" s="730">
        <v>0.54166666666666663</v>
      </c>
      <c r="F816" s="558" t="s">
        <v>3116</v>
      </c>
      <c r="G816" s="558" t="s">
        <v>63</v>
      </c>
      <c r="H816" s="558" t="s">
        <v>2917</v>
      </c>
      <c r="I816" s="679" t="s">
        <v>2764</v>
      </c>
      <c r="J816" s="676">
        <v>1788</v>
      </c>
      <c r="K816" s="676">
        <v>420000</v>
      </c>
      <c r="M816" t="str">
        <f>""</f>
        <v/>
      </c>
    </row>
    <row r="817" spans="1:13" ht="15.75">
      <c r="A817">
        <v>2018</v>
      </c>
      <c r="B817" s="777">
        <v>43118</v>
      </c>
      <c r="C817" s="730">
        <v>0.20833333333333334</v>
      </c>
      <c r="D817" s="777">
        <v>43118</v>
      </c>
      <c r="E817" s="730">
        <v>0.40625</v>
      </c>
      <c r="F817" s="558" t="s">
        <v>3116</v>
      </c>
      <c r="G817" s="558" t="s">
        <v>63</v>
      </c>
      <c r="H817" s="558" t="s">
        <v>2917</v>
      </c>
      <c r="I817" s="679" t="s">
        <v>2764</v>
      </c>
      <c r="J817" s="676">
        <v>1760</v>
      </c>
      <c r="K817" s="676">
        <v>420000</v>
      </c>
      <c r="M817" t="str">
        <f>""</f>
        <v/>
      </c>
    </row>
    <row r="818" spans="1:13" ht="15.75">
      <c r="A818">
        <v>2018</v>
      </c>
      <c r="B818" s="777">
        <v>43358</v>
      </c>
      <c r="C818" s="730">
        <v>0.625</v>
      </c>
      <c r="D818" s="777">
        <v>43358</v>
      </c>
      <c r="E818" s="730">
        <v>0.75</v>
      </c>
      <c r="F818" s="558" t="s">
        <v>3477</v>
      </c>
      <c r="G818" s="558" t="s">
        <v>63</v>
      </c>
      <c r="H818" s="558" t="s">
        <v>3478</v>
      </c>
      <c r="I818" s="679" t="s">
        <v>2764</v>
      </c>
      <c r="J818" s="676">
        <v>1322</v>
      </c>
      <c r="K818" s="676">
        <v>420000</v>
      </c>
      <c r="M818" t="str">
        <f>""</f>
        <v/>
      </c>
    </row>
    <row r="819" spans="1:13" ht="15.75">
      <c r="A819">
        <v>2020</v>
      </c>
      <c r="B819" s="777">
        <v>44047</v>
      </c>
      <c r="C819" s="730">
        <v>0.54166666666666663</v>
      </c>
      <c r="D819" s="777">
        <v>44047</v>
      </c>
      <c r="E819" s="730">
        <v>0.99930555555555556</v>
      </c>
      <c r="F819" s="558" t="s">
        <v>4366</v>
      </c>
      <c r="G819" s="558" t="s">
        <v>61</v>
      </c>
      <c r="H819" s="558" t="s">
        <v>3451</v>
      </c>
      <c r="I819" s="679" t="s">
        <v>22</v>
      </c>
      <c r="J819" s="676">
        <v>3907</v>
      </c>
      <c r="K819" s="676">
        <v>420000</v>
      </c>
      <c r="M819" t="str">
        <f>""</f>
        <v/>
      </c>
    </row>
    <row r="820" spans="1:13" ht="15.75">
      <c r="A820">
        <v>2016</v>
      </c>
      <c r="B820" s="777">
        <v>42478</v>
      </c>
      <c r="C820" s="730">
        <v>0.21180555555555555</v>
      </c>
      <c r="D820" s="777">
        <v>42480</v>
      </c>
      <c r="E820" s="730">
        <v>0.3298611111111111</v>
      </c>
      <c r="F820" s="558" t="s">
        <v>2860</v>
      </c>
      <c r="G820" s="558" t="s">
        <v>1352</v>
      </c>
      <c r="H820" s="558" t="s">
        <v>2753</v>
      </c>
      <c r="I820" s="679" t="s">
        <v>2828</v>
      </c>
      <c r="J820" s="676" t="s">
        <v>5873</v>
      </c>
      <c r="K820" s="676">
        <v>415103</v>
      </c>
      <c r="M820" t="str">
        <f>""</f>
        <v/>
      </c>
    </row>
    <row r="821" spans="1:13" ht="15.75">
      <c r="A821" s="728">
        <v>2010</v>
      </c>
      <c r="B821" s="777">
        <v>40347</v>
      </c>
      <c r="C821" s="730">
        <v>0.66666666666666663</v>
      </c>
      <c r="D821" s="777">
        <v>40349</v>
      </c>
      <c r="E821" s="730">
        <v>0.54166666666666663</v>
      </c>
      <c r="F821" s="558" t="s">
        <v>1958</v>
      </c>
      <c r="G821" s="558" t="s">
        <v>826</v>
      </c>
      <c r="H821" s="558" t="s">
        <v>5873</v>
      </c>
      <c r="I821" s="679" t="s">
        <v>22</v>
      </c>
      <c r="J821" s="676" t="s">
        <v>5873</v>
      </c>
      <c r="K821" s="676">
        <v>400000</v>
      </c>
      <c r="M821" t="str">
        <f>""</f>
        <v/>
      </c>
    </row>
    <row r="822" spans="1:13" ht="15.75">
      <c r="A822">
        <v>2012</v>
      </c>
      <c r="B822" s="777">
        <v>41211.757638888892</v>
      </c>
      <c r="C822" s="730">
        <v>41211.757638888892</v>
      </c>
      <c r="D822" s="777">
        <v>41217</v>
      </c>
      <c r="E822" s="730">
        <v>41211.951388888891</v>
      </c>
      <c r="F822" s="558" t="s">
        <v>2209</v>
      </c>
      <c r="G822" s="558" t="s">
        <v>826</v>
      </c>
      <c r="H822" s="558" t="s">
        <v>5873</v>
      </c>
      <c r="I822" s="679" t="s">
        <v>2448</v>
      </c>
      <c r="J822" s="676" t="s">
        <v>5873</v>
      </c>
      <c r="K822" s="676">
        <v>400000</v>
      </c>
      <c r="M822" t="str">
        <f>""</f>
        <v/>
      </c>
    </row>
    <row r="823" spans="1:13" ht="15.75">
      <c r="A823">
        <v>2013</v>
      </c>
      <c r="B823" s="777">
        <v>41446</v>
      </c>
      <c r="C823" s="730">
        <v>0.73541666666666672</v>
      </c>
      <c r="D823" s="777">
        <v>41449</v>
      </c>
      <c r="E823" s="730">
        <v>0.25</v>
      </c>
      <c r="F823" s="558" t="s">
        <v>2561</v>
      </c>
      <c r="G823" s="558" t="s">
        <v>674</v>
      </c>
      <c r="H823" s="558" t="s">
        <v>5873</v>
      </c>
      <c r="I823" s="679" t="s">
        <v>2558</v>
      </c>
      <c r="J823" s="676" t="s">
        <v>5873</v>
      </c>
      <c r="K823" s="676">
        <v>400000</v>
      </c>
      <c r="M823" t="str">
        <f>""</f>
        <v/>
      </c>
    </row>
    <row r="824" spans="1:13" ht="15.75">
      <c r="A824">
        <v>2016</v>
      </c>
      <c r="B824" s="777">
        <v>42606</v>
      </c>
      <c r="C824" s="730">
        <v>0.75902777777777775</v>
      </c>
      <c r="D824" s="777">
        <v>42606</v>
      </c>
      <c r="E824" s="730">
        <v>0.80138888888888893</v>
      </c>
      <c r="F824" s="558" t="s">
        <v>2897</v>
      </c>
      <c r="G824" s="558" t="s">
        <v>472</v>
      </c>
      <c r="H824" s="558" t="s">
        <v>2769</v>
      </c>
      <c r="I824" s="679" t="s">
        <v>2764</v>
      </c>
      <c r="J824" s="676">
        <v>600</v>
      </c>
      <c r="K824" s="676">
        <v>400000</v>
      </c>
      <c r="M824" t="str">
        <f>""</f>
        <v/>
      </c>
    </row>
    <row r="825" spans="1:13" ht="15.75">
      <c r="A825">
        <v>2019</v>
      </c>
      <c r="B825" s="777">
        <v>43665</v>
      </c>
      <c r="C825" s="730">
        <v>0.79166666666666663</v>
      </c>
      <c r="D825" s="777">
        <v>43667</v>
      </c>
      <c r="E825" s="730">
        <v>0.83333333333333337</v>
      </c>
      <c r="F825" s="558" t="s">
        <v>3307</v>
      </c>
      <c r="G825" s="558" t="s">
        <v>3143</v>
      </c>
      <c r="H825" s="558" t="s">
        <v>3451</v>
      </c>
      <c r="I825" s="679" t="s">
        <v>22</v>
      </c>
      <c r="J825" s="676" t="s">
        <v>5873</v>
      </c>
      <c r="K825" s="676">
        <v>400000</v>
      </c>
      <c r="M825" t="str">
        <f>""</f>
        <v/>
      </c>
    </row>
    <row r="826" spans="1:13" ht="15.75">
      <c r="A826">
        <v>2019</v>
      </c>
      <c r="B826" s="777">
        <v>43758</v>
      </c>
      <c r="C826" s="730">
        <v>0.92708333333333337</v>
      </c>
      <c r="D826" s="777">
        <v>43763</v>
      </c>
      <c r="E826" s="730">
        <v>8.3333333333333329E-2</v>
      </c>
      <c r="F826" s="558" t="s">
        <v>3992</v>
      </c>
      <c r="G826" s="558" t="s">
        <v>1352</v>
      </c>
      <c r="H826" s="558" t="s">
        <v>3451</v>
      </c>
      <c r="I826" s="679" t="s">
        <v>22</v>
      </c>
      <c r="J826" s="676" t="s">
        <v>5873</v>
      </c>
      <c r="K826" s="676">
        <v>400000</v>
      </c>
      <c r="M826" t="str">
        <f>""</f>
        <v/>
      </c>
    </row>
    <row r="827" spans="1:13" ht="15.75">
      <c r="A827">
        <v>2013</v>
      </c>
      <c r="B827" s="777">
        <v>41458</v>
      </c>
      <c r="C827" s="730">
        <v>0.50277777777777777</v>
      </c>
      <c r="D827" s="777">
        <v>41458</v>
      </c>
      <c r="E827" s="730">
        <v>0.53333333333333333</v>
      </c>
      <c r="F827" s="558" t="s">
        <v>2571</v>
      </c>
      <c r="G827" s="558" t="s">
        <v>5873</v>
      </c>
      <c r="H827" s="558" t="s">
        <v>5873</v>
      </c>
      <c r="I827" s="679" t="s">
        <v>2572</v>
      </c>
      <c r="J827" s="676">
        <v>480</v>
      </c>
      <c r="K827" s="676">
        <v>393000</v>
      </c>
      <c r="M827" t="str">
        <f>""</f>
        <v/>
      </c>
    </row>
    <row r="828" spans="1:13" ht="15.75">
      <c r="A828">
        <v>2018</v>
      </c>
      <c r="B828" s="777">
        <v>43205</v>
      </c>
      <c r="C828" s="730">
        <v>0.3125</v>
      </c>
      <c r="D828" s="777">
        <v>43208</v>
      </c>
      <c r="E828" s="730">
        <v>0.3125</v>
      </c>
      <c r="F828" s="558" t="s">
        <v>3307</v>
      </c>
      <c r="G828" s="558" t="s">
        <v>3143</v>
      </c>
      <c r="H828" s="558" t="s">
        <v>2753</v>
      </c>
      <c r="I828" s="679" t="s">
        <v>22</v>
      </c>
      <c r="J828" s="676" t="s">
        <v>5873</v>
      </c>
      <c r="K828" s="676">
        <v>389591</v>
      </c>
      <c r="M828" t="str">
        <f>""</f>
        <v/>
      </c>
    </row>
    <row r="829" spans="1:13" ht="15.75">
      <c r="A829">
        <v>2020</v>
      </c>
      <c r="B829" s="777">
        <v>43978</v>
      </c>
      <c r="C829" s="730">
        <v>0.71875</v>
      </c>
      <c r="D829" s="777">
        <v>43980</v>
      </c>
      <c r="E829" s="730">
        <v>0.27083333333333331</v>
      </c>
      <c r="F829" s="558" t="s">
        <v>2809</v>
      </c>
      <c r="G829" s="558" t="s">
        <v>1352</v>
      </c>
      <c r="H829" s="558" t="s">
        <v>3451</v>
      </c>
      <c r="I829" s="679" t="s">
        <v>22</v>
      </c>
      <c r="J829" s="676" t="s">
        <v>5873</v>
      </c>
      <c r="K829" s="676">
        <v>382000</v>
      </c>
      <c r="M829" t="str">
        <f>""</f>
        <v/>
      </c>
    </row>
    <row r="830" spans="1:13" ht="15.75">
      <c r="A830">
        <v>2011</v>
      </c>
      <c r="B830" s="777">
        <v>40845</v>
      </c>
      <c r="C830" s="730">
        <v>0.41597222222222224</v>
      </c>
      <c r="D830" s="777">
        <v>40854</v>
      </c>
      <c r="E830" s="730">
        <v>0.54166666666666663</v>
      </c>
      <c r="F830" s="558" t="s">
        <v>2318</v>
      </c>
      <c r="G830" s="558" t="s">
        <v>826</v>
      </c>
      <c r="H830" s="558" t="s">
        <v>5873</v>
      </c>
      <c r="I830" s="679" t="s">
        <v>22</v>
      </c>
      <c r="J830" s="676" t="s">
        <v>5873</v>
      </c>
      <c r="K830" s="676">
        <v>379000</v>
      </c>
      <c r="M830" t="str">
        <f>""</f>
        <v/>
      </c>
    </row>
    <row r="831" spans="1:13" ht="15.75">
      <c r="A831">
        <v>2014</v>
      </c>
      <c r="B831" s="777">
        <v>41682</v>
      </c>
      <c r="C831" s="730">
        <v>0.32500000000000001</v>
      </c>
      <c r="D831" s="777">
        <v>41685</v>
      </c>
      <c r="E831" s="730">
        <v>0.1875</v>
      </c>
      <c r="F831" s="558" t="s">
        <v>2668</v>
      </c>
      <c r="G831" s="558" t="s">
        <v>63</v>
      </c>
      <c r="H831" s="558" t="s">
        <v>5873</v>
      </c>
      <c r="I831" s="679" t="s">
        <v>2662</v>
      </c>
      <c r="J831" s="676">
        <v>1246</v>
      </c>
      <c r="K831" s="676">
        <v>373835</v>
      </c>
      <c r="M831" t="str">
        <f>""</f>
        <v/>
      </c>
    </row>
    <row r="832" spans="1:13" ht="15.75">
      <c r="A832">
        <v>2021</v>
      </c>
      <c r="B832" s="777">
        <v>44418</v>
      </c>
      <c r="C832" s="730">
        <v>0.9375</v>
      </c>
      <c r="D832" s="777">
        <v>44421</v>
      </c>
      <c r="E832" s="730">
        <v>0.69305555555555554</v>
      </c>
      <c r="F832" s="558" t="s">
        <v>4957</v>
      </c>
      <c r="G832" s="558" t="s">
        <v>3143</v>
      </c>
      <c r="H832" s="558" t="s">
        <v>2753</v>
      </c>
      <c r="I832" s="679" t="s">
        <v>22</v>
      </c>
      <c r="J832" s="676" t="s">
        <v>5873</v>
      </c>
      <c r="K832" s="676">
        <v>372600</v>
      </c>
      <c r="M832" t="str">
        <f>""</f>
        <v/>
      </c>
    </row>
    <row r="833" spans="1:13" ht="15.75">
      <c r="A833">
        <v>2012</v>
      </c>
      <c r="B833" s="777">
        <v>41178.886111111111</v>
      </c>
      <c r="C833" s="730">
        <v>41178.886111111111</v>
      </c>
      <c r="D833" s="777">
        <v>41178.929166666669</v>
      </c>
      <c r="E833" s="730">
        <v>41178.929166666669</v>
      </c>
      <c r="F833" s="558" t="s">
        <v>2271</v>
      </c>
      <c r="G833" s="558" t="s">
        <v>5873</v>
      </c>
      <c r="H833" s="558" t="s">
        <v>5873</v>
      </c>
      <c r="I833" s="679" t="s">
        <v>619</v>
      </c>
      <c r="J833" s="676">
        <v>600</v>
      </c>
      <c r="K833" s="676">
        <v>371526</v>
      </c>
      <c r="M833" t="str">
        <f>""</f>
        <v/>
      </c>
    </row>
    <row r="834" spans="1:13" ht="15.75">
      <c r="A834">
        <v>2012</v>
      </c>
      <c r="B834" s="777">
        <v>41211.783333333333</v>
      </c>
      <c r="C834" s="730">
        <v>41211.783333333333</v>
      </c>
      <c r="D834" s="777">
        <v>41217</v>
      </c>
      <c r="E834" s="730">
        <v>41211.48333333333</v>
      </c>
      <c r="F834" s="558" t="s">
        <v>30</v>
      </c>
      <c r="G834" s="558" t="s">
        <v>2460</v>
      </c>
      <c r="H834" s="558" t="s">
        <v>5873</v>
      </c>
      <c r="I834" s="679" t="s">
        <v>2448</v>
      </c>
      <c r="J834" s="676" t="s">
        <v>5873</v>
      </c>
      <c r="K834" s="676">
        <v>371000</v>
      </c>
      <c r="M834" t="str">
        <f>""</f>
        <v/>
      </c>
    </row>
    <row r="835" spans="1:13" ht="15.75">
      <c r="A835">
        <v>2014</v>
      </c>
      <c r="B835" s="777">
        <v>41705</v>
      </c>
      <c r="C835" s="730">
        <v>0.14583333333333334</v>
      </c>
      <c r="D835" s="777">
        <v>41705</v>
      </c>
      <c r="E835" s="730">
        <v>0.875</v>
      </c>
      <c r="F835" s="558" t="s">
        <v>2674</v>
      </c>
      <c r="G835" s="558" t="s">
        <v>63</v>
      </c>
      <c r="H835" s="558" t="s">
        <v>5873</v>
      </c>
      <c r="I835" s="679" t="s">
        <v>2349</v>
      </c>
      <c r="J835" s="676">
        <v>1500</v>
      </c>
      <c r="K835" s="676">
        <v>370900</v>
      </c>
      <c r="M835" t="str">
        <f>""</f>
        <v/>
      </c>
    </row>
    <row r="836" spans="1:13" ht="15.75">
      <c r="A836">
        <v>2020</v>
      </c>
      <c r="B836" s="777">
        <v>44129</v>
      </c>
      <c r="C836" s="730">
        <v>0.60555555555555551</v>
      </c>
      <c r="D836" s="777">
        <v>44131</v>
      </c>
      <c r="E836" s="730">
        <v>0.75</v>
      </c>
      <c r="F836" s="558" t="s">
        <v>2945</v>
      </c>
      <c r="G836" s="558" t="s">
        <v>124</v>
      </c>
      <c r="H836" s="558" t="s">
        <v>3451</v>
      </c>
      <c r="I836" s="679" t="s">
        <v>22</v>
      </c>
      <c r="J836" s="676">
        <v>1218</v>
      </c>
      <c r="K836" s="676">
        <v>370000</v>
      </c>
      <c r="M836" t="str">
        <f>""</f>
        <v/>
      </c>
    </row>
    <row r="837" spans="1:13" ht="15.75">
      <c r="A837" s="728">
        <v>2010</v>
      </c>
      <c r="B837" s="777">
        <v>40250</v>
      </c>
      <c r="C837" s="730">
        <v>0.75</v>
      </c>
      <c r="D837" s="777">
        <v>40257</v>
      </c>
      <c r="E837" s="730">
        <v>0.54097222222222219</v>
      </c>
      <c r="F837" s="558" t="s">
        <v>1906</v>
      </c>
      <c r="G837" s="558" t="s">
        <v>826</v>
      </c>
      <c r="H837" s="558" t="s">
        <v>5873</v>
      </c>
      <c r="I837" s="679" t="s">
        <v>1790</v>
      </c>
      <c r="J837" s="676">
        <v>100</v>
      </c>
      <c r="K837" s="676">
        <v>360000</v>
      </c>
      <c r="M837" t="str">
        <f>""</f>
        <v/>
      </c>
    </row>
    <row r="838" spans="1:13" ht="15.75">
      <c r="A838">
        <v>2023</v>
      </c>
      <c r="B838" s="777">
        <v>44957</v>
      </c>
      <c r="C838" s="730">
        <v>0.34375</v>
      </c>
      <c r="D838" s="777">
        <v>44963</v>
      </c>
      <c r="E838" s="730">
        <v>0.70833333333333337</v>
      </c>
      <c r="F838" s="558" t="s">
        <v>5718</v>
      </c>
      <c r="G838" s="558" t="s">
        <v>1352</v>
      </c>
      <c r="H838" s="558" t="s">
        <v>2753</v>
      </c>
      <c r="I838" s="679" t="s">
        <v>22</v>
      </c>
      <c r="J838" s="676" t="s">
        <v>5873</v>
      </c>
      <c r="K838" s="676">
        <v>360000</v>
      </c>
      <c r="M838" t="str">
        <f>""</f>
        <v/>
      </c>
    </row>
    <row r="839" spans="1:13" ht="15.75">
      <c r="A839" s="728">
        <v>2010</v>
      </c>
      <c r="B839" s="777">
        <v>40353</v>
      </c>
      <c r="C839" s="730">
        <v>0.64583333333333337</v>
      </c>
      <c r="D839" s="777">
        <v>40358</v>
      </c>
      <c r="E839" s="730">
        <v>0.99930555555555556</v>
      </c>
      <c r="F839" s="558" t="s">
        <v>1877</v>
      </c>
      <c r="G839" s="558" t="s">
        <v>826</v>
      </c>
      <c r="H839" s="558" t="s">
        <v>5873</v>
      </c>
      <c r="I839" s="679" t="s">
        <v>381</v>
      </c>
      <c r="J839" s="676" t="s">
        <v>5873</v>
      </c>
      <c r="K839" s="676">
        <v>355000</v>
      </c>
      <c r="M839" t="str">
        <f>""</f>
        <v/>
      </c>
    </row>
    <row r="840" spans="1:13" ht="15.75">
      <c r="A840">
        <v>2012</v>
      </c>
      <c r="B840" s="777">
        <v>41211.666666666664</v>
      </c>
      <c r="C840" s="730">
        <v>41211.666666666664</v>
      </c>
      <c r="D840" s="777">
        <v>41218.999305555553</v>
      </c>
      <c r="E840" s="730">
        <v>41218.999305555553</v>
      </c>
      <c r="F840" s="558" t="s">
        <v>2454</v>
      </c>
      <c r="G840" s="558" t="s">
        <v>826</v>
      </c>
      <c r="H840" s="558" t="s">
        <v>5873</v>
      </c>
      <c r="I840" s="679" t="s">
        <v>2448</v>
      </c>
      <c r="J840" s="676">
        <v>0</v>
      </c>
      <c r="K840" s="676">
        <v>346000</v>
      </c>
      <c r="M840" t="str">
        <f>""</f>
        <v/>
      </c>
    </row>
    <row r="841" spans="1:13" ht="15.75">
      <c r="A841">
        <v>2023</v>
      </c>
      <c r="B841" s="777">
        <v>44988</v>
      </c>
      <c r="C841" s="730">
        <v>0.65277777777777779</v>
      </c>
      <c r="D841" s="777" t="s">
        <v>5873</v>
      </c>
      <c r="E841" s="730" t="s">
        <v>5873</v>
      </c>
      <c r="F841" s="558" t="s">
        <v>5771</v>
      </c>
      <c r="G841" s="558" t="s">
        <v>63</v>
      </c>
      <c r="H841" s="558" t="s">
        <v>2753</v>
      </c>
      <c r="I841" s="679" t="s">
        <v>22</v>
      </c>
      <c r="J841" s="676" t="s">
        <v>5873</v>
      </c>
      <c r="K841" s="676">
        <v>346000</v>
      </c>
      <c r="M841" t="str">
        <f>""</f>
        <v/>
      </c>
    </row>
    <row r="842" spans="1:13" ht="15.75">
      <c r="A842">
        <v>2017</v>
      </c>
      <c r="B842" s="777">
        <v>42802</v>
      </c>
      <c r="C842" s="730">
        <v>0.39583333333333331</v>
      </c>
      <c r="D842" s="777">
        <v>42805</v>
      </c>
      <c r="E842" s="730">
        <v>0.20833333333333334</v>
      </c>
      <c r="F842" s="558" t="s">
        <v>2989</v>
      </c>
      <c r="G842" s="558" t="s">
        <v>826</v>
      </c>
      <c r="H842" s="558" t="s">
        <v>2753</v>
      </c>
      <c r="I842" s="679" t="s">
        <v>22</v>
      </c>
      <c r="J842" s="676" t="s">
        <v>5873</v>
      </c>
      <c r="K842" s="676">
        <v>343000</v>
      </c>
      <c r="M842" t="str">
        <f>""</f>
        <v/>
      </c>
    </row>
    <row r="843" spans="1:13" ht="15.75">
      <c r="A843" s="728">
        <v>2010</v>
      </c>
      <c r="B843" s="777">
        <v>40428</v>
      </c>
      <c r="C843" s="730">
        <v>0.58472222222222225</v>
      </c>
      <c r="D843" s="777">
        <v>40429</v>
      </c>
      <c r="E843" s="730">
        <v>6.0416666666666667E-2</v>
      </c>
      <c r="F843" s="558" t="s">
        <v>1763</v>
      </c>
      <c r="G843" s="558" t="s">
        <v>1352</v>
      </c>
      <c r="H843" s="558" t="s">
        <v>5873</v>
      </c>
      <c r="I843" s="679" t="s">
        <v>1256</v>
      </c>
      <c r="J843" s="676" t="s">
        <v>5873</v>
      </c>
      <c r="K843" s="676">
        <v>340350</v>
      </c>
      <c r="M843" t="str">
        <f>""</f>
        <v/>
      </c>
    </row>
    <row r="844" spans="1:13" ht="15.75">
      <c r="A844">
        <v>2019</v>
      </c>
      <c r="B844" s="777">
        <v>43632</v>
      </c>
      <c r="C844" s="730">
        <v>8.3333333333333329E-2</v>
      </c>
      <c r="D844" s="777">
        <v>43633</v>
      </c>
      <c r="E844" s="730">
        <v>0.99930555555555556</v>
      </c>
      <c r="F844" s="558" t="s">
        <v>3816</v>
      </c>
      <c r="G844" s="558" t="s">
        <v>1352</v>
      </c>
      <c r="H844" s="558" t="s">
        <v>3451</v>
      </c>
      <c r="I844" s="679" t="s">
        <v>22</v>
      </c>
      <c r="J844" s="676" t="s">
        <v>5873</v>
      </c>
      <c r="K844" s="676">
        <v>340000</v>
      </c>
      <c r="M844" t="str">
        <f>""</f>
        <v/>
      </c>
    </row>
    <row r="845" spans="1:13" ht="15.75">
      <c r="A845">
        <v>2020</v>
      </c>
      <c r="B845" s="777">
        <v>43930</v>
      </c>
      <c r="C845" s="730">
        <v>0.81944444444444442</v>
      </c>
      <c r="D845" s="777">
        <v>43932</v>
      </c>
      <c r="E845" s="730">
        <v>0.91666666666666663</v>
      </c>
      <c r="F845" s="558" t="s">
        <v>2959</v>
      </c>
      <c r="G845" s="558" t="s">
        <v>61</v>
      </c>
      <c r="H845" s="558" t="s">
        <v>3451</v>
      </c>
      <c r="I845" s="679" t="s">
        <v>22</v>
      </c>
      <c r="J845" s="676" t="s">
        <v>5873</v>
      </c>
      <c r="K845" s="676">
        <v>340000</v>
      </c>
      <c r="M845" t="str">
        <f>""</f>
        <v/>
      </c>
    </row>
    <row r="846" spans="1:13" ht="15.75">
      <c r="A846">
        <v>2020</v>
      </c>
      <c r="B846" s="777">
        <v>44046</v>
      </c>
      <c r="C846" s="730">
        <v>0.96875</v>
      </c>
      <c r="D846" s="777">
        <v>44049</v>
      </c>
      <c r="E846" s="730">
        <v>0.29166666666666669</v>
      </c>
      <c r="F846" s="558" t="s">
        <v>2832</v>
      </c>
      <c r="G846" s="558" t="s">
        <v>63</v>
      </c>
      <c r="H846" s="558" t="s">
        <v>3451</v>
      </c>
      <c r="I846" s="679" t="s">
        <v>22</v>
      </c>
      <c r="J846" s="676" t="s">
        <v>5873</v>
      </c>
      <c r="K846" s="676">
        <v>340000</v>
      </c>
      <c r="M846" t="str">
        <f>""</f>
        <v/>
      </c>
    </row>
    <row r="847" spans="1:13" ht="15.75">
      <c r="A847">
        <v>2012</v>
      </c>
      <c r="B847" s="777">
        <v>41114.3125</v>
      </c>
      <c r="C847" s="730">
        <v>41114.3125</v>
      </c>
      <c r="D847" s="777">
        <v>41114.916666666664</v>
      </c>
      <c r="E847" s="730">
        <v>41114.916666666664</v>
      </c>
      <c r="F847" s="558" t="s">
        <v>156</v>
      </c>
      <c r="G847" s="558" t="s">
        <v>826</v>
      </c>
      <c r="H847" s="558" t="s">
        <v>5873</v>
      </c>
      <c r="I847" s="679" t="s">
        <v>2368</v>
      </c>
      <c r="J847" s="676" t="s">
        <v>5873</v>
      </c>
      <c r="K847" s="676">
        <v>330000</v>
      </c>
      <c r="M847" t="str">
        <f>""</f>
        <v/>
      </c>
    </row>
    <row r="848" spans="1:13" ht="15.75">
      <c r="A848">
        <v>2017</v>
      </c>
      <c r="B848" s="777">
        <v>42972</v>
      </c>
      <c r="C848" s="730">
        <v>0.77083333333333337</v>
      </c>
      <c r="D848" s="777">
        <v>42983</v>
      </c>
      <c r="E848" s="730">
        <v>0.70833333333333337</v>
      </c>
      <c r="F848" s="558" t="s">
        <v>2919</v>
      </c>
      <c r="G848" s="558" t="s">
        <v>1352</v>
      </c>
      <c r="H848" s="558" t="s">
        <v>2753</v>
      </c>
      <c r="I848" s="679" t="s">
        <v>22</v>
      </c>
      <c r="J848" s="676" t="s">
        <v>5873</v>
      </c>
      <c r="K848" s="676">
        <v>330000</v>
      </c>
      <c r="M848" t="str">
        <f>""</f>
        <v/>
      </c>
    </row>
    <row r="849" spans="1:13" ht="15.75">
      <c r="A849">
        <v>2013</v>
      </c>
      <c r="B849" s="777">
        <v>41595</v>
      </c>
      <c r="C849" s="730">
        <v>0.29166666666666669</v>
      </c>
      <c r="D849" s="777">
        <v>41598</v>
      </c>
      <c r="E849" s="730">
        <v>0.78749999999999998</v>
      </c>
      <c r="F849" s="558" t="s">
        <v>1833</v>
      </c>
      <c r="G849" s="558" t="s">
        <v>826</v>
      </c>
      <c r="H849" s="558" t="s">
        <v>5873</v>
      </c>
      <c r="I849" s="679" t="s">
        <v>2620</v>
      </c>
      <c r="J849" s="676" t="s">
        <v>5873</v>
      </c>
      <c r="K849" s="676">
        <v>325325</v>
      </c>
      <c r="M849" t="str">
        <f>""</f>
        <v/>
      </c>
    </row>
    <row r="850" spans="1:13" ht="15.75">
      <c r="A850">
        <v>2012</v>
      </c>
      <c r="B850" s="777">
        <v>41125.729166666664</v>
      </c>
      <c r="C850" s="730">
        <v>41125.729166666664</v>
      </c>
      <c r="D850" s="777">
        <v>41126.506944444445</v>
      </c>
      <c r="E850" s="730">
        <v>41126.506944444445</v>
      </c>
      <c r="F850" s="558" t="s">
        <v>2406</v>
      </c>
      <c r="G850" s="558" t="s">
        <v>826</v>
      </c>
      <c r="H850" s="558" t="s">
        <v>5873</v>
      </c>
      <c r="I850" s="679" t="s">
        <v>2368</v>
      </c>
      <c r="J850" s="676" t="s">
        <v>5873</v>
      </c>
      <c r="K850" s="676">
        <v>325000</v>
      </c>
      <c r="M850" t="str">
        <f>""</f>
        <v/>
      </c>
    </row>
    <row r="851" spans="1:13" ht="15.75">
      <c r="A851">
        <v>2018</v>
      </c>
      <c r="B851" s="777">
        <v>43161</v>
      </c>
      <c r="C851" s="730">
        <v>0.57708333333333328</v>
      </c>
      <c r="D851" s="777">
        <v>43164</v>
      </c>
      <c r="E851" s="730">
        <v>0.5541666666666667</v>
      </c>
      <c r="F851" s="558" t="s">
        <v>2834</v>
      </c>
      <c r="G851" s="558" t="s">
        <v>61</v>
      </c>
      <c r="H851" s="558" t="s">
        <v>2753</v>
      </c>
      <c r="I851" s="679" t="s">
        <v>22</v>
      </c>
      <c r="J851" s="676" t="s">
        <v>5873</v>
      </c>
      <c r="K851" s="676">
        <v>325000</v>
      </c>
      <c r="M851" t="str">
        <f>""</f>
        <v/>
      </c>
    </row>
    <row r="852" spans="1:13" ht="15.75">
      <c r="A852">
        <v>2018</v>
      </c>
      <c r="B852" s="777">
        <v>43356</v>
      </c>
      <c r="C852" s="730">
        <v>0.85416666666666663</v>
      </c>
      <c r="D852" s="777">
        <v>43362</v>
      </c>
      <c r="E852" s="730">
        <v>0.70833333333333337</v>
      </c>
      <c r="F852" s="558" t="s">
        <v>2928</v>
      </c>
      <c r="G852" s="558" t="s">
        <v>63</v>
      </c>
      <c r="H852" s="558" t="s">
        <v>3451</v>
      </c>
      <c r="I852" s="679" t="s">
        <v>22</v>
      </c>
      <c r="J852" s="676">
        <v>300</v>
      </c>
      <c r="K852" s="676">
        <v>325000</v>
      </c>
      <c r="M852" t="str">
        <f>""</f>
        <v/>
      </c>
    </row>
    <row r="853" spans="1:13" ht="15.75">
      <c r="A853">
        <v>2014</v>
      </c>
      <c r="B853" s="777">
        <v>41887</v>
      </c>
      <c r="C853" s="730">
        <v>0.83333333333333337</v>
      </c>
      <c r="D853" s="777" t="s">
        <v>5873</v>
      </c>
      <c r="E853" s="730" t="s">
        <v>5873</v>
      </c>
      <c r="F853" s="558" t="s">
        <v>1833</v>
      </c>
      <c r="G853" s="558" t="s">
        <v>826</v>
      </c>
      <c r="H853" s="558" t="s">
        <v>5873</v>
      </c>
      <c r="I853" s="679" t="s">
        <v>2368</v>
      </c>
      <c r="J853" s="676" t="s">
        <v>5873</v>
      </c>
      <c r="K853" s="676">
        <v>324000</v>
      </c>
      <c r="M853" t="str">
        <f>""</f>
        <v/>
      </c>
    </row>
    <row r="854" spans="1:13" ht="15.75">
      <c r="A854">
        <v>2012</v>
      </c>
      <c r="B854" s="777">
        <v>41091.541666666664</v>
      </c>
      <c r="C854" s="730">
        <v>41091.541666666664</v>
      </c>
      <c r="D854" s="777">
        <v>41093.625</v>
      </c>
      <c r="E854" s="730">
        <v>41093.625</v>
      </c>
      <c r="F854" s="558" t="s">
        <v>33</v>
      </c>
      <c r="G854" s="558" t="s">
        <v>826</v>
      </c>
      <c r="H854" s="558" t="s">
        <v>5873</v>
      </c>
      <c r="I854" s="679" t="s">
        <v>2368</v>
      </c>
      <c r="J854" s="676" t="s">
        <v>5873</v>
      </c>
      <c r="K854" s="676">
        <v>320000</v>
      </c>
      <c r="M854" t="str">
        <f>""</f>
        <v/>
      </c>
    </row>
    <row r="855" spans="1:13" ht="15.75">
      <c r="A855">
        <v>2021</v>
      </c>
      <c r="B855" s="777">
        <v>44208</v>
      </c>
      <c r="C855" s="730">
        <v>0.99305555555555558</v>
      </c>
      <c r="D855" s="777">
        <v>44211</v>
      </c>
      <c r="E855" s="730">
        <v>0.54166666666666663</v>
      </c>
      <c r="F855" s="558" t="s">
        <v>4654</v>
      </c>
      <c r="G855" s="558" t="s">
        <v>124</v>
      </c>
      <c r="H855" s="558" t="s">
        <v>4071</v>
      </c>
      <c r="I855" s="679" t="s">
        <v>22</v>
      </c>
      <c r="J855" s="676">
        <v>100</v>
      </c>
      <c r="K855" s="676">
        <v>320000</v>
      </c>
      <c r="M855" t="str">
        <f>""</f>
        <v/>
      </c>
    </row>
    <row r="856" spans="1:13" ht="15.75">
      <c r="A856">
        <v>2011</v>
      </c>
      <c r="B856" s="777">
        <v>40807</v>
      </c>
      <c r="C856" s="730">
        <v>0.60902777777777772</v>
      </c>
      <c r="D856" s="777">
        <v>40807</v>
      </c>
      <c r="E856" s="730">
        <v>0.65763888888888888</v>
      </c>
      <c r="F856" s="558" t="s">
        <v>2271</v>
      </c>
      <c r="G856" s="558" t="s">
        <v>5873</v>
      </c>
      <c r="H856" s="558" t="s">
        <v>5873</v>
      </c>
      <c r="I856" s="679" t="s">
        <v>2302</v>
      </c>
      <c r="J856" s="676">
        <v>600</v>
      </c>
      <c r="K856" s="676">
        <v>319616</v>
      </c>
      <c r="M856" t="str">
        <f>""</f>
        <v/>
      </c>
    </row>
    <row r="857" spans="1:13" ht="15.75">
      <c r="A857">
        <v>2021</v>
      </c>
      <c r="B857" s="777">
        <v>44418</v>
      </c>
      <c r="C857" s="730">
        <v>0.85416666666666663</v>
      </c>
      <c r="D857" s="777">
        <v>44419</v>
      </c>
      <c r="E857" s="730">
        <v>0.79166666666666663</v>
      </c>
      <c r="F857" s="558" t="s">
        <v>3461</v>
      </c>
      <c r="G857" s="558" t="s">
        <v>4903</v>
      </c>
      <c r="H857" s="558" t="s">
        <v>2753</v>
      </c>
      <c r="I857" s="679" t="s">
        <v>22</v>
      </c>
      <c r="J857" s="676" t="s">
        <v>5873</v>
      </c>
      <c r="K857" s="676">
        <v>318761</v>
      </c>
      <c r="M857" t="str">
        <f>""</f>
        <v/>
      </c>
    </row>
    <row r="858" spans="1:13" ht="15.75">
      <c r="A858">
        <v>2018</v>
      </c>
      <c r="B858" s="777">
        <v>43429</v>
      </c>
      <c r="C858" s="730">
        <v>0.9375</v>
      </c>
      <c r="D858" s="777">
        <v>43432</v>
      </c>
      <c r="E858" s="730">
        <v>0.84513888888888888</v>
      </c>
      <c r="F858" s="558" t="s">
        <v>3568</v>
      </c>
      <c r="G858" s="558" t="s">
        <v>63</v>
      </c>
      <c r="H858" s="558" t="s">
        <v>3451</v>
      </c>
      <c r="I858" s="679" t="s">
        <v>22</v>
      </c>
      <c r="J858" s="676" t="s">
        <v>5873</v>
      </c>
      <c r="K858" s="676">
        <v>313448</v>
      </c>
      <c r="M858" t="str">
        <f>""</f>
        <v/>
      </c>
    </row>
    <row r="859" spans="1:13" ht="15.75">
      <c r="A859">
        <v>2011</v>
      </c>
      <c r="B859" s="777">
        <v>40845</v>
      </c>
      <c r="C859" s="730">
        <v>0.37430555555555556</v>
      </c>
      <c r="D859" s="777">
        <v>40854</v>
      </c>
      <c r="E859" s="730">
        <v>0.83194444444444449</v>
      </c>
      <c r="F859" s="558" t="s">
        <v>171</v>
      </c>
      <c r="G859" s="558" t="s">
        <v>826</v>
      </c>
      <c r="H859" s="558" t="s">
        <v>5873</v>
      </c>
      <c r="I859" s="679" t="s">
        <v>22</v>
      </c>
      <c r="J859" s="676" t="s">
        <v>5873</v>
      </c>
      <c r="K859" s="676">
        <v>312359</v>
      </c>
      <c r="M859" t="str">
        <f>""</f>
        <v/>
      </c>
    </row>
    <row r="860" spans="1:13" ht="15.75">
      <c r="A860">
        <v>2017</v>
      </c>
      <c r="B860" s="777">
        <v>43037</v>
      </c>
      <c r="C860" s="730">
        <v>0.98611111111111116</v>
      </c>
      <c r="D860" s="777">
        <v>43040</v>
      </c>
      <c r="E860" s="730">
        <v>0.75555555555555554</v>
      </c>
      <c r="F860" s="558" t="s">
        <v>3139</v>
      </c>
      <c r="G860" s="558" t="s">
        <v>61</v>
      </c>
      <c r="H860" s="558" t="s">
        <v>2753</v>
      </c>
      <c r="I860" s="679" t="s">
        <v>22</v>
      </c>
      <c r="J860" s="676" t="s">
        <v>5873</v>
      </c>
      <c r="K860" s="676">
        <v>310453</v>
      </c>
      <c r="M860" t="str">
        <f>""</f>
        <v/>
      </c>
    </row>
    <row r="861" spans="1:13" ht="15.75">
      <c r="A861">
        <v>2011</v>
      </c>
      <c r="B861" s="777">
        <v>40637</v>
      </c>
      <c r="C861" s="730">
        <v>0.875</v>
      </c>
      <c r="D861" s="777">
        <v>40638</v>
      </c>
      <c r="E861" s="730">
        <v>0.97916666666666663</v>
      </c>
      <c r="F861" s="558" t="s">
        <v>2168</v>
      </c>
      <c r="G861" s="558" t="s">
        <v>63</v>
      </c>
      <c r="H861" s="558" t="s">
        <v>5873</v>
      </c>
      <c r="I861" s="679" t="s">
        <v>22</v>
      </c>
      <c r="J861" s="676">
        <v>674</v>
      </c>
      <c r="K861" s="676">
        <v>303434</v>
      </c>
      <c r="M861" t="str">
        <f>""</f>
        <v/>
      </c>
    </row>
    <row r="862" spans="1:13" ht="15.75">
      <c r="A862">
        <v>2017</v>
      </c>
      <c r="B862" s="777">
        <v>43077</v>
      </c>
      <c r="C862" s="730">
        <v>0.41666666666666669</v>
      </c>
      <c r="D862" s="777">
        <v>43079</v>
      </c>
      <c r="E862" s="730">
        <v>0.86805555555555558</v>
      </c>
      <c r="F862" s="558" t="s">
        <v>3167</v>
      </c>
      <c r="G862" s="558" t="s">
        <v>63</v>
      </c>
      <c r="H862" s="558" t="s">
        <v>2753</v>
      </c>
      <c r="I862" s="679" t="s">
        <v>22</v>
      </c>
      <c r="J862" s="676">
        <v>865</v>
      </c>
      <c r="K862" s="676">
        <v>301872</v>
      </c>
      <c r="M862" t="str">
        <f>""</f>
        <v/>
      </c>
    </row>
    <row r="863" spans="1:13" ht="15.75">
      <c r="A863">
        <v>2021</v>
      </c>
      <c r="B863" s="777">
        <v>44239</v>
      </c>
      <c r="C863" s="730">
        <v>0.875</v>
      </c>
      <c r="D863" s="777">
        <v>44247</v>
      </c>
      <c r="E863" s="730">
        <v>0.71875</v>
      </c>
      <c r="F863" s="558" t="s">
        <v>4706</v>
      </c>
      <c r="G863" s="558" t="s">
        <v>124</v>
      </c>
      <c r="H863" s="558" t="s">
        <v>3451</v>
      </c>
      <c r="I863" s="679" t="s">
        <v>22</v>
      </c>
      <c r="J863" s="676" t="s">
        <v>5873</v>
      </c>
      <c r="K863" s="676">
        <v>300187</v>
      </c>
      <c r="M863" t="str">
        <f>""</f>
        <v/>
      </c>
    </row>
    <row r="864" spans="1:13" ht="15.75">
      <c r="A864" s="728">
        <v>2010</v>
      </c>
      <c r="B864" s="777">
        <v>40352</v>
      </c>
      <c r="C864" s="730">
        <v>0.70833333333333337</v>
      </c>
      <c r="D864" s="777">
        <v>40354</v>
      </c>
      <c r="E864" s="730">
        <v>0.56944444444444442</v>
      </c>
      <c r="F864" s="558" t="s">
        <v>1958</v>
      </c>
      <c r="G864" s="558" t="s">
        <v>826</v>
      </c>
      <c r="H864" s="558" t="s">
        <v>5873</v>
      </c>
      <c r="I864" s="679" t="s">
        <v>22</v>
      </c>
      <c r="J864" s="676" t="s">
        <v>5873</v>
      </c>
      <c r="K864" s="676">
        <v>300000</v>
      </c>
      <c r="M864" t="str">
        <f>""</f>
        <v/>
      </c>
    </row>
    <row r="865" spans="1:13" ht="15.75">
      <c r="A865">
        <v>2011</v>
      </c>
      <c r="B865" s="777">
        <v>40715</v>
      </c>
      <c r="C865" s="730">
        <v>0.90625</v>
      </c>
      <c r="D865" s="777">
        <v>40717</v>
      </c>
      <c r="E865" s="730">
        <v>8.3333333333333329E-2</v>
      </c>
      <c r="F865" s="558" t="s">
        <v>33</v>
      </c>
      <c r="G865" s="558" t="s">
        <v>826</v>
      </c>
      <c r="H865" s="558" t="s">
        <v>5873</v>
      </c>
      <c r="I865" s="679" t="s">
        <v>106</v>
      </c>
      <c r="J865" s="676" t="s">
        <v>5873</v>
      </c>
      <c r="K865" s="676">
        <v>300000</v>
      </c>
      <c r="M865" t="str">
        <f>""</f>
        <v/>
      </c>
    </row>
    <row r="866" spans="1:13" ht="15.75">
      <c r="A866">
        <v>2015</v>
      </c>
      <c r="B866" s="777">
        <v>42300</v>
      </c>
      <c r="C866" s="730">
        <v>0.40416666666666667</v>
      </c>
      <c r="D866" s="777">
        <v>42300</v>
      </c>
      <c r="E866" s="730">
        <v>0.55972222222222223</v>
      </c>
      <c r="F866" s="558" t="s">
        <v>2271</v>
      </c>
      <c r="G866" s="558" t="s">
        <v>5873</v>
      </c>
      <c r="H866" s="558" t="s">
        <v>2806</v>
      </c>
      <c r="I866" s="679" t="s">
        <v>2764</v>
      </c>
      <c r="J866" s="676">
        <v>500</v>
      </c>
      <c r="K866" s="676">
        <v>300000</v>
      </c>
      <c r="M866" t="str">
        <f>""</f>
        <v/>
      </c>
    </row>
    <row r="867" spans="1:13" ht="15.75">
      <c r="A867">
        <v>2015</v>
      </c>
      <c r="B867" s="777">
        <v>42325</v>
      </c>
      <c r="C867" s="730">
        <v>0.41666666666666669</v>
      </c>
      <c r="D867" s="777" t="s">
        <v>5873</v>
      </c>
      <c r="E867" s="730" t="s">
        <v>5873</v>
      </c>
      <c r="F867" s="558" t="s">
        <v>2575</v>
      </c>
      <c r="G867" s="558" t="s">
        <v>124</v>
      </c>
      <c r="H867" s="558" t="s">
        <v>2753</v>
      </c>
      <c r="I867" s="679" t="s">
        <v>22</v>
      </c>
      <c r="J867" s="676" t="s">
        <v>5873</v>
      </c>
      <c r="K867" s="676">
        <v>300000</v>
      </c>
      <c r="M867" t="str">
        <f>""</f>
        <v/>
      </c>
    </row>
    <row r="868" spans="1:13" ht="15.75">
      <c r="A868">
        <v>2018</v>
      </c>
      <c r="B868" s="777">
        <v>43224</v>
      </c>
      <c r="C868" s="730">
        <v>0.5</v>
      </c>
      <c r="D868" s="777">
        <v>43226</v>
      </c>
      <c r="E868" s="730">
        <v>0.54166666666666663</v>
      </c>
      <c r="F868" s="558" t="s">
        <v>3307</v>
      </c>
      <c r="G868" s="558" t="s">
        <v>3143</v>
      </c>
      <c r="H868" s="558" t="s">
        <v>2753</v>
      </c>
      <c r="I868" s="679" t="s">
        <v>22</v>
      </c>
      <c r="J868" s="676" t="s">
        <v>5873</v>
      </c>
      <c r="K868" s="676">
        <v>300000</v>
      </c>
      <c r="M868" t="str">
        <f>""</f>
        <v/>
      </c>
    </row>
    <row r="869" spans="1:13" ht="15.75">
      <c r="A869">
        <v>2020</v>
      </c>
      <c r="B869" s="777">
        <v>44053</v>
      </c>
      <c r="C869" s="730">
        <v>0.41666666666666669</v>
      </c>
      <c r="D869" s="777" t="s">
        <v>5873</v>
      </c>
      <c r="E869" s="730" t="s">
        <v>5873</v>
      </c>
      <c r="F869" s="558" t="s">
        <v>4400</v>
      </c>
      <c r="G869" s="558" t="s">
        <v>674</v>
      </c>
      <c r="H869" s="558" t="s">
        <v>3451</v>
      </c>
      <c r="I869" s="679" t="s">
        <v>22</v>
      </c>
      <c r="J869" s="676">
        <v>950</v>
      </c>
      <c r="K869" s="676">
        <v>300000</v>
      </c>
      <c r="M869" t="str">
        <f>""</f>
        <v/>
      </c>
    </row>
    <row r="870" spans="1:13" ht="15.75">
      <c r="A870">
        <v>2020</v>
      </c>
      <c r="B870" s="777">
        <v>44059</v>
      </c>
      <c r="C870" s="730">
        <v>0.83333333333333337</v>
      </c>
      <c r="D870" s="777">
        <v>44061</v>
      </c>
      <c r="E870" s="730">
        <v>0.875</v>
      </c>
      <c r="F870" s="558" t="s">
        <v>4421</v>
      </c>
      <c r="G870" s="558" t="s">
        <v>1352</v>
      </c>
      <c r="H870" s="558" t="s">
        <v>3451</v>
      </c>
      <c r="I870" s="679" t="s">
        <v>22</v>
      </c>
      <c r="J870" s="676" t="s">
        <v>5873</v>
      </c>
      <c r="K870" s="676">
        <v>300000</v>
      </c>
      <c r="M870" t="str">
        <f>""</f>
        <v/>
      </c>
    </row>
    <row r="871" spans="1:13" ht="15.75">
      <c r="A871">
        <v>2014</v>
      </c>
      <c r="B871" s="777">
        <v>41823</v>
      </c>
      <c r="C871" s="730">
        <v>0.75</v>
      </c>
      <c r="D871" s="777">
        <v>41826</v>
      </c>
      <c r="E871" s="730">
        <v>0.5</v>
      </c>
      <c r="F871" s="558" t="s">
        <v>171</v>
      </c>
      <c r="G871" s="558" t="s">
        <v>826</v>
      </c>
      <c r="H871" s="558" t="s">
        <v>5873</v>
      </c>
      <c r="I871" s="679" t="s">
        <v>2368</v>
      </c>
      <c r="J871" s="676" t="s">
        <v>5873</v>
      </c>
      <c r="K871" s="676">
        <v>298165</v>
      </c>
      <c r="M871" t="str">
        <f>""</f>
        <v/>
      </c>
    </row>
    <row r="872" spans="1:13" ht="15.75">
      <c r="A872" s="728">
        <v>2010</v>
      </c>
      <c r="B872" s="777">
        <v>40384</v>
      </c>
      <c r="C872" s="730">
        <v>0.63194444444444442</v>
      </c>
      <c r="D872" s="777">
        <v>40389</v>
      </c>
      <c r="E872" s="730">
        <v>0.97916666666666663</v>
      </c>
      <c r="F872" s="558" t="s">
        <v>1997</v>
      </c>
      <c r="G872" s="558" t="s">
        <v>826</v>
      </c>
      <c r="H872" s="558" t="s">
        <v>5873</v>
      </c>
      <c r="I872" s="679" t="s">
        <v>22</v>
      </c>
      <c r="J872" s="676" t="s">
        <v>5873</v>
      </c>
      <c r="K872" s="676">
        <v>297700</v>
      </c>
      <c r="M872" t="str">
        <f>""</f>
        <v/>
      </c>
    </row>
    <row r="873" spans="1:13" ht="15.75">
      <c r="A873">
        <v>2022</v>
      </c>
      <c r="B873" s="777">
        <v>44919</v>
      </c>
      <c r="C873" s="730">
        <v>0.19791666666666666</v>
      </c>
      <c r="D873" s="777">
        <v>44919</v>
      </c>
      <c r="E873" s="730">
        <v>0.65625</v>
      </c>
      <c r="F873" s="558" t="s">
        <v>2832</v>
      </c>
      <c r="G873" s="558" t="s">
        <v>63</v>
      </c>
      <c r="H873" s="558" t="s">
        <v>3750</v>
      </c>
      <c r="I873" s="679" t="s">
        <v>22</v>
      </c>
      <c r="J873" s="676">
        <v>1000</v>
      </c>
      <c r="K873" s="676">
        <v>295000</v>
      </c>
      <c r="M873" t="str">
        <f>""</f>
        <v/>
      </c>
    </row>
    <row r="874" spans="1:13" ht="15.75">
      <c r="A874">
        <v>2022</v>
      </c>
      <c r="B874" s="777">
        <v>44832</v>
      </c>
      <c r="C874" s="730">
        <v>0.625</v>
      </c>
      <c r="D874" s="777" t="s">
        <v>5873</v>
      </c>
      <c r="E874" s="730" t="s">
        <v>5873</v>
      </c>
      <c r="F874" s="558" t="s">
        <v>5533</v>
      </c>
      <c r="G874" s="558" t="s">
        <v>63</v>
      </c>
      <c r="H874" s="558" t="s">
        <v>2753</v>
      </c>
      <c r="I874" s="679" t="s">
        <v>22</v>
      </c>
      <c r="J874" s="676">
        <v>750</v>
      </c>
      <c r="K874" s="676">
        <v>291361</v>
      </c>
      <c r="M874" t="str">
        <f>""</f>
        <v/>
      </c>
    </row>
    <row r="875" spans="1:13" ht="15.75">
      <c r="A875">
        <v>2016</v>
      </c>
      <c r="B875" s="777">
        <v>42651</v>
      </c>
      <c r="C875" s="730">
        <v>4.8611111111111112E-2</v>
      </c>
      <c r="D875" s="777" t="s">
        <v>5873</v>
      </c>
      <c r="E875" s="730" t="s">
        <v>5873</v>
      </c>
      <c r="F875" s="558" t="s">
        <v>2896</v>
      </c>
      <c r="G875" s="558" t="s">
        <v>63</v>
      </c>
      <c r="H875" s="558" t="s">
        <v>2753</v>
      </c>
      <c r="I875" s="679" t="s">
        <v>22</v>
      </c>
      <c r="J875" s="676">
        <v>1050</v>
      </c>
      <c r="K875" s="676">
        <v>290824</v>
      </c>
      <c r="M875" t="str">
        <f>""</f>
        <v/>
      </c>
    </row>
    <row r="876" spans="1:13" ht="15.75">
      <c r="A876" s="728">
        <v>2010</v>
      </c>
      <c r="B876" s="777">
        <v>40268</v>
      </c>
      <c r="C876" s="730">
        <v>0.99930555555555556</v>
      </c>
      <c r="D876" s="777">
        <v>40269</v>
      </c>
      <c r="E876" s="730">
        <v>3.8194444444444448E-2</v>
      </c>
      <c r="F876" s="558" t="s">
        <v>1852</v>
      </c>
      <c r="G876" s="558" t="s">
        <v>124</v>
      </c>
      <c r="H876" s="558" t="s">
        <v>5873</v>
      </c>
      <c r="I876" s="679" t="s">
        <v>973</v>
      </c>
      <c r="J876" s="676">
        <v>324</v>
      </c>
      <c r="K876" s="676">
        <v>290000</v>
      </c>
      <c r="M876" t="str">
        <f>""</f>
        <v/>
      </c>
    </row>
    <row r="877" spans="1:13" ht="15.75">
      <c r="A877">
        <v>2011</v>
      </c>
      <c r="B877" s="777">
        <v>40782</v>
      </c>
      <c r="C877" s="730">
        <v>0.12291666666666666</v>
      </c>
      <c r="D877" s="777">
        <v>40784</v>
      </c>
      <c r="E877" s="730">
        <v>0.97916666666666663</v>
      </c>
      <c r="F877" s="558" t="s">
        <v>230</v>
      </c>
      <c r="G877" s="558" t="s">
        <v>63</v>
      </c>
      <c r="H877" s="558" t="s">
        <v>5873</v>
      </c>
      <c r="I877" s="679" t="s">
        <v>22</v>
      </c>
      <c r="J877" s="676" t="s">
        <v>5873</v>
      </c>
      <c r="K877" s="676">
        <v>285465</v>
      </c>
      <c r="M877" t="str">
        <f>""</f>
        <v/>
      </c>
    </row>
    <row r="878" spans="1:13" ht="15.75">
      <c r="A878" s="728">
        <v>2010</v>
      </c>
      <c r="B878" s="777">
        <v>40478</v>
      </c>
      <c r="C878" s="730">
        <v>0.33333333333333331</v>
      </c>
      <c r="D878" s="777">
        <v>40480</v>
      </c>
      <c r="E878" s="730">
        <v>0.29166666666666669</v>
      </c>
      <c r="F878" s="558" t="s">
        <v>2062</v>
      </c>
      <c r="G878" s="558" t="s">
        <v>826</v>
      </c>
      <c r="H878" s="558" t="s">
        <v>5873</v>
      </c>
      <c r="I878" s="679" t="s">
        <v>264</v>
      </c>
      <c r="J878" s="676">
        <v>240</v>
      </c>
      <c r="K878" s="676">
        <v>285000</v>
      </c>
      <c r="M878" t="str">
        <f>""</f>
        <v/>
      </c>
    </row>
    <row r="879" spans="1:13" ht="15.75">
      <c r="A879">
        <v>2016</v>
      </c>
      <c r="B879" s="777">
        <v>42424</v>
      </c>
      <c r="C879" s="730">
        <v>0.61458333333333337</v>
      </c>
      <c r="D879" s="777">
        <v>42425</v>
      </c>
      <c r="E879" s="730">
        <v>0.20833333333333334</v>
      </c>
      <c r="F879" s="558" t="s">
        <v>2842</v>
      </c>
      <c r="G879" s="558" t="s">
        <v>63</v>
      </c>
      <c r="H879" s="558" t="s">
        <v>2753</v>
      </c>
      <c r="I879" s="679" t="s">
        <v>2828</v>
      </c>
      <c r="J879" s="676">
        <v>400</v>
      </c>
      <c r="K879" s="676">
        <v>284610</v>
      </c>
      <c r="M879" t="str">
        <f>""</f>
        <v/>
      </c>
    </row>
    <row r="880" spans="1:13" ht="15.75">
      <c r="A880">
        <v>2020</v>
      </c>
      <c r="B880" s="777">
        <v>43867</v>
      </c>
      <c r="C880" s="730">
        <v>0.60347222222222219</v>
      </c>
      <c r="D880" s="777">
        <v>43868</v>
      </c>
      <c r="E880" s="730">
        <v>0.53055555555555556</v>
      </c>
      <c r="F880" s="558" t="s">
        <v>2928</v>
      </c>
      <c r="G880" s="558" t="s">
        <v>63</v>
      </c>
      <c r="H880" s="558" t="s">
        <v>3451</v>
      </c>
      <c r="I880" s="679" t="s">
        <v>3768</v>
      </c>
      <c r="J880" s="676" t="s">
        <v>5873</v>
      </c>
      <c r="K880" s="676">
        <v>284256</v>
      </c>
      <c r="M880" t="str">
        <f>""</f>
        <v/>
      </c>
    </row>
    <row r="881" spans="1:13" ht="15.75">
      <c r="A881">
        <v>2011</v>
      </c>
      <c r="B881" s="777">
        <v>40783</v>
      </c>
      <c r="C881" s="730">
        <v>0.12361111111111112</v>
      </c>
      <c r="D881" s="777">
        <v>40785</v>
      </c>
      <c r="E881" s="730">
        <v>0.12361111111111112</v>
      </c>
      <c r="F881" s="558" t="s">
        <v>2286</v>
      </c>
      <c r="G881" s="558" t="s">
        <v>826</v>
      </c>
      <c r="H881" s="558" t="s">
        <v>5873</v>
      </c>
      <c r="I881" s="679" t="s">
        <v>22</v>
      </c>
      <c r="J881" s="676">
        <v>110</v>
      </c>
      <c r="K881" s="676">
        <v>284000</v>
      </c>
      <c r="M881" t="str">
        <f>""</f>
        <v/>
      </c>
    </row>
    <row r="882" spans="1:13" ht="15.75">
      <c r="A882">
        <v>2013</v>
      </c>
      <c r="B882" s="777">
        <v>41449</v>
      </c>
      <c r="C882" s="730">
        <v>0.8125</v>
      </c>
      <c r="D882" s="777">
        <v>41450</v>
      </c>
      <c r="E882" s="730">
        <v>0.74027777777777781</v>
      </c>
      <c r="F882" s="558" t="s">
        <v>33</v>
      </c>
      <c r="G882" s="558" t="s">
        <v>826</v>
      </c>
      <c r="H882" s="558" t="s">
        <v>5873</v>
      </c>
      <c r="I882" s="679" t="s">
        <v>2368</v>
      </c>
      <c r="J882" s="676" t="s">
        <v>5873</v>
      </c>
      <c r="K882" s="676">
        <v>283451</v>
      </c>
      <c r="M882" t="str">
        <f>""</f>
        <v/>
      </c>
    </row>
    <row r="883" spans="1:13" ht="15.75">
      <c r="A883">
        <v>2013</v>
      </c>
      <c r="B883" s="777">
        <v>41438</v>
      </c>
      <c r="C883" s="730">
        <v>0.67222222222222228</v>
      </c>
      <c r="D883" s="777">
        <v>41439</v>
      </c>
      <c r="E883" s="730">
        <v>0.71944444444444444</v>
      </c>
      <c r="F883" s="558" t="s">
        <v>2548</v>
      </c>
      <c r="G883" s="558" t="s">
        <v>63</v>
      </c>
      <c r="H883" s="558" t="s">
        <v>5873</v>
      </c>
      <c r="I883" s="679" t="s">
        <v>2368</v>
      </c>
      <c r="J883" s="676">
        <v>900</v>
      </c>
      <c r="K883" s="676">
        <v>283000</v>
      </c>
      <c r="M883" t="str">
        <f>""</f>
        <v/>
      </c>
    </row>
    <row r="884" spans="1:13" ht="15.75">
      <c r="A884">
        <v>2015</v>
      </c>
      <c r="B884" s="777">
        <v>42111</v>
      </c>
      <c r="C884" s="730">
        <v>0.89583333333333337</v>
      </c>
      <c r="D884" s="777">
        <v>42113</v>
      </c>
      <c r="E884" s="730">
        <v>0.99305555555555558</v>
      </c>
      <c r="F884" s="558" t="s">
        <v>1098</v>
      </c>
      <c r="G884" s="558" t="s">
        <v>1352</v>
      </c>
      <c r="H884" s="558" t="s">
        <v>2753</v>
      </c>
      <c r="I884" s="679" t="s">
        <v>22</v>
      </c>
      <c r="J884" s="676" t="s">
        <v>5873</v>
      </c>
      <c r="K884" s="676">
        <v>280982</v>
      </c>
      <c r="M884" t="str">
        <f>""</f>
        <v/>
      </c>
    </row>
    <row r="885" spans="1:13" ht="15.75">
      <c r="A885">
        <v>2020</v>
      </c>
      <c r="B885" s="777">
        <v>43978</v>
      </c>
      <c r="C885" s="730">
        <v>0.72222222222222221</v>
      </c>
      <c r="D885" s="777" t="s">
        <v>5873</v>
      </c>
      <c r="E885" s="730" t="s">
        <v>5873</v>
      </c>
      <c r="F885" s="558" t="s">
        <v>2919</v>
      </c>
      <c r="G885" s="558" t="s">
        <v>1352</v>
      </c>
      <c r="H885" s="558" t="s">
        <v>3451</v>
      </c>
      <c r="I885" s="679" t="s">
        <v>22</v>
      </c>
      <c r="J885" s="676" t="s">
        <v>5873</v>
      </c>
      <c r="K885" s="676">
        <v>273269</v>
      </c>
      <c r="M885" t="str">
        <f>""</f>
        <v/>
      </c>
    </row>
    <row r="886" spans="1:13" ht="15.75">
      <c r="A886">
        <v>2011</v>
      </c>
      <c r="B886" s="777">
        <v>40574</v>
      </c>
      <c r="C886" s="730">
        <v>0.91666666666666663</v>
      </c>
      <c r="D886" s="777">
        <v>40577</v>
      </c>
      <c r="E886" s="730">
        <v>0.5</v>
      </c>
      <c r="F886" s="558" t="s">
        <v>2127</v>
      </c>
      <c r="G886" s="558" t="s">
        <v>826</v>
      </c>
      <c r="H886" s="558" t="s">
        <v>5873</v>
      </c>
      <c r="I886" s="679" t="s">
        <v>11</v>
      </c>
      <c r="J886" s="676">
        <v>996</v>
      </c>
      <c r="K886" s="676">
        <v>272880</v>
      </c>
      <c r="M886" t="str">
        <f>""</f>
        <v/>
      </c>
    </row>
    <row r="887" spans="1:13" ht="15.75">
      <c r="A887">
        <v>2020</v>
      </c>
      <c r="B887" s="777">
        <v>44170</v>
      </c>
      <c r="C887" s="730">
        <v>0.69444444444444442</v>
      </c>
      <c r="D887" s="777" t="s">
        <v>5873</v>
      </c>
      <c r="E887" s="730" t="s">
        <v>5873</v>
      </c>
      <c r="F887" s="558" t="s">
        <v>3264</v>
      </c>
      <c r="G887" s="558" t="s">
        <v>61</v>
      </c>
      <c r="H887" s="558" t="s">
        <v>3451</v>
      </c>
      <c r="I887" s="679" t="s">
        <v>22</v>
      </c>
      <c r="J887" s="676" t="s">
        <v>5873</v>
      </c>
      <c r="K887" s="676">
        <v>271231</v>
      </c>
      <c r="M887" t="str">
        <f>""</f>
        <v/>
      </c>
    </row>
    <row r="888" spans="1:13" ht="15.75">
      <c r="A888">
        <v>2020</v>
      </c>
      <c r="B888" s="777">
        <v>44047</v>
      </c>
      <c r="C888" s="730">
        <v>0.56319444444444444</v>
      </c>
      <c r="D888" s="777" t="s">
        <v>5873</v>
      </c>
      <c r="E888" s="730" t="s">
        <v>5873</v>
      </c>
      <c r="F888" s="558" t="s">
        <v>4377</v>
      </c>
      <c r="G888" s="558" t="s">
        <v>61</v>
      </c>
      <c r="H888" s="558" t="s">
        <v>3451</v>
      </c>
      <c r="I888" s="679" t="s">
        <v>22</v>
      </c>
      <c r="J888" s="676" t="s">
        <v>5873</v>
      </c>
      <c r="K888" s="676">
        <v>271119</v>
      </c>
      <c r="M888" t="str">
        <f>""</f>
        <v/>
      </c>
    </row>
    <row r="889" spans="1:13" ht="15.75">
      <c r="A889">
        <v>2012</v>
      </c>
      <c r="B889" s="777">
        <v>41211.666666666664</v>
      </c>
      <c r="C889" s="730">
        <v>41211.666666666664</v>
      </c>
      <c r="D889" s="777">
        <v>41220.991666666669</v>
      </c>
      <c r="E889" s="730">
        <v>41220.991666666669</v>
      </c>
      <c r="F889" s="558" t="s">
        <v>52</v>
      </c>
      <c r="G889" s="558" t="s">
        <v>826</v>
      </c>
      <c r="H889" s="558" t="s">
        <v>5873</v>
      </c>
      <c r="I889" s="679" t="s">
        <v>2448</v>
      </c>
      <c r="J889" s="676">
        <v>0</v>
      </c>
      <c r="K889" s="676">
        <v>270000</v>
      </c>
      <c r="M889" t="str">
        <f>""</f>
        <v/>
      </c>
    </row>
    <row r="890" spans="1:13" ht="15.75">
      <c r="A890">
        <v>2020</v>
      </c>
      <c r="B890" s="777">
        <v>43992</v>
      </c>
      <c r="C890" s="730">
        <v>0.51527777777777772</v>
      </c>
      <c r="D890" s="777">
        <v>43992</v>
      </c>
      <c r="E890" s="730">
        <v>0.70833333333333337</v>
      </c>
      <c r="F890" s="558" t="s">
        <v>4283</v>
      </c>
      <c r="G890" s="558" t="s">
        <v>3143</v>
      </c>
      <c r="H890" s="558" t="s">
        <v>3451</v>
      </c>
      <c r="I890" s="679" t="s">
        <v>22</v>
      </c>
      <c r="J890" s="676" t="s">
        <v>5873</v>
      </c>
      <c r="K890" s="676">
        <v>270000</v>
      </c>
      <c r="M890" t="str">
        <f>""</f>
        <v/>
      </c>
    </row>
    <row r="891" spans="1:13" ht="15.75">
      <c r="A891">
        <v>2016</v>
      </c>
      <c r="B891" s="777">
        <v>42572</v>
      </c>
      <c r="C891" s="730">
        <v>0.80625000000000002</v>
      </c>
      <c r="D891" s="777">
        <v>42573</v>
      </c>
      <c r="E891" s="730">
        <v>6.2500000000000003E-3</v>
      </c>
      <c r="F891" s="558" t="s">
        <v>2271</v>
      </c>
      <c r="G891" s="558" t="s">
        <v>472</v>
      </c>
      <c r="H891" s="558" t="s">
        <v>2887</v>
      </c>
      <c r="I891" s="679" t="s">
        <v>2764</v>
      </c>
      <c r="J891" s="676">
        <v>200</v>
      </c>
      <c r="K891" s="676">
        <v>266000</v>
      </c>
      <c r="M891" t="str">
        <f>""</f>
        <v/>
      </c>
    </row>
    <row r="892" spans="1:13" ht="15.75">
      <c r="A892">
        <v>2017</v>
      </c>
      <c r="B892" s="777">
        <v>42989</v>
      </c>
      <c r="C892" s="730">
        <v>0.72916666666666663</v>
      </c>
      <c r="D892" s="777">
        <v>42991</v>
      </c>
      <c r="E892" s="730">
        <v>0.39583333333333331</v>
      </c>
      <c r="F892" s="558" t="s">
        <v>2832</v>
      </c>
      <c r="G892" s="558" t="s">
        <v>63</v>
      </c>
      <c r="H892" s="558" t="s">
        <v>2753</v>
      </c>
      <c r="I892" s="679" t="s">
        <v>22</v>
      </c>
      <c r="J892" s="676">
        <v>365</v>
      </c>
      <c r="K892" s="676">
        <v>265729</v>
      </c>
      <c r="M892" t="str">
        <f>""</f>
        <v/>
      </c>
    </row>
    <row r="893" spans="1:13" ht="15.75">
      <c r="A893">
        <v>2012</v>
      </c>
      <c r="B893" s="777">
        <v>41089</v>
      </c>
      <c r="C893" s="730">
        <v>0.76666666666666672</v>
      </c>
      <c r="D893" s="777">
        <v>41096</v>
      </c>
      <c r="E893" s="730">
        <v>0.41666666666666669</v>
      </c>
      <c r="F893" s="558" t="s">
        <v>2402</v>
      </c>
      <c r="G893" s="558" t="s">
        <v>826</v>
      </c>
      <c r="H893" s="558" t="s">
        <v>5873</v>
      </c>
      <c r="I893" s="679" t="s">
        <v>2368</v>
      </c>
      <c r="J893" s="676">
        <v>700</v>
      </c>
      <c r="K893" s="676">
        <v>265000</v>
      </c>
      <c r="M893" t="str">
        <f>""</f>
        <v/>
      </c>
    </row>
    <row r="894" spans="1:13" ht="15.75">
      <c r="A894">
        <v>2019</v>
      </c>
      <c r="B894" s="777">
        <v>43639</v>
      </c>
      <c r="C894" s="730">
        <v>0.91666666666666663</v>
      </c>
      <c r="D894" s="777">
        <v>43641</v>
      </c>
      <c r="E894" s="730">
        <v>0.95833333333333337</v>
      </c>
      <c r="F894" s="558" t="s">
        <v>3830</v>
      </c>
      <c r="G894" s="558" t="s">
        <v>1352</v>
      </c>
      <c r="H894" s="558" t="s">
        <v>3451</v>
      </c>
      <c r="I894" s="679" t="s">
        <v>22</v>
      </c>
      <c r="J894" s="676" t="s">
        <v>5873</v>
      </c>
      <c r="K894" s="676">
        <v>265000</v>
      </c>
      <c r="M894" t="str">
        <f>""</f>
        <v/>
      </c>
    </row>
    <row r="895" spans="1:13" ht="15.75">
      <c r="A895">
        <v>2011</v>
      </c>
      <c r="B895" s="777">
        <v>40782</v>
      </c>
      <c r="C895" s="730">
        <v>0.91666666666666663</v>
      </c>
      <c r="D895" s="777">
        <v>40784</v>
      </c>
      <c r="E895" s="730">
        <v>0.91666666666666663</v>
      </c>
      <c r="F895" s="558" t="s">
        <v>171</v>
      </c>
      <c r="G895" s="558" t="s">
        <v>826</v>
      </c>
      <c r="H895" s="558" t="s">
        <v>5873</v>
      </c>
      <c r="I895" s="679" t="s">
        <v>22</v>
      </c>
      <c r="J895" s="676" t="s">
        <v>5873</v>
      </c>
      <c r="K895" s="676">
        <v>264000</v>
      </c>
      <c r="M895" t="str">
        <f>""</f>
        <v/>
      </c>
    </row>
    <row r="896" spans="1:13" ht="15.75">
      <c r="A896">
        <v>2014</v>
      </c>
      <c r="B896" s="777">
        <v>41984</v>
      </c>
      <c r="C896" s="730">
        <v>0.70833333333333337</v>
      </c>
      <c r="D896" s="777">
        <v>41985</v>
      </c>
      <c r="E896" s="730">
        <v>0.41666666666666669</v>
      </c>
      <c r="F896" s="558" t="s">
        <v>2739</v>
      </c>
      <c r="G896" s="558" t="s">
        <v>124</v>
      </c>
      <c r="H896" s="558" t="s">
        <v>5873</v>
      </c>
      <c r="I896" s="679" t="s">
        <v>2737</v>
      </c>
      <c r="J896" s="676">
        <v>116</v>
      </c>
      <c r="K896" s="676">
        <v>264000</v>
      </c>
      <c r="M896" t="str">
        <f>""</f>
        <v/>
      </c>
    </row>
    <row r="897" spans="1:13" ht="15.75">
      <c r="A897">
        <v>2015</v>
      </c>
      <c r="B897" s="777">
        <v>42178</v>
      </c>
      <c r="C897" s="730">
        <v>0.75</v>
      </c>
      <c r="D897" s="777">
        <v>42185</v>
      </c>
      <c r="E897" s="730">
        <v>0.75</v>
      </c>
      <c r="F897" s="558" t="s">
        <v>2782</v>
      </c>
      <c r="G897" s="558" t="s">
        <v>826</v>
      </c>
      <c r="H897" s="558" t="s">
        <v>2753</v>
      </c>
      <c r="I897" s="679" t="s">
        <v>22</v>
      </c>
      <c r="J897" s="676" t="s">
        <v>5873</v>
      </c>
      <c r="K897" s="676">
        <v>263000</v>
      </c>
      <c r="M897" t="str">
        <f>""</f>
        <v/>
      </c>
    </row>
    <row r="898" spans="1:13" ht="15.75">
      <c r="A898">
        <v>2017</v>
      </c>
      <c r="B898" s="777">
        <v>43073</v>
      </c>
      <c r="C898" s="730">
        <v>0.91180555555555554</v>
      </c>
      <c r="D898" s="777" t="s">
        <v>5873</v>
      </c>
      <c r="E898" s="730" t="s">
        <v>5873</v>
      </c>
      <c r="F898" s="558" t="s">
        <v>2945</v>
      </c>
      <c r="G898" s="558" t="s">
        <v>124</v>
      </c>
      <c r="H898" s="558" t="s">
        <v>2769</v>
      </c>
      <c r="I898" s="679" t="s">
        <v>2990</v>
      </c>
      <c r="J898" s="676">
        <v>540</v>
      </c>
      <c r="K898" s="676">
        <v>263000</v>
      </c>
      <c r="M898" t="str">
        <f>""</f>
        <v/>
      </c>
    </row>
    <row r="899" spans="1:13" ht="15.75">
      <c r="A899">
        <v>2013</v>
      </c>
      <c r="B899" s="777">
        <v>41351</v>
      </c>
      <c r="C899" s="730">
        <v>0.22291666666666668</v>
      </c>
      <c r="D899" s="777">
        <v>41351</v>
      </c>
      <c r="E899" s="730">
        <v>0.23680555555555555</v>
      </c>
      <c r="F899" s="558" t="s">
        <v>2512</v>
      </c>
      <c r="G899" s="558" t="s">
        <v>5873</v>
      </c>
      <c r="H899" s="558" t="s">
        <v>5873</v>
      </c>
      <c r="I899" s="679" t="s">
        <v>2513</v>
      </c>
      <c r="J899" s="676">
        <v>350</v>
      </c>
      <c r="K899" s="676">
        <v>262937</v>
      </c>
      <c r="M899" t="str">
        <f>""</f>
        <v/>
      </c>
    </row>
    <row r="900" spans="1:13" ht="15.75">
      <c r="A900">
        <v>2022</v>
      </c>
      <c r="B900" s="777">
        <v>44665</v>
      </c>
      <c r="C900" s="730">
        <v>0.24930555555555556</v>
      </c>
      <c r="D900" s="777">
        <v>44665</v>
      </c>
      <c r="E900" s="730">
        <v>0.2590277777777778</v>
      </c>
      <c r="F900" s="558" t="s">
        <v>2967</v>
      </c>
      <c r="G900" s="558" t="s">
        <v>124</v>
      </c>
      <c r="H900" s="558" t="s">
        <v>3411</v>
      </c>
      <c r="I900" s="679" t="s">
        <v>2483</v>
      </c>
      <c r="J900" s="676">
        <v>164</v>
      </c>
      <c r="K900" s="676">
        <v>262268</v>
      </c>
      <c r="M900" t="str">
        <f>""</f>
        <v/>
      </c>
    </row>
    <row r="901" spans="1:13" ht="15.75">
      <c r="A901">
        <v>2012</v>
      </c>
      <c r="B901" s="777">
        <v>41268</v>
      </c>
      <c r="C901" s="730">
        <v>0.39444444444444443</v>
      </c>
      <c r="D901" s="777">
        <v>41269</v>
      </c>
      <c r="E901" s="730">
        <v>0.68611111111111112</v>
      </c>
      <c r="F901" s="558" t="s">
        <v>1098</v>
      </c>
      <c r="G901" s="558" t="s">
        <v>1352</v>
      </c>
      <c r="H901" s="558" t="s">
        <v>5873</v>
      </c>
      <c r="I901" s="679" t="s">
        <v>2479</v>
      </c>
      <c r="J901" s="676">
        <v>294</v>
      </c>
      <c r="K901" s="676">
        <v>262000</v>
      </c>
      <c r="M901" t="str">
        <f>""</f>
        <v/>
      </c>
    </row>
    <row r="902" spans="1:13" ht="15.75">
      <c r="A902">
        <v>2023</v>
      </c>
      <c r="B902" s="777">
        <v>44979</v>
      </c>
      <c r="C902" s="730">
        <v>0.77847222222222223</v>
      </c>
      <c r="D902" s="777">
        <v>44982</v>
      </c>
      <c r="E902" s="730">
        <v>0.67500000000000004</v>
      </c>
      <c r="F902" s="558" t="s">
        <v>5749</v>
      </c>
      <c r="G902" s="558" t="s">
        <v>3143</v>
      </c>
      <c r="H902" s="558" t="s">
        <v>2753</v>
      </c>
      <c r="I902" s="679" t="s">
        <v>22</v>
      </c>
      <c r="J902" s="676" t="s">
        <v>5873</v>
      </c>
      <c r="K902" s="676">
        <v>261043</v>
      </c>
      <c r="M902" t="str">
        <f>""</f>
        <v/>
      </c>
    </row>
    <row r="903" spans="1:13" ht="15.75">
      <c r="A903">
        <v>2014</v>
      </c>
      <c r="B903" s="777">
        <v>41828</v>
      </c>
      <c r="C903" s="730">
        <v>0.85416666666666663</v>
      </c>
      <c r="D903" s="777">
        <v>41831</v>
      </c>
      <c r="E903" s="730">
        <v>0.95833333333333337</v>
      </c>
      <c r="F903" s="558" t="s">
        <v>171</v>
      </c>
      <c r="G903" s="558" t="s">
        <v>826</v>
      </c>
      <c r="H903" s="558" t="s">
        <v>5873</v>
      </c>
      <c r="I903" s="679" t="s">
        <v>2368</v>
      </c>
      <c r="J903" s="676" t="s">
        <v>5873</v>
      </c>
      <c r="K903" s="676">
        <v>260000</v>
      </c>
      <c r="M903" t="str">
        <f>""</f>
        <v/>
      </c>
    </row>
    <row r="904" spans="1:13" ht="15.75">
      <c r="A904">
        <v>2021</v>
      </c>
      <c r="B904" s="777">
        <v>44545</v>
      </c>
      <c r="C904" s="730">
        <v>0.69236111111111109</v>
      </c>
      <c r="D904" s="777">
        <v>44546</v>
      </c>
      <c r="E904" s="730">
        <v>0.47916666666666669</v>
      </c>
      <c r="F904" s="558" t="s">
        <v>4614</v>
      </c>
      <c r="G904" s="558" t="s">
        <v>5055</v>
      </c>
      <c r="H904" s="558" t="s">
        <v>2753</v>
      </c>
      <c r="I904" s="679" t="s">
        <v>22</v>
      </c>
      <c r="J904" s="676">
        <v>0</v>
      </c>
      <c r="K904" s="676">
        <v>258000</v>
      </c>
      <c r="M904" t="str">
        <f>""</f>
        <v/>
      </c>
    </row>
    <row r="905" spans="1:13" ht="15.75">
      <c r="A905">
        <v>2017</v>
      </c>
      <c r="B905" s="777">
        <v>42815</v>
      </c>
      <c r="C905" s="730">
        <v>0.83333333333333337</v>
      </c>
      <c r="D905" s="777">
        <v>42816</v>
      </c>
      <c r="E905" s="730">
        <v>0.38541666666666669</v>
      </c>
      <c r="F905" s="558" t="s">
        <v>361</v>
      </c>
      <c r="G905" s="558" t="s">
        <v>63</v>
      </c>
      <c r="H905" s="558" t="s">
        <v>2753</v>
      </c>
      <c r="I905" s="679" t="s">
        <v>22</v>
      </c>
      <c r="J905" s="676">
        <v>857</v>
      </c>
      <c r="K905" s="676">
        <v>257000</v>
      </c>
      <c r="M905" t="str">
        <f>""</f>
        <v/>
      </c>
    </row>
    <row r="906" spans="1:13" ht="15.75">
      <c r="A906">
        <v>2011</v>
      </c>
      <c r="B906" s="777">
        <v>40638</v>
      </c>
      <c r="C906" s="730">
        <v>8.3333333333333329E-2</v>
      </c>
      <c r="D906" s="777">
        <v>40640</v>
      </c>
      <c r="E906" s="730">
        <v>0.95833333333333337</v>
      </c>
      <c r="F906" s="558" t="s">
        <v>2169</v>
      </c>
      <c r="G906" s="558" t="s">
        <v>63</v>
      </c>
      <c r="H906" s="558" t="s">
        <v>5873</v>
      </c>
      <c r="I906" s="679" t="s">
        <v>22</v>
      </c>
      <c r="J906" s="676">
        <v>1200</v>
      </c>
      <c r="K906" s="676">
        <v>256000</v>
      </c>
      <c r="M906" t="str">
        <f>""</f>
        <v/>
      </c>
    </row>
    <row r="907" spans="1:13" ht="15.75">
      <c r="A907">
        <v>2021</v>
      </c>
      <c r="B907" s="777">
        <v>44222</v>
      </c>
      <c r="C907" s="730">
        <v>0.86736111111111114</v>
      </c>
      <c r="D907" s="777">
        <v>44224</v>
      </c>
      <c r="E907" s="730">
        <v>0.88472222222222219</v>
      </c>
      <c r="F907" s="558" t="s">
        <v>2945</v>
      </c>
      <c r="G907" s="558" t="s">
        <v>124</v>
      </c>
      <c r="H907" s="558" t="s">
        <v>3451</v>
      </c>
      <c r="I907" s="679" t="s">
        <v>22</v>
      </c>
      <c r="J907" s="676">
        <v>841</v>
      </c>
      <c r="K907" s="676">
        <v>255715</v>
      </c>
      <c r="M907" t="str">
        <f>""</f>
        <v/>
      </c>
    </row>
    <row r="908" spans="1:13" ht="15.75">
      <c r="A908">
        <v>2022</v>
      </c>
      <c r="B908" s="777">
        <v>44595</v>
      </c>
      <c r="C908" s="730">
        <v>0.41666666666666669</v>
      </c>
      <c r="D908" s="777">
        <v>44599</v>
      </c>
      <c r="E908" s="730">
        <v>0.83333333333333337</v>
      </c>
      <c r="F908" s="558" t="s">
        <v>2935</v>
      </c>
      <c r="G908" s="558" t="s">
        <v>63</v>
      </c>
      <c r="H908" s="558" t="s">
        <v>2753</v>
      </c>
      <c r="I908" s="679" t="s">
        <v>2990</v>
      </c>
      <c r="J908" s="676" t="s">
        <v>5873</v>
      </c>
      <c r="K908" s="676">
        <v>255000</v>
      </c>
      <c r="M908" t="str">
        <f>""</f>
        <v/>
      </c>
    </row>
    <row r="909" spans="1:13" ht="15.75">
      <c r="A909">
        <v>2021</v>
      </c>
      <c r="B909" s="777">
        <v>44440</v>
      </c>
      <c r="C909" s="730">
        <v>0.72916666666666663</v>
      </c>
      <c r="D909" s="777">
        <v>44441</v>
      </c>
      <c r="E909" s="730">
        <v>8.3333333333333329E-2</v>
      </c>
      <c r="F909" s="558" t="s">
        <v>4237</v>
      </c>
      <c r="G909" s="558" t="s">
        <v>3143</v>
      </c>
      <c r="H909" s="558" t="s">
        <v>2753</v>
      </c>
      <c r="I909" s="679" t="s">
        <v>22</v>
      </c>
      <c r="J909" s="676" t="s">
        <v>5873</v>
      </c>
      <c r="K909" s="676">
        <v>252740</v>
      </c>
      <c r="M909" t="str">
        <f>""</f>
        <v/>
      </c>
    </row>
    <row r="910" spans="1:13" ht="15.75">
      <c r="A910">
        <v>2015</v>
      </c>
      <c r="B910" s="777">
        <v>42203</v>
      </c>
      <c r="C910" s="730">
        <v>8.3333333333333329E-2</v>
      </c>
      <c r="D910" s="777">
        <v>42204</v>
      </c>
      <c r="E910" s="730">
        <v>0.29166666666666669</v>
      </c>
      <c r="F910" s="558" t="s">
        <v>2792</v>
      </c>
      <c r="G910" s="558" t="s">
        <v>674</v>
      </c>
      <c r="H910" s="558" t="s">
        <v>2753</v>
      </c>
      <c r="I910" s="679" t="s">
        <v>22</v>
      </c>
      <c r="J910" s="676">
        <v>250</v>
      </c>
      <c r="K910" s="676">
        <v>250000</v>
      </c>
      <c r="M910" t="str">
        <f>""</f>
        <v/>
      </c>
    </row>
    <row r="911" spans="1:13" ht="15.75">
      <c r="A911">
        <v>2015</v>
      </c>
      <c r="B911" s="777">
        <v>42245</v>
      </c>
      <c r="C911" s="730">
        <v>0.45833333333333331</v>
      </c>
      <c r="D911" s="777">
        <v>42251</v>
      </c>
      <c r="E911" s="730">
        <v>0.625</v>
      </c>
      <c r="F911" s="558" t="s">
        <v>2800</v>
      </c>
      <c r="G911" s="558" t="s">
        <v>124</v>
      </c>
      <c r="H911" s="558" t="s">
        <v>2753</v>
      </c>
      <c r="I911" s="679" t="s">
        <v>22</v>
      </c>
      <c r="J911" s="676">
        <v>250</v>
      </c>
      <c r="K911" s="676">
        <v>250000</v>
      </c>
      <c r="M911" t="str">
        <f>""</f>
        <v/>
      </c>
    </row>
    <row r="912" spans="1:13" ht="15.75">
      <c r="A912">
        <v>2016</v>
      </c>
      <c r="B912" s="777">
        <v>42556</v>
      </c>
      <c r="C912" s="730">
        <v>0.72916666666666663</v>
      </c>
      <c r="D912" s="777">
        <v>42557</v>
      </c>
      <c r="E912" s="730">
        <v>0.66666666666666663</v>
      </c>
      <c r="F912" s="558" t="s">
        <v>2875</v>
      </c>
      <c r="G912" s="558" t="s">
        <v>674</v>
      </c>
      <c r="H912" s="558" t="s">
        <v>2753</v>
      </c>
      <c r="I912" s="679" t="s">
        <v>22</v>
      </c>
      <c r="J912" s="676" t="s">
        <v>5873</v>
      </c>
      <c r="K912" s="676">
        <v>250000</v>
      </c>
      <c r="M912" t="str">
        <f>""</f>
        <v/>
      </c>
    </row>
    <row r="913" spans="1:13" ht="15.75">
      <c r="A913">
        <v>2018</v>
      </c>
      <c r="B913" s="777">
        <v>43199</v>
      </c>
      <c r="C913" s="730">
        <v>0.46944444444444444</v>
      </c>
      <c r="D913" s="777" t="s">
        <v>5873</v>
      </c>
      <c r="E913" s="730" t="s">
        <v>5873</v>
      </c>
      <c r="F913" s="558" t="s">
        <v>2865</v>
      </c>
      <c r="G913" s="558" t="s">
        <v>124</v>
      </c>
      <c r="H913" s="558" t="s">
        <v>2769</v>
      </c>
      <c r="I913" s="679" t="s">
        <v>2483</v>
      </c>
      <c r="J913" s="676">
        <v>300</v>
      </c>
      <c r="K913" s="676">
        <v>250000</v>
      </c>
      <c r="M913" t="str">
        <f>""</f>
        <v/>
      </c>
    </row>
    <row r="914" spans="1:13" ht="15.75">
      <c r="A914">
        <v>2020</v>
      </c>
      <c r="B914" s="777">
        <v>44053</v>
      </c>
      <c r="C914" s="730">
        <v>0.52638888888888891</v>
      </c>
      <c r="D914" s="777" t="s">
        <v>5873</v>
      </c>
      <c r="E914" s="730" t="s">
        <v>5873</v>
      </c>
      <c r="F914" s="558" t="s">
        <v>4394</v>
      </c>
      <c r="G914" s="558" t="s">
        <v>674</v>
      </c>
      <c r="H914" s="558" t="s">
        <v>3910</v>
      </c>
      <c r="I914" s="679" t="s">
        <v>22</v>
      </c>
      <c r="J914" s="676">
        <v>1400</v>
      </c>
      <c r="K914" s="676">
        <v>250000</v>
      </c>
      <c r="M914" t="str">
        <f>""</f>
        <v/>
      </c>
    </row>
    <row r="915" spans="1:13" ht="15.75">
      <c r="A915">
        <v>2021</v>
      </c>
      <c r="B915" s="777">
        <v>44497</v>
      </c>
      <c r="C915" s="730">
        <v>0.59375</v>
      </c>
      <c r="D915" s="777">
        <v>44499</v>
      </c>
      <c r="E915" s="730">
        <v>0.33333333333333331</v>
      </c>
      <c r="F915" s="558" t="s">
        <v>5073</v>
      </c>
      <c r="G915" s="558" t="s">
        <v>1352</v>
      </c>
      <c r="H915" s="558" t="s">
        <v>2753</v>
      </c>
      <c r="I915" s="679" t="s">
        <v>22</v>
      </c>
      <c r="J915" s="676" t="s">
        <v>5873</v>
      </c>
      <c r="K915" s="676">
        <v>250000</v>
      </c>
      <c r="M915" t="str">
        <f>""</f>
        <v/>
      </c>
    </row>
    <row r="916" spans="1:13" ht="15.75">
      <c r="A916">
        <v>2018</v>
      </c>
      <c r="B916" s="777">
        <v>43161</v>
      </c>
      <c r="C916" s="730">
        <v>0.63194444444444442</v>
      </c>
      <c r="D916" s="777">
        <v>43165</v>
      </c>
      <c r="E916" s="730">
        <v>0.20624999999999999</v>
      </c>
      <c r="F916" s="558" t="s">
        <v>2895</v>
      </c>
      <c r="G916" s="558" t="s">
        <v>3143</v>
      </c>
      <c r="H916" s="558" t="s">
        <v>2753</v>
      </c>
      <c r="I916" s="679" t="s">
        <v>22</v>
      </c>
      <c r="J916" s="676" t="s">
        <v>5873</v>
      </c>
      <c r="K916" s="676">
        <v>249322</v>
      </c>
      <c r="M916" t="str">
        <f>""</f>
        <v/>
      </c>
    </row>
    <row r="917" spans="1:13" ht="15.75">
      <c r="A917">
        <v>2023</v>
      </c>
      <c r="B917" s="777">
        <v>45133</v>
      </c>
      <c r="C917" s="532">
        <v>0.61875000000000002</v>
      </c>
      <c r="D917" s="678">
        <v>45133</v>
      </c>
      <c r="E917" s="532">
        <v>0.72430555555555554</v>
      </c>
      <c r="F917" t="s">
        <v>5894</v>
      </c>
      <c r="G917" t="s">
        <v>3143</v>
      </c>
      <c r="H917" t="s">
        <v>3451</v>
      </c>
      <c r="I917" s="677" t="s">
        <v>5883</v>
      </c>
      <c r="J917" s="785" t="s">
        <v>5873</v>
      </c>
      <c r="K917" s="783">
        <v>246000</v>
      </c>
      <c r="M917" t="str">
        <f>""</f>
        <v/>
      </c>
    </row>
    <row r="918" spans="1:13" ht="15.75">
      <c r="A918">
        <v>2023</v>
      </c>
      <c r="B918" s="777" t="s">
        <v>5873</v>
      </c>
      <c r="C918" s="532">
        <v>0.61875000000000002</v>
      </c>
      <c r="D918" s="678">
        <v>45133</v>
      </c>
      <c r="E918" s="532">
        <v>0.72430555555555554</v>
      </c>
      <c r="F918" t="s">
        <v>5894</v>
      </c>
      <c r="G918" t="s">
        <v>3143</v>
      </c>
      <c r="H918" t="s">
        <v>3451</v>
      </c>
      <c r="I918" s="677" t="s">
        <v>5883</v>
      </c>
      <c r="J918" s="785" t="s">
        <v>5873</v>
      </c>
      <c r="K918" s="783">
        <v>246000</v>
      </c>
      <c r="M918" t="str">
        <f>""</f>
        <v/>
      </c>
    </row>
    <row r="919" spans="1:13" ht="15.75">
      <c r="A919">
        <v>2012</v>
      </c>
      <c r="B919" s="777">
        <v>41268</v>
      </c>
      <c r="C919" s="730">
        <v>3.125E-2</v>
      </c>
      <c r="D919" s="777">
        <v>41271</v>
      </c>
      <c r="E919" s="730">
        <v>0.67708333333333337</v>
      </c>
      <c r="F919" s="558" t="s">
        <v>2478</v>
      </c>
      <c r="G919" s="558" t="s">
        <v>58</v>
      </c>
      <c r="H919" s="558" t="s">
        <v>5873</v>
      </c>
      <c r="I919" s="679" t="s">
        <v>2349</v>
      </c>
      <c r="J919" s="676" t="s">
        <v>5873</v>
      </c>
      <c r="K919" s="676">
        <v>242509</v>
      </c>
      <c r="M919" t="str">
        <f>""</f>
        <v/>
      </c>
    </row>
    <row r="920" spans="1:13" ht="15.75">
      <c r="A920">
        <v>2018</v>
      </c>
      <c r="B920" s="777">
        <v>43384</v>
      </c>
      <c r="C920" s="730">
        <v>0.55208333333333337</v>
      </c>
      <c r="D920" s="777" t="s">
        <v>5873</v>
      </c>
      <c r="E920" s="730" t="s">
        <v>5873</v>
      </c>
      <c r="F920" s="558" t="s">
        <v>2832</v>
      </c>
      <c r="G920" s="558" t="s">
        <v>63</v>
      </c>
      <c r="H920" s="558" t="s">
        <v>2753</v>
      </c>
      <c r="I920" s="679" t="s">
        <v>22</v>
      </c>
      <c r="J920" s="676" t="s">
        <v>5873</v>
      </c>
      <c r="K920" s="676">
        <v>240807</v>
      </c>
      <c r="M920" t="str">
        <f>""</f>
        <v/>
      </c>
    </row>
    <row r="921" spans="1:13" ht="15.75">
      <c r="A921">
        <v>2013</v>
      </c>
      <c r="B921" s="777">
        <v>41351</v>
      </c>
      <c r="C921" s="730">
        <v>0.8125</v>
      </c>
      <c r="D921" s="777">
        <v>41353</v>
      </c>
      <c r="E921" s="730">
        <v>0.60416666666666663</v>
      </c>
      <c r="F921" s="558" t="s">
        <v>2515</v>
      </c>
      <c r="G921" s="558" t="s">
        <v>63</v>
      </c>
      <c r="H921" s="558" t="s">
        <v>5873</v>
      </c>
      <c r="I921" s="679" t="s">
        <v>2368</v>
      </c>
      <c r="J921" s="676">
        <v>800</v>
      </c>
      <c r="K921" s="676">
        <v>240000</v>
      </c>
      <c r="M921" t="str">
        <f>""</f>
        <v/>
      </c>
    </row>
    <row r="922" spans="1:13" ht="15.75">
      <c r="A922">
        <v>2019</v>
      </c>
      <c r="B922" s="777">
        <v>43594</v>
      </c>
      <c r="C922" s="730">
        <v>0.74652777777777779</v>
      </c>
      <c r="D922" s="777">
        <v>43596</v>
      </c>
      <c r="E922" s="730">
        <v>0.86805555555555558</v>
      </c>
      <c r="F922" s="558" t="s">
        <v>2809</v>
      </c>
      <c r="G922" s="558" t="s">
        <v>1352</v>
      </c>
      <c r="H922" s="558" t="s">
        <v>3451</v>
      </c>
      <c r="I922" s="679" t="s">
        <v>22</v>
      </c>
      <c r="J922" s="676">
        <v>691</v>
      </c>
      <c r="K922" s="676">
        <v>238015</v>
      </c>
      <c r="M922" t="str">
        <f>""</f>
        <v/>
      </c>
    </row>
    <row r="923" spans="1:13" ht="15.75">
      <c r="A923">
        <v>2020</v>
      </c>
      <c r="B923" s="777">
        <v>43992</v>
      </c>
      <c r="C923" s="730">
        <v>0.8125</v>
      </c>
      <c r="D923" s="777" t="s">
        <v>5873</v>
      </c>
      <c r="E923" s="730" t="s">
        <v>5873</v>
      </c>
      <c r="F923" s="558" t="s">
        <v>4281</v>
      </c>
      <c r="G923" s="558" t="s">
        <v>3143</v>
      </c>
      <c r="H923" s="558" t="s">
        <v>3451</v>
      </c>
      <c r="I923" s="679" t="s">
        <v>22</v>
      </c>
      <c r="J923" s="676" t="s">
        <v>5873</v>
      </c>
      <c r="K923" s="676">
        <v>237000</v>
      </c>
      <c r="M923" t="str">
        <f>""</f>
        <v/>
      </c>
    </row>
    <row r="924" spans="1:13" ht="15.75">
      <c r="A924">
        <v>2017</v>
      </c>
      <c r="B924" s="777">
        <v>43052</v>
      </c>
      <c r="C924" s="730">
        <v>8.3333333333333329E-2</v>
      </c>
      <c r="D924" s="777">
        <v>43054</v>
      </c>
      <c r="E924" s="730">
        <v>0.34513888888888888</v>
      </c>
      <c r="F924" s="558" t="s">
        <v>3151</v>
      </c>
      <c r="G924" s="558" t="s">
        <v>124</v>
      </c>
      <c r="H924" s="558" t="s">
        <v>2753</v>
      </c>
      <c r="I924" s="679" t="s">
        <v>22</v>
      </c>
      <c r="J924" s="676" t="s">
        <v>5873</v>
      </c>
      <c r="K924" s="676">
        <v>236100</v>
      </c>
      <c r="M924" t="str">
        <f>""</f>
        <v/>
      </c>
    </row>
    <row r="925" spans="1:13" ht="15.75">
      <c r="A925">
        <v>2020</v>
      </c>
      <c r="B925" s="777">
        <v>44131</v>
      </c>
      <c r="C925" s="730">
        <v>0.74305555555555558</v>
      </c>
      <c r="D925" s="777" t="s">
        <v>5873</v>
      </c>
      <c r="E925" s="730" t="s">
        <v>5873</v>
      </c>
      <c r="F925" s="558" t="s">
        <v>3693</v>
      </c>
      <c r="G925" s="558" t="s">
        <v>3347</v>
      </c>
      <c r="H925" s="558" t="s">
        <v>3451</v>
      </c>
      <c r="I925" s="679" t="s">
        <v>22</v>
      </c>
      <c r="J925" s="676" t="s">
        <v>5873</v>
      </c>
      <c r="K925" s="676">
        <v>235000</v>
      </c>
      <c r="M925" t="str">
        <f>""</f>
        <v/>
      </c>
    </row>
    <row r="926" spans="1:13" ht="15.75">
      <c r="A926">
        <v>2011</v>
      </c>
      <c r="B926" s="777">
        <v>40569</v>
      </c>
      <c r="C926" s="730">
        <v>0.76944444444444449</v>
      </c>
      <c r="D926" s="777">
        <v>40572</v>
      </c>
      <c r="E926" s="730">
        <v>0.70833333333333337</v>
      </c>
      <c r="F926" s="558" t="s">
        <v>2123</v>
      </c>
      <c r="G926" s="558" t="s">
        <v>826</v>
      </c>
      <c r="H926" s="558" t="s">
        <v>5873</v>
      </c>
      <c r="I926" s="679" t="s">
        <v>40</v>
      </c>
      <c r="J926" s="676" t="s">
        <v>5873</v>
      </c>
      <c r="K926" s="676">
        <v>234326</v>
      </c>
      <c r="M926" t="str">
        <f>""</f>
        <v/>
      </c>
    </row>
    <row r="927" spans="1:13" ht="15.75">
      <c r="A927">
        <v>2018</v>
      </c>
      <c r="B927" s="777">
        <v>43161</v>
      </c>
      <c r="C927" s="730">
        <v>0.57708333333333328</v>
      </c>
      <c r="D927" s="777">
        <v>43163</v>
      </c>
      <c r="E927" s="730">
        <v>0.50763888888888886</v>
      </c>
      <c r="F927" s="558" t="s">
        <v>3245</v>
      </c>
      <c r="G927" s="558" t="s">
        <v>3143</v>
      </c>
      <c r="H927" s="558" t="s">
        <v>2753</v>
      </c>
      <c r="I927" s="679" t="s">
        <v>22</v>
      </c>
      <c r="J927" s="676" t="s">
        <v>5873</v>
      </c>
      <c r="K927" s="676">
        <v>233136</v>
      </c>
      <c r="M927" t="str">
        <f>""</f>
        <v/>
      </c>
    </row>
    <row r="928" spans="1:13" ht="15.75">
      <c r="A928">
        <v>2013</v>
      </c>
      <c r="B928" s="777">
        <v>41339</v>
      </c>
      <c r="C928" s="730">
        <v>0.34861111111111109</v>
      </c>
      <c r="D928" s="777">
        <v>41340</v>
      </c>
      <c r="E928" s="730">
        <v>0.43541666666666667</v>
      </c>
      <c r="F928" s="558" t="s">
        <v>2511</v>
      </c>
      <c r="G928" s="558" t="s">
        <v>63</v>
      </c>
      <c r="H928" s="558" t="s">
        <v>5873</v>
      </c>
      <c r="I928" s="679" t="s">
        <v>2349</v>
      </c>
      <c r="J928" s="676">
        <v>400</v>
      </c>
      <c r="K928" s="676">
        <v>233000</v>
      </c>
      <c r="M928" t="str">
        <f>""</f>
        <v/>
      </c>
    </row>
    <row r="929" spans="1:13" ht="15.75">
      <c r="A929">
        <v>2019</v>
      </c>
      <c r="B929" s="777">
        <v>43503</v>
      </c>
      <c r="C929" s="730">
        <v>0.37152777777777779</v>
      </c>
      <c r="D929" s="777">
        <v>43505</v>
      </c>
      <c r="E929" s="730">
        <v>0.6875</v>
      </c>
      <c r="F929" s="558" t="s">
        <v>1833</v>
      </c>
      <c r="G929" s="558" t="s">
        <v>3143</v>
      </c>
      <c r="H929" s="558" t="s">
        <v>3451</v>
      </c>
      <c r="I929" s="679" t="s">
        <v>22</v>
      </c>
      <c r="J929" s="676" t="s">
        <v>5873</v>
      </c>
      <c r="K929" s="676">
        <v>233000</v>
      </c>
      <c r="M929" t="str">
        <f>""</f>
        <v/>
      </c>
    </row>
    <row r="930" spans="1:13" ht="15.75">
      <c r="A930">
        <v>2021</v>
      </c>
      <c r="B930" s="777">
        <v>44418</v>
      </c>
      <c r="C930" s="730">
        <v>0.83333333333333337</v>
      </c>
      <c r="D930" s="777" t="s">
        <v>5873</v>
      </c>
      <c r="E930" s="730" t="s">
        <v>5873</v>
      </c>
      <c r="F930" s="558" t="s">
        <v>4961</v>
      </c>
      <c r="G930" s="558" t="s">
        <v>4903</v>
      </c>
      <c r="H930" s="558" t="s">
        <v>2753</v>
      </c>
      <c r="I930" s="679" t="s">
        <v>22</v>
      </c>
      <c r="J930" s="676" t="s">
        <v>5873</v>
      </c>
      <c r="K930" s="676">
        <v>233000</v>
      </c>
      <c r="M930" t="str">
        <f>""</f>
        <v/>
      </c>
    </row>
    <row r="931" spans="1:13" ht="15.75">
      <c r="A931">
        <v>2021</v>
      </c>
      <c r="B931" s="777">
        <v>44493</v>
      </c>
      <c r="C931" s="730">
        <v>0.29166666666666669</v>
      </c>
      <c r="D931" s="777">
        <v>44495</v>
      </c>
      <c r="E931" s="730">
        <v>0.89583333333333337</v>
      </c>
      <c r="F931" s="558" t="s">
        <v>5066</v>
      </c>
      <c r="G931" s="558" t="s">
        <v>124</v>
      </c>
      <c r="H931" s="558" t="s">
        <v>2753</v>
      </c>
      <c r="I931" s="679" t="s">
        <v>22</v>
      </c>
      <c r="J931" s="676" t="s">
        <v>5873</v>
      </c>
      <c r="K931" s="676">
        <v>233000</v>
      </c>
      <c r="M931" t="str">
        <f>""</f>
        <v/>
      </c>
    </row>
    <row r="932" spans="1:13" ht="15.75">
      <c r="A932">
        <v>2019</v>
      </c>
      <c r="B932" s="777">
        <v>43562</v>
      </c>
      <c r="C932" s="730">
        <v>0.57361111111111107</v>
      </c>
      <c r="D932" s="777">
        <v>43563</v>
      </c>
      <c r="E932" s="730">
        <v>0.74305555555555558</v>
      </c>
      <c r="F932" s="558" t="s">
        <v>2919</v>
      </c>
      <c r="G932" s="558" t="s">
        <v>1352</v>
      </c>
      <c r="H932" s="558" t="s">
        <v>3451</v>
      </c>
      <c r="I932" s="679" t="s">
        <v>22</v>
      </c>
      <c r="J932" s="676">
        <v>537</v>
      </c>
      <c r="K932" s="676">
        <v>231956</v>
      </c>
      <c r="M932" t="str">
        <f>""</f>
        <v/>
      </c>
    </row>
    <row r="933" spans="1:13" ht="15.75">
      <c r="A933">
        <v>2023</v>
      </c>
      <c r="B933" s="777">
        <v>45276</v>
      </c>
      <c r="C933" s="532">
        <v>8.6805555555555552E-2</v>
      </c>
      <c r="D933" s="678">
        <v>45276</v>
      </c>
      <c r="E933" s="532">
        <v>0.10347222222222222</v>
      </c>
      <c r="F933" t="s">
        <v>6030</v>
      </c>
      <c r="G933" t="s">
        <v>255</v>
      </c>
      <c r="H933" t="s">
        <v>3379</v>
      </c>
      <c r="I933" s="677" t="s">
        <v>6062</v>
      </c>
      <c r="J933" s="783">
        <v>220</v>
      </c>
      <c r="K933" s="783">
        <v>230330</v>
      </c>
      <c r="M933" t="str">
        <f>""</f>
        <v/>
      </c>
    </row>
    <row r="934" spans="1:13" ht="15.75">
      <c r="A934">
        <v>2019</v>
      </c>
      <c r="B934" s="777">
        <v>43471</v>
      </c>
      <c r="C934" s="730">
        <v>0.125</v>
      </c>
      <c r="D934" s="777">
        <v>43474</v>
      </c>
      <c r="E934" s="730">
        <v>0.29166666666666669</v>
      </c>
      <c r="F934" s="558" t="s">
        <v>2853</v>
      </c>
      <c r="G934" s="558" t="s">
        <v>124</v>
      </c>
      <c r="H934" s="558" t="s">
        <v>3451</v>
      </c>
      <c r="I934" s="679" t="s">
        <v>22</v>
      </c>
      <c r="J934" s="676">
        <v>230</v>
      </c>
      <c r="K934" s="676">
        <v>230000</v>
      </c>
      <c r="M934" t="str">
        <f>""</f>
        <v/>
      </c>
    </row>
    <row r="935" spans="1:13" ht="15.75">
      <c r="A935">
        <v>2019</v>
      </c>
      <c r="B935" s="777">
        <v>43471</v>
      </c>
      <c r="C935" s="730">
        <v>4.1666666666666664E-2</v>
      </c>
      <c r="D935" s="777">
        <v>43471</v>
      </c>
      <c r="E935" s="730">
        <v>0.5</v>
      </c>
      <c r="F935" s="558" t="s">
        <v>3618</v>
      </c>
      <c r="G935" s="558" t="s">
        <v>124</v>
      </c>
      <c r="H935" s="558" t="s">
        <v>3451</v>
      </c>
      <c r="I935" s="679" t="s">
        <v>22</v>
      </c>
      <c r="J935" s="676" t="s">
        <v>5873</v>
      </c>
      <c r="K935" s="676">
        <v>230000</v>
      </c>
      <c r="M935" t="str">
        <f>""</f>
        <v/>
      </c>
    </row>
    <row r="936" spans="1:13" ht="15.75">
      <c r="A936">
        <v>2022</v>
      </c>
      <c r="B936" s="777">
        <v>44921</v>
      </c>
      <c r="C936" s="730">
        <v>0.35416666666666669</v>
      </c>
      <c r="D936" s="777">
        <v>44923</v>
      </c>
      <c r="E936" s="730">
        <v>0.875</v>
      </c>
      <c r="F936" s="558" t="s">
        <v>5664</v>
      </c>
      <c r="G936" s="558" t="s">
        <v>124</v>
      </c>
      <c r="H936" s="558" t="s">
        <v>3451</v>
      </c>
      <c r="I936" s="679" t="s">
        <v>22</v>
      </c>
      <c r="J936" s="676" t="s">
        <v>5873</v>
      </c>
      <c r="K936" s="676">
        <v>230000</v>
      </c>
      <c r="M936" t="str">
        <f>""</f>
        <v/>
      </c>
    </row>
    <row r="937" spans="1:13" ht="15.75">
      <c r="A937">
        <v>2021</v>
      </c>
      <c r="B937" s="777">
        <v>44401</v>
      </c>
      <c r="C937" s="730">
        <v>0.85416666666666663</v>
      </c>
      <c r="D937" s="777" t="s">
        <v>5873</v>
      </c>
      <c r="E937" s="730" t="s">
        <v>5873</v>
      </c>
      <c r="F937" s="558" t="s">
        <v>4939</v>
      </c>
      <c r="G937" s="558" t="s">
        <v>3143</v>
      </c>
      <c r="H937" s="558" t="s">
        <v>2753</v>
      </c>
      <c r="I937" s="679" t="s">
        <v>22</v>
      </c>
      <c r="J937" s="676" t="s">
        <v>5873</v>
      </c>
      <c r="K937" s="676">
        <v>225949</v>
      </c>
      <c r="M937" t="str">
        <f>""</f>
        <v/>
      </c>
    </row>
    <row r="938" spans="1:13" ht="15.75">
      <c r="A938" s="728">
        <v>2010</v>
      </c>
      <c r="B938" s="777">
        <v>40218</v>
      </c>
      <c r="C938" s="730">
        <v>0.75</v>
      </c>
      <c r="D938" s="777">
        <v>40223</v>
      </c>
      <c r="E938" s="730">
        <v>0.66666666666666663</v>
      </c>
      <c r="F938" s="558" t="s">
        <v>1877</v>
      </c>
      <c r="G938" s="558" t="s">
        <v>826</v>
      </c>
      <c r="H938" s="558" t="s">
        <v>5873</v>
      </c>
      <c r="I938" s="679" t="s">
        <v>40</v>
      </c>
      <c r="J938" s="676" t="s">
        <v>5873</v>
      </c>
      <c r="K938" s="676">
        <v>223000</v>
      </c>
      <c r="M938" t="str">
        <f>""</f>
        <v/>
      </c>
    </row>
    <row r="939" spans="1:13" ht="15.75">
      <c r="A939">
        <v>2021</v>
      </c>
      <c r="B939" s="777">
        <v>44243</v>
      </c>
      <c r="C939" s="730">
        <v>0.29375000000000001</v>
      </c>
      <c r="D939" s="777">
        <v>44247</v>
      </c>
      <c r="E939" s="730">
        <v>0.91666666666666663</v>
      </c>
      <c r="F939" s="558" t="s">
        <v>4748</v>
      </c>
      <c r="G939" s="558" t="s">
        <v>674</v>
      </c>
      <c r="H939" s="558" t="s">
        <v>3750</v>
      </c>
      <c r="I939" s="679" t="s">
        <v>22</v>
      </c>
      <c r="J939" s="676" t="s">
        <v>5873</v>
      </c>
      <c r="K939" s="676">
        <v>222000</v>
      </c>
      <c r="M939" t="str">
        <f>""</f>
        <v/>
      </c>
    </row>
    <row r="940" spans="1:13" ht="15.75">
      <c r="A940" s="728">
        <v>2010</v>
      </c>
      <c r="B940" s="777">
        <v>40214</v>
      </c>
      <c r="C940" s="730">
        <v>0.625</v>
      </c>
      <c r="D940" s="777">
        <v>40222</v>
      </c>
      <c r="E940" s="730">
        <v>0.66666666666666663</v>
      </c>
      <c r="F940" s="558" t="s">
        <v>1862</v>
      </c>
      <c r="G940" s="558" t="s">
        <v>826</v>
      </c>
      <c r="H940" s="558" t="s">
        <v>5873</v>
      </c>
      <c r="I940" s="679" t="s">
        <v>40</v>
      </c>
      <c r="J940" s="676" t="s">
        <v>5873</v>
      </c>
      <c r="K940" s="676">
        <v>221000</v>
      </c>
      <c r="M940" t="str">
        <f>""</f>
        <v/>
      </c>
    </row>
    <row r="941" spans="1:13" ht="15.75">
      <c r="A941">
        <v>2017</v>
      </c>
      <c r="B941" s="777">
        <v>42972</v>
      </c>
      <c r="C941" s="730">
        <v>0.76180555555555551</v>
      </c>
      <c r="D941" s="777">
        <v>42980</v>
      </c>
      <c r="E941" s="730">
        <v>0.70833333333333337</v>
      </c>
      <c r="F941" s="558" t="s">
        <v>3086</v>
      </c>
      <c r="G941" s="558" t="s">
        <v>1352</v>
      </c>
      <c r="H941" s="558" t="s">
        <v>2753</v>
      </c>
      <c r="I941" s="679" t="s">
        <v>22</v>
      </c>
      <c r="J941" s="676" t="s">
        <v>5873</v>
      </c>
      <c r="K941" s="676">
        <v>220400</v>
      </c>
      <c r="M941" t="str">
        <f>""</f>
        <v/>
      </c>
    </row>
    <row r="942" spans="1:13" ht="15.75">
      <c r="A942">
        <v>2011</v>
      </c>
      <c r="B942" s="777">
        <v>40649</v>
      </c>
      <c r="C942" s="730">
        <v>0.59444444444444444</v>
      </c>
      <c r="D942" s="777">
        <v>40650</v>
      </c>
      <c r="E942" s="730">
        <v>0.6875</v>
      </c>
      <c r="F942" s="558" t="s">
        <v>2171</v>
      </c>
      <c r="G942" s="558" t="s">
        <v>63</v>
      </c>
      <c r="H942" s="558" t="s">
        <v>5873</v>
      </c>
      <c r="I942" s="679" t="s">
        <v>22</v>
      </c>
      <c r="J942" s="676" t="s">
        <v>5873</v>
      </c>
      <c r="K942" s="676">
        <v>220000</v>
      </c>
      <c r="M942" t="str">
        <f>""</f>
        <v/>
      </c>
    </row>
    <row r="943" spans="1:13" ht="15.75">
      <c r="A943">
        <v>2011</v>
      </c>
      <c r="B943" s="777">
        <v>40782</v>
      </c>
      <c r="C943" s="730">
        <v>0.96180555555555558</v>
      </c>
      <c r="D943" s="777">
        <v>64891</v>
      </c>
      <c r="E943" s="730">
        <v>0.64583333333333337</v>
      </c>
      <c r="F943" s="558" t="s">
        <v>2275</v>
      </c>
      <c r="G943" s="558" t="s">
        <v>826</v>
      </c>
      <c r="H943" s="558" t="s">
        <v>5873</v>
      </c>
      <c r="I943" s="679" t="s">
        <v>22</v>
      </c>
      <c r="J943" s="676" t="s">
        <v>5873</v>
      </c>
      <c r="K943" s="676">
        <v>220000</v>
      </c>
      <c r="M943" t="str">
        <f>""</f>
        <v/>
      </c>
    </row>
    <row r="944" spans="1:13" ht="15.75">
      <c r="A944">
        <v>2020</v>
      </c>
      <c r="B944" s="777">
        <v>44057</v>
      </c>
      <c r="C944" s="730">
        <v>0.77500000000000002</v>
      </c>
      <c r="D944" s="777">
        <v>44057</v>
      </c>
      <c r="E944" s="730">
        <v>0.86250000000000004</v>
      </c>
      <c r="F944" s="558" t="s">
        <v>2945</v>
      </c>
      <c r="G944" s="558" t="s">
        <v>124</v>
      </c>
      <c r="H944" s="558" t="s">
        <v>3750</v>
      </c>
      <c r="I944" s="679" t="s">
        <v>2764</v>
      </c>
      <c r="J944" s="676">
        <v>560</v>
      </c>
      <c r="K944" s="676">
        <v>220000</v>
      </c>
      <c r="M944" t="str">
        <f>""</f>
        <v/>
      </c>
    </row>
    <row r="945" spans="1:13" ht="15.75">
      <c r="A945">
        <v>2020</v>
      </c>
      <c r="B945" s="777">
        <v>44058</v>
      </c>
      <c r="C945" s="730">
        <v>0.76736111111111116</v>
      </c>
      <c r="D945" s="777">
        <v>44058</v>
      </c>
      <c r="E945" s="730">
        <v>0.82222222222222219</v>
      </c>
      <c r="F945" s="558" t="s">
        <v>2945</v>
      </c>
      <c r="G945" s="558" t="s">
        <v>124</v>
      </c>
      <c r="H945" s="558" t="s">
        <v>3750</v>
      </c>
      <c r="I945" s="679" t="s">
        <v>2764</v>
      </c>
      <c r="J945" s="676">
        <v>459</v>
      </c>
      <c r="K945" s="676">
        <v>220000</v>
      </c>
      <c r="M945" t="str">
        <f>""</f>
        <v/>
      </c>
    </row>
    <row r="946" spans="1:13" ht="15.75">
      <c r="A946">
        <v>2013</v>
      </c>
      <c r="B946" s="777">
        <v>41502</v>
      </c>
      <c r="C946" s="730">
        <v>0.70694444444444449</v>
      </c>
      <c r="D946" s="777">
        <v>41503</v>
      </c>
      <c r="E946" s="730">
        <v>0.99861111111111112</v>
      </c>
      <c r="F946" s="558" t="s">
        <v>2594</v>
      </c>
      <c r="G946" s="558" t="s">
        <v>1352</v>
      </c>
      <c r="H946" s="558" t="s">
        <v>5873</v>
      </c>
      <c r="I946" s="679" t="s">
        <v>2368</v>
      </c>
      <c r="J946" s="676" t="s">
        <v>5873</v>
      </c>
      <c r="K946" s="676">
        <v>219681</v>
      </c>
      <c r="M946" t="str">
        <f>""</f>
        <v/>
      </c>
    </row>
    <row r="947" spans="1:13" ht="15.75">
      <c r="A947">
        <v>2021</v>
      </c>
      <c r="B947" s="777">
        <v>44242</v>
      </c>
      <c r="C947" s="730">
        <v>0.11874999999999999</v>
      </c>
      <c r="D947" s="777">
        <v>44246</v>
      </c>
      <c r="E947" s="730">
        <v>0.375</v>
      </c>
      <c r="F947" s="558" t="s">
        <v>3591</v>
      </c>
      <c r="G947" s="558" t="s">
        <v>1352</v>
      </c>
      <c r="H947" s="558" t="s">
        <v>3451</v>
      </c>
      <c r="I947" s="679" t="s">
        <v>22</v>
      </c>
      <c r="J947" s="676" t="s">
        <v>5873</v>
      </c>
      <c r="K947" s="676">
        <v>219306</v>
      </c>
      <c r="M947" t="str">
        <f>""</f>
        <v/>
      </c>
    </row>
    <row r="948" spans="1:13" ht="15.75">
      <c r="A948">
        <v>2012</v>
      </c>
      <c r="B948" s="777">
        <v>41211.717361111114</v>
      </c>
      <c r="C948" s="730">
        <v>41211.717361111114</v>
      </c>
      <c r="D948" s="777">
        <v>41213</v>
      </c>
      <c r="E948" s="730">
        <v>0.45833333333333331</v>
      </c>
      <c r="F948" s="558" t="s">
        <v>2456</v>
      </c>
      <c r="G948" s="558" t="s">
        <v>826</v>
      </c>
      <c r="H948" s="558" t="s">
        <v>5873</v>
      </c>
      <c r="I948" s="679" t="s">
        <v>2448</v>
      </c>
      <c r="J948" s="676">
        <v>0</v>
      </c>
      <c r="K948" s="676">
        <v>219000</v>
      </c>
      <c r="M948" t="str">
        <f>""</f>
        <v/>
      </c>
    </row>
    <row r="949" spans="1:13" ht="15.75">
      <c r="A949">
        <v>2011</v>
      </c>
      <c r="B949" s="777">
        <v>40689</v>
      </c>
      <c r="C949" s="730">
        <v>0.77083333333333337</v>
      </c>
      <c r="D949" s="777">
        <v>40691</v>
      </c>
      <c r="E949" s="730">
        <v>0.19722222222222222</v>
      </c>
      <c r="F949" s="558" t="s">
        <v>2210</v>
      </c>
      <c r="G949" s="558" t="s">
        <v>63</v>
      </c>
      <c r="H949" s="558" t="s">
        <v>5873</v>
      </c>
      <c r="I949" s="679" t="s">
        <v>22</v>
      </c>
      <c r="J949" s="676">
        <v>729</v>
      </c>
      <c r="K949" s="676">
        <v>218783</v>
      </c>
      <c r="M949" t="str">
        <f>""</f>
        <v/>
      </c>
    </row>
    <row r="950" spans="1:13" ht="15.75">
      <c r="A950">
        <v>2016</v>
      </c>
      <c r="B950" s="777">
        <v>42563</v>
      </c>
      <c r="C950" s="730">
        <v>0.59027777777777779</v>
      </c>
      <c r="D950" s="777">
        <v>42563</v>
      </c>
      <c r="E950" s="730">
        <v>0.85624999999999996</v>
      </c>
      <c r="F950" s="558" t="s">
        <v>2271</v>
      </c>
      <c r="G950" s="558" t="s">
        <v>472</v>
      </c>
      <c r="H950" s="558" t="s">
        <v>619</v>
      </c>
      <c r="I950" s="679" t="s">
        <v>2764</v>
      </c>
      <c r="J950" s="676">
        <v>450</v>
      </c>
      <c r="K950" s="676">
        <v>218000</v>
      </c>
      <c r="M950" t="str">
        <f>""</f>
        <v/>
      </c>
    </row>
    <row r="951" spans="1:13" ht="15.75">
      <c r="A951">
        <v>2012</v>
      </c>
      <c r="B951" s="777">
        <v>41211.5</v>
      </c>
      <c r="C951" s="730">
        <v>41211.5</v>
      </c>
      <c r="D951" s="777">
        <v>41217</v>
      </c>
      <c r="E951" s="730">
        <v>0.95833333333333337</v>
      </c>
      <c r="F951" s="558" t="s">
        <v>2288</v>
      </c>
      <c r="G951" s="558" t="s">
        <v>826</v>
      </c>
      <c r="H951" s="558" t="s">
        <v>5873</v>
      </c>
      <c r="I951" s="679" t="s">
        <v>2448</v>
      </c>
      <c r="J951" s="676" t="s">
        <v>5873</v>
      </c>
      <c r="K951" s="676">
        <v>217000</v>
      </c>
      <c r="M951" t="str">
        <f>""</f>
        <v/>
      </c>
    </row>
    <row r="952" spans="1:13" ht="15.75">
      <c r="A952">
        <v>2018</v>
      </c>
      <c r="B952" s="777">
        <v>43166</v>
      </c>
      <c r="C952" s="730">
        <v>0.67361111111111116</v>
      </c>
      <c r="D952" s="777">
        <v>43169</v>
      </c>
      <c r="E952" s="730">
        <v>0.48055555555555557</v>
      </c>
      <c r="F952" s="558" t="s">
        <v>2833</v>
      </c>
      <c r="G952" s="558" t="s">
        <v>3143</v>
      </c>
      <c r="H952" s="558" t="s">
        <v>2753</v>
      </c>
      <c r="I952" s="679" t="s">
        <v>22</v>
      </c>
      <c r="J952" s="676" t="s">
        <v>5873</v>
      </c>
      <c r="K952" s="676">
        <v>216800</v>
      </c>
      <c r="M952" t="str">
        <f>""</f>
        <v/>
      </c>
    </row>
    <row r="953" spans="1:13" ht="15.75">
      <c r="A953">
        <v>2020</v>
      </c>
      <c r="B953" s="777">
        <v>43934</v>
      </c>
      <c r="C953" s="730">
        <v>0.14583333333333334</v>
      </c>
      <c r="D953" s="777">
        <v>43935</v>
      </c>
      <c r="E953" s="730">
        <v>0.76249999999999996</v>
      </c>
      <c r="F953" s="558" t="s">
        <v>2832</v>
      </c>
      <c r="G953" s="558" t="s">
        <v>63</v>
      </c>
      <c r="H953" s="558" t="s">
        <v>3451</v>
      </c>
      <c r="I953" s="679" t="s">
        <v>22</v>
      </c>
      <c r="J953" s="676" t="s">
        <v>5873</v>
      </c>
      <c r="K953" s="676">
        <v>216400</v>
      </c>
      <c r="M953" t="str">
        <f>""</f>
        <v/>
      </c>
    </row>
    <row r="954" spans="1:13" ht="15.75">
      <c r="A954">
        <v>2023</v>
      </c>
      <c r="B954" s="777">
        <v>45125</v>
      </c>
      <c r="C954" s="532">
        <v>0.74305555555555558</v>
      </c>
      <c r="D954" s="678">
        <v>45132</v>
      </c>
      <c r="E954" s="532">
        <v>0.58333333333333337</v>
      </c>
      <c r="F954" t="s">
        <v>2935</v>
      </c>
      <c r="G954" t="s">
        <v>63</v>
      </c>
      <c r="H954" t="s">
        <v>3910</v>
      </c>
      <c r="I954" s="677" t="s">
        <v>5883</v>
      </c>
      <c r="J954" s="783">
        <v>1200</v>
      </c>
      <c r="K954" s="783">
        <v>216000</v>
      </c>
      <c r="M954" t="str">
        <f>""</f>
        <v/>
      </c>
    </row>
    <row r="955" spans="1:13" ht="15.75">
      <c r="A955">
        <v>2023</v>
      </c>
      <c r="B955" s="777" t="s">
        <v>5873</v>
      </c>
      <c r="C955" s="532">
        <v>0.74305555555555558</v>
      </c>
      <c r="D955" s="678">
        <v>45132</v>
      </c>
      <c r="E955" s="532">
        <v>0.58333333333333337</v>
      </c>
      <c r="F955" t="s">
        <v>2935</v>
      </c>
      <c r="G955" t="s">
        <v>63</v>
      </c>
      <c r="H955" t="s">
        <v>3910</v>
      </c>
      <c r="I955" s="677" t="s">
        <v>5883</v>
      </c>
      <c r="J955" s="783">
        <v>1200</v>
      </c>
      <c r="K955" s="783">
        <v>216000</v>
      </c>
      <c r="M955" t="str">
        <f>""</f>
        <v/>
      </c>
    </row>
    <row r="956" spans="1:13" ht="15.75">
      <c r="A956">
        <v>2011</v>
      </c>
      <c r="B956" s="777">
        <v>40686</v>
      </c>
      <c r="C956" s="730">
        <v>0.69791666666666663</v>
      </c>
      <c r="D956" s="777">
        <v>40688</v>
      </c>
      <c r="E956" s="730">
        <v>0.99930555555555556</v>
      </c>
      <c r="F956" s="558" t="s">
        <v>2204</v>
      </c>
      <c r="G956" s="558" t="s">
        <v>826</v>
      </c>
      <c r="H956" s="558" t="s">
        <v>5873</v>
      </c>
      <c r="I956" s="679" t="s">
        <v>22</v>
      </c>
      <c r="J956" s="676">
        <v>1024</v>
      </c>
      <c r="K956" s="676">
        <v>215387</v>
      </c>
      <c r="M956" t="str">
        <f>""</f>
        <v/>
      </c>
    </row>
    <row r="957" spans="1:13" ht="15.75">
      <c r="A957">
        <v>2016</v>
      </c>
      <c r="B957" s="777">
        <v>42487</v>
      </c>
      <c r="C957" s="730">
        <v>0.24305555555555555</v>
      </c>
      <c r="D957" s="777">
        <v>42488</v>
      </c>
      <c r="E957" s="730">
        <v>6.5972222222222224E-2</v>
      </c>
      <c r="F957" s="558" t="s">
        <v>2860</v>
      </c>
      <c r="G957" s="558" t="s">
        <v>1352</v>
      </c>
      <c r="H957" s="558" t="s">
        <v>2753</v>
      </c>
      <c r="I957" s="679" t="s">
        <v>2828</v>
      </c>
      <c r="J957" s="676" t="s">
        <v>5873</v>
      </c>
      <c r="K957" s="676">
        <v>214864</v>
      </c>
      <c r="M957" t="str">
        <f>""</f>
        <v/>
      </c>
    </row>
    <row r="958" spans="1:13" ht="15.75">
      <c r="A958">
        <v>2022</v>
      </c>
      <c r="B958" s="777">
        <v>44869</v>
      </c>
      <c r="C958" s="730">
        <v>0.83680555555555558</v>
      </c>
      <c r="D958" s="777">
        <v>44872</v>
      </c>
      <c r="E958" s="730">
        <v>0.375</v>
      </c>
      <c r="F958" s="558" t="s">
        <v>5580</v>
      </c>
      <c r="G958" s="558" t="s">
        <v>124</v>
      </c>
      <c r="H958" s="558" t="s">
        <v>2753</v>
      </c>
      <c r="I958" s="679" t="s">
        <v>22</v>
      </c>
      <c r="J958" s="676" t="s">
        <v>5873</v>
      </c>
      <c r="K958" s="676">
        <v>214000</v>
      </c>
      <c r="M958" t="str">
        <f>""</f>
        <v/>
      </c>
    </row>
    <row r="959" spans="1:13" ht="15.75">
      <c r="A959">
        <v>2011</v>
      </c>
      <c r="B959" s="777">
        <v>40576</v>
      </c>
      <c r="C959" s="730">
        <v>0.125</v>
      </c>
      <c r="D959" s="777">
        <v>40578</v>
      </c>
      <c r="E959" s="730">
        <v>0.99930555555555556</v>
      </c>
      <c r="F959" s="558" t="s">
        <v>2131</v>
      </c>
      <c r="G959" s="558" t="s">
        <v>826</v>
      </c>
      <c r="H959" s="558" t="s">
        <v>5873</v>
      </c>
      <c r="I959" s="679" t="s">
        <v>40</v>
      </c>
      <c r="J959" s="676" t="s">
        <v>5873</v>
      </c>
      <c r="K959" s="676">
        <v>213000</v>
      </c>
      <c r="M959" t="str">
        <f>""</f>
        <v/>
      </c>
    </row>
    <row r="960" spans="1:13" ht="15.75">
      <c r="A960">
        <v>2021</v>
      </c>
      <c r="B960" s="777">
        <v>44387</v>
      </c>
      <c r="C960" s="730">
        <v>2.0833333333333332E-2</v>
      </c>
      <c r="D960" s="777">
        <v>44387</v>
      </c>
      <c r="E960" s="730">
        <v>0.20833333333333334</v>
      </c>
      <c r="F960" s="558" t="s">
        <v>3629</v>
      </c>
      <c r="G960" s="558" t="s">
        <v>4918</v>
      </c>
      <c r="H960" s="558" t="s">
        <v>2753</v>
      </c>
      <c r="I960" s="679" t="s">
        <v>4905</v>
      </c>
      <c r="J960" s="676" t="s">
        <v>5873</v>
      </c>
      <c r="K960" s="676">
        <v>212500</v>
      </c>
      <c r="M960" t="str">
        <f>""</f>
        <v/>
      </c>
    </row>
    <row r="961" spans="1:13" ht="15.75">
      <c r="A961">
        <v>2021</v>
      </c>
      <c r="B961" s="777">
        <v>44387</v>
      </c>
      <c r="C961" s="730">
        <v>2.0833333333333332E-2</v>
      </c>
      <c r="D961" s="777">
        <v>44387</v>
      </c>
      <c r="E961" s="730">
        <v>0.20833333333333334</v>
      </c>
      <c r="F961" s="558" t="s">
        <v>4917</v>
      </c>
      <c r="G961" s="558" t="s">
        <v>4918</v>
      </c>
      <c r="H961" s="558" t="s">
        <v>2753</v>
      </c>
      <c r="I961" s="679" t="s">
        <v>4905</v>
      </c>
      <c r="J961" s="676" t="s">
        <v>5873</v>
      </c>
      <c r="K961" s="676">
        <v>211500</v>
      </c>
      <c r="M961" t="str">
        <f>""</f>
        <v/>
      </c>
    </row>
    <row r="962" spans="1:13" ht="15.75">
      <c r="A962">
        <v>2011</v>
      </c>
      <c r="B962" s="777">
        <v>40569</v>
      </c>
      <c r="C962" s="730">
        <v>0.70833333333333337</v>
      </c>
      <c r="D962" s="777">
        <v>40574</v>
      </c>
      <c r="E962" s="730">
        <v>0.33333333333333331</v>
      </c>
      <c r="F962" s="558" t="s">
        <v>2122</v>
      </c>
      <c r="G962" s="558" t="s">
        <v>826</v>
      </c>
      <c r="H962" s="558" t="s">
        <v>5873</v>
      </c>
      <c r="I962" s="679" t="s">
        <v>40</v>
      </c>
      <c r="J962" s="676" t="s">
        <v>5873</v>
      </c>
      <c r="K962" s="676">
        <v>210000</v>
      </c>
      <c r="M962" t="str">
        <f>""</f>
        <v/>
      </c>
    </row>
    <row r="963" spans="1:13" ht="15.75">
      <c r="A963">
        <v>2012</v>
      </c>
      <c r="B963" s="777">
        <v>41211</v>
      </c>
      <c r="C963" s="730">
        <v>41211</v>
      </c>
      <c r="D963" s="777">
        <v>41222.999305555553</v>
      </c>
      <c r="E963" s="730">
        <v>41222.999305555553</v>
      </c>
      <c r="F963" s="558" t="s">
        <v>2402</v>
      </c>
      <c r="G963" s="558" t="s">
        <v>826</v>
      </c>
      <c r="H963" s="558" t="s">
        <v>5873</v>
      </c>
      <c r="I963" s="679" t="s">
        <v>2448</v>
      </c>
      <c r="J963" s="676">
        <v>0</v>
      </c>
      <c r="K963" s="676">
        <v>208000</v>
      </c>
      <c r="M963" t="str">
        <f>""</f>
        <v/>
      </c>
    </row>
    <row r="964" spans="1:13" ht="15.75">
      <c r="A964">
        <v>2012</v>
      </c>
      <c r="B964" s="777">
        <v>41090</v>
      </c>
      <c r="C964" s="730">
        <v>5.2083333333333336E-2</v>
      </c>
      <c r="D964" s="777">
        <v>41097</v>
      </c>
      <c r="E964" s="730">
        <v>0.73124999999999996</v>
      </c>
      <c r="F964" s="558" t="s">
        <v>2407</v>
      </c>
      <c r="G964" s="558" t="s">
        <v>826</v>
      </c>
      <c r="H964" s="558" t="s">
        <v>5873</v>
      </c>
      <c r="I964" s="679" t="s">
        <v>2368</v>
      </c>
      <c r="J964" s="676" t="s">
        <v>5873</v>
      </c>
      <c r="K964" s="676">
        <v>205000</v>
      </c>
      <c r="M964" t="str">
        <f>""</f>
        <v/>
      </c>
    </row>
    <row r="965" spans="1:13" ht="15.75">
      <c r="A965">
        <v>2021</v>
      </c>
      <c r="B965" s="777">
        <v>44452</v>
      </c>
      <c r="C965" s="730">
        <v>0.99930555555555556</v>
      </c>
      <c r="D965" s="777" t="s">
        <v>5873</v>
      </c>
      <c r="E965" s="730" t="s">
        <v>5873</v>
      </c>
      <c r="F965" s="558" t="s">
        <v>2809</v>
      </c>
      <c r="G965" s="558" t="s">
        <v>1352</v>
      </c>
      <c r="H965" s="558" t="s">
        <v>2753</v>
      </c>
      <c r="I965" s="679" t="s">
        <v>22</v>
      </c>
      <c r="J965" s="676" t="s">
        <v>5873</v>
      </c>
      <c r="K965" s="676">
        <v>204280</v>
      </c>
      <c r="M965" t="str">
        <f>""</f>
        <v/>
      </c>
    </row>
    <row r="966" spans="1:13" ht="15.75">
      <c r="A966">
        <v>2011</v>
      </c>
      <c r="B966" s="777">
        <v>40842</v>
      </c>
      <c r="C966" s="730">
        <v>0.20833333333333334</v>
      </c>
      <c r="D966" s="777">
        <v>40843</v>
      </c>
      <c r="E966" s="730">
        <v>0.625</v>
      </c>
      <c r="F966" s="558" t="s">
        <v>2316</v>
      </c>
      <c r="G966" s="558" t="s">
        <v>124</v>
      </c>
      <c r="H966" s="558" t="s">
        <v>5873</v>
      </c>
      <c r="I966" s="679" t="s">
        <v>22</v>
      </c>
      <c r="J966" s="676" t="s">
        <v>5873</v>
      </c>
      <c r="K966" s="676">
        <v>204000</v>
      </c>
      <c r="M966" t="str">
        <f>""</f>
        <v/>
      </c>
    </row>
    <row r="967" spans="1:13" ht="15.75">
      <c r="A967">
        <v>2016</v>
      </c>
      <c r="B967" s="777">
        <v>42559</v>
      </c>
      <c r="C967" s="730">
        <v>0.86805555555555558</v>
      </c>
      <c r="D967" s="777">
        <v>42560</v>
      </c>
      <c r="E967" s="730">
        <v>0.80902777777777779</v>
      </c>
      <c r="F967" s="558" t="s">
        <v>2482</v>
      </c>
      <c r="G967" s="558" t="s">
        <v>63</v>
      </c>
      <c r="H967" s="558" t="s">
        <v>2753</v>
      </c>
      <c r="I967" s="679" t="s">
        <v>22</v>
      </c>
      <c r="J967" s="676">
        <v>600</v>
      </c>
      <c r="K967" s="676">
        <v>203345</v>
      </c>
      <c r="M967" t="str">
        <f>""</f>
        <v/>
      </c>
    </row>
    <row r="968" spans="1:13" ht="15.75">
      <c r="A968">
        <v>2020</v>
      </c>
      <c r="B968" s="777">
        <v>44037</v>
      </c>
      <c r="C968" s="730">
        <v>0.83194444444444449</v>
      </c>
      <c r="D968" s="777">
        <v>44039</v>
      </c>
      <c r="E968" s="730">
        <v>0.79166666666666663</v>
      </c>
      <c r="F968" s="558" t="s">
        <v>4347</v>
      </c>
      <c r="G968" s="558" t="s">
        <v>1352</v>
      </c>
      <c r="H968" s="558" t="s">
        <v>3451</v>
      </c>
      <c r="I968" s="679" t="s">
        <v>22</v>
      </c>
      <c r="J968" s="676" t="s">
        <v>5873</v>
      </c>
      <c r="K968" s="676">
        <v>201208</v>
      </c>
      <c r="M968" t="str">
        <f>""</f>
        <v/>
      </c>
    </row>
    <row r="969" spans="1:13" ht="15.75">
      <c r="A969">
        <v>2011</v>
      </c>
      <c r="B969" s="777">
        <v>40752</v>
      </c>
      <c r="C969" s="730">
        <v>9.7222222222222224E-3</v>
      </c>
      <c r="D969" s="777">
        <v>40753</v>
      </c>
      <c r="E969" s="730">
        <v>0.5</v>
      </c>
      <c r="F969" s="558" t="s">
        <v>2259</v>
      </c>
      <c r="G969" s="558" t="s">
        <v>826</v>
      </c>
      <c r="H969" s="558" t="s">
        <v>5873</v>
      </c>
      <c r="I969" s="679" t="s">
        <v>22</v>
      </c>
      <c r="J969" s="676" t="s">
        <v>5873</v>
      </c>
      <c r="K969" s="676">
        <v>201000</v>
      </c>
      <c r="M969" t="str">
        <f>""</f>
        <v/>
      </c>
    </row>
    <row r="970" spans="1:13" ht="15.75">
      <c r="A970">
        <v>2011</v>
      </c>
      <c r="B970" s="777">
        <v>40781</v>
      </c>
      <c r="C970" s="730">
        <v>2.0833333333333332E-2</v>
      </c>
      <c r="D970" s="777">
        <v>40783</v>
      </c>
      <c r="E970" s="730">
        <v>2.0833333333333332E-2</v>
      </c>
      <c r="F970" s="558" t="s">
        <v>171</v>
      </c>
      <c r="G970" s="558" t="s">
        <v>826</v>
      </c>
      <c r="H970" s="558" t="s">
        <v>5873</v>
      </c>
      <c r="I970" s="679" t="s">
        <v>22</v>
      </c>
      <c r="J970" s="676" t="s">
        <v>5873</v>
      </c>
      <c r="K970" s="676">
        <v>200717</v>
      </c>
      <c r="M970" t="str">
        <f>""</f>
        <v/>
      </c>
    </row>
    <row r="971" spans="1:13" ht="15.75">
      <c r="A971">
        <v>2021</v>
      </c>
      <c r="B971" s="777">
        <v>44546</v>
      </c>
      <c r="C971" s="730">
        <v>0.25</v>
      </c>
      <c r="D971" s="777">
        <v>44546</v>
      </c>
      <c r="E971" s="730">
        <v>0.83333333333333337</v>
      </c>
      <c r="F971" s="558" t="s">
        <v>5134</v>
      </c>
      <c r="G971" s="558" t="s">
        <v>674</v>
      </c>
      <c r="H971" s="558" t="s">
        <v>2753</v>
      </c>
      <c r="I971" s="679" t="s">
        <v>22</v>
      </c>
      <c r="J971" s="676" t="s">
        <v>5873</v>
      </c>
      <c r="K971" s="676">
        <v>200675</v>
      </c>
      <c r="M971" t="str">
        <f>""</f>
        <v/>
      </c>
    </row>
    <row r="972" spans="1:13" ht="15.75">
      <c r="A972">
        <v>2012</v>
      </c>
      <c r="B972" s="777">
        <v>41211.781944444447</v>
      </c>
      <c r="C972" s="730">
        <v>41211.781944444447</v>
      </c>
      <c r="D972" s="777">
        <v>41216</v>
      </c>
      <c r="E972" s="730">
        <v>41211.447916666664</v>
      </c>
      <c r="F972" s="558" t="s">
        <v>2458</v>
      </c>
      <c r="G972" s="558" t="s">
        <v>2459</v>
      </c>
      <c r="H972" s="558" t="s">
        <v>5873</v>
      </c>
      <c r="I972" s="679" t="s">
        <v>2448</v>
      </c>
      <c r="J972" s="676" t="s">
        <v>5873</v>
      </c>
      <c r="K972" s="676">
        <v>200000</v>
      </c>
      <c r="M972" t="str">
        <f>""</f>
        <v/>
      </c>
    </row>
    <row r="973" spans="1:13" ht="15.75">
      <c r="A973">
        <v>2013</v>
      </c>
      <c r="B973" s="777">
        <v>41595</v>
      </c>
      <c r="C973" s="730">
        <v>0.52430555555555558</v>
      </c>
      <c r="D973" s="777">
        <v>41598</v>
      </c>
      <c r="E973" s="730">
        <v>0.45833333333333331</v>
      </c>
      <c r="F973" s="558" t="s">
        <v>2625</v>
      </c>
      <c r="G973" s="558" t="s">
        <v>63</v>
      </c>
      <c r="H973" s="558" t="s">
        <v>5873</v>
      </c>
      <c r="I973" s="679" t="s">
        <v>2623</v>
      </c>
      <c r="J973" s="676" t="s">
        <v>5873</v>
      </c>
      <c r="K973" s="676">
        <v>200000</v>
      </c>
      <c r="M973" t="str">
        <f>""</f>
        <v/>
      </c>
    </row>
    <row r="974" spans="1:13" ht="15.75">
      <c r="A974">
        <v>2014</v>
      </c>
      <c r="B974" s="777">
        <v>41682</v>
      </c>
      <c r="C974" s="730">
        <v>0.50694444444444442</v>
      </c>
      <c r="D974" s="777">
        <v>41685</v>
      </c>
      <c r="E974" s="730">
        <v>0.63888888888888884</v>
      </c>
      <c r="F974" s="558" t="s">
        <v>2482</v>
      </c>
      <c r="G974" s="558" t="s">
        <v>63</v>
      </c>
      <c r="H974" s="558" t="s">
        <v>5873</v>
      </c>
      <c r="I974" s="679" t="s">
        <v>2662</v>
      </c>
      <c r="J974" s="676" t="s">
        <v>5873</v>
      </c>
      <c r="K974" s="676">
        <v>200000</v>
      </c>
      <c r="M974" t="str">
        <f>""</f>
        <v/>
      </c>
    </row>
    <row r="975" spans="1:13" ht="15.75">
      <c r="A975">
        <v>2015</v>
      </c>
      <c r="B975" s="777">
        <v>42178</v>
      </c>
      <c r="C975" s="730">
        <v>0.72916666666666663</v>
      </c>
      <c r="D975" s="777">
        <v>42178</v>
      </c>
      <c r="E975" s="730">
        <v>0.79166666666666663</v>
      </c>
      <c r="F975" s="558" t="s">
        <v>2784</v>
      </c>
      <c r="G975" s="558" t="s">
        <v>826</v>
      </c>
      <c r="H975" s="558" t="s">
        <v>2753</v>
      </c>
      <c r="I975" s="679" t="s">
        <v>22</v>
      </c>
      <c r="J975" s="676" t="s">
        <v>5873</v>
      </c>
      <c r="K975" s="676">
        <v>200000</v>
      </c>
      <c r="M975" t="str">
        <f>""</f>
        <v/>
      </c>
    </row>
    <row r="976" spans="1:13" ht="15.75">
      <c r="A976">
        <v>2021</v>
      </c>
      <c r="B976" s="777">
        <v>44242</v>
      </c>
      <c r="C976" s="730">
        <v>0.28541666666666665</v>
      </c>
      <c r="D976" s="777">
        <v>44243</v>
      </c>
      <c r="E976" s="730">
        <v>0.55486111111111114</v>
      </c>
      <c r="F976" s="558" t="s">
        <v>3693</v>
      </c>
      <c r="G976" s="558" t="s">
        <v>674</v>
      </c>
      <c r="H976" s="558" t="s">
        <v>3750</v>
      </c>
      <c r="I976" s="679" t="s">
        <v>22</v>
      </c>
      <c r="J976" s="676">
        <v>350</v>
      </c>
      <c r="K976" s="676">
        <v>200000</v>
      </c>
      <c r="M976" t="str">
        <f>""</f>
        <v/>
      </c>
    </row>
    <row r="977" spans="1:13" ht="15.75">
      <c r="A977">
        <v>2023</v>
      </c>
      <c r="B977" s="777">
        <v>44988</v>
      </c>
      <c r="C977" s="730">
        <v>0.74305555555555558</v>
      </c>
      <c r="D977" s="777">
        <v>44990</v>
      </c>
      <c r="E977" s="730">
        <v>0.50069444444444444</v>
      </c>
      <c r="F977" s="558" t="s">
        <v>3307</v>
      </c>
      <c r="G977" s="558" t="s">
        <v>3143</v>
      </c>
      <c r="H977" s="558" t="s">
        <v>2753</v>
      </c>
      <c r="I977" s="679" t="s">
        <v>22</v>
      </c>
      <c r="J977" s="676">
        <v>0</v>
      </c>
      <c r="K977" s="676">
        <v>200000</v>
      </c>
      <c r="M977" t="str">
        <f>""</f>
        <v/>
      </c>
    </row>
    <row r="978" spans="1:13" ht="15.75">
      <c r="A978">
        <v>2015</v>
      </c>
      <c r="B978" s="777">
        <v>42121</v>
      </c>
      <c r="C978" s="730">
        <v>0.4375</v>
      </c>
      <c r="D978" s="777">
        <v>42122</v>
      </c>
      <c r="E978" s="730">
        <v>0.78125</v>
      </c>
      <c r="F978" s="558" t="s">
        <v>2772</v>
      </c>
      <c r="G978" s="558" t="s">
        <v>63</v>
      </c>
      <c r="H978" s="558" t="s">
        <v>2753</v>
      </c>
      <c r="I978" s="679" t="s">
        <v>22</v>
      </c>
      <c r="J978" s="676" t="s">
        <v>5873</v>
      </c>
      <c r="K978" s="676">
        <v>199000</v>
      </c>
      <c r="M978" t="str">
        <f>""</f>
        <v/>
      </c>
    </row>
    <row r="979" spans="1:13" ht="15.75">
      <c r="A979">
        <v>2022</v>
      </c>
      <c r="B979" s="777">
        <v>44802</v>
      </c>
      <c r="C979" s="730">
        <v>0.625</v>
      </c>
      <c r="D979" s="777">
        <v>44805</v>
      </c>
      <c r="E979" s="730">
        <v>0.375</v>
      </c>
      <c r="F979" s="558" t="s">
        <v>5494</v>
      </c>
      <c r="G979" s="558" t="s">
        <v>3143</v>
      </c>
      <c r="H979" s="558" t="s">
        <v>2753</v>
      </c>
      <c r="I979" s="679" t="s">
        <v>22</v>
      </c>
      <c r="J979" s="676" t="s">
        <v>5873</v>
      </c>
      <c r="K979" s="676">
        <v>197740</v>
      </c>
      <c r="M979" t="str">
        <f>""</f>
        <v/>
      </c>
    </row>
    <row r="980" spans="1:13" ht="15.75">
      <c r="A980">
        <v>2013</v>
      </c>
      <c r="B980" s="777">
        <v>41416</v>
      </c>
      <c r="C980" s="730">
        <v>0.45208333333333334</v>
      </c>
      <c r="D980" s="777">
        <v>41416</v>
      </c>
      <c r="E980" s="730">
        <v>0.45624999999999999</v>
      </c>
      <c r="F980" s="558" t="s">
        <v>2538</v>
      </c>
      <c r="G980" s="558" t="s">
        <v>5873</v>
      </c>
      <c r="H980" s="558" t="s">
        <v>5873</v>
      </c>
      <c r="I980" s="679" t="s">
        <v>968</v>
      </c>
      <c r="J980" s="676">
        <v>280</v>
      </c>
      <c r="K980" s="676">
        <v>197287</v>
      </c>
      <c r="M980" t="str">
        <f>""</f>
        <v/>
      </c>
    </row>
    <row r="981" spans="1:13" ht="15.75">
      <c r="A981">
        <v>2011</v>
      </c>
      <c r="B981" s="777">
        <v>40742</v>
      </c>
      <c r="C981" s="730">
        <v>0.70833333333333337</v>
      </c>
      <c r="D981" s="777">
        <v>40748</v>
      </c>
      <c r="E981" s="730">
        <v>0.5625</v>
      </c>
      <c r="F981" s="558" t="s">
        <v>420</v>
      </c>
      <c r="G981" s="558" t="s">
        <v>826</v>
      </c>
      <c r="H981" s="558" t="s">
        <v>5873</v>
      </c>
      <c r="I981" s="679" t="s">
        <v>22</v>
      </c>
      <c r="J981" s="676" t="s">
        <v>5873</v>
      </c>
      <c r="K981" s="676">
        <v>197166</v>
      </c>
      <c r="M981" t="str">
        <f>""</f>
        <v/>
      </c>
    </row>
    <row r="982" spans="1:13" ht="15.75">
      <c r="A982">
        <v>2011</v>
      </c>
      <c r="B982" s="777">
        <v>40845</v>
      </c>
      <c r="C982" s="730">
        <v>0.60416666666666663</v>
      </c>
      <c r="D982" s="777">
        <v>40853</v>
      </c>
      <c r="E982" s="730">
        <v>0.5</v>
      </c>
      <c r="F982" s="558" t="s">
        <v>2288</v>
      </c>
      <c r="G982" s="558" t="s">
        <v>826</v>
      </c>
      <c r="H982" s="558" t="s">
        <v>5873</v>
      </c>
      <c r="I982" s="679" t="s">
        <v>22</v>
      </c>
      <c r="J982" s="676">
        <v>125</v>
      </c>
      <c r="K982" s="676">
        <v>197000</v>
      </c>
      <c r="M982" t="str">
        <f>""</f>
        <v/>
      </c>
    </row>
    <row r="983" spans="1:13" ht="15.75">
      <c r="A983">
        <v>2013</v>
      </c>
      <c r="B983" s="777">
        <v>41446</v>
      </c>
      <c r="C983" s="730">
        <v>0.125</v>
      </c>
      <c r="D983" s="777">
        <v>41451</v>
      </c>
      <c r="E983" s="730">
        <v>0.5</v>
      </c>
      <c r="F983" s="558" t="s">
        <v>675</v>
      </c>
      <c r="G983" s="558" t="s">
        <v>674</v>
      </c>
      <c r="H983" s="558" t="s">
        <v>5873</v>
      </c>
      <c r="I983" s="679" t="s">
        <v>2558</v>
      </c>
      <c r="J983" s="676" t="s">
        <v>5873</v>
      </c>
      <c r="K983" s="676">
        <v>193000</v>
      </c>
      <c r="M983" t="str">
        <f>""</f>
        <v/>
      </c>
    </row>
    <row r="984" spans="1:13" ht="15.75">
      <c r="A984" s="728">
        <v>2010</v>
      </c>
      <c r="B984" s="777">
        <v>40477</v>
      </c>
      <c r="C984" s="730">
        <v>0.375</v>
      </c>
      <c r="D984" s="777">
        <v>40479</v>
      </c>
      <c r="E984" s="730">
        <v>0.45833333333333331</v>
      </c>
      <c r="F984" s="558" t="s">
        <v>156</v>
      </c>
      <c r="G984" s="558" t="s">
        <v>826</v>
      </c>
      <c r="H984" s="558" t="s">
        <v>5873</v>
      </c>
      <c r="I984" s="679" t="s">
        <v>381</v>
      </c>
      <c r="J984" s="676" t="s">
        <v>5873</v>
      </c>
      <c r="K984" s="676">
        <v>192106</v>
      </c>
      <c r="M984" t="str">
        <f>""</f>
        <v/>
      </c>
    </row>
    <row r="985" spans="1:13" ht="15.75">
      <c r="A985" s="728">
        <v>2010</v>
      </c>
      <c r="B985" s="777">
        <v>40223</v>
      </c>
      <c r="C985" s="730">
        <v>0.41666666666666669</v>
      </c>
      <c r="D985" s="777">
        <v>40223</v>
      </c>
      <c r="E985" s="730">
        <v>0.5</v>
      </c>
      <c r="F985" s="558" t="s">
        <v>1883</v>
      </c>
      <c r="G985" s="558" t="s">
        <v>826</v>
      </c>
      <c r="H985" s="558" t="s">
        <v>5873</v>
      </c>
      <c r="I985" s="679" t="s">
        <v>40</v>
      </c>
      <c r="J985" s="676">
        <v>900</v>
      </c>
      <c r="K985" s="676">
        <v>190000</v>
      </c>
      <c r="M985" t="str">
        <f>""</f>
        <v/>
      </c>
    </row>
    <row r="986" spans="1:13" ht="15.75">
      <c r="A986">
        <v>2011</v>
      </c>
      <c r="B986" s="777">
        <v>40575</v>
      </c>
      <c r="C986" s="730">
        <v>0.875</v>
      </c>
      <c r="D986" s="777">
        <v>40576</v>
      </c>
      <c r="E986" s="730">
        <v>0.58333333333333337</v>
      </c>
      <c r="F986" s="558" t="s">
        <v>156</v>
      </c>
      <c r="G986" s="558" t="s">
        <v>826</v>
      </c>
      <c r="H986" s="558" t="s">
        <v>5873</v>
      </c>
      <c r="I986" s="679" t="s">
        <v>40</v>
      </c>
      <c r="J986" s="676" t="s">
        <v>5873</v>
      </c>
      <c r="K986" s="676">
        <v>190000</v>
      </c>
      <c r="M986" t="str">
        <f>""</f>
        <v/>
      </c>
    </row>
    <row r="987" spans="1:13" ht="15.75">
      <c r="A987">
        <v>2012</v>
      </c>
      <c r="B987" s="777">
        <v>41085</v>
      </c>
      <c r="C987" s="730">
        <v>0.6694444444444444</v>
      </c>
      <c r="D987" s="777">
        <v>41086</v>
      </c>
      <c r="E987" s="730">
        <v>0.57291666666666663</v>
      </c>
      <c r="F987" s="558" t="s">
        <v>459</v>
      </c>
      <c r="G987" s="558" t="s">
        <v>63</v>
      </c>
      <c r="H987" s="558" t="s">
        <v>5873</v>
      </c>
      <c r="I987" s="679" t="s">
        <v>2396</v>
      </c>
      <c r="J987" s="676">
        <v>600</v>
      </c>
      <c r="K987" s="676">
        <v>190000</v>
      </c>
      <c r="M987" t="str">
        <f>""</f>
        <v/>
      </c>
    </row>
    <row r="988" spans="1:13" ht="15.75">
      <c r="A988">
        <v>2013</v>
      </c>
      <c r="B988" s="777">
        <v>41595</v>
      </c>
      <c r="C988" s="730">
        <v>0.60486111111111107</v>
      </c>
      <c r="D988" s="777">
        <v>41595</v>
      </c>
      <c r="E988" s="730">
        <v>0.9375</v>
      </c>
      <c r="F988" s="558" t="s">
        <v>2627</v>
      </c>
      <c r="G988" s="558" t="s">
        <v>826</v>
      </c>
      <c r="H988" s="558" t="s">
        <v>5873</v>
      </c>
      <c r="I988" s="679" t="s">
        <v>2368</v>
      </c>
      <c r="J988" s="676" t="s">
        <v>5873</v>
      </c>
      <c r="K988" s="676">
        <v>190000</v>
      </c>
      <c r="M988" t="str">
        <f>""</f>
        <v/>
      </c>
    </row>
    <row r="989" spans="1:13" ht="15.75">
      <c r="A989">
        <v>2022</v>
      </c>
      <c r="B989" s="777">
        <v>44808</v>
      </c>
      <c r="C989" s="730">
        <v>0.66666666666666663</v>
      </c>
      <c r="D989" s="777">
        <v>44810</v>
      </c>
      <c r="E989" s="730">
        <v>0.33333333333333331</v>
      </c>
      <c r="F989" s="558" t="s">
        <v>5501</v>
      </c>
      <c r="G989" s="558" t="s">
        <v>1352</v>
      </c>
      <c r="H989" s="558" t="s">
        <v>2753</v>
      </c>
      <c r="I989" s="679" t="s">
        <v>22</v>
      </c>
      <c r="J989" s="676" t="s">
        <v>5873</v>
      </c>
      <c r="K989" s="676">
        <v>190000</v>
      </c>
      <c r="M989" t="str">
        <f>""</f>
        <v/>
      </c>
    </row>
    <row r="990" spans="1:13" ht="15.75">
      <c r="A990">
        <v>2023</v>
      </c>
      <c r="B990" s="777">
        <v>45177</v>
      </c>
      <c r="C990" s="532">
        <v>0.98888888888888893</v>
      </c>
      <c r="D990" s="678">
        <v>45179</v>
      </c>
      <c r="E990" s="532">
        <v>0.79166666666666663</v>
      </c>
      <c r="F990" t="s">
        <v>5930</v>
      </c>
      <c r="G990" t="s">
        <v>1352</v>
      </c>
      <c r="H990" t="s">
        <v>2753</v>
      </c>
      <c r="I990" s="677" t="s">
        <v>5883</v>
      </c>
      <c r="J990" s="785" t="s">
        <v>5873</v>
      </c>
      <c r="K990" s="783">
        <v>190000</v>
      </c>
      <c r="M990" t="str">
        <f>""</f>
        <v/>
      </c>
    </row>
    <row r="991" spans="1:13" ht="15.75">
      <c r="A991">
        <v>2017</v>
      </c>
      <c r="B991" s="777">
        <v>42882</v>
      </c>
      <c r="C991" s="730">
        <v>0.96527777777777779</v>
      </c>
      <c r="D991" s="777" t="s">
        <v>5873</v>
      </c>
      <c r="E991" s="730" t="s">
        <v>5873</v>
      </c>
      <c r="F991" s="558" t="s">
        <v>2882</v>
      </c>
      <c r="G991" s="558" t="s">
        <v>63</v>
      </c>
      <c r="H991" s="558" t="s">
        <v>2753</v>
      </c>
      <c r="I991" s="679" t="s">
        <v>22</v>
      </c>
      <c r="J991" s="676">
        <v>391</v>
      </c>
      <c r="K991" s="676">
        <v>188000</v>
      </c>
      <c r="M991" t="str">
        <f>""</f>
        <v/>
      </c>
    </row>
    <row r="992" spans="1:13" ht="15.75">
      <c r="A992">
        <v>2021</v>
      </c>
      <c r="B992" s="777">
        <v>44206</v>
      </c>
      <c r="C992" s="730">
        <v>0.94722222222222219</v>
      </c>
      <c r="D992" s="777">
        <v>44209</v>
      </c>
      <c r="E992" s="730">
        <v>0.66666666666666663</v>
      </c>
      <c r="F992" s="558" t="s">
        <v>4649</v>
      </c>
      <c r="G992" s="558" t="s">
        <v>1352</v>
      </c>
      <c r="H992" s="558" t="s">
        <v>3451</v>
      </c>
      <c r="I992" s="679" t="s">
        <v>22</v>
      </c>
      <c r="J992" s="676" t="s">
        <v>5873</v>
      </c>
      <c r="K992" s="676">
        <v>188000</v>
      </c>
      <c r="M992" t="str">
        <f>""</f>
        <v/>
      </c>
    </row>
    <row r="993" spans="1:13" ht="15.75">
      <c r="A993">
        <v>2021</v>
      </c>
      <c r="B993" s="777">
        <v>44387</v>
      </c>
      <c r="C993" s="730">
        <v>0</v>
      </c>
      <c r="D993" s="777">
        <v>44388</v>
      </c>
      <c r="E993" s="730">
        <v>0.66666666666666663</v>
      </c>
      <c r="F993" s="558" t="s">
        <v>3642</v>
      </c>
      <c r="G993" s="558" t="s">
        <v>674</v>
      </c>
      <c r="H993" s="558" t="s">
        <v>2753</v>
      </c>
      <c r="I993" s="679" t="s">
        <v>22</v>
      </c>
      <c r="J993" s="676" t="s">
        <v>5873</v>
      </c>
      <c r="K993" s="676">
        <v>188000</v>
      </c>
      <c r="M993" t="str">
        <f>""</f>
        <v/>
      </c>
    </row>
    <row r="994" spans="1:13" ht="15.75">
      <c r="A994">
        <v>2020</v>
      </c>
      <c r="B994" s="777">
        <v>44050</v>
      </c>
      <c r="C994" s="730">
        <v>0.21736111111111112</v>
      </c>
      <c r="D994" s="777" t="s">
        <v>5873</v>
      </c>
      <c r="E994" s="730" t="s">
        <v>5873</v>
      </c>
      <c r="F994" s="558" t="s">
        <v>4386</v>
      </c>
      <c r="G994" s="558" t="s">
        <v>61</v>
      </c>
      <c r="H994" s="558" t="s">
        <v>3910</v>
      </c>
      <c r="I994" s="679" t="s">
        <v>22</v>
      </c>
      <c r="J994" s="676">
        <v>500</v>
      </c>
      <c r="K994" s="676">
        <v>187068</v>
      </c>
      <c r="M994" t="str">
        <f>""</f>
        <v/>
      </c>
    </row>
    <row r="995" spans="1:13" ht="15.75">
      <c r="A995">
        <v>2020</v>
      </c>
      <c r="B995" s="777">
        <v>44111</v>
      </c>
      <c r="C995" s="730">
        <v>0.78472222222222221</v>
      </c>
      <c r="D995" s="777">
        <v>44113</v>
      </c>
      <c r="E995" s="730">
        <v>0.625</v>
      </c>
      <c r="F995" s="558" t="s">
        <v>3264</v>
      </c>
      <c r="G995" s="558" t="s">
        <v>61</v>
      </c>
      <c r="H995" s="558" t="s">
        <v>3451</v>
      </c>
      <c r="I995" s="679" t="s">
        <v>22</v>
      </c>
      <c r="J995" s="676" t="s">
        <v>5873</v>
      </c>
      <c r="K995" s="676">
        <v>186600</v>
      </c>
      <c r="M995" t="str">
        <f>""</f>
        <v/>
      </c>
    </row>
    <row r="996" spans="1:13" ht="15.75">
      <c r="A996">
        <v>2014</v>
      </c>
      <c r="B996" s="777">
        <v>41967</v>
      </c>
      <c r="C996" s="730">
        <v>0.5</v>
      </c>
      <c r="D996" s="777">
        <v>41970</v>
      </c>
      <c r="E996" s="730">
        <v>0.54166666666666663</v>
      </c>
      <c r="F996" s="558" t="s">
        <v>1833</v>
      </c>
      <c r="G996" s="558" t="s">
        <v>826</v>
      </c>
      <c r="H996" s="558" t="s">
        <v>5873</v>
      </c>
      <c r="I996" s="679" t="s">
        <v>2680</v>
      </c>
      <c r="J996" s="676" t="s">
        <v>5873</v>
      </c>
      <c r="K996" s="676">
        <v>186154</v>
      </c>
      <c r="M996" t="str">
        <f>""</f>
        <v/>
      </c>
    </row>
    <row r="997" spans="1:13" ht="15.75">
      <c r="A997">
        <v>2015</v>
      </c>
      <c r="B997" s="777">
        <v>42051</v>
      </c>
      <c r="C997" s="730">
        <v>0.90347222222222223</v>
      </c>
      <c r="D997" s="777">
        <v>42053</v>
      </c>
      <c r="E997" s="730">
        <v>0.29166666666666669</v>
      </c>
      <c r="F997" s="558" t="s">
        <v>2754</v>
      </c>
      <c r="G997" s="558" t="s">
        <v>63</v>
      </c>
      <c r="H997" s="558" t="s">
        <v>2753</v>
      </c>
      <c r="I997" s="679" t="s">
        <v>2745</v>
      </c>
      <c r="J997" s="676">
        <v>620</v>
      </c>
      <c r="K997" s="676">
        <v>186035</v>
      </c>
      <c r="M997" t="str">
        <f>""</f>
        <v/>
      </c>
    </row>
    <row r="998" spans="1:13" ht="15.75">
      <c r="A998">
        <v>2023</v>
      </c>
      <c r="B998" s="777">
        <v>44933</v>
      </c>
      <c r="C998" s="730">
        <v>0.91666666666666663</v>
      </c>
      <c r="D998" s="777">
        <v>44934</v>
      </c>
      <c r="E998" s="730">
        <v>0.875</v>
      </c>
      <c r="F998" s="558" t="s">
        <v>3616</v>
      </c>
      <c r="G998" s="558" t="s">
        <v>124</v>
      </c>
      <c r="H998" s="558" t="s">
        <v>2753</v>
      </c>
      <c r="I998" s="679" t="s">
        <v>22</v>
      </c>
      <c r="J998" s="676">
        <v>458</v>
      </c>
      <c r="K998" s="676">
        <v>185434</v>
      </c>
      <c r="M998" t="str">
        <f>""</f>
        <v/>
      </c>
    </row>
    <row r="999" spans="1:13" ht="15.75">
      <c r="A999">
        <v>2021</v>
      </c>
      <c r="B999" s="777">
        <v>44541</v>
      </c>
      <c r="C999" s="730">
        <v>0.46736111111111112</v>
      </c>
      <c r="D999" s="777">
        <v>44542</v>
      </c>
      <c r="E999" s="730">
        <v>0.96250000000000002</v>
      </c>
      <c r="F999" s="558" t="s">
        <v>3307</v>
      </c>
      <c r="G999" s="558" t="s">
        <v>674</v>
      </c>
      <c r="H999" s="558" t="s">
        <v>2753</v>
      </c>
      <c r="I999" s="679" t="s">
        <v>22</v>
      </c>
      <c r="J999" s="676" t="s">
        <v>5873</v>
      </c>
      <c r="K999" s="676">
        <v>182410</v>
      </c>
      <c r="M999" t="str">
        <f>""</f>
        <v/>
      </c>
    </row>
    <row r="1000" spans="1:13" ht="15.75">
      <c r="A1000">
        <v>2011</v>
      </c>
      <c r="B1000" s="777">
        <v>40726</v>
      </c>
      <c r="C1000" s="730">
        <v>0.84375</v>
      </c>
      <c r="D1000" s="777">
        <v>40730</v>
      </c>
      <c r="E1000" s="730">
        <v>0.91666666666666663</v>
      </c>
      <c r="F1000" s="558" t="s">
        <v>2243</v>
      </c>
      <c r="G1000" s="558" t="s">
        <v>826</v>
      </c>
      <c r="H1000" s="558" t="s">
        <v>5873</v>
      </c>
      <c r="I1000" s="679" t="s">
        <v>22</v>
      </c>
      <c r="J1000" s="676" t="s">
        <v>5873</v>
      </c>
      <c r="K1000" s="676">
        <v>182000</v>
      </c>
      <c r="M1000" t="str">
        <f>""</f>
        <v/>
      </c>
    </row>
    <row r="1001" spans="1:13" ht="15.75">
      <c r="A1001">
        <v>2015</v>
      </c>
      <c r="B1001" s="777">
        <v>42325</v>
      </c>
      <c r="C1001" s="730">
        <v>0.5625</v>
      </c>
      <c r="D1001" s="777" t="s">
        <v>5873</v>
      </c>
      <c r="E1001" s="730" t="s">
        <v>5873</v>
      </c>
      <c r="F1001" s="558" t="s">
        <v>2814</v>
      </c>
      <c r="G1001" s="558" t="s">
        <v>124</v>
      </c>
      <c r="H1001" s="558" t="s">
        <v>2753</v>
      </c>
      <c r="I1001" s="679" t="s">
        <v>22</v>
      </c>
      <c r="J1001" s="676" t="s">
        <v>5873</v>
      </c>
      <c r="K1001" s="676">
        <v>182000</v>
      </c>
      <c r="M1001" t="str">
        <f>""</f>
        <v/>
      </c>
    </row>
    <row r="1002" spans="1:13" ht="15.75">
      <c r="A1002">
        <v>2011</v>
      </c>
      <c r="B1002" s="777">
        <v>40768</v>
      </c>
      <c r="C1002" s="730">
        <v>0.69513888888888886</v>
      </c>
      <c r="D1002" s="777">
        <v>40769</v>
      </c>
      <c r="E1002" s="730">
        <v>0.79166666666666663</v>
      </c>
      <c r="F1002" s="558" t="s">
        <v>2270</v>
      </c>
      <c r="G1002" s="558" t="s">
        <v>63</v>
      </c>
      <c r="H1002" s="558" t="s">
        <v>5873</v>
      </c>
      <c r="I1002" s="679" t="s">
        <v>22</v>
      </c>
      <c r="J1002" s="676" t="s">
        <v>5873</v>
      </c>
      <c r="K1002" s="676">
        <v>181700</v>
      </c>
      <c r="M1002" t="str">
        <f>""</f>
        <v/>
      </c>
    </row>
    <row r="1003" spans="1:13" ht="15.75">
      <c r="A1003">
        <v>2012</v>
      </c>
      <c r="B1003" s="777">
        <v>41108.958333333336</v>
      </c>
      <c r="C1003" s="730">
        <v>41108.958333333336</v>
      </c>
      <c r="D1003" s="777">
        <v>41109.25</v>
      </c>
      <c r="E1003" s="730">
        <v>41109.25</v>
      </c>
      <c r="F1003" s="558" t="s">
        <v>156</v>
      </c>
      <c r="G1003" s="558" t="s">
        <v>826</v>
      </c>
      <c r="H1003" s="558" t="s">
        <v>5873</v>
      </c>
      <c r="I1003" s="679" t="s">
        <v>2368</v>
      </c>
      <c r="J1003" s="676" t="s">
        <v>5873</v>
      </c>
      <c r="K1003" s="676">
        <v>181000</v>
      </c>
      <c r="M1003" t="str">
        <f>""</f>
        <v/>
      </c>
    </row>
    <row r="1004" spans="1:13" ht="15.75">
      <c r="A1004">
        <v>2014</v>
      </c>
      <c r="B1004" s="777">
        <v>41675</v>
      </c>
      <c r="C1004" s="730">
        <v>0.33680555555555558</v>
      </c>
      <c r="D1004" s="777">
        <v>41675</v>
      </c>
      <c r="E1004" s="730">
        <v>0.33750000000000002</v>
      </c>
      <c r="F1004" s="558" t="s">
        <v>2153</v>
      </c>
      <c r="G1004" s="558" t="s">
        <v>826</v>
      </c>
      <c r="H1004" s="558" t="s">
        <v>5873</v>
      </c>
      <c r="I1004" s="679" t="s">
        <v>2664</v>
      </c>
      <c r="J1004" s="676">
        <v>800</v>
      </c>
      <c r="K1004" s="676">
        <v>181000</v>
      </c>
      <c r="M1004" t="str">
        <f>""</f>
        <v/>
      </c>
    </row>
    <row r="1005" spans="1:13" ht="15.75">
      <c r="A1005">
        <v>2014</v>
      </c>
      <c r="B1005" s="777">
        <v>41887</v>
      </c>
      <c r="C1005" s="730">
        <v>0.6875</v>
      </c>
      <c r="D1005" s="777">
        <v>41888</v>
      </c>
      <c r="E1005" s="730">
        <v>0.58333333333333337</v>
      </c>
      <c r="F1005" s="558" t="s">
        <v>33</v>
      </c>
      <c r="G1005" s="558" t="s">
        <v>826</v>
      </c>
      <c r="H1005" s="558" t="s">
        <v>5873</v>
      </c>
      <c r="I1005" s="679" t="s">
        <v>2368</v>
      </c>
      <c r="J1005" s="676" t="s">
        <v>5873</v>
      </c>
      <c r="K1005" s="676">
        <v>180400</v>
      </c>
      <c r="M1005" t="str">
        <f>""</f>
        <v/>
      </c>
    </row>
    <row r="1006" spans="1:13" ht="15.75">
      <c r="A1006" s="728">
        <v>2010</v>
      </c>
      <c r="B1006" s="777">
        <v>40250</v>
      </c>
      <c r="C1006" s="730">
        <v>0.66666666666666663</v>
      </c>
      <c r="D1006" s="777">
        <v>40253</v>
      </c>
      <c r="E1006" s="730">
        <v>0</v>
      </c>
      <c r="F1006" s="558" t="s">
        <v>1903</v>
      </c>
      <c r="G1006" s="558" t="s">
        <v>826</v>
      </c>
      <c r="H1006" s="558" t="s">
        <v>5873</v>
      </c>
      <c r="I1006" s="679" t="s">
        <v>1904</v>
      </c>
      <c r="J1006" s="676" t="s">
        <v>5873</v>
      </c>
      <c r="K1006" s="676">
        <v>180000</v>
      </c>
      <c r="M1006" t="str">
        <f>""</f>
        <v/>
      </c>
    </row>
    <row r="1007" spans="1:13" ht="15.75">
      <c r="A1007">
        <v>2011</v>
      </c>
      <c r="B1007" s="777">
        <v>40783</v>
      </c>
      <c r="C1007" s="730">
        <v>6.9444444444444447E-4</v>
      </c>
      <c r="D1007" s="777">
        <v>40785</v>
      </c>
      <c r="E1007" s="730">
        <v>6.9444444444444447E-4</v>
      </c>
      <c r="F1007" s="558" t="s">
        <v>2285</v>
      </c>
      <c r="G1007" s="558" t="s">
        <v>61</v>
      </c>
      <c r="H1007" s="558" t="s">
        <v>5873</v>
      </c>
      <c r="I1007" s="679" t="s">
        <v>22</v>
      </c>
      <c r="J1007" s="676" t="s">
        <v>5873</v>
      </c>
      <c r="K1007" s="676">
        <v>180000</v>
      </c>
      <c r="M1007" t="str">
        <f>""</f>
        <v/>
      </c>
    </row>
    <row r="1008" spans="1:13" ht="15.75">
      <c r="A1008">
        <v>2011</v>
      </c>
      <c r="B1008" s="777">
        <v>40576</v>
      </c>
      <c r="C1008" s="730">
        <v>0.30833333333333335</v>
      </c>
      <c r="D1008" s="777">
        <v>40576</v>
      </c>
      <c r="E1008" s="730">
        <v>0.93263888888888891</v>
      </c>
      <c r="F1008" s="558" t="s">
        <v>2134</v>
      </c>
      <c r="G1008" s="558" t="s">
        <v>124</v>
      </c>
      <c r="H1008" s="558" t="s">
        <v>5873</v>
      </c>
      <c r="I1008" s="679" t="s">
        <v>2132</v>
      </c>
      <c r="J1008" s="676">
        <v>280</v>
      </c>
      <c r="K1008" s="676">
        <v>178000</v>
      </c>
      <c r="M1008" t="str">
        <f>""</f>
        <v/>
      </c>
    </row>
    <row r="1009" spans="1:13" ht="15.75">
      <c r="A1009" s="728">
        <v>2010</v>
      </c>
      <c r="B1009" s="777">
        <v>40250</v>
      </c>
      <c r="C1009" s="730">
        <v>4.1666666666666664E-2</v>
      </c>
      <c r="D1009" s="777">
        <v>40253</v>
      </c>
      <c r="E1009" s="730">
        <v>0.77777777777777779</v>
      </c>
      <c r="F1009" s="558" t="s">
        <v>1897</v>
      </c>
      <c r="G1009" s="558" t="s">
        <v>826</v>
      </c>
      <c r="H1009" s="558" t="s">
        <v>5873</v>
      </c>
      <c r="I1009" s="679" t="s">
        <v>1898</v>
      </c>
      <c r="J1009" s="676" t="s">
        <v>5873</v>
      </c>
      <c r="K1009" s="676">
        <v>177528</v>
      </c>
      <c r="M1009" t="str">
        <f>""</f>
        <v/>
      </c>
    </row>
    <row r="1010" spans="1:13" ht="15.75">
      <c r="A1010">
        <v>2017</v>
      </c>
      <c r="B1010" s="777">
        <v>42924</v>
      </c>
      <c r="C1010" s="730">
        <v>0.78611111111111109</v>
      </c>
      <c r="D1010" s="777">
        <v>42925</v>
      </c>
      <c r="E1010" s="730">
        <v>0.33333333333333331</v>
      </c>
      <c r="F1010" s="558" t="s">
        <v>3060</v>
      </c>
      <c r="G1010" s="558" t="s">
        <v>124</v>
      </c>
      <c r="H1010" s="558" t="s">
        <v>2769</v>
      </c>
      <c r="I1010" s="679" t="s">
        <v>2483</v>
      </c>
      <c r="J1010" s="676">
        <v>645</v>
      </c>
      <c r="K1010" s="676">
        <v>176867</v>
      </c>
      <c r="M1010" t="str">
        <f>""</f>
        <v/>
      </c>
    </row>
    <row r="1011" spans="1:13" ht="15.75">
      <c r="A1011">
        <v>2011</v>
      </c>
      <c r="B1011" s="777">
        <v>40687</v>
      </c>
      <c r="C1011" s="730">
        <v>0.69097222222222221</v>
      </c>
      <c r="D1011" s="777">
        <v>40688</v>
      </c>
      <c r="E1011" s="730">
        <v>0.52777777777777779</v>
      </c>
      <c r="F1011" s="558" t="s">
        <v>2207</v>
      </c>
      <c r="G1011" s="558" t="s">
        <v>63</v>
      </c>
      <c r="H1011" s="558" t="s">
        <v>5873</v>
      </c>
      <c r="I1011" s="679" t="s">
        <v>22</v>
      </c>
      <c r="J1011" s="676">
        <v>790</v>
      </c>
      <c r="K1011" s="676">
        <v>175000</v>
      </c>
      <c r="M1011" t="str">
        <f>""</f>
        <v/>
      </c>
    </row>
    <row r="1012" spans="1:13" ht="15.75">
      <c r="A1012">
        <v>2012</v>
      </c>
      <c r="B1012" s="777">
        <v>41072</v>
      </c>
      <c r="C1012" s="730">
        <v>0.6645833333333333</v>
      </c>
      <c r="D1012" s="777">
        <v>41074</v>
      </c>
      <c r="E1012" s="730">
        <v>0.20624999999999999</v>
      </c>
      <c r="F1012" s="558" t="s">
        <v>1098</v>
      </c>
      <c r="G1012" s="558" t="s">
        <v>1352</v>
      </c>
      <c r="H1012" s="558" t="s">
        <v>5873</v>
      </c>
      <c r="I1012" s="679" t="s">
        <v>2368</v>
      </c>
      <c r="J1012" s="676">
        <v>920</v>
      </c>
      <c r="K1012" s="676">
        <v>175000</v>
      </c>
      <c r="M1012" t="str">
        <f>""</f>
        <v/>
      </c>
    </row>
    <row r="1013" spans="1:13" ht="15.75">
      <c r="A1013">
        <v>2012</v>
      </c>
      <c r="B1013" s="777">
        <v>41089</v>
      </c>
      <c r="C1013" s="730">
        <v>0.59027777777777779</v>
      </c>
      <c r="D1013" s="777">
        <v>41094</v>
      </c>
      <c r="E1013" s="730">
        <v>0.75</v>
      </c>
      <c r="F1013" s="558" t="s">
        <v>2398</v>
      </c>
      <c r="G1013" s="558" t="s">
        <v>826</v>
      </c>
      <c r="H1013" s="558" t="s">
        <v>5873</v>
      </c>
      <c r="I1013" s="679" t="s">
        <v>2368</v>
      </c>
      <c r="J1013" s="676">
        <v>500</v>
      </c>
      <c r="K1013" s="676">
        <v>175000</v>
      </c>
      <c r="M1013" t="str">
        <f>""</f>
        <v/>
      </c>
    </row>
    <row r="1014" spans="1:13" ht="15.75">
      <c r="A1014">
        <v>2013</v>
      </c>
      <c r="B1014" s="777">
        <v>41438</v>
      </c>
      <c r="C1014" s="730">
        <v>0.55347222222222225</v>
      </c>
      <c r="D1014" s="777">
        <v>41439</v>
      </c>
      <c r="E1014" s="730">
        <v>0.73263888888888884</v>
      </c>
      <c r="F1014" s="558" t="s">
        <v>2549</v>
      </c>
      <c r="G1014" s="558" t="s">
        <v>63</v>
      </c>
      <c r="H1014" s="558" t="s">
        <v>5873</v>
      </c>
      <c r="I1014" s="679" t="s">
        <v>2368</v>
      </c>
      <c r="J1014" s="676">
        <v>1000</v>
      </c>
      <c r="K1014" s="676">
        <v>175000</v>
      </c>
      <c r="M1014" t="str">
        <f>""</f>
        <v/>
      </c>
    </row>
    <row r="1015" spans="1:13" ht="15.75">
      <c r="A1015">
        <v>2017</v>
      </c>
      <c r="B1015" s="777">
        <v>42823</v>
      </c>
      <c r="C1015" s="730">
        <v>0.14583333333333334</v>
      </c>
      <c r="D1015" s="777">
        <v>42825</v>
      </c>
      <c r="E1015" s="730">
        <v>0.25</v>
      </c>
      <c r="F1015" s="558" t="s">
        <v>166</v>
      </c>
      <c r="G1015" s="558" t="s">
        <v>1352</v>
      </c>
      <c r="H1015" s="558" t="s">
        <v>2753</v>
      </c>
      <c r="I1015" s="679" t="s">
        <v>22</v>
      </c>
      <c r="J1015" s="676" t="s">
        <v>5873</v>
      </c>
      <c r="K1015" s="676">
        <v>175000</v>
      </c>
      <c r="M1015" t="str">
        <f>""</f>
        <v/>
      </c>
    </row>
    <row r="1016" spans="1:13" ht="15.75">
      <c r="A1016">
        <v>2021</v>
      </c>
      <c r="B1016" s="777">
        <v>44242</v>
      </c>
      <c r="C1016" s="730">
        <v>0.54166666666666663</v>
      </c>
      <c r="D1016" s="777">
        <v>44247</v>
      </c>
      <c r="E1016" s="730">
        <v>0.41666666666666669</v>
      </c>
      <c r="F1016" s="558" t="s">
        <v>2919</v>
      </c>
      <c r="G1016" s="558" t="s">
        <v>1352</v>
      </c>
      <c r="H1016" s="558" t="s">
        <v>3750</v>
      </c>
      <c r="I1016" s="679" t="s">
        <v>22</v>
      </c>
      <c r="J1016" s="676" t="s">
        <v>5873</v>
      </c>
      <c r="K1016" s="676">
        <v>175000</v>
      </c>
      <c r="M1016" t="str">
        <f>""</f>
        <v/>
      </c>
    </row>
    <row r="1017" spans="1:13" ht="15.75">
      <c r="A1017">
        <v>2021</v>
      </c>
      <c r="B1017" s="777">
        <v>44545</v>
      </c>
      <c r="C1017" s="730">
        <v>0.79166666666666663</v>
      </c>
      <c r="D1017" s="777">
        <v>44546</v>
      </c>
      <c r="E1017" s="730">
        <v>0.125</v>
      </c>
      <c r="F1017" s="558" t="s">
        <v>4703</v>
      </c>
      <c r="G1017" s="558" t="s">
        <v>674</v>
      </c>
      <c r="H1017" s="558" t="s">
        <v>2753</v>
      </c>
      <c r="I1017" s="679" t="s">
        <v>22</v>
      </c>
      <c r="J1017" s="676" t="s">
        <v>5873</v>
      </c>
      <c r="K1017" s="676">
        <v>174000</v>
      </c>
      <c r="M1017" t="str">
        <f>""</f>
        <v/>
      </c>
    </row>
    <row r="1018" spans="1:13" ht="15.75">
      <c r="A1018">
        <v>2023</v>
      </c>
      <c r="B1018" s="777">
        <v>44958</v>
      </c>
      <c r="C1018" s="730">
        <v>0.20833333333333334</v>
      </c>
      <c r="D1018" s="777">
        <v>44961</v>
      </c>
      <c r="E1018" s="730">
        <v>0.94374999999999998</v>
      </c>
      <c r="F1018" s="558" t="s">
        <v>3591</v>
      </c>
      <c r="G1018" s="558" t="s">
        <v>1352</v>
      </c>
      <c r="H1018" s="558" t="s">
        <v>2753</v>
      </c>
      <c r="I1018" s="679" t="s">
        <v>22</v>
      </c>
      <c r="J1018" s="676">
        <v>370</v>
      </c>
      <c r="K1018" s="676">
        <v>173879</v>
      </c>
      <c r="M1018" t="str">
        <f>""</f>
        <v/>
      </c>
    </row>
    <row r="1019" spans="1:13" ht="15.75">
      <c r="A1019">
        <v>2021</v>
      </c>
      <c r="B1019" s="777">
        <v>44215</v>
      </c>
      <c r="C1019" s="730">
        <v>0.39652777777777776</v>
      </c>
      <c r="D1019" s="777">
        <v>44217</v>
      </c>
      <c r="E1019" s="730">
        <v>0.60833333333333328</v>
      </c>
      <c r="F1019" s="558" t="s">
        <v>4667</v>
      </c>
      <c r="G1019" s="558" t="s">
        <v>124</v>
      </c>
      <c r="H1019" s="558" t="s">
        <v>3451</v>
      </c>
      <c r="I1019" s="679" t="s">
        <v>22</v>
      </c>
      <c r="J1019" s="676" t="s">
        <v>5873</v>
      </c>
      <c r="K1019" s="676">
        <v>173746</v>
      </c>
      <c r="M1019" t="str">
        <f>""</f>
        <v/>
      </c>
    </row>
    <row r="1020" spans="1:13" ht="15.75">
      <c r="A1020">
        <v>2012</v>
      </c>
      <c r="B1020" s="777">
        <v>41211.791666666664</v>
      </c>
      <c r="C1020" s="730">
        <v>41211.791666666664</v>
      </c>
      <c r="D1020" s="777">
        <v>41215</v>
      </c>
      <c r="E1020" s="730">
        <v>41211.208333333336</v>
      </c>
      <c r="F1020" s="558" t="s">
        <v>2461</v>
      </c>
      <c r="G1020" s="558" t="s">
        <v>2462</v>
      </c>
      <c r="H1020" s="558" t="s">
        <v>5873</v>
      </c>
      <c r="I1020" s="679" t="s">
        <v>2463</v>
      </c>
      <c r="J1020" s="676" t="s">
        <v>5873</v>
      </c>
      <c r="K1020" s="676">
        <v>173273</v>
      </c>
      <c r="M1020" t="str">
        <f>""</f>
        <v/>
      </c>
    </row>
    <row r="1021" spans="1:13" ht="15.75">
      <c r="A1021" s="728">
        <v>2010</v>
      </c>
      <c r="B1021" s="777">
        <v>40250</v>
      </c>
      <c r="C1021" s="730">
        <v>0.75</v>
      </c>
      <c r="D1021" s="777">
        <v>40257</v>
      </c>
      <c r="E1021" s="730">
        <v>0.375</v>
      </c>
      <c r="F1021" s="558" t="s">
        <v>1908</v>
      </c>
      <c r="G1021" s="558" t="s">
        <v>61</v>
      </c>
      <c r="H1021" s="558" t="s">
        <v>5873</v>
      </c>
      <c r="I1021" s="679" t="s">
        <v>1790</v>
      </c>
      <c r="J1021" s="676" t="s">
        <v>5873</v>
      </c>
      <c r="K1021" s="676">
        <v>173000</v>
      </c>
      <c r="M1021" t="str">
        <f>""</f>
        <v/>
      </c>
    </row>
    <row r="1022" spans="1:13" ht="15.75">
      <c r="A1022">
        <v>2019</v>
      </c>
      <c r="B1022" s="777">
        <v>43713</v>
      </c>
      <c r="C1022" s="730">
        <v>0.17708333333333334</v>
      </c>
      <c r="D1022" s="777">
        <v>43713</v>
      </c>
      <c r="E1022" s="730">
        <v>0.63680555555555551</v>
      </c>
      <c r="F1022" s="558" t="s">
        <v>2896</v>
      </c>
      <c r="G1022" s="558" t="s">
        <v>63</v>
      </c>
      <c r="H1022" s="558" t="s">
        <v>3451</v>
      </c>
      <c r="I1022" s="679" t="s">
        <v>22</v>
      </c>
      <c r="J1022" s="676" t="s">
        <v>5873</v>
      </c>
      <c r="K1022" s="676">
        <v>172278</v>
      </c>
      <c r="M1022" t="str">
        <f>""</f>
        <v/>
      </c>
    </row>
    <row r="1023" spans="1:13" ht="15.75">
      <c r="A1023">
        <v>2020</v>
      </c>
      <c r="B1023" s="777">
        <v>44081</v>
      </c>
      <c r="C1023" s="730">
        <v>0.94444444444444442</v>
      </c>
      <c r="D1023" s="777">
        <v>44083</v>
      </c>
      <c r="E1023" s="730">
        <v>0.72499999999999998</v>
      </c>
      <c r="F1023" s="558" t="s">
        <v>2945</v>
      </c>
      <c r="G1023" s="558" t="s">
        <v>124</v>
      </c>
      <c r="H1023" s="558" t="s">
        <v>3451</v>
      </c>
      <c r="I1023" s="679" t="s">
        <v>2483</v>
      </c>
      <c r="J1023" s="676">
        <v>610</v>
      </c>
      <c r="K1023" s="676">
        <v>172000</v>
      </c>
      <c r="M1023" t="str">
        <f>""</f>
        <v/>
      </c>
    </row>
    <row r="1024" spans="1:13" ht="15.75">
      <c r="A1024">
        <v>2013</v>
      </c>
      <c r="B1024" s="777">
        <v>41574</v>
      </c>
      <c r="C1024" s="730">
        <v>0.18541666666666667</v>
      </c>
      <c r="D1024" s="777">
        <v>41574</v>
      </c>
      <c r="E1024" s="730">
        <v>0.93541666666666667</v>
      </c>
      <c r="F1024" s="558" t="s">
        <v>1098</v>
      </c>
      <c r="G1024" s="558" t="s">
        <v>1352</v>
      </c>
      <c r="H1024" s="558" t="s">
        <v>5873</v>
      </c>
      <c r="I1024" s="679" t="s">
        <v>2612</v>
      </c>
      <c r="J1024" s="676" t="s">
        <v>5873</v>
      </c>
      <c r="K1024" s="676">
        <v>171117</v>
      </c>
      <c r="M1024" t="str">
        <f>""</f>
        <v/>
      </c>
    </row>
    <row r="1025" spans="1:13" ht="15.75">
      <c r="A1025">
        <v>2023</v>
      </c>
      <c r="B1025" s="777">
        <v>45278</v>
      </c>
      <c r="C1025" s="532">
        <v>0.5493055555555556</v>
      </c>
      <c r="D1025" s="678">
        <v>45278</v>
      </c>
      <c r="E1025" s="532">
        <v>0.55763888888888891</v>
      </c>
      <c r="F1025" t="s">
        <v>6030</v>
      </c>
      <c r="G1025" t="s">
        <v>255</v>
      </c>
      <c r="H1025" t="s">
        <v>6031</v>
      </c>
      <c r="I1025" s="677" t="s">
        <v>6062</v>
      </c>
      <c r="J1025" s="783">
        <v>115</v>
      </c>
      <c r="K1025" s="783">
        <v>170316</v>
      </c>
      <c r="M1025" t="str">
        <f>""</f>
        <v/>
      </c>
    </row>
    <row r="1026" spans="1:13" ht="15.75">
      <c r="A1026">
        <v>2016</v>
      </c>
      <c r="B1026" s="777">
        <v>42565</v>
      </c>
      <c r="C1026" s="730">
        <v>0.6875</v>
      </c>
      <c r="D1026" s="777">
        <v>42567</v>
      </c>
      <c r="E1026" s="730">
        <v>0</v>
      </c>
      <c r="F1026" s="558" t="s">
        <v>2884</v>
      </c>
      <c r="G1026" s="558" t="s">
        <v>2885</v>
      </c>
      <c r="H1026" s="558" t="s">
        <v>2753</v>
      </c>
      <c r="I1026" s="679" t="s">
        <v>22</v>
      </c>
      <c r="J1026" s="676" t="s">
        <v>5873</v>
      </c>
      <c r="K1026" s="676">
        <v>170244</v>
      </c>
      <c r="M1026" t="str">
        <f>""</f>
        <v/>
      </c>
    </row>
    <row r="1027" spans="1:13" ht="15.75">
      <c r="A1027">
        <v>2018</v>
      </c>
      <c r="B1027" s="777">
        <v>43384</v>
      </c>
      <c r="C1027" s="730">
        <v>0.6958333333333333</v>
      </c>
      <c r="D1027" s="777">
        <v>43385</v>
      </c>
      <c r="E1027" s="730">
        <v>0.875</v>
      </c>
      <c r="F1027" s="558" t="s">
        <v>2832</v>
      </c>
      <c r="G1027" s="558" t="s">
        <v>63</v>
      </c>
      <c r="H1027" s="558" t="s">
        <v>2753</v>
      </c>
      <c r="I1027" s="679" t="s">
        <v>22</v>
      </c>
      <c r="J1027" s="676" t="s">
        <v>5873</v>
      </c>
      <c r="K1027" s="676">
        <v>170222</v>
      </c>
      <c r="M1027" t="str">
        <f>""</f>
        <v/>
      </c>
    </row>
    <row r="1028" spans="1:13" ht="15.75">
      <c r="A1028">
        <v>2020</v>
      </c>
      <c r="B1028" s="777">
        <v>44166</v>
      </c>
      <c r="C1028" s="730">
        <v>0.52222222222222225</v>
      </c>
      <c r="D1028" s="777">
        <v>44166</v>
      </c>
      <c r="E1028" s="730">
        <v>0.95138888888888884</v>
      </c>
      <c r="F1028" s="558" t="s">
        <v>2895</v>
      </c>
      <c r="G1028" s="558" t="s">
        <v>3143</v>
      </c>
      <c r="H1028" s="558" t="s">
        <v>3451</v>
      </c>
      <c r="I1028" s="679" t="s">
        <v>22</v>
      </c>
      <c r="J1028" s="676" t="s">
        <v>5873</v>
      </c>
      <c r="K1028" s="676">
        <v>170190</v>
      </c>
      <c r="M1028" t="str">
        <f>""</f>
        <v/>
      </c>
    </row>
    <row r="1029" spans="1:13" ht="15.75">
      <c r="A1029">
        <v>2022</v>
      </c>
      <c r="B1029" s="777">
        <v>44641</v>
      </c>
      <c r="C1029" s="730">
        <v>0.79166666666666663</v>
      </c>
      <c r="D1029" s="777">
        <v>44644</v>
      </c>
      <c r="E1029" s="730">
        <v>0</v>
      </c>
      <c r="F1029" s="558" t="s">
        <v>5263</v>
      </c>
      <c r="G1029" s="558" t="s">
        <v>1352</v>
      </c>
      <c r="H1029" s="558" t="s">
        <v>2753</v>
      </c>
      <c r="I1029" s="679" t="s">
        <v>22</v>
      </c>
      <c r="J1029" s="676" t="s">
        <v>5873</v>
      </c>
      <c r="K1029" s="676">
        <v>170000</v>
      </c>
      <c r="M1029" t="str">
        <f>""</f>
        <v/>
      </c>
    </row>
    <row r="1030" spans="1:13" ht="15.75">
      <c r="A1030">
        <v>2017</v>
      </c>
      <c r="B1030" s="777">
        <v>42783</v>
      </c>
      <c r="C1030" s="730">
        <v>0.33958333333333335</v>
      </c>
      <c r="D1030" s="777">
        <v>42788</v>
      </c>
      <c r="E1030" s="730">
        <v>0.8125</v>
      </c>
      <c r="F1030" s="558" t="s">
        <v>18</v>
      </c>
      <c r="G1030" s="558" t="s">
        <v>124</v>
      </c>
      <c r="H1030" s="558" t="s">
        <v>2753</v>
      </c>
      <c r="I1030" s="679" t="s">
        <v>22</v>
      </c>
      <c r="J1030" s="676">
        <v>254</v>
      </c>
      <c r="K1030" s="676">
        <v>169250</v>
      </c>
      <c r="M1030" t="str">
        <f>""</f>
        <v/>
      </c>
    </row>
    <row r="1031" spans="1:13" ht="15.75">
      <c r="A1031">
        <v>2011</v>
      </c>
      <c r="B1031" s="777">
        <v>40703</v>
      </c>
      <c r="C1031" s="730">
        <v>0.1875</v>
      </c>
      <c r="D1031" s="777">
        <v>40703</v>
      </c>
      <c r="E1031" s="730">
        <v>0.5</v>
      </c>
      <c r="F1031" s="558" t="s">
        <v>33</v>
      </c>
      <c r="G1031" s="558" t="s">
        <v>826</v>
      </c>
      <c r="H1031" s="558" t="s">
        <v>5873</v>
      </c>
      <c r="I1031" s="679" t="s">
        <v>106</v>
      </c>
      <c r="J1031" s="676" t="s">
        <v>5873</v>
      </c>
      <c r="K1031" s="676">
        <v>169000</v>
      </c>
      <c r="M1031" t="str">
        <f>""</f>
        <v/>
      </c>
    </row>
    <row r="1032" spans="1:13" ht="15.75">
      <c r="A1032">
        <v>2011</v>
      </c>
      <c r="B1032" s="777">
        <v>40709</v>
      </c>
      <c r="C1032" s="730">
        <v>0.80208333333333337</v>
      </c>
      <c r="D1032" s="777">
        <v>40710</v>
      </c>
      <c r="E1032" s="730">
        <v>0.25</v>
      </c>
      <c r="F1032" s="558" t="s">
        <v>361</v>
      </c>
      <c r="G1032" s="558" t="s">
        <v>63</v>
      </c>
      <c r="H1032" s="558" t="s">
        <v>5873</v>
      </c>
      <c r="I1032" s="679" t="s">
        <v>106</v>
      </c>
      <c r="J1032" s="676">
        <v>563</v>
      </c>
      <c r="K1032" s="676">
        <v>169000</v>
      </c>
      <c r="M1032" t="str">
        <f>""</f>
        <v/>
      </c>
    </row>
    <row r="1033" spans="1:13" ht="15.75">
      <c r="A1033">
        <v>2011</v>
      </c>
      <c r="B1033" s="777">
        <v>40747</v>
      </c>
      <c r="C1033" s="730">
        <v>0.10416666666666667</v>
      </c>
      <c r="D1033" s="777">
        <v>40748</v>
      </c>
      <c r="E1033" s="730">
        <v>0.375</v>
      </c>
      <c r="F1033" s="558" t="s">
        <v>33</v>
      </c>
      <c r="G1033" s="558" t="s">
        <v>826</v>
      </c>
      <c r="H1033" s="558" t="s">
        <v>5873</v>
      </c>
      <c r="I1033" s="679" t="s">
        <v>22</v>
      </c>
      <c r="J1033" s="676" t="s">
        <v>5873</v>
      </c>
      <c r="K1033" s="676">
        <v>169000</v>
      </c>
      <c r="M1033" t="str">
        <f>""</f>
        <v/>
      </c>
    </row>
    <row r="1034" spans="1:13" ht="15.75">
      <c r="A1034">
        <v>2021</v>
      </c>
      <c r="B1034" s="777">
        <v>44496</v>
      </c>
      <c r="C1034" s="730">
        <v>0.10069444444444445</v>
      </c>
      <c r="D1034" s="777">
        <v>44498</v>
      </c>
      <c r="E1034" s="730">
        <v>0.35902777777777778</v>
      </c>
      <c r="F1034" s="558" t="s">
        <v>2984</v>
      </c>
      <c r="G1034" s="558" t="s">
        <v>61</v>
      </c>
      <c r="H1034" s="558" t="s">
        <v>2753</v>
      </c>
      <c r="I1034" s="679" t="s">
        <v>22</v>
      </c>
      <c r="J1034" s="676" t="s">
        <v>5873</v>
      </c>
      <c r="K1034" s="676">
        <v>169000</v>
      </c>
      <c r="M1034" t="str">
        <f>""</f>
        <v/>
      </c>
    </row>
    <row r="1035" spans="1:13" ht="15.75">
      <c r="A1035">
        <v>2023</v>
      </c>
      <c r="B1035" s="777">
        <v>45045</v>
      </c>
      <c r="C1035" s="730">
        <v>0</v>
      </c>
      <c r="D1035" s="777">
        <v>45045</v>
      </c>
      <c r="E1035" s="730">
        <v>0.83333333333333337</v>
      </c>
      <c r="F1035" s="558" t="s">
        <v>5853</v>
      </c>
      <c r="G1035" s="558" t="s">
        <v>1352</v>
      </c>
      <c r="H1035" s="558" t="s">
        <v>2753</v>
      </c>
      <c r="I1035" s="679" t="s">
        <v>22</v>
      </c>
      <c r="J1035" s="676" t="s">
        <v>5873</v>
      </c>
      <c r="K1035" s="676">
        <v>168419</v>
      </c>
      <c r="M1035" t="str">
        <f>""</f>
        <v/>
      </c>
    </row>
    <row r="1036" spans="1:13" ht="15.75">
      <c r="A1036">
        <v>2015</v>
      </c>
      <c r="B1036" s="777">
        <v>42362</v>
      </c>
      <c r="C1036" s="730">
        <v>0.125</v>
      </c>
      <c r="D1036" s="777">
        <v>42364</v>
      </c>
      <c r="E1036" s="730">
        <v>0</v>
      </c>
      <c r="F1036" s="558" t="s">
        <v>2822</v>
      </c>
      <c r="G1036" s="558" t="s">
        <v>826</v>
      </c>
      <c r="H1036" s="558" t="s">
        <v>2753</v>
      </c>
      <c r="I1036" s="679" t="s">
        <v>22</v>
      </c>
      <c r="J1036" s="676" t="s">
        <v>5873</v>
      </c>
      <c r="K1036" s="676">
        <v>168000</v>
      </c>
      <c r="M1036" t="str">
        <f>""</f>
        <v/>
      </c>
    </row>
    <row r="1037" spans="1:13" ht="15.75">
      <c r="A1037">
        <v>2013</v>
      </c>
      <c r="B1037" s="777">
        <v>41438</v>
      </c>
      <c r="C1037" s="730">
        <v>0.86597222222222225</v>
      </c>
      <c r="D1037" s="777">
        <v>41439</v>
      </c>
      <c r="E1037" s="730">
        <v>0.94930555555555551</v>
      </c>
      <c r="F1037" s="558" t="s">
        <v>2546</v>
      </c>
      <c r="G1037" s="558" t="s">
        <v>63</v>
      </c>
      <c r="H1037" s="558" t="s">
        <v>5873</v>
      </c>
      <c r="I1037" s="679" t="s">
        <v>2368</v>
      </c>
      <c r="J1037" s="676">
        <v>550</v>
      </c>
      <c r="K1037" s="676">
        <v>165798</v>
      </c>
      <c r="M1037" t="str">
        <f>""</f>
        <v/>
      </c>
    </row>
    <row r="1038" spans="1:13" ht="15.75">
      <c r="A1038">
        <v>2011</v>
      </c>
      <c r="B1038" s="777">
        <v>40653</v>
      </c>
      <c r="C1038" s="730">
        <v>8.3333333333333329E-2</v>
      </c>
      <c r="D1038" s="777">
        <v>40654</v>
      </c>
      <c r="E1038" s="730">
        <v>0.5</v>
      </c>
      <c r="F1038" s="558" t="s">
        <v>2174</v>
      </c>
      <c r="G1038" s="558" t="s">
        <v>826</v>
      </c>
      <c r="H1038" s="558" t="s">
        <v>5873</v>
      </c>
      <c r="I1038" s="679" t="s">
        <v>2175</v>
      </c>
      <c r="J1038" s="676" t="s">
        <v>5873</v>
      </c>
      <c r="K1038" s="676">
        <v>165711</v>
      </c>
      <c r="M1038" t="str">
        <f>""</f>
        <v/>
      </c>
    </row>
    <row r="1039" spans="1:13" ht="15.75">
      <c r="A1039">
        <v>2011</v>
      </c>
      <c r="B1039" s="777">
        <v>40629</v>
      </c>
      <c r="C1039" s="730">
        <v>0.56041666666666667</v>
      </c>
      <c r="D1039" s="777">
        <v>40629</v>
      </c>
      <c r="E1039" s="730">
        <v>0.70833333333333337</v>
      </c>
      <c r="F1039" s="558" t="s">
        <v>2159</v>
      </c>
      <c r="G1039" s="558" t="s">
        <v>124</v>
      </c>
      <c r="H1039" s="558" t="s">
        <v>5873</v>
      </c>
      <c r="I1039" s="679" t="s">
        <v>2160</v>
      </c>
      <c r="J1039" s="676">
        <v>295</v>
      </c>
      <c r="K1039" s="676">
        <v>165000</v>
      </c>
      <c r="M1039" t="str">
        <f>""</f>
        <v/>
      </c>
    </row>
    <row r="1040" spans="1:13" ht="15.75">
      <c r="A1040">
        <v>2011</v>
      </c>
      <c r="B1040" s="777">
        <v>40782</v>
      </c>
      <c r="C1040" s="730">
        <v>0.54166666666666663</v>
      </c>
      <c r="D1040" s="777">
        <v>40784</v>
      </c>
      <c r="E1040" s="730">
        <v>0.54166666666666663</v>
      </c>
      <c r="F1040" s="558" t="s">
        <v>2277</v>
      </c>
      <c r="G1040" s="558" t="s">
        <v>826</v>
      </c>
      <c r="H1040" s="558" t="s">
        <v>5873</v>
      </c>
      <c r="I1040" s="679" t="s">
        <v>22</v>
      </c>
      <c r="J1040" s="676" t="s">
        <v>5873</v>
      </c>
      <c r="K1040" s="676">
        <v>165000</v>
      </c>
      <c r="M1040" t="str">
        <f>""</f>
        <v/>
      </c>
    </row>
    <row r="1041" spans="1:13" ht="15.75">
      <c r="A1041">
        <v>2016</v>
      </c>
      <c r="B1041" s="777">
        <v>42650</v>
      </c>
      <c r="C1041" s="730">
        <v>0.33333333333333331</v>
      </c>
      <c r="D1041" s="777">
        <v>42652</v>
      </c>
      <c r="E1041" s="730">
        <v>0.54166666666666663</v>
      </c>
      <c r="F1041" s="558" t="s">
        <v>2903</v>
      </c>
      <c r="G1041" s="558" t="s">
        <v>301</v>
      </c>
      <c r="H1041" s="558" t="s">
        <v>2753</v>
      </c>
      <c r="I1041" s="679" t="s">
        <v>22</v>
      </c>
      <c r="J1041" s="676">
        <v>413</v>
      </c>
      <c r="K1041" s="676">
        <v>165000</v>
      </c>
      <c r="M1041" t="str">
        <f>""</f>
        <v/>
      </c>
    </row>
    <row r="1042" spans="1:13" ht="15.75">
      <c r="A1042">
        <v>2018</v>
      </c>
      <c r="B1042" s="777">
        <v>43454</v>
      </c>
      <c r="C1042" s="730">
        <v>0.39583333333333331</v>
      </c>
      <c r="D1042" s="777">
        <v>43454</v>
      </c>
      <c r="E1042" s="730">
        <v>0.70833333333333337</v>
      </c>
      <c r="F1042" s="558" t="s">
        <v>3602</v>
      </c>
      <c r="G1042" s="558" t="s">
        <v>124</v>
      </c>
      <c r="H1042" s="558" t="s">
        <v>3451</v>
      </c>
      <c r="I1042" s="679" t="s">
        <v>22</v>
      </c>
      <c r="J1042" s="676" t="s">
        <v>5873</v>
      </c>
      <c r="K1042" s="676">
        <v>165000</v>
      </c>
      <c r="M1042" t="str">
        <f>""</f>
        <v/>
      </c>
    </row>
    <row r="1043" spans="1:13" ht="15.75">
      <c r="A1043">
        <v>2019</v>
      </c>
      <c r="B1043" s="777">
        <v>43668</v>
      </c>
      <c r="C1043" s="730">
        <v>0.66666666666666663</v>
      </c>
      <c r="D1043" s="777">
        <v>43670</v>
      </c>
      <c r="E1043" s="730">
        <v>0.95833333333333337</v>
      </c>
      <c r="F1043" s="558" t="s">
        <v>3883</v>
      </c>
      <c r="G1043" s="558" t="s">
        <v>3143</v>
      </c>
      <c r="H1043" s="558" t="s">
        <v>3451</v>
      </c>
      <c r="I1043" s="679" t="s">
        <v>22</v>
      </c>
      <c r="J1043" s="676" t="s">
        <v>5873</v>
      </c>
      <c r="K1043" s="676">
        <v>165000</v>
      </c>
      <c r="M1043" t="str">
        <f>""</f>
        <v/>
      </c>
    </row>
    <row r="1044" spans="1:13" ht="15.75">
      <c r="A1044">
        <v>2022</v>
      </c>
      <c r="B1044" s="777">
        <v>44754</v>
      </c>
      <c r="C1044" s="730">
        <v>0.66666666666666663</v>
      </c>
      <c r="D1044" s="777" t="s">
        <v>5873</v>
      </c>
      <c r="E1044" s="730" t="s">
        <v>5873</v>
      </c>
      <c r="F1044" s="558" t="s">
        <v>5436</v>
      </c>
      <c r="G1044" s="558" t="s">
        <v>3143</v>
      </c>
      <c r="H1044" s="558" t="s">
        <v>2753</v>
      </c>
      <c r="I1044" s="679" t="s">
        <v>22</v>
      </c>
      <c r="J1044" s="676">
        <v>800</v>
      </c>
      <c r="K1044" s="676">
        <v>165000</v>
      </c>
      <c r="M1044" t="str">
        <f>""</f>
        <v/>
      </c>
    </row>
    <row r="1045" spans="1:13" ht="15.75">
      <c r="A1045">
        <v>2014</v>
      </c>
      <c r="B1045" s="777">
        <v>41741</v>
      </c>
      <c r="C1045" s="730">
        <v>0.83333333333333337</v>
      </c>
      <c r="D1045" s="777">
        <v>41744</v>
      </c>
      <c r="E1045" s="730">
        <v>0.8125</v>
      </c>
      <c r="F1045" s="558" t="s">
        <v>1833</v>
      </c>
      <c r="G1045" s="558" t="s">
        <v>826</v>
      </c>
      <c r="H1045" s="558" t="s">
        <v>5873</v>
      </c>
      <c r="I1045" s="679" t="s">
        <v>22</v>
      </c>
      <c r="J1045" s="676" t="s">
        <v>5873</v>
      </c>
      <c r="K1045" s="676">
        <v>164000</v>
      </c>
      <c r="M1045" t="str">
        <f>""</f>
        <v/>
      </c>
    </row>
    <row r="1046" spans="1:13" ht="15.75">
      <c r="A1046">
        <v>2018</v>
      </c>
      <c r="B1046" s="777">
        <v>43246</v>
      </c>
      <c r="C1046" s="730">
        <v>0.77777777777777779</v>
      </c>
      <c r="D1046" s="777">
        <v>43247</v>
      </c>
      <c r="E1046" s="730">
        <v>0.99305555555555558</v>
      </c>
      <c r="F1046" s="558" t="s">
        <v>2809</v>
      </c>
      <c r="G1046" s="558" t="s">
        <v>1352</v>
      </c>
      <c r="H1046" s="558" t="s">
        <v>2753</v>
      </c>
      <c r="I1046" s="679" t="s">
        <v>22</v>
      </c>
      <c r="J1046" s="676" t="s">
        <v>5873</v>
      </c>
      <c r="K1046" s="676">
        <v>163932</v>
      </c>
      <c r="M1046" t="str">
        <f>""</f>
        <v/>
      </c>
    </row>
    <row r="1047" spans="1:13" ht="15.75">
      <c r="A1047">
        <v>2023</v>
      </c>
      <c r="B1047" s="777">
        <v>45121</v>
      </c>
      <c r="C1047" s="532">
        <v>0.625</v>
      </c>
      <c r="D1047" s="777" t="s">
        <v>5873</v>
      </c>
      <c r="E1047" s="782" t="s">
        <v>5873</v>
      </c>
      <c r="F1047" t="s">
        <v>4614</v>
      </c>
      <c r="G1047" t="s">
        <v>63</v>
      </c>
      <c r="H1047" t="s">
        <v>3451</v>
      </c>
      <c r="I1047" s="677" t="s">
        <v>5883</v>
      </c>
      <c r="J1047" s="785" t="s">
        <v>5873</v>
      </c>
      <c r="K1047" s="783">
        <v>163156</v>
      </c>
      <c r="M1047" t="str">
        <f>""</f>
        <v/>
      </c>
    </row>
    <row r="1048" spans="1:13" ht="15.75">
      <c r="A1048">
        <v>2023</v>
      </c>
      <c r="B1048" s="777" t="s">
        <v>5873</v>
      </c>
      <c r="C1048" s="532">
        <v>0.625</v>
      </c>
      <c r="D1048" s="777" t="s">
        <v>5873</v>
      </c>
      <c r="E1048" s="782" t="s">
        <v>5873</v>
      </c>
      <c r="F1048" t="s">
        <v>4614</v>
      </c>
      <c r="G1048" t="s">
        <v>63</v>
      </c>
      <c r="H1048" t="s">
        <v>3451</v>
      </c>
      <c r="I1048" s="677" t="s">
        <v>5883</v>
      </c>
      <c r="J1048" s="785" t="s">
        <v>5873</v>
      </c>
      <c r="K1048" s="783">
        <v>163156</v>
      </c>
      <c r="M1048" t="str">
        <f>""</f>
        <v/>
      </c>
    </row>
    <row r="1049" spans="1:13" ht="15.75">
      <c r="A1049">
        <v>2022</v>
      </c>
      <c r="B1049" s="777">
        <v>44725</v>
      </c>
      <c r="C1049" s="730">
        <v>0.75</v>
      </c>
      <c r="D1049" s="777">
        <v>44726</v>
      </c>
      <c r="E1049" s="730">
        <v>0.76041666666666663</v>
      </c>
      <c r="F1049" s="558" t="s">
        <v>4048</v>
      </c>
      <c r="G1049" s="558" t="s">
        <v>5174</v>
      </c>
      <c r="H1049" s="558" t="s">
        <v>5373</v>
      </c>
      <c r="I1049" s="679" t="s">
        <v>2990</v>
      </c>
      <c r="J1049" s="676" t="s">
        <v>5873</v>
      </c>
      <c r="K1049" s="676">
        <v>162551</v>
      </c>
      <c r="M1049" t="str">
        <f>""</f>
        <v/>
      </c>
    </row>
    <row r="1050" spans="1:13" ht="15.75">
      <c r="A1050">
        <v>2011</v>
      </c>
      <c r="B1050" s="777">
        <v>40700</v>
      </c>
      <c r="C1050" s="730">
        <v>9.0277777777777769E-3</v>
      </c>
      <c r="D1050" s="777">
        <v>40700</v>
      </c>
      <c r="E1050" s="730">
        <v>0.13541666666666666</v>
      </c>
      <c r="F1050" s="558" t="s">
        <v>2218</v>
      </c>
      <c r="G1050" s="558" t="s">
        <v>58</v>
      </c>
      <c r="H1050" s="558" t="s">
        <v>5873</v>
      </c>
      <c r="I1050" s="679" t="s">
        <v>2219</v>
      </c>
      <c r="J1050" s="676">
        <v>450</v>
      </c>
      <c r="K1050" s="676">
        <v>162000</v>
      </c>
      <c r="M1050" t="str">
        <f>""</f>
        <v/>
      </c>
    </row>
    <row r="1051" spans="1:13" ht="15.75">
      <c r="A1051">
        <v>2015</v>
      </c>
      <c r="B1051" s="777">
        <v>42218</v>
      </c>
      <c r="C1051" s="730">
        <v>0.73958333333333337</v>
      </c>
      <c r="D1051" s="777">
        <v>42220</v>
      </c>
      <c r="E1051" s="730">
        <v>0.125</v>
      </c>
      <c r="F1051" s="558" t="s">
        <v>2793</v>
      </c>
      <c r="G1051" s="558" t="s">
        <v>826</v>
      </c>
      <c r="H1051" s="558" t="s">
        <v>2753</v>
      </c>
      <c r="I1051" s="679" t="s">
        <v>22</v>
      </c>
      <c r="J1051" s="676" t="s">
        <v>5873</v>
      </c>
      <c r="K1051" s="676">
        <v>162000</v>
      </c>
      <c r="M1051" t="str">
        <f>""</f>
        <v/>
      </c>
    </row>
    <row r="1052" spans="1:13" ht="15.75">
      <c r="A1052">
        <v>2023</v>
      </c>
      <c r="B1052" s="777">
        <v>44938</v>
      </c>
      <c r="C1052" s="730">
        <v>0.58333333333333337</v>
      </c>
      <c r="D1052" s="777">
        <v>44939</v>
      </c>
      <c r="E1052" s="730">
        <v>0.125</v>
      </c>
      <c r="F1052" s="558" t="s">
        <v>3273</v>
      </c>
      <c r="G1052" s="558" t="s">
        <v>63</v>
      </c>
      <c r="H1052" s="558" t="s">
        <v>2753</v>
      </c>
      <c r="I1052" s="679" t="s">
        <v>22</v>
      </c>
      <c r="J1052" s="676">
        <v>1158</v>
      </c>
      <c r="K1052" s="676">
        <v>162000</v>
      </c>
      <c r="M1052" t="str">
        <f>""</f>
        <v/>
      </c>
    </row>
    <row r="1053" spans="1:13" ht="15.75">
      <c r="A1053">
        <v>2011</v>
      </c>
      <c r="B1053" s="777">
        <v>40845</v>
      </c>
      <c r="C1053" s="730">
        <v>0.47083333333333333</v>
      </c>
      <c r="D1053" s="777">
        <v>40851</v>
      </c>
      <c r="E1053" s="730">
        <v>0</v>
      </c>
      <c r="F1053" s="558" t="s">
        <v>2319</v>
      </c>
      <c r="G1053" s="558" t="s">
        <v>61</v>
      </c>
      <c r="H1053" s="558" t="s">
        <v>5873</v>
      </c>
      <c r="I1053" s="679" t="s">
        <v>22</v>
      </c>
      <c r="J1053" s="676" t="s">
        <v>5873</v>
      </c>
      <c r="K1053" s="676">
        <v>161151</v>
      </c>
      <c r="M1053" t="str">
        <f>""</f>
        <v/>
      </c>
    </row>
    <row r="1054" spans="1:13" ht="15.75">
      <c r="A1054">
        <v>2022</v>
      </c>
      <c r="B1054" s="777">
        <v>44926</v>
      </c>
      <c r="C1054" s="730">
        <v>0.79166666666666663</v>
      </c>
      <c r="D1054" s="777">
        <v>44927</v>
      </c>
      <c r="E1054" s="730">
        <v>0.25</v>
      </c>
      <c r="F1054" s="558" t="s">
        <v>3616</v>
      </c>
      <c r="G1054" s="558" t="s">
        <v>124</v>
      </c>
      <c r="H1054" s="558" t="s">
        <v>3451</v>
      </c>
      <c r="I1054" s="679" t="s">
        <v>22</v>
      </c>
      <c r="J1054" s="676" t="s">
        <v>5873</v>
      </c>
      <c r="K1054" s="676">
        <v>161000</v>
      </c>
      <c r="M1054" t="str">
        <f>""</f>
        <v/>
      </c>
    </row>
    <row r="1055" spans="1:13" ht="15.75">
      <c r="A1055">
        <v>2016</v>
      </c>
      <c r="B1055" s="777">
        <v>42559</v>
      </c>
      <c r="C1055" s="730">
        <v>0.79166666666666663</v>
      </c>
      <c r="D1055" s="777">
        <v>42560</v>
      </c>
      <c r="E1055" s="730">
        <v>0</v>
      </c>
      <c r="F1055" s="558" t="s">
        <v>2879</v>
      </c>
      <c r="G1055" s="558" t="s">
        <v>826</v>
      </c>
      <c r="H1055" s="558" t="s">
        <v>2753</v>
      </c>
      <c r="I1055" s="679" t="s">
        <v>22</v>
      </c>
      <c r="J1055" s="676" t="s">
        <v>5873</v>
      </c>
      <c r="K1055" s="676">
        <v>160895</v>
      </c>
      <c r="M1055" t="str">
        <f>""</f>
        <v/>
      </c>
    </row>
    <row r="1056" spans="1:13" ht="15.75">
      <c r="A1056">
        <v>2023</v>
      </c>
      <c r="B1056" s="777">
        <v>45010</v>
      </c>
      <c r="C1056" s="730">
        <v>0.67500000000000004</v>
      </c>
      <c r="D1056" s="777" t="s">
        <v>5873</v>
      </c>
      <c r="E1056" s="730" t="s">
        <v>5873</v>
      </c>
      <c r="F1056" s="558" t="s">
        <v>5806</v>
      </c>
      <c r="G1056" s="558" t="s">
        <v>3143</v>
      </c>
      <c r="H1056" s="558" t="s">
        <v>2753</v>
      </c>
      <c r="I1056" s="679" t="s">
        <v>22</v>
      </c>
      <c r="J1056" s="676" t="s">
        <v>5873</v>
      </c>
      <c r="K1056" s="676">
        <v>160801</v>
      </c>
      <c r="M1056" t="str">
        <f>""</f>
        <v/>
      </c>
    </row>
    <row r="1057" spans="1:13" ht="15.75">
      <c r="A1057">
        <v>2011</v>
      </c>
      <c r="B1057" s="777">
        <v>40594</v>
      </c>
      <c r="C1057" s="730">
        <v>0.66666666666666663</v>
      </c>
      <c r="D1057" s="777">
        <v>40597</v>
      </c>
      <c r="E1057" s="730">
        <v>0.66666666666666663</v>
      </c>
      <c r="F1057" s="558" t="s">
        <v>2146</v>
      </c>
      <c r="G1057" s="558" t="s">
        <v>826</v>
      </c>
      <c r="H1057" s="558" t="s">
        <v>5873</v>
      </c>
      <c r="I1057" s="679" t="s">
        <v>40</v>
      </c>
      <c r="J1057" s="676">
        <v>262</v>
      </c>
      <c r="K1057" s="676">
        <v>160000</v>
      </c>
      <c r="M1057" t="str">
        <f>""</f>
        <v/>
      </c>
    </row>
    <row r="1058" spans="1:13" ht="15.75">
      <c r="A1058">
        <v>2011</v>
      </c>
      <c r="B1058" s="777">
        <v>40724</v>
      </c>
      <c r="C1058" s="730">
        <v>0.59097222222222223</v>
      </c>
      <c r="D1058" s="777">
        <v>40724</v>
      </c>
      <c r="E1058" s="730">
        <v>0.97569444444444442</v>
      </c>
      <c r="F1058" s="558" t="s">
        <v>137</v>
      </c>
      <c r="G1058" s="558" t="s">
        <v>124</v>
      </c>
      <c r="H1058" s="558" t="s">
        <v>5873</v>
      </c>
      <c r="I1058" s="679" t="s">
        <v>2239</v>
      </c>
      <c r="J1058" s="676">
        <v>5299</v>
      </c>
      <c r="K1058" s="676">
        <v>160000</v>
      </c>
      <c r="M1058" t="str">
        <f>""</f>
        <v/>
      </c>
    </row>
    <row r="1059" spans="1:13" ht="15.75">
      <c r="A1059">
        <v>2017</v>
      </c>
      <c r="B1059" s="777">
        <v>42923</v>
      </c>
      <c r="C1059" s="730">
        <v>0.14583333333333334</v>
      </c>
      <c r="D1059" s="777">
        <v>42924</v>
      </c>
      <c r="E1059" s="730">
        <v>0.8125</v>
      </c>
      <c r="F1059" s="558" t="s">
        <v>3057</v>
      </c>
      <c r="G1059" s="558" t="s">
        <v>826</v>
      </c>
      <c r="H1059" s="558" t="s">
        <v>2753</v>
      </c>
      <c r="I1059" s="679" t="s">
        <v>22</v>
      </c>
      <c r="J1059" s="676" t="s">
        <v>5873</v>
      </c>
      <c r="K1059" s="676">
        <v>160000</v>
      </c>
      <c r="M1059" t="str">
        <f>""</f>
        <v/>
      </c>
    </row>
    <row r="1060" spans="1:13" ht="15.75">
      <c r="A1060">
        <v>2019</v>
      </c>
      <c r="B1060" s="777">
        <v>43666</v>
      </c>
      <c r="C1060" s="730">
        <v>0.125</v>
      </c>
      <c r="D1060" s="777">
        <v>43668</v>
      </c>
      <c r="E1060" s="730">
        <v>0.29166666666666669</v>
      </c>
      <c r="F1060" s="558" t="s">
        <v>3878</v>
      </c>
      <c r="G1060" s="558" t="s">
        <v>3143</v>
      </c>
      <c r="H1060" s="558" t="s">
        <v>3451</v>
      </c>
      <c r="I1060" s="679" t="s">
        <v>22</v>
      </c>
      <c r="J1060" s="676" t="s">
        <v>5873</v>
      </c>
      <c r="K1060" s="676">
        <v>160000</v>
      </c>
      <c r="M1060" t="str">
        <f>""</f>
        <v/>
      </c>
    </row>
    <row r="1061" spans="1:13" ht="15.75">
      <c r="A1061">
        <v>2020</v>
      </c>
      <c r="B1061" s="777">
        <v>44047</v>
      </c>
      <c r="C1061" s="730">
        <v>0.5</v>
      </c>
      <c r="D1061" s="777">
        <v>44050</v>
      </c>
      <c r="E1061" s="730">
        <v>0.25</v>
      </c>
      <c r="F1061" s="558" t="s">
        <v>4365</v>
      </c>
      <c r="G1061" s="558" t="s">
        <v>61</v>
      </c>
      <c r="H1061" s="558" t="s">
        <v>3451</v>
      </c>
      <c r="I1061" s="679" t="s">
        <v>22</v>
      </c>
      <c r="J1061" s="676" t="s">
        <v>5873</v>
      </c>
      <c r="K1061" s="676">
        <v>160000</v>
      </c>
      <c r="M1061" t="str">
        <f>""</f>
        <v/>
      </c>
    </row>
    <row r="1062" spans="1:13" ht="15.75">
      <c r="A1062">
        <v>2022</v>
      </c>
      <c r="B1062" s="777">
        <v>44875</v>
      </c>
      <c r="C1062" s="730">
        <v>0.25</v>
      </c>
      <c r="D1062" s="777">
        <v>44876</v>
      </c>
      <c r="E1062" s="730">
        <v>0.3659722222222222</v>
      </c>
      <c r="F1062" s="558" t="s">
        <v>2903</v>
      </c>
      <c r="G1062" s="558" t="s">
        <v>63</v>
      </c>
      <c r="H1062" s="558" t="s">
        <v>2753</v>
      </c>
      <c r="I1062" s="679" t="s">
        <v>22</v>
      </c>
      <c r="J1062" s="676" t="s">
        <v>5873</v>
      </c>
      <c r="K1062" s="676">
        <v>160000</v>
      </c>
      <c r="M1062" t="str">
        <f>""</f>
        <v/>
      </c>
    </row>
    <row r="1063" spans="1:13" ht="15.75">
      <c r="A1063">
        <v>2021</v>
      </c>
      <c r="B1063" s="777">
        <v>44541</v>
      </c>
      <c r="C1063" s="730">
        <v>0.4375</v>
      </c>
      <c r="D1063" s="777">
        <v>44541</v>
      </c>
      <c r="E1063" s="730">
        <v>0.625</v>
      </c>
      <c r="F1063" s="558" t="s">
        <v>5119</v>
      </c>
      <c r="G1063" s="558" t="s">
        <v>674</v>
      </c>
      <c r="H1063" s="558" t="s">
        <v>2753</v>
      </c>
      <c r="I1063" s="679" t="s">
        <v>22</v>
      </c>
      <c r="J1063" s="676" t="s">
        <v>5873</v>
      </c>
      <c r="K1063" s="676">
        <v>159947</v>
      </c>
      <c r="M1063" t="str">
        <f>""</f>
        <v/>
      </c>
    </row>
    <row r="1064" spans="1:13" ht="15.75">
      <c r="A1064">
        <v>2020</v>
      </c>
      <c r="B1064" s="777">
        <v>44178</v>
      </c>
      <c r="C1064" s="730">
        <v>0.28263888888888888</v>
      </c>
      <c r="D1064" s="777">
        <v>44178</v>
      </c>
      <c r="E1064" s="730">
        <v>0.31666666666666665</v>
      </c>
      <c r="F1064" s="558" t="s">
        <v>2945</v>
      </c>
      <c r="G1064" s="558" t="s">
        <v>124</v>
      </c>
      <c r="H1064" s="558" t="s">
        <v>4389</v>
      </c>
      <c r="I1064" s="679" t="s">
        <v>2764</v>
      </c>
      <c r="J1064" s="676">
        <v>298</v>
      </c>
      <c r="K1064" s="676">
        <v>159239</v>
      </c>
      <c r="M1064" t="str">
        <f>""</f>
        <v/>
      </c>
    </row>
    <row r="1065" spans="1:13" ht="15.75">
      <c r="A1065">
        <v>2020</v>
      </c>
      <c r="B1065" s="777">
        <v>44031</v>
      </c>
      <c r="C1065" s="730">
        <v>0.60416666666666663</v>
      </c>
      <c r="D1065" s="777">
        <v>44033</v>
      </c>
      <c r="E1065" s="730">
        <v>0.78333333333333333</v>
      </c>
      <c r="F1065" s="558" t="s">
        <v>3307</v>
      </c>
      <c r="G1065" s="558" t="s">
        <v>3143</v>
      </c>
      <c r="H1065" s="558" t="s">
        <v>3451</v>
      </c>
      <c r="I1065" s="679" t="s">
        <v>22</v>
      </c>
      <c r="J1065" s="676" t="s">
        <v>5873</v>
      </c>
      <c r="K1065" s="676">
        <v>158500</v>
      </c>
      <c r="M1065" t="str">
        <f>""</f>
        <v/>
      </c>
    </row>
    <row r="1066" spans="1:13" ht="15.75">
      <c r="A1066">
        <v>2022</v>
      </c>
      <c r="B1066" s="777">
        <v>44870</v>
      </c>
      <c r="C1066" s="730">
        <v>0.54166666666666663</v>
      </c>
      <c r="D1066" s="777">
        <v>44873</v>
      </c>
      <c r="E1066" s="730">
        <v>0.29166666666666669</v>
      </c>
      <c r="F1066" s="558" t="s">
        <v>5584</v>
      </c>
      <c r="G1066" s="558" t="s">
        <v>3143</v>
      </c>
      <c r="H1066" s="558" t="s">
        <v>2753</v>
      </c>
      <c r="I1066" s="679" t="s">
        <v>22</v>
      </c>
      <c r="J1066" s="676" t="s">
        <v>5873</v>
      </c>
      <c r="K1066" s="676">
        <v>158450</v>
      </c>
      <c r="M1066" t="str">
        <f>""</f>
        <v/>
      </c>
    </row>
    <row r="1067" spans="1:13" ht="15.75">
      <c r="A1067">
        <v>2011</v>
      </c>
      <c r="B1067" s="777">
        <v>40575</v>
      </c>
      <c r="C1067" s="730">
        <v>0.625</v>
      </c>
      <c r="D1067" s="777">
        <v>40577</v>
      </c>
      <c r="E1067" s="730">
        <v>0.5</v>
      </c>
      <c r="F1067" s="558" t="s">
        <v>2129</v>
      </c>
      <c r="G1067" s="558" t="s">
        <v>826</v>
      </c>
      <c r="H1067" s="558" t="s">
        <v>5873</v>
      </c>
      <c r="I1067" s="679" t="s">
        <v>40</v>
      </c>
      <c r="J1067" s="676" t="s">
        <v>5873</v>
      </c>
      <c r="K1067" s="676">
        <v>158013</v>
      </c>
      <c r="M1067" t="str">
        <f>""</f>
        <v/>
      </c>
    </row>
    <row r="1068" spans="1:13" ht="15.75">
      <c r="A1068">
        <v>2011</v>
      </c>
      <c r="B1068" s="777">
        <v>40783</v>
      </c>
      <c r="C1068" s="730">
        <v>0.31944444444444442</v>
      </c>
      <c r="D1068" s="777">
        <v>40784</v>
      </c>
      <c r="E1068" s="730">
        <v>0.31944444444444442</v>
      </c>
      <c r="F1068" s="558" t="s">
        <v>2282</v>
      </c>
      <c r="G1068" s="558" t="s">
        <v>61</v>
      </c>
      <c r="H1068" s="558" t="s">
        <v>5873</v>
      </c>
      <c r="I1068" s="679" t="s">
        <v>22</v>
      </c>
      <c r="J1068" s="676" t="s">
        <v>5873</v>
      </c>
      <c r="K1068" s="676">
        <v>158000</v>
      </c>
      <c r="M1068" t="str">
        <f>""</f>
        <v/>
      </c>
    </row>
    <row r="1069" spans="1:13" ht="15.75">
      <c r="A1069">
        <v>2019</v>
      </c>
      <c r="B1069" s="777">
        <v>43520</v>
      </c>
      <c r="C1069" s="730">
        <v>0.52152777777777781</v>
      </c>
      <c r="D1069" s="777">
        <v>43520</v>
      </c>
      <c r="E1069" s="730">
        <v>0.62291666666666667</v>
      </c>
      <c r="F1069" s="558" t="s">
        <v>160</v>
      </c>
      <c r="G1069" s="558" t="s">
        <v>3143</v>
      </c>
      <c r="H1069" s="558" t="s">
        <v>3451</v>
      </c>
      <c r="I1069" s="679" t="s">
        <v>22</v>
      </c>
      <c r="J1069" s="676" t="s">
        <v>5873</v>
      </c>
      <c r="K1069" s="676">
        <v>157274</v>
      </c>
      <c r="M1069" t="str">
        <f>""</f>
        <v/>
      </c>
    </row>
    <row r="1070" spans="1:13" ht="15.75">
      <c r="A1070">
        <v>2013</v>
      </c>
      <c r="B1070" s="777">
        <v>41516</v>
      </c>
      <c r="C1070" s="730">
        <v>0.8125</v>
      </c>
      <c r="D1070" s="777">
        <v>41517</v>
      </c>
      <c r="E1070" s="730">
        <v>6.25E-2</v>
      </c>
      <c r="F1070" s="558" t="s">
        <v>2603</v>
      </c>
      <c r="G1070" s="558" t="s">
        <v>826</v>
      </c>
      <c r="H1070" s="558" t="s">
        <v>5873</v>
      </c>
      <c r="I1070" s="679" t="s">
        <v>2368</v>
      </c>
      <c r="J1070" s="676" t="s">
        <v>5873</v>
      </c>
      <c r="K1070" s="676">
        <v>157000</v>
      </c>
      <c r="M1070" t="str">
        <f>""</f>
        <v/>
      </c>
    </row>
    <row r="1071" spans="1:13" ht="15.75">
      <c r="A1071">
        <v>2013</v>
      </c>
      <c r="B1071" s="777">
        <v>41474</v>
      </c>
      <c r="C1071" s="730">
        <v>0.75</v>
      </c>
      <c r="D1071" s="777">
        <v>41475</v>
      </c>
      <c r="E1071" s="730">
        <v>0.375</v>
      </c>
      <c r="F1071" s="558" t="s">
        <v>1833</v>
      </c>
      <c r="G1071" s="558" t="s">
        <v>826</v>
      </c>
      <c r="H1071" s="558" t="s">
        <v>5873</v>
      </c>
      <c r="I1071" s="679" t="s">
        <v>2368</v>
      </c>
      <c r="J1071" s="676" t="s">
        <v>5873</v>
      </c>
      <c r="K1071" s="676">
        <v>156627</v>
      </c>
      <c r="M1071" t="str">
        <f>""</f>
        <v/>
      </c>
    </row>
    <row r="1072" spans="1:13" ht="15.75">
      <c r="A1072">
        <v>2014</v>
      </c>
      <c r="B1072" s="777">
        <v>41847</v>
      </c>
      <c r="C1072" s="730">
        <v>0.70833333333333337</v>
      </c>
      <c r="D1072" s="777">
        <v>41848</v>
      </c>
      <c r="E1072" s="730">
        <v>0.95833333333333337</v>
      </c>
      <c r="F1072" s="558" t="s">
        <v>420</v>
      </c>
      <c r="G1072" s="558" t="s">
        <v>826</v>
      </c>
      <c r="H1072" s="558" t="s">
        <v>5873</v>
      </c>
      <c r="I1072" s="679" t="s">
        <v>2368</v>
      </c>
      <c r="J1072" s="676" t="s">
        <v>5873</v>
      </c>
      <c r="K1072" s="676">
        <v>156611</v>
      </c>
      <c r="M1072" t="str">
        <f>""</f>
        <v/>
      </c>
    </row>
    <row r="1073" spans="1:13" ht="15.75">
      <c r="A1073">
        <v>2015</v>
      </c>
      <c r="B1073" s="777">
        <v>42178</v>
      </c>
      <c r="C1073" s="730">
        <v>0.76249999999999996</v>
      </c>
      <c r="D1073" s="777">
        <v>42178</v>
      </c>
      <c r="E1073" s="730">
        <v>0.85416666666666663</v>
      </c>
      <c r="F1073" s="558" t="s">
        <v>2288</v>
      </c>
      <c r="G1073" s="558" t="s">
        <v>826</v>
      </c>
      <c r="H1073" s="558" t="s">
        <v>2786</v>
      </c>
      <c r="I1073" s="679" t="s">
        <v>2764</v>
      </c>
      <c r="J1073" s="676">
        <v>198</v>
      </c>
      <c r="K1073" s="676">
        <v>156338</v>
      </c>
      <c r="M1073" t="str">
        <f>""</f>
        <v/>
      </c>
    </row>
    <row r="1074" spans="1:13" ht="15.75">
      <c r="A1074">
        <v>2012</v>
      </c>
      <c r="B1074" s="777">
        <v>41211.758333333331</v>
      </c>
      <c r="C1074" s="730">
        <v>41211.758333333331</v>
      </c>
      <c r="D1074" s="777">
        <v>41212.815972222219</v>
      </c>
      <c r="E1074" s="730">
        <v>41212.815972222219</v>
      </c>
      <c r="F1074" s="558" t="s">
        <v>2004</v>
      </c>
      <c r="G1074" s="558" t="s">
        <v>826</v>
      </c>
      <c r="H1074" s="558" t="s">
        <v>5873</v>
      </c>
      <c r="I1074" s="679" t="s">
        <v>2448</v>
      </c>
      <c r="J1074" s="676">
        <v>520</v>
      </c>
      <c r="K1074" s="676">
        <v>156000</v>
      </c>
      <c r="M1074" t="str">
        <f>""</f>
        <v/>
      </c>
    </row>
    <row r="1075" spans="1:13" ht="15.75">
      <c r="A1075">
        <v>2021</v>
      </c>
      <c r="B1075" s="777">
        <v>44545</v>
      </c>
      <c r="C1075" s="730">
        <v>0.83333333333333337</v>
      </c>
      <c r="D1075" s="777" t="s">
        <v>5873</v>
      </c>
      <c r="E1075" s="730" t="s">
        <v>5873</v>
      </c>
      <c r="F1075" s="558" t="s">
        <v>3554</v>
      </c>
      <c r="G1075" s="558" t="s">
        <v>674</v>
      </c>
      <c r="H1075" s="558" t="s">
        <v>2753</v>
      </c>
      <c r="I1075" s="679" t="s">
        <v>22</v>
      </c>
      <c r="J1075" s="676" t="s">
        <v>5873</v>
      </c>
      <c r="K1075" s="676">
        <v>156000</v>
      </c>
      <c r="M1075" t="str">
        <f>""</f>
        <v/>
      </c>
    </row>
    <row r="1076" spans="1:13" ht="15.75">
      <c r="A1076">
        <v>2020</v>
      </c>
      <c r="B1076" s="777">
        <v>44104</v>
      </c>
      <c r="C1076" s="730">
        <v>0.24652777777777779</v>
      </c>
      <c r="D1076" s="777">
        <v>44104</v>
      </c>
      <c r="E1076" s="730">
        <v>0.97916666666666663</v>
      </c>
      <c r="F1076" s="558" t="s">
        <v>4515</v>
      </c>
      <c r="G1076" s="558" t="s">
        <v>61</v>
      </c>
      <c r="H1076" s="558" t="s">
        <v>3451</v>
      </c>
      <c r="I1076" s="679" t="s">
        <v>22</v>
      </c>
      <c r="J1076" s="676" t="s">
        <v>5873</v>
      </c>
      <c r="K1076" s="676">
        <v>155000</v>
      </c>
      <c r="M1076" t="str">
        <f>""</f>
        <v/>
      </c>
    </row>
    <row r="1077" spans="1:13" ht="15.75">
      <c r="A1077">
        <v>2017</v>
      </c>
      <c r="B1077" s="777">
        <v>42989</v>
      </c>
      <c r="C1077" s="730">
        <v>0.53819444444444442</v>
      </c>
      <c r="D1077" s="777">
        <v>42990</v>
      </c>
      <c r="E1077" s="730">
        <v>0.33333333333333331</v>
      </c>
      <c r="F1077" s="558" t="s">
        <v>2896</v>
      </c>
      <c r="G1077" s="558" t="s">
        <v>63</v>
      </c>
      <c r="H1077" s="558" t="s">
        <v>2753</v>
      </c>
      <c r="I1077" s="679" t="s">
        <v>22</v>
      </c>
      <c r="J1077" s="676">
        <v>687</v>
      </c>
      <c r="K1077" s="676">
        <v>154832</v>
      </c>
      <c r="M1077" t="str">
        <f>""</f>
        <v/>
      </c>
    </row>
    <row r="1078" spans="1:13" ht="15.75">
      <c r="A1078">
        <v>2019</v>
      </c>
      <c r="B1078" s="777">
        <v>43537</v>
      </c>
      <c r="C1078" s="730">
        <v>0.24305555555555555</v>
      </c>
      <c r="D1078" s="777">
        <v>43537</v>
      </c>
      <c r="E1078" s="730">
        <v>0.4375</v>
      </c>
      <c r="F1078" s="558" t="s">
        <v>3704</v>
      </c>
      <c r="G1078" s="558" t="s">
        <v>1352</v>
      </c>
      <c r="H1078" s="558" t="s">
        <v>3451</v>
      </c>
      <c r="I1078" s="679" t="s">
        <v>22</v>
      </c>
      <c r="J1078" s="676" t="s">
        <v>5873</v>
      </c>
      <c r="K1078" s="676">
        <v>154124</v>
      </c>
      <c r="M1078" t="str">
        <f>""</f>
        <v/>
      </c>
    </row>
    <row r="1079" spans="1:13" ht="15.75">
      <c r="A1079">
        <v>2022</v>
      </c>
      <c r="B1079" s="777">
        <v>44834</v>
      </c>
      <c r="C1079" s="730">
        <v>0.77083333333333337</v>
      </c>
      <c r="D1079" s="777">
        <v>44835</v>
      </c>
      <c r="E1079" s="730">
        <v>0.77500000000000002</v>
      </c>
      <c r="F1079" s="558" t="s">
        <v>2832</v>
      </c>
      <c r="G1079" s="558" t="s">
        <v>63</v>
      </c>
      <c r="H1079" s="558" t="s">
        <v>2753</v>
      </c>
      <c r="I1079" s="679" t="s">
        <v>22</v>
      </c>
      <c r="J1079" s="676" t="s">
        <v>5873</v>
      </c>
      <c r="K1079" s="676">
        <v>154100</v>
      </c>
      <c r="M1079" t="str">
        <f>""</f>
        <v/>
      </c>
    </row>
    <row r="1080" spans="1:13" ht="15.75">
      <c r="A1080">
        <v>2021</v>
      </c>
      <c r="B1080" s="777">
        <v>44242</v>
      </c>
      <c r="C1080" s="730">
        <v>0.12916666666666668</v>
      </c>
      <c r="D1080" s="777" t="s">
        <v>5873</v>
      </c>
      <c r="E1080" s="730" t="s">
        <v>5873</v>
      </c>
      <c r="F1080" s="558" t="s">
        <v>3162</v>
      </c>
      <c r="G1080" s="558" t="s">
        <v>1352</v>
      </c>
      <c r="H1080" s="558" t="s">
        <v>3451</v>
      </c>
      <c r="I1080" s="679" t="s">
        <v>22</v>
      </c>
      <c r="J1080" s="676" t="s">
        <v>5873</v>
      </c>
      <c r="K1080" s="676">
        <v>154000</v>
      </c>
      <c r="M1080" t="str">
        <f>""</f>
        <v/>
      </c>
    </row>
    <row r="1081" spans="1:13" ht="15.75">
      <c r="A1081">
        <v>2017</v>
      </c>
      <c r="B1081" s="777">
        <v>42832</v>
      </c>
      <c r="C1081" s="730">
        <v>0.34375</v>
      </c>
      <c r="D1081" s="777">
        <v>42833</v>
      </c>
      <c r="E1081" s="730">
        <v>9.7222222222222224E-3</v>
      </c>
      <c r="F1081" s="558" t="s">
        <v>3004</v>
      </c>
      <c r="G1081" s="558" t="s">
        <v>124</v>
      </c>
      <c r="H1081" s="558" t="s">
        <v>2753</v>
      </c>
      <c r="I1081" s="679" t="s">
        <v>22</v>
      </c>
      <c r="J1081" s="676" t="s">
        <v>5873</v>
      </c>
      <c r="K1081" s="676">
        <v>153867</v>
      </c>
      <c r="M1081" t="str">
        <f>""</f>
        <v/>
      </c>
    </row>
    <row r="1082" spans="1:13" ht="15.75">
      <c r="A1082">
        <v>2023</v>
      </c>
      <c r="B1082" s="777">
        <v>44982</v>
      </c>
      <c r="C1082" s="730">
        <v>5.5555555555555558E-3</v>
      </c>
      <c r="D1082" s="777">
        <v>44983</v>
      </c>
      <c r="E1082" s="730">
        <v>0.75555555555555554</v>
      </c>
      <c r="F1082" s="558" t="s">
        <v>2967</v>
      </c>
      <c r="G1082" s="558" t="s">
        <v>124</v>
      </c>
      <c r="H1082" s="558" t="s">
        <v>2753</v>
      </c>
      <c r="I1082" s="679" t="s">
        <v>22</v>
      </c>
      <c r="J1082" s="676" t="s">
        <v>5873</v>
      </c>
      <c r="K1082" s="676">
        <v>153555</v>
      </c>
      <c r="M1082" t="str">
        <f>""</f>
        <v/>
      </c>
    </row>
    <row r="1083" spans="1:13" ht="15.75">
      <c r="A1083" s="728">
        <v>2010</v>
      </c>
      <c r="B1083" s="777">
        <v>40250</v>
      </c>
      <c r="C1083" s="730">
        <v>0.625</v>
      </c>
      <c r="D1083" s="777">
        <v>40254</v>
      </c>
      <c r="E1083" s="730">
        <v>0.66666666666666663</v>
      </c>
      <c r="F1083" s="558" t="s">
        <v>1901</v>
      </c>
      <c r="G1083" s="558" t="s">
        <v>61</v>
      </c>
      <c r="H1083" s="558" t="s">
        <v>5873</v>
      </c>
      <c r="I1083" s="679" t="s">
        <v>1790</v>
      </c>
      <c r="J1083" s="676" t="s">
        <v>5873</v>
      </c>
      <c r="K1083" s="676">
        <v>153000</v>
      </c>
      <c r="M1083" t="str">
        <f>""</f>
        <v/>
      </c>
    </row>
    <row r="1084" spans="1:13" ht="15.75">
      <c r="A1084">
        <v>2023</v>
      </c>
      <c r="B1084" s="777">
        <v>45203</v>
      </c>
      <c r="C1084" s="532">
        <v>0.91736111111111107</v>
      </c>
      <c r="D1084" s="678">
        <v>45205</v>
      </c>
      <c r="E1084" s="532">
        <v>0.17708333333333334</v>
      </c>
      <c r="F1084" t="s">
        <v>2919</v>
      </c>
      <c r="G1084" t="s">
        <v>5880</v>
      </c>
      <c r="H1084" t="s">
        <v>2753</v>
      </c>
      <c r="I1084" s="677" t="s">
        <v>5883</v>
      </c>
      <c r="J1084" s="785" t="s">
        <v>5873</v>
      </c>
      <c r="K1084" s="783">
        <v>153000</v>
      </c>
      <c r="M1084" t="str">
        <f>""</f>
        <v/>
      </c>
    </row>
    <row r="1085" spans="1:13" ht="15.75">
      <c r="A1085">
        <v>2011</v>
      </c>
      <c r="B1085" s="777">
        <v>40783</v>
      </c>
      <c r="C1085" s="730">
        <v>0.20833333333333334</v>
      </c>
      <c r="D1085" s="777">
        <v>40785</v>
      </c>
      <c r="E1085" s="730">
        <v>0.20833333333333334</v>
      </c>
      <c r="F1085" s="558" t="s">
        <v>2284</v>
      </c>
      <c r="G1085" s="558" t="s">
        <v>61</v>
      </c>
      <c r="H1085" s="558" t="s">
        <v>5873</v>
      </c>
      <c r="I1085" s="679" t="s">
        <v>22</v>
      </c>
      <c r="J1085" s="676" t="s">
        <v>5873</v>
      </c>
      <c r="K1085" s="676">
        <v>152261</v>
      </c>
      <c r="M1085" t="str">
        <f>""</f>
        <v/>
      </c>
    </row>
    <row r="1086" spans="1:13" ht="15.75">
      <c r="A1086">
        <v>2021</v>
      </c>
      <c r="B1086" s="777">
        <v>44368</v>
      </c>
      <c r="C1086" s="730">
        <v>0.21805555555555556</v>
      </c>
      <c r="D1086" s="777">
        <v>44368</v>
      </c>
      <c r="E1086" s="730">
        <v>0.79166666666666663</v>
      </c>
      <c r="F1086" s="558" t="s">
        <v>3307</v>
      </c>
      <c r="G1086" s="558" t="s">
        <v>3143</v>
      </c>
      <c r="H1086" s="558" t="s">
        <v>3451</v>
      </c>
      <c r="I1086" s="679" t="s">
        <v>22</v>
      </c>
      <c r="J1086" s="676" t="s">
        <v>5873</v>
      </c>
      <c r="K1086" s="676">
        <v>151852</v>
      </c>
      <c r="M1086" t="str">
        <f>""</f>
        <v/>
      </c>
    </row>
    <row r="1087" spans="1:13" ht="15.75">
      <c r="A1087">
        <v>2011</v>
      </c>
      <c r="B1087" s="777">
        <v>40569</v>
      </c>
      <c r="C1087" s="730">
        <v>0.82152777777777775</v>
      </c>
      <c r="D1087" s="777">
        <v>40570</v>
      </c>
      <c r="E1087" s="730">
        <v>0.76249999999999996</v>
      </c>
      <c r="F1087" s="558" t="s">
        <v>923</v>
      </c>
      <c r="G1087" s="558" t="s">
        <v>63</v>
      </c>
      <c r="H1087" s="558" t="s">
        <v>5873</v>
      </c>
      <c r="I1087" s="679" t="s">
        <v>40</v>
      </c>
      <c r="J1087" s="676">
        <v>600</v>
      </c>
      <c r="K1087" s="676">
        <v>150084</v>
      </c>
      <c r="M1087" t="str">
        <f>""</f>
        <v/>
      </c>
    </row>
    <row r="1088" spans="1:13" ht="15.75">
      <c r="A1088" s="728">
        <v>2010</v>
      </c>
      <c r="B1088" s="777">
        <v>40232</v>
      </c>
      <c r="C1088" s="730">
        <v>0.91666666666666663</v>
      </c>
      <c r="D1088" s="777">
        <v>40234</v>
      </c>
      <c r="E1088" s="730">
        <v>0.66666666666666663</v>
      </c>
      <c r="F1088" s="558" t="s">
        <v>89</v>
      </c>
      <c r="G1088" s="558" t="s">
        <v>61</v>
      </c>
      <c r="H1088" s="558" t="s">
        <v>5873</v>
      </c>
      <c r="I1088" s="679" t="s">
        <v>40</v>
      </c>
      <c r="J1088" s="676" t="s">
        <v>5873</v>
      </c>
      <c r="K1088" s="676">
        <v>150000</v>
      </c>
      <c r="M1088" t="str">
        <f>""</f>
        <v/>
      </c>
    </row>
    <row r="1089" spans="1:13" ht="15.75">
      <c r="A1089" s="728">
        <v>2010</v>
      </c>
      <c r="B1089" s="777">
        <v>40347</v>
      </c>
      <c r="C1089" s="730">
        <v>0.83333333333333337</v>
      </c>
      <c r="D1089" s="777">
        <v>40351</v>
      </c>
      <c r="E1089" s="730">
        <v>0.8125</v>
      </c>
      <c r="F1089" s="558" t="s">
        <v>1964</v>
      </c>
      <c r="G1089" s="558" t="s">
        <v>826</v>
      </c>
      <c r="H1089" s="558" t="s">
        <v>5873</v>
      </c>
      <c r="I1089" s="679" t="s">
        <v>22</v>
      </c>
      <c r="J1089" s="676" t="s">
        <v>5873</v>
      </c>
      <c r="K1089" s="676">
        <v>150000</v>
      </c>
      <c r="M1089" t="str">
        <f>""</f>
        <v/>
      </c>
    </row>
    <row r="1090" spans="1:13" ht="15.75">
      <c r="A1090" s="728">
        <v>2010</v>
      </c>
      <c r="B1090" s="777">
        <v>40353</v>
      </c>
      <c r="C1090" s="730">
        <v>0.625</v>
      </c>
      <c r="D1090" s="777">
        <v>40358</v>
      </c>
      <c r="E1090" s="730">
        <v>0.5</v>
      </c>
      <c r="F1090" s="558" t="s">
        <v>1974</v>
      </c>
      <c r="G1090" s="558" t="s">
        <v>826</v>
      </c>
      <c r="H1090" s="558" t="s">
        <v>5873</v>
      </c>
      <c r="I1090" s="679" t="s">
        <v>381</v>
      </c>
      <c r="J1090" s="676" t="s">
        <v>5873</v>
      </c>
      <c r="K1090" s="676">
        <v>150000</v>
      </c>
      <c r="M1090" t="str">
        <f>""</f>
        <v/>
      </c>
    </row>
    <row r="1091" spans="1:13" ht="15.75">
      <c r="A1091">
        <v>2011</v>
      </c>
      <c r="B1091" s="777">
        <v>40877</v>
      </c>
      <c r="C1091" s="730">
        <v>0.7055555555555556</v>
      </c>
      <c r="D1091" s="777">
        <v>40879</v>
      </c>
      <c r="E1091" s="730">
        <v>0.41666666666666669</v>
      </c>
      <c r="F1091" s="558" t="s">
        <v>1106</v>
      </c>
      <c r="G1091" s="558" t="s">
        <v>124</v>
      </c>
      <c r="H1091" s="558" t="s">
        <v>5873</v>
      </c>
      <c r="I1091" s="679" t="s">
        <v>22</v>
      </c>
      <c r="J1091" s="676" t="s">
        <v>5873</v>
      </c>
      <c r="K1091" s="676">
        <v>150000</v>
      </c>
      <c r="M1091" t="str">
        <f>""</f>
        <v/>
      </c>
    </row>
    <row r="1092" spans="1:13" ht="15.75">
      <c r="A1092">
        <v>2012</v>
      </c>
      <c r="B1092" s="777">
        <v>41211.666666666664</v>
      </c>
      <c r="C1092" s="730">
        <v>41211.666666666664</v>
      </c>
      <c r="D1092" s="777">
        <v>41221.713888888888</v>
      </c>
      <c r="E1092" s="730">
        <v>41221.713888888888</v>
      </c>
      <c r="F1092" s="558" t="s">
        <v>2403</v>
      </c>
      <c r="G1092" s="558" t="s">
        <v>826</v>
      </c>
      <c r="H1092" s="558" t="s">
        <v>5873</v>
      </c>
      <c r="I1092" s="679" t="s">
        <v>2448</v>
      </c>
      <c r="J1092" s="676" t="s">
        <v>5873</v>
      </c>
      <c r="K1092" s="676">
        <v>150000</v>
      </c>
      <c r="M1092" t="str">
        <f>""</f>
        <v/>
      </c>
    </row>
    <row r="1093" spans="1:13" ht="15.75">
      <c r="A1093">
        <v>2016</v>
      </c>
      <c r="B1093" s="777">
        <v>42391</v>
      </c>
      <c r="C1093" s="730">
        <v>0.66111111111111109</v>
      </c>
      <c r="D1093" s="777">
        <v>42393</v>
      </c>
      <c r="E1093" s="730">
        <v>0.52083333333333337</v>
      </c>
      <c r="F1093" s="558" t="s">
        <v>2832</v>
      </c>
      <c r="G1093" s="558" t="s">
        <v>63</v>
      </c>
      <c r="H1093" s="558" t="s">
        <v>2753</v>
      </c>
      <c r="I1093" s="679" t="s">
        <v>2828</v>
      </c>
      <c r="J1093" s="676" t="s">
        <v>5873</v>
      </c>
      <c r="K1093" s="676">
        <v>150000</v>
      </c>
      <c r="M1093" t="str">
        <f>""</f>
        <v/>
      </c>
    </row>
    <row r="1094" spans="1:13" ht="15.75">
      <c r="A1094">
        <v>2018</v>
      </c>
      <c r="B1094" s="777">
        <v>43419</v>
      </c>
      <c r="C1094" s="730">
        <v>0.14097222222222222</v>
      </c>
      <c r="D1094" s="777">
        <v>43419</v>
      </c>
      <c r="E1094" s="730">
        <v>0.73263888888888884</v>
      </c>
      <c r="F1094" s="558" t="s">
        <v>3354</v>
      </c>
      <c r="G1094" s="558" t="s">
        <v>63</v>
      </c>
      <c r="H1094" s="558" t="s">
        <v>3451</v>
      </c>
      <c r="I1094" s="679" t="s">
        <v>22</v>
      </c>
      <c r="J1094" s="676" t="s">
        <v>5873</v>
      </c>
      <c r="K1094" s="676">
        <v>150000</v>
      </c>
      <c r="M1094" t="str">
        <f>""</f>
        <v/>
      </c>
    </row>
    <row r="1095" spans="1:13" ht="15.75">
      <c r="A1095">
        <v>2018</v>
      </c>
      <c r="B1095" s="777">
        <v>43448</v>
      </c>
      <c r="C1095" s="730">
        <v>0.66666666666666663</v>
      </c>
      <c r="D1095" s="777">
        <v>43451</v>
      </c>
      <c r="E1095" s="730">
        <v>8.3333333333333329E-2</v>
      </c>
      <c r="F1095" s="558" t="s">
        <v>3597</v>
      </c>
      <c r="G1095" s="558" t="s">
        <v>124</v>
      </c>
      <c r="H1095" s="558" t="s">
        <v>3451</v>
      </c>
      <c r="I1095" s="679" t="s">
        <v>22</v>
      </c>
      <c r="J1095" s="676" t="s">
        <v>5873</v>
      </c>
      <c r="K1095" s="676">
        <v>150000</v>
      </c>
      <c r="M1095" t="str">
        <f>""</f>
        <v/>
      </c>
    </row>
    <row r="1096" spans="1:13" ht="15.75">
      <c r="A1096">
        <v>2020</v>
      </c>
      <c r="B1096" s="777">
        <v>44150</v>
      </c>
      <c r="C1096" s="730">
        <v>0.52083333333333337</v>
      </c>
      <c r="D1096" s="777">
        <v>44153</v>
      </c>
      <c r="E1096" s="730">
        <v>0.40555555555555556</v>
      </c>
      <c r="F1096" s="558" t="s">
        <v>4584</v>
      </c>
      <c r="G1096" s="558" t="s">
        <v>3143</v>
      </c>
      <c r="H1096" s="558" t="s">
        <v>3451</v>
      </c>
      <c r="I1096" s="679" t="s">
        <v>22</v>
      </c>
      <c r="J1096" s="676" t="s">
        <v>5873</v>
      </c>
      <c r="K1096" s="676">
        <v>150000</v>
      </c>
      <c r="M1096" t="str">
        <f>""</f>
        <v/>
      </c>
    </row>
    <row r="1097" spans="1:13" ht="15.75">
      <c r="A1097">
        <v>2022</v>
      </c>
      <c r="B1097" s="777">
        <v>44696</v>
      </c>
      <c r="C1097" s="730">
        <v>0.97916666666666663</v>
      </c>
      <c r="D1097" s="777">
        <v>44698</v>
      </c>
      <c r="E1097" s="730">
        <v>0.98958333333333337</v>
      </c>
      <c r="F1097" s="558" t="s">
        <v>5343</v>
      </c>
      <c r="G1097" s="558" t="s">
        <v>1352</v>
      </c>
      <c r="H1097" s="558" t="s">
        <v>2753</v>
      </c>
      <c r="I1097" s="679" t="s">
        <v>22</v>
      </c>
      <c r="J1097" s="676" t="s">
        <v>5873</v>
      </c>
      <c r="K1097" s="676">
        <v>150000</v>
      </c>
      <c r="M1097" t="str">
        <f>""</f>
        <v/>
      </c>
    </row>
    <row r="1098" spans="1:13" ht="15.75">
      <c r="A1098">
        <v>2022</v>
      </c>
      <c r="B1098" s="777">
        <v>44729</v>
      </c>
      <c r="C1098" s="730">
        <v>0.72916666666666663</v>
      </c>
      <c r="D1098" s="777">
        <v>44731</v>
      </c>
      <c r="E1098" s="730">
        <v>0.88541666666666663</v>
      </c>
      <c r="F1098" s="558" t="s">
        <v>5397</v>
      </c>
      <c r="G1098" s="558" t="s">
        <v>5174</v>
      </c>
      <c r="H1098" s="558" t="s">
        <v>5373</v>
      </c>
      <c r="I1098" s="679" t="s">
        <v>22</v>
      </c>
      <c r="J1098" s="676" t="s">
        <v>5873</v>
      </c>
      <c r="K1098" s="676">
        <v>150000</v>
      </c>
      <c r="M1098" t="str">
        <f>""</f>
        <v/>
      </c>
    </row>
    <row r="1099" spans="1:13" ht="15.75">
      <c r="A1099" s="728">
        <v>2010</v>
      </c>
      <c r="B1099" s="777">
        <v>40497</v>
      </c>
      <c r="C1099" s="730">
        <v>0.95833333333333337</v>
      </c>
      <c r="D1099" s="777">
        <v>40498</v>
      </c>
      <c r="E1099" s="730">
        <v>9.3055555555555558E-2</v>
      </c>
      <c r="F1099" s="558" t="s">
        <v>2083</v>
      </c>
      <c r="G1099" s="558" t="s">
        <v>124</v>
      </c>
      <c r="H1099" s="558" t="s">
        <v>5873</v>
      </c>
      <c r="I1099" s="679" t="s">
        <v>264</v>
      </c>
      <c r="J1099" s="676">
        <v>391</v>
      </c>
      <c r="K1099" s="676">
        <v>149256</v>
      </c>
      <c r="M1099" t="str">
        <f>""</f>
        <v/>
      </c>
    </row>
    <row r="1100" spans="1:13" ht="15.75">
      <c r="A1100">
        <v>2017</v>
      </c>
      <c r="B1100" s="777">
        <v>42768</v>
      </c>
      <c r="C1100" s="730">
        <v>4.4444444444444446E-2</v>
      </c>
      <c r="D1100" s="777">
        <v>42768</v>
      </c>
      <c r="E1100" s="730">
        <v>0.20833333333333334</v>
      </c>
      <c r="F1100" s="558" t="s">
        <v>2975</v>
      </c>
      <c r="G1100" s="558" t="s">
        <v>124</v>
      </c>
      <c r="H1100" s="558" t="s">
        <v>2769</v>
      </c>
      <c r="I1100" s="679" t="s">
        <v>2483</v>
      </c>
      <c r="J1100" s="676">
        <v>396</v>
      </c>
      <c r="K1100" s="676">
        <v>149223</v>
      </c>
      <c r="M1100" t="str">
        <f>""</f>
        <v/>
      </c>
    </row>
    <row r="1101" spans="1:13" ht="15.75">
      <c r="A1101">
        <v>2013</v>
      </c>
      <c r="B1101" s="777">
        <v>41448</v>
      </c>
      <c r="C1101" s="730">
        <v>0.88888888888888884</v>
      </c>
      <c r="D1101" s="777">
        <v>41449</v>
      </c>
      <c r="E1101" s="730">
        <v>6.5972222222222224E-2</v>
      </c>
      <c r="F1101" s="558" t="s">
        <v>2563</v>
      </c>
      <c r="G1101" s="558" t="s">
        <v>124</v>
      </c>
      <c r="H1101" s="558" t="s">
        <v>5873</v>
      </c>
      <c r="I1101" s="679" t="s">
        <v>2564</v>
      </c>
      <c r="J1101" s="676" t="s">
        <v>5873</v>
      </c>
      <c r="K1101" s="676">
        <v>148000</v>
      </c>
      <c r="M1101" t="str">
        <f>""</f>
        <v/>
      </c>
    </row>
    <row r="1102" spans="1:13" ht="15.75">
      <c r="A1102">
        <v>2021</v>
      </c>
      <c r="B1102" s="777">
        <v>44272</v>
      </c>
      <c r="C1102" s="730">
        <v>0.26041666666666669</v>
      </c>
      <c r="D1102" s="777">
        <v>44273</v>
      </c>
      <c r="E1102" s="730">
        <v>0.5</v>
      </c>
      <c r="F1102" s="558" t="s">
        <v>4785</v>
      </c>
      <c r="G1102" s="558" t="s">
        <v>1352</v>
      </c>
      <c r="H1102" s="558" t="s">
        <v>3451</v>
      </c>
      <c r="I1102" s="679" t="s">
        <v>22</v>
      </c>
      <c r="J1102" s="676" t="s">
        <v>5873</v>
      </c>
      <c r="K1102" s="676">
        <v>148000</v>
      </c>
      <c r="M1102" t="str">
        <f>""</f>
        <v/>
      </c>
    </row>
    <row r="1103" spans="1:13" ht="15.75">
      <c r="A1103" s="728">
        <v>2010</v>
      </c>
      <c r="B1103" s="777">
        <v>40198</v>
      </c>
      <c r="C1103" s="730">
        <v>0.54166666666666663</v>
      </c>
      <c r="D1103" s="777">
        <v>40202</v>
      </c>
      <c r="E1103" s="730">
        <v>0.75694444444444442</v>
      </c>
      <c r="F1103" s="558" t="s">
        <v>1106</v>
      </c>
      <c r="G1103" s="558" t="s">
        <v>124</v>
      </c>
      <c r="H1103" s="558" t="s">
        <v>5873</v>
      </c>
      <c r="I1103" s="679" t="s">
        <v>362</v>
      </c>
      <c r="J1103" s="676" t="s">
        <v>5873</v>
      </c>
      <c r="K1103" s="676">
        <v>147223</v>
      </c>
      <c r="M1103" t="str">
        <f>""</f>
        <v/>
      </c>
    </row>
    <row r="1104" spans="1:13" ht="15.75">
      <c r="A1104">
        <v>2011</v>
      </c>
      <c r="B1104" s="777">
        <v>40845</v>
      </c>
      <c r="C1104" s="730">
        <v>0.5395833333333333</v>
      </c>
      <c r="D1104" s="777">
        <v>40850</v>
      </c>
      <c r="E1104" s="730">
        <v>0.95833333333333337</v>
      </c>
      <c r="F1104" s="558" t="s">
        <v>2320</v>
      </c>
      <c r="G1104" s="558" t="s">
        <v>826</v>
      </c>
      <c r="H1104" s="558" t="s">
        <v>5873</v>
      </c>
      <c r="I1104" s="679" t="s">
        <v>22</v>
      </c>
      <c r="J1104" s="676" t="s">
        <v>5873</v>
      </c>
      <c r="K1104" s="676">
        <v>146721</v>
      </c>
      <c r="M1104" t="str">
        <f>""</f>
        <v/>
      </c>
    </row>
    <row r="1105" spans="1:13" ht="15.75">
      <c r="A1105">
        <v>2020</v>
      </c>
      <c r="B1105" s="777">
        <v>43950</v>
      </c>
      <c r="C1105" s="730">
        <v>0.24652777777777779</v>
      </c>
      <c r="D1105" s="777">
        <v>43950</v>
      </c>
      <c r="E1105" s="730">
        <v>0.79166666666666663</v>
      </c>
      <c r="F1105" s="558" t="s">
        <v>2809</v>
      </c>
      <c r="G1105" s="558" t="s">
        <v>1352</v>
      </c>
      <c r="H1105" s="558" t="s">
        <v>3451</v>
      </c>
      <c r="I1105" s="679" t="s">
        <v>22</v>
      </c>
      <c r="J1105" s="676" t="s">
        <v>5873</v>
      </c>
      <c r="K1105" s="676">
        <v>146660</v>
      </c>
      <c r="M1105" t="str">
        <f>""</f>
        <v/>
      </c>
    </row>
    <row r="1106" spans="1:13" ht="15.75">
      <c r="A1106">
        <v>2013</v>
      </c>
      <c r="B1106" s="777">
        <v>41294</v>
      </c>
      <c r="C1106" s="730">
        <v>0.14583333333333334</v>
      </c>
      <c r="D1106" s="777">
        <v>41297</v>
      </c>
      <c r="E1106" s="730">
        <v>0.26041666666666669</v>
      </c>
      <c r="F1106" s="558" t="s">
        <v>268</v>
      </c>
      <c r="G1106" s="558" t="s">
        <v>826</v>
      </c>
      <c r="H1106" s="558" t="s">
        <v>5873</v>
      </c>
      <c r="I1106" s="679" t="s">
        <v>2491</v>
      </c>
      <c r="J1106" s="676" t="s">
        <v>5873</v>
      </c>
      <c r="K1106" s="676">
        <v>146500</v>
      </c>
      <c r="M1106" t="str">
        <f>""</f>
        <v/>
      </c>
    </row>
    <row r="1107" spans="1:13" ht="15.75">
      <c r="A1107">
        <v>2016</v>
      </c>
      <c r="B1107" s="777">
        <v>42419</v>
      </c>
      <c r="C1107" s="730">
        <v>0.91666666666666663</v>
      </c>
      <c r="D1107" s="777">
        <v>42420</v>
      </c>
      <c r="E1107" s="730">
        <v>0.96736111111111112</v>
      </c>
      <c r="F1107" s="558" t="s">
        <v>1833</v>
      </c>
      <c r="G1107" s="558" t="s">
        <v>826</v>
      </c>
      <c r="H1107" s="558" t="s">
        <v>2753</v>
      </c>
      <c r="I1107" s="679" t="s">
        <v>2828</v>
      </c>
      <c r="J1107" s="676" t="s">
        <v>5873</v>
      </c>
      <c r="K1107" s="676">
        <v>145314</v>
      </c>
      <c r="M1107" t="str">
        <f>""</f>
        <v/>
      </c>
    </row>
    <row r="1108" spans="1:13" ht="15.75">
      <c r="A1108">
        <v>2017</v>
      </c>
      <c r="B1108" s="777">
        <v>42855</v>
      </c>
      <c r="C1108" s="730">
        <v>4.1666666666666664E-2</v>
      </c>
      <c r="D1108" s="777">
        <v>42855</v>
      </c>
      <c r="E1108" s="730">
        <v>0.73958333333333337</v>
      </c>
      <c r="F1108" s="558" t="s">
        <v>2181</v>
      </c>
      <c r="G1108" s="558" t="s">
        <v>63</v>
      </c>
      <c r="H1108" s="558" t="s">
        <v>2753</v>
      </c>
      <c r="I1108" s="679" t="s">
        <v>22</v>
      </c>
      <c r="J1108" s="676" t="s">
        <v>5873</v>
      </c>
      <c r="K1108" s="676">
        <v>145174</v>
      </c>
      <c r="M1108" t="str">
        <f>""</f>
        <v/>
      </c>
    </row>
    <row r="1109" spans="1:13" ht="15.75">
      <c r="A1109" s="728">
        <v>2010</v>
      </c>
      <c r="B1109" s="777">
        <v>40395</v>
      </c>
      <c r="C1109" s="730">
        <v>0.66249999999999998</v>
      </c>
      <c r="D1109" s="777">
        <v>40398</v>
      </c>
      <c r="E1109" s="730">
        <v>0</v>
      </c>
      <c r="F1109" s="558" t="s">
        <v>923</v>
      </c>
      <c r="G1109" s="558" t="s">
        <v>826</v>
      </c>
      <c r="H1109" s="558" t="s">
        <v>5873</v>
      </c>
      <c r="I1109" s="679" t="s">
        <v>381</v>
      </c>
      <c r="J1109" s="676" t="s">
        <v>5873</v>
      </c>
      <c r="K1109" s="676">
        <v>145157</v>
      </c>
      <c r="M1109" t="str">
        <f>""</f>
        <v/>
      </c>
    </row>
    <row r="1110" spans="1:13" ht="15.75">
      <c r="A1110">
        <v>2011</v>
      </c>
      <c r="B1110" s="777">
        <v>40845</v>
      </c>
      <c r="C1110" s="730">
        <v>0.625</v>
      </c>
      <c r="D1110" s="777">
        <v>40849</v>
      </c>
      <c r="E1110" s="730">
        <v>0.34375</v>
      </c>
      <c r="F1110" s="558" t="s">
        <v>2322</v>
      </c>
      <c r="G1110" s="558" t="s">
        <v>61</v>
      </c>
      <c r="H1110" s="558" t="s">
        <v>5873</v>
      </c>
      <c r="I1110" s="679" t="s">
        <v>22</v>
      </c>
      <c r="J1110" s="676" t="s">
        <v>5873</v>
      </c>
      <c r="K1110" s="676">
        <v>145000</v>
      </c>
      <c r="M1110" t="str">
        <f>""</f>
        <v/>
      </c>
    </row>
    <row r="1111" spans="1:13" ht="15.75">
      <c r="A1111">
        <v>2012</v>
      </c>
      <c r="B1111" s="777">
        <v>41089</v>
      </c>
      <c r="C1111" s="730">
        <v>0.79166666666666663</v>
      </c>
      <c r="D1111" s="777">
        <v>41097</v>
      </c>
      <c r="E1111" s="730">
        <v>0.82152777777777775</v>
      </c>
      <c r="F1111" s="558" t="s">
        <v>2403</v>
      </c>
      <c r="G1111" s="558" t="s">
        <v>826</v>
      </c>
      <c r="H1111" s="558" t="s">
        <v>5873</v>
      </c>
      <c r="I1111" s="679" t="s">
        <v>2368</v>
      </c>
      <c r="J1111" s="676" t="s">
        <v>5873</v>
      </c>
      <c r="K1111" s="676">
        <v>145000</v>
      </c>
      <c r="M1111" t="str">
        <f>""</f>
        <v/>
      </c>
    </row>
    <row r="1112" spans="1:13" ht="15.75">
      <c r="A1112">
        <v>2020</v>
      </c>
      <c r="B1112" s="777">
        <v>43870</v>
      </c>
      <c r="C1112" s="730">
        <v>0.39583333333333331</v>
      </c>
      <c r="D1112" s="777">
        <v>43870</v>
      </c>
      <c r="E1112" s="730">
        <v>0.90277777777777779</v>
      </c>
      <c r="F1112" s="558" t="s">
        <v>4115</v>
      </c>
      <c r="G1112" s="558" t="s">
        <v>124</v>
      </c>
      <c r="H1112" s="558" t="s">
        <v>3451</v>
      </c>
      <c r="I1112" s="679" t="s">
        <v>22</v>
      </c>
      <c r="J1112" s="676">
        <v>500</v>
      </c>
      <c r="K1112" s="676">
        <v>145000</v>
      </c>
      <c r="M1112" t="str">
        <f>""</f>
        <v/>
      </c>
    </row>
    <row r="1113" spans="1:13" ht="15.75">
      <c r="A1113">
        <v>2014</v>
      </c>
      <c r="B1113" s="777">
        <v>41675</v>
      </c>
      <c r="C1113" s="730">
        <v>4.1666666666666664E-2</v>
      </c>
      <c r="D1113" s="777">
        <v>41679</v>
      </c>
      <c r="E1113" s="730">
        <v>0.86111111111111116</v>
      </c>
      <c r="F1113" s="558" t="s">
        <v>171</v>
      </c>
      <c r="G1113" s="558" t="s">
        <v>826</v>
      </c>
      <c r="H1113" s="558" t="s">
        <v>5873</v>
      </c>
      <c r="I1113" s="679" t="s">
        <v>2662</v>
      </c>
      <c r="J1113" s="676" t="s">
        <v>5873</v>
      </c>
      <c r="K1113" s="676">
        <v>144000</v>
      </c>
      <c r="M1113" t="str">
        <f>""</f>
        <v/>
      </c>
    </row>
    <row r="1114" spans="1:13" ht="15.75">
      <c r="A1114">
        <v>2022</v>
      </c>
      <c r="B1114" s="777">
        <v>44564</v>
      </c>
      <c r="C1114" s="730">
        <v>0.22916666666666666</v>
      </c>
      <c r="D1114" s="777">
        <v>44565</v>
      </c>
      <c r="E1114" s="730">
        <v>0.52083333333333337</v>
      </c>
      <c r="F1114" s="558" t="s">
        <v>2832</v>
      </c>
      <c r="G1114" s="558" t="s">
        <v>63</v>
      </c>
      <c r="H1114" s="558" t="s">
        <v>2753</v>
      </c>
      <c r="I1114" s="679" t="s">
        <v>22</v>
      </c>
      <c r="J1114" s="676" t="s">
        <v>5873</v>
      </c>
      <c r="K1114" s="676">
        <v>142000</v>
      </c>
      <c r="M1114" t="str">
        <f>""</f>
        <v/>
      </c>
    </row>
    <row r="1115" spans="1:13" ht="15.75">
      <c r="A1115">
        <v>2011</v>
      </c>
      <c r="B1115" s="777">
        <v>40658</v>
      </c>
      <c r="C1115" s="730">
        <v>0.72916666666666663</v>
      </c>
      <c r="D1115" s="777">
        <v>40660</v>
      </c>
      <c r="E1115" s="730">
        <v>0.75</v>
      </c>
      <c r="F1115" s="558" t="s">
        <v>2181</v>
      </c>
      <c r="G1115" s="558" t="s">
        <v>58</v>
      </c>
      <c r="H1115" s="558" t="s">
        <v>5873</v>
      </c>
      <c r="I1115" s="679" t="s">
        <v>22</v>
      </c>
      <c r="J1115" s="676" t="s">
        <v>5873</v>
      </c>
      <c r="K1115" s="676">
        <v>141700</v>
      </c>
      <c r="M1115" t="str">
        <f>""</f>
        <v/>
      </c>
    </row>
    <row r="1116" spans="1:13" ht="15.75">
      <c r="A1116">
        <v>2011</v>
      </c>
      <c r="B1116" s="777">
        <v>40688</v>
      </c>
      <c r="C1116" s="730">
        <v>0.92638888888888893</v>
      </c>
      <c r="D1116" s="777">
        <v>40691</v>
      </c>
      <c r="E1116" s="730">
        <v>0.45833333333333331</v>
      </c>
      <c r="F1116" s="558" t="s">
        <v>2208</v>
      </c>
      <c r="G1116" s="558" t="s">
        <v>826</v>
      </c>
      <c r="H1116" s="558" t="s">
        <v>5873</v>
      </c>
      <c r="I1116" s="679" t="s">
        <v>22</v>
      </c>
      <c r="J1116" s="676">
        <v>200</v>
      </c>
      <c r="K1116" s="676">
        <v>141000</v>
      </c>
      <c r="M1116" t="str">
        <f>""</f>
        <v/>
      </c>
    </row>
    <row r="1117" spans="1:13" ht="15.75">
      <c r="A1117">
        <v>2018</v>
      </c>
      <c r="B1117" s="777">
        <v>43404</v>
      </c>
      <c r="C1117" s="730">
        <v>0.8125</v>
      </c>
      <c r="D1117" s="777">
        <v>43405</v>
      </c>
      <c r="E1117" s="730">
        <v>0.78819444444444442</v>
      </c>
      <c r="F1117" s="558" t="s">
        <v>2809</v>
      </c>
      <c r="G1117" s="558" t="s">
        <v>1352</v>
      </c>
      <c r="H1117" s="558" t="s">
        <v>2753</v>
      </c>
      <c r="I1117" s="679" t="s">
        <v>22</v>
      </c>
      <c r="J1117" s="676">
        <v>402</v>
      </c>
      <c r="K1117" s="676">
        <v>140932</v>
      </c>
      <c r="M1117" t="str">
        <f>""</f>
        <v/>
      </c>
    </row>
    <row r="1118" spans="1:13" ht="15.75">
      <c r="A1118">
        <v>2013</v>
      </c>
      <c r="B1118" s="777">
        <v>41630</v>
      </c>
      <c r="C1118" s="730">
        <v>0.27083333333333331</v>
      </c>
      <c r="D1118" s="777">
        <v>41633</v>
      </c>
      <c r="E1118" s="730">
        <v>0.21666666666666667</v>
      </c>
      <c r="F1118" s="558" t="s">
        <v>1833</v>
      </c>
      <c r="G1118" s="558" t="s">
        <v>826</v>
      </c>
      <c r="H1118" s="558" t="s">
        <v>5873</v>
      </c>
      <c r="I1118" s="679" t="s">
        <v>2634</v>
      </c>
      <c r="J1118" s="676">
        <v>350</v>
      </c>
      <c r="K1118" s="676">
        <v>140735</v>
      </c>
      <c r="M1118" t="str">
        <f>""</f>
        <v/>
      </c>
    </row>
    <row r="1119" spans="1:13" ht="15.75">
      <c r="A1119">
        <v>2022</v>
      </c>
      <c r="B1119" s="777">
        <v>44783</v>
      </c>
      <c r="C1119" s="730">
        <v>0.8305555555555556</v>
      </c>
      <c r="D1119" s="777">
        <v>44784</v>
      </c>
      <c r="E1119" s="730">
        <v>0.83333333333333337</v>
      </c>
      <c r="F1119" s="558" t="s">
        <v>2809</v>
      </c>
      <c r="G1119" s="558" t="s">
        <v>1352</v>
      </c>
      <c r="H1119" s="558" t="s">
        <v>2753</v>
      </c>
      <c r="I1119" s="679" t="s">
        <v>22</v>
      </c>
      <c r="J1119" s="676" t="s">
        <v>5873</v>
      </c>
      <c r="K1119" s="676">
        <v>140464</v>
      </c>
      <c r="M1119" t="str">
        <f>""</f>
        <v/>
      </c>
    </row>
    <row r="1120" spans="1:13" ht="15.75">
      <c r="A1120">
        <v>2011</v>
      </c>
      <c r="B1120" s="777">
        <v>40782</v>
      </c>
      <c r="C1120" s="730">
        <v>0.91666666666666663</v>
      </c>
      <c r="D1120" s="777">
        <v>40784</v>
      </c>
      <c r="E1120" s="730">
        <v>0.66666666666666663</v>
      </c>
      <c r="F1120" s="558" t="s">
        <v>2276</v>
      </c>
      <c r="G1120" s="558" t="s">
        <v>826</v>
      </c>
      <c r="H1120" s="558" t="s">
        <v>5873</v>
      </c>
      <c r="I1120" s="679" t="s">
        <v>22</v>
      </c>
      <c r="J1120" s="676">
        <v>320</v>
      </c>
      <c r="K1120" s="676">
        <v>140000</v>
      </c>
      <c r="M1120" t="str">
        <f>""</f>
        <v/>
      </c>
    </row>
    <row r="1121" spans="1:13" ht="15.75">
      <c r="A1121">
        <v>2012</v>
      </c>
      <c r="B1121" s="777">
        <v>40970</v>
      </c>
      <c r="C1121" s="730">
        <v>0.875</v>
      </c>
      <c r="D1121" s="777">
        <v>40972</v>
      </c>
      <c r="E1121" s="730">
        <v>0.72916666666666663</v>
      </c>
      <c r="F1121" s="558" t="s">
        <v>2252</v>
      </c>
      <c r="G1121" s="558" t="s">
        <v>826</v>
      </c>
      <c r="H1121" s="558" t="s">
        <v>5873</v>
      </c>
      <c r="I1121" s="679" t="s">
        <v>2349</v>
      </c>
      <c r="J1121" s="676">
        <v>50</v>
      </c>
      <c r="K1121" s="676">
        <v>140000</v>
      </c>
      <c r="M1121" t="str">
        <f>""</f>
        <v/>
      </c>
    </row>
    <row r="1122" spans="1:13" ht="15.75">
      <c r="A1122">
        <v>2014</v>
      </c>
      <c r="B1122" s="777">
        <v>41821</v>
      </c>
      <c r="C1122" s="730">
        <v>0.16666666666666666</v>
      </c>
      <c r="D1122" s="777">
        <v>41823</v>
      </c>
      <c r="E1122" s="730">
        <v>0.97916666666666663</v>
      </c>
      <c r="F1122" s="558" t="s">
        <v>420</v>
      </c>
      <c r="G1122" s="558" t="s">
        <v>826</v>
      </c>
      <c r="H1122" s="558" t="s">
        <v>5873</v>
      </c>
      <c r="I1122" s="679" t="s">
        <v>2368</v>
      </c>
      <c r="J1122" s="676" t="s">
        <v>5873</v>
      </c>
      <c r="K1122" s="676">
        <v>140000</v>
      </c>
      <c r="M1122" t="str">
        <f>""</f>
        <v/>
      </c>
    </row>
    <row r="1123" spans="1:13" ht="15.75">
      <c r="A1123">
        <v>2014</v>
      </c>
      <c r="B1123" s="777">
        <v>41904</v>
      </c>
      <c r="C1123" s="730">
        <v>0.45833333333333331</v>
      </c>
      <c r="D1123" s="777">
        <v>41904</v>
      </c>
      <c r="E1123" s="730">
        <v>0.45902777777777776</v>
      </c>
      <c r="F1123" s="558" t="s">
        <v>2716</v>
      </c>
      <c r="G1123" s="558" t="s">
        <v>674</v>
      </c>
      <c r="H1123" s="558" t="s">
        <v>5873</v>
      </c>
      <c r="I1123" s="679" t="s">
        <v>2659</v>
      </c>
      <c r="J1123" s="676">
        <v>1000</v>
      </c>
      <c r="K1123" s="676">
        <v>140000</v>
      </c>
      <c r="M1123" t="str">
        <f>""</f>
        <v/>
      </c>
    </row>
    <row r="1124" spans="1:13" ht="15.75">
      <c r="A1124">
        <v>2023</v>
      </c>
      <c r="B1124" s="777">
        <v>45106</v>
      </c>
      <c r="C1124" s="730">
        <v>0.65416666666666667</v>
      </c>
      <c r="D1124" s="777" t="s">
        <v>5873</v>
      </c>
      <c r="E1124" s="730" t="s">
        <v>5873</v>
      </c>
      <c r="F1124" s="558" t="s">
        <v>1470</v>
      </c>
      <c r="G1124" s="558" t="s">
        <v>3143</v>
      </c>
      <c r="H1124" s="558" t="s">
        <v>3451</v>
      </c>
      <c r="I1124" s="679" t="s">
        <v>5883</v>
      </c>
      <c r="J1124" s="676" t="s">
        <v>5873</v>
      </c>
      <c r="K1124" s="676">
        <v>140000</v>
      </c>
      <c r="M1124" t="str">
        <f>""</f>
        <v/>
      </c>
    </row>
    <row r="1125" spans="1:13" ht="15.75">
      <c r="A1125">
        <v>2014</v>
      </c>
      <c r="B1125" s="777">
        <v>41808</v>
      </c>
      <c r="C1125" s="730">
        <v>0.70833333333333337</v>
      </c>
      <c r="D1125" s="777">
        <v>41810</v>
      </c>
      <c r="E1125" s="730">
        <v>0.625</v>
      </c>
      <c r="F1125" s="558" t="s">
        <v>420</v>
      </c>
      <c r="G1125" s="558" t="s">
        <v>826</v>
      </c>
      <c r="H1125" s="558" t="s">
        <v>5873</v>
      </c>
      <c r="I1125" s="679" t="s">
        <v>2368</v>
      </c>
      <c r="J1125" s="676" t="s">
        <v>5873</v>
      </c>
      <c r="K1125" s="676">
        <v>138802</v>
      </c>
      <c r="M1125" t="str">
        <f>""</f>
        <v/>
      </c>
    </row>
    <row r="1126" spans="1:13" ht="15.75">
      <c r="A1126" s="728">
        <v>2010</v>
      </c>
      <c r="B1126" s="777">
        <v>40442</v>
      </c>
      <c r="C1126" s="730">
        <v>0.89652777777777781</v>
      </c>
      <c r="D1126" s="777">
        <v>40443</v>
      </c>
      <c r="E1126" s="730">
        <v>0.60416666666666663</v>
      </c>
      <c r="F1126" s="558" t="s">
        <v>2044</v>
      </c>
      <c r="G1126" s="558" t="s">
        <v>826</v>
      </c>
      <c r="H1126" s="558" t="s">
        <v>5873</v>
      </c>
      <c r="I1126" s="679" t="s">
        <v>381</v>
      </c>
      <c r="J1126" s="676" t="s">
        <v>5873</v>
      </c>
      <c r="K1126" s="676">
        <v>138000</v>
      </c>
      <c r="M1126" t="str">
        <f>""</f>
        <v/>
      </c>
    </row>
    <row r="1127" spans="1:13" ht="15.75">
      <c r="A1127">
        <v>2013</v>
      </c>
      <c r="B1127" s="777">
        <v>41452</v>
      </c>
      <c r="C1127" s="730">
        <v>0.70833333333333337</v>
      </c>
      <c r="D1127" s="777">
        <v>41453</v>
      </c>
      <c r="E1127" s="730">
        <v>0</v>
      </c>
      <c r="F1127" s="558" t="s">
        <v>2565</v>
      </c>
      <c r="G1127" s="558" t="s">
        <v>826</v>
      </c>
      <c r="H1127" s="558" t="s">
        <v>5873</v>
      </c>
      <c r="I1127" s="679" t="s">
        <v>2368</v>
      </c>
      <c r="J1127" s="676" t="s">
        <v>5873</v>
      </c>
      <c r="K1127" s="676">
        <v>138000</v>
      </c>
      <c r="M1127" t="str">
        <f>""</f>
        <v/>
      </c>
    </row>
    <row r="1128" spans="1:13" ht="15.75">
      <c r="A1128">
        <v>2019</v>
      </c>
      <c r="B1128" s="777">
        <v>43520</v>
      </c>
      <c r="C1128" s="730">
        <v>0.78263888888888888</v>
      </c>
      <c r="D1128" s="777">
        <v>43521</v>
      </c>
      <c r="E1128" s="730">
        <v>0.57986111111111116</v>
      </c>
      <c r="F1128" s="558" t="s">
        <v>171</v>
      </c>
      <c r="G1128" s="558" t="s">
        <v>3143</v>
      </c>
      <c r="H1128" s="558" t="s">
        <v>3451</v>
      </c>
      <c r="I1128" s="679" t="s">
        <v>22</v>
      </c>
      <c r="J1128" s="676" t="s">
        <v>5873</v>
      </c>
      <c r="K1128" s="676">
        <v>137216</v>
      </c>
      <c r="M1128" t="str">
        <f>""</f>
        <v/>
      </c>
    </row>
    <row r="1129" spans="1:13" ht="15.75">
      <c r="A1129">
        <v>2020</v>
      </c>
      <c r="B1129" s="777">
        <v>44047</v>
      </c>
      <c r="C1129" s="730">
        <v>0.5</v>
      </c>
      <c r="D1129" s="777" t="s">
        <v>5873</v>
      </c>
      <c r="E1129" s="730" t="s">
        <v>5873</v>
      </c>
      <c r="F1129" s="558" t="s">
        <v>4237</v>
      </c>
      <c r="G1129" s="558" t="s">
        <v>3143</v>
      </c>
      <c r="H1129" s="558" t="s">
        <v>3451</v>
      </c>
      <c r="I1129" s="679" t="s">
        <v>22</v>
      </c>
      <c r="J1129" s="676" t="s">
        <v>5873</v>
      </c>
      <c r="K1129" s="676">
        <v>137103</v>
      </c>
      <c r="M1129" t="str">
        <f>""</f>
        <v/>
      </c>
    </row>
    <row r="1130" spans="1:13" ht="15.75">
      <c r="A1130">
        <v>2020</v>
      </c>
      <c r="B1130" s="777">
        <v>44130</v>
      </c>
      <c r="C1130" s="730">
        <v>0.47499999999999998</v>
      </c>
      <c r="D1130" s="777">
        <v>44131</v>
      </c>
      <c r="E1130" s="730">
        <v>0.69652777777777775</v>
      </c>
      <c r="F1130" s="558" t="s">
        <v>4556</v>
      </c>
      <c r="G1130" s="558" t="s">
        <v>124</v>
      </c>
      <c r="H1130" s="558" t="s">
        <v>3451</v>
      </c>
      <c r="I1130" s="679" t="s">
        <v>22</v>
      </c>
      <c r="J1130" s="676" t="s">
        <v>5873</v>
      </c>
      <c r="K1130" s="676">
        <v>136833</v>
      </c>
      <c r="M1130" t="str">
        <f>""</f>
        <v/>
      </c>
    </row>
    <row r="1131" spans="1:13" ht="15.75">
      <c r="A1131">
        <v>2021</v>
      </c>
      <c r="B1131" s="777">
        <v>44383</v>
      </c>
      <c r="C1131" s="730">
        <v>0.82013888888888886</v>
      </c>
      <c r="D1131" s="777">
        <v>44383</v>
      </c>
      <c r="E1131" s="730">
        <v>0.90972222222222221</v>
      </c>
      <c r="F1131" s="558" t="s">
        <v>2895</v>
      </c>
      <c r="G1131" s="558" t="s">
        <v>3143</v>
      </c>
      <c r="H1131" s="558" t="s">
        <v>2753</v>
      </c>
      <c r="I1131" s="679" t="s">
        <v>4905</v>
      </c>
      <c r="J1131" s="676" t="s">
        <v>5873</v>
      </c>
      <c r="K1131" s="676">
        <v>136827</v>
      </c>
      <c r="M1131" t="str">
        <f>""</f>
        <v/>
      </c>
    </row>
    <row r="1132" spans="1:13" ht="15.75">
      <c r="A1132">
        <v>2011</v>
      </c>
      <c r="B1132" s="777">
        <v>40782</v>
      </c>
      <c r="C1132" s="730">
        <v>0.79166666666666663</v>
      </c>
      <c r="D1132" s="777">
        <v>40784</v>
      </c>
      <c r="E1132" s="730">
        <v>0.56319444444444444</v>
      </c>
      <c r="F1132" s="558" t="s">
        <v>230</v>
      </c>
      <c r="G1132" s="558" t="s">
        <v>63</v>
      </c>
      <c r="H1132" s="558" t="s">
        <v>5873</v>
      </c>
      <c r="I1132" s="679" t="s">
        <v>22</v>
      </c>
      <c r="J1132" s="676">
        <v>200</v>
      </c>
      <c r="K1132" s="676">
        <v>136000</v>
      </c>
      <c r="M1132" t="str">
        <f>""</f>
        <v/>
      </c>
    </row>
    <row r="1133" spans="1:13" ht="15.75">
      <c r="A1133">
        <v>2021</v>
      </c>
      <c r="B1133" s="777">
        <v>44461</v>
      </c>
      <c r="C1133" s="730">
        <v>0.72013888888888888</v>
      </c>
      <c r="D1133" s="777" t="s">
        <v>5873</v>
      </c>
      <c r="E1133" s="730" t="s">
        <v>5873</v>
      </c>
      <c r="F1133" s="558" t="s">
        <v>5032</v>
      </c>
      <c r="G1133" s="558" t="s">
        <v>3143</v>
      </c>
      <c r="H1133" s="558" t="s">
        <v>2753</v>
      </c>
      <c r="I1133" s="679" t="s">
        <v>22</v>
      </c>
      <c r="J1133" s="676" t="s">
        <v>5873</v>
      </c>
      <c r="K1133" s="676">
        <v>136000</v>
      </c>
      <c r="M1133" t="str">
        <f>""</f>
        <v/>
      </c>
    </row>
    <row r="1134" spans="1:13" ht="15.75">
      <c r="A1134">
        <v>2020</v>
      </c>
      <c r="B1134" s="777">
        <v>44053</v>
      </c>
      <c r="C1134" s="730">
        <v>0.66666666666666663</v>
      </c>
      <c r="D1134" s="777">
        <v>44056</v>
      </c>
      <c r="E1134" s="730">
        <v>0.625</v>
      </c>
      <c r="F1134" s="558" t="s">
        <v>4392</v>
      </c>
      <c r="G1134" s="558" t="s">
        <v>63</v>
      </c>
      <c r="H1134" s="558" t="s">
        <v>3451</v>
      </c>
      <c r="I1134" s="679" t="s">
        <v>22</v>
      </c>
      <c r="J1134" s="676" t="s">
        <v>5873</v>
      </c>
      <c r="K1134" s="676">
        <v>135000</v>
      </c>
      <c r="M1134" t="str">
        <f>""</f>
        <v/>
      </c>
    </row>
    <row r="1135" spans="1:13" ht="15.75">
      <c r="A1135">
        <v>2021</v>
      </c>
      <c r="B1135" s="777">
        <v>44545</v>
      </c>
      <c r="C1135" s="730">
        <v>0.75</v>
      </c>
      <c r="D1135" s="777">
        <v>44546</v>
      </c>
      <c r="E1135" s="730">
        <v>0.375</v>
      </c>
      <c r="F1135" s="558" t="s">
        <v>5127</v>
      </c>
      <c r="G1135" s="558" t="s">
        <v>674</v>
      </c>
      <c r="H1135" s="558" t="s">
        <v>2753</v>
      </c>
      <c r="I1135" s="679" t="s">
        <v>22</v>
      </c>
      <c r="J1135" s="676" t="s">
        <v>5873</v>
      </c>
      <c r="K1135" s="676">
        <v>134000</v>
      </c>
      <c r="M1135" t="str">
        <f>""</f>
        <v/>
      </c>
    </row>
    <row r="1136" spans="1:13" ht="15.75">
      <c r="A1136">
        <v>2012</v>
      </c>
      <c r="B1136" s="777">
        <v>41212.083333333336</v>
      </c>
      <c r="C1136" s="730">
        <v>41212.083333333336</v>
      </c>
      <c r="D1136" s="777">
        <v>41214.916666666664</v>
      </c>
      <c r="E1136" s="730">
        <v>41214.916666666664</v>
      </c>
      <c r="F1136" s="558" t="s">
        <v>2466</v>
      </c>
      <c r="G1136" s="558" t="s">
        <v>826</v>
      </c>
      <c r="H1136" s="558" t="s">
        <v>5873</v>
      </c>
      <c r="I1136" s="679" t="s">
        <v>2463</v>
      </c>
      <c r="J1136" s="676" t="s">
        <v>5873</v>
      </c>
      <c r="K1136" s="676">
        <v>133777</v>
      </c>
      <c r="M1136" t="str">
        <f>""</f>
        <v/>
      </c>
    </row>
    <row r="1137" spans="1:13" ht="15.75">
      <c r="A1137">
        <v>2020</v>
      </c>
      <c r="B1137" s="777">
        <v>44113</v>
      </c>
      <c r="C1137" s="730">
        <v>0.82638888888888884</v>
      </c>
      <c r="D1137" s="777">
        <v>44115</v>
      </c>
      <c r="E1137" s="730">
        <v>0.63124999999999998</v>
      </c>
      <c r="F1137" s="558" t="s">
        <v>4527</v>
      </c>
      <c r="G1137" s="558" t="s">
        <v>63</v>
      </c>
      <c r="H1137" s="558" t="s">
        <v>3451</v>
      </c>
      <c r="I1137" s="679" t="s">
        <v>22</v>
      </c>
      <c r="J1137" s="676" t="s">
        <v>5873</v>
      </c>
      <c r="K1137" s="676">
        <v>132200</v>
      </c>
      <c r="M1137" t="str">
        <f>""</f>
        <v/>
      </c>
    </row>
    <row r="1138" spans="1:13" ht="15.75">
      <c r="A1138">
        <v>2015</v>
      </c>
      <c r="B1138" s="777">
        <v>42220</v>
      </c>
      <c r="C1138" s="730">
        <v>0.3034722222222222</v>
      </c>
      <c r="D1138" s="777">
        <v>42221</v>
      </c>
      <c r="E1138" s="730">
        <v>0.53611111111111109</v>
      </c>
      <c r="F1138" s="558" t="s">
        <v>2795</v>
      </c>
      <c r="G1138" s="558" t="s">
        <v>61</v>
      </c>
      <c r="H1138" s="558" t="s">
        <v>2753</v>
      </c>
      <c r="I1138" s="679" t="s">
        <v>22</v>
      </c>
      <c r="J1138" s="676" t="s">
        <v>5873</v>
      </c>
      <c r="K1138" s="676">
        <v>132000</v>
      </c>
      <c r="M1138" t="str">
        <f>""</f>
        <v/>
      </c>
    </row>
    <row r="1139" spans="1:13" ht="15.75">
      <c r="A1139">
        <v>2019</v>
      </c>
      <c r="B1139" s="777">
        <v>43520</v>
      </c>
      <c r="C1139" s="730">
        <v>0.75</v>
      </c>
      <c r="D1139" s="777">
        <v>43521</v>
      </c>
      <c r="E1139" s="730">
        <v>0.91666666666666663</v>
      </c>
      <c r="F1139" s="558" t="s">
        <v>171</v>
      </c>
      <c r="G1139" s="558" t="s">
        <v>3143</v>
      </c>
      <c r="H1139" s="558" t="s">
        <v>3451</v>
      </c>
      <c r="I1139" s="679" t="s">
        <v>22</v>
      </c>
      <c r="J1139" s="676" t="s">
        <v>5873</v>
      </c>
      <c r="K1139" s="676">
        <v>132000</v>
      </c>
      <c r="M1139" t="str">
        <f>""</f>
        <v/>
      </c>
    </row>
    <row r="1140" spans="1:13" ht="15.75">
      <c r="A1140">
        <v>2020</v>
      </c>
      <c r="B1140" s="777">
        <v>44057</v>
      </c>
      <c r="C1140" s="730">
        <v>0.78125</v>
      </c>
      <c r="D1140" s="777">
        <v>44057</v>
      </c>
      <c r="E1140" s="730">
        <v>0.8833333333333333</v>
      </c>
      <c r="F1140" s="558" t="s">
        <v>4413</v>
      </c>
      <c r="G1140" s="558" t="s">
        <v>124</v>
      </c>
      <c r="H1140" s="558" t="s">
        <v>3750</v>
      </c>
      <c r="I1140" s="679" t="s">
        <v>2764</v>
      </c>
      <c r="J1140" s="676">
        <v>1419</v>
      </c>
      <c r="K1140" s="676">
        <v>132000</v>
      </c>
      <c r="M1140" t="str">
        <f>""</f>
        <v/>
      </c>
    </row>
    <row r="1141" spans="1:13" ht="15.75">
      <c r="A1141">
        <v>2017</v>
      </c>
      <c r="B1141" s="777">
        <v>42938</v>
      </c>
      <c r="C1141" s="730">
        <v>0.91666666666666663</v>
      </c>
      <c r="D1141" s="777" t="s">
        <v>5873</v>
      </c>
      <c r="E1141" s="730" t="s">
        <v>5873</v>
      </c>
      <c r="F1141" s="558" t="s">
        <v>16</v>
      </c>
      <c r="G1141" s="558" t="s">
        <v>63</v>
      </c>
      <c r="H1141" s="558" t="s">
        <v>2753</v>
      </c>
      <c r="I1141" s="679" t="s">
        <v>22</v>
      </c>
      <c r="J1141" s="676" t="s">
        <v>5873</v>
      </c>
      <c r="K1141" s="676">
        <v>131000</v>
      </c>
      <c r="M1141" t="str">
        <f>""</f>
        <v/>
      </c>
    </row>
    <row r="1142" spans="1:13" ht="15.75">
      <c r="A1142">
        <v>2015</v>
      </c>
      <c r="B1142" s="777">
        <v>42308</v>
      </c>
      <c r="C1142" s="730">
        <v>3.125E-2</v>
      </c>
      <c r="D1142" s="777">
        <v>42309</v>
      </c>
      <c r="E1142" s="730">
        <v>0.67013888888888884</v>
      </c>
      <c r="F1142" s="558" t="s">
        <v>2809</v>
      </c>
      <c r="G1142" s="558" t="s">
        <v>1352</v>
      </c>
      <c r="H1142" s="558" t="s">
        <v>2753</v>
      </c>
      <c r="I1142" s="679" t="s">
        <v>22</v>
      </c>
      <c r="J1142" s="676" t="s">
        <v>5873</v>
      </c>
      <c r="K1142" s="676">
        <v>130252</v>
      </c>
      <c r="M1142" t="str">
        <f>""</f>
        <v/>
      </c>
    </row>
    <row r="1143" spans="1:13" ht="15.75">
      <c r="A1143">
        <v>2012</v>
      </c>
      <c r="B1143" s="777">
        <v>40970</v>
      </c>
      <c r="C1143" s="730">
        <v>0.875</v>
      </c>
      <c r="D1143" s="777">
        <v>40973</v>
      </c>
      <c r="E1143" s="730">
        <v>0.6875</v>
      </c>
      <c r="F1143" s="558" t="s">
        <v>2365</v>
      </c>
      <c r="G1143" s="558" t="s">
        <v>826</v>
      </c>
      <c r="H1143" s="558" t="s">
        <v>5873</v>
      </c>
      <c r="I1143" s="679" t="s">
        <v>2349</v>
      </c>
      <c r="J1143" s="676">
        <v>371</v>
      </c>
      <c r="K1143" s="676">
        <v>130000</v>
      </c>
      <c r="M1143" t="str">
        <f>""</f>
        <v/>
      </c>
    </row>
    <row r="1144" spans="1:13" ht="15.75">
      <c r="A1144">
        <v>2020</v>
      </c>
      <c r="B1144" s="777">
        <v>43857</v>
      </c>
      <c r="C1144" s="730">
        <v>0.59027777777777779</v>
      </c>
      <c r="D1144" s="777">
        <v>43857</v>
      </c>
      <c r="E1144" s="730">
        <v>0.79027777777777775</v>
      </c>
      <c r="F1144" s="558" t="s">
        <v>4097</v>
      </c>
      <c r="G1144" s="558" t="s">
        <v>674</v>
      </c>
      <c r="H1144" s="558" t="s">
        <v>3387</v>
      </c>
      <c r="I1144" s="679" t="s">
        <v>2764</v>
      </c>
      <c r="J1144" s="676">
        <v>540</v>
      </c>
      <c r="K1144" s="676">
        <v>130000</v>
      </c>
      <c r="M1144" t="str">
        <f>""</f>
        <v/>
      </c>
    </row>
    <row r="1145" spans="1:13" ht="15.75">
      <c r="A1145">
        <v>2020</v>
      </c>
      <c r="B1145" s="777">
        <v>43955</v>
      </c>
      <c r="C1145" s="730">
        <v>0.49930555555555556</v>
      </c>
      <c r="D1145" s="777">
        <v>43958</v>
      </c>
      <c r="E1145" s="730">
        <v>0.83333333333333337</v>
      </c>
      <c r="F1145" s="558" t="s">
        <v>4241</v>
      </c>
      <c r="G1145" s="558" t="s">
        <v>63</v>
      </c>
      <c r="H1145" s="558" t="s">
        <v>3451</v>
      </c>
      <c r="I1145" s="679" t="s">
        <v>22</v>
      </c>
      <c r="J1145" s="676">
        <v>500</v>
      </c>
      <c r="K1145" s="676">
        <v>130000</v>
      </c>
      <c r="M1145" t="str">
        <f>""</f>
        <v/>
      </c>
    </row>
    <row r="1146" spans="1:13" ht="15.75">
      <c r="A1146">
        <v>2020</v>
      </c>
      <c r="B1146" s="777">
        <v>44070</v>
      </c>
      <c r="C1146" s="730">
        <v>0.31944444444444442</v>
      </c>
      <c r="D1146" s="777">
        <v>44074</v>
      </c>
      <c r="E1146" s="730">
        <v>0.31944444444444442</v>
      </c>
      <c r="F1146" s="558" t="s">
        <v>3767</v>
      </c>
      <c r="G1146" s="558" t="s">
        <v>63</v>
      </c>
      <c r="H1146" s="558" t="s">
        <v>3451</v>
      </c>
      <c r="I1146" s="679" t="s">
        <v>22</v>
      </c>
      <c r="J1146" s="676" t="s">
        <v>5873</v>
      </c>
      <c r="K1146" s="676">
        <v>130000</v>
      </c>
      <c r="M1146" t="str">
        <f>""</f>
        <v/>
      </c>
    </row>
    <row r="1147" spans="1:13" ht="15.75">
      <c r="A1147">
        <v>2021</v>
      </c>
      <c r="B1147" s="777">
        <v>44497</v>
      </c>
      <c r="C1147" s="730">
        <v>0.61458333333333337</v>
      </c>
      <c r="D1147" s="777">
        <v>44498</v>
      </c>
      <c r="E1147" s="730">
        <v>0.85416666666666663</v>
      </c>
      <c r="F1147" s="558" t="s">
        <v>2809</v>
      </c>
      <c r="G1147" s="558" t="s">
        <v>1352</v>
      </c>
      <c r="H1147" s="558" t="s">
        <v>2753</v>
      </c>
      <c r="I1147" s="679" t="s">
        <v>22</v>
      </c>
      <c r="J1147" s="676" t="s">
        <v>5873</v>
      </c>
      <c r="K1147" s="676">
        <v>130000</v>
      </c>
      <c r="M1147" t="str">
        <f>""</f>
        <v/>
      </c>
    </row>
    <row r="1148" spans="1:13" ht="15.75">
      <c r="A1148">
        <v>2022</v>
      </c>
      <c r="B1148" s="777">
        <v>44919</v>
      </c>
      <c r="C1148" s="730">
        <v>0.27430555555555558</v>
      </c>
      <c r="D1148" s="777">
        <v>44919</v>
      </c>
      <c r="E1148" s="730">
        <v>0.67361111111111116</v>
      </c>
      <c r="F1148" s="558" t="s">
        <v>2928</v>
      </c>
      <c r="G1148" s="558" t="s">
        <v>63</v>
      </c>
      <c r="H1148" s="558" t="s">
        <v>3750</v>
      </c>
      <c r="I1148" s="679" t="s">
        <v>2764</v>
      </c>
      <c r="J1148" s="676">
        <v>960</v>
      </c>
      <c r="K1148" s="676">
        <v>130000</v>
      </c>
      <c r="M1148" t="str">
        <f>""</f>
        <v/>
      </c>
    </row>
    <row r="1149" spans="1:13" ht="15.75">
      <c r="A1149">
        <v>2023</v>
      </c>
      <c r="B1149" s="777">
        <v>45193</v>
      </c>
      <c r="C1149" s="532">
        <v>0.98888888888888893</v>
      </c>
      <c r="D1149" s="678">
        <v>45195</v>
      </c>
      <c r="E1149" s="532">
        <v>0.86458333333333337</v>
      </c>
      <c r="F1149" t="s">
        <v>5917</v>
      </c>
      <c r="G1149" t="s">
        <v>1352</v>
      </c>
      <c r="H1149" t="s">
        <v>2753</v>
      </c>
      <c r="I1149" s="677" t="s">
        <v>5883</v>
      </c>
      <c r="J1149" s="785" t="s">
        <v>5873</v>
      </c>
      <c r="K1149" s="783">
        <v>130000</v>
      </c>
      <c r="M1149" t="str">
        <f>""</f>
        <v/>
      </c>
    </row>
    <row r="1150" spans="1:13" ht="15.75">
      <c r="A1150">
        <v>2014</v>
      </c>
      <c r="B1150" s="777">
        <v>41918</v>
      </c>
      <c r="C1150" s="730">
        <v>0.45277777777777778</v>
      </c>
      <c r="D1150" s="777">
        <v>41919</v>
      </c>
      <c r="E1150" s="730">
        <v>3.6111111111111108E-2</v>
      </c>
      <c r="F1150" s="558" t="s">
        <v>1098</v>
      </c>
      <c r="G1150" s="558" t="s">
        <v>1352</v>
      </c>
      <c r="H1150" s="558" t="s">
        <v>5873</v>
      </c>
      <c r="I1150" s="679" t="s">
        <v>2368</v>
      </c>
      <c r="J1150" s="676">
        <v>292</v>
      </c>
      <c r="K1150" s="676">
        <v>129237</v>
      </c>
      <c r="M1150" t="str">
        <f>""</f>
        <v/>
      </c>
    </row>
    <row r="1151" spans="1:13" ht="15.75">
      <c r="A1151">
        <v>2021</v>
      </c>
      <c r="B1151" s="777">
        <v>44240</v>
      </c>
      <c r="C1151" s="730">
        <v>0.35555555555555557</v>
      </c>
      <c r="D1151" s="777">
        <v>44241</v>
      </c>
      <c r="E1151" s="730">
        <v>0.625</v>
      </c>
      <c r="F1151" s="558" t="s">
        <v>4716</v>
      </c>
      <c r="G1151" s="558" t="s">
        <v>63</v>
      </c>
      <c r="H1151" s="558" t="s">
        <v>3451</v>
      </c>
      <c r="I1151" s="679" t="s">
        <v>22</v>
      </c>
      <c r="J1151" s="676" t="s">
        <v>5873</v>
      </c>
      <c r="K1151" s="676">
        <v>129000</v>
      </c>
      <c r="M1151" t="str">
        <f>""</f>
        <v/>
      </c>
    </row>
    <row r="1152" spans="1:13" ht="15.75">
      <c r="A1152">
        <v>2011</v>
      </c>
      <c r="B1152" s="777">
        <v>40621</v>
      </c>
      <c r="C1152" s="730">
        <v>0.99722222222222223</v>
      </c>
      <c r="D1152" s="777">
        <v>40626</v>
      </c>
      <c r="E1152" s="730">
        <v>0.79861111111111116</v>
      </c>
      <c r="F1152" s="558" t="s">
        <v>39</v>
      </c>
      <c r="G1152" s="558" t="s">
        <v>124</v>
      </c>
      <c r="H1152" s="558" t="s">
        <v>5873</v>
      </c>
      <c r="I1152" s="679" t="s">
        <v>1096</v>
      </c>
      <c r="J1152" s="676">
        <v>91</v>
      </c>
      <c r="K1152" s="676">
        <v>128000</v>
      </c>
      <c r="M1152" t="str">
        <f>""</f>
        <v/>
      </c>
    </row>
    <row r="1153" spans="1:13" ht="15.75">
      <c r="A1153">
        <v>2023</v>
      </c>
      <c r="B1153" s="777">
        <v>45277</v>
      </c>
      <c r="C1153" s="532">
        <v>0.44861111111111113</v>
      </c>
      <c r="D1153" s="678">
        <v>45277</v>
      </c>
      <c r="E1153" s="532">
        <v>0.45624999999999999</v>
      </c>
      <c r="F1153" t="s">
        <v>6030</v>
      </c>
      <c r="G1153" t="s">
        <v>255</v>
      </c>
      <c r="H1153" t="s">
        <v>6031</v>
      </c>
      <c r="I1153" s="677" t="s">
        <v>6062</v>
      </c>
      <c r="J1153" s="783">
        <v>80</v>
      </c>
      <c r="K1153" s="783">
        <v>127585</v>
      </c>
      <c r="M1153" t="str">
        <f>""</f>
        <v/>
      </c>
    </row>
    <row r="1154" spans="1:13" ht="15.75">
      <c r="A1154" s="728">
        <v>2010</v>
      </c>
      <c r="B1154" s="777">
        <v>40374</v>
      </c>
      <c r="C1154" s="730">
        <v>0.79166666666666663</v>
      </c>
      <c r="D1154" s="777">
        <v>40378</v>
      </c>
      <c r="E1154" s="730">
        <v>0.97916666666666663</v>
      </c>
      <c r="F1154" s="558" t="s">
        <v>268</v>
      </c>
      <c r="G1154" s="558" t="s">
        <v>826</v>
      </c>
      <c r="H1154" s="558" t="s">
        <v>5873</v>
      </c>
      <c r="I1154" s="679" t="s">
        <v>22</v>
      </c>
      <c r="J1154" s="676">
        <v>540</v>
      </c>
      <c r="K1154" s="676">
        <v>127534</v>
      </c>
      <c r="M1154" t="str">
        <f>""</f>
        <v/>
      </c>
    </row>
    <row r="1155" spans="1:13" ht="15.75">
      <c r="A1155" s="728">
        <v>2010</v>
      </c>
      <c r="B1155" s="777">
        <v>40478</v>
      </c>
      <c r="C1155" s="730">
        <v>0.70833333333333337</v>
      </c>
      <c r="D1155" s="777">
        <v>40480</v>
      </c>
      <c r="E1155" s="730">
        <v>0.16666666666666666</v>
      </c>
      <c r="F1155" s="558" t="s">
        <v>156</v>
      </c>
      <c r="G1155" s="558" t="s">
        <v>826</v>
      </c>
      <c r="H1155" s="558" t="s">
        <v>5873</v>
      </c>
      <c r="I1155" s="679" t="s">
        <v>264</v>
      </c>
      <c r="J1155" s="676" t="s">
        <v>5873</v>
      </c>
      <c r="K1155" s="676">
        <v>127000</v>
      </c>
      <c r="M1155" t="str">
        <f>""</f>
        <v/>
      </c>
    </row>
    <row r="1156" spans="1:13" ht="15.75">
      <c r="A1156">
        <v>2013</v>
      </c>
      <c r="B1156" s="777">
        <v>41291</v>
      </c>
      <c r="C1156" s="730">
        <v>0.75486111111111109</v>
      </c>
      <c r="D1156" s="777">
        <v>41294</v>
      </c>
      <c r="E1156" s="730">
        <v>0.8125</v>
      </c>
      <c r="F1156" s="558" t="s">
        <v>2488</v>
      </c>
      <c r="G1156" s="558" t="s">
        <v>826</v>
      </c>
      <c r="H1156" s="558" t="s">
        <v>5873</v>
      </c>
      <c r="I1156" s="679" t="s">
        <v>2349</v>
      </c>
      <c r="J1156" s="676" t="s">
        <v>5873</v>
      </c>
      <c r="K1156" s="676">
        <v>127000</v>
      </c>
      <c r="M1156" t="str">
        <f>""</f>
        <v/>
      </c>
    </row>
    <row r="1157" spans="1:13" ht="15.75">
      <c r="A1157">
        <v>2013</v>
      </c>
      <c r="B1157" s="777">
        <v>41425</v>
      </c>
      <c r="C1157" s="730">
        <v>0.75</v>
      </c>
      <c r="D1157" s="777">
        <v>41429</v>
      </c>
      <c r="E1157" s="730">
        <v>0.4375</v>
      </c>
      <c r="F1157" s="558" t="s">
        <v>2543</v>
      </c>
      <c r="G1157" s="558" t="s">
        <v>58</v>
      </c>
      <c r="H1157" s="558" t="s">
        <v>5873</v>
      </c>
      <c r="I1157" s="679" t="s">
        <v>2535</v>
      </c>
      <c r="J1157" s="676" t="s">
        <v>5873</v>
      </c>
      <c r="K1157" s="676">
        <v>127000</v>
      </c>
      <c r="M1157" t="str">
        <f>""</f>
        <v/>
      </c>
    </row>
    <row r="1158" spans="1:13" ht="15.75">
      <c r="A1158">
        <v>2014</v>
      </c>
      <c r="B1158" s="777">
        <v>41820</v>
      </c>
      <c r="C1158" s="730">
        <v>0.97222222222222221</v>
      </c>
      <c r="D1158" s="777">
        <v>41821</v>
      </c>
      <c r="E1158" s="730">
        <v>0.70833333333333337</v>
      </c>
      <c r="F1158" s="558" t="s">
        <v>2626</v>
      </c>
      <c r="G1158" s="558" t="s">
        <v>826</v>
      </c>
      <c r="H1158" s="558" t="s">
        <v>5873</v>
      </c>
      <c r="I1158" s="679" t="s">
        <v>2368</v>
      </c>
      <c r="J1158" s="676" t="s">
        <v>5873</v>
      </c>
      <c r="K1158" s="676">
        <v>127000</v>
      </c>
      <c r="M1158" t="str">
        <f>""</f>
        <v/>
      </c>
    </row>
    <row r="1159" spans="1:13" ht="15.75">
      <c r="A1159">
        <v>2019</v>
      </c>
      <c r="B1159" s="777">
        <v>43481</v>
      </c>
      <c r="C1159" s="730">
        <v>0.72638888888888886</v>
      </c>
      <c r="D1159" s="777">
        <v>43482</v>
      </c>
      <c r="E1159" s="730">
        <v>0.5131944444444444</v>
      </c>
      <c r="F1159" s="558" t="s">
        <v>2945</v>
      </c>
      <c r="G1159" s="558" t="s">
        <v>124</v>
      </c>
      <c r="H1159" s="558" t="s">
        <v>3451</v>
      </c>
      <c r="I1159" s="679" t="s">
        <v>22</v>
      </c>
      <c r="J1159" s="676">
        <v>190</v>
      </c>
      <c r="K1159" s="676">
        <v>126700</v>
      </c>
      <c r="M1159" t="str">
        <f>""</f>
        <v/>
      </c>
    </row>
    <row r="1160" spans="1:13" ht="15.75">
      <c r="A1160">
        <v>2023</v>
      </c>
      <c r="B1160" s="777">
        <v>45275</v>
      </c>
      <c r="C1160" s="532">
        <v>0.57847222222222228</v>
      </c>
      <c r="D1160" s="678">
        <v>45275</v>
      </c>
      <c r="E1160" s="532">
        <v>0.59513888888888888</v>
      </c>
      <c r="F1160" t="s">
        <v>6030</v>
      </c>
      <c r="G1160" t="s">
        <v>255</v>
      </c>
      <c r="H1160" t="s">
        <v>6031</v>
      </c>
      <c r="I1160" s="677" t="s">
        <v>6062</v>
      </c>
      <c r="J1160" s="783">
        <v>120</v>
      </c>
      <c r="K1160" s="783">
        <v>126197</v>
      </c>
      <c r="M1160" t="str">
        <f>""</f>
        <v/>
      </c>
    </row>
    <row r="1161" spans="1:13" ht="15.75">
      <c r="A1161" s="728">
        <v>2010</v>
      </c>
      <c r="B1161" s="777">
        <v>40331</v>
      </c>
      <c r="C1161" s="730">
        <v>0.84583333333333333</v>
      </c>
      <c r="D1161" s="777">
        <v>40333</v>
      </c>
      <c r="E1161" s="730">
        <v>0.33333333333333331</v>
      </c>
      <c r="F1161" s="558" t="s">
        <v>1932</v>
      </c>
      <c r="G1161" s="558" t="s">
        <v>1352</v>
      </c>
      <c r="H1161" s="558" t="s">
        <v>5873</v>
      </c>
      <c r="I1161" s="679" t="s">
        <v>22</v>
      </c>
      <c r="J1161" s="676" t="s">
        <v>5873</v>
      </c>
      <c r="K1161" s="676">
        <v>126000</v>
      </c>
      <c r="M1161" t="str">
        <f>""</f>
        <v/>
      </c>
    </row>
    <row r="1162" spans="1:13" ht="15.75">
      <c r="A1162">
        <v>2017</v>
      </c>
      <c r="B1162" s="777">
        <v>42750</v>
      </c>
      <c r="C1162" s="730">
        <v>0.27430555555555558</v>
      </c>
      <c r="D1162" s="777">
        <v>42750</v>
      </c>
      <c r="E1162" s="730">
        <v>0.32222222222222224</v>
      </c>
      <c r="F1162" s="558" t="s">
        <v>2967</v>
      </c>
      <c r="G1162" s="558" t="s">
        <v>124</v>
      </c>
      <c r="H1162" s="558" t="s">
        <v>2753</v>
      </c>
      <c r="I1162" s="679" t="s">
        <v>2968</v>
      </c>
      <c r="J1162" s="676">
        <v>176</v>
      </c>
      <c r="K1162" s="676">
        <v>126000</v>
      </c>
      <c r="M1162" t="str">
        <f>""</f>
        <v/>
      </c>
    </row>
    <row r="1163" spans="1:13" ht="15.75">
      <c r="A1163">
        <v>2018</v>
      </c>
      <c r="B1163" s="777">
        <v>43161</v>
      </c>
      <c r="C1163" s="730">
        <v>0.49861111111111112</v>
      </c>
      <c r="D1163" s="777" t="s">
        <v>5873</v>
      </c>
      <c r="E1163" s="730" t="s">
        <v>5873</v>
      </c>
      <c r="F1163" s="558" t="s">
        <v>3247</v>
      </c>
      <c r="G1163" s="558" t="s">
        <v>3143</v>
      </c>
      <c r="H1163" s="558" t="s">
        <v>2839</v>
      </c>
      <c r="I1163" s="679" t="s">
        <v>22</v>
      </c>
      <c r="J1163" s="676" t="s">
        <v>5873</v>
      </c>
      <c r="K1163" s="676">
        <v>126000</v>
      </c>
      <c r="M1163" t="str">
        <f>""</f>
        <v/>
      </c>
    </row>
    <row r="1164" spans="1:13" ht="15.75">
      <c r="A1164">
        <v>2020</v>
      </c>
      <c r="B1164" s="777">
        <v>44047</v>
      </c>
      <c r="C1164" s="730">
        <v>0.25069444444444444</v>
      </c>
      <c r="D1164" s="777">
        <v>44049</v>
      </c>
      <c r="E1164" s="730">
        <v>0.64583333333333337</v>
      </c>
      <c r="F1164" s="558" t="s">
        <v>4379</v>
      </c>
      <c r="G1164" s="558" t="s">
        <v>63</v>
      </c>
      <c r="H1164" s="558" t="s">
        <v>3451</v>
      </c>
      <c r="I1164" s="679" t="s">
        <v>22</v>
      </c>
      <c r="J1164" s="676">
        <v>311</v>
      </c>
      <c r="K1164" s="676">
        <v>125987</v>
      </c>
      <c r="M1164" t="str">
        <f>""</f>
        <v/>
      </c>
    </row>
    <row r="1165" spans="1:13" ht="15.75">
      <c r="A1165">
        <v>2021</v>
      </c>
      <c r="B1165" s="777">
        <v>44241</v>
      </c>
      <c r="C1165" s="730">
        <v>0.84791666666666665</v>
      </c>
      <c r="D1165" s="777">
        <v>44245</v>
      </c>
      <c r="E1165" s="730">
        <v>0.39583333333333331</v>
      </c>
      <c r="F1165" s="558" t="s">
        <v>4720</v>
      </c>
      <c r="G1165" s="558" t="s">
        <v>63</v>
      </c>
      <c r="H1165" s="558" t="s">
        <v>3478</v>
      </c>
      <c r="I1165" s="679" t="s">
        <v>22</v>
      </c>
      <c r="J1165" s="676">
        <v>461</v>
      </c>
      <c r="K1165" s="676">
        <v>125484</v>
      </c>
      <c r="M1165" t="str">
        <f>""</f>
        <v/>
      </c>
    </row>
    <row r="1166" spans="1:13" ht="15.75">
      <c r="A1166">
        <v>2012</v>
      </c>
      <c r="B1166" s="777">
        <v>41245</v>
      </c>
      <c r="C1166" s="730">
        <v>0.22222222222222221</v>
      </c>
      <c r="D1166" s="777">
        <v>41247</v>
      </c>
      <c r="E1166" s="730">
        <v>0.375</v>
      </c>
      <c r="F1166" s="558" t="s">
        <v>141</v>
      </c>
      <c r="G1166" s="558" t="s">
        <v>124</v>
      </c>
      <c r="H1166" s="558" t="s">
        <v>5873</v>
      </c>
      <c r="I1166" s="679" t="s">
        <v>2349</v>
      </c>
      <c r="J1166" s="676">
        <v>250</v>
      </c>
      <c r="K1166" s="676">
        <v>125000</v>
      </c>
      <c r="M1166" t="str">
        <f>""</f>
        <v/>
      </c>
    </row>
    <row r="1167" spans="1:13" ht="15.75">
      <c r="A1167">
        <v>2021</v>
      </c>
      <c r="B1167" s="777">
        <v>44334</v>
      </c>
      <c r="C1167" s="730">
        <v>0.97569444444444442</v>
      </c>
      <c r="D1167" s="777">
        <v>44335</v>
      </c>
      <c r="E1167" s="730">
        <v>0.85416666666666663</v>
      </c>
      <c r="F1167" s="558" t="s">
        <v>2809</v>
      </c>
      <c r="G1167" s="558" t="s">
        <v>1352</v>
      </c>
      <c r="H1167" s="558" t="s">
        <v>3451</v>
      </c>
      <c r="I1167" s="679" t="s">
        <v>22</v>
      </c>
      <c r="J1167" s="676" t="s">
        <v>5873</v>
      </c>
      <c r="K1167" s="676">
        <v>125000</v>
      </c>
      <c r="M1167" t="str">
        <f>""</f>
        <v/>
      </c>
    </row>
    <row r="1168" spans="1:13" ht="15.75">
      <c r="A1168">
        <v>2021</v>
      </c>
      <c r="B1168" s="777">
        <v>44215</v>
      </c>
      <c r="C1168" s="730">
        <v>0.11666666666666667</v>
      </c>
      <c r="D1168" s="777">
        <v>44216</v>
      </c>
      <c r="E1168" s="730">
        <v>0.48680555555555555</v>
      </c>
      <c r="F1168" s="558" t="s">
        <v>2945</v>
      </c>
      <c r="G1168" s="558" t="s">
        <v>124</v>
      </c>
      <c r="H1168" s="558" t="s">
        <v>3451</v>
      </c>
      <c r="I1168" s="679" t="s">
        <v>22</v>
      </c>
      <c r="J1168" s="676">
        <v>411</v>
      </c>
      <c r="K1168" s="676">
        <v>124888</v>
      </c>
      <c r="M1168" t="str">
        <f>""</f>
        <v/>
      </c>
    </row>
    <row r="1169" spans="1:13" ht="15.75">
      <c r="A1169">
        <v>2020</v>
      </c>
      <c r="B1169" s="777">
        <v>44059</v>
      </c>
      <c r="C1169" s="730">
        <v>0.15555555555555556</v>
      </c>
      <c r="D1169" s="777">
        <v>44060</v>
      </c>
      <c r="E1169" s="730">
        <v>0.59583333333333333</v>
      </c>
      <c r="F1169" s="558" t="s">
        <v>2945</v>
      </c>
      <c r="G1169" s="558" t="s">
        <v>124</v>
      </c>
      <c r="H1169" s="558" t="s">
        <v>3451</v>
      </c>
      <c r="I1169" s="679" t="s">
        <v>22</v>
      </c>
      <c r="J1169" s="676">
        <v>409</v>
      </c>
      <c r="K1169" s="676">
        <v>124266</v>
      </c>
      <c r="M1169" t="str">
        <f>""</f>
        <v/>
      </c>
    </row>
    <row r="1170" spans="1:13" ht="15.75">
      <c r="A1170" s="728">
        <v>2010</v>
      </c>
      <c r="B1170" s="777">
        <v>40384</v>
      </c>
      <c r="C1170" s="730">
        <v>0.63888888888888884</v>
      </c>
      <c r="D1170" s="777">
        <v>40386</v>
      </c>
      <c r="E1170" s="730">
        <v>0.75</v>
      </c>
      <c r="F1170" s="558" t="s">
        <v>916</v>
      </c>
      <c r="G1170" s="558" t="s">
        <v>826</v>
      </c>
      <c r="H1170" s="558" t="s">
        <v>5873</v>
      </c>
      <c r="I1170" s="679" t="s">
        <v>22</v>
      </c>
      <c r="J1170" s="676">
        <v>480</v>
      </c>
      <c r="K1170" s="676">
        <v>124000</v>
      </c>
      <c r="M1170" t="str">
        <f>""</f>
        <v/>
      </c>
    </row>
    <row r="1171" spans="1:13" ht="15.75">
      <c r="A1171">
        <v>2013</v>
      </c>
      <c r="B1171" s="777">
        <v>41505</v>
      </c>
      <c r="C1171" s="730">
        <v>0.79583333333333328</v>
      </c>
      <c r="D1171" s="777">
        <v>41506</v>
      </c>
      <c r="E1171" s="730">
        <v>0.25138888888888888</v>
      </c>
      <c r="F1171" s="558" t="s">
        <v>1922</v>
      </c>
      <c r="G1171" s="558" t="s">
        <v>124</v>
      </c>
      <c r="H1171" s="558" t="s">
        <v>5873</v>
      </c>
      <c r="I1171" s="679" t="s">
        <v>2595</v>
      </c>
      <c r="J1171" s="676">
        <v>685</v>
      </c>
      <c r="K1171" s="676">
        <v>124000</v>
      </c>
      <c r="M1171" t="str">
        <f>""</f>
        <v/>
      </c>
    </row>
    <row r="1172" spans="1:13" ht="15.75">
      <c r="A1172">
        <v>2015</v>
      </c>
      <c r="B1172" s="777">
        <v>42061</v>
      </c>
      <c r="C1172" s="730">
        <v>0.13333333333333333</v>
      </c>
      <c r="D1172" s="777">
        <v>42061</v>
      </c>
      <c r="E1172" s="730">
        <v>0.83333333333333337</v>
      </c>
      <c r="F1172" s="558" t="s">
        <v>2169</v>
      </c>
      <c r="G1172" s="558" t="s">
        <v>63</v>
      </c>
      <c r="H1172" s="558" t="s">
        <v>2753</v>
      </c>
      <c r="I1172" s="679" t="s">
        <v>2745</v>
      </c>
      <c r="J1172" s="676" t="s">
        <v>5873</v>
      </c>
      <c r="K1172" s="676">
        <v>124000</v>
      </c>
      <c r="M1172" t="str">
        <f>""</f>
        <v/>
      </c>
    </row>
    <row r="1173" spans="1:13" ht="15.75">
      <c r="A1173">
        <v>2018</v>
      </c>
      <c r="B1173" s="777">
        <v>43179</v>
      </c>
      <c r="C1173" s="730">
        <v>0.79166666666666663</v>
      </c>
      <c r="D1173" s="777">
        <v>43184</v>
      </c>
      <c r="E1173" s="730">
        <v>0.27083333333333331</v>
      </c>
      <c r="F1173" s="558" t="s">
        <v>3277</v>
      </c>
      <c r="G1173" s="558" t="s">
        <v>3143</v>
      </c>
      <c r="H1173" s="558" t="s">
        <v>2753</v>
      </c>
      <c r="I1173" s="679" t="s">
        <v>22</v>
      </c>
      <c r="J1173" s="676">
        <v>80</v>
      </c>
      <c r="K1173" s="676">
        <v>124000</v>
      </c>
      <c r="M1173" t="str">
        <f>""</f>
        <v/>
      </c>
    </row>
    <row r="1174" spans="1:13" ht="15.75">
      <c r="A1174">
        <v>2018</v>
      </c>
      <c r="B1174" s="777">
        <v>43172</v>
      </c>
      <c r="C1174" s="730">
        <v>0.36805555555555558</v>
      </c>
      <c r="D1174" s="777">
        <v>43173</v>
      </c>
      <c r="E1174" s="730">
        <v>0.97361111111111109</v>
      </c>
      <c r="F1174" s="558" t="s">
        <v>2795</v>
      </c>
      <c r="G1174" s="558" t="s">
        <v>61</v>
      </c>
      <c r="H1174" s="558" t="s">
        <v>2753</v>
      </c>
      <c r="I1174" s="679" t="s">
        <v>22</v>
      </c>
      <c r="J1174" s="676" t="s">
        <v>5873</v>
      </c>
      <c r="K1174" s="676">
        <v>123629</v>
      </c>
      <c r="M1174" t="str">
        <f>""</f>
        <v/>
      </c>
    </row>
    <row r="1175" spans="1:13" ht="15.75">
      <c r="A1175" s="728">
        <v>2010</v>
      </c>
      <c r="B1175" s="777">
        <v>40504</v>
      </c>
      <c r="C1175" s="730">
        <v>0.95833333333333337</v>
      </c>
      <c r="D1175" s="777">
        <v>40506</v>
      </c>
      <c r="E1175" s="730">
        <v>0.83333333333333337</v>
      </c>
      <c r="F1175" s="558" t="s">
        <v>2087</v>
      </c>
      <c r="G1175" s="558" t="s">
        <v>124</v>
      </c>
      <c r="H1175" s="558" t="s">
        <v>5873</v>
      </c>
      <c r="I1175" s="679" t="s">
        <v>40</v>
      </c>
      <c r="J1175" s="676">
        <v>420</v>
      </c>
      <c r="K1175" s="676">
        <v>123535</v>
      </c>
      <c r="M1175" t="str">
        <f>""</f>
        <v/>
      </c>
    </row>
    <row r="1176" spans="1:13" ht="15.75">
      <c r="A1176">
        <v>2020</v>
      </c>
      <c r="B1176" s="777">
        <v>44150</v>
      </c>
      <c r="C1176" s="730">
        <v>0.63055555555555554</v>
      </c>
      <c r="D1176" s="777">
        <v>44150</v>
      </c>
      <c r="E1176" s="730">
        <v>0.9375</v>
      </c>
      <c r="F1176" s="558" t="s">
        <v>2895</v>
      </c>
      <c r="G1176" s="558" t="s">
        <v>3143</v>
      </c>
      <c r="H1176" s="558" t="s">
        <v>3451</v>
      </c>
      <c r="I1176" s="679" t="s">
        <v>22</v>
      </c>
      <c r="J1176" s="676" t="s">
        <v>5873</v>
      </c>
      <c r="K1176" s="676">
        <v>123361</v>
      </c>
      <c r="M1176" t="str">
        <f>""</f>
        <v/>
      </c>
    </row>
    <row r="1177" spans="1:13" ht="15.75">
      <c r="A1177">
        <v>2020</v>
      </c>
      <c r="B1177" s="777">
        <v>43868</v>
      </c>
      <c r="C1177" s="730">
        <v>0.68402777777777779</v>
      </c>
      <c r="D1177" s="777">
        <v>43869</v>
      </c>
      <c r="E1177" s="730">
        <v>0.5</v>
      </c>
      <c r="F1177" s="558" t="s">
        <v>2984</v>
      </c>
      <c r="G1177" s="558" t="s">
        <v>61</v>
      </c>
      <c r="H1177" s="558" t="s">
        <v>3451</v>
      </c>
      <c r="I1177" s="679" t="s">
        <v>22</v>
      </c>
      <c r="J1177" s="676" t="s">
        <v>5873</v>
      </c>
      <c r="K1177" s="676">
        <v>123359</v>
      </c>
      <c r="M1177" t="str">
        <f>""</f>
        <v/>
      </c>
    </row>
    <row r="1178" spans="1:13" ht="15.75">
      <c r="A1178">
        <v>2013</v>
      </c>
      <c r="B1178" s="777">
        <v>41473</v>
      </c>
      <c r="C1178" s="730">
        <v>0.98958333333333337</v>
      </c>
      <c r="D1178" s="777">
        <v>41474</v>
      </c>
      <c r="E1178" s="730">
        <v>0.4201388888888889</v>
      </c>
      <c r="F1178" s="558" t="s">
        <v>2580</v>
      </c>
      <c r="G1178" s="558" t="s">
        <v>124</v>
      </c>
      <c r="H1178" s="558" t="s">
        <v>5873</v>
      </c>
      <c r="I1178" s="679" t="s">
        <v>2568</v>
      </c>
      <c r="J1178" s="676">
        <v>200</v>
      </c>
      <c r="K1178" s="676">
        <v>123000</v>
      </c>
      <c r="M1178" t="str">
        <f>""</f>
        <v/>
      </c>
    </row>
    <row r="1179" spans="1:13" ht="15.75">
      <c r="A1179">
        <v>2023</v>
      </c>
      <c r="B1179" s="777">
        <v>45135</v>
      </c>
      <c r="C1179" s="532">
        <v>0.875</v>
      </c>
      <c r="D1179" s="678">
        <v>45137</v>
      </c>
      <c r="E1179" s="532">
        <v>0.41666666666666669</v>
      </c>
      <c r="F1179" t="s">
        <v>5900</v>
      </c>
      <c r="G1179" t="s">
        <v>4935</v>
      </c>
      <c r="H1179" t="s">
        <v>3451</v>
      </c>
      <c r="I1179" s="677" t="s">
        <v>5883</v>
      </c>
      <c r="J1179" s="785" t="s">
        <v>5873</v>
      </c>
      <c r="K1179" s="783">
        <v>122921</v>
      </c>
      <c r="M1179" t="str">
        <f>""</f>
        <v/>
      </c>
    </row>
    <row r="1180" spans="1:13" ht="15.75">
      <c r="A1180">
        <v>2023</v>
      </c>
      <c r="B1180" s="777" t="s">
        <v>5873</v>
      </c>
      <c r="C1180" s="532">
        <v>0.875</v>
      </c>
      <c r="D1180" s="678">
        <v>45137</v>
      </c>
      <c r="E1180" s="532">
        <v>0.41666666666666669</v>
      </c>
      <c r="F1180" t="s">
        <v>5900</v>
      </c>
      <c r="G1180" t="s">
        <v>4935</v>
      </c>
      <c r="H1180" t="s">
        <v>3451</v>
      </c>
      <c r="I1180" s="677" t="s">
        <v>5883</v>
      </c>
      <c r="J1180" s="785" t="s">
        <v>5873</v>
      </c>
      <c r="K1180" s="783">
        <v>122921</v>
      </c>
      <c r="M1180" t="str">
        <f>""</f>
        <v/>
      </c>
    </row>
    <row r="1181" spans="1:13" ht="15.75">
      <c r="A1181">
        <v>2013</v>
      </c>
      <c r="B1181" s="777">
        <v>41465</v>
      </c>
      <c r="C1181" s="730">
        <v>0.72916666666666663</v>
      </c>
      <c r="D1181" s="777">
        <v>41466</v>
      </c>
      <c r="E1181" s="730">
        <v>0.83333333333333337</v>
      </c>
      <c r="F1181" s="558" t="s">
        <v>2574</v>
      </c>
      <c r="G1181" s="558" t="s">
        <v>826</v>
      </c>
      <c r="H1181" s="558" t="s">
        <v>5873</v>
      </c>
      <c r="I1181" s="679" t="s">
        <v>2368</v>
      </c>
      <c r="J1181" s="676" t="s">
        <v>5873</v>
      </c>
      <c r="K1181" s="676">
        <v>122314</v>
      </c>
      <c r="M1181" t="str">
        <f>""</f>
        <v/>
      </c>
    </row>
    <row r="1182" spans="1:13" ht="15.75">
      <c r="A1182">
        <v>2011</v>
      </c>
      <c r="B1182" s="777">
        <v>40724</v>
      </c>
      <c r="C1182" s="730">
        <v>0.9375</v>
      </c>
      <c r="D1182" s="777">
        <v>40725</v>
      </c>
      <c r="E1182" s="730">
        <v>0.70833333333333337</v>
      </c>
      <c r="F1182" s="558" t="s">
        <v>33</v>
      </c>
      <c r="G1182" s="558" t="s">
        <v>826</v>
      </c>
      <c r="H1182" s="558" t="s">
        <v>5873</v>
      </c>
      <c r="I1182" s="679" t="s">
        <v>22</v>
      </c>
      <c r="J1182" s="676" t="s">
        <v>5873</v>
      </c>
      <c r="K1182" s="676">
        <v>121000</v>
      </c>
      <c r="M1182" t="str">
        <f>""</f>
        <v/>
      </c>
    </row>
    <row r="1183" spans="1:13" ht="15.75">
      <c r="A1183">
        <v>2019</v>
      </c>
      <c r="B1183" s="777">
        <v>43509</v>
      </c>
      <c r="C1183" s="730">
        <v>0.11666666666666667</v>
      </c>
      <c r="D1183" s="777">
        <v>43511</v>
      </c>
      <c r="E1183" s="730">
        <v>1.9444444444444445E-2</v>
      </c>
      <c r="F1183" s="558" t="s">
        <v>18</v>
      </c>
      <c r="G1183" s="558" t="s">
        <v>124</v>
      </c>
      <c r="H1183" s="558" t="s">
        <v>3451</v>
      </c>
      <c r="I1183" s="679" t="s">
        <v>22</v>
      </c>
      <c r="J1183" s="676">
        <v>182</v>
      </c>
      <c r="K1183" s="676">
        <v>121000</v>
      </c>
      <c r="M1183" t="str">
        <f>""</f>
        <v/>
      </c>
    </row>
    <row r="1184" spans="1:13" ht="15.75">
      <c r="A1184">
        <v>2012</v>
      </c>
      <c r="B1184" s="777">
        <v>41019</v>
      </c>
      <c r="C1184" s="730">
        <v>0.6020833333333333</v>
      </c>
      <c r="D1184" s="777">
        <v>41020</v>
      </c>
      <c r="E1184" s="730">
        <v>0.18541666666666667</v>
      </c>
      <c r="F1184" s="558" t="s">
        <v>2376</v>
      </c>
      <c r="G1184" s="558" t="s">
        <v>1352</v>
      </c>
      <c r="H1184" s="558" t="s">
        <v>5873</v>
      </c>
      <c r="I1184" s="679" t="s">
        <v>2368</v>
      </c>
      <c r="J1184" s="676" t="s">
        <v>5873</v>
      </c>
      <c r="K1184" s="676">
        <v>120377</v>
      </c>
      <c r="M1184" t="str">
        <f>""</f>
        <v/>
      </c>
    </row>
    <row r="1185" spans="1:13" ht="15.75">
      <c r="A1185">
        <v>2014</v>
      </c>
      <c r="B1185" s="777">
        <v>41682</v>
      </c>
      <c r="C1185" s="730">
        <v>0.46041666666666664</v>
      </c>
      <c r="D1185" s="777">
        <v>41685</v>
      </c>
      <c r="E1185" s="730">
        <v>0.3611111111111111</v>
      </c>
      <c r="F1185" s="558" t="s">
        <v>108</v>
      </c>
      <c r="G1185" s="558" t="s">
        <v>63</v>
      </c>
      <c r="H1185" s="558" t="s">
        <v>5873</v>
      </c>
      <c r="I1185" s="679" t="s">
        <v>2662</v>
      </c>
      <c r="J1185" s="676">
        <v>700</v>
      </c>
      <c r="K1185" s="676">
        <v>120124</v>
      </c>
      <c r="M1185" t="str">
        <f>""</f>
        <v/>
      </c>
    </row>
    <row r="1186" spans="1:13" ht="15.75">
      <c r="A1186">
        <v>2011</v>
      </c>
      <c r="B1186" s="777">
        <v>40689</v>
      </c>
      <c r="C1186" s="730">
        <v>0.8305555555555556</v>
      </c>
      <c r="D1186" s="777">
        <v>40690</v>
      </c>
      <c r="E1186" s="730">
        <v>0.75</v>
      </c>
      <c r="F1186" s="558" t="s">
        <v>2209</v>
      </c>
      <c r="G1186" s="558" t="s">
        <v>826</v>
      </c>
      <c r="H1186" s="558" t="s">
        <v>5873</v>
      </c>
      <c r="I1186" s="679" t="s">
        <v>22</v>
      </c>
      <c r="J1186" s="676">
        <v>150</v>
      </c>
      <c r="K1186" s="676">
        <v>120001</v>
      </c>
      <c r="M1186" t="str">
        <f>""</f>
        <v/>
      </c>
    </row>
    <row r="1187" spans="1:13" ht="15.75">
      <c r="A1187" s="728">
        <v>2010</v>
      </c>
      <c r="B1187" s="777">
        <v>40284</v>
      </c>
      <c r="C1187" s="730">
        <v>0.71875</v>
      </c>
      <c r="D1187" s="777">
        <v>40286</v>
      </c>
      <c r="E1187" s="730">
        <v>0.70833333333333337</v>
      </c>
      <c r="F1187" s="558" t="s">
        <v>1868</v>
      </c>
      <c r="G1187" s="558" t="s">
        <v>826</v>
      </c>
      <c r="H1187" s="558" t="s">
        <v>5873</v>
      </c>
      <c r="I1187" s="679" t="s">
        <v>106</v>
      </c>
      <c r="J1187" s="676">
        <v>15</v>
      </c>
      <c r="K1187" s="676">
        <v>120000</v>
      </c>
      <c r="M1187" t="str">
        <f>""</f>
        <v/>
      </c>
    </row>
    <row r="1188" spans="1:13" ht="15.75">
      <c r="A1188">
        <v>2011</v>
      </c>
      <c r="B1188" s="777">
        <v>40735</v>
      </c>
      <c r="C1188" s="730">
        <v>0.6020833333333333</v>
      </c>
      <c r="D1188" s="777">
        <v>40736</v>
      </c>
      <c r="E1188" s="730">
        <v>0.65972222222222221</v>
      </c>
      <c r="F1188" s="558" t="s">
        <v>2249</v>
      </c>
      <c r="G1188" s="558" t="s">
        <v>826</v>
      </c>
      <c r="H1188" s="558" t="s">
        <v>5873</v>
      </c>
      <c r="I1188" s="679" t="s">
        <v>22</v>
      </c>
      <c r="J1188" s="676" t="s">
        <v>5873</v>
      </c>
      <c r="K1188" s="676">
        <v>120000</v>
      </c>
      <c r="M1188" t="str">
        <f>""</f>
        <v/>
      </c>
    </row>
    <row r="1189" spans="1:13" ht="15.75">
      <c r="A1189">
        <v>2014</v>
      </c>
      <c r="B1189" s="777">
        <v>41820</v>
      </c>
      <c r="C1189" s="730">
        <v>0.74652777777777779</v>
      </c>
      <c r="D1189" s="777">
        <v>41821</v>
      </c>
      <c r="E1189" s="730">
        <v>0.12013888888888889</v>
      </c>
      <c r="F1189" s="558" t="s">
        <v>2705</v>
      </c>
      <c r="G1189" s="558" t="s">
        <v>674</v>
      </c>
      <c r="H1189" s="558" t="s">
        <v>5873</v>
      </c>
      <c r="I1189" s="679" t="s">
        <v>2368</v>
      </c>
      <c r="J1189" s="676">
        <v>424</v>
      </c>
      <c r="K1189" s="676">
        <v>120000</v>
      </c>
      <c r="M1189" t="str">
        <f>""</f>
        <v/>
      </c>
    </row>
    <row r="1190" spans="1:13" ht="15.75">
      <c r="A1190">
        <v>2014</v>
      </c>
      <c r="B1190" s="777">
        <v>41920</v>
      </c>
      <c r="C1190" s="730">
        <v>0.7006944444444444</v>
      </c>
      <c r="D1190" s="777">
        <v>41920</v>
      </c>
      <c r="E1190" s="730">
        <v>0.76597222222222228</v>
      </c>
      <c r="F1190" s="558" t="s">
        <v>2665</v>
      </c>
      <c r="G1190" s="558" t="s">
        <v>1352</v>
      </c>
      <c r="H1190" s="558" t="s">
        <v>5873</v>
      </c>
      <c r="I1190" s="679" t="s">
        <v>2720</v>
      </c>
      <c r="J1190" s="676">
        <v>585</v>
      </c>
      <c r="K1190" s="676">
        <v>120000</v>
      </c>
      <c r="M1190" t="str">
        <f>""</f>
        <v/>
      </c>
    </row>
    <row r="1191" spans="1:13" ht="15.75">
      <c r="A1191">
        <v>2018</v>
      </c>
      <c r="B1191" s="777">
        <v>43166</v>
      </c>
      <c r="C1191" s="730">
        <v>0.5</v>
      </c>
      <c r="D1191" s="777">
        <v>43166</v>
      </c>
      <c r="E1191" s="730">
        <v>0.70833333333333337</v>
      </c>
      <c r="F1191" s="558" t="s">
        <v>3245</v>
      </c>
      <c r="G1191" s="558" t="s">
        <v>3143</v>
      </c>
      <c r="H1191" s="558" t="s">
        <v>2753</v>
      </c>
      <c r="I1191" s="679" t="s">
        <v>22</v>
      </c>
      <c r="J1191" s="676" t="s">
        <v>5873</v>
      </c>
      <c r="K1191" s="676">
        <v>120000</v>
      </c>
      <c r="M1191" t="str">
        <f>""</f>
        <v/>
      </c>
    </row>
    <row r="1192" spans="1:13" ht="15.75">
      <c r="A1192">
        <v>2018</v>
      </c>
      <c r="B1192" s="777">
        <v>43235</v>
      </c>
      <c r="C1192" s="730">
        <v>0.77430555555555558</v>
      </c>
      <c r="D1192" s="777">
        <v>43238</v>
      </c>
      <c r="E1192" s="730">
        <v>0.6645833333333333</v>
      </c>
      <c r="F1192" s="558" t="s">
        <v>2834</v>
      </c>
      <c r="G1192" s="558" t="s">
        <v>61</v>
      </c>
      <c r="H1192" s="558" t="s">
        <v>2753</v>
      </c>
      <c r="I1192" s="679" t="s">
        <v>22</v>
      </c>
      <c r="J1192" s="676" t="s">
        <v>5873</v>
      </c>
      <c r="K1192" s="676">
        <v>120000</v>
      </c>
      <c r="M1192" t="str">
        <f>""</f>
        <v/>
      </c>
    </row>
    <row r="1193" spans="1:13" ht="15.75">
      <c r="A1193">
        <v>2020</v>
      </c>
      <c r="B1193" s="777">
        <v>43934</v>
      </c>
      <c r="C1193" s="730">
        <v>3.125E-2</v>
      </c>
      <c r="D1193" s="777">
        <v>43934</v>
      </c>
      <c r="E1193" s="730">
        <v>0.125</v>
      </c>
      <c r="F1193" s="558" t="s">
        <v>4072</v>
      </c>
      <c r="G1193" s="558" t="s">
        <v>63</v>
      </c>
      <c r="H1193" s="558" t="s">
        <v>3451</v>
      </c>
      <c r="I1193" s="679" t="s">
        <v>22</v>
      </c>
      <c r="J1193" s="676" t="s">
        <v>5873</v>
      </c>
      <c r="K1193" s="676">
        <v>120000</v>
      </c>
      <c r="M1193" t="str">
        <f>""</f>
        <v/>
      </c>
    </row>
    <row r="1194" spans="1:13" ht="15.75">
      <c r="A1194">
        <v>2023</v>
      </c>
      <c r="B1194" s="777">
        <v>45102</v>
      </c>
      <c r="C1194" s="730">
        <v>0.28125</v>
      </c>
      <c r="D1194" s="777" t="s">
        <v>5873</v>
      </c>
      <c r="E1194" s="730" t="s">
        <v>5873</v>
      </c>
      <c r="F1194" s="558" t="s">
        <v>2650</v>
      </c>
      <c r="G1194" s="558" t="s">
        <v>63</v>
      </c>
      <c r="H1194" s="558" t="s">
        <v>2753</v>
      </c>
      <c r="I1194" s="679" t="s">
        <v>5883</v>
      </c>
      <c r="J1194" s="676" t="s">
        <v>5873</v>
      </c>
      <c r="K1194" s="676">
        <v>120000</v>
      </c>
      <c r="M1194" t="str">
        <f>""</f>
        <v/>
      </c>
    </row>
    <row r="1195" spans="1:13" ht="15.75">
      <c r="A1195">
        <v>2012</v>
      </c>
      <c r="B1195" s="777">
        <v>41160.661805555559</v>
      </c>
      <c r="C1195" s="730">
        <v>41160.661805555559</v>
      </c>
      <c r="D1195" s="777">
        <v>41161.823611111111</v>
      </c>
      <c r="E1195" s="730">
        <v>41161.823611111111</v>
      </c>
      <c r="F1195" s="558" t="s">
        <v>2004</v>
      </c>
      <c r="G1195" s="558" t="s">
        <v>63</v>
      </c>
      <c r="H1195" s="558" t="s">
        <v>5873</v>
      </c>
      <c r="I1195" s="679" t="s">
        <v>2368</v>
      </c>
      <c r="J1195" s="676">
        <v>475</v>
      </c>
      <c r="K1195" s="676">
        <v>119000</v>
      </c>
      <c r="M1195" t="str">
        <f>""</f>
        <v/>
      </c>
    </row>
    <row r="1196" spans="1:13" ht="15.75">
      <c r="A1196">
        <v>2013</v>
      </c>
      <c r="B1196" s="777">
        <v>41305</v>
      </c>
      <c r="C1196" s="730">
        <v>0.12847222222222221</v>
      </c>
      <c r="D1196" s="777">
        <v>41305</v>
      </c>
      <c r="E1196" s="730">
        <v>0.2</v>
      </c>
      <c r="F1196" s="558" t="s">
        <v>1196</v>
      </c>
      <c r="G1196" s="558" t="s">
        <v>63</v>
      </c>
      <c r="H1196" s="558" t="s">
        <v>5873</v>
      </c>
      <c r="I1196" s="679" t="s">
        <v>2491</v>
      </c>
      <c r="J1196" s="676">
        <v>188</v>
      </c>
      <c r="K1196" s="676">
        <v>119000</v>
      </c>
      <c r="M1196" t="str">
        <f>""</f>
        <v/>
      </c>
    </row>
    <row r="1197" spans="1:13" ht="15.75">
      <c r="A1197">
        <v>2019</v>
      </c>
      <c r="B1197" s="777">
        <v>43520</v>
      </c>
      <c r="C1197" s="730">
        <v>0.47291666666666665</v>
      </c>
      <c r="D1197" s="777">
        <v>43522</v>
      </c>
      <c r="E1197" s="730">
        <v>0.72847222222222219</v>
      </c>
      <c r="F1197" s="558" t="s">
        <v>3681</v>
      </c>
      <c r="G1197" s="558" t="s">
        <v>3143</v>
      </c>
      <c r="H1197" s="558" t="s">
        <v>3451</v>
      </c>
      <c r="I1197" s="679" t="s">
        <v>22</v>
      </c>
      <c r="J1197" s="676" t="s">
        <v>5873</v>
      </c>
      <c r="K1197" s="676">
        <v>118781</v>
      </c>
      <c r="M1197" t="str">
        <f>""</f>
        <v/>
      </c>
    </row>
    <row r="1198" spans="1:13" ht="15.75">
      <c r="A1198">
        <v>2017</v>
      </c>
      <c r="B1198" s="777">
        <v>42908</v>
      </c>
      <c r="C1198" s="730">
        <v>0.75</v>
      </c>
      <c r="D1198" s="777">
        <v>42911</v>
      </c>
      <c r="E1198" s="730">
        <v>0.53125</v>
      </c>
      <c r="F1198" s="558" t="s">
        <v>3050</v>
      </c>
      <c r="G1198" s="558" t="s">
        <v>826</v>
      </c>
      <c r="H1198" s="558" t="s">
        <v>2753</v>
      </c>
      <c r="I1198" s="679" t="s">
        <v>22</v>
      </c>
      <c r="J1198" s="676" t="s">
        <v>5873</v>
      </c>
      <c r="K1198" s="676">
        <v>118631</v>
      </c>
      <c r="M1198" t="str">
        <f>""</f>
        <v/>
      </c>
    </row>
    <row r="1199" spans="1:13" ht="15.75">
      <c r="A1199">
        <v>2011</v>
      </c>
      <c r="B1199" s="777">
        <v>40593</v>
      </c>
      <c r="C1199" s="730">
        <v>0.52083333333333337</v>
      </c>
      <c r="D1199" s="777">
        <v>40594</v>
      </c>
      <c r="E1199" s="730">
        <v>0.16666666666666666</v>
      </c>
      <c r="F1199" s="558" t="s">
        <v>2131</v>
      </c>
      <c r="G1199" s="558" t="s">
        <v>826</v>
      </c>
      <c r="H1199" s="558" t="s">
        <v>5873</v>
      </c>
      <c r="I1199" s="679" t="s">
        <v>1096</v>
      </c>
      <c r="J1199" s="676" t="s">
        <v>5873</v>
      </c>
      <c r="K1199" s="676">
        <v>118000</v>
      </c>
      <c r="M1199" t="str">
        <f>""</f>
        <v/>
      </c>
    </row>
    <row r="1200" spans="1:13" ht="15.75">
      <c r="A1200">
        <v>2023</v>
      </c>
      <c r="B1200" s="777">
        <v>45017</v>
      </c>
      <c r="C1200" s="730">
        <v>0.58333333333333337</v>
      </c>
      <c r="D1200" s="777">
        <v>45019</v>
      </c>
      <c r="E1200" s="730">
        <v>0.44930555555555557</v>
      </c>
      <c r="F1200" s="558" t="s">
        <v>5806</v>
      </c>
      <c r="G1200" s="558" t="s">
        <v>4903</v>
      </c>
      <c r="H1200" s="558" t="s">
        <v>2753</v>
      </c>
      <c r="I1200" s="679" t="s">
        <v>22</v>
      </c>
      <c r="J1200" s="676" t="s">
        <v>5873</v>
      </c>
      <c r="K1200" s="676">
        <v>118000</v>
      </c>
      <c r="M1200" t="str">
        <f>""</f>
        <v/>
      </c>
    </row>
    <row r="1201" spans="1:13" ht="15.75">
      <c r="A1201">
        <v>2017</v>
      </c>
      <c r="B1201" s="777">
        <v>43017</v>
      </c>
      <c r="C1201" s="730">
        <v>8.5416666666666669E-2</v>
      </c>
      <c r="D1201" s="777">
        <v>43025</v>
      </c>
      <c r="E1201" s="730">
        <v>0.5625</v>
      </c>
      <c r="F1201" s="558" t="s">
        <v>2945</v>
      </c>
      <c r="G1201" s="558" t="s">
        <v>124</v>
      </c>
      <c r="H1201" s="558" t="s">
        <v>2753</v>
      </c>
      <c r="I1201" s="679" t="s">
        <v>2990</v>
      </c>
      <c r="J1201" s="676">
        <v>177</v>
      </c>
      <c r="K1201" s="676">
        <v>117900</v>
      </c>
      <c r="M1201" t="str">
        <f>""</f>
        <v/>
      </c>
    </row>
    <row r="1202" spans="1:13" ht="15.75">
      <c r="A1202">
        <v>2017</v>
      </c>
      <c r="B1202" s="777">
        <v>43074</v>
      </c>
      <c r="C1202" s="730">
        <v>0.27083333333333331</v>
      </c>
      <c r="D1202" s="777">
        <v>43075</v>
      </c>
      <c r="E1202" s="730">
        <v>0.41666666666666669</v>
      </c>
      <c r="F1202" s="558" t="s">
        <v>3159</v>
      </c>
      <c r="G1202" s="558" t="s">
        <v>3143</v>
      </c>
      <c r="H1202" s="558" t="s">
        <v>2753</v>
      </c>
      <c r="I1202" s="679" t="s">
        <v>22</v>
      </c>
      <c r="J1202" s="676" t="s">
        <v>5873</v>
      </c>
      <c r="K1202" s="676">
        <v>117500</v>
      </c>
      <c r="M1202" t="str">
        <f>""</f>
        <v/>
      </c>
    </row>
    <row r="1203" spans="1:13" ht="15.75">
      <c r="A1203">
        <v>2018</v>
      </c>
      <c r="B1203" s="777">
        <v>43384</v>
      </c>
      <c r="C1203" s="730">
        <v>0.78819444444444442</v>
      </c>
      <c r="D1203" s="777">
        <v>43385</v>
      </c>
      <c r="E1203" s="730">
        <v>0.5</v>
      </c>
      <c r="F1203" s="558" t="s">
        <v>2928</v>
      </c>
      <c r="G1203" s="558" t="s">
        <v>63</v>
      </c>
      <c r="H1203" s="558" t="s">
        <v>2753</v>
      </c>
      <c r="I1203" s="679" t="s">
        <v>22</v>
      </c>
      <c r="J1203" s="676" t="s">
        <v>5873</v>
      </c>
      <c r="K1203" s="676">
        <v>117000</v>
      </c>
      <c r="M1203" t="str">
        <f>""</f>
        <v/>
      </c>
    </row>
    <row r="1204" spans="1:13" ht="15.75">
      <c r="A1204">
        <v>2022</v>
      </c>
      <c r="B1204" s="777">
        <v>44832</v>
      </c>
      <c r="C1204" s="730">
        <v>0.75</v>
      </c>
      <c r="D1204" s="777">
        <v>44834</v>
      </c>
      <c r="E1204" s="730">
        <v>0.63888888888888884</v>
      </c>
      <c r="F1204" s="558" t="s">
        <v>2901</v>
      </c>
      <c r="G1204" s="558" t="s">
        <v>63</v>
      </c>
      <c r="H1204" s="558" t="s">
        <v>2753</v>
      </c>
      <c r="I1204" s="679" t="s">
        <v>22</v>
      </c>
      <c r="J1204" s="676">
        <v>1000</v>
      </c>
      <c r="K1204" s="676">
        <v>116937</v>
      </c>
      <c r="M1204" t="str">
        <f>""</f>
        <v/>
      </c>
    </row>
    <row r="1205" spans="1:13" ht="15.75">
      <c r="A1205">
        <v>2020</v>
      </c>
      <c r="B1205" s="777">
        <v>44047</v>
      </c>
      <c r="C1205" s="730">
        <v>0.58333333333333337</v>
      </c>
      <c r="D1205" s="777">
        <v>44051</v>
      </c>
      <c r="E1205" s="730">
        <v>0.5</v>
      </c>
      <c r="F1205" s="558" t="s">
        <v>4371</v>
      </c>
      <c r="G1205" s="558" t="s">
        <v>61</v>
      </c>
      <c r="H1205" s="558" t="s">
        <v>3451</v>
      </c>
      <c r="I1205" s="679" t="s">
        <v>22</v>
      </c>
      <c r="J1205" s="676" t="s">
        <v>5873</v>
      </c>
      <c r="K1205" s="676">
        <v>116818</v>
      </c>
      <c r="M1205" t="str">
        <f>""</f>
        <v/>
      </c>
    </row>
    <row r="1206" spans="1:13" ht="15.75">
      <c r="A1206">
        <v>2015</v>
      </c>
      <c r="B1206" s="777">
        <v>42364</v>
      </c>
      <c r="C1206" s="730">
        <v>0.75</v>
      </c>
      <c r="D1206" s="777">
        <v>42368</v>
      </c>
      <c r="E1206" s="730">
        <v>0.25</v>
      </c>
      <c r="F1206" s="558" t="s">
        <v>2823</v>
      </c>
      <c r="G1206" s="558" t="s">
        <v>58</v>
      </c>
      <c r="H1206" s="558" t="s">
        <v>2753</v>
      </c>
      <c r="I1206" s="679" t="s">
        <v>22</v>
      </c>
      <c r="J1206" s="676" t="s">
        <v>5873</v>
      </c>
      <c r="K1206" s="676">
        <v>116800</v>
      </c>
      <c r="M1206" t="str">
        <f>""</f>
        <v/>
      </c>
    </row>
    <row r="1207" spans="1:13" ht="15.75">
      <c r="A1207">
        <v>2019</v>
      </c>
      <c r="B1207" s="777">
        <v>43477</v>
      </c>
      <c r="C1207" s="730">
        <v>0.47916666666666669</v>
      </c>
      <c r="D1207" s="777" t="s">
        <v>5873</v>
      </c>
      <c r="E1207" s="730" t="s">
        <v>5873</v>
      </c>
      <c r="F1207" s="558" t="s">
        <v>3629</v>
      </c>
      <c r="G1207" s="558" t="s">
        <v>63</v>
      </c>
      <c r="H1207" s="558" t="s">
        <v>3451</v>
      </c>
      <c r="I1207" s="679" t="s">
        <v>22</v>
      </c>
      <c r="J1207" s="676" t="s">
        <v>5873</v>
      </c>
      <c r="K1207" s="676">
        <v>116600</v>
      </c>
      <c r="M1207" t="str">
        <f>""</f>
        <v/>
      </c>
    </row>
    <row r="1208" spans="1:13" ht="15.75">
      <c r="A1208">
        <v>2011</v>
      </c>
      <c r="B1208" s="777">
        <v>40783</v>
      </c>
      <c r="C1208" s="730">
        <v>0.52083333333333337</v>
      </c>
      <c r="D1208" s="777">
        <v>40783</v>
      </c>
      <c r="E1208" s="730">
        <v>0.52152777777777781</v>
      </c>
      <c r="F1208" s="558" t="s">
        <v>30</v>
      </c>
      <c r="G1208" s="558" t="s">
        <v>61</v>
      </c>
      <c r="H1208" s="558" t="s">
        <v>5873</v>
      </c>
      <c r="I1208" s="679" t="s">
        <v>22</v>
      </c>
      <c r="J1208" s="676" t="s">
        <v>5873</v>
      </c>
      <c r="K1208" s="676">
        <v>116000</v>
      </c>
      <c r="M1208" t="str">
        <f>""</f>
        <v/>
      </c>
    </row>
    <row r="1209" spans="1:13" ht="15.75">
      <c r="A1209">
        <v>2017</v>
      </c>
      <c r="B1209" s="777">
        <v>42882</v>
      </c>
      <c r="C1209" s="730">
        <v>0.95833333333333337</v>
      </c>
      <c r="D1209" s="777" t="s">
        <v>5873</v>
      </c>
      <c r="E1209" s="730" t="s">
        <v>5873</v>
      </c>
      <c r="F1209" s="558" t="s">
        <v>3033</v>
      </c>
      <c r="G1209" s="558" t="s">
        <v>63</v>
      </c>
      <c r="H1209" s="558" t="s">
        <v>2753</v>
      </c>
      <c r="I1209" s="679" t="s">
        <v>22</v>
      </c>
      <c r="J1209" s="676" t="s">
        <v>5873</v>
      </c>
      <c r="K1209" s="676">
        <v>116000</v>
      </c>
      <c r="M1209" t="str">
        <f>""</f>
        <v/>
      </c>
    </row>
    <row r="1210" spans="1:13" ht="15.75">
      <c r="A1210">
        <v>2019</v>
      </c>
      <c r="B1210" s="777">
        <v>43713</v>
      </c>
      <c r="C1210" s="730">
        <v>0.94166666666666665</v>
      </c>
      <c r="D1210" s="777">
        <v>43714</v>
      </c>
      <c r="E1210" s="730">
        <v>0.66666666666666663</v>
      </c>
      <c r="F1210" s="558" t="s">
        <v>2832</v>
      </c>
      <c r="G1210" s="558" t="s">
        <v>63</v>
      </c>
      <c r="H1210" s="558" t="s">
        <v>3451</v>
      </c>
      <c r="I1210" s="679" t="s">
        <v>22</v>
      </c>
      <c r="J1210" s="676" t="s">
        <v>5873</v>
      </c>
      <c r="K1210" s="676">
        <v>116000</v>
      </c>
      <c r="M1210" t="str">
        <f>""</f>
        <v/>
      </c>
    </row>
    <row r="1211" spans="1:13" ht="15.75">
      <c r="A1211">
        <v>2020</v>
      </c>
      <c r="B1211" s="777">
        <v>44165</v>
      </c>
      <c r="C1211" s="730">
        <v>0.68333333333333335</v>
      </c>
      <c r="D1211" s="777">
        <v>44166</v>
      </c>
      <c r="E1211" s="730">
        <v>0.60069444444444442</v>
      </c>
      <c r="F1211" s="558" t="s">
        <v>4598</v>
      </c>
      <c r="G1211" s="558" t="s">
        <v>61</v>
      </c>
      <c r="H1211" s="558" t="s">
        <v>3451</v>
      </c>
      <c r="I1211" s="679" t="s">
        <v>22</v>
      </c>
      <c r="J1211" s="676" t="s">
        <v>5873</v>
      </c>
      <c r="K1211" s="676">
        <v>116000</v>
      </c>
      <c r="M1211" t="str">
        <f>""</f>
        <v/>
      </c>
    </row>
    <row r="1212" spans="1:13" ht="15.75">
      <c r="A1212">
        <v>2021</v>
      </c>
      <c r="B1212" s="777">
        <v>44557</v>
      </c>
      <c r="C1212" s="730">
        <v>0.17430555555555555</v>
      </c>
      <c r="D1212" s="777">
        <v>44562</v>
      </c>
      <c r="E1212" s="730">
        <v>0.11180555555555556</v>
      </c>
      <c r="F1212" s="558" t="s">
        <v>2945</v>
      </c>
      <c r="G1212" s="558" t="s">
        <v>124</v>
      </c>
      <c r="H1212" s="558" t="s">
        <v>2753</v>
      </c>
      <c r="I1212" s="679" t="s">
        <v>22</v>
      </c>
      <c r="J1212" s="676">
        <v>381</v>
      </c>
      <c r="K1212" s="676">
        <v>115830</v>
      </c>
      <c r="M1212" t="str">
        <f>""</f>
        <v/>
      </c>
    </row>
    <row r="1213" spans="1:13" ht="15.75">
      <c r="A1213">
        <v>2017</v>
      </c>
      <c r="B1213" s="777">
        <v>43031</v>
      </c>
      <c r="C1213" s="730">
        <v>0.74305555555555558</v>
      </c>
      <c r="D1213" s="777">
        <v>43032</v>
      </c>
      <c r="E1213" s="730">
        <v>0.76180555555555551</v>
      </c>
      <c r="F1213" s="558" t="s">
        <v>2832</v>
      </c>
      <c r="G1213" s="558" t="s">
        <v>63</v>
      </c>
      <c r="H1213" s="558" t="s">
        <v>2753</v>
      </c>
      <c r="I1213" s="679" t="s">
        <v>22</v>
      </c>
      <c r="J1213" s="676">
        <v>440</v>
      </c>
      <c r="K1213" s="676">
        <v>115144</v>
      </c>
      <c r="M1213" t="str">
        <f>""</f>
        <v/>
      </c>
    </row>
    <row r="1214" spans="1:13" ht="15.75">
      <c r="A1214">
        <v>2016</v>
      </c>
      <c r="B1214" s="777">
        <v>42405</v>
      </c>
      <c r="C1214" s="730">
        <v>0.47291666666666665</v>
      </c>
      <c r="D1214" s="777">
        <v>42406</v>
      </c>
      <c r="E1214" s="730">
        <v>0.65833333333333333</v>
      </c>
      <c r="F1214" s="558" t="s">
        <v>2834</v>
      </c>
      <c r="G1214" s="558" t="s">
        <v>61</v>
      </c>
      <c r="H1214" s="558" t="s">
        <v>2753</v>
      </c>
      <c r="I1214" s="679" t="s">
        <v>2828</v>
      </c>
      <c r="J1214" s="676" t="s">
        <v>5873</v>
      </c>
      <c r="K1214" s="676">
        <v>115057</v>
      </c>
      <c r="M1214" t="str">
        <f>""</f>
        <v/>
      </c>
    </row>
    <row r="1215" spans="1:13" ht="15.75">
      <c r="A1215">
        <v>2015</v>
      </c>
      <c r="B1215" s="777">
        <v>42219</v>
      </c>
      <c r="C1215" s="730">
        <v>2.0833333333333332E-2</v>
      </c>
      <c r="D1215" s="777">
        <v>42219</v>
      </c>
      <c r="E1215" s="730">
        <v>8.3333333333333329E-2</v>
      </c>
      <c r="F1215" s="558" t="s">
        <v>33</v>
      </c>
      <c r="G1215" s="558" t="s">
        <v>826</v>
      </c>
      <c r="H1215" s="558" t="s">
        <v>2753</v>
      </c>
      <c r="I1215" s="679" t="s">
        <v>22</v>
      </c>
      <c r="J1215" s="676" t="s">
        <v>5873</v>
      </c>
      <c r="K1215" s="676">
        <v>115000</v>
      </c>
      <c r="M1215" t="str">
        <f>""</f>
        <v/>
      </c>
    </row>
    <row r="1216" spans="1:13" ht="15.75">
      <c r="A1216">
        <v>2017</v>
      </c>
      <c r="B1216" s="777">
        <v>42938</v>
      </c>
      <c r="C1216" s="730">
        <v>0.91666666666666663</v>
      </c>
      <c r="D1216" s="777" t="s">
        <v>5873</v>
      </c>
      <c r="E1216" s="730" t="s">
        <v>5873</v>
      </c>
      <c r="F1216" s="558" t="s">
        <v>16</v>
      </c>
      <c r="G1216" s="558" t="s">
        <v>63</v>
      </c>
      <c r="H1216" s="558" t="s">
        <v>2753</v>
      </c>
      <c r="I1216" s="679" t="s">
        <v>22</v>
      </c>
      <c r="J1216" s="676" t="s">
        <v>5873</v>
      </c>
      <c r="K1216" s="676">
        <v>115000</v>
      </c>
      <c r="M1216" t="str">
        <f>""</f>
        <v/>
      </c>
    </row>
    <row r="1217" spans="1:13" ht="15.75">
      <c r="A1217">
        <v>2019</v>
      </c>
      <c r="B1217" s="777">
        <v>43520</v>
      </c>
      <c r="C1217" s="730">
        <v>0.83472222222222225</v>
      </c>
      <c r="D1217" s="777">
        <v>43521</v>
      </c>
      <c r="E1217" s="730">
        <v>0.60416666666666663</v>
      </c>
      <c r="F1217" s="558" t="s">
        <v>1833</v>
      </c>
      <c r="G1217" s="558" t="s">
        <v>3143</v>
      </c>
      <c r="H1217" s="558" t="s">
        <v>3451</v>
      </c>
      <c r="I1217" s="679" t="s">
        <v>22</v>
      </c>
      <c r="J1217" s="676" t="s">
        <v>5873</v>
      </c>
      <c r="K1217" s="676">
        <v>115000</v>
      </c>
      <c r="M1217" t="str">
        <f>""</f>
        <v/>
      </c>
    </row>
    <row r="1218" spans="1:13" ht="15.75">
      <c r="A1218">
        <v>2023</v>
      </c>
      <c r="B1218" s="777">
        <v>44988</v>
      </c>
      <c r="C1218" s="730">
        <v>0.58333333333333337</v>
      </c>
      <c r="D1218" s="777">
        <v>44989</v>
      </c>
      <c r="E1218" s="730">
        <v>0.16666666666666666</v>
      </c>
      <c r="F1218" s="558" t="s">
        <v>4241</v>
      </c>
      <c r="G1218" s="558" t="s">
        <v>63</v>
      </c>
      <c r="H1218" s="558" t="s">
        <v>2753</v>
      </c>
      <c r="I1218" s="679" t="s">
        <v>22</v>
      </c>
      <c r="J1218" s="676" t="s">
        <v>5873</v>
      </c>
      <c r="K1218" s="676">
        <v>115000</v>
      </c>
      <c r="M1218" t="str">
        <f>""</f>
        <v/>
      </c>
    </row>
    <row r="1219" spans="1:13" ht="15.75">
      <c r="A1219">
        <v>2019</v>
      </c>
      <c r="B1219" s="777">
        <v>43768</v>
      </c>
      <c r="C1219" s="730">
        <v>0.2722222222222222</v>
      </c>
      <c r="D1219" s="777">
        <v>43770</v>
      </c>
      <c r="E1219" s="730">
        <v>0.56180555555555556</v>
      </c>
      <c r="F1219" s="558" t="s">
        <v>4006</v>
      </c>
      <c r="G1219" s="558" t="s">
        <v>124</v>
      </c>
      <c r="H1219" s="558" t="s">
        <v>3451</v>
      </c>
      <c r="I1219" s="679" t="s">
        <v>3768</v>
      </c>
      <c r="J1219" s="676">
        <v>285</v>
      </c>
      <c r="K1219" s="676">
        <v>114402</v>
      </c>
      <c r="M1219" t="str">
        <f>""</f>
        <v/>
      </c>
    </row>
    <row r="1220" spans="1:13" ht="15.75">
      <c r="A1220">
        <v>2016</v>
      </c>
      <c r="B1220" s="777">
        <v>42425</v>
      </c>
      <c r="C1220" s="730">
        <v>7.2222222222222215E-2</v>
      </c>
      <c r="D1220" s="777">
        <v>42425</v>
      </c>
      <c r="E1220" s="730">
        <v>0.61458333333333337</v>
      </c>
      <c r="F1220" s="558" t="s">
        <v>2843</v>
      </c>
      <c r="G1220" s="558" t="s">
        <v>61</v>
      </c>
      <c r="H1220" s="558" t="s">
        <v>2753</v>
      </c>
      <c r="I1220" s="679" t="s">
        <v>2828</v>
      </c>
      <c r="J1220" s="676" t="s">
        <v>5873</v>
      </c>
      <c r="K1220" s="676">
        <v>114190</v>
      </c>
      <c r="M1220" t="str">
        <f>""</f>
        <v/>
      </c>
    </row>
    <row r="1221" spans="1:13" ht="15.75">
      <c r="A1221">
        <v>2018</v>
      </c>
      <c r="B1221" s="777">
        <v>43235</v>
      </c>
      <c r="C1221" s="730">
        <v>0.61805555555555558</v>
      </c>
      <c r="D1221" s="777" t="s">
        <v>5873</v>
      </c>
      <c r="E1221" s="730" t="s">
        <v>5873</v>
      </c>
      <c r="F1221" s="558" t="s">
        <v>3328</v>
      </c>
      <c r="G1221" s="558" t="s">
        <v>3143</v>
      </c>
      <c r="H1221" s="558" t="s">
        <v>2753</v>
      </c>
      <c r="I1221" s="679" t="s">
        <v>22</v>
      </c>
      <c r="J1221" s="676" t="s">
        <v>5873</v>
      </c>
      <c r="K1221" s="676">
        <v>114000</v>
      </c>
      <c r="M1221" t="str">
        <f>""</f>
        <v/>
      </c>
    </row>
    <row r="1222" spans="1:13" ht="15.75">
      <c r="A1222">
        <v>2023</v>
      </c>
      <c r="B1222" s="777">
        <v>45177</v>
      </c>
      <c r="C1222" s="532">
        <v>0.63541666666666663</v>
      </c>
      <c r="D1222" s="678">
        <v>45178</v>
      </c>
      <c r="E1222" s="532">
        <v>0.92013888888888884</v>
      </c>
      <c r="F1222" t="s">
        <v>5925</v>
      </c>
      <c r="G1222" t="s">
        <v>61</v>
      </c>
      <c r="H1222" t="s">
        <v>2753</v>
      </c>
      <c r="I1222" s="677" t="s">
        <v>5883</v>
      </c>
      <c r="J1222" s="785" t="s">
        <v>5873</v>
      </c>
      <c r="K1222" s="783">
        <v>114000</v>
      </c>
      <c r="M1222" t="str">
        <f>""</f>
        <v/>
      </c>
    </row>
    <row r="1223" spans="1:13" ht="15.75">
      <c r="A1223">
        <v>2011</v>
      </c>
      <c r="B1223" s="777">
        <v>40692</v>
      </c>
      <c r="C1223" s="730">
        <v>0.77083333333333337</v>
      </c>
      <c r="D1223" s="777">
        <v>40694</v>
      </c>
      <c r="E1223" s="730">
        <v>0.91666666666666663</v>
      </c>
      <c r="F1223" s="558" t="s">
        <v>2213</v>
      </c>
      <c r="G1223" s="558" t="s">
        <v>826</v>
      </c>
      <c r="H1223" s="558" t="s">
        <v>5873</v>
      </c>
      <c r="I1223" s="679" t="s">
        <v>22</v>
      </c>
      <c r="J1223" s="676">
        <v>250</v>
      </c>
      <c r="K1223" s="676">
        <v>113000</v>
      </c>
      <c r="M1223" t="str">
        <f>""</f>
        <v/>
      </c>
    </row>
    <row r="1224" spans="1:13" ht="15.75">
      <c r="A1224">
        <v>2022</v>
      </c>
      <c r="B1224" s="777">
        <v>44895</v>
      </c>
      <c r="C1224" s="730">
        <v>0.78125</v>
      </c>
      <c r="D1224" s="777">
        <v>44897</v>
      </c>
      <c r="E1224" s="730">
        <v>0.16666666666666666</v>
      </c>
      <c r="F1224" s="558" t="s">
        <v>5611</v>
      </c>
      <c r="G1224" s="558" t="s">
        <v>61</v>
      </c>
      <c r="H1224" s="558" t="s">
        <v>2753</v>
      </c>
      <c r="I1224" s="679" t="s">
        <v>22</v>
      </c>
      <c r="J1224" s="676">
        <v>113</v>
      </c>
      <c r="K1224" s="676">
        <v>113000</v>
      </c>
      <c r="M1224" t="str">
        <f>""</f>
        <v/>
      </c>
    </row>
    <row r="1225" spans="1:13" ht="15.75">
      <c r="A1225">
        <v>2018</v>
      </c>
      <c r="B1225" s="777">
        <v>43269</v>
      </c>
      <c r="C1225" s="730">
        <v>0.76388888888888884</v>
      </c>
      <c r="D1225" s="777">
        <v>43270</v>
      </c>
      <c r="E1225" s="730">
        <v>1.0416666666666666E-2</v>
      </c>
      <c r="F1225" s="558" t="s">
        <v>2984</v>
      </c>
      <c r="G1225" s="558" t="s">
        <v>61</v>
      </c>
      <c r="H1225" s="558" t="s">
        <v>2753</v>
      </c>
      <c r="I1225" s="679" t="s">
        <v>22</v>
      </c>
      <c r="J1225" s="676" t="s">
        <v>5873</v>
      </c>
      <c r="K1225" s="676">
        <v>112927</v>
      </c>
      <c r="M1225" t="str">
        <f>""</f>
        <v/>
      </c>
    </row>
    <row r="1226" spans="1:13" ht="15.75">
      <c r="A1226">
        <v>2017</v>
      </c>
      <c r="B1226" s="777">
        <v>42938</v>
      </c>
      <c r="C1226" s="730">
        <v>0.91666666666666663</v>
      </c>
      <c r="D1226" s="777">
        <v>42939</v>
      </c>
      <c r="E1226" s="730">
        <v>0.5</v>
      </c>
      <c r="F1226" s="558" t="s">
        <v>3070</v>
      </c>
      <c r="G1226" s="558" t="s">
        <v>63</v>
      </c>
      <c r="H1226" s="558" t="s">
        <v>2753</v>
      </c>
      <c r="I1226" s="679" t="s">
        <v>22</v>
      </c>
      <c r="J1226" s="676" t="s">
        <v>5873</v>
      </c>
      <c r="K1226" s="676">
        <v>112540</v>
      </c>
      <c r="M1226" t="str">
        <f>""</f>
        <v/>
      </c>
    </row>
    <row r="1227" spans="1:13" ht="15.75">
      <c r="A1227">
        <v>2019</v>
      </c>
      <c r="B1227" s="777">
        <v>43477</v>
      </c>
      <c r="C1227" s="730">
        <v>0.47916666666666669</v>
      </c>
      <c r="D1227" s="777">
        <v>43478</v>
      </c>
      <c r="E1227" s="730">
        <v>0.91666666666666663</v>
      </c>
      <c r="F1227" s="558" t="s">
        <v>3627</v>
      </c>
      <c r="G1227" s="558" t="s">
        <v>3347</v>
      </c>
      <c r="H1227" s="558" t="s">
        <v>3451</v>
      </c>
      <c r="I1227" s="679" t="s">
        <v>22</v>
      </c>
      <c r="J1227" s="676" t="s">
        <v>5873</v>
      </c>
      <c r="K1227" s="676">
        <v>112530</v>
      </c>
      <c r="M1227" t="str">
        <f>""</f>
        <v/>
      </c>
    </row>
    <row r="1228" spans="1:13" ht="15.75">
      <c r="A1228">
        <v>2012</v>
      </c>
      <c r="B1228" s="777">
        <v>41058</v>
      </c>
      <c r="C1228" s="730">
        <v>0.85763888888888884</v>
      </c>
      <c r="D1228" s="777">
        <v>41060</v>
      </c>
      <c r="E1228" s="730">
        <v>0.41666666666666669</v>
      </c>
      <c r="F1228" s="558" t="s">
        <v>2385</v>
      </c>
      <c r="G1228" s="558" t="s">
        <v>58</v>
      </c>
      <c r="H1228" s="558" t="s">
        <v>5873</v>
      </c>
      <c r="I1228" s="679" t="s">
        <v>2368</v>
      </c>
      <c r="J1228" s="676" t="s">
        <v>5873</v>
      </c>
      <c r="K1228" s="676">
        <v>112000</v>
      </c>
      <c r="M1228" t="str">
        <f>""</f>
        <v/>
      </c>
    </row>
    <row r="1229" spans="1:13" ht="15.75">
      <c r="A1229">
        <v>2018</v>
      </c>
      <c r="B1229" s="777">
        <v>43234</v>
      </c>
      <c r="C1229" s="730">
        <v>0.79722222222222228</v>
      </c>
      <c r="D1229" s="777" t="s">
        <v>5873</v>
      </c>
      <c r="E1229" s="730" t="s">
        <v>5873</v>
      </c>
      <c r="F1229" s="558" t="s">
        <v>3325</v>
      </c>
      <c r="G1229" s="558" t="s">
        <v>63</v>
      </c>
      <c r="H1229" s="558" t="s">
        <v>2753</v>
      </c>
      <c r="I1229" s="679" t="s">
        <v>22</v>
      </c>
      <c r="J1229" s="676" t="s">
        <v>5873</v>
      </c>
      <c r="K1229" s="676">
        <v>112000</v>
      </c>
      <c r="M1229" t="str">
        <f>""</f>
        <v/>
      </c>
    </row>
    <row r="1230" spans="1:13" ht="15.75">
      <c r="A1230">
        <v>2018</v>
      </c>
      <c r="B1230" s="777">
        <v>43279</v>
      </c>
      <c r="C1230" s="730">
        <v>0.77500000000000002</v>
      </c>
      <c r="D1230" s="777">
        <v>43282</v>
      </c>
      <c r="E1230" s="730">
        <v>0.29166666666666669</v>
      </c>
      <c r="F1230" s="558" t="s">
        <v>3374</v>
      </c>
      <c r="G1230" s="558" t="s">
        <v>63</v>
      </c>
      <c r="H1230" s="558" t="s">
        <v>2753</v>
      </c>
      <c r="I1230" s="679" t="s">
        <v>22</v>
      </c>
      <c r="J1230" s="676" t="s">
        <v>5873</v>
      </c>
      <c r="K1230" s="676">
        <v>112000</v>
      </c>
      <c r="M1230" t="str">
        <f>""</f>
        <v/>
      </c>
    </row>
    <row r="1231" spans="1:13" ht="15.75">
      <c r="A1231">
        <v>2015</v>
      </c>
      <c r="B1231" s="777">
        <v>42199</v>
      </c>
      <c r="C1231" s="730">
        <v>0.83333333333333337</v>
      </c>
      <c r="D1231" s="777">
        <v>42200</v>
      </c>
      <c r="E1231" s="730">
        <v>0.39097222222222222</v>
      </c>
      <c r="F1231" s="558" t="s">
        <v>113</v>
      </c>
      <c r="G1231" s="558" t="s">
        <v>63</v>
      </c>
      <c r="H1231" s="558" t="s">
        <v>2753</v>
      </c>
      <c r="I1231" s="679" t="s">
        <v>22</v>
      </c>
      <c r="J1231" s="676">
        <v>366</v>
      </c>
      <c r="K1231" s="676">
        <v>111644</v>
      </c>
      <c r="M1231" t="str">
        <f>""</f>
        <v/>
      </c>
    </row>
    <row r="1232" spans="1:13" ht="15.75">
      <c r="A1232">
        <v>2017</v>
      </c>
      <c r="B1232" s="777">
        <v>42783</v>
      </c>
      <c r="C1232" s="730">
        <v>0.625</v>
      </c>
      <c r="D1232" s="777">
        <v>42786</v>
      </c>
      <c r="E1232" s="730">
        <v>0.45833333333333331</v>
      </c>
      <c r="F1232" s="558" t="s">
        <v>2967</v>
      </c>
      <c r="G1232" s="558" t="s">
        <v>124</v>
      </c>
      <c r="H1232" s="558" t="s">
        <v>2753</v>
      </c>
      <c r="I1232" s="679" t="s">
        <v>22</v>
      </c>
      <c r="J1232" s="676" t="s">
        <v>5873</v>
      </c>
      <c r="K1232" s="676">
        <v>111591</v>
      </c>
      <c r="M1232" t="str">
        <f>""</f>
        <v/>
      </c>
    </row>
    <row r="1233" spans="1:13" ht="15.75">
      <c r="A1233">
        <v>2012</v>
      </c>
      <c r="B1233" s="777">
        <v>41015</v>
      </c>
      <c r="C1233" s="730">
        <v>0.65694444444444444</v>
      </c>
      <c r="D1233" s="777">
        <v>41018</v>
      </c>
      <c r="E1233" s="730">
        <v>8.3333333333333329E-2</v>
      </c>
      <c r="F1233" s="558" t="s">
        <v>2375</v>
      </c>
      <c r="G1233" s="558" t="s">
        <v>826</v>
      </c>
      <c r="H1233" s="558" t="s">
        <v>5873</v>
      </c>
      <c r="I1233" s="679" t="s">
        <v>2175</v>
      </c>
      <c r="J1233" s="676">
        <v>218</v>
      </c>
      <c r="K1233" s="676">
        <v>111393</v>
      </c>
      <c r="M1233" t="str">
        <f>""</f>
        <v/>
      </c>
    </row>
    <row r="1234" spans="1:13" ht="15.75">
      <c r="A1234">
        <v>2012</v>
      </c>
      <c r="B1234" s="777">
        <v>41095.1875</v>
      </c>
      <c r="C1234" s="730">
        <v>0</v>
      </c>
      <c r="D1234" s="777">
        <v>41096.854166666664</v>
      </c>
      <c r="E1234" s="730">
        <v>41096.854166666664</v>
      </c>
      <c r="F1234" s="558" t="s">
        <v>2413</v>
      </c>
      <c r="G1234" s="558" t="s">
        <v>826</v>
      </c>
      <c r="H1234" s="558" t="s">
        <v>5873</v>
      </c>
      <c r="I1234" s="679" t="s">
        <v>2368</v>
      </c>
      <c r="J1234" s="676" t="s">
        <v>5873</v>
      </c>
      <c r="K1234" s="676">
        <v>111000</v>
      </c>
      <c r="M1234" t="str">
        <f>""</f>
        <v/>
      </c>
    </row>
    <row r="1235" spans="1:13" ht="15.75">
      <c r="A1235">
        <v>2020</v>
      </c>
      <c r="B1235" s="777">
        <v>43906</v>
      </c>
      <c r="C1235" s="730">
        <v>0.50069444444444444</v>
      </c>
      <c r="D1235" s="777">
        <v>43906</v>
      </c>
      <c r="E1235" s="730">
        <v>0.54861111111111116</v>
      </c>
      <c r="F1235" s="558" t="s">
        <v>2945</v>
      </c>
      <c r="G1235" s="558" t="s">
        <v>124</v>
      </c>
      <c r="H1235" s="558" t="s">
        <v>3451</v>
      </c>
      <c r="I1235" s="679" t="s">
        <v>22</v>
      </c>
      <c r="J1235" s="676">
        <v>165</v>
      </c>
      <c r="K1235" s="676">
        <v>110800</v>
      </c>
      <c r="M1235" t="str">
        <f>""</f>
        <v/>
      </c>
    </row>
    <row r="1236" spans="1:13" ht="15.75">
      <c r="A1236">
        <v>2012</v>
      </c>
      <c r="B1236" s="777">
        <v>41071</v>
      </c>
      <c r="C1236" s="730">
        <v>0.82638888888888884</v>
      </c>
      <c r="D1236" s="777">
        <v>41072</v>
      </c>
      <c r="E1236" s="730">
        <v>0.625</v>
      </c>
      <c r="F1236" s="558" t="s">
        <v>2390</v>
      </c>
      <c r="G1236" s="558" t="s">
        <v>63</v>
      </c>
      <c r="H1236" s="558" t="s">
        <v>5873</v>
      </c>
      <c r="I1236" s="679" t="s">
        <v>2368</v>
      </c>
      <c r="J1236" s="676">
        <v>368</v>
      </c>
      <c r="K1236" s="676">
        <v>110591</v>
      </c>
      <c r="M1236" t="str">
        <f>""</f>
        <v/>
      </c>
    </row>
    <row r="1237" spans="1:13" ht="15.75">
      <c r="A1237">
        <v>2015</v>
      </c>
      <c r="B1237" s="777">
        <v>42181</v>
      </c>
      <c r="C1237" s="730">
        <v>8.3333333333333329E-2</v>
      </c>
      <c r="D1237" s="777" t="s">
        <v>5873</v>
      </c>
      <c r="E1237" s="730" t="s">
        <v>5873</v>
      </c>
      <c r="F1237" s="558" t="s">
        <v>2787</v>
      </c>
      <c r="G1237" s="558" t="s">
        <v>58</v>
      </c>
      <c r="H1237" s="558" t="s">
        <v>2753</v>
      </c>
      <c r="I1237" s="679" t="s">
        <v>22</v>
      </c>
      <c r="J1237" s="676" t="s">
        <v>5873</v>
      </c>
      <c r="K1237" s="676">
        <v>110000</v>
      </c>
      <c r="M1237" t="str">
        <f>""</f>
        <v/>
      </c>
    </row>
    <row r="1238" spans="1:13" ht="15.75">
      <c r="A1238">
        <v>2016</v>
      </c>
      <c r="B1238" s="777">
        <v>42456</v>
      </c>
      <c r="C1238" s="730">
        <v>0.5</v>
      </c>
      <c r="D1238" s="777">
        <v>42456</v>
      </c>
      <c r="E1238" s="730">
        <v>0.54166666666666663</v>
      </c>
      <c r="F1238" s="558" t="s">
        <v>2817</v>
      </c>
      <c r="G1238" s="558" t="s">
        <v>124</v>
      </c>
      <c r="H1238" s="558" t="s">
        <v>2150</v>
      </c>
      <c r="I1238" s="679" t="s">
        <v>2343</v>
      </c>
      <c r="J1238" s="676" t="s">
        <v>5873</v>
      </c>
      <c r="K1238" s="676">
        <v>110000</v>
      </c>
      <c r="M1238" t="str">
        <f>""</f>
        <v/>
      </c>
    </row>
    <row r="1239" spans="1:13" ht="15.75">
      <c r="A1239">
        <v>2018</v>
      </c>
      <c r="B1239" s="777">
        <v>43340</v>
      </c>
      <c r="C1239" s="730">
        <v>0.83333333333333337</v>
      </c>
      <c r="D1239" s="777">
        <v>43342</v>
      </c>
      <c r="E1239" s="730">
        <v>0.62430555555555556</v>
      </c>
      <c r="F1239" s="558" t="s">
        <v>3457</v>
      </c>
      <c r="G1239" s="558" t="s">
        <v>3143</v>
      </c>
      <c r="H1239" s="558" t="s">
        <v>3451</v>
      </c>
      <c r="I1239" s="679" t="s">
        <v>22</v>
      </c>
      <c r="J1239" s="676" t="s">
        <v>5873</v>
      </c>
      <c r="K1239" s="676">
        <v>110000</v>
      </c>
      <c r="M1239" t="str">
        <f>""</f>
        <v/>
      </c>
    </row>
    <row r="1240" spans="1:13" ht="15.75">
      <c r="A1240">
        <v>2021</v>
      </c>
      <c r="B1240" s="777">
        <v>44479</v>
      </c>
      <c r="C1240" s="730">
        <v>0.92708333333333337</v>
      </c>
      <c r="D1240" s="777">
        <v>44481</v>
      </c>
      <c r="E1240" s="730">
        <v>0.70833333333333337</v>
      </c>
      <c r="F1240" s="558" t="s">
        <v>5049</v>
      </c>
      <c r="G1240" s="558" t="s">
        <v>1352</v>
      </c>
      <c r="H1240" s="558" t="s">
        <v>2753</v>
      </c>
      <c r="I1240" s="679" t="s">
        <v>22</v>
      </c>
      <c r="J1240" s="676" t="s">
        <v>5873</v>
      </c>
      <c r="K1240" s="676">
        <v>110000</v>
      </c>
      <c r="M1240" t="str">
        <f>""</f>
        <v/>
      </c>
    </row>
    <row r="1241" spans="1:13" ht="15.75">
      <c r="A1241">
        <v>2022</v>
      </c>
      <c r="B1241" s="777">
        <v>44859</v>
      </c>
      <c r="C1241" s="730">
        <v>7.2916666666666671E-2</v>
      </c>
      <c r="D1241" s="777">
        <v>44859</v>
      </c>
      <c r="E1241" s="730">
        <v>0.57638888888888884</v>
      </c>
      <c r="F1241" s="558" t="s">
        <v>2809</v>
      </c>
      <c r="G1241" s="558" t="s">
        <v>1352</v>
      </c>
      <c r="H1241" s="558" t="s">
        <v>2753</v>
      </c>
      <c r="I1241" s="679" t="s">
        <v>2764</v>
      </c>
      <c r="J1241" s="676" t="s">
        <v>5873</v>
      </c>
      <c r="K1241" s="676">
        <v>109865</v>
      </c>
      <c r="M1241" t="str">
        <f>""</f>
        <v/>
      </c>
    </row>
    <row r="1242" spans="1:13" ht="15.75">
      <c r="A1242">
        <v>2011</v>
      </c>
      <c r="B1242" s="777">
        <v>40845</v>
      </c>
      <c r="C1242" s="730">
        <v>0.58333333333333337</v>
      </c>
      <c r="D1242" s="777">
        <v>40847</v>
      </c>
      <c r="E1242" s="730">
        <v>0.58333333333333337</v>
      </c>
      <c r="F1242" s="558" t="s">
        <v>2321</v>
      </c>
      <c r="G1242" s="558" t="s">
        <v>826</v>
      </c>
      <c r="H1242" s="558" t="s">
        <v>5873</v>
      </c>
      <c r="I1242" s="679" t="s">
        <v>22</v>
      </c>
      <c r="J1242" s="676" t="s">
        <v>5873</v>
      </c>
      <c r="K1242" s="676">
        <v>109335</v>
      </c>
      <c r="M1242" t="str">
        <f>""</f>
        <v/>
      </c>
    </row>
    <row r="1243" spans="1:13" ht="15.75">
      <c r="A1243">
        <v>2012</v>
      </c>
      <c r="B1243" s="777">
        <v>41089</v>
      </c>
      <c r="C1243" s="730">
        <v>0.97916666666666663</v>
      </c>
      <c r="D1243" s="777">
        <v>41090</v>
      </c>
      <c r="E1243" s="730">
        <v>8.3333333333333329E-2</v>
      </c>
      <c r="F1243" s="558" t="s">
        <v>2406</v>
      </c>
      <c r="G1243" s="558" t="s">
        <v>826</v>
      </c>
      <c r="H1243" s="558" t="s">
        <v>5873</v>
      </c>
      <c r="I1243" s="679" t="s">
        <v>2368</v>
      </c>
      <c r="J1243" s="676" t="s">
        <v>5873</v>
      </c>
      <c r="K1243" s="676">
        <v>109000</v>
      </c>
      <c r="M1243" t="str">
        <f>""</f>
        <v/>
      </c>
    </row>
    <row r="1244" spans="1:13" ht="15.75">
      <c r="A1244">
        <v>2022</v>
      </c>
      <c r="B1244" s="777">
        <v>44834</v>
      </c>
      <c r="C1244" s="730">
        <v>0.57361111111111107</v>
      </c>
      <c r="D1244" s="777">
        <v>44834</v>
      </c>
      <c r="E1244" s="730">
        <v>0.75624999999999998</v>
      </c>
      <c r="F1244" s="558" t="s">
        <v>2896</v>
      </c>
      <c r="G1244" s="558" t="s">
        <v>63</v>
      </c>
      <c r="H1244" s="558" t="s">
        <v>2753</v>
      </c>
      <c r="I1244" s="679" t="s">
        <v>22</v>
      </c>
      <c r="J1244" s="676" t="s">
        <v>5873</v>
      </c>
      <c r="K1244" s="676">
        <v>108930</v>
      </c>
      <c r="M1244" t="str">
        <f>""</f>
        <v/>
      </c>
    </row>
    <row r="1245" spans="1:13" ht="15.75">
      <c r="A1245">
        <v>2022</v>
      </c>
      <c r="B1245" s="777">
        <v>44918</v>
      </c>
      <c r="C1245" s="730">
        <v>0.3125</v>
      </c>
      <c r="D1245" s="777">
        <v>44918</v>
      </c>
      <c r="E1245" s="730">
        <v>0.92569444444444449</v>
      </c>
      <c r="F1245" s="558" t="s">
        <v>2832</v>
      </c>
      <c r="G1245" s="558" t="s">
        <v>63</v>
      </c>
      <c r="H1245" s="558" t="s">
        <v>3451</v>
      </c>
      <c r="I1245" s="679" t="s">
        <v>22</v>
      </c>
      <c r="J1245" s="676" t="s">
        <v>5873</v>
      </c>
      <c r="K1245" s="676">
        <v>108900</v>
      </c>
      <c r="M1245" t="str">
        <f>""</f>
        <v/>
      </c>
    </row>
    <row r="1246" spans="1:13" ht="15.75">
      <c r="A1246">
        <v>2020</v>
      </c>
      <c r="B1246" s="777">
        <v>43973</v>
      </c>
      <c r="C1246" s="730">
        <v>0.69097222222222221</v>
      </c>
      <c r="D1246" s="777">
        <v>43974</v>
      </c>
      <c r="E1246" s="730">
        <v>0.64513888888888893</v>
      </c>
      <c r="F1246" s="558" t="s">
        <v>2832</v>
      </c>
      <c r="G1246" s="558" t="s">
        <v>63</v>
      </c>
      <c r="H1246" s="558" t="s">
        <v>3451</v>
      </c>
      <c r="I1246" s="679" t="s">
        <v>22</v>
      </c>
      <c r="J1246" s="676" t="s">
        <v>5873</v>
      </c>
      <c r="K1246" s="676">
        <v>108190</v>
      </c>
      <c r="M1246" t="str">
        <f>""</f>
        <v/>
      </c>
    </row>
    <row r="1247" spans="1:13" ht="15.75">
      <c r="A1247">
        <v>2011</v>
      </c>
      <c r="B1247" s="777">
        <v>40782</v>
      </c>
      <c r="C1247" s="730">
        <v>0.95833333333333337</v>
      </c>
      <c r="D1247" s="777">
        <v>40784</v>
      </c>
      <c r="E1247" s="730">
        <v>0.33333333333333331</v>
      </c>
      <c r="F1247" s="558" t="s">
        <v>2123</v>
      </c>
      <c r="G1247" s="558" t="s">
        <v>826</v>
      </c>
      <c r="H1247" s="558" t="s">
        <v>5873</v>
      </c>
      <c r="I1247" s="679" t="s">
        <v>22</v>
      </c>
      <c r="J1247" s="676" t="s">
        <v>5873</v>
      </c>
      <c r="K1247" s="676">
        <v>108000</v>
      </c>
      <c r="M1247" t="str">
        <f>""</f>
        <v/>
      </c>
    </row>
    <row r="1248" spans="1:13" ht="15.75">
      <c r="A1248">
        <v>2011</v>
      </c>
      <c r="B1248" s="777">
        <v>40780</v>
      </c>
      <c r="C1248" s="730">
        <v>2.0833333333333332E-2</v>
      </c>
      <c r="D1248" s="777">
        <v>40783</v>
      </c>
      <c r="E1248" s="730">
        <v>0.83333333333333337</v>
      </c>
      <c r="F1248" s="558" t="s">
        <v>2185</v>
      </c>
      <c r="G1248" s="558" t="s">
        <v>826</v>
      </c>
      <c r="H1248" s="558" t="s">
        <v>5873</v>
      </c>
      <c r="I1248" s="679" t="s">
        <v>22</v>
      </c>
      <c r="J1248" s="676" t="s">
        <v>5873</v>
      </c>
      <c r="K1248" s="676">
        <v>107833</v>
      </c>
      <c r="M1248" t="str">
        <f>""</f>
        <v/>
      </c>
    </row>
    <row r="1249" spans="1:13" ht="15.75">
      <c r="A1249">
        <v>2021</v>
      </c>
      <c r="B1249" s="777">
        <v>44541</v>
      </c>
      <c r="C1249" s="730">
        <v>0.13402777777777777</v>
      </c>
      <c r="D1249" s="777">
        <v>44545</v>
      </c>
      <c r="E1249" s="730">
        <v>0.64583333333333337</v>
      </c>
      <c r="F1249" s="558" t="s">
        <v>5114</v>
      </c>
      <c r="G1249" s="558" t="s">
        <v>63</v>
      </c>
      <c r="H1249" s="558" t="s">
        <v>2753</v>
      </c>
      <c r="I1249" s="679" t="s">
        <v>22</v>
      </c>
      <c r="J1249" s="676">
        <v>177</v>
      </c>
      <c r="K1249" s="676">
        <v>107344</v>
      </c>
      <c r="M1249" t="str">
        <f>""</f>
        <v/>
      </c>
    </row>
    <row r="1250" spans="1:13" ht="15.75">
      <c r="A1250">
        <v>2019</v>
      </c>
      <c r="B1250" s="777">
        <v>43796</v>
      </c>
      <c r="C1250" s="730">
        <v>0.5</v>
      </c>
      <c r="D1250" s="777">
        <v>43799</v>
      </c>
      <c r="E1250" s="730">
        <v>8.3333333333333329E-2</v>
      </c>
      <c r="F1250" s="558" t="s">
        <v>4038</v>
      </c>
      <c r="G1250" s="558" t="s">
        <v>3143</v>
      </c>
      <c r="H1250" s="558" t="s">
        <v>3451</v>
      </c>
      <c r="I1250" s="679" t="s">
        <v>22</v>
      </c>
      <c r="J1250" s="676">
        <v>30</v>
      </c>
      <c r="K1250" s="676">
        <v>107000</v>
      </c>
      <c r="M1250" t="str">
        <f>""</f>
        <v/>
      </c>
    </row>
    <row r="1251" spans="1:13" ht="15.75">
      <c r="A1251">
        <v>2017</v>
      </c>
      <c r="B1251" s="777">
        <v>42802</v>
      </c>
      <c r="C1251" s="730">
        <v>0.5625</v>
      </c>
      <c r="D1251" s="777">
        <v>42802</v>
      </c>
      <c r="E1251" s="730">
        <v>0.6875</v>
      </c>
      <c r="F1251" s="558" t="s">
        <v>30</v>
      </c>
      <c r="G1251" s="558" t="s">
        <v>61</v>
      </c>
      <c r="H1251" s="558" t="s">
        <v>2753</v>
      </c>
      <c r="I1251" s="679" t="s">
        <v>2990</v>
      </c>
      <c r="J1251" s="676" t="s">
        <v>5873</v>
      </c>
      <c r="K1251" s="676">
        <v>106869</v>
      </c>
      <c r="M1251" t="str">
        <f>""</f>
        <v/>
      </c>
    </row>
    <row r="1252" spans="1:13" ht="15.75">
      <c r="A1252">
        <v>2014</v>
      </c>
      <c r="B1252" s="777">
        <v>41758</v>
      </c>
      <c r="C1252" s="730">
        <v>0.97916666666666663</v>
      </c>
      <c r="D1252" s="777">
        <v>41758</v>
      </c>
      <c r="E1252" s="730">
        <v>0.52083333333333337</v>
      </c>
      <c r="F1252" s="558" t="s">
        <v>2686</v>
      </c>
      <c r="G1252" s="558" t="s">
        <v>63</v>
      </c>
      <c r="H1252" s="558" t="s">
        <v>5873</v>
      </c>
      <c r="I1252" s="679" t="s">
        <v>2368</v>
      </c>
      <c r="J1252" s="676">
        <v>355</v>
      </c>
      <c r="K1252" s="676">
        <v>106648</v>
      </c>
      <c r="M1252" t="str">
        <f>""</f>
        <v/>
      </c>
    </row>
    <row r="1253" spans="1:13" ht="15.75">
      <c r="A1253">
        <v>2011</v>
      </c>
      <c r="B1253" s="777">
        <v>40716</v>
      </c>
      <c r="C1253" s="730">
        <v>0.40694444444444444</v>
      </c>
      <c r="D1253" s="777">
        <v>40716</v>
      </c>
      <c r="E1253" s="730">
        <v>0.40694444444444444</v>
      </c>
      <c r="F1253" s="558" t="s">
        <v>2230</v>
      </c>
      <c r="G1253" s="558" t="s">
        <v>63</v>
      </c>
      <c r="H1253" s="558" t="s">
        <v>5873</v>
      </c>
      <c r="I1253" s="679" t="s">
        <v>22</v>
      </c>
      <c r="J1253" s="676" t="s">
        <v>5873</v>
      </c>
      <c r="K1253" s="676">
        <v>106300</v>
      </c>
      <c r="M1253" t="str">
        <f>""</f>
        <v/>
      </c>
    </row>
    <row r="1254" spans="1:13" ht="15.75">
      <c r="A1254">
        <v>2016</v>
      </c>
      <c r="B1254" s="777">
        <v>42578</v>
      </c>
      <c r="C1254" s="730">
        <v>0.78472222222222221</v>
      </c>
      <c r="D1254" s="777">
        <v>42579</v>
      </c>
      <c r="E1254" s="730">
        <v>6.805555555555555E-2</v>
      </c>
      <c r="F1254" s="558" t="s">
        <v>2271</v>
      </c>
      <c r="G1254" s="558" t="s">
        <v>472</v>
      </c>
      <c r="H1254" s="558" t="s">
        <v>619</v>
      </c>
      <c r="I1254" s="679" t="s">
        <v>2764</v>
      </c>
      <c r="J1254" s="676">
        <v>80</v>
      </c>
      <c r="K1254" s="676">
        <v>106300</v>
      </c>
      <c r="M1254" t="str">
        <f>""</f>
        <v/>
      </c>
    </row>
    <row r="1255" spans="1:13" ht="15.75">
      <c r="A1255">
        <v>2018</v>
      </c>
      <c r="B1255" s="777">
        <v>43224</v>
      </c>
      <c r="C1255" s="730">
        <v>0.84027777777777779</v>
      </c>
      <c r="D1255" s="777" t="s">
        <v>5873</v>
      </c>
      <c r="E1255" s="730" t="s">
        <v>5873</v>
      </c>
      <c r="F1255" s="558" t="s">
        <v>2868</v>
      </c>
      <c r="G1255" s="558" t="s">
        <v>61</v>
      </c>
      <c r="H1255" s="558" t="s">
        <v>2753</v>
      </c>
      <c r="I1255" s="679" t="s">
        <v>22</v>
      </c>
      <c r="J1255" s="676" t="s">
        <v>5873</v>
      </c>
      <c r="K1255" s="676">
        <v>106150</v>
      </c>
      <c r="M1255" t="str">
        <f>""</f>
        <v/>
      </c>
    </row>
    <row r="1256" spans="1:13" ht="15.75">
      <c r="A1256">
        <v>2017</v>
      </c>
      <c r="B1256" s="777">
        <v>42743</v>
      </c>
      <c r="C1256" s="730">
        <v>0.37986111111111109</v>
      </c>
      <c r="D1256" s="777">
        <v>42748</v>
      </c>
      <c r="E1256" s="730">
        <v>0.60416666666666663</v>
      </c>
      <c r="F1256" s="558" t="s">
        <v>18</v>
      </c>
      <c r="G1256" s="558" t="s">
        <v>124</v>
      </c>
      <c r="H1256" s="558" t="s">
        <v>2753</v>
      </c>
      <c r="I1256" s="679" t="s">
        <v>22</v>
      </c>
      <c r="J1256" s="676" t="s">
        <v>5873</v>
      </c>
      <c r="K1256" s="676">
        <v>106000</v>
      </c>
      <c r="M1256" t="str">
        <f>""</f>
        <v/>
      </c>
    </row>
    <row r="1257" spans="1:13" ht="15.75">
      <c r="A1257">
        <v>2011</v>
      </c>
      <c r="B1257" s="777">
        <v>40652</v>
      </c>
      <c r="C1257" s="730">
        <v>0.95972222222222225</v>
      </c>
      <c r="D1257" s="777">
        <v>40654</v>
      </c>
      <c r="E1257" s="730">
        <v>0.73055555555555551</v>
      </c>
      <c r="F1257" s="558" t="s">
        <v>2163</v>
      </c>
      <c r="G1257" s="558" t="s">
        <v>63</v>
      </c>
      <c r="H1257" s="558" t="s">
        <v>5873</v>
      </c>
      <c r="I1257" s="679" t="s">
        <v>22</v>
      </c>
      <c r="J1257" s="676">
        <v>300</v>
      </c>
      <c r="K1257" s="676">
        <v>105000</v>
      </c>
      <c r="M1257" t="str">
        <f>""</f>
        <v/>
      </c>
    </row>
    <row r="1258" spans="1:13" ht="15.75">
      <c r="A1258">
        <v>2011</v>
      </c>
      <c r="B1258" s="777">
        <v>40789</v>
      </c>
      <c r="C1258" s="730">
        <v>0.58333333333333337</v>
      </c>
      <c r="D1258" s="777">
        <v>40794</v>
      </c>
      <c r="E1258" s="730">
        <v>0.75</v>
      </c>
      <c r="F1258" s="558" t="s">
        <v>2291</v>
      </c>
      <c r="G1258" s="558" t="s">
        <v>826</v>
      </c>
      <c r="H1258" s="558" t="s">
        <v>5873</v>
      </c>
      <c r="I1258" s="679" t="s">
        <v>22</v>
      </c>
      <c r="J1258" s="676" t="s">
        <v>5873</v>
      </c>
      <c r="K1258" s="676">
        <v>105000</v>
      </c>
      <c r="M1258" t="str">
        <f>""</f>
        <v/>
      </c>
    </row>
    <row r="1259" spans="1:13" ht="15.75">
      <c r="A1259">
        <v>2013</v>
      </c>
      <c r="B1259" s="777">
        <v>41580</v>
      </c>
      <c r="C1259" s="730">
        <v>0</v>
      </c>
      <c r="D1259" s="777">
        <v>41582</v>
      </c>
      <c r="E1259" s="730">
        <v>0.25</v>
      </c>
      <c r="F1259" s="558" t="s">
        <v>2614</v>
      </c>
      <c r="G1259" s="558" t="s">
        <v>124</v>
      </c>
      <c r="H1259" s="558" t="s">
        <v>5873</v>
      </c>
      <c r="I1259" s="679" t="s">
        <v>2615</v>
      </c>
      <c r="J1259" s="676" t="s">
        <v>5873</v>
      </c>
      <c r="K1259" s="676">
        <v>105000</v>
      </c>
      <c r="M1259" t="str">
        <f>""</f>
        <v/>
      </c>
    </row>
    <row r="1260" spans="1:13" ht="15.75">
      <c r="A1260">
        <v>2022</v>
      </c>
      <c r="B1260" s="777">
        <v>44692</v>
      </c>
      <c r="C1260" s="730">
        <v>0.75</v>
      </c>
      <c r="D1260" s="777">
        <v>44692</v>
      </c>
      <c r="E1260" s="730">
        <v>0.9458333333333333</v>
      </c>
      <c r="F1260" s="558" t="s">
        <v>3738</v>
      </c>
      <c r="G1260" s="558" t="s">
        <v>674</v>
      </c>
      <c r="H1260" s="558" t="s">
        <v>2753</v>
      </c>
      <c r="I1260" s="679" t="s">
        <v>22</v>
      </c>
      <c r="J1260" s="676" t="s">
        <v>5873</v>
      </c>
      <c r="K1260" s="676">
        <v>105000</v>
      </c>
      <c r="M1260" t="str">
        <f>""</f>
        <v/>
      </c>
    </row>
    <row r="1261" spans="1:13" ht="15.75">
      <c r="A1261" s="728">
        <v>2010</v>
      </c>
      <c r="B1261" s="777">
        <v>40215</v>
      </c>
      <c r="C1261" s="730">
        <v>0.10416666666666667</v>
      </c>
      <c r="D1261" s="777">
        <v>40216</v>
      </c>
      <c r="E1261" s="730">
        <v>0.29166666666666669</v>
      </c>
      <c r="F1261" s="558" t="s">
        <v>1873</v>
      </c>
      <c r="G1261" s="558" t="s">
        <v>63</v>
      </c>
      <c r="H1261" s="558" t="s">
        <v>5873</v>
      </c>
      <c r="I1261" s="679" t="s">
        <v>40</v>
      </c>
      <c r="J1261" s="676">
        <v>600</v>
      </c>
      <c r="K1261" s="676">
        <v>104736</v>
      </c>
      <c r="M1261" t="str">
        <f>""</f>
        <v/>
      </c>
    </row>
    <row r="1262" spans="1:13" ht="15.75">
      <c r="A1262">
        <v>2022</v>
      </c>
      <c r="B1262" s="777">
        <v>44748</v>
      </c>
      <c r="C1262" s="730">
        <v>0.61041666666666672</v>
      </c>
      <c r="D1262" s="777">
        <v>44749</v>
      </c>
      <c r="E1262" s="730">
        <v>0.16250000000000001</v>
      </c>
      <c r="F1262" s="558" t="s">
        <v>4048</v>
      </c>
      <c r="G1262" s="558" t="s">
        <v>4903</v>
      </c>
      <c r="H1262" s="558" t="s">
        <v>2753</v>
      </c>
      <c r="I1262" s="679" t="s">
        <v>2990</v>
      </c>
      <c r="J1262" s="676" t="s">
        <v>5873</v>
      </c>
      <c r="K1262" s="676">
        <v>104700</v>
      </c>
      <c r="M1262" t="str">
        <f>""</f>
        <v/>
      </c>
    </row>
    <row r="1263" spans="1:13" ht="15.75">
      <c r="A1263">
        <v>2013</v>
      </c>
      <c r="B1263" s="777">
        <v>41487</v>
      </c>
      <c r="C1263" s="730">
        <v>0.97152777777777777</v>
      </c>
      <c r="D1263" s="777">
        <v>41488</v>
      </c>
      <c r="E1263" s="730">
        <v>3.4027777777777775E-2</v>
      </c>
      <c r="F1263" s="558" t="s">
        <v>2585</v>
      </c>
      <c r="G1263" s="558" t="s">
        <v>301</v>
      </c>
      <c r="H1263" s="558" t="s">
        <v>5873</v>
      </c>
      <c r="I1263" s="679" t="s">
        <v>2586</v>
      </c>
      <c r="J1263" s="676">
        <v>297</v>
      </c>
      <c r="K1263" s="676">
        <v>104498</v>
      </c>
      <c r="M1263" t="str">
        <f>""</f>
        <v/>
      </c>
    </row>
    <row r="1264" spans="1:13" ht="15.75">
      <c r="A1264">
        <v>2021</v>
      </c>
      <c r="B1264" s="777">
        <v>44320</v>
      </c>
      <c r="C1264" s="730">
        <v>0.65625</v>
      </c>
      <c r="D1264" s="777">
        <v>44321</v>
      </c>
      <c r="E1264" s="730">
        <v>0.41666666666666669</v>
      </c>
      <c r="F1264" s="558" t="s">
        <v>3405</v>
      </c>
      <c r="G1264" s="558" t="s">
        <v>63</v>
      </c>
      <c r="H1264" s="558" t="s">
        <v>3451</v>
      </c>
      <c r="I1264" s="679" t="s">
        <v>22</v>
      </c>
      <c r="J1264" s="676" t="s">
        <v>5873</v>
      </c>
      <c r="K1264" s="676">
        <v>104027</v>
      </c>
      <c r="M1264" t="str">
        <f>""</f>
        <v/>
      </c>
    </row>
    <row r="1265" spans="1:13" ht="15.75">
      <c r="A1265">
        <v>2018</v>
      </c>
      <c r="B1265" s="777">
        <v>43419</v>
      </c>
      <c r="C1265" s="730">
        <v>0.23472222222222222</v>
      </c>
      <c r="D1265" s="777">
        <v>43420</v>
      </c>
      <c r="E1265" s="730">
        <v>0.25</v>
      </c>
      <c r="F1265" s="558" t="s">
        <v>3563</v>
      </c>
      <c r="G1265" s="558" t="s">
        <v>63</v>
      </c>
      <c r="H1265" s="558" t="s">
        <v>3451</v>
      </c>
      <c r="I1265" s="679" t="s">
        <v>22</v>
      </c>
      <c r="J1265" s="676" t="s">
        <v>5873</v>
      </c>
      <c r="K1265" s="676">
        <v>104000</v>
      </c>
      <c r="M1265" t="str">
        <f>""</f>
        <v/>
      </c>
    </row>
    <row r="1266" spans="1:13" ht="15.75">
      <c r="A1266">
        <v>2020</v>
      </c>
      <c r="B1266" s="777">
        <v>43933</v>
      </c>
      <c r="C1266" s="730">
        <v>0.89444444444444449</v>
      </c>
      <c r="D1266" s="777">
        <v>43936</v>
      </c>
      <c r="E1266" s="730">
        <v>0.5</v>
      </c>
      <c r="F1266" s="558" t="s">
        <v>3256</v>
      </c>
      <c r="G1266" s="558" t="s">
        <v>3143</v>
      </c>
      <c r="H1266" s="558" t="s">
        <v>3451</v>
      </c>
      <c r="I1266" s="679" t="s">
        <v>22</v>
      </c>
      <c r="J1266" s="676" t="s">
        <v>5873</v>
      </c>
      <c r="K1266" s="676">
        <v>104000</v>
      </c>
      <c r="M1266" t="str">
        <f>""</f>
        <v/>
      </c>
    </row>
    <row r="1267" spans="1:13" ht="15.75">
      <c r="A1267">
        <v>2019</v>
      </c>
      <c r="B1267" s="777">
        <v>43703</v>
      </c>
      <c r="C1267" s="730">
        <v>0.79166666666666663</v>
      </c>
      <c r="D1267" s="777">
        <v>43706</v>
      </c>
      <c r="E1267" s="730">
        <v>0.54166666666666663</v>
      </c>
      <c r="F1267" s="558" t="s">
        <v>3693</v>
      </c>
      <c r="G1267" s="558" t="s">
        <v>3347</v>
      </c>
      <c r="H1267" s="558" t="s">
        <v>3451</v>
      </c>
      <c r="I1267" s="679" t="s">
        <v>22</v>
      </c>
      <c r="J1267" s="676" t="s">
        <v>5873</v>
      </c>
      <c r="K1267" s="676">
        <v>103779</v>
      </c>
      <c r="M1267" t="str">
        <f>""</f>
        <v/>
      </c>
    </row>
    <row r="1268" spans="1:13" ht="15.75">
      <c r="A1268">
        <v>2015</v>
      </c>
      <c r="B1268" s="777">
        <v>42061</v>
      </c>
      <c r="C1268" s="730">
        <v>0.14583333333333334</v>
      </c>
      <c r="D1268" s="777">
        <v>42062</v>
      </c>
      <c r="E1268" s="730">
        <v>0.5</v>
      </c>
      <c r="F1268" s="558" t="s">
        <v>2758</v>
      </c>
      <c r="G1268" s="558" t="s">
        <v>63</v>
      </c>
      <c r="H1268" s="558" t="s">
        <v>2753</v>
      </c>
      <c r="I1268" s="679" t="s">
        <v>2745</v>
      </c>
      <c r="J1268" s="676">
        <v>400</v>
      </c>
      <c r="K1268" s="676">
        <v>103776</v>
      </c>
      <c r="M1268" t="str">
        <f>""</f>
        <v/>
      </c>
    </row>
    <row r="1269" spans="1:13" ht="15.75">
      <c r="A1269">
        <v>2018</v>
      </c>
      <c r="B1269" s="777">
        <v>43253</v>
      </c>
      <c r="C1269" s="730">
        <v>0.20833333333333334</v>
      </c>
      <c r="D1269" s="777">
        <v>43253</v>
      </c>
      <c r="E1269" s="730">
        <v>0.45833333333333331</v>
      </c>
      <c r="F1269" s="558" t="s">
        <v>3346</v>
      </c>
      <c r="G1269" s="558" t="s">
        <v>3347</v>
      </c>
      <c r="H1269" s="558" t="s">
        <v>2753</v>
      </c>
      <c r="I1269" s="679" t="s">
        <v>22</v>
      </c>
      <c r="J1269" s="676" t="s">
        <v>5873</v>
      </c>
      <c r="K1269" s="676">
        <v>103535</v>
      </c>
      <c r="M1269" t="str">
        <f>""</f>
        <v/>
      </c>
    </row>
    <row r="1270" spans="1:13" ht="15.75">
      <c r="A1270">
        <v>2011</v>
      </c>
      <c r="B1270" s="777">
        <v>40735</v>
      </c>
      <c r="C1270" s="730">
        <v>0.375</v>
      </c>
      <c r="D1270" s="777">
        <v>40735</v>
      </c>
      <c r="E1270" s="730">
        <v>0.43402777777777779</v>
      </c>
      <c r="F1270" s="558" t="s">
        <v>1833</v>
      </c>
      <c r="G1270" s="558" t="s">
        <v>826</v>
      </c>
      <c r="H1270" s="558" t="s">
        <v>5873</v>
      </c>
      <c r="I1270" s="679" t="s">
        <v>22</v>
      </c>
      <c r="J1270" s="676">
        <v>254</v>
      </c>
      <c r="K1270" s="676">
        <v>103000</v>
      </c>
      <c r="M1270" t="str">
        <f>""</f>
        <v/>
      </c>
    </row>
    <row r="1271" spans="1:13" ht="15.75">
      <c r="A1271">
        <v>2012</v>
      </c>
      <c r="B1271" s="777">
        <v>41108.594444444447</v>
      </c>
      <c r="C1271" s="730">
        <v>41108.594444444447</v>
      </c>
      <c r="D1271" s="777">
        <v>41109.998611111114</v>
      </c>
      <c r="E1271" s="730">
        <v>41109.998611111114</v>
      </c>
      <c r="F1271" s="558" t="s">
        <v>2421</v>
      </c>
      <c r="G1271" s="558" t="s">
        <v>826</v>
      </c>
      <c r="H1271" s="558" t="s">
        <v>5873</v>
      </c>
      <c r="I1271" s="679" t="s">
        <v>2368</v>
      </c>
      <c r="J1271" s="676">
        <v>480</v>
      </c>
      <c r="K1271" s="676">
        <v>103000</v>
      </c>
      <c r="M1271" t="str">
        <f>""</f>
        <v/>
      </c>
    </row>
    <row r="1272" spans="1:13" ht="15.75">
      <c r="A1272">
        <v>2017</v>
      </c>
      <c r="B1272" s="777">
        <v>42772</v>
      </c>
      <c r="C1272" s="730">
        <v>4.1666666666666664E-2</v>
      </c>
      <c r="D1272" s="777">
        <v>42772</v>
      </c>
      <c r="E1272" s="730">
        <v>0.8125</v>
      </c>
      <c r="F1272" s="558" t="s">
        <v>2976</v>
      </c>
      <c r="G1272" s="558" t="s">
        <v>124</v>
      </c>
      <c r="H1272" s="558" t="s">
        <v>2753</v>
      </c>
      <c r="I1272" s="679" t="s">
        <v>22</v>
      </c>
      <c r="J1272" s="676" t="s">
        <v>5873</v>
      </c>
      <c r="K1272" s="676">
        <v>103000</v>
      </c>
      <c r="M1272" t="str">
        <f>""</f>
        <v/>
      </c>
    </row>
    <row r="1273" spans="1:13" ht="15.75">
      <c r="A1273">
        <v>2017</v>
      </c>
      <c r="B1273" s="777">
        <v>42883</v>
      </c>
      <c r="C1273" s="730">
        <v>0.8125</v>
      </c>
      <c r="D1273" s="777">
        <v>42884</v>
      </c>
      <c r="E1273" s="730">
        <v>0.91666666666666663</v>
      </c>
      <c r="F1273" s="558" t="s">
        <v>3036</v>
      </c>
      <c r="G1273" s="558" t="s">
        <v>63</v>
      </c>
      <c r="H1273" s="558" t="s">
        <v>2753</v>
      </c>
      <c r="I1273" s="679" t="s">
        <v>22</v>
      </c>
      <c r="J1273" s="676" t="s">
        <v>5873</v>
      </c>
      <c r="K1273" s="676">
        <v>103000</v>
      </c>
      <c r="M1273" t="str">
        <f>""</f>
        <v/>
      </c>
    </row>
    <row r="1274" spans="1:13" ht="15.75">
      <c r="A1274">
        <v>2017</v>
      </c>
      <c r="B1274" s="777">
        <v>42883</v>
      </c>
      <c r="C1274" s="730">
        <v>0.8125</v>
      </c>
      <c r="D1274" s="777">
        <v>42884</v>
      </c>
      <c r="E1274" s="730">
        <v>0.91666666666666663</v>
      </c>
      <c r="F1274" s="558" t="s">
        <v>3038</v>
      </c>
      <c r="G1274" s="558" t="s">
        <v>1352</v>
      </c>
      <c r="H1274" s="558" t="s">
        <v>2753</v>
      </c>
      <c r="I1274" s="679" t="s">
        <v>22</v>
      </c>
      <c r="J1274" s="676" t="s">
        <v>5873</v>
      </c>
      <c r="K1274" s="676">
        <v>103000</v>
      </c>
      <c r="M1274" t="str">
        <f>""</f>
        <v/>
      </c>
    </row>
    <row r="1275" spans="1:13" ht="15.75">
      <c r="A1275">
        <v>2020</v>
      </c>
      <c r="B1275" s="777">
        <v>44081</v>
      </c>
      <c r="C1275" s="730">
        <v>0.79513888888888884</v>
      </c>
      <c r="D1275" s="777">
        <v>44082</v>
      </c>
      <c r="E1275" s="730">
        <v>0.91666666666666663</v>
      </c>
      <c r="F1275" s="558" t="s">
        <v>4486</v>
      </c>
      <c r="G1275" s="558" t="s">
        <v>124</v>
      </c>
      <c r="H1275" s="558" t="s">
        <v>3451</v>
      </c>
      <c r="I1275" s="679" t="s">
        <v>22</v>
      </c>
      <c r="J1275" s="676">
        <v>2859</v>
      </c>
      <c r="K1275" s="676">
        <v>103000</v>
      </c>
      <c r="M1275" t="str">
        <f>""</f>
        <v/>
      </c>
    </row>
    <row r="1276" spans="1:13" ht="15.75">
      <c r="A1276">
        <v>2021</v>
      </c>
      <c r="B1276" s="777">
        <v>44541</v>
      </c>
      <c r="C1276" s="730">
        <v>0.76111111111111107</v>
      </c>
      <c r="D1276" s="777">
        <v>44543</v>
      </c>
      <c r="E1276" s="730">
        <v>0.70833333333333337</v>
      </c>
      <c r="F1276" s="558" t="s">
        <v>2868</v>
      </c>
      <c r="G1276" s="558" t="s">
        <v>61</v>
      </c>
      <c r="H1276" s="558" t="s">
        <v>2753</v>
      </c>
      <c r="I1276" s="679" t="s">
        <v>22</v>
      </c>
      <c r="J1276" s="676" t="s">
        <v>5873</v>
      </c>
      <c r="K1276" s="676">
        <v>103000</v>
      </c>
      <c r="M1276" t="str">
        <f>""</f>
        <v/>
      </c>
    </row>
    <row r="1277" spans="1:13" ht="15.75">
      <c r="A1277">
        <v>2011</v>
      </c>
      <c r="B1277" s="777">
        <v>40718</v>
      </c>
      <c r="C1277" s="730">
        <v>0.77083333333333337</v>
      </c>
      <c r="D1277" s="777">
        <v>40719</v>
      </c>
      <c r="E1277" s="730">
        <v>6.25E-2</v>
      </c>
      <c r="F1277" s="558" t="s">
        <v>2234</v>
      </c>
      <c r="G1277" s="558" t="s">
        <v>63</v>
      </c>
      <c r="H1277" s="558" t="s">
        <v>5873</v>
      </c>
      <c r="I1277" s="679" t="s">
        <v>106</v>
      </c>
      <c r="J1277" s="676">
        <v>340</v>
      </c>
      <c r="K1277" s="676">
        <v>102275</v>
      </c>
      <c r="M1277" t="str">
        <f>""</f>
        <v/>
      </c>
    </row>
    <row r="1278" spans="1:13" ht="15.75">
      <c r="A1278">
        <v>2020</v>
      </c>
      <c r="B1278" s="777">
        <v>44101</v>
      </c>
      <c r="C1278" s="730">
        <v>0.76875000000000004</v>
      </c>
      <c r="D1278" s="777">
        <v>44102</v>
      </c>
      <c r="E1278" s="730">
        <v>0.63680555555555551</v>
      </c>
      <c r="F1278" s="558" t="s">
        <v>2945</v>
      </c>
      <c r="G1278" s="558" t="s">
        <v>124</v>
      </c>
      <c r="H1278" s="558" t="s">
        <v>3451</v>
      </c>
      <c r="I1278" s="679" t="s">
        <v>3416</v>
      </c>
      <c r="J1278" s="676">
        <v>337</v>
      </c>
      <c r="K1278" s="676">
        <v>102267</v>
      </c>
      <c r="M1278" t="str">
        <f>""</f>
        <v/>
      </c>
    </row>
    <row r="1279" spans="1:13" ht="15.75">
      <c r="A1279" s="728">
        <v>2010</v>
      </c>
      <c r="B1279" s="777">
        <v>40214</v>
      </c>
      <c r="C1279" s="730">
        <v>0.97916666666666663</v>
      </c>
      <c r="D1279" s="777">
        <v>40216</v>
      </c>
      <c r="E1279" s="730">
        <v>0.10972222222222222</v>
      </c>
      <c r="F1279" s="558" t="s">
        <v>1871</v>
      </c>
      <c r="G1279" s="558" t="s">
        <v>826</v>
      </c>
      <c r="H1279" s="558" t="s">
        <v>5873</v>
      </c>
      <c r="I1279" s="679" t="s">
        <v>40</v>
      </c>
      <c r="J1279" s="676" t="s">
        <v>5873</v>
      </c>
      <c r="K1279" s="676">
        <v>102225</v>
      </c>
      <c r="M1279" t="str">
        <f>""</f>
        <v/>
      </c>
    </row>
    <row r="1280" spans="1:13" ht="15.75">
      <c r="A1280">
        <v>2018</v>
      </c>
      <c r="B1280" s="777">
        <v>43166</v>
      </c>
      <c r="C1280" s="730">
        <v>0.81736111111111109</v>
      </c>
      <c r="D1280" s="777">
        <v>43169</v>
      </c>
      <c r="E1280" s="730">
        <v>0.69097222222222221</v>
      </c>
      <c r="F1280" s="558" t="s">
        <v>3264</v>
      </c>
      <c r="G1280" s="558" t="s">
        <v>61</v>
      </c>
      <c r="H1280" s="558" t="s">
        <v>2753</v>
      </c>
      <c r="I1280" s="679" t="s">
        <v>22</v>
      </c>
      <c r="J1280" s="676" t="s">
        <v>5873</v>
      </c>
      <c r="K1280" s="676">
        <v>102000</v>
      </c>
      <c r="M1280" t="str">
        <f>""</f>
        <v/>
      </c>
    </row>
    <row r="1281" spans="1:13" ht="15.75">
      <c r="A1281">
        <v>2019</v>
      </c>
      <c r="B1281" s="777">
        <v>43755</v>
      </c>
      <c r="C1281" s="730">
        <v>3.125E-2</v>
      </c>
      <c r="D1281" s="777">
        <v>43757</v>
      </c>
      <c r="E1281" s="730">
        <v>0.39583333333333331</v>
      </c>
      <c r="F1281" s="558" t="s">
        <v>3521</v>
      </c>
      <c r="G1281" s="558" t="s">
        <v>61</v>
      </c>
      <c r="H1281" s="558" t="s">
        <v>3451</v>
      </c>
      <c r="I1281" s="679" t="s">
        <v>22</v>
      </c>
      <c r="J1281" s="676" t="s">
        <v>5873</v>
      </c>
      <c r="K1281" s="676">
        <v>101683</v>
      </c>
      <c r="M1281" t="str">
        <f>""</f>
        <v/>
      </c>
    </row>
    <row r="1282" spans="1:13" ht="15.75">
      <c r="A1282">
        <v>2014</v>
      </c>
      <c r="B1282" s="777">
        <v>41675</v>
      </c>
      <c r="C1282" s="730">
        <v>0</v>
      </c>
      <c r="D1282" s="777">
        <v>41679</v>
      </c>
      <c r="E1282" s="730">
        <v>0.75</v>
      </c>
      <c r="F1282" s="558" t="s">
        <v>2661</v>
      </c>
      <c r="G1282" s="558" t="s">
        <v>826</v>
      </c>
      <c r="H1282" s="558" t="s">
        <v>5873</v>
      </c>
      <c r="I1282" s="679" t="s">
        <v>2662</v>
      </c>
      <c r="J1282" s="676" t="s">
        <v>5873</v>
      </c>
      <c r="K1282" s="676">
        <v>101580</v>
      </c>
      <c r="M1282" t="str">
        <f>""</f>
        <v/>
      </c>
    </row>
    <row r="1283" spans="1:13" ht="15.75">
      <c r="A1283">
        <v>2016</v>
      </c>
      <c r="B1283" s="777">
        <v>42574</v>
      </c>
      <c r="C1283" s="730">
        <v>0.8125</v>
      </c>
      <c r="D1283" s="777">
        <v>42575</v>
      </c>
      <c r="E1283" s="730">
        <v>0.3125</v>
      </c>
      <c r="F1283" s="558" t="s">
        <v>2891</v>
      </c>
      <c r="G1283" s="558" t="s">
        <v>61</v>
      </c>
      <c r="H1283" s="558" t="s">
        <v>2753</v>
      </c>
      <c r="I1283" s="679" t="s">
        <v>22</v>
      </c>
      <c r="J1283" s="676" t="s">
        <v>5873</v>
      </c>
      <c r="K1283" s="676">
        <v>101073</v>
      </c>
      <c r="M1283" t="str">
        <f>""</f>
        <v/>
      </c>
    </row>
    <row r="1284" spans="1:13" ht="15.75">
      <c r="A1284" s="728">
        <v>2010</v>
      </c>
      <c r="B1284" s="777">
        <v>40402</v>
      </c>
      <c r="C1284" s="730">
        <v>0.28125</v>
      </c>
      <c r="D1284" s="777">
        <v>40402</v>
      </c>
      <c r="E1284" s="730">
        <v>0.875</v>
      </c>
      <c r="F1284" s="558" t="s">
        <v>2018</v>
      </c>
      <c r="G1284" s="558" t="s">
        <v>826</v>
      </c>
      <c r="H1284" s="558" t="s">
        <v>5873</v>
      </c>
      <c r="I1284" s="679" t="s">
        <v>22</v>
      </c>
      <c r="J1284" s="676" t="s">
        <v>5873</v>
      </c>
      <c r="K1284" s="676">
        <v>101003</v>
      </c>
      <c r="M1284" t="str">
        <f>""</f>
        <v/>
      </c>
    </row>
    <row r="1285" spans="1:13" ht="15.75">
      <c r="A1285">
        <v>2021</v>
      </c>
      <c r="B1285" s="777">
        <v>44420</v>
      </c>
      <c r="C1285" s="730">
        <v>0.7895833333333333</v>
      </c>
      <c r="D1285" s="777">
        <v>44421</v>
      </c>
      <c r="E1285" s="730">
        <v>0.25</v>
      </c>
      <c r="F1285" s="558" t="s">
        <v>4392</v>
      </c>
      <c r="G1285" s="558" t="s">
        <v>4903</v>
      </c>
      <c r="H1285" s="558" t="s">
        <v>2753</v>
      </c>
      <c r="I1285" s="679" t="s">
        <v>22</v>
      </c>
      <c r="J1285" s="676" t="s">
        <v>5873</v>
      </c>
      <c r="K1285" s="676">
        <v>101000</v>
      </c>
      <c r="M1285" t="str">
        <f>""</f>
        <v/>
      </c>
    </row>
    <row r="1286" spans="1:13" ht="15.75">
      <c r="A1286">
        <v>2023</v>
      </c>
      <c r="B1286" s="777">
        <v>44950</v>
      </c>
      <c r="C1286" s="730">
        <v>0.64236111111111116</v>
      </c>
      <c r="D1286" s="777">
        <v>44952</v>
      </c>
      <c r="E1286" s="730">
        <v>0.84722222222222221</v>
      </c>
      <c r="F1286" s="558" t="s">
        <v>2809</v>
      </c>
      <c r="G1286" s="558" t="s">
        <v>1352</v>
      </c>
      <c r="H1286" s="558" t="s">
        <v>2753</v>
      </c>
      <c r="I1286" s="679" t="s">
        <v>22</v>
      </c>
      <c r="J1286" s="676" t="s">
        <v>5873</v>
      </c>
      <c r="K1286" s="676">
        <v>100731</v>
      </c>
      <c r="M1286" t="str">
        <f>""</f>
        <v/>
      </c>
    </row>
    <row r="1287" spans="1:13" ht="15.75">
      <c r="A1287" s="728">
        <v>2010</v>
      </c>
      <c r="B1287" s="777">
        <v>40347</v>
      </c>
      <c r="C1287" s="730">
        <v>0.79166666666666663</v>
      </c>
      <c r="D1287" s="777">
        <v>40348</v>
      </c>
      <c r="E1287" s="730">
        <v>0.20833333333333334</v>
      </c>
      <c r="F1287" s="558" t="s">
        <v>1960</v>
      </c>
      <c r="G1287" s="558" t="s">
        <v>826</v>
      </c>
      <c r="H1287" s="558" t="s">
        <v>5873</v>
      </c>
      <c r="I1287" s="679" t="s">
        <v>381</v>
      </c>
      <c r="J1287" s="676" t="s">
        <v>5873</v>
      </c>
      <c r="K1287" s="676">
        <v>100000</v>
      </c>
      <c r="M1287" t="str">
        <f>""</f>
        <v/>
      </c>
    </row>
    <row r="1288" spans="1:13" ht="15.75">
      <c r="A1288">
        <v>2011</v>
      </c>
      <c r="B1288" s="777">
        <v>40703</v>
      </c>
      <c r="C1288" s="730">
        <v>0.74375000000000002</v>
      </c>
      <c r="D1288" s="777">
        <v>40704</v>
      </c>
      <c r="E1288" s="730">
        <v>0.5</v>
      </c>
      <c r="F1288" s="558" t="s">
        <v>2224</v>
      </c>
      <c r="G1288" s="558" t="s">
        <v>61</v>
      </c>
      <c r="H1288" s="558" t="s">
        <v>5873</v>
      </c>
      <c r="I1288" s="679" t="s">
        <v>106</v>
      </c>
      <c r="J1288" s="676">
        <v>0</v>
      </c>
      <c r="K1288" s="676">
        <v>100000</v>
      </c>
      <c r="M1288" t="str">
        <f>""</f>
        <v/>
      </c>
    </row>
    <row r="1289" spans="1:13" ht="15.75">
      <c r="A1289">
        <v>2011</v>
      </c>
      <c r="B1289" s="777">
        <v>40783</v>
      </c>
      <c r="C1289" s="730">
        <v>0.40416666666666667</v>
      </c>
      <c r="D1289" s="777">
        <v>40785</v>
      </c>
      <c r="E1289" s="730">
        <v>6.9444444444444447E-4</v>
      </c>
      <c r="F1289" s="558" t="s">
        <v>1159</v>
      </c>
      <c r="G1289" s="558" t="s">
        <v>61</v>
      </c>
      <c r="H1289" s="558" t="s">
        <v>5873</v>
      </c>
      <c r="I1289" s="679" t="s">
        <v>22</v>
      </c>
      <c r="J1289" s="676" t="s">
        <v>5873</v>
      </c>
      <c r="K1289" s="676">
        <v>100000</v>
      </c>
      <c r="M1289" t="str">
        <f>""</f>
        <v/>
      </c>
    </row>
    <row r="1290" spans="1:13" ht="15.75">
      <c r="A1290">
        <v>2011</v>
      </c>
      <c r="B1290" s="777">
        <v>40878</v>
      </c>
      <c r="C1290" s="730">
        <v>0.1451388888888889</v>
      </c>
      <c r="D1290" s="777">
        <v>40879</v>
      </c>
      <c r="E1290" s="730">
        <v>0.54513888888888884</v>
      </c>
      <c r="F1290" s="558" t="s">
        <v>141</v>
      </c>
      <c r="G1290" s="558" t="s">
        <v>124</v>
      </c>
      <c r="H1290" s="558" t="s">
        <v>5873</v>
      </c>
      <c r="I1290" s="679" t="s">
        <v>22</v>
      </c>
      <c r="J1290" s="676">
        <v>300</v>
      </c>
      <c r="K1290" s="676">
        <v>100000</v>
      </c>
      <c r="M1290" t="str">
        <f>""</f>
        <v/>
      </c>
    </row>
    <row r="1291" spans="1:13" ht="15.75">
      <c r="A1291">
        <v>2013</v>
      </c>
      <c r="B1291" s="777">
        <v>41425</v>
      </c>
      <c r="C1291" s="730">
        <v>0.8125</v>
      </c>
      <c r="D1291" s="777">
        <v>41426</v>
      </c>
      <c r="E1291" s="730">
        <v>0.83333333333333337</v>
      </c>
      <c r="F1291" s="558" t="s">
        <v>2545</v>
      </c>
      <c r="G1291" s="558" t="s">
        <v>63</v>
      </c>
      <c r="H1291" s="558" t="s">
        <v>5873</v>
      </c>
      <c r="I1291" s="679" t="s">
        <v>2368</v>
      </c>
      <c r="J1291" s="676" t="s">
        <v>5873</v>
      </c>
      <c r="K1291" s="676">
        <v>100000</v>
      </c>
      <c r="M1291" t="str">
        <f>""</f>
        <v/>
      </c>
    </row>
    <row r="1292" spans="1:13" ht="15.75">
      <c r="A1292">
        <v>2015</v>
      </c>
      <c r="B1292" s="777">
        <v>42227</v>
      </c>
      <c r="C1292" s="730">
        <v>0.8125</v>
      </c>
      <c r="D1292" s="777">
        <v>42229</v>
      </c>
      <c r="E1292" s="730">
        <v>0.1701388888888889</v>
      </c>
      <c r="F1292" s="558" t="s">
        <v>2796</v>
      </c>
      <c r="G1292" s="558" t="s">
        <v>1352</v>
      </c>
      <c r="H1292" s="558" t="s">
        <v>2753</v>
      </c>
      <c r="I1292" s="679" t="s">
        <v>22</v>
      </c>
      <c r="J1292" s="676" t="s">
        <v>5873</v>
      </c>
      <c r="K1292" s="676">
        <v>100000</v>
      </c>
      <c r="M1292" t="str">
        <f>""</f>
        <v/>
      </c>
    </row>
    <row r="1293" spans="1:13" ht="15.75">
      <c r="A1293">
        <v>2017</v>
      </c>
      <c r="B1293" s="777">
        <v>42831</v>
      </c>
      <c r="C1293" s="730">
        <v>0.79166666666666663</v>
      </c>
      <c r="D1293" s="777" t="s">
        <v>5873</v>
      </c>
      <c r="E1293" s="730" t="s">
        <v>5873</v>
      </c>
      <c r="F1293" s="558" t="s">
        <v>18</v>
      </c>
      <c r="G1293" s="558" t="s">
        <v>124</v>
      </c>
      <c r="H1293" s="558" t="s">
        <v>2753</v>
      </c>
      <c r="I1293" s="679" t="s">
        <v>22</v>
      </c>
      <c r="J1293" s="676" t="s">
        <v>5873</v>
      </c>
      <c r="K1293" s="676">
        <v>100000</v>
      </c>
      <c r="M1293" t="str">
        <f>""</f>
        <v/>
      </c>
    </row>
    <row r="1294" spans="1:13" ht="15.75">
      <c r="A1294">
        <v>2018</v>
      </c>
      <c r="B1294" s="777">
        <v>43341</v>
      </c>
      <c r="C1294" s="730">
        <v>0</v>
      </c>
      <c r="D1294" s="777">
        <v>43342</v>
      </c>
      <c r="E1294" s="730">
        <v>0</v>
      </c>
      <c r="F1294" s="558" t="s">
        <v>3461</v>
      </c>
      <c r="G1294" s="558" t="s">
        <v>63</v>
      </c>
      <c r="H1294" s="558" t="s">
        <v>3451</v>
      </c>
      <c r="I1294" s="679" t="s">
        <v>22</v>
      </c>
      <c r="J1294" s="676" t="s">
        <v>5873</v>
      </c>
      <c r="K1294" s="676">
        <v>100000</v>
      </c>
      <c r="M1294" t="str">
        <f>""</f>
        <v/>
      </c>
    </row>
    <row r="1295" spans="1:13" ht="15.75">
      <c r="A1295">
        <v>2019</v>
      </c>
      <c r="B1295" s="777">
        <v>43608</v>
      </c>
      <c r="C1295" s="730">
        <v>0.70486111111111116</v>
      </c>
      <c r="D1295" s="777">
        <v>43608</v>
      </c>
      <c r="E1295" s="730">
        <v>0.98611111111111116</v>
      </c>
      <c r="F1295" s="558" t="s">
        <v>3325</v>
      </c>
      <c r="G1295" s="558" t="s">
        <v>63</v>
      </c>
      <c r="H1295" s="558" t="s">
        <v>3451</v>
      </c>
      <c r="I1295" s="679" t="s">
        <v>22</v>
      </c>
      <c r="J1295" s="676" t="s">
        <v>5873</v>
      </c>
      <c r="K1295" s="676">
        <v>100000</v>
      </c>
      <c r="M1295" t="str">
        <f>""</f>
        <v/>
      </c>
    </row>
    <row r="1296" spans="1:13" ht="15.75">
      <c r="A1296">
        <v>2019</v>
      </c>
      <c r="B1296" s="777">
        <v>43646</v>
      </c>
      <c r="C1296" s="730">
        <v>0.64583333333333337</v>
      </c>
      <c r="D1296" s="777">
        <v>43646</v>
      </c>
      <c r="E1296" s="730">
        <v>0.85416666666666663</v>
      </c>
      <c r="F1296" s="558" t="s">
        <v>3846</v>
      </c>
      <c r="G1296" s="558" t="s">
        <v>63</v>
      </c>
      <c r="H1296" s="558" t="s">
        <v>3451</v>
      </c>
      <c r="I1296" s="679" t="s">
        <v>22</v>
      </c>
      <c r="J1296" s="676" t="s">
        <v>5873</v>
      </c>
      <c r="K1296" s="676">
        <v>100000</v>
      </c>
      <c r="M1296" t="str">
        <f>""</f>
        <v/>
      </c>
    </row>
    <row r="1297" spans="1:13" ht="15.75">
      <c r="A1297">
        <v>2020</v>
      </c>
      <c r="B1297" s="777">
        <v>44047</v>
      </c>
      <c r="C1297" s="730">
        <v>0.375</v>
      </c>
      <c r="D1297" s="777">
        <v>44048</v>
      </c>
      <c r="E1297" s="730">
        <v>0.75</v>
      </c>
      <c r="F1297" s="558" t="s">
        <v>2830</v>
      </c>
      <c r="G1297" s="558" t="s">
        <v>3143</v>
      </c>
      <c r="H1297" s="558" t="s">
        <v>3451</v>
      </c>
      <c r="I1297" s="679" t="s">
        <v>22</v>
      </c>
      <c r="J1297" s="676" t="s">
        <v>5873</v>
      </c>
      <c r="K1297" s="676">
        <v>100000</v>
      </c>
      <c r="M1297" t="str">
        <f>""</f>
        <v/>
      </c>
    </row>
    <row r="1298" spans="1:13" ht="15.75">
      <c r="A1298">
        <v>2022</v>
      </c>
      <c r="B1298" s="777">
        <v>44724</v>
      </c>
      <c r="C1298" s="730">
        <v>0.97916666666666663</v>
      </c>
      <c r="D1298" s="777">
        <v>44725</v>
      </c>
      <c r="E1298" s="730">
        <v>0.97916666666666663</v>
      </c>
      <c r="F1298" s="558" t="s">
        <v>4589</v>
      </c>
      <c r="G1298" s="558" t="s">
        <v>5174</v>
      </c>
      <c r="H1298" s="558" t="s">
        <v>5373</v>
      </c>
      <c r="I1298" s="679" t="s">
        <v>2990</v>
      </c>
      <c r="J1298" s="676">
        <v>14000</v>
      </c>
      <c r="K1298" s="676">
        <v>100000</v>
      </c>
      <c r="M1298" t="str">
        <f>""</f>
        <v/>
      </c>
    </row>
    <row r="1299" spans="1:13" ht="15.75">
      <c r="A1299">
        <v>2022</v>
      </c>
      <c r="B1299" s="777">
        <v>44734</v>
      </c>
      <c r="C1299" s="730">
        <v>0.7055555555555556</v>
      </c>
      <c r="D1299" s="777">
        <v>44735</v>
      </c>
      <c r="E1299" s="730">
        <v>8.3333333333333329E-2</v>
      </c>
      <c r="F1299" s="558" t="s">
        <v>3325</v>
      </c>
      <c r="G1299" s="558" t="s">
        <v>5174</v>
      </c>
      <c r="H1299" s="558" t="s">
        <v>5373</v>
      </c>
      <c r="I1299" s="679" t="s">
        <v>3768</v>
      </c>
      <c r="J1299" s="676" t="s">
        <v>5873</v>
      </c>
      <c r="K1299" s="676">
        <v>100000</v>
      </c>
      <c r="M1299" t="str">
        <f>""</f>
        <v/>
      </c>
    </row>
    <row r="1300" spans="1:13" ht="15.75">
      <c r="A1300">
        <v>2023</v>
      </c>
      <c r="B1300" s="777">
        <v>44994</v>
      </c>
      <c r="C1300" s="730">
        <v>0.75</v>
      </c>
      <c r="D1300" s="777">
        <v>44995</v>
      </c>
      <c r="E1300" s="730">
        <v>0.75</v>
      </c>
      <c r="F1300" s="558" t="s">
        <v>5789</v>
      </c>
      <c r="G1300" s="558" t="s">
        <v>4935</v>
      </c>
      <c r="H1300" s="558" t="s">
        <v>2753</v>
      </c>
      <c r="I1300" s="679" t="s">
        <v>22</v>
      </c>
      <c r="J1300" s="676">
        <v>250</v>
      </c>
      <c r="K1300" s="676">
        <v>100000</v>
      </c>
      <c r="M1300" t="str">
        <f>""</f>
        <v/>
      </c>
    </row>
    <row r="1301" spans="1:13" ht="15.75">
      <c r="A1301">
        <v>2011</v>
      </c>
      <c r="B1301" s="777">
        <v>40783</v>
      </c>
      <c r="C1301" s="730">
        <v>0.29166666666666669</v>
      </c>
      <c r="D1301" s="777">
        <v>40789</v>
      </c>
      <c r="E1301" s="730">
        <v>6.9444444444444447E-4</v>
      </c>
      <c r="F1301" s="558" t="s">
        <v>30</v>
      </c>
      <c r="G1301" s="558" t="s">
        <v>61</v>
      </c>
      <c r="H1301" s="558" t="s">
        <v>5873</v>
      </c>
      <c r="I1301" s="679" t="s">
        <v>22</v>
      </c>
      <c r="J1301" s="676" t="s">
        <v>5873</v>
      </c>
      <c r="K1301" s="676">
        <v>99700</v>
      </c>
      <c r="M1301" t="str">
        <f>""</f>
        <v/>
      </c>
    </row>
    <row r="1302" spans="1:13" ht="15.75">
      <c r="A1302">
        <v>2013</v>
      </c>
      <c r="B1302" s="777">
        <v>41382</v>
      </c>
      <c r="C1302" s="730">
        <v>0.625</v>
      </c>
      <c r="D1302" s="777">
        <v>41385</v>
      </c>
      <c r="E1302" s="730">
        <v>0.14583333333333334</v>
      </c>
      <c r="F1302" s="558" t="s">
        <v>2523</v>
      </c>
      <c r="G1302" s="558" t="s">
        <v>826</v>
      </c>
      <c r="H1302" s="558" t="s">
        <v>5873</v>
      </c>
      <c r="I1302" s="679" t="s">
        <v>2524</v>
      </c>
      <c r="J1302" s="676" t="s">
        <v>5873</v>
      </c>
      <c r="K1302" s="676">
        <v>99188</v>
      </c>
      <c r="M1302" t="str">
        <f>""</f>
        <v/>
      </c>
    </row>
    <row r="1303" spans="1:13" ht="15.75">
      <c r="A1303">
        <v>2017</v>
      </c>
      <c r="B1303" s="777">
        <v>42795</v>
      </c>
      <c r="C1303" s="730">
        <v>0.49236111111111114</v>
      </c>
      <c r="D1303" s="777">
        <v>42796</v>
      </c>
      <c r="E1303" s="730">
        <v>0.89583333333333337</v>
      </c>
      <c r="F1303" s="558" t="s">
        <v>2982</v>
      </c>
      <c r="G1303" s="558" t="s">
        <v>826</v>
      </c>
      <c r="H1303" s="558" t="s">
        <v>2753</v>
      </c>
      <c r="I1303" s="679" t="s">
        <v>22</v>
      </c>
      <c r="J1303" s="676" t="s">
        <v>5873</v>
      </c>
      <c r="K1303" s="676">
        <v>98575</v>
      </c>
      <c r="M1303" t="str">
        <f>""</f>
        <v/>
      </c>
    </row>
    <row r="1304" spans="1:13" ht="15.75">
      <c r="A1304">
        <v>2017</v>
      </c>
      <c r="B1304" s="777">
        <v>42800</v>
      </c>
      <c r="C1304" s="730">
        <v>0.83333333333333337</v>
      </c>
      <c r="D1304" s="777">
        <v>42801</v>
      </c>
      <c r="E1304" s="730">
        <v>4.1666666666666664E-2</v>
      </c>
      <c r="F1304" s="558" t="s">
        <v>2986</v>
      </c>
      <c r="G1304" s="558" t="s">
        <v>63</v>
      </c>
      <c r="H1304" s="558" t="s">
        <v>2753</v>
      </c>
      <c r="I1304" s="679" t="s">
        <v>22</v>
      </c>
      <c r="J1304" s="676" t="s">
        <v>5873</v>
      </c>
      <c r="K1304" s="676">
        <v>97734</v>
      </c>
      <c r="M1304" t="str">
        <f>""</f>
        <v/>
      </c>
    </row>
    <row r="1305" spans="1:13" ht="15.75">
      <c r="A1305" s="728">
        <v>2010</v>
      </c>
      <c r="B1305" s="777">
        <v>40214</v>
      </c>
      <c r="C1305" s="730">
        <v>0.79166666666666663</v>
      </c>
      <c r="D1305" s="777">
        <v>40221</v>
      </c>
      <c r="E1305" s="730">
        <v>0.65694444444444444</v>
      </c>
      <c r="F1305" s="558" t="s">
        <v>1865</v>
      </c>
      <c r="G1305" s="558" t="s">
        <v>826</v>
      </c>
      <c r="H1305" s="558" t="s">
        <v>5873</v>
      </c>
      <c r="I1305" s="679" t="s">
        <v>40</v>
      </c>
      <c r="J1305" s="676" t="s">
        <v>5873</v>
      </c>
      <c r="K1305" s="676">
        <v>97651</v>
      </c>
      <c r="M1305" t="str">
        <f>""</f>
        <v/>
      </c>
    </row>
    <row r="1306" spans="1:13" ht="15.75">
      <c r="A1306">
        <v>2022</v>
      </c>
      <c r="B1306" s="777">
        <v>44670</v>
      </c>
      <c r="C1306" s="730">
        <v>0.25</v>
      </c>
      <c r="D1306" s="777" t="s">
        <v>5873</v>
      </c>
      <c r="E1306" s="730" t="s">
        <v>5873</v>
      </c>
      <c r="F1306" s="558" t="s">
        <v>2868</v>
      </c>
      <c r="G1306" s="558" t="s">
        <v>61</v>
      </c>
      <c r="H1306" s="558" t="s">
        <v>2753</v>
      </c>
      <c r="I1306" s="679" t="s">
        <v>22</v>
      </c>
      <c r="J1306" s="676" t="s">
        <v>5873</v>
      </c>
      <c r="K1306" s="676">
        <v>97000</v>
      </c>
      <c r="M1306" t="str">
        <f>""</f>
        <v/>
      </c>
    </row>
    <row r="1307" spans="1:13" ht="15.75">
      <c r="A1307">
        <v>2016</v>
      </c>
      <c r="B1307" s="777">
        <v>42565</v>
      </c>
      <c r="C1307" s="730">
        <v>0.61388888888888893</v>
      </c>
      <c r="D1307" s="777">
        <v>42566</v>
      </c>
      <c r="E1307" s="730">
        <v>0.16666666666666666</v>
      </c>
      <c r="F1307" s="558" t="s">
        <v>10</v>
      </c>
      <c r="G1307" s="558" t="s">
        <v>58</v>
      </c>
      <c r="H1307" s="558" t="s">
        <v>2753</v>
      </c>
      <c r="I1307" s="679" t="s">
        <v>22</v>
      </c>
      <c r="J1307" s="676" t="s">
        <v>5873</v>
      </c>
      <c r="K1307" s="676">
        <v>96966</v>
      </c>
      <c r="M1307" t="str">
        <f>""</f>
        <v/>
      </c>
    </row>
    <row r="1308" spans="1:13" ht="15.75">
      <c r="A1308">
        <v>2020</v>
      </c>
      <c r="B1308" s="777">
        <v>44150</v>
      </c>
      <c r="C1308" s="730">
        <v>0.61944444444444446</v>
      </c>
      <c r="D1308" s="777">
        <v>44151</v>
      </c>
      <c r="E1308" s="730">
        <v>0.24930555555555556</v>
      </c>
      <c r="F1308" s="558" t="s">
        <v>2895</v>
      </c>
      <c r="G1308" s="558" t="s">
        <v>3143</v>
      </c>
      <c r="H1308" s="558" t="s">
        <v>3451</v>
      </c>
      <c r="I1308" s="679" t="s">
        <v>22</v>
      </c>
      <c r="J1308" s="676" t="s">
        <v>5873</v>
      </c>
      <c r="K1308" s="676">
        <v>96809</v>
      </c>
      <c r="M1308" t="str">
        <f>""</f>
        <v/>
      </c>
    </row>
    <row r="1309" spans="1:13" ht="15.75">
      <c r="A1309">
        <v>2012</v>
      </c>
      <c r="B1309" s="777">
        <v>40988</v>
      </c>
      <c r="C1309" s="730">
        <v>0.33333333333333331</v>
      </c>
      <c r="D1309" s="777">
        <v>40988</v>
      </c>
      <c r="E1309" s="730">
        <v>0.54166666666666663</v>
      </c>
      <c r="F1309" s="558" t="s">
        <v>1098</v>
      </c>
      <c r="G1309" s="558" t="s">
        <v>1352</v>
      </c>
      <c r="H1309" s="558" t="s">
        <v>5873</v>
      </c>
      <c r="I1309" s="679" t="s">
        <v>2368</v>
      </c>
      <c r="J1309" s="676" t="s">
        <v>5873</v>
      </c>
      <c r="K1309" s="676">
        <v>96000</v>
      </c>
      <c r="M1309" t="str">
        <f>""</f>
        <v/>
      </c>
    </row>
    <row r="1310" spans="1:13" ht="15.75">
      <c r="A1310">
        <v>2014</v>
      </c>
      <c r="B1310" s="777">
        <v>41828</v>
      </c>
      <c r="C1310" s="730">
        <v>0.72916666666666663</v>
      </c>
      <c r="D1310" s="777">
        <v>41832</v>
      </c>
      <c r="E1310" s="730">
        <v>0.97222222222222221</v>
      </c>
      <c r="F1310" s="558" t="s">
        <v>2661</v>
      </c>
      <c r="G1310" s="558" t="s">
        <v>826</v>
      </c>
      <c r="H1310" s="558" t="s">
        <v>5873</v>
      </c>
      <c r="I1310" s="679" t="s">
        <v>2368</v>
      </c>
      <c r="J1310" s="676" t="s">
        <v>5873</v>
      </c>
      <c r="K1310" s="676">
        <v>96000</v>
      </c>
      <c r="M1310" t="str">
        <f>""</f>
        <v/>
      </c>
    </row>
    <row r="1311" spans="1:13" ht="15.75">
      <c r="A1311">
        <v>2014</v>
      </c>
      <c r="B1311" s="777">
        <v>41937</v>
      </c>
      <c r="C1311" s="730">
        <v>0.75</v>
      </c>
      <c r="D1311" s="777" t="s">
        <v>5873</v>
      </c>
      <c r="E1311" s="730" t="s">
        <v>5873</v>
      </c>
      <c r="F1311" s="558" t="s">
        <v>2728</v>
      </c>
      <c r="G1311" s="558" t="s">
        <v>124</v>
      </c>
      <c r="H1311" s="558" t="s">
        <v>5873</v>
      </c>
      <c r="I1311" s="679" t="s">
        <v>2680</v>
      </c>
      <c r="J1311" s="676">
        <v>154</v>
      </c>
      <c r="K1311" s="676">
        <v>96000</v>
      </c>
      <c r="M1311" t="str">
        <f>""</f>
        <v/>
      </c>
    </row>
    <row r="1312" spans="1:13" ht="15.75">
      <c r="A1312">
        <v>2019</v>
      </c>
      <c r="B1312" s="777">
        <v>43668</v>
      </c>
      <c r="C1312" s="730">
        <v>0.74305555555555558</v>
      </c>
      <c r="D1312" s="777">
        <v>43671</v>
      </c>
      <c r="E1312" s="730">
        <v>0.55208333333333337</v>
      </c>
      <c r="F1312" s="558" t="s">
        <v>3885</v>
      </c>
      <c r="G1312" s="558" t="s">
        <v>3143</v>
      </c>
      <c r="H1312" s="558" t="s">
        <v>3451</v>
      </c>
      <c r="I1312" s="679" t="s">
        <v>22</v>
      </c>
      <c r="J1312" s="676">
        <v>49</v>
      </c>
      <c r="K1312" s="676">
        <v>95600</v>
      </c>
      <c r="M1312" t="str">
        <f>""</f>
        <v/>
      </c>
    </row>
    <row r="1313" spans="1:13" ht="15.75">
      <c r="A1313">
        <v>2012</v>
      </c>
      <c r="B1313" s="777">
        <v>41097.75</v>
      </c>
      <c r="C1313" s="730">
        <v>41097.75</v>
      </c>
      <c r="D1313" s="777">
        <v>41099.792361111111</v>
      </c>
      <c r="E1313" s="730">
        <v>41099.792361111111</v>
      </c>
      <c r="F1313" s="558" t="s">
        <v>2417</v>
      </c>
      <c r="G1313" s="558" t="s">
        <v>826</v>
      </c>
      <c r="H1313" s="558" t="s">
        <v>5873</v>
      </c>
      <c r="I1313" s="679" t="s">
        <v>2368</v>
      </c>
      <c r="J1313" s="676" t="s">
        <v>5873</v>
      </c>
      <c r="K1313" s="676">
        <v>95400</v>
      </c>
      <c r="M1313" t="str">
        <f>""</f>
        <v/>
      </c>
    </row>
    <row r="1314" spans="1:13" ht="15.75">
      <c r="A1314">
        <v>2020</v>
      </c>
      <c r="B1314" s="777">
        <v>43933</v>
      </c>
      <c r="C1314" s="730">
        <v>0.86458333333333337</v>
      </c>
      <c r="D1314" s="777" t="s">
        <v>5873</v>
      </c>
      <c r="E1314" s="730" t="s">
        <v>5873</v>
      </c>
      <c r="F1314" s="558" t="s">
        <v>3405</v>
      </c>
      <c r="G1314" s="558" t="s">
        <v>3347</v>
      </c>
      <c r="H1314" s="558" t="s">
        <v>3451</v>
      </c>
      <c r="I1314" s="679" t="s">
        <v>22</v>
      </c>
      <c r="J1314" s="676" t="s">
        <v>5873</v>
      </c>
      <c r="K1314" s="676">
        <v>95318</v>
      </c>
      <c r="M1314" t="str">
        <f>""</f>
        <v/>
      </c>
    </row>
    <row r="1315" spans="1:13" ht="15.75">
      <c r="A1315">
        <v>2020</v>
      </c>
      <c r="B1315" s="777">
        <v>44053</v>
      </c>
      <c r="C1315" s="730">
        <v>0.94374999999999998</v>
      </c>
      <c r="D1315" s="777">
        <v>44056</v>
      </c>
      <c r="E1315" s="730">
        <v>0.65833333333333333</v>
      </c>
      <c r="F1315" s="558" t="s">
        <v>3561</v>
      </c>
      <c r="G1315" s="558" t="s">
        <v>3143</v>
      </c>
      <c r="H1315" s="558" t="s">
        <v>3451</v>
      </c>
      <c r="I1315" s="679" t="s">
        <v>22</v>
      </c>
      <c r="J1315" s="676" t="s">
        <v>5873</v>
      </c>
      <c r="K1315" s="676">
        <v>95300</v>
      </c>
      <c r="M1315" t="str">
        <f>""</f>
        <v/>
      </c>
    </row>
    <row r="1316" spans="1:13" ht="15.75">
      <c r="A1316">
        <v>2012</v>
      </c>
      <c r="B1316" s="777">
        <v>41150.408333333333</v>
      </c>
      <c r="C1316" s="730">
        <v>41150.408333333333</v>
      </c>
      <c r="D1316" s="777">
        <v>41152.538194444445</v>
      </c>
      <c r="E1316" s="730">
        <v>41152.538194444445</v>
      </c>
      <c r="F1316" s="558" t="s">
        <v>1577</v>
      </c>
      <c r="G1316" s="558" t="s">
        <v>58</v>
      </c>
      <c r="H1316" s="558" t="s">
        <v>5873</v>
      </c>
      <c r="I1316" s="679" t="s">
        <v>2433</v>
      </c>
      <c r="J1316" s="676" t="s">
        <v>5873</v>
      </c>
      <c r="K1316" s="676">
        <v>95000</v>
      </c>
      <c r="M1316" t="str">
        <f>""</f>
        <v/>
      </c>
    </row>
    <row r="1317" spans="1:13" ht="15.75">
      <c r="A1317">
        <v>2018</v>
      </c>
      <c r="B1317" s="777">
        <v>43160</v>
      </c>
      <c r="C1317" s="730">
        <v>0.93055555555555558</v>
      </c>
      <c r="D1317" s="777">
        <v>43163</v>
      </c>
      <c r="E1317" s="730">
        <v>0.83333333333333337</v>
      </c>
      <c r="F1317" s="558" t="s">
        <v>3233</v>
      </c>
      <c r="G1317" s="558" t="s">
        <v>3143</v>
      </c>
      <c r="H1317" s="558" t="s">
        <v>2753</v>
      </c>
      <c r="I1317" s="679" t="s">
        <v>22</v>
      </c>
      <c r="J1317" s="676" t="s">
        <v>5873</v>
      </c>
      <c r="K1317" s="676">
        <v>95000</v>
      </c>
      <c r="M1317" t="str">
        <f>""</f>
        <v/>
      </c>
    </row>
    <row r="1318" spans="1:13" ht="15.75">
      <c r="A1318">
        <v>2019</v>
      </c>
      <c r="B1318" s="777">
        <v>43703</v>
      </c>
      <c r="C1318" s="730">
        <v>0.79166666666666663</v>
      </c>
      <c r="D1318" s="777">
        <v>43704</v>
      </c>
      <c r="E1318" s="730">
        <v>0.125</v>
      </c>
      <c r="F1318" s="558" t="s">
        <v>3693</v>
      </c>
      <c r="G1318" s="558" t="s">
        <v>3347</v>
      </c>
      <c r="H1318" s="558" t="s">
        <v>3451</v>
      </c>
      <c r="I1318" s="679" t="s">
        <v>2990</v>
      </c>
      <c r="J1318" s="676" t="s">
        <v>5873</v>
      </c>
      <c r="K1318" s="676">
        <v>95000</v>
      </c>
      <c r="M1318" t="str">
        <f>""</f>
        <v/>
      </c>
    </row>
    <row r="1319" spans="1:13" ht="15.75">
      <c r="A1319">
        <v>2020</v>
      </c>
      <c r="B1319" s="777">
        <v>43930</v>
      </c>
      <c r="C1319" s="730">
        <v>0.80902777777777779</v>
      </c>
      <c r="D1319" s="777">
        <v>43931</v>
      </c>
      <c r="E1319" s="730">
        <v>0.14583333333333334</v>
      </c>
      <c r="F1319" s="558" t="s">
        <v>2809</v>
      </c>
      <c r="G1319" s="558" t="s">
        <v>1352</v>
      </c>
      <c r="H1319" s="558" t="s">
        <v>3451</v>
      </c>
      <c r="I1319" s="679" t="s">
        <v>22</v>
      </c>
      <c r="J1319" s="676" t="s">
        <v>5873</v>
      </c>
      <c r="K1319" s="676">
        <v>95000</v>
      </c>
      <c r="M1319" t="str">
        <f>""</f>
        <v/>
      </c>
    </row>
    <row r="1320" spans="1:13" ht="15.75">
      <c r="A1320">
        <v>2020</v>
      </c>
      <c r="B1320" s="777">
        <v>43934</v>
      </c>
      <c r="C1320" s="730">
        <v>0.43402777777777779</v>
      </c>
      <c r="D1320" s="777">
        <v>43934</v>
      </c>
      <c r="E1320" s="730">
        <v>0.78819444444444442</v>
      </c>
      <c r="F1320" s="558" t="s">
        <v>2928</v>
      </c>
      <c r="G1320" s="558" t="s">
        <v>63</v>
      </c>
      <c r="H1320" s="558" t="s">
        <v>3451</v>
      </c>
      <c r="I1320" s="679" t="s">
        <v>22</v>
      </c>
      <c r="J1320" s="676" t="s">
        <v>5873</v>
      </c>
      <c r="K1320" s="676">
        <v>95000</v>
      </c>
      <c r="M1320" t="str">
        <f>""</f>
        <v/>
      </c>
    </row>
    <row r="1321" spans="1:13" ht="15.75">
      <c r="A1321">
        <v>2020</v>
      </c>
      <c r="B1321" s="777">
        <v>44023</v>
      </c>
      <c r="C1321" s="730">
        <v>0.89583333333333337</v>
      </c>
      <c r="D1321" s="777" t="s">
        <v>5873</v>
      </c>
      <c r="E1321" s="730" t="s">
        <v>5873</v>
      </c>
      <c r="F1321" s="558" t="s">
        <v>3693</v>
      </c>
      <c r="G1321" s="558" t="s">
        <v>3347</v>
      </c>
      <c r="H1321" s="558" t="s">
        <v>3451</v>
      </c>
      <c r="I1321" s="679" t="s">
        <v>22</v>
      </c>
      <c r="J1321" s="676" t="s">
        <v>5873</v>
      </c>
      <c r="K1321" s="676">
        <v>94700</v>
      </c>
      <c r="M1321" t="str">
        <f>""</f>
        <v/>
      </c>
    </row>
    <row r="1322" spans="1:13" ht="15.75">
      <c r="A1322" s="728">
        <v>2010</v>
      </c>
      <c r="B1322" s="777">
        <v>40347</v>
      </c>
      <c r="C1322" s="730">
        <v>0.64583333333333337</v>
      </c>
      <c r="D1322" s="777">
        <v>40349</v>
      </c>
      <c r="E1322" s="730">
        <v>2.0833333333333332E-2</v>
      </c>
      <c r="F1322" s="558" t="s">
        <v>1434</v>
      </c>
      <c r="G1322" s="558" t="s">
        <v>826</v>
      </c>
      <c r="H1322" s="558" t="s">
        <v>5873</v>
      </c>
      <c r="I1322" s="679" t="s">
        <v>381</v>
      </c>
      <c r="J1322" s="676" t="s">
        <v>5873</v>
      </c>
      <c r="K1322" s="676">
        <v>94345</v>
      </c>
      <c r="M1322" t="str">
        <f>""</f>
        <v/>
      </c>
    </row>
    <row r="1323" spans="1:13" ht="15.75">
      <c r="A1323">
        <v>2021</v>
      </c>
      <c r="B1323" s="777">
        <v>44208</v>
      </c>
      <c r="C1323" s="730">
        <v>0.86527777777777781</v>
      </c>
      <c r="D1323" s="777">
        <v>44209</v>
      </c>
      <c r="E1323" s="730">
        <v>0.66666666666666663</v>
      </c>
      <c r="F1323" s="558" t="s">
        <v>4656</v>
      </c>
      <c r="G1323" s="558" t="s">
        <v>124</v>
      </c>
      <c r="H1323" s="558" t="s">
        <v>3451</v>
      </c>
      <c r="I1323" s="679" t="s">
        <v>22</v>
      </c>
      <c r="J1323" s="676" t="s">
        <v>5873</v>
      </c>
      <c r="K1323" s="676">
        <v>94231</v>
      </c>
      <c r="M1323" t="str">
        <f>""</f>
        <v/>
      </c>
    </row>
    <row r="1324" spans="1:13" ht="15.75">
      <c r="A1324">
        <v>2019</v>
      </c>
      <c r="B1324" s="777">
        <v>43520</v>
      </c>
      <c r="C1324" s="730">
        <v>0.60624999999999996</v>
      </c>
      <c r="D1324" s="777">
        <v>43520</v>
      </c>
      <c r="E1324" s="730">
        <v>0.75208333333333333</v>
      </c>
      <c r="F1324" s="558" t="s">
        <v>171</v>
      </c>
      <c r="G1324" s="558" t="s">
        <v>3143</v>
      </c>
      <c r="H1324" s="558" t="s">
        <v>3451</v>
      </c>
      <c r="I1324" s="679" t="s">
        <v>22</v>
      </c>
      <c r="J1324" s="676" t="s">
        <v>5873</v>
      </c>
      <c r="K1324" s="676">
        <v>94048</v>
      </c>
      <c r="M1324" t="str">
        <f>""</f>
        <v/>
      </c>
    </row>
    <row r="1325" spans="1:13" ht="15.75">
      <c r="A1325">
        <v>2011</v>
      </c>
      <c r="B1325" s="777">
        <v>40712</v>
      </c>
      <c r="C1325" s="730">
        <v>0.64583333333333337</v>
      </c>
      <c r="D1325" s="777">
        <v>40713</v>
      </c>
      <c r="E1325" s="730">
        <v>0.65416666666666667</v>
      </c>
      <c r="F1325" s="558" t="s">
        <v>2226</v>
      </c>
      <c r="G1325" s="558" t="s">
        <v>63</v>
      </c>
      <c r="H1325" s="558" t="s">
        <v>5873</v>
      </c>
      <c r="I1325" s="679" t="s">
        <v>106</v>
      </c>
      <c r="J1325" s="676">
        <v>312</v>
      </c>
      <c r="K1325" s="676">
        <v>93828</v>
      </c>
      <c r="M1325" t="str">
        <f>""</f>
        <v/>
      </c>
    </row>
    <row r="1326" spans="1:13" ht="15.75">
      <c r="A1326">
        <v>2022</v>
      </c>
      <c r="B1326" s="777">
        <v>44765</v>
      </c>
      <c r="C1326" s="730">
        <v>0.86458333333333337</v>
      </c>
      <c r="D1326" s="777">
        <v>44766</v>
      </c>
      <c r="E1326" s="730">
        <v>0.47916666666666669</v>
      </c>
      <c r="F1326" s="558" t="s">
        <v>5447</v>
      </c>
      <c r="G1326" s="558" t="s">
        <v>3143</v>
      </c>
      <c r="H1326" s="558" t="s">
        <v>2753</v>
      </c>
      <c r="I1326" s="679" t="s">
        <v>22</v>
      </c>
      <c r="J1326" s="676" t="s">
        <v>5873</v>
      </c>
      <c r="K1326" s="676">
        <v>93750</v>
      </c>
      <c r="M1326" t="str">
        <f>""</f>
        <v/>
      </c>
    </row>
    <row r="1327" spans="1:13" ht="15.75">
      <c r="A1327">
        <v>2011</v>
      </c>
      <c r="B1327" s="777">
        <v>40599</v>
      </c>
      <c r="C1327" s="730">
        <v>0.64097222222222228</v>
      </c>
      <c r="D1327" s="777">
        <v>40601</v>
      </c>
      <c r="E1327" s="730">
        <v>0.75</v>
      </c>
      <c r="F1327" s="558" t="s">
        <v>2123</v>
      </c>
      <c r="G1327" s="558" t="s">
        <v>826</v>
      </c>
      <c r="H1327" s="558" t="s">
        <v>5873</v>
      </c>
      <c r="I1327" s="679" t="s">
        <v>22</v>
      </c>
      <c r="J1327" s="676" t="s">
        <v>5873</v>
      </c>
      <c r="K1327" s="676">
        <v>93000</v>
      </c>
      <c r="M1327" t="str">
        <f>""</f>
        <v/>
      </c>
    </row>
    <row r="1328" spans="1:13" ht="15.75">
      <c r="A1328">
        <v>2019</v>
      </c>
      <c r="B1328" s="777">
        <v>43795</v>
      </c>
      <c r="C1328" s="730">
        <v>0.75486111111111109</v>
      </c>
      <c r="D1328" s="777">
        <v>43796</v>
      </c>
      <c r="E1328" s="730">
        <v>0.51875000000000004</v>
      </c>
      <c r="F1328" s="558" t="s">
        <v>2945</v>
      </c>
      <c r="G1328" s="558" t="s">
        <v>124</v>
      </c>
      <c r="H1328" s="558" t="s">
        <v>3451</v>
      </c>
      <c r="I1328" s="679" t="s">
        <v>22</v>
      </c>
      <c r="J1328" s="676">
        <v>300</v>
      </c>
      <c r="K1328" s="676">
        <v>93000</v>
      </c>
      <c r="M1328" t="str">
        <f>""</f>
        <v/>
      </c>
    </row>
    <row r="1329" spans="1:13" ht="15.75">
      <c r="A1329">
        <v>2020</v>
      </c>
      <c r="B1329" s="777">
        <v>43929</v>
      </c>
      <c r="C1329" s="730">
        <v>0.91874999999999996</v>
      </c>
      <c r="D1329" s="777">
        <v>43930</v>
      </c>
      <c r="E1329" s="730">
        <v>0.31666666666666665</v>
      </c>
      <c r="F1329" s="558" t="s">
        <v>3561</v>
      </c>
      <c r="G1329" s="558" t="s">
        <v>3143</v>
      </c>
      <c r="H1329" s="558" t="s">
        <v>3451</v>
      </c>
      <c r="I1329" s="679" t="s">
        <v>22</v>
      </c>
      <c r="J1329" s="676" t="s">
        <v>5873</v>
      </c>
      <c r="K1329" s="676">
        <v>93000</v>
      </c>
      <c r="M1329" t="str">
        <f>""</f>
        <v/>
      </c>
    </row>
    <row r="1330" spans="1:13" ht="15.75">
      <c r="A1330">
        <v>2013</v>
      </c>
      <c r="B1330" s="777">
        <v>41478</v>
      </c>
      <c r="C1330" s="730">
        <v>0.98472222222222228</v>
      </c>
      <c r="D1330" s="777">
        <v>41480</v>
      </c>
      <c r="E1330" s="730">
        <v>0.1875</v>
      </c>
      <c r="F1330" s="558" t="s">
        <v>437</v>
      </c>
      <c r="G1330" s="558" t="s">
        <v>58</v>
      </c>
      <c r="H1330" s="558" t="s">
        <v>5873</v>
      </c>
      <c r="I1330" s="679" t="s">
        <v>2368</v>
      </c>
      <c r="J1330" s="676">
        <v>500</v>
      </c>
      <c r="K1330" s="676">
        <v>92748</v>
      </c>
      <c r="M1330" t="str">
        <f>""</f>
        <v/>
      </c>
    </row>
    <row r="1331" spans="1:13" ht="15.75">
      <c r="A1331">
        <v>2017</v>
      </c>
      <c r="B1331" s="777">
        <v>42856</v>
      </c>
      <c r="C1331" s="730">
        <v>0.96805555555555556</v>
      </c>
      <c r="D1331" s="777">
        <v>42856</v>
      </c>
      <c r="E1331" s="730">
        <v>0.9819444444444444</v>
      </c>
      <c r="F1331" s="558" t="s">
        <v>160</v>
      </c>
      <c r="G1331" s="558" t="s">
        <v>826</v>
      </c>
      <c r="H1331" s="558" t="s">
        <v>2753</v>
      </c>
      <c r="I1331" s="679" t="s">
        <v>22</v>
      </c>
      <c r="J1331" s="676" t="s">
        <v>5873</v>
      </c>
      <c r="K1331" s="676">
        <v>92390</v>
      </c>
      <c r="M1331" t="str">
        <f>""</f>
        <v/>
      </c>
    </row>
    <row r="1332" spans="1:13" ht="15.75">
      <c r="A1332">
        <v>2021</v>
      </c>
      <c r="B1332" s="777">
        <v>44419</v>
      </c>
      <c r="C1332" s="730">
        <v>0.8</v>
      </c>
      <c r="D1332" s="777">
        <v>44419</v>
      </c>
      <c r="E1332" s="730">
        <v>0.90902777777777777</v>
      </c>
      <c r="F1332" s="558" t="s">
        <v>2895</v>
      </c>
      <c r="G1332" s="558" t="s">
        <v>3143</v>
      </c>
      <c r="H1332" s="558" t="s">
        <v>2753</v>
      </c>
      <c r="I1332" s="679" t="s">
        <v>22</v>
      </c>
      <c r="J1332" s="676" t="s">
        <v>5873</v>
      </c>
      <c r="K1332" s="676">
        <v>92109</v>
      </c>
      <c r="M1332" t="str">
        <f>""</f>
        <v/>
      </c>
    </row>
    <row r="1333" spans="1:13" ht="15.75">
      <c r="A1333" s="728">
        <v>2010</v>
      </c>
      <c r="B1333" s="777">
        <v>40530</v>
      </c>
      <c r="C1333" s="730">
        <v>0.20833333333333334</v>
      </c>
      <c r="D1333" s="777">
        <v>40531</v>
      </c>
      <c r="E1333" s="730">
        <v>0.91666666666666663</v>
      </c>
      <c r="F1333" s="558" t="s">
        <v>2098</v>
      </c>
      <c r="G1333" s="558" t="s">
        <v>124</v>
      </c>
      <c r="H1333" s="558" t="s">
        <v>5873</v>
      </c>
      <c r="I1333" s="679" t="s">
        <v>22</v>
      </c>
      <c r="J1333" s="676">
        <v>184</v>
      </c>
      <c r="K1333" s="676">
        <v>92090</v>
      </c>
      <c r="M1333" t="str">
        <f>""</f>
        <v/>
      </c>
    </row>
    <row r="1334" spans="1:13" ht="15.75">
      <c r="A1334">
        <v>2017</v>
      </c>
      <c r="B1334" s="777">
        <v>43016</v>
      </c>
      <c r="C1334" s="730">
        <v>0.125</v>
      </c>
      <c r="D1334" s="777" t="s">
        <v>5873</v>
      </c>
      <c r="E1334" s="730" t="s">
        <v>5873</v>
      </c>
      <c r="F1334" s="558" t="s">
        <v>3117</v>
      </c>
      <c r="G1334" s="558" t="s">
        <v>63</v>
      </c>
      <c r="H1334" s="558" t="s">
        <v>2753</v>
      </c>
      <c r="I1334" s="679" t="s">
        <v>22</v>
      </c>
      <c r="J1334" s="676">
        <v>306</v>
      </c>
      <c r="K1334" s="676">
        <v>91945</v>
      </c>
      <c r="M1334" t="str">
        <f>""</f>
        <v/>
      </c>
    </row>
    <row r="1335" spans="1:13" ht="15.75">
      <c r="A1335">
        <v>2011</v>
      </c>
      <c r="B1335" s="777">
        <v>40878</v>
      </c>
      <c r="C1335" s="730">
        <v>3.125E-2</v>
      </c>
      <c r="D1335" s="777">
        <v>40884</v>
      </c>
      <c r="E1335" s="730">
        <v>0.875</v>
      </c>
      <c r="F1335" s="558" t="s">
        <v>703</v>
      </c>
      <c r="G1335" s="558" t="s">
        <v>124</v>
      </c>
      <c r="H1335" s="558" t="s">
        <v>5873</v>
      </c>
      <c r="I1335" s="679" t="s">
        <v>22</v>
      </c>
      <c r="J1335" s="676" t="s">
        <v>5873</v>
      </c>
      <c r="K1335" s="676">
        <v>91690</v>
      </c>
      <c r="M1335" t="str">
        <f>""</f>
        <v/>
      </c>
    </row>
    <row r="1336" spans="1:13" ht="15.75">
      <c r="A1336">
        <v>2021</v>
      </c>
      <c r="B1336" s="777">
        <v>44437</v>
      </c>
      <c r="C1336" s="730">
        <v>0.75</v>
      </c>
      <c r="D1336" s="777">
        <v>44442</v>
      </c>
      <c r="E1336" s="730">
        <v>0.57013888888888886</v>
      </c>
      <c r="F1336" s="558" t="s">
        <v>2866</v>
      </c>
      <c r="G1336" s="558" t="s">
        <v>63</v>
      </c>
      <c r="H1336" s="558" t="s">
        <v>2753</v>
      </c>
      <c r="I1336" s="679" t="s">
        <v>22</v>
      </c>
      <c r="J1336" s="676" t="s">
        <v>5873</v>
      </c>
      <c r="K1336" s="676">
        <v>91315</v>
      </c>
      <c r="M1336" t="str">
        <f>""</f>
        <v/>
      </c>
    </row>
    <row r="1337" spans="1:13" ht="15.75">
      <c r="A1337">
        <v>2022</v>
      </c>
      <c r="B1337" s="777">
        <v>44776</v>
      </c>
      <c r="C1337" s="730">
        <v>0.70833333333333337</v>
      </c>
      <c r="D1337" s="777">
        <v>44776</v>
      </c>
      <c r="E1337" s="730">
        <v>0.85416666666666663</v>
      </c>
      <c r="F1337" s="558" t="s">
        <v>5463</v>
      </c>
      <c r="G1337" s="558" t="s">
        <v>3143</v>
      </c>
      <c r="H1337" s="558" t="s">
        <v>2753</v>
      </c>
      <c r="I1337" s="679" t="s">
        <v>22</v>
      </c>
      <c r="J1337" s="676" t="s">
        <v>5873</v>
      </c>
      <c r="K1337" s="676">
        <v>91264</v>
      </c>
      <c r="M1337" t="str">
        <f>""</f>
        <v/>
      </c>
    </row>
    <row r="1338" spans="1:13" ht="15.75">
      <c r="A1338">
        <v>2016</v>
      </c>
      <c r="B1338" s="777">
        <v>42538</v>
      </c>
      <c r="C1338" s="730">
        <v>0.65277777777777779</v>
      </c>
      <c r="D1338" s="777">
        <v>42539</v>
      </c>
      <c r="E1338" s="730">
        <v>0.35694444444444445</v>
      </c>
      <c r="F1338" s="558" t="s">
        <v>2871</v>
      </c>
      <c r="G1338" s="558" t="s">
        <v>63</v>
      </c>
      <c r="H1338" s="558" t="s">
        <v>2753</v>
      </c>
      <c r="I1338" s="679" t="s">
        <v>2828</v>
      </c>
      <c r="J1338" s="676">
        <v>304</v>
      </c>
      <c r="K1338" s="676">
        <v>91260</v>
      </c>
      <c r="M1338" t="str">
        <f>""</f>
        <v/>
      </c>
    </row>
    <row r="1339" spans="1:13" ht="15.75">
      <c r="A1339">
        <v>2022</v>
      </c>
      <c r="B1339" s="777">
        <v>44720</v>
      </c>
      <c r="C1339" s="730">
        <v>4.1666666666666664E-2</v>
      </c>
      <c r="D1339" s="777">
        <v>44720</v>
      </c>
      <c r="E1339" s="730">
        <v>0.25</v>
      </c>
      <c r="F1339" s="558" t="s">
        <v>5372</v>
      </c>
      <c r="G1339" s="558" t="s">
        <v>5055</v>
      </c>
      <c r="H1339" s="558" t="s">
        <v>5373</v>
      </c>
      <c r="I1339" s="679" t="s">
        <v>2990</v>
      </c>
      <c r="J1339" s="676" t="s">
        <v>5873</v>
      </c>
      <c r="K1339" s="676">
        <v>91188</v>
      </c>
      <c r="M1339" t="str">
        <f>""</f>
        <v/>
      </c>
    </row>
    <row r="1340" spans="1:13" ht="15.75">
      <c r="A1340">
        <v>2022</v>
      </c>
      <c r="B1340" s="777">
        <v>44729</v>
      </c>
      <c r="C1340" s="730">
        <v>0.73402777777777772</v>
      </c>
      <c r="D1340" s="777">
        <v>44730</v>
      </c>
      <c r="E1340" s="730">
        <v>3.7499999999999999E-2</v>
      </c>
      <c r="F1340" s="558" t="s">
        <v>2832</v>
      </c>
      <c r="G1340" s="558" t="s">
        <v>63</v>
      </c>
      <c r="H1340" s="558" t="s">
        <v>5373</v>
      </c>
      <c r="I1340" s="679" t="s">
        <v>22</v>
      </c>
      <c r="J1340" s="676" t="s">
        <v>5873</v>
      </c>
      <c r="K1340" s="676">
        <v>91056</v>
      </c>
      <c r="M1340" t="str">
        <f>""</f>
        <v/>
      </c>
    </row>
    <row r="1341" spans="1:13" ht="15.75">
      <c r="A1341">
        <v>2019</v>
      </c>
      <c r="B1341" s="777">
        <v>43471</v>
      </c>
      <c r="C1341" s="730">
        <v>0.74722222222222223</v>
      </c>
      <c r="D1341" s="777">
        <v>43471</v>
      </c>
      <c r="E1341" s="730">
        <v>0.91111111111111109</v>
      </c>
      <c r="F1341" s="558" t="s">
        <v>3616</v>
      </c>
      <c r="G1341" s="558" t="s">
        <v>124</v>
      </c>
      <c r="H1341" s="558" t="s">
        <v>3451</v>
      </c>
      <c r="I1341" s="679" t="s">
        <v>22</v>
      </c>
      <c r="J1341" s="676">
        <v>300</v>
      </c>
      <c r="K1341" s="676">
        <v>90382</v>
      </c>
      <c r="M1341" t="str">
        <f>""</f>
        <v/>
      </c>
    </row>
    <row r="1342" spans="1:13" ht="15.75">
      <c r="A1342">
        <v>2023</v>
      </c>
      <c r="B1342" s="777">
        <v>45127</v>
      </c>
      <c r="C1342" s="532">
        <v>0.64583333333333337</v>
      </c>
      <c r="D1342" s="678">
        <v>45128</v>
      </c>
      <c r="E1342" s="532">
        <v>0.5</v>
      </c>
      <c r="F1342" t="s">
        <v>3307</v>
      </c>
      <c r="G1342" t="s">
        <v>3143</v>
      </c>
      <c r="H1342" t="s">
        <v>3451</v>
      </c>
      <c r="I1342" s="677" t="s">
        <v>5883</v>
      </c>
      <c r="J1342" s="785" t="s">
        <v>5873</v>
      </c>
      <c r="K1342" s="783">
        <v>90354</v>
      </c>
      <c r="M1342" t="str">
        <f>""</f>
        <v/>
      </c>
    </row>
    <row r="1343" spans="1:13" ht="15.75">
      <c r="A1343">
        <v>2023</v>
      </c>
      <c r="B1343" s="777" t="s">
        <v>5873</v>
      </c>
      <c r="C1343" s="532">
        <v>0.64583333333333337</v>
      </c>
      <c r="D1343" s="678">
        <v>45128</v>
      </c>
      <c r="E1343" s="532">
        <v>0.5</v>
      </c>
      <c r="F1343" t="s">
        <v>3307</v>
      </c>
      <c r="G1343" t="s">
        <v>3143</v>
      </c>
      <c r="H1343" t="s">
        <v>3451</v>
      </c>
      <c r="I1343" s="677" t="s">
        <v>5883</v>
      </c>
      <c r="J1343" s="785" t="s">
        <v>5873</v>
      </c>
      <c r="K1343" s="783">
        <v>90354</v>
      </c>
      <c r="M1343" t="str">
        <f>""</f>
        <v/>
      </c>
    </row>
    <row r="1344" spans="1:13" ht="15.75">
      <c r="A1344">
        <v>2013</v>
      </c>
      <c r="B1344" s="777">
        <v>41438</v>
      </c>
      <c r="C1344" s="730">
        <v>0.63888888888888884</v>
      </c>
      <c r="D1344" s="777">
        <v>41439</v>
      </c>
      <c r="E1344" s="730">
        <v>0.88194444444444442</v>
      </c>
      <c r="F1344" s="558" t="s">
        <v>2550</v>
      </c>
      <c r="G1344" s="558" t="s">
        <v>2462</v>
      </c>
      <c r="H1344" s="558" t="s">
        <v>5873</v>
      </c>
      <c r="I1344" s="679" t="s">
        <v>2368</v>
      </c>
      <c r="J1344" s="676" t="s">
        <v>5873</v>
      </c>
      <c r="K1344" s="676">
        <v>90247</v>
      </c>
      <c r="M1344" t="str">
        <f>""</f>
        <v/>
      </c>
    </row>
    <row r="1345" spans="1:13" ht="15.75">
      <c r="A1345">
        <v>2011</v>
      </c>
      <c r="B1345" s="777">
        <v>40720</v>
      </c>
      <c r="C1345" s="730">
        <v>0.75</v>
      </c>
      <c r="D1345" s="777">
        <v>40721</v>
      </c>
      <c r="E1345" s="730">
        <v>0.54166666666666663</v>
      </c>
      <c r="F1345" s="558" t="s">
        <v>2231</v>
      </c>
      <c r="G1345" s="558" t="s">
        <v>63</v>
      </c>
      <c r="H1345" s="558" t="s">
        <v>5873</v>
      </c>
      <c r="I1345" s="679" t="s">
        <v>106</v>
      </c>
      <c r="J1345" s="676">
        <v>300</v>
      </c>
      <c r="K1345" s="676">
        <v>90160</v>
      </c>
      <c r="M1345" t="str">
        <f>""</f>
        <v/>
      </c>
    </row>
    <row r="1346" spans="1:13" ht="15.75">
      <c r="A1346">
        <v>2012</v>
      </c>
      <c r="B1346" s="777">
        <v>40958</v>
      </c>
      <c r="C1346" s="730">
        <v>0.70833333333333337</v>
      </c>
      <c r="D1346" s="777">
        <v>40960</v>
      </c>
      <c r="E1346" s="730">
        <v>0.31458333333333333</v>
      </c>
      <c r="F1346" s="558" t="s">
        <v>2356</v>
      </c>
      <c r="G1346" s="558" t="s">
        <v>63</v>
      </c>
      <c r="H1346" s="558" t="s">
        <v>5873</v>
      </c>
      <c r="I1346" s="679" t="s">
        <v>2349</v>
      </c>
      <c r="J1346" s="676" t="s">
        <v>5873</v>
      </c>
      <c r="K1346" s="676">
        <v>90000</v>
      </c>
      <c r="M1346" t="str">
        <f>""</f>
        <v/>
      </c>
    </row>
    <row r="1347" spans="1:13" ht="15.75">
      <c r="A1347">
        <v>2016</v>
      </c>
      <c r="B1347" s="777">
        <v>42615</v>
      </c>
      <c r="C1347" s="730">
        <v>0.16666666666666666</v>
      </c>
      <c r="D1347" s="777">
        <v>42615</v>
      </c>
      <c r="E1347" s="730">
        <v>0.66666666666666663</v>
      </c>
      <c r="F1347" s="558" t="s">
        <v>2903</v>
      </c>
      <c r="G1347" s="558" t="s">
        <v>301</v>
      </c>
      <c r="H1347" s="558" t="s">
        <v>2753</v>
      </c>
      <c r="I1347" s="679" t="s">
        <v>22</v>
      </c>
      <c r="J1347" s="676">
        <v>225</v>
      </c>
      <c r="K1347" s="676">
        <v>90000</v>
      </c>
      <c r="M1347" t="str">
        <f>""</f>
        <v/>
      </c>
    </row>
    <row r="1348" spans="1:13" ht="15.75">
      <c r="A1348">
        <v>2018</v>
      </c>
      <c r="B1348" s="777">
        <v>43161</v>
      </c>
      <c r="C1348" s="730">
        <v>0.29166666666666669</v>
      </c>
      <c r="D1348" s="777" t="s">
        <v>5873</v>
      </c>
      <c r="E1348" s="730" t="s">
        <v>5873</v>
      </c>
      <c r="F1348" s="558" t="s">
        <v>3250</v>
      </c>
      <c r="G1348" s="558" t="s">
        <v>61</v>
      </c>
      <c r="H1348" s="558" t="s">
        <v>2753</v>
      </c>
      <c r="I1348" s="679" t="s">
        <v>22</v>
      </c>
      <c r="J1348" s="676" t="s">
        <v>5873</v>
      </c>
      <c r="K1348" s="676">
        <v>90000</v>
      </c>
      <c r="M1348" t="str">
        <f>""</f>
        <v/>
      </c>
    </row>
    <row r="1349" spans="1:13" ht="15.75">
      <c r="A1349">
        <v>2018</v>
      </c>
      <c r="B1349" s="777">
        <v>43224</v>
      </c>
      <c r="C1349" s="730">
        <v>0.58333333333333337</v>
      </c>
      <c r="D1349" s="777">
        <v>43225</v>
      </c>
      <c r="E1349" s="730">
        <v>0.39583333333333331</v>
      </c>
      <c r="F1349" s="558" t="s">
        <v>3313</v>
      </c>
      <c r="G1349" s="558" t="s">
        <v>3143</v>
      </c>
      <c r="H1349" s="558" t="s">
        <v>2753</v>
      </c>
      <c r="I1349" s="679" t="s">
        <v>22</v>
      </c>
      <c r="J1349" s="676" t="s">
        <v>5873</v>
      </c>
      <c r="K1349" s="676">
        <v>90000</v>
      </c>
      <c r="M1349" t="str">
        <f>""</f>
        <v/>
      </c>
    </row>
    <row r="1350" spans="1:13" ht="15.75">
      <c r="A1350">
        <v>2020</v>
      </c>
      <c r="B1350" s="777">
        <v>44133</v>
      </c>
      <c r="C1350" s="730">
        <v>8.3333333333333329E-2</v>
      </c>
      <c r="D1350" s="777">
        <v>44135</v>
      </c>
      <c r="E1350" s="730">
        <v>0.375</v>
      </c>
      <c r="F1350" s="558" t="s">
        <v>4571</v>
      </c>
      <c r="G1350" s="558" t="s">
        <v>63</v>
      </c>
      <c r="H1350" s="558" t="s">
        <v>3451</v>
      </c>
      <c r="I1350" s="679" t="s">
        <v>22</v>
      </c>
      <c r="J1350" s="676">
        <v>0</v>
      </c>
      <c r="K1350" s="676">
        <v>90000</v>
      </c>
      <c r="M1350" t="str">
        <f>""</f>
        <v/>
      </c>
    </row>
    <row r="1351" spans="1:13" ht="15.75">
      <c r="A1351">
        <v>2021</v>
      </c>
      <c r="B1351" s="777">
        <v>44384</v>
      </c>
      <c r="C1351" s="730">
        <v>0.64583333333333337</v>
      </c>
      <c r="D1351" s="777" t="s">
        <v>5873</v>
      </c>
      <c r="E1351" s="730" t="s">
        <v>5873</v>
      </c>
      <c r="F1351" s="558" t="s">
        <v>4909</v>
      </c>
      <c r="G1351" s="558" t="s">
        <v>3143</v>
      </c>
      <c r="H1351" s="558" t="s">
        <v>2753</v>
      </c>
      <c r="I1351" s="679" t="s">
        <v>22</v>
      </c>
      <c r="J1351" s="676" t="s">
        <v>5873</v>
      </c>
      <c r="K1351" s="676">
        <v>90000</v>
      </c>
      <c r="M1351" t="str">
        <f>""</f>
        <v/>
      </c>
    </row>
    <row r="1352" spans="1:13" ht="15.75">
      <c r="A1352">
        <v>2021</v>
      </c>
      <c r="B1352" s="777">
        <v>44515</v>
      </c>
      <c r="C1352" s="730">
        <v>0.45833333333333331</v>
      </c>
      <c r="D1352" s="777">
        <v>44517</v>
      </c>
      <c r="E1352" s="730">
        <v>0.25</v>
      </c>
      <c r="F1352" s="558" t="s">
        <v>5095</v>
      </c>
      <c r="G1352" s="558" t="s">
        <v>124</v>
      </c>
      <c r="H1352" s="558" t="s">
        <v>2753</v>
      </c>
      <c r="I1352" s="679" t="s">
        <v>22</v>
      </c>
      <c r="J1352" s="676" t="s">
        <v>5873</v>
      </c>
      <c r="K1352" s="676">
        <v>90000</v>
      </c>
      <c r="M1352" t="str">
        <f>""</f>
        <v/>
      </c>
    </row>
    <row r="1353" spans="1:13" ht="15.75">
      <c r="A1353">
        <v>2013</v>
      </c>
      <c r="B1353" s="777">
        <v>41599</v>
      </c>
      <c r="C1353" s="730">
        <v>0.82291666666666663</v>
      </c>
      <c r="D1353" s="777">
        <v>41600</v>
      </c>
      <c r="E1353" s="730">
        <v>0.1388888888888889</v>
      </c>
      <c r="F1353" s="558" t="s">
        <v>141</v>
      </c>
      <c r="G1353" s="558" t="s">
        <v>124</v>
      </c>
      <c r="H1353" s="558" t="s">
        <v>5873</v>
      </c>
      <c r="I1353" s="679" t="s">
        <v>2491</v>
      </c>
      <c r="J1353" s="676">
        <v>150</v>
      </c>
      <c r="K1353" s="676">
        <v>89500</v>
      </c>
      <c r="M1353" t="str">
        <f>""</f>
        <v/>
      </c>
    </row>
    <row r="1354" spans="1:13" ht="15.75">
      <c r="A1354">
        <v>2020</v>
      </c>
      <c r="B1354" s="777">
        <v>43867</v>
      </c>
      <c r="C1354" s="730">
        <v>0.5625</v>
      </c>
      <c r="D1354" s="777">
        <v>43868</v>
      </c>
      <c r="E1354" s="730">
        <v>0.83888888888888891</v>
      </c>
      <c r="F1354" s="558" t="s">
        <v>2832</v>
      </c>
      <c r="G1354" s="558" t="s">
        <v>63</v>
      </c>
      <c r="H1354" s="558" t="s">
        <v>3451</v>
      </c>
      <c r="I1354" s="679" t="s">
        <v>2990</v>
      </c>
      <c r="J1354" s="676" t="s">
        <v>5873</v>
      </c>
      <c r="K1354" s="676">
        <v>89500</v>
      </c>
      <c r="M1354" t="str">
        <f>""</f>
        <v/>
      </c>
    </row>
    <row r="1355" spans="1:13" ht="15.75">
      <c r="A1355">
        <v>2017</v>
      </c>
      <c r="B1355" s="777">
        <v>43044</v>
      </c>
      <c r="C1355" s="730">
        <v>0.81597222222222221</v>
      </c>
      <c r="D1355" s="777">
        <v>43044</v>
      </c>
      <c r="E1355" s="730">
        <v>0.96458333333333335</v>
      </c>
      <c r="F1355" s="558" t="s">
        <v>2895</v>
      </c>
      <c r="G1355" s="558" t="s">
        <v>3143</v>
      </c>
      <c r="H1355" s="558" t="s">
        <v>2753</v>
      </c>
      <c r="I1355" s="679" t="s">
        <v>22</v>
      </c>
      <c r="J1355" s="676" t="s">
        <v>5873</v>
      </c>
      <c r="K1355" s="676">
        <v>89216</v>
      </c>
      <c r="M1355" t="str">
        <f>""</f>
        <v/>
      </c>
    </row>
    <row r="1356" spans="1:13" ht="15.75">
      <c r="A1356">
        <v>2014</v>
      </c>
      <c r="B1356" s="777">
        <v>41759</v>
      </c>
      <c r="C1356" s="730">
        <v>0.15972222222222221</v>
      </c>
      <c r="D1356" s="777">
        <v>41759</v>
      </c>
      <c r="E1356" s="730">
        <v>0.58333333333333337</v>
      </c>
      <c r="F1356" s="558" t="s">
        <v>2688</v>
      </c>
      <c r="G1356" s="558" t="s">
        <v>63</v>
      </c>
      <c r="H1356" s="558" t="s">
        <v>5873</v>
      </c>
      <c r="I1356" s="679" t="s">
        <v>2368</v>
      </c>
      <c r="J1356" s="676">
        <v>296</v>
      </c>
      <c r="K1356" s="676">
        <v>89000</v>
      </c>
      <c r="M1356" t="str">
        <f>""</f>
        <v/>
      </c>
    </row>
    <row r="1357" spans="1:13" ht="15.75">
      <c r="A1357">
        <v>2015</v>
      </c>
      <c r="B1357" s="777">
        <v>42112</v>
      </c>
      <c r="C1357" s="730">
        <v>0.875</v>
      </c>
      <c r="D1357" s="777">
        <v>42115</v>
      </c>
      <c r="E1357" s="730">
        <v>0.16666666666666666</v>
      </c>
      <c r="F1357" s="558" t="s">
        <v>2771</v>
      </c>
      <c r="G1357" s="558" t="s">
        <v>1352</v>
      </c>
      <c r="H1357" s="558" t="s">
        <v>2753</v>
      </c>
      <c r="I1357" s="679" t="s">
        <v>22</v>
      </c>
      <c r="J1357" s="676" t="s">
        <v>5873</v>
      </c>
      <c r="K1357" s="676">
        <v>89000</v>
      </c>
      <c r="M1357" t="str">
        <f>""</f>
        <v/>
      </c>
    </row>
    <row r="1358" spans="1:13" ht="15.75">
      <c r="A1358">
        <v>2015</v>
      </c>
      <c r="B1358" s="777">
        <v>42325</v>
      </c>
      <c r="C1358" s="730">
        <v>0.375</v>
      </c>
      <c r="D1358" s="777" t="s">
        <v>5873</v>
      </c>
      <c r="E1358" s="730" t="s">
        <v>5873</v>
      </c>
      <c r="F1358" s="558" t="s">
        <v>2813</v>
      </c>
      <c r="G1358" s="558" t="s">
        <v>124</v>
      </c>
      <c r="H1358" s="558" t="s">
        <v>2753</v>
      </c>
      <c r="I1358" s="679" t="s">
        <v>22</v>
      </c>
      <c r="J1358" s="676">
        <v>900</v>
      </c>
      <c r="K1358" s="676">
        <v>89000</v>
      </c>
      <c r="M1358" t="str">
        <f>""</f>
        <v/>
      </c>
    </row>
    <row r="1359" spans="1:13" ht="15.75">
      <c r="A1359">
        <v>2013</v>
      </c>
      <c r="B1359" s="777">
        <v>41617</v>
      </c>
      <c r="C1359" s="730">
        <v>0.28749999999999998</v>
      </c>
      <c r="D1359" s="777">
        <v>41617</v>
      </c>
      <c r="E1359" s="730">
        <v>0.59861111111111109</v>
      </c>
      <c r="F1359" s="558" t="s">
        <v>2635</v>
      </c>
      <c r="G1359" s="558" t="s">
        <v>63</v>
      </c>
      <c r="H1359" s="558" t="s">
        <v>5873</v>
      </c>
      <c r="I1359" s="679" t="s">
        <v>2634</v>
      </c>
      <c r="J1359" s="676">
        <v>293</v>
      </c>
      <c r="K1359" s="676">
        <v>88000</v>
      </c>
      <c r="M1359" t="str">
        <f>""</f>
        <v/>
      </c>
    </row>
    <row r="1360" spans="1:13" ht="15.75">
      <c r="A1360">
        <v>2017</v>
      </c>
      <c r="B1360" s="777">
        <v>42846</v>
      </c>
      <c r="C1360" s="730">
        <v>0.37916666666666665</v>
      </c>
      <c r="D1360" s="777">
        <v>42846</v>
      </c>
      <c r="E1360" s="730">
        <v>0.73958333333333337</v>
      </c>
      <c r="F1360" s="558" t="s">
        <v>3014</v>
      </c>
      <c r="G1360" s="558" t="s">
        <v>124</v>
      </c>
      <c r="H1360" s="558" t="s">
        <v>2753</v>
      </c>
      <c r="I1360" s="679" t="s">
        <v>2764</v>
      </c>
      <c r="J1360" s="676">
        <v>130</v>
      </c>
      <c r="K1360" s="676">
        <v>88000</v>
      </c>
      <c r="M1360" t="str">
        <f>""</f>
        <v/>
      </c>
    </row>
    <row r="1361" spans="1:13" ht="15.75">
      <c r="A1361">
        <v>2017</v>
      </c>
      <c r="B1361" s="777">
        <v>43076</v>
      </c>
      <c r="C1361" s="730">
        <v>0.83333333333333337</v>
      </c>
      <c r="D1361" s="777">
        <v>43077</v>
      </c>
      <c r="E1361" s="730">
        <v>0.70833333333333337</v>
      </c>
      <c r="F1361" s="558" t="s">
        <v>3162</v>
      </c>
      <c r="G1361" s="558" t="s">
        <v>1352</v>
      </c>
      <c r="H1361" s="558" t="s">
        <v>2753</v>
      </c>
      <c r="I1361" s="679" t="s">
        <v>22</v>
      </c>
      <c r="J1361" s="676" t="s">
        <v>5873</v>
      </c>
      <c r="K1361" s="676">
        <v>88000</v>
      </c>
      <c r="M1361" t="str">
        <f>""</f>
        <v/>
      </c>
    </row>
    <row r="1362" spans="1:13" ht="15.75">
      <c r="A1362">
        <v>2018</v>
      </c>
      <c r="B1362" s="777">
        <v>43301</v>
      </c>
      <c r="C1362" s="730">
        <v>0.67986111111111114</v>
      </c>
      <c r="D1362" s="777">
        <v>43301</v>
      </c>
      <c r="E1362" s="730">
        <v>0.7</v>
      </c>
      <c r="F1362" s="558" t="s">
        <v>3354</v>
      </c>
      <c r="G1362" s="558" t="s">
        <v>63</v>
      </c>
      <c r="H1362" s="558" t="s">
        <v>2753</v>
      </c>
      <c r="I1362" s="679" t="s">
        <v>22</v>
      </c>
      <c r="J1362" s="676" t="s">
        <v>5873</v>
      </c>
      <c r="K1362" s="676">
        <v>87833</v>
      </c>
      <c r="M1362" t="str">
        <f>""</f>
        <v/>
      </c>
    </row>
    <row r="1363" spans="1:13" ht="15.75">
      <c r="A1363">
        <v>2022</v>
      </c>
      <c r="B1363" s="777">
        <v>44892</v>
      </c>
      <c r="C1363" s="730">
        <v>0.72777777777777775</v>
      </c>
      <c r="D1363" s="777">
        <v>44892</v>
      </c>
      <c r="E1363" s="730">
        <v>0.99861111111111112</v>
      </c>
      <c r="F1363" s="558" t="s">
        <v>5605</v>
      </c>
      <c r="G1363" s="558" t="s">
        <v>3143</v>
      </c>
      <c r="H1363" s="558" t="s">
        <v>2753</v>
      </c>
      <c r="I1363" s="679" t="s">
        <v>2483</v>
      </c>
      <c r="J1363" s="676">
        <v>190</v>
      </c>
      <c r="K1363" s="676">
        <v>87500</v>
      </c>
      <c r="M1363" t="str">
        <f>""</f>
        <v/>
      </c>
    </row>
    <row r="1364" spans="1:13" ht="15.75">
      <c r="A1364">
        <v>2011</v>
      </c>
      <c r="B1364" s="777">
        <v>40633</v>
      </c>
      <c r="C1364" s="730">
        <v>0.47916666666666669</v>
      </c>
      <c r="D1364" s="777">
        <v>40633</v>
      </c>
      <c r="E1364" s="730">
        <v>0.85416666666666663</v>
      </c>
      <c r="F1364" s="558" t="s">
        <v>2162</v>
      </c>
      <c r="G1364" s="558" t="s">
        <v>301</v>
      </c>
      <c r="H1364" s="558" t="s">
        <v>5873</v>
      </c>
      <c r="I1364" s="679" t="s">
        <v>22</v>
      </c>
      <c r="J1364" s="676">
        <v>206</v>
      </c>
      <c r="K1364" s="676">
        <v>87000</v>
      </c>
      <c r="M1364" t="str">
        <f>""</f>
        <v/>
      </c>
    </row>
    <row r="1365" spans="1:13" ht="15.75">
      <c r="A1365">
        <v>2017</v>
      </c>
      <c r="B1365" s="777">
        <v>42745</v>
      </c>
      <c r="C1365" s="730">
        <v>0.8125</v>
      </c>
      <c r="D1365" s="777">
        <v>42748</v>
      </c>
      <c r="E1365" s="730">
        <v>0.60416666666666663</v>
      </c>
      <c r="F1365" s="558" t="s">
        <v>18</v>
      </c>
      <c r="G1365" s="558" t="s">
        <v>124</v>
      </c>
      <c r="H1365" s="558" t="s">
        <v>2753</v>
      </c>
      <c r="I1365" s="679" t="s">
        <v>22</v>
      </c>
      <c r="J1365" s="676" t="s">
        <v>5873</v>
      </c>
      <c r="K1365" s="676">
        <v>87000</v>
      </c>
      <c r="M1365" t="str">
        <f>""</f>
        <v/>
      </c>
    </row>
    <row r="1366" spans="1:13" ht="15.75">
      <c r="A1366">
        <v>2020</v>
      </c>
      <c r="B1366" s="777">
        <v>43868</v>
      </c>
      <c r="C1366" s="730">
        <v>0.36666666666666664</v>
      </c>
      <c r="D1366" s="777" t="s">
        <v>5873</v>
      </c>
      <c r="E1366" s="730" t="s">
        <v>5873</v>
      </c>
      <c r="F1366" s="558" t="s">
        <v>4112</v>
      </c>
      <c r="G1366" s="558" t="s">
        <v>63</v>
      </c>
      <c r="H1366" s="558" t="s">
        <v>3451</v>
      </c>
      <c r="I1366" s="679" t="s">
        <v>22</v>
      </c>
      <c r="J1366" s="676" t="s">
        <v>5873</v>
      </c>
      <c r="K1366" s="676">
        <v>87000</v>
      </c>
      <c r="M1366" t="str">
        <f>""</f>
        <v/>
      </c>
    </row>
    <row r="1367" spans="1:13" ht="15.75">
      <c r="A1367">
        <v>2020</v>
      </c>
      <c r="B1367" s="777">
        <v>43985</v>
      </c>
      <c r="C1367" s="730">
        <v>0.54166666666666663</v>
      </c>
      <c r="D1367" s="777">
        <v>43988</v>
      </c>
      <c r="E1367" s="730">
        <v>0.6875</v>
      </c>
      <c r="F1367" s="558" t="s">
        <v>2833</v>
      </c>
      <c r="G1367" s="558" t="s">
        <v>3143</v>
      </c>
      <c r="H1367" s="558" t="s">
        <v>3451</v>
      </c>
      <c r="I1367" s="679" t="s">
        <v>22</v>
      </c>
      <c r="J1367" s="676">
        <v>80</v>
      </c>
      <c r="K1367" s="676">
        <v>87000</v>
      </c>
      <c r="M1367" t="str">
        <f>""</f>
        <v/>
      </c>
    </row>
    <row r="1368" spans="1:13" ht="15.75">
      <c r="A1368">
        <v>2021</v>
      </c>
      <c r="B1368" s="777">
        <v>44456</v>
      </c>
      <c r="C1368" s="730">
        <v>0.95833333333333337</v>
      </c>
      <c r="D1368" s="777">
        <v>44458</v>
      </c>
      <c r="E1368" s="730">
        <v>0.5</v>
      </c>
      <c r="F1368" s="558" t="s">
        <v>5030</v>
      </c>
      <c r="G1368" s="558" t="s">
        <v>124</v>
      </c>
      <c r="H1368" s="558" t="s">
        <v>2753</v>
      </c>
      <c r="I1368" s="679" t="s">
        <v>2990</v>
      </c>
      <c r="J1368" s="676" t="s">
        <v>5873</v>
      </c>
      <c r="K1368" s="676">
        <v>87000</v>
      </c>
      <c r="M1368" t="str">
        <f>""</f>
        <v/>
      </c>
    </row>
    <row r="1369" spans="1:13" ht="15.75">
      <c r="A1369">
        <v>2013</v>
      </c>
      <c r="B1369" s="777">
        <v>41449</v>
      </c>
      <c r="C1369" s="730">
        <v>0.8125</v>
      </c>
      <c r="D1369" s="777">
        <v>41451</v>
      </c>
      <c r="E1369" s="730">
        <v>0.70833333333333337</v>
      </c>
      <c r="F1369" s="558" t="s">
        <v>1470</v>
      </c>
      <c r="G1369" s="558" t="s">
        <v>826</v>
      </c>
      <c r="H1369" s="558" t="s">
        <v>5873</v>
      </c>
      <c r="I1369" s="679" t="s">
        <v>2368</v>
      </c>
      <c r="J1369" s="676" t="s">
        <v>5873</v>
      </c>
      <c r="K1369" s="676">
        <v>86615</v>
      </c>
      <c r="M1369" t="str">
        <f>""</f>
        <v/>
      </c>
    </row>
    <row r="1370" spans="1:13" ht="15.75">
      <c r="A1370">
        <v>2015</v>
      </c>
      <c r="B1370" s="777">
        <v>42338</v>
      </c>
      <c r="C1370" s="730">
        <v>0.26250000000000001</v>
      </c>
      <c r="D1370" s="777">
        <v>42338</v>
      </c>
      <c r="E1370" s="730">
        <v>0.88749999999999996</v>
      </c>
      <c r="F1370" s="558" t="s">
        <v>2271</v>
      </c>
      <c r="G1370" s="558" t="s">
        <v>5873</v>
      </c>
      <c r="H1370" s="558" t="s">
        <v>2622</v>
      </c>
      <c r="I1370" s="679" t="s">
        <v>2764</v>
      </c>
      <c r="J1370" s="676">
        <v>100</v>
      </c>
      <c r="K1370" s="676">
        <v>86559</v>
      </c>
      <c r="M1370" t="str">
        <f>""</f>
        <v/>
      </c>
    </row>
    <row r="1371" spans="1:13" ht="15.75">
      <c r="A1371">
        <v>2018</v>
      </c>
      <c r="B1371" s="777">
        <v>43160</v>
      </c>
      <c r="C1371" s="730">
        <v>0.9145833333333333</v>
      </c>
      <c r="D1371" s="777">
        <v>43161</v>
      </c>
      <c r="E1371" s="730">
        <v>0.42638888888888887</v>
      </c>
      <c r="F1371" s="558" t="s">
        <v>2895</v>
      </c>
      <c r="G1371" s="558" t="s">
        <v>3143</v>
      </c>
      <c r="H1371" s="558" t="s">
        <v>2753</v>
      </c>
      <c r="I1371" s="679" t="s">
        <v>22</v>
      </c>
      <c r="J1371" s="676" t="s">
        <v>5873</v>
      </c>
      <c r="K1371" s="676">
        <v>86501</v>
      </c>
      <c r="M1371" t="str">
        <f>""</f>
        <v/>
      </c>
    </row>
    <row r="1372" spans="1:13" ht="15.75">
      <c r="A1372">
        <v>2012</v>
      </c>
      <c r="B1372" s="777">
        <v>41090</v>
      </c>
      <c r="C1372" s="730">
        <v>4.1666666666666664E-2</v>
      </c>
      <c r="D1372" s="777">
        <v>41093</v>
      </c>
      <c r="E1372" s="730">
        <v>4.1666666666666664E-2</v>
      </c>
      <c r="F1372" s="558" t="s">
        <v>2277</v>
      </c>
      <c r="G1372" s="558" t="s">
        <v>826</v>
      </c>
      <c r="H1372" s="558" t="s">
        <v>5873</v>
      </c>
      <c r="I1372" s="679" t="s">
        <v>2368</v>
      </c>
      <c r="J1372" s="676">
        <v>0</v>
      </c>
      <c r="K1372" s="676">
        <v>86390</v>
      </c>
      <c r="M1372" t="str">
        <f>""</f>
        <v/>
      </c>
    </row>
    <row r="1373" spans="1:13" ht="15.75">
      <c r="A1373">
        <v>2019</v>
      </c>
      <c r="B1373" s="777">
        <v>43695</v>
      </c>
      <c r="C1373" s="730">
        <v>0.69930555555555551</v>
      </c>
      <c r="D1373" s="777">
        <v>43330</v>
      </c>
      <c r="E1373" s="730">
        <v>0.95833333333333337</v>
      </c>
      <c r="F1373" s="558" t="s">
        <v>2919</v>
      </c>
      <c r="G1373" s="558" t="s">
        <v>1352</v>
      </c>
      <c r="H1373" s="558" t="s">
        <v>3379</v>
      </c>
      <c r="I1373" s="679" t="s">
        <v>2490</v>
      </c>
      <c r="J1373" s="676">
        <v>752</v>
      </c>
      <c r="K1373" s="676">
        <v>86373</v>
      </c>
      <c r="M1373" t="str">
        <f>""</f>
        <v/>
      </c>
    </row>
    <row r="1374" spans="1:13" ht="15.75">
      <c r="A1374">
        <v>2019</v>
      </c>
      <c r="B1374" s="777">
        <v>43695</v>
      </c>
      <c r="C1374" s="730">
        <v>0.66597222222222219</v>
      </c>
      <c r="D1374" s="777">
        <v>43695</v>
      </c>
      <c r="E1374" s="730">
        <v>0.95833333333333337</v>
      </c>
      <c r="F1374" s="558" t="s">
        <v>3767</v>
      </c>
      <c r="G1374" s="558" t="s">
        <v>3347</v>
      </c>
      <c r="H1374" s="558" t="s">
        <v>3750</v>
      </c>
      <c r="I1374" s="679" t="s">
        <v>2483</v>
      </c>
      <c r="J1374" s="676">
        <v>271</v>
      </c>
      <c r="K1374" s="676">
        <v>86373</v>
      </c>
      <c r="M1374" t="str">
        <f>""</f>
        <v/>
      </c>
    </row>
    <row r="1375" spans="1:13" ht="15.75">
      <c r="A1375">
        <v>2017</v>
      </c>
      <c r="B1375" s="777">
        <v>42828</v>
      </c>
      <c r="C1375" s="730">
        <v>0.45833333333333331</v>
      </c>
      <c r="D1375" s="777">
        <v>42828</v>
      </c>
      <c r="E1375" s="730">
        <v>0.83333333333333337</v>
      </c>
      <c r="F1375" s="558" t="s">
        <v>3000</v>
      </c>
      <c r="G1375" s="558" t="s">
        <v>63</v>
      </c>
      <c r="H1375" s="558" t="s">
        <v>2753</v>
      </c>
      <c r="I1375" s="679" t="s">
        <v>22</v>
      </c>
      <c r="J1375" s="676">
        <v>290</v>
      </c>
      <c r="K1375" s="676">
        <v>86330</v>
      </c>
      <c r="M1375" t="str">
        <f>""</f>
        <v/>
      </c>
    </row>
    <row r="1376" spans="1:13" ht="15.75">
      <c r="A1376">
        <v>2011</v>
      </c>
      <c r="B1376" s="777">
        <v>40577</v>
      </c>
      <c r="C1376" s="730">
        <v>0.9194444444444444</v>
      </c>
      <c r="D1376" s="777">
        <v>40578</v>
      </c>
      <c r="E1376" s="730">
        <v>0.52222222222222225</v>
      </c>
      <c r="F1376" s="558" t="s">
        <v>166</v>
      </c>
      <c r="G1376" s="558" t="s">
        <v>1352</v>
      </c>
      <c r="H1376" s="558" t="s">
        <v>5873</v>
      </c>
      <c r="I1376" s="679" t="s">
        <v>2132</v>
      </c>
      <c r="J1376" s="676">
        <v>400</v>
      </c>
      <c r="K1376" s="676">
        <v>86013</v>
      </c>
      <c r="M1376" t="str">
        <f>""</f>
        <v/>
      </c>
    </row>
    <row r="1377" spans="1:13" ht="15.75">
      <c r="A1377">
        <v>2011</v>
      </c>
      <c r="B1377" s="777">
        <v>40661</v>
      </c>
      <c r="C1377" s="730">
        <v>0.20833333333333334</v>
      </c>
      <c r="D1377" s="777">
        <v>40663</v>
      </c>
      <c r="E1377" s="730">
        <v>0.77083333333333337</v>
      </c>
      <c r="F1377" s="558" t="s">
        <v>2185</v>
      </c>
      <c r="G1377" s="558" t="s">
        <v>826</v>
      </c>
      <c r="H1377" s="558" t="s">
        <v>5873</v>
      </c>
      <c r="I1377" s="679" t="s">
        <v>22</v>
      </c>
      <c r="J1377" s="676" t="s">
        <v>5873</v>
      </c>
      <c r="K1377" s="676">
        <v>86000</v>
      </c>
      <c r="M1377" t="str">
        <f>""</f>
        <v/>
      </c>
    </row>
    <row r="1378" spans="1:13" ht="15.75">
      <c r="A1378">
        <v>2020</v>
      </c>
      <c r="B1378" s="777">
        <v>43992</v>
      </c>
      <c r="C1378" s="730">
        <v>0.72499999999999998</v>
      </c>
      <c r="D1378" s="777">
        <v>43993</v>
      </c>
      <c r="E1378" s="730">
        <v>0.75</v>
      </c>
      <c r="F1378" s="558" t="s">
        <v>4286</v>
      </c>
      <c r="G1378" s="558" t="s">
        <v>3143</v>
      </c>
      <c r="H1378" s="558" t="s">
        <v>3451</v>
      </c>
      <c r="I1378" s="679" t="s">
        <v>22</v>
      </c>
      <c r="J1378" s="676" t="s">
        <v>5873</v>
      </c>
      <c r="K1378" s="676">
        <v>85822</v>
      </c>
      <c r="M1378" t="str">
        <f>""</f>
        <v/>
      </c>
    </row>
    <row r="1379" spans="1:13" ht="15.75">
      <c r="A1379">
        <v>2020</v>
      </c>
      <c r="B1379" s="777">
        <v>44136</v>
      </c>
      <c r="C1379" s="730">
        <v>0.75</v>
      </c>
      <c r="D1379" s="777">
        <v>44136</v>
      </c>
      <c r="E1379" s="730">
        <v>0.75624999999999998</v>
      </c>
      <c r="F1379" s="558" t="s">
        <v>2895</v>
      </c>
      <c r="G1379" s="558" t="s">
        <v>3143</v>
      </c>
      <c r="H1379" s="558" t="s">
        <v>3451</v>
      </c>
      <c r="I1379" s="679" t="s">
        <v>22</v>
      </c>
      <c r="J1379" s="676" t="s">
        <v>5873</v>
      </c>
      <c r="K1379" s="676">
        <v>85677</v>
      </c>
      <c r="M1379" t="str">
        <f>""</f>
        <v/>
      </c>
    </row>
    <row r="1380" spans="1:13" ht="15.75">
      <c r="A1380">
        <v>2014</v>
      </c>
      <c r="B1380" s="777">
        <v>41984</v>
      </c>
      <c r="C1380" s="730">
        <v>0.67013888888888884</v>
      </c>
      <c r="D1380" s="777">
        <v>41984</v>
      </c>
      <c r="E1380" s="730">
        <v>0.875</v>
      </c>
      <c r="F1380" s="558" t="s">
        <v>2531</v>
      </c>
      <c r="G1380" s="558" t="s">
        <v>124</v>
      </c>
      <c r="H1380" s="558" t="s">
        <v>5873</v>
      </c>
      <c r="I1380" s="679" t="s">
        <v>2737</v>
      </c>
      <c r="J1380" s="676">
        <v>250</v>
      </c>
      <c r="K1380" s="676">
        <v>85470</v>
      </c>
      <c r="M1380" t="str">
        <f>""</f>
        <v/>
      </c>
    </row>
    <row r="1381" spans="1:13" ht="15.75">
      <c r="A1381">
        <v>2016</v>
      </c>
      <c r="B1381" s="777">
        <v>42734</v>
      </c>
      <c r="C1381" s="730">
        <v>0.10416666666666667</v>
      </c>
      <c r="D1381" s="777">
        <v>42734</v>
      </c>
      <c r="E1381" s="730">
        <v>0.79166666666666663</v>
      </c>
      <c r="F1381" s="558" t="s">
        <v>2959</v>
      </c>
      <c r="G1381" s="558" t="s">
        <v>61</v>
      </c>
      <c r="H1381" s="558" t="s">
        <v>2753</v>
      </c>
      <c r="I1381" s="679" t="s">
        <v>2960</v>
      </c>
      <c r="J1381" s="676" t="s">
        <v>5873</v>
      </c>
      <c r="K1381" s="676">
        <v>85263</v>
      </c>
      <c r="M1381" t="str">
        <f>""</f>
        <v/>
      </c>
    </row>
    <row r="1382" spans="1:13" ht="15.75">
      <c r="A1382">
        <v>2016</v>
      </c>
      <c r="B1382" s="777">
        <v>42509</v>
      </c>
      <c r="C1382" s="730">
        <v>0.9</v>
      </c>
      <c r="D1382" s="777">
        <v>42510</v>
      </c>
      <c r="E1382" s="730">
        <v>4.1666666666666664E-2</v>
      </c>
      <c r="F1382" s="558" t="s">
        <v>2865</v>
      </c>
      <c r="G1382" s="558" t="s">
        <v>124</v>
      </c>
      <c r="H1382" s="558" t="s">
        <v>2769</v>
      </c>
      <c r="I1382" s="679" t="s">
        <v>2764</v>
      </c>
      <c r="J1382" s="676">
        <v>461</v>
      </c>
      <c r="K1382" s="676">
        <v>85179</v>
      </c>
      <c r="M1382" t="str">
        <f>""</f>
        <v/>
      </c>
    </row>
    <row r="1383" spans="1:13" ht="15.75">
      <c r="A1383">
        <v>2011</v>
      </c>
      <c r="B1383" s="777">
        <v>40735</v>
      </c>
      <c r="C1383" s="730">
        <v>0.46875</v>
      </c>
      <c r="D1383" s="777">
        <v>40736</v>
      </c>
      <c r="E1383" s="730">
        <v>0.34375</v>
      </c>
      <c r="F1383" s="558" t="s">
        <v>2248</v>
      </c>
      <c r="G1383" s="558" t="s">
        <v>826</v>
      </c>
      <c r="H1383" s="558" t="s">
        <v>5873</v>
      </c>
      <c r="I1383" s="679" t="s">
        <v>22</v>
      </c>
      <c r="J1383" s="676" t="s">
        <v>5873</v>
      </c>
      <c r="K1383" s="676">
        <v>85000</v>
      </c>
      <c r="M1383" t="str">
        <f>""</f>
        <v/>
      </c>
    </row>
    <row r="1384" spans="1:13" ht="15.75">
      <c r="A1384">
        <v>2016</v>
      </c>
      <c r="B1384" s="777">
        <v>42500</v>
      </c>
      <c r="C1384" s="730">
        <v>0.86458333333333337</v>
      </c>
      <c r="D1384" s="777">
        <v>42503</v>
      </c>
      <c r="E1384" s="730">
        <v>0.125</v>
      </c>
      <c r="F1384" s="558" t="s">
        <v>2863</v>
      </c>
      <c r="G1384" s="558" t="s">
        <v>1352</v>
      </c>
      <c r="H1384" s="558" t="s">
        <v>2753</v>
      </c>
      <c r="I1384" s="679" t="s">
        <v>2490</v>
      </c>
      <c r="J1384" s="676" t="s">
        <v>5873</v>
      </c>
      <c r="K1384" s="676">
        <v>85000</v>
      </c>
      <c r="M1384" t="str">
        <f>""</f>
        <v/>
      </c>
    </row>
    <row r="1385" spans="1:13" ht="15.75">
      <c r="A1385">
        <v>2016</v>
      </c>
      <c r="B1385" s="777">
        <v>42510</v>
      </c>
      <c r="C1385" s="730">
        <v>0</v>
      </c>
      <c r="D1385" s="777">
        <v>42512</v>
      </c>
      <c r="E1385" s="730">
        <v>0.20833333333333334</v>
      </c>
      <c r="F1385" s="558" t="s">
        <v>2866</v>
      </c>
      <c r="G1385" s="558" t="s">
        <v>63</v>
      </c>
      <c r="H1385" s="558" t="s">
        <v>2753</v>
      </c>
      <c r="I1385" s="679" t="s">
        <v>2490</v>
      </c>
      <c r="J1385" s="676" t="s">
        <v>5873</v>
      </c>
      <c r="K1385" s="676">
        <v>85000</v>
      </c>
      <c r="M1385" t="str">
        <f>""</f>
        <v/>
      </c>
    </row>
    <row r="1386" spans="1:13" ht="15.75">
      <c r="A1386">
        <v>2023</v>
      </c>
      <c r="B1386" s="777">
        <v>45135</v>
      </c>
      <c r="C1386" s="532">
        <v>0.95694444444444449</v>
      </c>
      <c r="D1386" s="678">
        <v>45136</v>
      </c>
      <c r="E1386" s="782" t="s">
        <v>5873</v>
      </c>
      <c r="F1386" t="s">
        <v>5899</v>
      </c>
      <c r="G1386" t="s">
        <v>4935</v>
      </c>
      <c r="H1386" t="s">
        <v>3451</v>
      </c>
      <c r="I1386" s="677" t="s">
        <v>5883</v>
      </c>
      <c r="J1386" s="783">
        <v>213</v>
      </c>
      <c r="K1386" s="783">
        <v>85000</v>
      </c>
      <c r="M1386" t="str">
        <f>""</f>
        <v/>
      </c>
    </row>
    <row r="1387" spans="1:13" ht="15.75">
      <c r="A1387">
        <v>2023</v>
      </c>
      <c r="B1387" s="777" t="s">
        <v>5873</v>
      </c>
      <c r="C1387" s="532">
        <v>0.95694444444444449</v>
      </c>
      <c r="D1387" s="678">
        <v>45136</v>
      </c>
      <c r="E1387" s="782" t="s">
        <v>5873</v>
      </c>
      <c r="F1387" t="s">
        <v>5899</v>
      </c>
      <c r="G1387" t="s">
        <v>4935</v>
      </c>
      <c r="H1387" t="s">
        <v>3451</v>
      </c>
      <c r="I1387" s="677" t="s">
        <v>5883</v>
      </c>
      <c r="J1387" s="783">
        <v>213</v>
      </c>
      <c r="K1387" s="783">
        <v>85000</v>
      </c>
      <c r="M1387" t="str">
        <f>""</f>
        <v/>
      </c>
    </row>
    <row r="1388" spans="1:13" ht="15.75">
      <c r="A1388">
        <v>2021</v>
      </c>
      <c r="B1388" s="777">
        <v>44432</v>
      </c>
      <c r="C1388" s="730">
        <v>0.70833333333333337</v>
      </c>
      <c r="D1388" s="777">
        <v>44434</v>
      </c>
      <c r="E1388" s="730">
        <v>0.58819444444444446</v>
      </c>
      <c r="F1388" s="558" t="s">
        <v>4988</v>
      </c>
      <c r="G1388" s="558" t="s">
        <v>3143</v>
      </c>
      <c r="H1388" s="558" t="s">
        <v>2753</v>
      </c>
      <c r="I1388" s="679" t="s">
        <v>22</v>
      </c>
      <c r="J1388" s="676" t="s">
        <v>5873</v>
      </c>
      <c r="K1388" s="676">
        <v>84987</v>
      </c>
      <c r="M1388" t="str">
        <f>""</f>
        <v/>
      </c>
    </row>
    <row r="1389" spans="1:13" ht="15.75">
      <c r="A1389">
        <v>2017</v>
      </c>
      <c r="B1389" s="777">
        <v>42903</v>
      </c>
      <c r="C1389" s="730">
        <v>0.875</v>
      </c>
      <c r="D1389" s="777">
        <v>42904</v>
      </c>
      <c r="E1389" s="730">
        <v>0.29166666666666669</v>
      </c>
      <c r="F1389" s="558" t="s">
        <v>3045</v>
      </c>
      <c r="G1389" s="558" t="s">
        <v>674</v>
      </c>
      <c r="H1389" s="558" t="s">
        <v>2753</v>
      </c>
      <c r="I1389" s="679" t="s">
        <v>22</v>
      </c>
      <c r="J1389" s="676" t="s">
        <v>5873</v>
      </c>
      <c r="K1389" s="676">
        <v>84737</v>
      </c>
      <c r="M1389" t="str">
        <f>""</f>
        <v/>
      </c>
    </row>
    <row r="1390" spans="1:13" ht="15.75">
      <c r="A1390">
        <v>2014</v>
      </c>
      <c r="B1390" s="777">
        <v>42003</v>
      </c>
      <c r="C1390" s="730">
        <v>0.54722222222222228</v>
      </c>
      <c r="D1390" s="777">
        <v>42005</v>
      </c>
      <c r="E1390" s="730">
        <v>0.70138888888888884</v>
      </c>
      <c r="F1390" s="558" t="s">
        <v>141</v>
      </c>
      <c r="G1390" s="558" t="s">
        <v>124</v>
      </c>
      <c r="H1390" s="558" t="s">
        <v>5873</v>
      </c>
      <c r="I1390" s="679" t="s">
        <v>2737</v>
      </c>
      <c r="J1390" s="676">
        <v>127</v>
      </c>
      <c r="K1390" s="676">
        <v>84500</v>
      </c>
      <c r="M1390" t="str">
        <f>""</f>
        <v/>
      </c>
    </row>
    <row r="1391" spans="1:13" ht="15.75">
      <c r="A1391">
        <v>2022</v>
      </c>
      <c r="B1391" s="777">
        <v>44670</v>
      </c>
      <c r="C1391" s="730">
        <v>0.17152777777777778</v>
      </c>
      <c r="D1391" s="777" t="s">
        <v>5873</v>
      </c>
      <c r="E1391" s="730" t="s">
        <v>5873</v>
      </c>
      <c r="F1391" s="558" t="s">
        <v>5303</v>
      </c>
      <c r="G1391" s="558" t="s">
        <v>61</v>
      </c>
      <c r="H1391" s="558" t="s">
        <v>2753</v>
      </c>
      <c r="I1391" s="679" t="s">
        <v>22</v>
      </c>
      <c r="J1391" s="676" t="s">
        <v>5873</v>
      </c>
      <c r="K1391" s="676">
        <v>84033</v>
      </c>
      <c r="M1391" t="str">
        <f>""</f>
        <v/>
      </c>
    </row>
    <row r="1392" spans="1:13" ht="15.75">
      <c r="A1392">
        <v>2020</v>
      </c>
      <c r="B1392" s="777">
        <v>44037</v>
      </c>
      <c r="C1392" s="730">
        <v>0.875</v>
      </c>
      <c r="D1392" s="777">
        <v>44038</v>
      </c>
      <c r="E1392" s="730">
        <v>0.66666666666666663</v>
      </c>
      <c r="F1392" s="558" t="s">
        <v>4343</v>
      </c>
      <c r="G1392" s="558" t="s">
        <v>1352</v>
      </c>
      <c r="H1392" s="558" t="s">
        <v>3451</v>
      </c>
      <c r="I1392" s="679" t="s">
        <v>22</v>
      </c>
      <c r="J1392" s="676">
        <v>125</v>
      </c>
      <c r="K1392" s="676">
        <v>84000</v>
      </c>
      <c r="M1392" t="str">
        <f>""</f>
        <v/>
      </c>
    </row>
    <row r="1393" spans="1:13" ht="15.75">
      <c r="A1393">
        <v>2021</v>
      </c>
      <c r="B1393" s="777">
        <v>44480</v>
      </c>
      <c r="C1393" s="730">
        <v>0.59861111111111109</v>
      </c>
      <c r="D1393" s="777">
        <v>44480</v>
      </c>
      <c r="E1393" s="730">
        <v>0.85416666666666663</v>
      </c>
      <c r="F1393" s="558" t="s">
        <v>2945</v>
      </c>
      <c r="G1393" s="558" t="s">
        <v>124</v>
      </c>
      <c r="H1393" s="558" t="s">
        <v>2753</v>
      </c>
      <c r="I1393" s="679" t="s">
        <v>22</v>
      </c>
      <c r="J1393" s="676">
        <v>126</v>
      </c>
      <c r="K1393" s="676">
        <v>84000</v>
      </c>
      <c r="M1393" t="str">
        <f>""</f>
        <v/>
      </c>
    </row>
    <row r="1394" spans="1:13" ht="15.75">
      <c r="A1394">
        <v>2022</v>
      </c>
      <c r="B1394" s="777">
        <v>44922</v>
      </c>
      <c r="C1394" s="730">
        <v>0.42499999999999999</v>
      </c>
      <c r="D1394" s="777" t="s">
        <v>5873</v>
      </c>
      <c r="E1394" s="730" t="s">
        <v>5873</v>
      </c>
      <c r="F1394" s="558" t="s">
        <v>5666</v>
      </c>
      <c r="G1394" s="558" t="s">
        <v>124</v>
      </c>
      <c r="H1394" s="558" t="s">
        <v>3451</v>
      </c>
      <c r="I1394" s="679" t="s">
        <v>22</v>
      </c>
      <c r="J1394" s="676" t="s">
        <v>5873</v>
      </c>
      <c r="K1394" s="676">
        <v>83060</v>
      </c>
      <c r="M1394" t="str">
        <f>""</f>
        <v/>
      </c>
    </row>
    <row r="1395" spans="1:13" ht="15.75">
      <c r="A1395">
        <v>2023</v>
      </c>
      <c r="B1395" s="777">
        <v>44999</v>
      </c>
      <c r="C1395" s="730">
        <v>0.33333333333333331</v>
      </c>
      <c r="D1395" s="777">
        <v>45001</v>
      </c>
      <c r="E1395" s="730">
        <v>0.34722222222222221</v>
      </c>
      <c r="F1395" s="558" t="s">
        <v>5794</v>
      </c>
      <c r="G1395" s="558" t="s">
        <v>61</v>
      </c>
      <c r="H1395" s="558" t="s">
        <v>2753</v>
      </c>
      <c r="I1395" s="679" t="s">
        <v>22</v>
      </c>
      <c r="J1395" s="676" t="s">
        <v>5873</v>
      </c>
      <c r="K1395" s="676">
        <v>83000</v>
      </c>
      <c r="M1395" t="str">
        <f>""</f>
        <v/>
      </c>
    </row>
    <row r="1396" spans="1:13" ht="15.75">
      <c r="A1396" s="728">
        <v>2010</v>
      </c>
      <c r="B1396" s="777">
        <v>40443</v>
      </c>
      <c r="C1396" s="730">
        <v>0.73472222222222228</v>
      </c>
      <c r="D1396" s="777">
        <v>40445</v>
      </c>
      <c r="E1396" s="730">
        <v>0.97916666666666663</v>
      </c>
      <c r="F1396" s="558" t="s">
        <v>1562</v>
      </c>
      <c r="G1396" s="558" t="s">
        <v>826</v>
      </c>
      <c r="H1396" s="558" t="s">
        <v>5873</v>
      </c>
      <c r="I1396" s="679" t="s">
        <v>381</v>
      </c>
      <c r="J1396" s="676">
        <v>389</v>
      </c>
      <c r="K1396" s="676">
        <v>82861</v>
      </c>
      <c r="M1396" t="str">
        <f>""</f>
        <v/>
      </c>
    </row>
    <row r="1397" spans="1:13" ht="15.75">
      <c r="A1397">
        <v>2017</v>
      </c>
      <c r="B1397" s="777">
        <v>42901</v>
      </c>
      <c r="C1397" s="730">
        <v>0.70833333333333337</v>
      </c>
      <c r="D1397" s="777">
        <v>42901</v>
      </c>
      <c r="E1397" s="730">
        <v>0.91666666666666663</v>
      </c>
      <c r="F1397" s="558" t="s">
        <v>3000</v>
      </c>
      <c r="G1397" s="558" t="s">
        <v>63</v>
      </c>
      <c r="H1397" s="558" t="s">
        <v>2753</v>
      </c>
      <c r="I1397" s="679" t="s">
        <v>22</v>
      </c>
      <c r="J1397" s="676">
        <v>275</v>
      </c>
      <c r="K1397" s="676">
        <v>82713</v>
      </c>
      <c r="M1397" t="str">
        <f>""</f>
        <v/>
      </c>
    </row>
    <row r="1398" spans="1:13" ht="15.75">
      <c r="A1398">
        <v>2012</v>
      </c>
      <c r="B1398" s="777">
        <v>41114.292361111111</v>
      </c>
      <c r="C1398" s="730">
        <v>41114.292361111111</v>
      </c>
      <c r="D1398" s="777">
        <v>41114.6875</v>
      </c>
      <c r="E1398" s="730">
        <v>41114.6875</v>
      </c>
      <c r="F1398" s="558" t="s">
        <v>2426</v>
      </c>
      <c r="G1398" s="558" t="s">
        <v>826</v>
      </c>
      <c r="H1398" s="558" t="s">
        <v>5873</v>
      </c>
      <c r="I1398" s="679" t="s">
        <v>2368</v>
      </c>
      <c r="J1398" s="676" t="s">
        <v>5873</v>
      </c>
      <c r="K1398" s="676">
        <v>82621</v>
      </c>
      <c r="M1398" t="str">
        <f>""</f>
        <v/>
      </c>
    </row>
    <row r="1399" spans="1:13" ht="15.75">
      <c r="A1399">
        <v>2020</v>
      </c>
      <c r="B1399" s="777">
        <v>43929</v>
      </c>
      <c r="C1399" s="730">
        <v>5.6250000000000001E-2</v>
      </c>
      <c r="D1399" s="777">
        <v>43929</v>
      </c>
      <c r="E1399" s="730">
        <v>0.16388888888888889</v>
      </c>
      <c r="F1399" s="558" t="s">
        <v>2895</v>
      </c>
      <c r="G1399" s="558" t="s">
        <v>124</v>
      </c>
      <c r="H1399" s="558" t="s">
        <v>3451</v>
      </c>
      <c r="I1399" s="679" t="s">
        <v>22</v>
      </c>
      <c r="J1399" s="676" t="s">
        <v>5873</v>
      </c>
      <c r="K1399" s="676">
        <v>82509</v>
      </c>
      <c r="M1399" t="str">
        <f>""</f>
        <v/>
      </c>
    </row>
    <row r="1400" spans="1:13" ht="15.75">
      <c r="A1400">
        <v>2018</v>
      </c>
      <c r="B1400" s="777">
        <v>43235</v>
      </c>
      <c r="C1400" s="730">
        <v>0.72569444444444442</v>
      </c>
      <c r="D1400" s="777" t="s">
        <v>5873</v>
      </c>
      <c r="E1400" s="730" t="s">
        <v>5873</v>
      </c>
      <c r="F1400" s="558" t="s">
        <v>2833</v>
      </c>
      <c r="G1400" s="558" t="s">
        <v>3143</v>
      </c>
      <c r="H1400" s="558" t="s">
        <v>2753</v>
      </c>
      <c r="I1400" s="679" t="s">
        <v>22</v>
      </c>
      <c r="J1400" s="676" t="s">
        <v>5873</v>
      </c>
      <c r="K1400" s="676">
        <v>82372</v>
      </c>
      <c r="M1400" t="str">
        <f>""</f>
        <v/>
      </c>
    </row>
    <row r="1401" spans="1:13" ht="15.75">
      <c r="A1401">
        <v>2019</v>
      </c>
      <c r="B1401" s="777">
        <v>43764</v>
      </c>
      <c r="C1401" s="730">
        <v>0.21875</v>
      </c>
      <c r="D1401" s="777">
        <v>43764</v>
      </c>
      <c r="E1401" s="730">
        <v>0.72986111111111107</v>
      </c>
      <c r="F1401" s="558" t="s">
        <v>2866</v>
      </c>
      <c r="G1401" s="558" t="s">
        <v>63</v>
      </c>
      <c r="H1401" s="558" t="s">
        <v>3451</v>
      </c>
      <c r="I1401" s="679" t="s">
        <v>22</v>
      </c>
      <c r="J1401" s="676" t="s">
        <v>5873</v>
      </c>
      <c r="K1401" s="676">
        <v>82124</v>
      </c>
      <c r="M1401" t="str">
        <f>""</f>
        <v/>
      </c>
    </row>
    <row r="1402" spans="1:13" ht="15.75">
      <c r="A1402">
        <v>2019</v>
      </c>
      <c r="B1402" s="777">
        <v>43635</v>
      </c>
      <c r="C1402" s="730">
        <v>0.9375</v>
      </c>
      <c r="D1402" s="777">
        <v>43636</v>
      </c>
      <c r="E1402" s="730">
        <v>0.79166666666666663</v>
      </c>
      <c r="F1402" s="558" t="s">
        <v>3405</v>
      </c>
      <c r="G1402" s="558" t="s">
        <v>3347</v>
      </c>
      <c r="H1402" s="558" t="s">
        <v>3451</v>
      </c>
      <c r="I1402" s="679" t="s">
        <v>22</v>
      </c>
      <c r="J1402" s="676" t="s">
        <v>5873</v>
      </c>
      <c r="K1402" s="676">
        <v>82045</v>
      </c>
      <c r="M1402" t="str">
        <f>""</f>
        <v/>
      </c>
    </row>
    <row r="1403" spans="1:13" ht="15.75">
      <c r="A1403" s="728">
        <v>2010</v>
      </c>
      <c r="B1403" s="777">
        <v>40382</v>
      </c>
      <c r="C1403" s="730">
        <v>0.8125</v>
      </c>
      <c r="D1403" s="777">
        <v>40385</v>
      </c>
      <c r="E1403" s="730">
        <v>0.77083333333333337</v>
      </c>
      <c r="F1403" s="558" t="s">
        <v>268</v>
      </c>
      <c r="G1403" s="558" t="s">
        <v>826</v>
      </c>
      <c r="H1403" s="558" t="s">
        <v>5873</v>
      </c>
      <c r="I1403" s="679" t="s">
        <v>22</v>
      </c>
      <c r="J1403" s="676">
        <v>400</v>
      </c>
      <c r="K1403" s="676">
        <v>82000</v>
      </c>
      <c r="M1403" t="str">
        <f>""</f>
        <v/>
      </c>
    </row>
    <row r="1404" spans="1:13" ht="15.75">
      <c r="A1404">
        <v>2017</v>
      </c>
      <c r="B1404" s="777">
        <v>42939</v>
      </c>
      <c r="C1404" s="730">
        <v>0.16666666666666666</v>
      </c>
      <c r="D1404" s="777" t="s">
        <v>5873</v>
      </c>
      <c r="E1404" s="730" t="s">
        <v>5873</v>
      </c>
      <c r="F1404" s="558" t="s">
        <v>3074</v>
      </c>
      <c r="G1404" s="558" t="s">
        <v>63</v>
      </c>
      <c r="H1404" s="558" t="s">
        <v>2753</v>
      </c>
      <c r="I1404" s="679" t="s">
        <v>22</v>
      </c>
      <c r="J1404" s="676" t="s">
        <v>5873</v>
      </c>
      <c r="K1404" s="676">
        <v>82000</v>
      </c>
      <c r="M1404" t="str">
        <f>""</f>
        <v/>
      </c>
    </row>
    <row r="1405" spans="1:13" ht="15.75">
      <c r="A1405">
        <v>2018</v>
      </c>
      <c r="B1405" s="777">
        <v>43311</v>
      </c>
      <c r="C1405" s="730">
        <v>0.27083333333333331</v>
      </c>
      <c r="D1405" s="777">
        <v>43311</v>
      </c>
      <c r="E1405" s="730">
        <v>0.95833333333333337</v>
      </c>
      <c r="F1405" s="558" t="s">
        <v>3424</v>
      </c>
      <c r="G1405" s="558" t="s">
        <v>124</v>
      </c>
      <c r="H1405" s="558" t="s">
        <v>2753</v>
      </c>
      <c r="I1405" s="679" t="s">
        <v>22</v>
      </c>
      <c r="J1405" s="676" t="s">
        <v>5873</v>
      </c>
      <c r="K1405" s="676">
        <v>82000</v>
      </c>
      <c r="M1405" t="str">
        <f>""</f>
        <v/>
      </c>
    </row>
    <row r="1406" spans="1:13" ht="15.75">
      <c r="A1406">
        <v>2021</v>
      </c>
      <c r="B1406" s="777">
        <v>44456</v>
      </c>
      <c r="C1406" s="730">
        <v>0.125</v>
      </c>
      <c r="D1406" s="777">
        <v>44457</v>
      </c>
      <c r="E1406" s="730">
        <v>0.91666666666666663</v>
      </c>
      <c r="F1406" s="558" t="s">
        <v>3738</v>
      </c>
      <c r="G1406" s="558" t="s">
        <v>674</v>
      </c>
      <c r="H1406" s="558" t="s">
        <v>2753</v>
      </c>
      <c r="I1406" s="679" t="s">
        <v>22</v>
      </c>
      <c r="J1406" s="676" t="s">
        <v>5873</v>
      </c>
      <c r="K1406" s="676">
        <v>82000</v>
      </c>
      <c r="M1406" t="str">
        <f>""</f>
        <v/>
      </c>
    </row>
    <row r="1407" spans="1:13" ht="15.75">
      <c r="A1407" s="728">
        <v>2010</v>
      </c>
      <c r="B1407" s="777">
        <v>40413</v>
      </c>
      <c r="C1407" s="730">
        <v>0.74305555555555558</v>
      </c>
      <c r="D1407" s="777">
        <v>40414</v>
      </c>
      <c r="E1407" s="730">
        <v>0.39583333333333331</v>
      </c>
      <c r="F1407" s="558" t="s">
        <v>1098</v>
      </c>
      <c r="G1407" s="558" t="s">
        <v>1352</v>
      </c>
      <c r="H1407" s="558" t="s">
        <v>5873</v>
      </c>
      <c r="I1407" s="679" t="s">
        <v>22</v>
      </c>
      <c r="J1407" s="676">
        <v>746</v>
      </c>
      <c r="K1407" s="676">
        <v>81586</v>
      </c>
      <c r="M1407" t="str">
        <f>""</f>
        <v/>
      </c>
    </row>
    <row r="1408" spans="1:13" ht="15.75">
      <c r="A1408">
        <v>2021</v>
      </c>
      <c r="B1408" s="777">
        <v>44398</v>
      </c>
      <c r="C1408" s="730">
        <v>0.61458333333333337</v>
      </c>
      <c r="D1408" s="777">
        <v>44399</v>
      </c>
      <c r="E1408" s="730">
        <v>0.5</v>
      </c>
      <c r="F1408" s="558" t="s">
        <v>4237</v>
      </c>
      <c r="G1408" s="558" t="s">
        <v>3143</v>
      </c>
      <c r="H1408" s="558" t="s">
        <v>2753</v>
      </c>
      <c r="I1408" s="679" t="s">
        <v>22</v>
      </c>
      <c r="J1408" s="676" t="s">
        <v>5873</v>
      </c>
      <c r="K1408" s="676">
        <v>81503</v>
      </c>
      <c r="M1408" t="str">
        <f>""</f>
        <v/>
      </c>
    </row>
    <row r="1409" spans="1:13" ht="15.75">
      <c r="A1409">
        <v>2021</v>
      </c>
      <c r="B1409" s="777">
        <v>44524</v>
      </c>
      <c r="C1409" s="730">
        <v>0.41666666666666669</v>
      </c>
      <c r="D1409" s="777">
        <v>44526</v>
      </c>
      <c r="E1409" s="730">
        <v>0.43125000000000002</v>
      </c>
      <c r="F1409" s="558" t="s">
        <v>5102</v>
      </c>
      <c r="G1409" s="558" t="s">
        <v>124</v>
      </c>
      <c r="H1409" s="558" t="s">
        <v>2753</v>
      </c>
      <c r="I1409" s="679" t="s">
        <v>22</v>
      </c>
      <c r="J1409" s="676" t="s">
        <v>5873</v>
      </c>
      <c r="K1409" s="676">
        <v>81406</v>
      </c>
      <c r="M1409" t="str">
        <f>""</f>
        <v/>
      </c>
    </row>
    <row r="1410" spans="1:13" ht="15.75">
      <c r="A1410">
        <v>2018</v>
      </c>
      <c r="B1410" s="777">
        <v>43183</v>
      </c>
      <c r="C1410" s="730">
        <v>0.9375</v>
      </c>
      <c r="D1410" s="777">
        <v>43185</v>
      </c>
      <c r="E1410" s="730">
        <v>0.83333333333333337</v>
      </c>
      <c r="F1410" s="558" t="s">
        <v>3256</v>
      </c>
      <c r="G1410" s="558" t="s">
        <v>3143</v>
      </c>
      <c r="H1410" s="558" t="s">
        <v>2753</v>
      </c>
      <c r="I1410" s="679" t="s">
        <v>22</v>
      </c>
      <c r="J1410" s="676" t="s">
        <v>5873</v>
      </c>
      <c r="K1410" s="676">
        <v>81227</v>
      </c>
      <c r="M1410" t="str">
        <f>""</f>
        <v/>
      </c>
    </row>
    <row r="1411" spans="1:13" ht="15.75">
      <c r="A1411">
        <v>2021</v>
      </c>
      <c r="B1411" s="777">
        <v>44243</v>
      </c>
      <c r="C1411" s="730">
        <v>0.30555555555555558</v>
      </c>
      <c r="D1411" s="777">
        <v>44243</v>
      </c>
      <c r="E1411" s="730">
        <v>0.41805555555555557</v>
      </c>
      <c r="F1411" s="558" t="s">
        <v>4461</v>
      </c>
      <c r="G1411" s="558" t="s">
        <v>674</v>
      </c>
      <c r="H1411" s="558" t="s">
        <v>3750</v>
      </c>
      <c r="I1411" s="679" t="s">
        <v>22</v>
      </c>
      <c r="J1411" s="676">
        <v>126</v>
      </c>
      <c r="K1411" s="676">
        <v>81100</v>
      </c>
      <c r="M1411" t="str">
        <f>""</f>
        <v/>
      </c>
    </row>
    <row r="1412" spans="1:13" ht="15.75">
      <c r="A1412" s="728">
        <v>2010</v>
      </c>
      <c r="B1412" s="777">
        <v>40384</v>
      </c>
      <c r="C1412" s="730">
        <v>0.6743055555555556</v>
      </c>
      <c r="D1412" s="777">
        <v>40384</v>
      </c>
      <c r="E1412" s="730">
        <v>0.83750000000000002</v>
      </c>
      <c r="F1412" s="558" t="s">
        <v>923</v>
      </c>
      <c r="G1412" s="558" t="s">
        <v>63</v>
      </c>
      <c r="H1412" s="558" t="s">
        <v>5873</v>
      </c>
      <c r="I1412" s="679" t="s">
        <v>22</v>
      </c>
      <c r="J1412" s="676" t="s">
        <v>2001</v>
      </c>
      <c r="K1412" s="676">
        <v>81000</v>
      </c>
      <c r="M1412" t="str">
        <f>""</f>
        <v/>
      </c>
    </row>
    <row r="1413" spans="1:13" ht="15.75">
      <c r="A1413">
        <v>2019</v>
      </c>
      <c r="B1413" s="777">
        <v>43770</v>
      </c>
      <c r="C1413" s="730">
        <v>5.2083333333333336E-2</v>
      </c>
      <c r="D1413" s="777">
        <v>43771</v>
      </c>
      <c r="E1413" s="730">
        <v>0.89583333333333337</v>
      </c>
      <c r="F1413" s="558" t="s">
        <v>4013</v>
      </c>
      <c r="G1413" s="558" t="s">
        <v>61</v>
      </c>
      <c r="H1413" s="558" t="s">
        <v>3451</v>
      </c>
      <c r="I1413" s="679" t="s">
        <v>22</v>
      </c>
      <c r="J1413" s="676" t="s">
        <v>5873</v>
      </c>
      <c r="K1413" s="676">
        <v>80066</v>
      </c>
      <c r="M1413" t="str">
        <f>""</f>
        <v/>
      </c>
    </row>
    <row r="1414" spans="1:13" ht="15.75">
      <c r="A1414" s="728">
        <v>2010</v>
      </c>
      <c r="B1414" s="777">
        <v>40409</v>
      </c>
      <c r="C1414" s="730">
        <v>0.75</v>
      </c>
      <c r="D1414" s="777">
        <v>40413</v>
      </c>
      <c r="E1414" s="730">
        <v>0.64583333333333337</v>
      </c>
      <c r="F1414" s="558" t="s">
        <v>268</v>
      </c>
      <c r="G1414" s="558" t="s">
        <v>826</v>
      </c>
      <c r="H1414" s="558" t="s">
        <v>5873</v>
      </c>
      <c r="I1414" s="679" t="s">
        <v>22</v>
      </c>
      <c r="J1414" s="676">
        <v>340</v>
      </c>
      <c r="K1414" s="676">
        <v>80000</v>
      </c>
      <c r="M1414" t="str">
        <f>""</f>
        <v/>
      </c>
    </row>
    <row r="1415" spans="1:13" ht="15.75">
      <c r="A1415">
        <v>2011</v>
      </c>
      <c r="B1415" s="777">
        <v>40555</v>
      </c>
      <c r="C1415" s="730">
        <v>0.25</v>
      </c>
      <c r="D1415" s="777">
        <v>40555</v>
      </c>
      <c r="E1415" s="730">
        <v>0.58333333333333337</v>
      </c>
      <c r="F1415" s="558" t="s">
        <v>2113</v>
      </c>
      <c r="G1415" s="558" t="s">
        <v>61</v>
      </c>
      <c r="H1415" s="558" t="s">
        <v>5873</v>
      </c>
      <c r="I1415" s="679" t="s">
        <v>40</v>
      </c>
      <c r="J1415" s="676" t="s">
        <v>5873</v>
      </c>
      <c r="K1415" s="676">
        <v>80000</v>
      </c>
      <c r="M1415" t="str">
        <f>""</f>
        <v/>
      </c>
    </row>
    <row r="1416" spans="1:13" ht="15.75">
      <c r="A1416">
        <v>2011</v>
      </c>
      <c r="B1416" s="777">
        <v>40591</v>
      </c>
      <c r="C1416" s="730">
        <v>5.9027777777777776E-2</v>
      </c>
      <c r="D1416" s="777">
        <v>40593</v>
      </c>
      <c r="E1416" s="730">
        <v>0.42569444444444443</v>
      </c>
      <c r="F1416" s="558" t="s">
        <v>39</v>
      </c>
      <c r="G1416" s="558" t="s">
        <v>124</v>
      </c>
      <c r="H1416" s="558" t="s">
        <v>5873</v>
      </c>
      <c r="I1416" s="679" t="s">
        <v>1096</v>
      </c>
      <c r="J1416" s="676">
        <v>91</v>
      </c>
      <c r="K1416" s="676">
        <v>80000</v>
      </c>
      <c r="M1416" t="str">
        <f>""</f>
        <v/>
      </c>
    </row>
    <row r="1417" spans="1:13" ht="15.75">
      <c r="A1417">
        <v>2011</v>
      </c>
      <c r="B1417" s="777">
        <v>40599</v>
      </c>
      <c r="C1417" s="730">
        <v>0.33333333333333331</v>
      </c>
      <c r="D1417" s="777">
        <v>40602</v>
      </c>
      <c r="E1417" s="730">
        <v>0.72916666666666663</v>
      </c>
      <c r="F1417" s="558" t="s">
        <v>39</v>
      </c>
      <c r="G1417" s="558" t="s">
        <v>124</v>
      </c>
      <c r="H1417" s="558" t="s">
        <v>5873</v>
      </c>
      <c r="I1417" s="679" t="s">
        <v>40</v>
      </c>
      <c r="J1417" s="676">
        <v>91</v>
      </c>
      <c r="K1417" s="676">
        <v>80000</v>
      </c>
      <c r="M1417" t="str">
        <f>""</f>
        <v/>
      </c>
    </row>
    <row r="1418" spans="1:13" ht="15.75">
      <c r="A1418">
        <v>2011</v>
      </c>
      <c r="B1418" s="777">
        <v>40652</v>
      </c>
      <c r="C1418" s="730">
        <v>0.83333333333333337</v>
      </c>
      <c r="D1418" s="777">
        <v>40652</v>
      </c>
      <c r="E1418" s="730">
        <v>0.91666666666666663</v>
      </c>
      <c r="F1418" s="558" t="s">
        <v>33</v>
      </c>
      <c r="G1418" s="558" t="s">
        <v>63</v>
      </c>
      <c r="H1418" s="558" t="s">
        <v>5873</v>
      </c>
      <c r="I1418" s="679" t="s">
        <v>22</v>
      </c>
      <c r="J1418" s="676" t="s">
        <v>5873</v>
      </c>
      <c r="K1418" s="676">
        <v>80000</v>
      </c>
      <c r="M1418" t="str">
        <f>""</f>
        <v/>
      </c>
    </row>
    <row r="1419" spans="1:13" ht="15.75">
      <c r="A1419">
        <v>2011</v>
      </c>
      <c r="B1419" s="777">
        <v>40721</v>
      </c>
      <c r="C1419" s="730">
        <v>0</v>
      </c>
      <c r="D1419" s="777">
        <v>40723</v>
      </c>
      <c r="E1419" s="730">
        <v>4.1666666666666664E-2</v>
      </c>
      <c r="F1419" s="558" t="s">
        <v>2236</v>
      </c>
      <c r="G1419" s="558" t="s">
        <v>63</v>
      </c>
      <c r="H1419" s="558" t="s">
        <v>5873</v>
      </c>
      <c r="I1419" s="679" t="s">
        <v>106</v>
      </c>
      <c r="J1419" s="676" t="s">
        <v>5873</v>
      </c>
      <c r="K1419" s="676">
        <v>80000</v>
      </c>
      <c r="M1419" t="str">
        <f>""</f>
        <v/>
      </c>
    </row>
    <row r="1420" spans="1:13" ht="15.75">
      <c r="A1420">
        <v>2013</v>
      </c>
      <c r="B1420" s="777">
        <v>41291</v>
      </c>
      <c r="C1420" s="730">
        <v>0.79305555555555551</v>
      </c>
      <c r="D1420" s="777">
        <v>41293</v>
      </c>
      <c r="E1420" s="730">
        <v>0.75</v>
      </c>
      <c r="F1420" s="558" t="s">
        <v>2180</v>
      </c>
      <c r="G1420" s="558" t="s">
        <v>63</v>
      </c>
      <c r="H1420" s="558" t="s">
        <v>5873</v>
      </c>
      <c r="I1420" s="679" t="s">
        <v>2349</v>
      </c>
      <c r="J1420" s="676" t="s">
        <v>5873</v>
      </c>
      <c r="K1420" s="676">
        <v>80000</v>
      </c>
      <c r="M1420" t="str">
        <f>""</f>
        <v/>
      </c>
    </row>
    <row r="1421" spans="1:13" ht="15.75">
      <c r="A1421">
        <v>2015</v>
      </c>
      <c r="B1421" s="777">
        <v>42100</v>
      </c>
      <c r="C1421" s="730">
        <v>0.34166666666666667</v>
      </c>
      <c r="D1421" s="777">
        <v>42100</v>
      </c>
      <c r="E1421" s="730">
        <v>0.50555555555555554</v>
      </c>
      <c r="F1421" s="558" t="s">
        <v>2767</v>
      </c>
      <c r="G1421" s="558" t="s">
        <v>124</v>
      </c>
      <c r="H1421" s="558" t="s">
        <v>2753</v>
      </c>
      <c r="I1421" s="679" t="s">
        <v>2764</v>
      </c>
      <c r="J1421" s="676" t="s">
        <v>5873</v>
      </c>
      <c r="K1421" s="676">
        <v>80000</v>
      </c>
      <c r="M1421" t="str">
        <f>""</f>
        <v/>
      </c>
    </row>
    <row r="1422" spans="1:13" ht="15.75">
      <c r="A1422">
        <v>2021</v>
      </c>
      <c r="B1422" s="777">
        <v>44446</v>
      </c>
      <c r="C1422" s="730">
        <v>0.72916666666666663</v>
      </c>
      <c r="D1422" s="777">
        <v>44448</v>
      </c>
      <c r="E1422" s="730">
        <v>0.375</v>
      </c>
      <c r="F1422" s="558" t="s">
        <v>5003</v>
      </c>
      <c r="G1422" s="558" t="s">
        <v>3143</v>
      </c>
      <c r="H1422" s="558" t="s">
        <v>2753</v>
      </c>
      <c r="I1422" s="679" t="s">
        <v>22</v>
      </c>
      <c r="J1422" s="676" t="s">
        <v>5873</v>
      </c>
      <c r="K1422" s="676">
        <v>80000</v>
      </c>
      <c r="M1422" t="str">
        <f>""</f>
        <v/>
      </c>
    </row>
    <row r="1423" spans="1:13" ht="15.75">
      <c r="A1423">
        <v>2021</v>
      </c>
      <c r="B1423" s="777">
        <v>44545</v>
      </c>
      <c r="C1423" s="730">
        <v>0.83333333333333337</v>
      </c>
      <c r="D1423" s="777" t="s">
        <v>5873</v>
      </c>
      <c r="E1423" s="730" t="s">
        <v>5873</v>
      </c>
      <c r="F1423" s="558" t="s">
        <v>3554</v>
      </c>
      <c r="G1423" s="558" t="s">
        <v>674</v>
      </c>
      <c r="H1423" s="558" t="s">
        <v>2753</v>
      </c>
      <c r="I1423" s="679" t="s">
        <v>22</v>
      </c>
      <c r="J1423" s="676" t="s">
        <v>5873</v>
      </c>
      <c r="K1423" s="676">
        <v>80000</v>
      </c>
      <c r="M1423" t="str">
        <f>""</f>
        <v/>
      </c>
    </row>
    <row r="1424" spans="1:13" ht="15.75">
      <c r="A1424">
        <v>2022</v>
      </c>
      <c r="B1424" s="777">
        <v>44729</v>
      </c>
      <c r="C1424" s="730">
        <v>0.25138888888888888</v>
      </c>
      <c r="D1424" s="777" t="s">
        <v>5873</v>
      </c>
      <c r="E1424" s="730" t="s">
        <v>5873</v>
      </c>
      <c r="F1424" s="558" t="s">
        <v>4392</v>
      </c>
      <c r="G1424" s="558" t="s">
        <v>5174</v>
      </c>
      <c r="H1424" s="558" t="s">
        <v>2944</v>
      </c>
      <c r="I1424" s="679" t="s">
        <v>22</v>
      </c>
      <c r="J1424" s="676" t="s">
        <v>5873</v>
      </c>
      <c r="K1424" s="676">
        <v>80000</v>
      </c>
      <c r="M1424" t="str">
        <f>""</f>
        <v/>
      </c>
    </row>
    <row r="1425" spans="1:13" ht="15.75">
      <c r="A1425">
        <v>2022</v>
      </c>
      <c r="B1425" s="777">
        <v>44776</v>
      </c>
      <c r="C1425" s="730">
        <v>0.10416666666666667</v>
      </c>
      <c r="D1425" s="777" t="s">
        <v>5873</v>
      </c>
      <c r="E1425" s="730" t="s">
        <v>5873</v>
      </c>
      <c r="F1425" s="558" t="s">
        <v>5460</v>
      </c>
      <c r="G1425" s="558" t="s">
        <v>4935</v>
      </c>
      <c r="H1425" s="558" t="s">
        <v>2753</v>
      </c>
      <c r="I1425" s="679" t="s">
        <v>22</v>
      </c>
      <c r="J1425" s="676" t="s">
        <v>5873</v>
      </c>
      <c r="K1425" s="676">
        <v>80000</v>
      </c>
      <c r="M1425" t="str">
        <f>""</f>
        <v/>
      </c>
    </row>
    <row r="1426" spans="1:13" ht="15.75">
      <c r="A1426">
        <v>2023</v>
      </c>
      <c r="B1426" s="777">
        <v>45016</v>
      </c>
      <c r="C1426" s="730">
        <v>0.95833333333333337</v>
      </c>
      <c r="D1426" s="777">
        <v>45017</v>
      </c>
      <c r="E1426" s="730">
        <v>0.67708333333333337</v>
      </c>
      <c r="F1426" s="558" t="s">
        <v>5821</v>
      </c>
      <c r="G1426" s="558" t="s">
        <v>674</v>
      </c>
      <c r="H1426" s="558" t="s">
        <v>2753</v>
      </c>
      <c r="I1426" s="679" t="s">
        <v>22</v>
      </c>
      <c r="J1426" s="676" t="s">
        <v>5873</v>
      </c>
      <c r="K1426" s="676">
        <v>80000</v>
      </c>
      <c r="M1426" t="str">
        <f>""</f>
        <v/>
      </c>
    </row>
    <row r="1427" spans="1:13" ht="15.75">
      <c r="A1427" s="728">
        <v>2010</v>
      </c>
      <c r="B1427" s="777">
        <v>40337</v>
      </c>
      <c r="C1427" s="730">
        <v>0.45833333333333331</v>
      </c>
      <c r="D1427" s="777">
        <v>40337</v>
      </c>
      <c r="E1427" s="730">
        <v>0.70833333333333337</v>
      </c>
      <c r="F1427" s="558" t="s">
        <v>1938</v>
      </c>
      <c r="G1427" s="558" t="s">
        <v>1352</v>
      </c>
      <c r="H1427" s="558" t="s">
        <v>5873</v>
      </c>
      <c r="I1427" s="679" t="s">
        <v>381</v>
      </c>
      <c r="J1427" s="676" t="s">
        <v>5873</v>
      </c>
      <c r="K1427" s="676">
        <v>79741</v>
      </c>
      <c r="M1427" t="str">
        <f>""</f>
        <v/>
      </c>
    </row>
    <row r="1428" spans="1:13" ht="15.75">
      <c r="A1428">
        <v>2014</v>
      </c>
      <c r="B1428" s="777">
        <v>41969</v>
      </c>
      <c r="C1428" s="730">
        <v>0.74305555555555558</v>
      </c>
      <c r="D1428" s="777">
        <v>41971</v>
      </c>
      <c r="E1428" s="730">
        <v>0.29166666666666669</v>
      </c>
      <c r="F1428" s="558" t="s">
        <v>2735</v>
      </c>
      <c r="G1428" s="558" t="s">
        <v>61</v>
      </c>
      <c r="H1428" s="558" t="s">
        <v>5873</v>
      </c>
      <c r="I1428" s="679" t="s">
        <v>2349</v>
      </c>
      <c r="J1428" s="676" t="s">
        <v>5873</v>
      </c>
      <c r="K1428" s="676">
        <v>79530</v>
      </c>
      <c r="M1428" t="str">
        <f>""</f>
        <v/>
      </c>
    </row>
    <row r="1429" spans="1:13" ht="15.75">
      <c r="A1429" s="728">
        <v>2010</v>
      </c>
      <c r="B1429" s="777">
        <v>40347</v>
      </c>
      <c r="C1429" s="730">
        <v>0.83333333333333337</v>
      </c>
      <c r="D1429" s="777">
        <v>40350</v>
      </c>
      <c r="E1429" s="730">
        <v>0.44791666666666669</v>
      </c>
      <c r="F1429" s="558" t="s">
        <v>1962</v>
      </c>
      <c r="G1429" s="558" t="s">
        <v>826</v>
      </c>
      <c r="H1429" s="558" t="s">
        <v>5873</v>
      </c>
      <c r="I1429" s="679" t="s">
        <v>22</v>
      </c>
      <c r="J1429" s="676" t="s">
        <v>5873</v>
      </c>
      <c r="K1429" s="676">
        <v>79000</v>
      </c>
      <c r="M1429" t="str">
        <f>""</f>
        <v/>
      </c>
    </row>
    <row r="1430" spans="1:13" ht="15.75">
      <c r="A1430">
        <v>2011</v>
      </c>
      <c r="B1430" s="777">
        <v>40622</v>
      </c>
      <c r="C1430" s="730">
        <v>0.40555555555555556</v>
      </c>
      <c r="D1430" s="777">
        <v>40623</v>
      </c>
      <c r="E1430" s="730">
        <v>0.41666666666666669</v>
      </c>
      <c r="F1430" s="558" t="s">
        <v>2157</v>
      </c>
      <c r="G1430" s="558" t="s">
        <v>124</v>
      </c>
      <c r="H1430" s="558" t="s">
        <v>5873</v>
      </c>
      <c r="I1430" s="679" t="s">
        <v>1096</v>
      </c>
      <c r="J1430" s="676" t="s">
        <v>5873</v>
      </c>
      <c r="K1430" s="676">
        <v>79000</v>
      </c>
      <c r="M1430" t="str">
        <f>""</f>
        <v/>
      </c>
    </row>
    <row r="1431" spans="1:13" ht="15.75">
      <c r="A1431">
        <v>2011</v>
      </c>
      <c r="B1431" s="777">
        <v>40779</v>
      </c>
      <c r="C1431" s="730">
        <v>0.32291666666666669</v>
      </c>
      <c r="D1431" s="777">
        <v>40780</v>
      </c>
      <c r="E1431" s="730">
        <v>0.25</v>
      </c>
      <c r="F1431" s="558" t="s">
        <v>2273</v>
      </c>
      <c r="G1431" s="558" t="s">
        <v>1352</v>
      </c>
      <c r="H1431" s="558" t="s">
        <v>5873</v>
      </c>
      <c r="I1431" s="679" t="s">
        <v>22</v>
      </c>
      <c r="J1431" s="676">
        <v>485</v>
      </c>
      <c r="K1431" s="676">
        <v>79000</v>
      </c>
      <c r="M1431" t="str">
        <f>""</f>
        <v/>
      </c>
    </row>
    <row r="1432" spans="1:13" ht="15.75">
      <c r="A1432">
        <v>2017</v>
      </c>
      <c r="B1432" s="777">
        <v>43077</v>
      </c>
      <c r="C1432" s="730">
        <v>0.39583333333333331</v>
      </c>
      <c r="D1432" s="777">
        <v>43077</v>
      </c>
      <c r="E1432" s="730">
        <v>0.9375</v>
      </c>
      <c r="F1432" s="558" t="s">
        <v>3164</v>
      </c>
      <c r="G1432" s="558" t="s">
        <v>63</v>
      </c>
      <c r="H1432" s="558" t="s">
        <v>2753</v>
      </c>
      <c r="I1432" s="679" t="s">
        <v>22</v>
      </c>
      <c r="J1432" s="676" t="s">
        <v>5873</v>
      </c>
      <c r="K1432" s="676">
        <v>79000</v>
      </c>
      <c r="M1432" t="str">
        <f>""</f>
        <v/>
      </c>
    </row>
    <row r="1433" spans="1:13" ht="15.75">
      <c r="A1433">
        <v>2015</v>
      </c>
      <c r="B1433" s="777">
        <v>42150</v>
      </c>
      <c r="C1433" s="730">
        <v>0.22916666666666666</v>
      </c>
      <c r="D1433" s="777">
        <v>42151</v>
      </c>
      <c r="E1433" s="730">
        <v>0.79166666666666663</v>
      </c>
      <c r="F1433" s="558" t="s">
        <v>2778</v>
      </c>
      <c r="G1433" s="558" t="s">
        <v>63</v>
      </c>
      <c r="H1433" s="558" t="s">
        <v>2753</v>
      </c>
      <c r="I1433" s="679" t="s">
        <v>22</v>
      </c>
      <c r="J1433" s="676" t="s">
        <v>5873</v>
      </c>
      <c r="K1433" s="676">
        <v>78515</v>
      </c>
      <c r="M1433" t="str">
        <f>""</f>
        <v/>
      </c>
    </row>
    <row r="1434" spans="1:13" ht="15.75">
      <c r="A1434">
        <v>2017</v>
      </c>
      <c r="B1434" s="777">
        <v>42977</v>
      </c>
      <c r="C1434" s="730">
        <v>9.375E-2</v>
      </c>
      <c r="D1434" s="777" t="s">
        <v>5873</v>
      </c>
      <c r="E1434" s="730" t="s">
        <v>5873</v>
      </c>
      <c r="F1434" s="558" t="s">
        <v>2919</v>
      </c>
      <c r="G1434" s="558" t="s">
        <v>1352</v>
      </c>
      <c r="H1434" s="558" t="s">
        <v>2753</v>
      </c>
      <c r="I1434" s="679" t="s">
        <v>22</v>
      </c>
      <c r="J1434" s="676" t="s">
        <v>5873</v>
      </c>
      <c r="K1434" s="676">
        <v>78500</v>
      </c>
      <c r="M1434" t="str">
        <f>""</f>
        <v/>
      </c>
    </row>
    <row r="1435" spans="1:13" ht="15.75">
      <c r="A1435">
        <v>2020</v>
      </c>
      <c r="B1435" s="777">
        <v>43929</v>
      </c>
      <c r="C1435" s="730">
        <v>0.9145833333333333</v>
      </c>
      <c r="D1435" s="777">
        <v>43930</v>
      </c>
      <c r="E1435" s="730">
        <v>0.37430555555555556</v>
      </c>
      <c r="F1435" s="558" t="s">
        <v>4048</v>
      </c>
      <c r="G1435" s="558" t="s">
        <v>3143</v>
      </c>
      <c r="H1435" s="558" t="s">
        <v>3451</v>
      </c>
      <c r="I1435" s="679" t="s">
        <v>22</v>
      </c>
      <c r="J1435" s="676" t="s">
        <v>5873</v>
      </c>
      <c r="K1435" s="676">
        <v>78314</v>
      </c>
      <c r="M1435" t="str">
        <f>""</f>
        <v/>
      </c>
    </row>
    <row r="1436" spans="1:13" ht="15.75">
      <c r="A1436">
        <v>2018</v>
      </c>
      <c r="B1436" s="777">
        <v>43178</v>
      </c>
      <c r="C1436" s="730">
        <v>0.97847222222222219</v>
      </c>
      <c r="D1436" s="777">
        <v>43179</v>
      </c>
      <c r="E1436" s="730">
        <v>0.15069444444444444</v>
      </c>
      <c r="F1436" s="558" t="s">
        <v>3273</v>
      </c>
      <c r="G1436" s="558" t="s">
        <v>63</v>
      </c>
      <c r="H1436" s="558" t="s">
        <v>2753</v>
      </c>
      <c r="I1436" s="679" t="s">
        <v>22</v>
      </c>
      <c r="J1436" s="676">
        <v>261</v>
      </c>
      <c r="K1436" s="676">
        <v>78220</v>
      </c>
      <c r="M1436" t="str">
        <f>""</f>
        <v/>
      </c>
    </row>
    <row r="1437" spans="1:13" ht="15.75">
      <c r="A1437">
        <v>2011</v>
      </c>
      <c r="B1437" s="777">
        <v>40673</v>
      </c>
      <c r="C1437" s="730">
        <v>0.1423611111111111</v>
      </c>
      <c r="D1437" s="777">
        <v>40674</v>
      </c>
      <c r="E1437" s="730">
        <v>0.59027777777777779</v>
      </c>
      <c r="F1437" s="558" t="s">
        <v>2194</v>
      </c>
      <c r="G1437" s="558" t="s">
        <v>826</v>
      </c>
      <c r="H1437" s="558" t="s">
        <v>5873</v>
      </c>
      <c r="I1437" s="679" t="s">
        <v>2195</v>
      </c>
      <c r="J1437" s="676">
        <v>585</v>
      </c>
      <c r="K1437" s="676">
        <v>78213</v>
      </c>
      <c r="M1437" t="str">
        <f>""</f>
        <v/>
      </c>
    </row>
    <row r="1438" spans="1:13" ht="15.75">
      <c r="A1438">
        <v>2015</v>
      </c>
      <c r="B1438" s="777">
        <v>42203</v>
      </c>
      <c r="C1438" s="730">
        <v>0.83263888888888893</v>
      </c>
      <c r="D1438" s="777">
        <v>42203</v>
      </c>
      <c r="E1438" s="730">
        <v>0.94791666666666663</v>
      </c>
      <c r="F1438" s="558" t="s">
        <v>18</v>
      </c>
      <c r="G1438" s="558" t="s">
        <v>124</v>
      </c>
      <c r="H1438" s="558" t="s">
        <v>2753</v>
      </c>
      <c r="I1438" s="679" t="s">
        <v>22</v>
      </c>
      <c r="J1438" s="676">
        <v>160</v>
      </c>
      <c r="K1438" s="676">
        <v>78164</v>
      </c>
      <c r="M1438" t="str">
        <f>""</f>
        <v/>
      </c>
    </row>
    <row r="1439" spans="1:13" ht="15.75">
      <c r="A1439">
        <v>2020</v>
      </c>
      <c r="B1439" s="777">
        <v>44009</v>
      </c>
      <c r="C1439" s="730">
        <v>0.66666666666666663</v>
      </c>
      <c r="D1439" s="777">
        <v>44010</v>
      </c>
      <c r="E1439" s="730">
        <v>0.10208333333333333</v>
      </c>
      <c r="F1439" s="558" t="s">
        <v>3273</v>
      </c>
      <c r="G1439" s="558" t="s">
        <v>63</v>
      </c>
      <c r="H1439" s="558" t="s">
        <v>3451</v>
      </c>
      <c r="I1439" s="679" t="s">
        <v>22</v>
      </c>
      <c r="J1439" s="676">
        <v>33480</v>
      </c>
      <c r="K1439" s="676">
        <v>78109</v>
      </c>
      <c r="M1439" t="str">
        <f>""</f>
        <v/>
      </c>
    </row>
    <row r="1440" spans="1:13" ht="15.75">
      <c r="A1440">
        <v>2018</v>
      </c>
      <c r="B1440" s="777">
        <v>43205</v>
      </c>
      <c r="C1440" s="730">
        <v>0.71805555555555556</v>
      </c>
      <c r="D1440" s="777">
        <v>43205</v>
      </c>
      <c r="E1440" s="730">
        <v>0.97569444444444442</v>
      </c>
      <c r="F1440" s="558" t="s">
        <v>2832</v>
      </c>
      <c r="G1440" s="558" t="s">
        <v>63</v>
      </c>
      <c r="H1440" s="558" t="s">
        <v>2753</v>
      </c>
      <c r="I1440" s="679" t="s">
        <v>22</v>
      </c>
      <c r="J1440" s="676" t="s">
        <v>5873</v>
      </c>
      <c r="K1440" s="676">
        <v>78100</v>
      </c>
      <c r="M1440" t="str">
        <f>""</f>
        <v/>
      </c>
    </row>
    <row r="1441" spans="1:13" ht="15.75">
      <c r="A1441">
        <v>2020</v>
      </c>
      <c r="B1441" s="777">
        <v>43985</v>
      </c>
      <c r="C1441" s="730">
        <v>0.56666666666666665</v>
      </c>
      <c r="D1441" s="777">
        <v>43985</v>
      </c>
      <c r="E1441" s="730">
        <v>0.6875</v>
      </c>
      <c r="F1441" s="558" t="s">
        <v>2833</v>
      </c>
      <c r="G1441" s="558" t="s">
        <v>3143</v>
      </c>
      <c r="H1441" s="558" t="s">
        <v>3451</v>
      </c>
      <c r="I1441" s="679" t="s">
        <v>22</v>
      </c>
      <c r="J1441" s="676" t="s">
        <v>5873</v>
      </c>
      <c r="K1441" s="676">
        <v>78079</v>
      </c>
      <c r="M1441" t="str">
        <f>""</f>
        <v/>
      </c>
    </row>
    <row r="1442" spans="1:13" ht="15.75">
      <c r="A1442">
        <v>2020</v>
      </c>
      <c r="B1442" s="777">
        <v>43951</v>
      </c>
      <c r="C1442" s="730">
        <v>0.625</v>
      </c>
      <c r="D1442" s="777" t="s">
        <v>5873</v>
      </c>
      <c r="E1442" s="730" t="s">
        <v>5873</v>
      </c>
      <c r="F1442" s="558" t="s">
        <v>4237</v>
      </c>
      <c r="G1442" s="558" t="s">
        <v>3143</v>
      </c>
      <c r="H1442" s="558" t="s">
        <v>3451</v>
      </c>
      <c r="I1442" s="679" t="s">
        <v>22</v>
      </c>
      <c r="J1442" s="676" t="s">
        <v>5873</v>
      </c>
      <c r="K1442" s="676">
        <v>78007</v>
      </c>
      <c r="M1442" t="str">
        <f>""</f>
        <v/>
      </c>
    </row>
    <row r="1443" spans="1:13" ht="15.75">
      <c r="A1443">
        <v>2011</v>
      </c>
      <c r="B1443" s="777">
        <v>40699</v>
      </c>
      <c r="C1443" s="730">
        <v>0.22916666666666666</v>
      </c>
      <c r="D1443" s="777">
        <v>40700</v>
      </c>
      <c r="E1443" s="730">
        <v>6.25E-2</v>
      </c>
      <c r="F1443" s="558" t="s">
        <v>2216</v>
      </c>
      <c r="G1443" s="558" t="s">
        <v>1352</v>
      </c>
      <c r="H1443" s="558" t="s">
        <v>5873</v>
      </c>
      <c r="I1443" s="679" t="s">
        <v>106</v>
      </c>
      <c r="J1443" s="676">
        <v>473</v>
      </c>
      <c r="K1443" s="676">
        <v>78000</v>
      </c>
      <c r="M1443" t="str">
        <f>""</f>
        <v/>
      </c>
    </row>
    <row r="1444" spans="1:13" ht="15.75">
      <c r="A1444">
        <v>2014</v>
      </c>
      <c r="B1444" s="777">
        <v>41937</v>
      </c>
      <c r="C1444" s="730">
        <v>0.66666666666666663</v>
      </c>
      <c r="D1444" s="777">
        <v>41937</v>
      </c>
      <c r="E1444" s="730">
        <v>0.91666666666666663</v>
      </c>
      <c r="F1444" s="558" t="s">
        <v>2727</v>
      </c>
      <c r="G1444" s="558" t="s">
        <v>124</v>
      </c>
      <c r="H1444" s="558" t="s">
        <v>5873</v>
      </c>
      <c r="I1444" s="679" t="s">
        <v>2680</v>
      </c>
      <c r="J1444" s="676">
        <v>216</v>
      </c>
      <c r="K1444" s="676">
        <v>78000</v>
      </c>
      <c r="M1444" t="str">
        <f>""</f>
        <v/>
      </c>
    </row>
    <row r="1445" spans="1:13" ht="15.75">
      <c r="A1445">
        <v>2020</v>
      </c>
      <c r="B1445" s="777">
        <v>43950</v>
      </c>
      <c r="C1445" s="730">
        <v>0.25</v>
      </c>
      <c r="D1445" s="777">
        <v>43950</v>
      </c>
      <c r="E1445" s="730">
        <v>0.52152777777777781</v>
      </c>
      <c r="F1445" s="558" t="s">
        <v>2866</v>
      </c>
      <c r="G1445" s="558" t="s">
        <v>63</v>
      </c>
      <c r="H1445" s="558" t="s">
        <v>3451</v>
      </c>
      <c r="I1445" s="679" t="s">
        <v>22</v>
      </c>
      <c r="J1445" s="676" t="s">
        <v>5873</v>
      </c>
      <c r="K1445" s="676">
        <v>77933</v>
      </c>
      <c r="M1445" t="str">
        <f>""</f>
        <v/>
      </c>
    </row>
    <row r="1446" spans="1:13" ht="15.75">
      <c r="A1446">
        <v>2022</v>
      </c>
      <c r="B1446" s="777">
        <v>44728</v>
      </c>
      <c r="C1446" s="730">
        <v>0.68819444444444444</v>
      </c>
      <c r="D1446" s="777">
        <v>44728</v>
      </c>
      <c r="E1446" s="730">
        <v>0.83819444444444446</v>
      </c>
      <c r="F1446" s="558" t="s">
        <v>2832</v>
      </c>
      <c r="G1446" s="558" t="s">
        <v>63</v>
      </c>
      <c r="H1446" s="558" t="s">
        <v>5373</v>
      </c>
      <c r="I1446" s="679" t="s">
        <v>22</v>
      </c>
      <c r="J1446" s="676" t="s">
        <v>5873</v>
      </c>
      <c r="K1446" s="676">
        <v>77908</v>
      </c>
      <c r="M1446" t="str">
        <f>""</f>
        <v/>
      </c>
    </row>
    <row r="1447" spans="1:13" ht="15.75">
      <c r="A1447">
        <v>2020</v>
      </c>
      <c r="B1447" s="777">
        <v>44090</v>
      </c>
      <c r="C1447" s="730">
        <v>0.125</v>
      </c>
      <c r="D1447" s="777">
        <v>44095</v>
      </c>
      <c r="E1447" s="730">
        <v>0.33333333333333331</v>
      </c>
      <c r="F1447" s="558" t="s">
        <v>4502</v>
      </c>
      <c r="G1447" s="558" t="s">
        <v>63</v>
      </c>
      <c r="H1447" s="558" t="s">
        <v>3451</v>
      </c>
      <c r="I1447" s="679" t="s">
        <v>22</v>
      </c>
      <c r="J1447" s="676">
        <v>0</v>
      </c>
      <c r="K1447" s="676">
        <v>77600</v>
      </c>
      <c r="M1447" t="str">
        <f>""</f>
        <v/>
      </c>
    </row>
    <row r="1448" spans="1:13" ht="15.75">
      <c r="A1448">
        <v>2013</v>
      </c>
      <c r="B1448" s="777">
        <v>41595</v>
      </c>
      <c r="C1448" s="730">
        <v>0.67986111111111114</v>
      </c>
      <c r="D1448" s="777">
        <v>41596</v>
      </c>
      <c r="E1448" s="730">
        <v>0.75</v>
      </c>
      <c r="F1448" s="558" t="s">
        <v>1962</v>
      </c>
      <c r="G1448" s="558" t="s">
        <v>826</v>
      </c>
      <c r="H1448" s="558" t="s">
        <v>5873</v>
      </c>
      <c r="I1448" s="679" t="s">
        <v>2368</v>
      </c>
      <c r="J1448" s="676" t="s">
        <v>5873</v>
      </c>
      <c r="K1448" s="676">
        <v>77346</v>
      </c>
      <c r="M1448" t="str">
        <f>""</f>
        <v/>
      </c>
    </row>
    <row r="1449" spans="1:13" ht="15.75">
      <c r="A1449">
        <v>2020</v>
      </c>
      <c r="B1449" s="777">
        <v>43941</v>
      </c>
      <c r="C1449" s="730">
        <v>4.0972222222222222E-2</v>
      </c>
      <c r="D1449" s="777">
        <v>43941</v>
      </c>
      <c r="E1449" s="730">
        <v>0.3611111111111111</v>
      </c>
      <c r="F1449" s="558" t="s">
        <v>3745</v>
      </c>
      <c r="G1449" s="558" t="s">
        <v>63</v>
      </c>
      <c r="H1449" s="558" t="s">
        <v>3451</v>
      </c>
      <c r="I1449" s="679" t="s">
        <v>22</v>
      </c>
      <c r="J1449" s="676">
        <v>552</v>
      </c>
      <c r="K1449" s="676">
        <v>77341</v>
      </c>
      <c r="M1449" t="str">
        <f>""</f>
        <v/>
      </c>
    </row>
    <row r="1450" spans="1:13" ht="15.75">
      <c r="A1450">
        <v>2019</v>
      </c>
      <c r="B1450" s="777">
        <v>43714</v>
      </c>
      <c r="C1450" s="730">
        <v>0.34722222222222221</v>
      </c>
      <c r="D1450" s="777" t="s">
        <v>5873</v>
      </c>
      <c r="E1450" s="730" t="s">
        <v>5873</v>
      </c>
      <c r="F1450" s="558" t="s">
        <v>2928</v>
      </c>
      <c r="G1450" s="558" t="s">
        <v>63</v>
      </c>
      <c r="H1450" s="558" t="s">
        <v>3451</v>
      </c>
      <c r="I1450" s="679" t="s">
        <v>22</v>
      </c>
      <c r="J1450" s="676" t="s">
        <v>5873</v>
      </c>
      <c r="K1450" s="676">
        <v>77000</v>
      </c>
      <c r="M1450" t="str">
        <f>""</f>
        <v/>
      </c>
    </row>
    <row r="1451" spans="1:13" ht="15.75">
      <c r="A1451" s="728">
        <v>2010</v>
      </c>
      <c r="B1451" s="777">
        <v>40395</v>
      </c>
      <c r="C1451" s="730">
        <v>0.64583333333333337</v>
      </c>
      <c r="D1451" s="777">
        <v>40395</v>
      </c>
      <c r="E1451" s="730">
        <v>0.91666666666666663</v>
      </c>
      <c r="F1451" s="558" t="s">
        <v>2018</v>
      </c>
      <c r="G1451" s="558" t="s">
        <v>826</v>
      </c>
      <c r="H1451" s="558" t="s">
        <v>5873</v>
      </c>
      <c r="I1451" s="679" t="s">
        <v>381</v>
      </c>
      <c r="J1451" s="676" t="s">
        <v>5873</v>
      </c>
      <c r="K1451" s="676">
        <v>76729</v>
      </c>
      <c r="M1451" t="str">
        <f>""</f>
        <v/>
      </c>
    </row>
    <row r="1452" spans="1:13" ht="15.75">
      <c r="A1452">
        <v>2022</v>
      </c>
      <c r="B1452" s="777">
        <v>44848</v>
      </c>
      <c r="C1452" s="730">
        <v>0.55208333333333337</v>
      </c>
      <c r="D1452" s="777">
        <v>44848</v>
      </c>
      <c r="E1452" s="730">
        <v>0.73958333333333337</v>
      </c>
      <c r="F1452" s="558" t="s">
        <v>5552</v>
      </c>
      <c r="G1452" s="558" t="s">
        <v>61</v>
      </c>
      <c r="H1452" s="558" t="s">
        <v>2753</v>
      </c>
      <c r="I1452" s="679" t="s">
        <v>5553</v>
      </c>
      <c r="J1452" s="676" t="s">
        <v>5873</v>
      </c>
      <c r="K1452" s="676">
        <v>76388</v>
      </c>
      <c r="M1452" t="str">
        <f>""</f>
        <v/>
      </c>
    </row>
    <row r="1453" spans="1:13" ht="15.75">
      <c r="A1453">
        <v>2015</v>
      </c>
      <c r="B1453" s="777">
        <v>42347</v>
      </c>
      <c r="C1453" s="730">
        <v>0.16666666666666666</v>
      </c>
      <c r="D1453" s="777">
        <v>42347</v>
      </c>
      <c r="E1453" s="730">
        <v>0.45833333333333331</v>
      </c>
      <c r="F1453" s="558" t="s">
        <v>2575</v>
      </c>
      <c r="G1453" s="558" t="s">
        <v>124</v>
      </c>
      <c r="H1453" s="558" t="s">
        <v>2753</v>
      </c>
      <c r="I1453" s="679" t="s">
        <v>22</v>
      </c>
      <c r="J1453" s="676">
        <v>115</v>
      </c>
      <c r="K1453" s="676">
        <v>76300</v>
      </c>
      <c r="M1453" t="str">
        <f>""</f>
        <v/>
      </c>
    </row>
    <row r="1454" spans="1:13" ht="15.75">
      <c r="A1454">
        <v>2020</v>
      </c>
      <c r="B1454" s="777">
        <v>44172</v>
      </c>
      <c r="C1454" s="730">
        <v>0.75694444444444442</v>
      </c>
      <c r="D1454" s="777">
        <v>44173</v>
      </c>
      <c r="E1454" s="730">
        <v>0.88124999999999998</v>
      </c>
      <c r="F1454" s="558" t="s">
        <v>4610</v>
      </c>
      <c r="G1454" s="558" t="s">
        <v>124</v>
      </c>
      <c r="H1454" s="558" t="s">
        <v>3451</v>
      </c>
      <c r="I1454" s="679" t="s">
        <v>22</v>
      </c>
      <c r="J1454" s="676">
        <v>286</v>
      </c>
      <c r="K1454" s="676">
        <v>76234</v>
      </c>
      <c r="M1454" t="str">
        <f>""</f>
        <v/>
      </c>
    </row>
    <row r="1455" spans="1:13" ht="15.75">
      <c r="A1455">
        <v>2020</v>
      </c>
      <c r="B1455" s="777">
        <v>44047</v>
      </c>
      <c r="C1455" s="730">
        <v>0.60763888888888884</v>
      </c>
      <c r="D1455" s="777">
        <v>44053</v>
      </c>
      <c r="E1455" s="730">
        <v>0.45833333333333331</v>
      </c>
      <c r="F1455" s="558" t="s">
        <v>3719</v>
      </c>
      <c r="G1455" s="558" t="s">
        <v>61</v>
      </c>
      <c r="H1455" s="558" t="s">
        <v>3451</v>
      </c>
      <c r="I1455" s="679" t="s">
        <v>22</v>
      </c>
      <c r="J1455" s="676" t="s">
        <v>5873</v>
      </c>
      <c r="K1455" s="676">
        <v>76120</v>
      </c>
      <c r="M1455" t="str">
        <f>""</f>
        <v/>
      </c>
    </row>
    <row r="1456" spans="1:13" ht="15.75">
      <c r="A1456">
        <v>2020</v>
      </c>
      <c r="B1456" s="777">
        <v>44047</v>
      </c>
      <c r="C1456" s="730">
        <v>0.60763888888888884</v>
      </c>
      <c r="D1456" s="777" t="s">
        <v>5873</v>
      </c>
      <c r="E1456" s="730" t="s">
        <v>5873</v>
      </c>
      <c r="F1456" s="558" t="s">
        <v>2868</v>
      </c>
      <c r="G1456" s="558" t="s">
        <v>61</v>
      </c>
      <c r="H1456" s="558" t="s">
        <v>3451</v>
      </c>
      <c r="I1456" s="679" t="s">
        <v>22</v>
      </c>
      <c r="J1456" s="676" t="s">
        <v>5873</v>
      </c>
      <c r="K1456" s="676">
        <v>76120</v>
      </c>
      <c r="M1456" t="str">
        <f>""</f>
        <v/>
      </c>
    </row>
    <row r="1457" spans="1:13" ht="15.75">
      <c r="A1457">
        <v>2017</v>
      </c>
      <c r="B1457" s="777">
        <v>42902</v>
      </c>
      <c r="C1457" s="730">
        <v>0.83333333333333337</v>
      </c>
      <c r="D1457" s="777">
        <v>42903</v>
      </c>
      <c r="E1457" s="730">
        <v>0.25</v>
      </c>
      <c r="F1457" s="558" t="s">
        <v>48</v>
      </c>
      <c r="G1457" s="558" t="s">
        <v>63</v>
      </c>
      <c r="H1457" s="558" t="s">
        <v>2753</v>
      </c>
      <c r="I1457" s="679" t="s">
        <v>22</v>
      </c>
      <c r="J1457" s="676" t="s">
        <v>5873</v>
      </c>
      <c r="K1457" s="676">
        <v>76000</v>
      </c>
      <c r="M1457" t="str">
        <f>""</f>
        <v/>
      </c>
    </row>
    <row r="1458" spans="1:13" ht="15.75">
      <c r="A1458">
        <v>2017</v>
      </c>
      <c r="B1458" s="777">
        <v>42902</v>
      </c>
      <c r="C1458" s="730">
        <v>0.83333333333333337</v>
      </c>
      <c r="D1458" s="777" t="s">
        <v>5873</v>
      </c>
      <c r="E1458" s="730" t="s">
        <v>5873</v>
      </c>
      <c r="F1458" s="558" t="s">
        <v>3043</v>
      </c>
      <c r="G1458" s="558" t="s">
        <v>674</v>
      </c>
      <c r="H1458" s="558" t="s">
        <v>2753</v>
      </c>
      <c r="I1458" s="679" t="s">
        <v>22</v>
      </c>
      <c r="J1458" s="676" t="s">
        <v>5873</v>
      </c>
      <c r="K1458" s="676">
        <v>76000</v>
      </c>
      <c r="M1458" t="str">
        <f>""</f>
        <v/>
      </c>
    </row>
    <row r="1459" spans="1:13" ht="15.75">
      <c r="A1459">
        <v>2020</v>
      </c>
      <c r="B1459" s="777">
        <v>44117</v>
      </c>
      <c r="C1459" s="730">
        <v>0.55138888888888893</v>
      </c>
      <c r="D1459" s="777">
        <v>44118</v>
      </c>
      <c r="E1459" s="730">
        <v>0.58333333333333337</v>
      </c>
      <c r="F1459" s="558" t="s">
        <v>4537</v>
      </c>
      <c r="G1459" s="558" t="s">
        <v>124</v>
      </c>
      <c r="H1459" s="558" t="s">
        <v>3451</v>
      </c>
      <c r="I1459" s="679" t="s">
        <v>22</v>
      </c>
      <c r="J1459" s="676" t="s">
        <v>5873</v>
      </c>
      <c r="K1459" s="676">
        <v>76000</v>
      </c>
      <c r="M1459" t="str">
        <f>""</f>
        <v/>
      </c>
    </row>
    <row r="1460" spans="1:13" ht="15.75">
      <c r="A1460">
        <v>2023</v>
      </c>
      <c r="B1460" s="777">
        <v>44984</v>
      </c>
      <c r="C1460" s="730">
        <v>0.55902777777777779</v>
      </c>
      <c r="D1460" s="777">
        <v>44984</v>
      </c>
      <c r="E1460" s="730">
        <v>0.99930555555555556</v>
      </c>
      <c r="F1460" s="558" t="s">
        <v>5760</v>
      </c>
      <c r="G1460" s="558" t="s">
        <v>3143</v>
      </c>
      <c r="H1460" s="558" t="s">
        <v>2753</v>
      </c>
      <c r="I1460" s="679" t="s">
        <v>22</v>
      </c>
      <c r="J1460" s="676" t="s">
        <v>5873</v>
      </c>
      <c r="K1460" s="676">
        <v>76000</v>
      </c>
      <c r="M1460" t="str">
        <f>""</f>
        <v/>
      </c>
    </row>
    <row r="1461" spans="1:13" ht="15.75">
      <c r="A1461">
        <v>2022</v>
      </c>
      <c r="B1461" s="777">
        <v>44777</v>
      </c>
      <c r="C1461" s="730">
        <v>0.75</v>
      </c>
      <c r="D1461" s="777">
        <v>44778</v>
      </c>
      <c r="E1461" s="730">
        <v>8.3333333333333329E-2</v>
      </c>
      <c r="F1461" s="558" t="s">
        <v>5466</v>
      </c>
      <c r="G1461" s="558" t="s">
        <v>3143</v>
      </c>
      <c r="H1461" s="558" t="s">
        <v>2753</v>
      </c>
      <c r="I1461" s="679" t="s">
        <v>22</v>
      </c>
      <c r="J1461" s="676" t="s">
        <v>5873</v>
      </c>
      <c r="K1461" s="676">
        <v>75500</v>
      </c>
      <c r="M1461" t="str">
        <f>""</f>
        <v/>
      </c>
    </row>
    <row r="1462" spans="1:13" ht="15.75">
      <c r="A1462">
        <v>2019</v>
      </c>
      <c r="B1462" s="777">
        <v>43570</v>
      </c>
      <c r="C1462" s="730">
        <v>0.19097222222222221</v>
      </c>
      <c r="D1462" s="777">
        <v>43570</v>
      </c>
      <c r="E1462" s="730">
        <v>0.61111111111111116</v>
      </c>
      <c r="F1462" s="558" t="s">
        <v>3325</v>
      </c>
      <c r="G1462" s="558" t="s">
        <v>63</v>
      </c>
      <c r="H1462" s="558" t="s">
        <v>3451</v>
      </c>
      <c r="I1462" s="679" t="s">
        <v>22</v>
      </c>
      <c r="J1462" s="676" t="s">
        <v>5873</v>
      </c>
      <c r="K1462" s="676">
        <v>75290</v>
      </c>
      <c r="M1462" t="str">
        <f>""</f>
        <v/>
      </c>
    </row>
    <row r="1463" spans="1:13" ht="15.75">
      <c r="A1463">
        <v>2011</v>
      </c>
      <c r="B1463" s="777">
        <v>40716</v>
      </c>
      <c r="C1463" s="730">
        <v>0.79166666666666663</v>
      </c>
      <c r="D1463" s="777">
        <v>40717</v>
      </c>
      <c r="E1463" s="730">
        <v>4.1666666666666664E-2</v>
      </c>
      <c r="F1463" s="558" t="s">
        <v>2231</v>
      </c>
      <c r="G1463" s="558" t="s">
        <v>63</v>
      </c>
      <c r="H1463" s="558" t="s">
        <v>5873</v>
      </c>
      <c r="I1463" s="679" t="s">
        <v>106</v>
      </c>
      <c r="J1463" s="676">
        <v>316</v>
      </c>
      <c r="K1463" s="676">
        <v>75101</v>
      </c>
      <c r="M1463" t="str">
        <f>""</f>
        <v/>
      </c>
    </row>
    <row r="1464" spans="1:13" ht="15.75">
      <c r="A1464">
        <v>2013</v>
      </c>
      <c r="B1464" s="777">
        <v>41595</v>
      </c>
      <c r="C1464" s="730">
        <v>0.54583333333333328</v>
      </c>
      <c r="D1464" s="777">
        <v>41598</v>
      </c>
      <c r="E1464" s="730">
        <v>0.54583333333333328</v>
      </c>
      <c r="F1464" s="558" t="s">
        <v>2626</v>
      </c>
      <c r="G1464" s="558" t="s">
        <v>826</v>
      </c>
      <c r="H1464" s="558" t="s">
        <v>5873</v>
      </c>
      <c r="I1464" s="679" t="s">
        <v>2368</v>
      </c>
      <c r="J1464" s="676" t="s">
        <v>5873</v>
      </c>
      <c r="K1464" s="676">
        <v>75065</v>
      </c>
      <c r="M1464" t="str">
        <f>""</f>
        <v/>
      </c>
    </row>
    <row r="1465" spans="1:13" ht="15.75">
      <c r="A1465">
        <v>2013</v>
      </c>
      <c r="B1465" s="777">
        <v>41305</v>
      </c>
      <c r="C1465" s="730">
        <v>0.27083333333333331</v>
      </c>
      <c r="D1465" s="777">
        <v>41305</v>
      </c>
      <c r="E1465" s="730">
        <v>0.41666666666666669</v>
      </c>
      <c r="F1465" s="558" t="s">
        <v>1579</v>
      </c>
      <c r="G1465" s="558" t="s">
        <v>61</v>
      </c>
      <c r="H1465" s="558" t="s">
        <v>5873</v>
      </c>
      <c r="I1465" s="679" t="s">
        <v>2491</v>
      </c>
      <c r="J1465" s="676">
        <v>75</v>
      </c>
      <c r="K1465" s="676">
        <v>75000</v>
      </c>
      <c r="M1465" t="str">
        <f>""</f>
        <v/>
      </c>
    </row>
    <row r="1466" spans="1:13" ht="15.75">
      <c r="A1466">
        <v>2013</v>
      </c>
      <c r="B1466" s="777">
        <v>41528</v>
      </c>
      <c r="C1466" s="730">
        <v>0.66666666666666663</v>
      </c>
      <c r="D1466" s="777">
        <v>41532</v>
      </c>
      <c r="E1466" s="730">
        <v>0.66666666666666663</v>
      </c>
      <c r="F1466" s="558" t="s">
        <v>268</v>
      </c>
      <c r="G1466" s="558" t="s">
        <v>826</v>
      </c>
      <c r="H1466" s="558" t="s">
        <v>5873</v>
      </c>
      <c r="I1466" s="679" t="s">
        <v>2368</v>
      </c>
      <c r="J1466" s="676">
        <v>400</v>
      </c>
      <c r="K1466" s="676">
        <v>75000</v>
      </c>
      <c r="M1466" t="str">
        <f>""</f>
        <v/>
      </c>
    </row>
    <row r="1467" spans="1:13" ht="15.75">
      <c r="A1467">
        <v>2014</v>
      </c>
      <c r="B1467" s="777">
        <v>41984</v>
      </c>
      <c r="C1467" s="730">
        <v>0.30625000000000002</v>
      </c>
      <c r="D1467" s="777">
        <v>41984</v>
      </c>
      <c r="E1467" s="730">
        <v>0.91180555555555554</v>
      </c>
      <c r="F1467" s="558" t="s">
        <v>308</v>
      </c>
      <c r="G1467" s="558" t="s">
        <v>124</v>
      </c>
      <c r="H1467" s="558" t="s">
        <v>5873</v>
      </c>
      <c r="I1467" s="679" t="s">
        <v>5876</v>
      </c>
      <c r="J1467" s="676">
        <v>225</v>
      </c>
      <c r="K1467" s="676">
        <v>75000</v>
      </c>
      <c r="M1467" t="str">
        <f>""</f>
        <v/>
      </c>
    </row>
    <row r="1468" spans="1:13" ht="15.75">
      <c r="A1468">
        <v>2016</v>
      </c>
      <c r="B1468" s="777">
        <v>42615</v>
      </c>
      <c r="C1468" s="730">
        <v>2.7777777777777776E-2</v>
      </c>
      <c r="D1468" s="777">
        <v>42617</v>
      </c>
      <c r="E1468" s="730">
        <v>0.83333333333333337</v>
      </c>
      <c r="F1468" s="558" t="s">
        <v>2902</v>
      </c>
      <c r="G1468" s="558" t="s">
        <v>301</v>
      </c>
      <c r="H1468" s="558" t="s">
        <v>2753</v>
      </c>
      <c r="I1468" s="679" t="s">
        <v>22</v>
      </c>
      <c r="J1468" s="676">
        <v>450</v>
      </c>
      <c r="K1468" s="676">
        <v>75000</v>
      </c>
      <c r="M1468" t="str">
        <f>""</f>
        <v/>
      </c>
    </row>
    <row r="1469" spans="1:13" ht="15.75">
      <c r="A1469">
        <v>2017</v>
      </c>
      <c r="B1469" s="777">
        <v>42753</v>
      </c>
      <c r="C1469" s="730">
        <v>0.75347222222222221</v>
      </c>
      <c r="D1469" s="777">
        <v>42754</v>
      </c>
      <c r="E1469" s="730">
        <v>3.472222222222222E-3</v>
      </c>
      <c r="F1469" s="558" t="s">
        <v>18</v>
      </c>
      <c r="G1469" s="558" t="s">
        <v>124</v>
      </c>
      <c r="H1469" s="558" t="s">
        <v>2753</v>
      </c>
      <c r="I1469" s="679" t="s">
        <v>22</v>
      </c>
      <c r="J1469" s="676" t="s">
        <v>5873</v>
      </c>
      <c r="K1469" s="676">
        <v>75000</v>
      </c>
      <c r="M1469" t="str">
        <f>""</f>
        <v/>
      </c>
    </row>
    <row r="1470" spans="1:13" ht="15.75">
      <c r="A1470">
        <v>2020</v>
      </c>
      <c r="B1470" s="777">
        <v>44047</v>
      </c>
      <c r="C1470" s="730">
        <v>0.47222222222222221</v>
      </c>
      <c r="D1470" s="777">
        <v>44050</v>
      </c>
      <c r="E1470" s="730">
        <v>0.4548611111111111</v>
      </c>
      <c r="F1470" s="558" t="s">
        <v>2833</v>
      </c>
      <c r="G1470" s="558" t="s">
        <v>3143</v>
      </c>
      <c r="H1470" s="558" t="s">
        <v>3451</v>
      </c>
      <c r="I1470" s="679" t="s">
        <v>22</v>
      </c>
      <c r="J1470" s="676">
        <v>60</v>
      </c>
      <c r="K1470" s="676">
        <v>75000</v>
      </c>
      <c r="M1470" t="str">
        <f>""</f>
        <v/>
      </c>
    </row>
    <row r="1471" spans="1:13" ht="15.75">
      <c r="A1471">
        <v>2020</v>
      </c>
      <c r="B1471" s="777">
        <v>44150</v>
      </c>
      <c r="C1471" s="730">
        <v>0.47916666666666669</v>
      </c>
      <c r="D1471" s="777">
        <v>44151</v>
      </c>
      <c r="E1471" s="730">
        <v>0.1423611111111111</v>
      </c>
      <c r="F1471" s="558" t="s">
        <v>4589</v>
      </c>
      <c r="G1471" s="558" t="s">
        <v>3143</v>
      </c>
      <c r="H1471" s="558" t="s">
        <v>3451</v>
      </c>
      <c r="I1471" s="679" t="s">
        <v>22</v>
      </c>
      <c r="J1471" s="676" t="s">
        <v>5873</v>
      </c>
      <c r="K1471" s="676">
        <v>75000</v>
      </c>
      <c r="M1471" t="str">
        <f>""</f>
        <v/>
      </c>
    </row>
    <row r="1472" spans="1:13" ht="15.75">
      <c r="A1472">
        <v>2023</v>
      </c>
      <c r="B1472" s="777">
        <v>45185</v>
      </c>
      <c r="C1472" s="532">
        <v>0.44097222222222221</v>
      </c>
      <c r="D1472" s="678">
        <v>45186</v>
      </c>
      <c r="E1472" s="532">
        <v>4.1666666666666664E-2</v>
      </c>
      <c r="F1472" t="s">
        <v>5925</v>
      </c>
      <c r="G1472" t="s">
        <v>61</v>
      </c>
      <c r="H1472" t="s">
        <v>2753</v>
      </c>
      <c r="I1472" s="677" t="s">
        <v>5883</v>
      </c>
      <c r="J1472" s="785" t="s">
        <v>5873</v>
      </c>
      <c r="K1472" s="783">
        <v>75000</v>
      </c>
      <c r="M1472" t="str">
        <f>""</f>
        <v/>
      </c>
    </row>
    <row r="1473" spans="1:13" ht="15.75">
      <c r="A1473">
        <v>2017</v>
      </c>
      <c r="B1473" s="777">
        <v>42849</v>
      </c>
      <c r="C1473" s="730">
        <v>0.23055555555555557</v>
      </c>
      <c r="D1473" s="777">
        <v>42849</v>
      </c>
      <c r="E1473" s="730">
        <v>0.27291666666666664</v>
      </c>
      <c r="F1473" s="558" t="s">
        <v>3017</v>
      </c>
      <c r="G1473" s="558" t="s">
        <v>63</v>
      </c>
      <c r="H1473" s="558" t="s">
        <v>2753</v>
      </c>
      <c r="I1473" s="679" t="s">
        <v>22</v>
      </c>
      <c r="J1473" s="676">
        <v>240</v>
      </c>
      <c r="K1473" s="676">
        <v>74698</v>
      </c>
      <c r="M1473" t="str">
        <f>""</f>
        <v/>
      </c>
    </row>
    <row r="1474" spans="1:13" ht="15.75">
      <c r="A1474">
        <v>2011</v>
      </c>
      <c r="B1474" s="777">
        <v>40637</v>
      </c>
      <c r="C1474" s="730">
        <v>0.79166666666666663</v>
      </c>
      <c r="D1474" s="777">
        <v>40638</v>
      </c>
      <c r="E1474" s="730">
        <v>0.83333333333333337</v>
      </c>
      <c r="F1474" s="558" t="s">
        <v>2166</v>
      </c>
      <c r="G1474" s="558" t="s">
        <v>63</v>
      </c>
      <c r="H1474" s="558" t="s">
        <v>5873</v>
      </c>
      <c r="I1474" s="679" t="s">
        <v>22</v>
      </c>
      <c r="J1474" s="676" t="s">
        <v>5873</v>
      </c>
      <c r="K1474" s="676">
        <v>74645</v>
      </c>
      <c r="M1474" t="str">
        <f>""</f>
        <v/>
      </c>
    </row>
    <row r="1475" spans="1:13" ht="15.75">
      <c r="A1475">
        <v>2022</v>
      </c>
      <c r="B1475" s="777">
        <v>44577</v>
      </c>
      <c r="C1475" s="730">
        <v>0.55208333333333337</v>
      </c>
      <c r="D1475" s="777">
        <v>44577</v>
      </c>
      <c r="E1475" s="730">
        <v>0.71875</v>
      </c>
      <c r="F1475" s="558" t="s">
        <v>2832</v>
      </c>
      <c r="G1475" s="558" t="s">
        <v>63</v>
      </c>
      <c r="H1475" s="558" t="s">
        <v>2753</v>
      </c>
      <c r="I1475" s="679" t="s">
        <v>22</v>
      </c>
      <c r="J1475" s="676" t="s">
        <v>5873</v>
      </c>
      <c r="K1475" s="676">
        <v>74638</v>
      </c>
      <c r="M1475" t="str">
        <f>""</f>
        <v/>
      </c>
    </row>
    <row r="1476" spans="1:13" ht="15.75">
      <c r="A1476">
        <v>2023</v>
      </c>
      <c r="B1476" s="777">
        <v>44959</v>
      </c>
      <c r="C1476" s="730">
        <v>0.34375</v>
      </c>
      <c r="D1476" s="777">
        <v>44959</v>
      </c>
      <c r="E1476" s="730">
        <v>0.82291666666666663</v>
      </c>
      <c r="F1476" s="558" t="s">
        <v>5726</v>
      </c>
      <c r="G1476" s="558" t="s">
        <v>63</v>
      </c>
      <c r="H1476" s="558" t="s">
        <v>2753</v>
      </c>
      <c r="I1476" s="679" t="s">
        <v>22</v>
      </c>
      <c r="J1476" s="676" t="s">
        <v>5873</v>
      </c>
      <c r="K1476" s="676">
        <v>74426</v>
      </c>
      <c r="M1476" t="str">
        <f>""</f>
        <v/>
      </c>
    </row>
    <row r="1477" spans="1:13" ht="15.75">
      <c r="A1477">
        <v>2013</v>
      </c>
      <c r="B1477" s="777">
        <v>41474</v>
      </c>
      <c r="C1477" s="730">
        <v>0.9375</v>
      </c>
      <c r="D1477" s="777">
        <v>41476</v>
      </c>
      <c r="E1477" s="730">
        <v>0.83333333333333337</v>
      </c>
      <c r="F1477" s="558" t="s">
        <v>30</v>
      </c>
      <c r="G1477" s="558" t="s">
        <v>61</v>
      </c>
      <c r="H1477" s="558" t="s">
        <v>5873</v>
      </c>
      <c r="I1477" s="679" t="s">
        <v>2368</v>
      </c>
      <c r="J1477" s="676" t="s">
        <v>5873</v>
      </c>
      <c r="K1477" s="676">
        <v>74300</v>
      </c>
      <c r="M1477" t="str">
        <f>""</f>
        <v/>
      </c>
    </row>
    <row r="1478" spans="1:13" ht="15.75">
      <c r="A1478" s="728">
        <v>2010</v>
      </c>
      <c r="B1478" s="777">
        <v>40214</v>
      </c>
      <c r="C1478" s="730">
        <v>0.78333333333333333</v>
      </c>
      <c r="D1478" s="777">
        <v>40216</v>
      </c>
      <c r="E1478" s="730">
        <v>0.70833333333333337</v>
      </c>
      <c r="F1478" s="558" t="s">
        <v>369</v>
      </c>
      <c r="G1478" s="558" t="s">
        <v>63</v>
      </c>
      <c r="H1478" s="558" t="s">
        <v>5873</v>
      </c>
      <c r="I1478" s="679" t="s">
        <v>40</v>
      </c>
      <c r="J1478" s="676">
        <v>500</v>
      </c>
      <c r="K1478" s="676">
        <v>74000</v>
      </c>
      <c r="M1478" t="str">
        <f>""</f>
        <v/>
      </c>
    </row>
    <row r="1479" spans="1:13" ht="15.75">
      <c r="A1479">
        <v>2011</v>
      </c>
      <c r="B1479" s="777">
        <v>40845</v>
      </c>
      <c r="C1479" s="730">
        <v>0.83333333333333337</v>
      </c>
      <c r="D1479" s="777">
        <v>40847</v>
      </c>
      <c r="E1479" s="730">
        <v>0.83333333333333337</v>
      </c>
      <c r="F1479" s="558" t="s">
        <v>2325</v>
      </c>
      <c r="G1479" s="558" t="s">
        <v>2326</v>
      </c>
      <c r="H1479" s="558" t="s">
        <v>5873</v>
      </c>
      <c r="I1479" s="679" t="s">
        <v>22</v>
      </c>
      <c r="J1479" s="676" t="s">
        <v>5873</v>
      </c>
      <c r="K1479" s="676">
        <v>74000</v>
      </c>
      <c r="M1479" t="str">
        <f>""</f>
        <v/>
      </c>
    </row>
    <row r="1480" spans="1:13" ht="15.75">
      <c r="A1480">
        <v>2022</v>
      </c>
      <c r="B1480" s="777">
        <v>44662</v>
      </c>
      <c r="C1480" s="730">
        <v>0.38541666666666669</v>
      </c>
      <c r="D1480" s="777">
        <v>44664</v>
      </c>
      <c r="E1480" s="730">
        <v>0.33333333333333331</v>
      </c>
      <c r="F1480" s="558" t="s">
        <v>5286</v>
      </c>
      <c r="G1480" s="558" t="s">
        <v>124</v>
      </c>
      <c r="H1480" s="558" t="s">
        <v>2753</v>
      </c>
      <c r="I1480" s="679" t="s">
        <v>22</v>
      </c>
      <c r="J1480" s="676">
        <v>3140</v>
      </c>
      <c r="K1480" s="676">
        <v>73717</v>
      </c>
      <c r="M1480" t="str">
        <f>""</f>
        <v/>
      </c>
    </row>
    <row r="1481" spans="1:13" ht="15.75">
      <c r="A1481" s="728">
        <v>2010</v>
      </c>
      <c r="B1481" s="777">
        <v>40456</v>
      </c>
      <c r="C1481" s="730">
        <v>0.23958333333333334</v>
      </c>
      <c r="D1481" s="777">
        <v>40458</v>
      </c>
      <c r="E1481" s="730">
        <v>0.25</v>
      </c>
      <c r="F1481" s="558" t="s">
        <v>1106</v>
      </c>
      <c r="G1481" s="558" t="s">
        <v>124</v>
      </c>
      <c r="H1481" s="558" t="s">
        <v>5873</v>
      </c>
      <c r="I1481" s="679" t="s">
        <v>2056</v>
      </c>
      <c r="J1481" s="676" t="s">
        <v>5873</v>
      </c>
      <c r="K1481" s="676">
        <v>73514</v>
      </c>
      <c r="M1481" t="str">
        <f>""</f>
        <v/>
      </c>
    </row>
    <row r="1482" spans="1:13" ht="15.75">
      <c r="A1482">
        <v>2011</v>
      </c>
      <c r="B1482" s="777">
        <v>40637</v>
      </c>
      <c r="C1482" s="730">
        <v>0.58333333333333337</v>
      </c>
      <c r="D1482" s="777">
        <v>40641</v>
      </c>
      <c r="E1482" s="730">
        <v>6.9444444444444447E-4</v>
      </c>
      <c r="F1482" s="558" t="s">
        <v>2165</v>
      </c>
      <c r="G1482" s="558" t="s">
        <v>63</v>
      </c>
      <c r="H1482" s="558" t="s">
        <v>5873</v>
      </c>
      <c r="I1482" s="679" t="s">
        <v>22</v>
      </c>
      <c r="J1482" s="676">
        <v>300</v>
      </c>
      <c r="K1482" s="676">
        <v>73000</v>
      </c>
      <c r="M1482" t="str">
        <f>""</f>
        <v/>
      </c>
    </row>
    <row r="1483" spans="1:13" ht="15.75">
      <c r="A1483">
        <v>2015</v>
      </c>
      <c r="B1483" s="777">
        <v>42178</v>
      </c>
      <c r="C1483" s="730">
        <v>0.7680555555555556</v>
      </c>
      <c r="D1483" s="777" t="s">
        <v>5873</v>
      </c>
      <c r="E1483" s="730" t="s">
        <v>5873</v>
      </c>
      <c r="F1483" s="558" t="s">
        <v>2288</v>
      </c>
      <c r="G1483" s="558" t="s">
        <v>61</v>
      </c>
      <c r="H1483" s="558" t="s">
        <v>2753</v>
      </c>
      <c r="I1483" s="679" t="s">
        <v>22</v>
      </c>
      <c r="J1483" s="676">
        <v>90</v>
      </c>
      <c r="K1483" s="676">
        <v>73000</v>
      </c>
      <c r="M1483" t="str">
        <f>""</f>
        <v/>
      </c>
    </row>
    <row r="1484" spans="1:13" ht="15.75">
      <c r="A1484">
        <v>2020</v>
      </c>
      <c r="B1484" s="777">
        <v>43908</v>
      </c>
      <c r="C1484" s="730">
        <v>0.29791666666666666</v>
      </c>
      <c r="D1484" s="777" t="s">
        <v>5873</v>
      </c>
      <c r="E1484" s="730" t="s">
        <v>5873</v>
      </c>
      <c r="F1484" s="558" t="s">
        <v>2865</v>
      </c>
      <c r="G1484" s="558" t="s">
        <v>124</v>
      </c>
      <c r="H1484" s="558" t="s">
        <v>3451</v>
      </c>
      <c r="I1484" s="679" t="s">
        <v>3416</v>
      </c>
      <c r="J1484" s="676">
        <v>237</v>
      </c>
      <c r="K1484" s="676">
        <v>73000</v>
      </c>
      <c r="M1484" t="str">
        <f>""</f>
        <v/>
      </c>
    </row>
    <row r="1485" spans="1:13" ht="15.75">
      <c r="A1485">
        <v>2020</v>
      </c>
      <c r="B1485" s="777">
        <v>44168</v>
      </c>
      <c r="C1485" s="730">
        <v>3.0555555555555555E-2</v>
      </c>
      <c r="D1485" s="777">
        <v>44170</v>
      </c>
      <c r="E1485" s="730">
        <v>0.46041666666666664</v>
      </c>
      <c r="F1485" s="558" t="s">
        <v>4355</v>
      </c>
      <c r="G1485" s="558" t="s">
        <v>124</v>
      </c>
      <c r="H1485" s="558" t="s">
        <v>3451</v>
      </c>
      <c r="I1485" s="679" t="s">
        <v>22</v>
      </c>
      <c r="J1485" s="676">
        <v>93</v>
      </c>
      <c r="K1485" s="676">
        <v>73000</v>
      </c>
      <c r="M1485" t="str">
        <f>""</f>
        <v/>
      </c>
    </row>
    <row r="1486" spans="1:13" ht="15.75">
      <c r="A1486">
        <v>2018</v>
      </c>
      <c r="B1486" s="777">
        <v>43194</v>
      </c>
      <c r="C1486" s="730">
        <v>0.6958333333333333</v>
      </c>
      <c r="D1486" s="777">
        <v>43197</v>
      </c>
      <c r="E1486" s="730">
        <v>0.26527777777777778</v>
      </c>
      <c r="F1486" s="558" t="s">
        <v>2868</v>
      </c>
      <c r="G1486" s="558" t="s">
        <v>61</v>
      </c>
      <c r="H1486" s="558" t="s">
        <v>2753</v>
      </c>
      <c r="I1486" s="679" t="s">
        <v>22</v>
      </c>
      <c r="J1486" s="676" t="s">
        <v>5873</v>
      </c>
      <c r="K1486" s="676">
        <v>72896</v>
      </c>
      <c r="M1486" t="str">
        <f>""</f>
        <v/>
      </c>
    </row>
    <row r="1487" spans="1:13" ht="15.75">
      <c r="A1487">
        <v>2020</v>
      </c>
      <c r="B1487" s="777">
        <v>44132</v>
      </c>
      <c r="C1487" s="730">
        <v>0.71666666666666667</v>
      </c>
      <c r="D1487" s="777">
        <v>44133</v>
      </c>
      <c r="E1487" s="730">
        <v>0.6875</v>
      </c>
      <c r="F1487" s="558" t="s">
        <v>4567</v>
      </c>
      <c r="G1487" s="558" t="s">
        <v>63</v>
      </c>
      <c r="H1487" s="558" t="s">
        <v>3451</v>
      </c>
      <c r="I1487" s="679" t="s">
        <v>22</v>
      </c>
      <c r="J1487" s="676" t="s">
        <v>5873</v>
      </c>
      <c r="K1487" s="676">
        <v>72707</v>
      </c>
      <c r="M1487" t="str">
        <f>""</f>
        <v/>
      </c>
    </row>
    <row r="1488" spans="1:13" ht="15.75">
      <c r="A1488">
        <v>2019</v>
      </c>
      <c r="B1488" s="777">
        <v>43659</v>
      </c>
      <c r="C1488" s="730">
        <v>0.78263888888888888</v>
      </c>
      <c r="D1488" s="777">
        <v>43659</v>
      </c>
      <c r="E1488" s="730">
        <v>0.98402777777777772</v>
      </c>
      <c r="F1488" s="558" t="s">
        <v>3370</v>
      </c>
      <c r="G1488" s="558" t="s">
        <v>61</v>
      </c>
      <c r="H1488" s="558" t="s">
        <v>3379</v>
      </c>
      <c r="I1488" s="679" t="s">
        <v>2483</v>
      </c>
      <c r="J1488" s="676">
        <v>452</v>
      </c>
      <c r="K1488" s="676">
        <v>72669</v>
      </c>
      <c r="M1488" t="str">
        <f>""</f>
        <v/>
      </c>
    </row>
    <row r="1489" spans="1:13" ht="15.75">
      <c r="A1489">
        <v>2015</v>
      </c>
      <c r="B1489" s="777">
        <v>42219</v>
      </c>
      <c r="C1489" s="730">
        <v>4.1666666666666664E-2</v>
      </c>
      <c r="D1489" s="777">
        <v>42221</v>
      </c>
      <c r="E1489" s="730">
        <v>0</v>
      </c>
      <c r="F1489" s="558" t="s">
        <v>1833</v>
      </c>
      <c r="G1489" s="558" t="s">
        <v>826</v>
      </c>
      <c r="H1489" s="558" t="s">
        <v>2753</v>
      </c>
      <c r="I1489" s="679" t="s">
        <v>22</v>
      </c>
      <c r="J1489" s="676" t="s">
        <v>5873</v>
      </c>
      <c r="K1489" s="676">
        <v>72520</v>
      </c>
      <c r="M1489" t="str">
        <f>""</f>
        <v/>
      </c>
    </row>
    <row r="1490" spans="1:13" ht="15.75">
      <c r="A1490">
        <v>2018</v>
      </c>
      <c r="B1490" s="777">
        <v>43161</v>
      </c>
      <c r="C1490" s="730">
        <v>0.65694444444444444</v>
      </c>
      <c r="D1490" s="777">
        <v>43163</v>
      </c>
      <c r="E1490" s="730">
        <v>0.82361111111111107</v>
      </c>
      <c r="F1490" s="558" t="s">
        <v>3241</v>
      </c>
      <c r="G1490" s="558" t="s">
        <v>61</v>
      </c>
      <c r="H1490" s="558" t="s">
        <v>2753</v>
      </c>
      <c r="I1490" s="679" t="s">
        <v>22</v>
      </c>
      <c r="J1490" s="676" t="s">
        <v>5873</v>
      </c>
      <c r="K1490" s="676">
        <v>72353</v>
      </c>
      <c r="M1490" t="str">
        <f>""</f>
        <v/>
      </c>
    </row>
    <row r="1491" spans="1:13" ht="15.75">
      <c r="A1491">
        <v>2019</v>
      </c>
      <c r="B1491" s="777">
        <v>43521</v>
      </c>
      <c r="C1491" s="730">
        <v>0.56597222222222221</v>
      </c>
      <c r="D1491" s="777">
        <v>43522</v>
      </c>
      <c r="E1491" s="730">
        <v>0.11805555555555555</v>
      </c>
      <c r="F1491" s="558" t="s">
        <v>3686</v>
      </c>
      <c r="G1491" s="558" t="s">
        <v>61</v>
      </c>
      <c r="H1491" s="558" t="s">
        <v>3451</v>
      </c>
      <c r="I1491" s="679" t="s">
        <v>22</v>
      </c>
      <c r="J1491" s="676" t="s">
        <v>5873</v>
      </c>
      <c r="K1491" s="676">
        <v>72332</v>
      </c>
      <c r="M1491" t="str">
        <f>""</f>
        <v/>
      </c>
    </row>
    <row r="1492" spans="1:13" ht="15.75">
      <c r="A1492">
        <v>2020</v>
      </c>
      <c r="B1492" s="777">
        <v>43934</v>
      </c>
      <c r="C1492" s="730">
        <v>0.33888888888888891</v>
      </c>
      <c r="D1492" s="777" t="s">
        <v>5873</v>
      </c>
      <c r="E1492" s="730" t="s">
        <v>5873</v>
      </c>
      <c r="F1492" s="558" t="s">
        <v>2896</v>
      </c>
      <c r="G1492" s="558" t="s">
        <v>63</v>
      </c>
      <c r="H1492" s="558" t="s">
        <v>3451</v>
      </c>
      <c r="I1492" s="679" t="s">
        <v>22</v>
      </c>
      <c r="J1492" s="676" t="s">
        <v>5873</v>
      </c>
      <c r="K1492" s="676">
        <v>72233</v>
      </c>
      <c r="M1492" t="str">
        <f>""</f>
        <v/>
      </c>
    </row>
    <row r="1493" spans="1:13" ht="15.75">
      <c r="A1493">
        <v>2016</v>
      </c>
      <c r="B1493" s="777">
        <v>42605</v>
      </c>
      <c r="C1493" s="730">
        <v>0.70833333333333337</v>
      </c>
      <c r="D1493" s="777">
        <v>42606</v>
      </c>
      <c r="E1493" s="730">
        <v>3.472222222222222E-3</v>
      </c>
      <c r="F1493" s="558" t="s">
        <v>2809</v>
      </c>
      <c r="G1493" s="558" t="s">
        <v>1352</v>
      </c>
      <c r="H1493" s="558" t="s">
        <v>2753</v>
      </c>
      <c r="I1493" s="679" t="s">
        <v>22</v>
      </c>
      <c r="J1493" s="676" t="s">
        <v>5873</v>
      </c>
      <c r="K1493" s="676">
        <v>72200</v>
      </c>
      <c r="M1493" t="str">
        <f>""</f>
        <v/>
      </c>
    </row>
    <row r="1494" spans="1:13" ht="15.75">
      <c r="A1494">
        <v>2023</v>
      </c>
      <c r="B1494" s="777">
        <v>45137</v>
      </c>
      <c r="C1494" s="532">
        <v>0.85416666666666663</v>
      </c>
      <c r="D1494" s="777" t="s">
        <v>5873</v>
      </c>
      <c r="E1494" s="782" t="s">
        <v>5873</v>
      </c>
      <c r="F1494" t="s">
        <v>4614</v>
      </c>
      <c r="G1494" t="s">
        <v>5906</v>
      </c>
      <c r="H1494" t="s">
        <v>3451</v>
      </c>
      <c r="I1494" s="677" t="s">
        <v>5883</v>
      </c>
      <c r="J1494" s="785" t="s">
        <v>5873</v>
      </c>
      <c r="K1494" s="783">
        <v>72173</v>
      </c>
      <c r="M1494" t="str">
        <f>""</f>
        <v/>
      </c>
    </row>
    <row r="1495" spans="1:13" ht="15.75">
      <c r="A1495">
        <v>2023</v>
      </c>
      <c r="B1495" s="777" t="s">
        <v>5873</v>
      </c>
      <c r="C1495" s="532">
        <v>0.85416666666666663</v>
      </c>
      <c r="D1495" s="777" t="s">
        <v>5873</v>
      </c>
      <c r="E1495" s="782" t="s">
        <v>5873</v>
      </c>
      <c r="F1495" t="s">
        <v>4614</v>
      </c>
      <c r="G1495" t="s">
        <v>5906</v>
      </c>
      <c r="H1495" t="s">
        <v>3451</v>
      </c>
      <c r="I1495" s="677" t="s">
        <v>5883</v>
      </c>
      <c r="J1495" s="785" t="s">
        <v>5873</v>
      </c>
      <c r="K1495" s="783">
        <v>72173</v>
      </c>
      <c r="M1495" t="str">
        <f>""</f>
        <v/>
      </c>
    </row>
    <row r="1496" spans="1:13" ht="15.75">
      <c r="A1496">
        <v>2018</v>
      </c>
      <c r="B1496" s="777">
        <v>43235</v>
      </c>
      <c r="C1496" s="730">
        <v>0.66666666666666663</v>
      </c>
      <c r="D1496" s="777" t="s">
        <v>5873</v>
      </c>
      <c r="E1496" s="730" t="s">
        <v>5873</v>
      </c>
      <c r="F1496" s="558" t="s">
        <v>3330</v>
      </c>
      <c r="G1496" s="558" t="s">
        <v>61</v>
      </c>
      <c r="H1496" s="558" t="s">
        <v>2753</v>
      </c>
      <c r="I1496" s="679" t="s">
        <v>22</v>
      </c>
      <c r="J1496" s="676" t="s">
        <v>5873</v>
      </c>
      <c r="K1496" s="676">
        <v>72000</v>
      </c>
      <c r="M1496" t="str">
        <f>""</f>
        <v/>
      </c>
    </row>
    <row r="1497" spans="1:13" ht="15.75">
      <c r="A1497">
        <v>2020</v>
      </c>
      <c r="B1497" s="777">
        <v>44080</v>
      </c>
      <c r="C1497" s="730">
        <v>0.70833333333333337</v>
      </c>
      <c r="D1497" s="777">
        <v>44081</v>
      </c>
      <c r="E1497" s="730">
        <v>0.125</v>
      </c>
      <c r="F1497" s="558" t="s">
        <v>2967</v>
      </c>
      <c r="G1497" s="558" t="s">
        <v>124</v>
      </c>
      <c r="H1497" s="558" t="s">
        <v>3451</v>
      </c>
      <c r="I1497" s="679" t="s">
        <v>22</v>
      </c>
      <c r="J1497" s="676" t="s">
        <v>5873</v>
      </c>
      <c r="K1497" s="676">
        <v>72000</v>
      </c>
      <c r="M1497" t="str">
        <f>""</f>
        <v/>
      </c>
    </row>
    <row r="1498" spans="1:13" ht="15.75">
      <c r="A1498">
        <v>2021</v>
      </c>
      <c r="B1498" s="777">
        <v>44242</v>
      </c>
      <c r="C1498" s="730">
        <v>5.5555555555555552E-2</v>
      </c>
      <c r="D1498" s="777" t="s">
        <v>5873</v>
      </c>
      <c r="E1498" s="730" t="s">
        <v>5873</v>
      </c>
      <c r="F1498" s="558" t="s">
        <v>2919</v>
      </c>
      <c r="G1498" s="558" t="s">
        <v>1352</v>
      </c>
      <c r="H1498" s="558" t="s">
        <v>3451</v>
      </c>
      <c r="I1498" s="679" t="s">
        <v>22</v>
      </c>
      <c r="J1498" s="676">
        <v>360</v>
      </c>
      <c r="K1498" s="676">
        <v>72000</v>
      </c>
      <c r="M1498" t="str">
        <f>""</f>
        <v/>
      </c>
    </row>
    <row r="1499" spans="1:13" ht="15.75">
      <c r="A1499">
        <v>2018</v>
      </c>
      <c r="B1499" s="777">
        <v>43384</v>
      </c>
      <c r="C1499" s="730">
        <v>0.30625000000000002</v>
      </c>
      <c r="D1499" s="777">
        <v>43384</v>
      </c>
      <c r="E1499" s="730">
        <v>0.625</v>
      </c>
      <c r="F1499" s="558" t="s">
        <v>2896</v>
      </c>
      <c r="G1499" s="558" t="s">
        <v>63</v>
      </c>
      <c r="H1499" s="558" t="s">
        <v>2753</v>
      </c>
      <c r="I1499" s="679" t="s">
        <v>22</v>
      </c>
      <c r="J1499" s="676" t="s">
        <v>5873</v>
      </c>
      <c r="K1499" s="676">
        <v>71654</v>
      </c>
      <c r="M1499" t="str">
        <f>""</f>
        <v/>
      </c>
    </row>
    <row r="1500" spans="1:13" ht="15.75">
      <c r="A1500">
        <v>2011</v>
      </c>
      <c r="B1500" s="777">
        <v>40757</v>
      </c>
      <c r="C1500" s="730">
        <v>0.89583333333333337</v>
      </c>
      <c r="D1500" s="777">
        <v>40758</v>
      </c>
      <c r="E1500" s="730">
        <v>0.79166666666666663</v>
      </c>
      <c r="F1500" s="558" t="s">
        <v>2264</v>
      </c>
      <c r="G1500" s="558" t="s">
        <v>826</v>
      </c>
      <c r="H1500" s="558" t="s">
        <v>5873</v>
      </c>
      <c r="I1500" s="679" t="s">
        <v>22</v>
      </c>
      <c r="J1500" s="676" t="s">
        <v>5873</v>
      </c>
      <c r="K1500" s="676">
        <v>71500</v>
      </c>
      <c r="M1500" t="str">
        <f>""</f>
        <v/>
      </c>
    </row>
    <row r="1501" spans="1:13" ht="15.75">
      <c r="A1501">
        <v>2020</v>
      </c>
      <c r="B1501" s="777">
        <v>44081</v>
      </c>
      <c r="C1501" s="730">
        <v>0.75</v>
      </c>
      <c r="D1501" s="777">
        <v>44082</v>
      </c>
      <c r="E1501" s="730">
        <v>0.75</v>
      </c>
      <c r="F1501" s="558" t="s">
        <v>4483</v>
      </c>
      <c r="G1501" s="558" t="s">
        <v>124</v>
      </c>
      <c r="H1501" s="558" t="s">
        <v>3451</v>
      </c>
      <c r="I1501" s="679" t="s">
        <v>22</v>
      </c>
      <c r="J1501" s="676" t="s">
        <v>5873</v>
      </c>
      <c r="K1501" s="676">
        <v>71500</v>
      </c>
      <c r="M1501" t="str">
        <f>""</f>
        <v/>
      </c>
    </row>
    <row r="1502" spans="1:13" ht="15.75">
      <c r="A1502">
        <v>2017</v>
      </c>
      <c r="B1502" s="777">
        <v>42802</v>
      </c>
      <c r="C1502" s="730">
        <v>0.47916666666666669</v>
      </c>
      <c r="D1502" s="777">
        <v>42802</v>
      </c>
      <c r="E1502" s="730">
        <v>0.82777777777777772</v>
      </c>
      <c r="F1502" s="558" t="s">
        <v>160</v>
      </c>
      <c r="G1502" s="558" t="s">
        <v>826</v>
      </c>
      <c r="H1502" s="558" t="s">
        <v>2753</v>
      </c>
      <c r="I1502" s="679" t="s">
        <v>22</v>
      </c>
      <c r="J1502" s="676" t="s">
        <v>5873</v>
      </c>
      <c r="K1502" s="676">
        <v>71012</v>
      </c>
      <c r="M1502" t="str">
        <f>""</f>
        <v/>
      </c>
    </row>
    <row r="1503" spans="1:13" ht="15.75">
      <c r="A1503">
        <v>2011</v>
      </c>
      <c r="B1503" s="777">
        <v>40674</v>
      </c>
      <c r="C1503" s="730">
        <v>1.0416666666666666E-2</v>
      </c>
      <c r="D1503" s="777">
        <v>40674</v>
      </c>
      <c r="E1503" s="730">
        <v>0.72222222222222221</v>
      </c>
      <c r="F1503" s="558" t="s">
        <v>2199</v>
      </c>
      <c r="G1503" s="558" t="s">
        <v>63</v>
      </c>
      <c r="H1503" s="558" t="s">
        <v>5873</v>
      </c>
      <c r="I1503" s="679" t="s">
        <v>22</v>
      </c>
      <c r="J1503" s="676">
        <v>300</v>
      </c>
      <c r="K1503" s="676">
        <v>71000</v>
      </c>
      <c r="M1503" t="str">
        <f>""</f>
        <v/>
      </c>
    </row>
    <row r="1504" spans="1:13" ht="15.75">
      <c r="A1504">
        <v>2014</v>
      </c>
      <c r="B1504" s="777">
        <v>41828</v>
      </c>
      <c r="C1504" s="730">
        <v>0.72916666666666663</v>
      </c>
      <c r="D1504" s="777">
        <v>41832</v>
      </c>
      <c r="E1504" s="730">
        <v>0.97916666666666663</v>
      </c>
      <c r="F1504" s="558" t="s">
        <v>2402</v>
      </c>
      <c r="G1504" s="558" t="s">
        <v>826</v>
      </c>
      <c r="H1504" s="558" t="s">
        <v>5873</v>
      </c>
      <c r="I1504" s="679" t="s">
        <v>2368</v>
      </c>
      <c r="J1504" s="676" t="s">
        <v>5873</v>
      </c>
      <c r="K1504" s="676">
        <v>71000</v>
      </c>
      <c r="M1504" t="str">
        <f>""</f>
        <v/>
      </c>
    </row>
    <row r="1505" spans="1:13" ht="15.75">
      <c r="A1505">
        <v>2015</v>
      </c>
      <c r="B1505" s="777">
        <v>42078</v>
      </c>
      <c r="C1505" s="730">
        <v>0.64583333333333337</v>
      </c>
      <c r="D1505" s="777">
        <v>42078</v>
      </c>
      <c r="E1505" s="730">
        <v>0.79166666666666663</v>
      </c>
      <c r="F1505" s="558" t="s">
        <v>2760</v>
      </c>
      <c r="G1505" s="558" t="s">
        <v>124</v>
      </c>
      <c r="H1505" s="558" t="s">
        <v>2753</v>
      </c>
      <c r="I1505" s="679" t="s">
        <v>2680</v>
      </c>
      <c r="J1505" s="676">
        <v>210</v>
      </c>
      <c r="K1505" s="676">
        <v>71000</v>
      </c>
      <c r="M1505" t="str">
        <f>""</f>
        <v/>
      </c>
    </row>
    <row r="1506" spans="1:13" ht="15.75">
      <c r="A1506">
        <v>2021</v>
      </c>
      <c r="B1506" s="777">
        <v>44425</v>
      </c>
      <c r="C1506" s="730">
        <v>0.80208333333333337</v>
      </c>
      <c r="D1506" s="777">
        <v>44426</v>
      </c>
      <c r="E1506" s="730">
        <v>0.73958333333333337</v>
      </c>
      <c r="F1506" s="558" t="s">
        <v>4973</v>
      </c>
      <c r="G1506" s="558" t="s">
        <v>124</v>
      </c>
      <c r="H1506" s="558" t="s">
        <v>2753</v>
      </c>
      <c r="I1506" s="679" t="s">
        <v>22</v>
      </c>
      <c r="J1506" s="676">
        <v>234</v>
      </c>
      <c r="K1506" s="676">
        <v>71000</v>
      </c>
      <c r="M1506" t="str">
        <f>""</f>
        <v/>
      </c>
    </row>
    <row r="1507" spans="1:13" ht="15.75">
      <c r="A1507">
        <v>2022</v>
      </c>
      <c r="B1507" s="777">
        <v>44776</v>
      </c>
      <c r="C1507" s="730">
        <v>0.79166666666666663</v>
      </c>
      <c r="D1507" s="777">
        <v>44778</v>
      </c>
      <c r="E1507" s="730">
        <v>0.37013888888888891</v>
      </c>
      <c r="F1507" s="558" t="s">
        <v>5462</v>
      </c>
      <c r="G1507" s="558" t="s">
        <v>3143</v>
      </c>
      <c r="H1507" s="558" t="s">
        <v>2753</v>
      </c>
      <c r="I1507" s="679" t="s">
        <v>22</v>
      </c>
      <c r="J1507" s="676" t="s">
        <v>5873</v>
      </c>
      <c r="K1507" s="676">
        <v>71000</v>
      </c>
      <c r="M1507" t="str">
        <f>""</f>
        <v/>
      </c>
    </row>
    <row r="1508" spans="1:13" ht="15.75">
      <c r="A1508">
        <v>2017</v>
      </c>
      <c r="B1508" s="777">
        <v>42874</v>
      </c>
      <c r="C1508" s="730">
        <v>0.22916666666666666</v>
      </c>
      <c r="D1508" s="777" t="s">
        <v>5873</v>
      </c>
      <c r="E1508" s="730" t="s">
        <v>5873</v>
      </c>
      <c r="F1508" s="558" t="s">
        <v>3028</v>
      </c>
      <c r="G1508" s="558" t="s">
        <v>63</v>
      </c>
      <c r="H1508" s="558" t="s">
        <v>2753</v>
      </c>
      <c r="I1508" s="679" t="s">
        <v>22</v>
      </c>
      <c r="J1508" s="676" t="s">
        <v>5873</v>
      </c>
      <c r="K1508" s="676">
        <v>70696</v>
      </c>
      <c r="M1508" t="str">
        <f>""</f>
        <v/>
      </c>
    </row>
    <row r="1509" spans="1:13" ht="15.75">
      <c r="A1509">
        <v>2021</v>
      </c>
      <c r="B1509" s="777">
        <v>44209</v>
      </c>
      <c r="C1509" s="730">
        <v>0.15486111111111112</v>
      </c>
      <c r="D1509" s="777">
        <v>44209</v>
      </c>
      <c r="E1509" s="730">
        <v>0.66666666666666663</v>
      </c>
      <c r="F1509" s="558" t="s">
        <v>4659</v>
      </c>
      <c r="G1509" s="558" t="s">
        <v>124</v>
      </c>
      <c r="H1509" s="558" t="s">
        <v>3451</v>
      </c>
      <c r="I1509" s="679" t="s">
        <v>22</v>
      </c>
      <c r="J1509" s="676">
        <v>185</v>
      </c>
      <c r="K1509" s="676">
        <v>70417</v>
      </c>
      <c r="M1509" t="str">
        <f>""</f>
        <v/>
      </c>
    </row>
    <row r="1510" spans="1:13" ht="15.75">
      <c r="A1510">
        <v>2011</v>
      </c>
      <c r="B1510" s="777">
        <v>40709</v>
      </c>
      <c r="C1510" s="730">
        <v>0.80347222222222225</v>
      </c>
      <c r="D1510" s="777">
        <v>40710</v>
      </c>
      <c r="E1510" s="730">
        <v>7.2916666666666671E-2</v>
      </c>
      <c r="F1510" s="558" t="s">
        <v>76</v>
      </c>
      <c r="G1510" s="558" t="s">
        <v>63</v>
      </c>
      <c r="H1510" s="558" t="s">
        <v>5873</v>
      </c>
      <c r="I1510" s="679" t="s">
        <v>106</v>
      </c>
      <c r="J1510" s="676">
        <v>300</v>
      </c>
      <c r="K1510" s="676">
        <v>70135</v>
      </c>
      <c r="M1510" t="str">
        <f>""</f>
        <v/>
      </c>
    </row>
    <row r="1511" spans="1:13" ht="15.75">
      <c r="A1511" s="728">
        <v>2010</v>
      </c>
      <c r="B1511" s="777">
        <v>40477</v>
      </c>
      <c r="C1511" s="730">
        <v>0.83333333333333337</v>
      </c>
      <c r="D1511" s="777">
        <v>40479</v>
      </c>
      <c r="E1511" s="730">
        <v>0.91666666666666663</v>
      </c>
      <c r="F1511" s="558" t="s">
        <v>675</v>
      </c>
      <c r="G1511" s="558" t="s">
        <v>674</v>
      </c>
      <c r="H1511" s="558" t="s">
        <v>5873</v>
      </c>
      <c r="I1511" s="679" t="s">
        <v>264</v>
      </c>
      <c r="J1511" s="676" t="s">
        <v>5873</v>
      </c>
      <c r="K1511" s="676">
        <v>70000</v>
      </c>
      <c r="M1511" t="str">
        <f>""</f>
        <v/>
      </c>
    </row>
    <row r="1512" spans="1:13" ht="15.75">
      <c r="A1512">
        <v>2011</v>
      </c>
      <c r="B1512" s="777">
        <v>40686</v>
      </c>
      <c r="C1512" s="730">
        <v>0.52083333333333337</v>
      </c>
      <c r="D1512" s="777">
        <v>40688</v>
      </c>
      <c r="E1512" s="730">
        <v>0.52083333333333337</v>
      </c>
      <c r="F1512" s="558" t="s">
        <v>2205</v>
      </c>
      <c r="G1512" s="558" t="s">
        <v>63</v>
      </c>
      <c r="H1512" s="558" t="s">
        <v>5873</v>
      </c>
      <c r="I1512" s="679" t="s">
        <v>22</v>
      </c>
      <c r="J1512" s="676" t="s">
        <v>5873</v>
      </c>
      <c r="K1512" s="676">
        <v>70000</v>
      </c>
      <c r="M1512" t="str">
        <f>""</f>
        <v/>
      </c>
    </row>
    <row r="1513" spans="1:13" ht="15.75">
      <c r="A1513">
        <v>2011</v>
      </c>
      <c r="B1513" s="777">
        <v>40712</v>
      </c>
      <c r="C1513" s="730">
        <v>0.70833333333333337</v>
      </c>
      <c r="D1513" s="777">
        <v>40712</v>
      </c>
      <c r="E1513" s="730">
        <v>0.8979166666666667</v>
      </c>
      <c r="F1513" s="558" t="s">
        <v>2227</v>
      </c>
      <c r="G1513" s="558" t="s">
        <v>63</v>
      </c>
      <c r="H1513" s="558" t="s">
        <v>5873</v>
      </c>
      <c r="I1513" s="679" t="s">
        <v>106</v>
      </c>
      <c r="J1513" s="676">
        <v>300</v>
      </c>
      <c r="K1513" s="676">
        <v>70000</v>
      </c>
      <c r="M1513" t="str">
        <f>""</f>
        <v/>
      </c>
    </row>
    <row r="1514" spans="1:13" ht="15.75">
      <c r="A1514">
        <v>2011</v>
      </c>
      <c r="B1514" s="777">
        <v>40725</v>
      </c>
      <c r="C1514" s="730">
        <v>0.70833333333333337</v>
      </c>
      <c r="D1514" s="777">
        <v>40727</v>
      </c>
      <c r="E1514" s="730">
        <v>0.83333333333333337</v>
      </c>
      <c r="F1514" s="558" t="s">
        <v>2242</v>
      </c>
      <c r="G1514" s="558" t="s">
        <v>674</v>
      </c>
      <c r="H1514" s="558" t="s">
        <v>5873</v>
      </c>
      <c r="I1514" s="679" t="s">
        <v>22</v>
      </c>
      <c r="J1514" s="676" t="s">
        <v>5873</v>
      </c>
      <c r="K1514" s="676">
        <v>70000</v>
      </c>
      <c r="M1514" t="str">
        <f>""</f>
        <v/>
      </c>
    </row>
    <row r="1515" spans="1:13" ht="15.75">
      <c r="A1515">
        <v>2012</v>
      </c>
      <c r="B1515" s="777">
        <v>41111.09652777778</v>
      </c>
      <c r="C1515" s="730">
        <v>41111.09652777778</v>
      </c>
      <c r="D1515" s="777">
        <v>41111.222222222219</v>
      </c>
      <c r="E1515" s="730">
        <v>41111.222222222219</v>
      </c>
      <c r="F1515" s="558" t="s">
        <v>2424</v>
      </c>
      <c r="G1515" s="558" t="s">
        <v>58</v>
      </c>
      <c r="H1515" s="558" t="s">
        <v>5873</v>
      </c>
      <c r="I1515" s="679" t="s">
        <v>2425</v>
      </c>
      <c r="J1515" s="676">
        <v>220</v>
      </c>
      <c r="K1515" s="676">
        <v>70000</v>
      </c>
      <c r="M1515" t="str">
        <f>""</f>
        <v/>
      </c>
    </row>
    <row r="1516" spans="1:13" ht="15.75">
      <c r="A1516">
        <v>2012</v>
      </c>
      <c r="B1516" s="777">
        <v>41211.375</v>
      </c>
      <c r="C1516" s="730">
        <v>41211.375</v>
      </c>
      <c r="D1516" s="777">
        <v>41215</v>
      </c>
      <c r="E1516" s="730">
        <v>0.75</v>
      </c>
      <c r="F1516" s="558" t="s">
        <v>2449</v>
      </c>
      <c r="G1516" s="558" t="s">
        <v>826</v>
      </c>
      <c r="H1516" s="558" t="s">
        <v>5873</v>
      </c>
      <c r="I1516" s="679" t="s">
        <v>2448</v>
      </c>
      <c r="J1516" s="676" t="s">
        <v>5873</v>
      </c>
      <c r="K1516" s="676">
        <v>70000</v>
      </c>
      <c r="M1516" t="str">
        <f>""</f>
        <v/>
      </c>
    </row>
    <row r="1517" spans="1:13" ht="15.75">
      <c r="A1517">
        <v>2014</v>
      </c>
      <c r="B1517" s="777">
        <v>41875</v>
      </c>
      <c r="C1517" s="730">
        <v>0.1388888888888889</v>
      </c>
      <c r="D1517" s="777">
        <v>41876</v>
      </c>
      <c r="E1517" s="730">
        <v>0.2951388888888889</v>
      </c>
      <c r="F1517" s="558" t="s">
        <v>2712</v>
      </c>
      <c r="G1517" s="558" t="s">
        <v>124</v>
      </c>
      <c r="H1517" s="558" t="s">
        <v>5873</v>
      </c>
      <c r="I1517" s="679" t="s">
        <v>313</v>
      </c>
      <c r="J1517" s="676">
        <v>95</v>
      </c>
      <c r="K1517" s="676">
        <v>70000</v>
      </c>
      <c r="M1517" t="str">
        <f>""</f>
        <v/>
      </c>
    </row>
    <row r="1518" spans="1:13" ht="15.75">
      <c r="A1518">
        <v>2015</v>
      </c>
      <c r="B1518" s="777">
        <v>42097</v>
      </c>
      <c r="C1518" s="730">
        <v>8.3333333333333329E-2</v>
      </c>
      <c r="D1518" s="777">
        <v>42097</v>
      </c>
      <c r="E1518" s="730">
        <v>0.32500000000000001</v>
      </c>
      <c r="F1518" s="558" t="s">
        <v>2766</v>
      </c>
      <c r="G1518" s="558" t="s">
        <v>58</v>
      </c>
      <c r="H1518" s="558" t="s">
        <v>2753</v>
      </c>
      <c r="I1518" s="679" t="s">
        <v>2368</v>
      </c>
      <c r="J1518" s="676" t="s">
        <v>5873</v>
      </c>
      <c r="K1518" s="676">
        <v>70000</v>
      </c>
      <c r="M1518" t="str">
        <f>""</f>
        <v/>
      </c>
    </row>
    <row r="1519" spans="1:13" ht="15.75">
      <c r="A1519">
        <v>2015</v>
      </c>
      <c r="B1519" s="777">
        <v>42364</v>
      </c>
      <c r="C1519" s="730">
        <v>0.8125</v>
      </c>
      <c r="D1519" s="777" t="s">
        <v>5873</v>
      </c>
      <c r="E1519" s="730" t="s">
        <v>5873</v>
      </c>
      <c r="F1519" s="558" t="s">
        <v>166</v>
      </c>
      <c r="G1519" s="558" t="s">
        <v>1352</v>
      </c>
      <c r="H1519" s="558" t="s">
        <v>2753</v>
      </c>
      <c r="I1519" s="679" t="s">
        <v>22</v>
      </c>
      <c r="J1519" s="676" t="s">
        <v>5873</v>
      </c>
      <c r="K1519" s="676">
        <v>70000</v>
      </c>
      <c r="M1519" t="str">
        <f>""</f>
        <v/>
      </c>
    </row>
    <row r="1520" spans="1:13" ht="15.75">
      <c r="A1520">
        <v>2017</v>
      </c>
      <c r="B1520" s="777">
        <v>42897</v>
      </c>
      <c r="C1520" s="730">
        <v>0.29166666666666669</v>
      </c>
      <c r="D1520" s="777">
        <v>42897</v>
      </c>
      <c r="E1520" s="730">
        <v>0.47361111111111109</v>
      </c>
      <c r="F1520" s="558" t="s">
        <v>675</v>
      </c>
      <c r="G1520" s="558" t="s">
        <v>674</v>
      </c>
      <c r="H1520" s="558" t="s">
        <v>2753</v>
      </c>
      <c r="I1520" s="679" t="s">
        <v>22</v>
      </c>
      <c r="J1520" s="676" t="s">
        <v>5873</v>
      </c>
      <c r="K1520" s="676">
        <v>70000</v>
      </c>
      <c r="M1520" t="str">
        <f>""</f>
        <v/>
      </c>
    </row>
    <row r="1521" spans="1:13" ht="15.75">
      <c r="A1521">
        <v>2018</v>
      </c>
      <c r="B1521" s="777">
        <v>43237</v>
      </c>
      <c r="C1521" s="730">
        <v>4.9305555555555554E-2</v>
      </c>
      <c r="D1521" s="777" t="s">
        <v>5873</v>
      </c>
      <c r="E1521" s="730" t="s">
        <v>5873</v>
      </c>
      <c r="F1521" s="558" t="s">
        <v>3338</v>
      </c>
      <c r="G1521" s="558" t="s">
        <v>124</v>
      </c>
      <c r="H1521" s="558" t="s">
        <v>2753</v>
      </c>
      <c r="I1521" s="679" t="s">
        <v>22</v>
      </c>
      <c r="J1521" s="676">
        <v>70</v>
      </c>
      <c r="K1521" s="676">
        <v>70000</v>
      </c>
      <c r="M1521" t="str">
        <f>""</f>
        <v/>
      </c>
    </row>
    <row r="1522" spans="1:13" ht="15.75">
      <c r="A1522">
        <v>2018</v>
      </c>
      <c r="B1522" s="777">
        <v>43237</v>
      </c>
      <c r="C1522" s="730">
        <v>4.9305555555555554E-2</v>
      </c>
      <c r="D1522" s="777">
        <v>43238</v>
      </c>
      <c r="E1522" s="730">
        <v>2.6388888888888889E-2</v>
      </c>
      <c r="F1522" s="558" t="s">
        <v>2945</v>
      </c>
      <c r="G1522" s="558" t="s">
        <v>124</v>
      </c>
      <c r="H1522" s="558" t="s">
        <v>2753</v>
      </c>
      <c r="I1522" s="679" t="s">
        <v>2968</v>
      </c>
      <c r="J1522" s="676">
        <v>124</v>
      </c>
      <c r="K1522" s="676">
        <v>70000</v>
      </c>
      <c r="M1522" t="str">
        <f>""</f>
        <v/>
      </c>
    </row>
    <row r="1523" spans="1:13" ht="15.75">
      <c r="A1523">
        <v>2018</v>
      </c>
      <c r="B1523" s="777">
        <v>43443</v>
      </c>
      <c r="C1523" s="730">
        <v>0.36180555555555555</v>
      </c>
      <c r="D1523" s="777">
        <v>43443</v>
      </c>
      <c r="E1523" s="730">
        <v>0.75</v>
      </c>
      <c r="F1523" s="558" t="s">
        <v>2928</v>
      </c>
      <c r="G1523" s="558" t="s">
        <v>63</v>
      </c>
      <c r="H1523" s="558" t="s">
        <v>3451</v>
      </c>
      <c r="I1523" s="679" t="s">
        <v>22</v>
      </c>
      <c r="J1523" s="676" t="s">
        <v>5873</v>
      </c>
      <c r="K1523" s="676">
        <v>70000</v>
      </c>
      <c r="M1523" t="str">
        <f>""</f>
        <v/>
      </c>
    </row>
    <row r="1524" spans="1:13" ht="15.75">
      <c r="A1524">
        <v>2019</v>
      </c>
      <c r="B1524" s="777">
        <v>43612</v>
      </c>
      <c r="C1524" s="730">
        <v>0.92152777777777772</v>
      </c>
      <c r="D1524" s="777">
        <v>43613</v>
      </c>
      <c r="E1524" s="730">
        <v>0.125</v>
      </c>
      <c r="F1524" s="558" t="s">
        <v>3791</v>
      </c>
      <c r="G1524" s="558" t="s">
        <v>3143</v>
      </c>
      <c r="H1524" s="558" t="s">
        <v>3451</v>
      </c>
      <c r="I1524" s="679" t="s">
        <v>2990</v>
      </c>
      <c r="J1524" s="676">
        <v>347</v>
      </c>
      <c r="K1524" s="676">
        <v>70000</v>
      </c>
      <c r="M1524" t="str">
        <f>""</f>
        <v/>
      </c>
    </row>
    <row r="1525" spans="1:13" ht="15.75">
      <c r="A1525">
        <v>2019</v>
      </c>
      <c r="B1525" s="777">
        <v>43764</v>
      </c>
      <c r="C1525" s="730">
        <v>0.75</v>
      </c>
      <c r="D1525" s="777" t="s">
        <v>5873</v>
      </c>
      <c r="E1525" s="730" t="s">
        <v>5873</v>
      </c>
      <c r="F1525" s="558" t="s">
        <v>3189</v>
      </c>
      <c r="G1525" s="558" t="s">
        <v>63</v>
      </c>
      <c r="H1525" s="558" t="s">
        <v>3451</v>
      </c>
      <c r="I1525" s="679" t="s">
        <v>22</v>
      </c>
      <c r="J1525" s="676" t="s">
        <v>5873</v>
      </c>
      <c r="K1525" s="676">
        <v>70000</v>
      </c>
      <c r="M1525" t="str">
        <f>""</f>
        <v/>
      </c>
    </row>
    <row r="1526" spans="1:13" ht="15.75">
      <c r="A1526">
        <v>2020</v>
      </c>
      <c r="B1526" s="777">
        <v>43878</v>
      </c>
      <c r="C1526" s="730">
        <v>0.16666666666666666</v>
      </c>
      <c r="D1526" s="777" t="s">
        <v>5873</v>
      </c>
      <c r="E1526" s="730" t="s">
        <v>5873</v>
      </c>
      <c r="F1526" s="558" t="s">
        <v>4126</v>
      </c>
      <c r="G1526" s="558" t="s">
        <v>124</v>
      </c>
      <c r="H1526" s="558" t="s">
        <v>3451</v>
      </c>
      <c r="I1526" s="679" t="s">
        <v>22</v>
      </c>
      <c r="J1526" s="676">
        <v>91</v>
      </c>
      <c r="K1526" s="676">
        <v>70000</v>
      </c>
      <c r="M1526" t="str">
        <f>""</f>
        <v/>
      </c>
    </row>
    <row r="1527" spans="1:13" ht="15.75">
      <c r="A1527">
        <v>2020</v>
      </c>
      <c r="B1527" s="777">
        <v>44047</v>
      </c>
      <c r="C1527" s="730">
        <v>0.4375</v>
      </c>
      <c r="D1527" s="777" t="s">
        <v>5873</v>
      </c>
      <c r="E1527" s="730" t="s">
        <v>5873</v>
      </c>
      <c r="F1527" s="558" t="s">
        <v>2833</v>
      </c>
      <c r="G1527" s="558" t="s">
        <v>3143</v>
      </c>
      <c r="H1527" s="558" t="s">
        <v>3451</v>
      </c>
      <c r="I1527" s="679" t="s">
        <v>22</v>
      </c>
      <c r="J1527" s="676" t="s">
        <v>5873</v>
      </c>
      <c r="K1527" s="676">
        <v>70000</v>
      </c>
      <c r="M1527" t="str">
        <f>""</f>
        <v/>
      </c>
    </row>
    <row r="1528" spans="1:13" ht="15.75">
      <c r="A1528">
        <v>2020</v>
      </c>
      <c r="B1528" s="777">
        <v>44058</v>
      </c>
      <c r="C1528" s="730">
        <v>0.625</v>
      </c>
      <c r="D1528" s="777">
        <v>44058</v>
      </c>
      <c r="E1528" s="730">
        <v>0.82291666666666663</v>
      </c>
      <c r="F1528" s="558" t="s">
        <v>4419</v>
      </c>
      <c r="G1528" s="558" t="s">
        <v>124</v>
      </c>
      <c r="H1528" s="558" t="s">
        <v>3750</v>
      </c>
      <c r="I1528" s="679" t="s">
        <v>2764</v>
      </c>
      <c r="J1528" s="676">
        <v>200</v>
      </c>
      <c r="K1528" s="676">
        <v>70000</v>
      </c>
      <c r="M1528" t="str">
        <f>""</f>
        <v/>
      </c>
    </row>
    <row r="1529" spans="1:13" ht="15.75">
      <c r="A1529">
        <v>2021</v>
      </c>
      <c r="B1529" s="777">
        <v>44208</v>
      </c>
      <c r="C1529" s="730">
        <v>0.99236111111111114</v>
      </c>
      <c r="D1529" s="777">
        <v>44210</v>
      </c>
      <c r="E1529" s="730">
        <v>0.58333333333333337</v>
      </c>
      <c r="F1529" s="558" t="s">
        <v>2853</v>
      </c>
      <c r="G1529" s="558" t="s">
        <v>124</v>
      </c>
      <c r="H1529" s="558" t="s">
        <v>3451</v>
      </c>
      <c r="I1529" s="679" t="s">
        <v>3768</v>
      </c>
      <c r="J1529" s="676">
        <v>150</v>
      </c>
      <c r="K1529" s="676">
        <v>70000</v>
      </c>
      <c r="M1529" t="str">
        <f>""</f>
        <v/>
      </c>
    </row>
    <row r="1530" spans="1:13" ht="15.75">
      <c r="A1530">
        <v>2021</v>
      </c>
      <c r="B1530" s="777">
        <v>44284</v>
      </c>
      <c r="C1530" s="730">
        <v>0.46250000000000002</v>
      </c>
      <c r="D1530" s="777" t="s">
        <v>5873</v>
      </c>
      <c r="E1530" s="730" t="s">
        <v>5873</v>
      </c>
      <c r="F1530" s="558" t="s">
        <v>4795</v>
      </c>
      <c r="G1530" s="558" t="s">
        <v>61</v>
      </c>
      <c r="H1530" s="558" t="s">
        <v>3451</v>
      </c>
      <c r="I1530" s="679" t="s">
        <v>22</v>
      </c>
      <c r="J1530" s="676" t="s">
        <v>5873</v>
      </c>
      <c r="K1530" s="676">
        <v>70000</v>
      </c>
      <c r="M1530" t="str">
        <f>""</f>
        <v/>
      </c>
    </row>
    <row r="1531" spans="1:13" ht="15.75">
      <c r="A1531">
        <v>2022</v>
      </c>
      <c r="B1531" s="777">
        <v>44651</v>
      </c>
      <c r="C1531" s="730">
        <v>0.37430555555555556</v>
      </c>
      <c r="D1531" s="777">
        <v>44652</v>
      </c>
      <c r="E1531" s="730">
        <v>0.8125</v>
      </c>
      <c r="F1531" s="558" t="s">
        <v>5275</v>
      </c>
      <c r="G1531" s="558" t="s">
        <v>3143</v>
      </c>
      <c r="H1531" s="558" t="s">
        <v>2753</v>
      </c>
      <c r="I1531" s="679" t="s">
        <v>22</v>
      </c>
      <c r="J1531" s="676">
        <v>60</v>
      </c>
      <c r="K1531" s="676">
        <v>70000</v>
      </c>
      <c r="M1531" t="str">
        <f>""</f>
        <v/>
      </c>
    </row>
    <row r="1532" spans="1:13" ht="15.75">
      <c r="A1532">
        <v>2023</v>
      </c>
      <c r="B1532" s="777">
        <v>45102</v>
      </c>
      <c r="C1532" s="730">
        <v>0.16666666666666666</v>
      </c>
      <c r="D1532" s="777" t="s">
        <v>5873</v>
      </c>
      <c r="E1532" s="730" t="s">
        <v>5873</v>
      </c>
      <c r="F1532" s="558" t="s">
        <v>5865</v>
      </c>
      <c r="G1532" s="558" t="s">
        <v>4935</v>
      </c>
      <c r="H1532" s="558" t="s">
        <v>2753</v>
      </c>
      <c r="I1532" s="679" t="s">
        <v>5883</v>
      </c>
      <c r="J1532" s="676">
        <v>175</v>
      </c>
      <c r="K1532" s="676">
        <v>70000</v>
      </c>
      <c r="M1532" t="str">
        <f>""</f>
        <v/>
      </c>
    </row>
    <row r="1533" spans="1:13" ht="15.75">
      <c r="A1533">
        <v>2017</v>
      </c>
      <c r="B1533" s="777">
        <v>42808</v>
      </c>
      <c r="C1533" s="730">
        <v>0.52222222222222225</v>
      </c>
      <c r="D1533" s="777" t="s">
        <v>5873</v>
      </c>
      <c r="E1533" s="730" t="s">
        <v>5873</v>
      </c>
      <c r="F1533" s="558" t="s">
        <v>2992</v>
      </c>
      <c r="G1533" s="558" t="s">
        <v>61</v>
      </c>
      <c r="H1533" s="558" t="s">
        <v>2753</v>
      </c>
      <c r="I1533" s="679" t="s">
        <v>22</v>
      </c>
      <c r="J1533" s="676" t="s">
        <v>5873</v>
      </c>
      <c r="K1533" s="676">
        <v>69647</v>
      </c>
      <c r="M1533" t="str">
        <f>""</f>
        <v/>
      </c>
    </row>
    <row r="1534" spans="1:13" ht="15.75">
      <c r="A1534">
        <v>2019</v>
      </c>
      <c r="B1534" s="777">
        <v>43733</v>
      </c>
      <c r="C1534" s="730">
        <v>0.15763888888888888</v>
      </c>
      <c r="D1534" s="777">
        <v>43733</v>
      </c>
      <c r="E1534" s="730">
        <v>0.65277777777777779</v>
      </c>
      <c r="F1534" s="558" t="s">
        <v>3963</v>
      </c>
      <c r="G1534" s="558" t="s">
        <v>124</v>
      </c>
      <c r="H1534" s="558" t="s">
        <v>3451</v>
      </c>
      <c r="I1534" s="679" t="s">
        <v>22</v>
      </c>
      <c r="J1534" s="676">
        <v>25</v>
      </c>
      <c r="K1534" s="676">
        <v>69524</v>
      </c>
      <c r="M1534" t="str">
        <f>""</f>
        <v/>
      </c>
    </row>
    <row r="1535" spans="1:13" ht="15.75">
      <c r="A1535">
        <v>2021</v>
      </c>
      <c r="B1535" s="777">
        <v>44256</v>
      </c>
      <c r="C1535" s="730">
        <v>0.94791666666666663</v>
      </c>
      <c r="D1535" s="777">
        <v>44257</v>
      </c>
      <c r="E1535" s="730">
        <v>0.77430555555555558</v>
      </c>
      <c r="F1535" s="558" t="s">
        <v>3139</v>
      </c>
      <c r="G1535" s="558" t="s">
        <v>61</v>
      </c>
      <c r="H1535" s="558" t="s">
        <v>3451</v>
      </c>
      <c r="I1535" s="679" t="s">
        <v>22</v>
      </c>
      <c r="J1535" s="676" t="s">
        <v>5873</v>
      </c>
      <c r="K1535" s="676">
        <v>69260</v>
      </c>
      <c r="M1535" t="str">
        <f>""</f>
        <v/>
      </c>
    </row>
    <row r="1536" spans="1:13" ht="15.75">
      <c r="A1536">
        <v>2012</v>
      </c>
      <c r="B1536" s="777">
        <v>41091.739583333336</v>
      </c>
      <c r="C1536" s="730">
        <v>41091.739583333336</v>
      </c>
      <c r="D1536" s="777">
        <v>41091.927083333336</v>
      </c>
      <c r="E1536" s="730">
        <v>41091.927083333336</v>
      </c>
      <c r="F1536" s="558" t="s">
        <v>2411</v>
      </c>
      <c r="G1536" s="558" t="s">
        <v>63</v>
      </c>
      <c r="H1536" s="558" t="s">
        <v>5873</v>
      </c>
      <c r="I1536" s="679" t="s">
        <v>22</v>
      </c>
      <c r="J1536" s="676" t="s">
        <v>5873</v>
      </c>
      <c r="K1536" s="676">
        <v>69106</v>
      </c>
      <c r="M1536" t="str">
        <f>""</f>
        <v/>
      </c>
    </row>
    <row r="1537" spans="1:13" ht="15.75">
      <c r="A1537">
        <v>2011</v>
      </c>
      <c r="B1537" s="777">
        <v>40576</v>
      </c>
      <c r="C1537" s="730">
        <v>0.26527777777777778</v>
      </c>
      <c r="D1537" s="777">
        <v>40576</v>
      </c>
      <c r="E1537" s="730">
        <v>0.41458333333333336</v>
      </c>
      <c r="F1537" s="558" t="s">
        <v>2133</v>
      </c>
      <c r="G1537" s="558" t="s">
        <v>124</v>
      </c>
      <c r="H1537" s="558" t="s">
        <v>5873</v>
      </c>
      <c r="I1537" s="679" t="s">
        <v>2132</v>
      </c>
      <c r="J1537" s="676">
        <v>3963</v>
      </c>
      <c r="K1537" s="676">
        <v>69000</v>
      </c>
      <c r="M1537" t="str">
        <f>""</f>
        <v/>
      </c>
    </row>
    <row r="1538" spans="1:13" ht="15.75">
      <c r="A1538">
        <v>2011</v>
      </c>
      <c r="B1538" s="777">
        <v>40660</v>
      </c>
      <c r="C1538" s="730">
        <v>0.91666666666666663</v>
      </c>
      <c r="D1538" s="777">
        <v>40661</v>
      </c>
      <c r="E1538" s="730">
        <v>0.41666666666666669</v>
      </c>
      <c r="F1538" s="558" t="s">
        <v>2184</v>
      </c>
      <c r="G1538" s="558" t="s">
        <v>63</v>
      </c>
      <c r="H1538" s="558" t="s">
        <v>5873</v>
      </c>
      <c r="I1538" s="679" t="s">
        <v>22</v>
      </c>
      <c r="J1538" s="676">
        <v>0</v>
      </c>
      <c r="K1538" s="676">
        <v>69000</v>
      </c>
      <c r="M1538" t="str">
        <f>""</f>
        <v/>
      </c>
    </row>
    <row r="1539" spans="1:13" ht="15.75">
      <c r="A1539">
        <v>2014</v>
      </c>
      <c r="B1539" s="777">
        <v>41828</v>
      </c>
      <c r="C1539" s="730">
        <v>0.75</v>
      </c>
      <c r="D1539" s="777">
        <v>41831</v>
      </c>
      <c r="E1539" s="730">
        <v>0.74513888888888891</v>
      </c>
      <c r="F1539" s="558" t="s">
        <v>52</v>
      </c>
      <c r="G1539" s="558" t="s">
        <v>826</v>
      </c>
      <c r="H1539" s="558" t="s">
        <v>5873</v>
      </c>
      <c r="I1539" s="679" t="s">
        <v>2368</v>
      </c>
      <c r="J1539" s="676" t="s">
        <v>5873</v>
      </c>
      <c r="K1539" s="676">
        <v>69000</v>
      </c>
      <c r="M1539" t="str">
        <f>""</f>
        <v/>
      </c>
    </row>
    <row r="1540" spans="1:13" ht="15.75">
      <c r="A1540" s="728">
        <v>2010</v>
      </c>
      <c r="B1540" s="777">
        <v>40206</v>
      </c>
      <c r="C1540" s="730">
        <v>0.5</v>
      </c>
      <c r="D1540" s="777">
        <v>40211</v>
      </c>
      <c r="E1540" s="730">
        <v>0.5</v>
      </c>
      <c r="F1540" s="558" t="s">
        <v>10</v>
      </c>
      <c r="G1540" s="558" t="s">
        <v>58</v>
      </c>
      <c r="H1540" s="558" t="s">
        <v>5873</v>
      </c>
      <c r="I1540" s="679" t="s">
        <v>11</v>
      </c>
      <c r="J1540" s="676" t="s">
        <v>5873</v>
      </c>
      <c r="K1540" s="676">
        <v>68705</v>
      </c>
      <c r="M1540" t="str">
        <f>""</f>
        <v/>
      </c>
    </row>
    <row r="1541" spans="1:13" ht="15.75">
      <c r="A1541">
        <v>2014</v>
      </c>
      <c r="B1541" s="777">
        <v>41925</v>
      </c>
      <c r="C1541" s="730">
        <v>0.53125</v>
      </c>
      <c r="D1541" s="777">
        <v>41925</v>
      </c>
      <c r="E1541" s="730">
        <v>0.67708333333333337</v>
      </c>
      <c r="F1541" s="558" t="s">
        <v>1577</v>
      </c>
      <c r="G1541" s="558" t="s">
        <v>63</v>
      </c>
      <c r="H1541" s="558" t="s">
        <v>5873</v>
      </c>
      <c r="I1541" s="679" t="s">
        <v>2368</v>
      </c>
      <c r="J1541" s="676" t="s">
        <v>5873</v>
      </c>
      <c r="K1541" s="676">
        <v>68600</v>
      </c>
      <c r="M1541" t="str">
        <f>""</f>
        <v/>
      </c>
    </row>
    <row r="1542" spans="1:13" ht="15.75">
      <c r="A1542">
        <v>2020</v>
      </c>
      <c r="B1542" s="777">
        <v>43934</v>
      </c>
      <c r="C1542" s="730">
        <v>0.54513888888888884</v>
      </c>
      <c r="D1542" s="777">
        <v>43935</v>
      </c>
      <c r="E1542" s="730">
        <v>0.66666666666666663</v>
      </c>
      <c r="F1542" s="558" t="s">
        <v>2984</v>
      </c>
      <c r="G1542" s="558" t="s">
        <v>61</v>
      </c>
      <c r="H1542" s="558" t="s">
        <v>3451</v>
      </c>
      <c r="I1542" s="679" t="s">
        <v>22</v>
      </c>
      <c r="J1542" s="676" t="s">
        <v>5873</v>
      </c>
      <c r="K1542" s="676">
        <v>68476</v>
      </c>
      <c r="M1542" t="str">
        <f>""</f>
        <v/>
      </c>
    </row>
    <row r="1543" spans="1:13" ht="15.75">
      <c r="A1543">
        <v>2017</v>
      </c>
      <c r="B1543" s="777">
        <v>43052</v>
      </c>
      <c r="C1543" s="730">
        <v>0.68958333333333333</v>
      </c>
      <c r="D1543" s="777">
        <v>43055</v>
      </c>
      <c r="E1543" s="730">
        <v>0.25</v>
      </c>
      <c r="F1543" s="558" t="s">
        <v>2801</v>
      </c>
      <c r="G1543" s="558" t="s">
        <v>124</v>
      </c>
      <c r="H1543" s="558" t="s">
        <v>2753</v>
      </c>
      <c r="I1543" s="679" t="s">
        <v>22</v>
      </c>
      <c r="J1543" s="676">
        <v>85</v>
      </c>
      <c r="K1543" s="676">
        <v>68430</v>
      </c>
      <c r="M1543" t="str">
        <f>""</f>
        <v/>
      </c>
    </row>
    <row r="1544" spans="1:13" ht="15.75">
      <c r="A1544">
        <v>2015</v>
      </c>
      <c r="B1544" s="777">
        <v>42198</v>
      </c>
      <c r="C1544" s="730">
        <v>0.59305555555555556</v>
      </c>
      <c r="D1544" s="777">
        <v>42201</v>
      </c>
      <c r="E1544" s="730">
        <v>0.25</v>
      </c>
      <c r="F1544" s="558" t="s">
        <v>2790</v>
      </c>
      <c r="G1544" s="558" t="s">
        <v>826</v>
      </c>
      <c r="H1544" s="558" t="s">
        <v>2753</v>
      </c>
      <c r="I1544" s="679" t="s">
        <v>22</v>
      </c>
      <c r="J1544" s="676">
        <v>480</v>
      </c>
      <c r="K1544" s="676">
        <v>68339</v>
      </c>
      <c r="M1544" t="str">
        <f>""</f>
        <v/>
      </c>
    </row>
    <row r="1545" spans="1:13" ht="15.75">
      <c r="A1545">
        <v>2012</v>
      </c>
      <c r="B1545" s="777">
        <v>41079</v>
      </c>
      <c r="C1545" s="730">
        <v>0.1875</v>
      </c>
      <c r="D1545" s="777">
        <v>41080</v>
      </c>
      <c r="E1545" s="730">
        <v>0.95833333333333337</v>
      </c>
      <c r="F1545" s="558" t="s">
        <v>2392</v>
      </c>
      <c r="G1545" s="558" t="s">
        <v>674</v>
      </c>
      <c r="H1545" s="558" t="s">
        <v>5873</v>
      </c>
      <c r="I1545" s="679" t="s">
        <v>2368</v>
      </c>
      <c r="J1545" s="676" t="s">
        <v>5873</v>
      </c>
      <c r="K1545" s="676">
        <v>68200</v>
      </c>
      <c r="M1545" t="str">
        <f>""</f>
        <v/>
      </c>
    </row>
    <row r="1546" spans="1:13" ht="15.75">
      <c r="A1546">
        <v>2020</v>
      </c>
      <c r="B1546" s="777">
        <v>43841</v>
      </c>
      <c r="C1546" s="730">
        <v>0.14583333333333334</v>
      </c>
      <c r="D1546" s="777">
        <v>43841</v>
      </c>
      <c r="E1546" s="730">
        <v>0.72916666666666663</v>
      </c>
      <c r="F1546" s="558" t="s">
        <v>4079</v>
      </c>
      <c r="G1546" s="558" t="s">
        <v>3347</v>
      </c>
      <c r="H1546" s="558" t="s">
        <v>3451</v>
      </c>
      <c r="I1546" s="679" t="s">
        <v>22</v>
      </c>
      <c r="J1546" s="676" t="s">
        <v>5873</v>
      </c>
      <c r="K1546" s="676">
        <v>68138</v>
      </c>
      <c r="M1546" t="str">
        <f>""</f>
        <v/>
      </c>
    </row>
    <row r="1547" spans="1:13" ht="15.75">
      <c r="A1547">
        <v>2020</v>
      </c>
      <c r="B1547" s="777">
        <v>44189</v>
      </c>
      <c r="C1547" s="730">
        <v>0.98611111111111116</v>
      </c>
      <c r="D1547" s="777" t="s">
        <v>5873</v>
      </c>
      <c r="E1547" s="730" t="s">
        <v>5873</v>
      </c>
      <c r="F1547" s="558" t="s">
        <v>4237</v>
      </c>
      <c r="G1547" s="558" t="s">
        <v>3143</v>
      </c>
      <c r="H1547" s="558" t="s">
        <v>3451</v>
      </c>
      <c r="I1547" s="679" t="s">
        <v>3768</v>
      </c>
      <c r="J1547" s="676" t="s">
        <v>5873</v>
      </c>
      <c r="K1547" s="676">
        <v>68114</v>
      </c>
      <c r="M1547" t="str">
        <f>""</f>
        <v/>
      </c>
    </row>
    <row r="1548" spans="1:13" ht="15.75">
      <c r="A1548">
        <v>2012</v>
      </c>
      <c r="B1548" s="777">
        <v>41150.286805555559</v>
      </c>
      <c r="C1548" s="730">
        <v>41150.286805555559</v>
      </c>
      <c r="D1548" s="777">
        <v>41151.583333333336</v>
      </c>
      <c r="E1548" s="730">
        <v>41151.583333333336</v>
      </c>
      <c r="F1548" s="558" t="s">
        <v>1577</v>
      </c>
      <c r="G1548" s="558" t="s">
        <v>63</v>
      </c>
      <c r="H1548" s="558" t="s">
        <v>5873</v>
      </c>
      <c r="I1548" s="679" t="s">
        <v>2433</v>
      </c>
      <c r="J1548" s="676">
        <v>150</v>
      </c>
      <c r="K1548" s="676">
        <v>68018</v>
      </c>
      <c r="M1548" t="str">
        <f>""</f>
        <v/>
      </c>
    </row>
    <row r="1549" spans="1:13" ht="15.75">
      <c r="A1549">
        <v>2014</v>
      </c>
      <c r="B1549" s="777">
        <v>41954</v>
      </c>
      <c r="C1549" s="730">
        <v>0.75</v>
      </c>
      <c r="D1549" s="777">
        <v>41957</v>
      </c>
      <c r="E1549" s="730">
        <v>0.625</v>
      </c>
      <c r="F1549" s="558" t="s">
        <v>2575</v>
      </c>
      <c r="G1549" s="558" t="s">
        <v>124</v>
      </c>
      <c r="H1549" s="558" t="s">
        <v>5873</v>
      </c>
      <c r="I1549" s="679" t="s">
        <v>2680</v>
      </c>
      <c r="J1549" s="676">
        <v>132</v>
      </c>
      <c r="K1549" s="676">
        <v>68000</v>
      </c>
      <c r="M1549" t="str">
        <f>""</f>
        <v/>
      </c>
    </row>
    <row r="1550" spans="1:13" ht="15.75">
      <c r="A1550">
        <v>2015</v>
      </c>
      <c r="B1550" s="777">
        <v>42052</v>
      </c>
      <c r="C1550" s="730">
        <v>9.166666666666666E-2</v>
      </c>
      <c r="D1550" s="777">
        <v>42053</v>
      </c>
      <c r="E1550" s="730">
        <v>0.66666666666666663</v>
      </c>
      <c r="F1550" s="558" t="s">
        <v>2169</v>
      </c>
      <c r="G1550" s="558" t="s">
        <v>63</v>
      </c>
      <c r="H1550" s="558" t="s">
        <v>2753</v>
      </c>
      <c r="I1550" s="679" t="s">
        <v>2745</v>
      </c>
      <c r="J1550" s="676" t="s">
        <v>5873</v>
      </c>
      <c r="K1550" s="676">
        <v>68000</v>
      </c>
      <c r="M1550" t="str">
        <f>""</f>
        <v/>
      </c>
    </row>
    <row r="1551" spans="1:13" ht="15.75">
      <c r="A1551">
        <v>2015</v>
      </c>
      <c r="B1551" s="777">
        <v>42182</v>
      </c>
      <c r="C1551" s="730">
        <v>0.70833333333333337</v>
      </c>
      <c r="D1551" s="777">
        <v>42185</v>
      </c>
      <c r="E1551" s="730">
        <v>0.72083333333333333</v>
      </c>
      <c r="F1551" s="558" t="s">
        <v>2788</v>
      </c>
      <c r="G1551" s="558" t="s">
        <v>826</v>
      </c>
      <c r="H1551" s="558" t="s">
        <v>2753</v>
      </c>
      <c r="I1551" s="679" t="s">
        <v>22</v>
      </c>
      <c r="J1551" s="676" t="s">
        <v>5873</v>
      </c>
      <c r="K1551" s="676">
        <v>68000</v>
      </c>
      <c r="M1551" t="str">
        <f>""</f>
        <v/>
      </c>
    </row>
    <row r="1552" spans="1:13" ht="15.75">
      <c r="A1552">
        <v>2019</v>
      </c>
      <c r="B1552" s="777">
        <v>43603</v>
      </c>
      <c r="C1552" s="730">
        <v>0.65625</v>
      </c>
      <c r="D1552" s="777">
        <v>43605</v>
      </c>
      <c r="E1552" s="730">
        <v>0.16666666666666666</v>
      </c>
      <c r="F1552" s="558" t="s">
        <v>3779</v>
      </c>
      <c r="G1552" s="558" t="s">
        <v>1352</v>
      </c>
      <c r="H1552" s="558" t="s">
        <v>3451</v>
      </c>
      <c r="I1552" s="679" t="s">
        <v>22</v>
      </c>
      <c r="J1552" s="676" t="s">
        <v>5873</v>
      </c>
      <c r="K1552" s="676">
        <v>68000</v>
      </c>
      <c r="M1552" t="str">
        <f>""</f>
        <v/>
      </c>
    </row>
    <row r="1553" spans="1:13" ht="15.75">
      <c r="A1553">
        <v>2020</v>
      </c>
      <c r="B1553" s="777">
        <v>44023</v>
      </c>
      <c r="C1553" s="730">
        <v>0.97916666666666663</v>
      </c>
      <c r="D1553" s="777">
        <v>44024</v>
      </c>
      <c r="E1553" s="730">
        <v>0.27083333333333331</v>
      </c>
      <c r="F1553" s="558" t="s">
        <v>4318</v>
      </c>
      <c r="G1553" s="558" t="s">
        <v>3347</v>
      </c>
      <c r="H1553" s="558" t="s">
        <v>3451</v>
      </c>
      <c r="I1553" s="679" t="s">
        <v>22</v>
      </c>
      <c r="J1553" s="676" t="s">
        <v>5873</v>
      </c>
      <c r="K1553" s="676">
        <v>68000</v>
      </c>
      <c r="M1553" t="str">
        <f>""</f>
        <v/>
      </c>
    </row>
    <row r="1554" spans="1:13" ht="15.75">
      <c r="A1554">
        <v>2011</v>
      </c>
      <c r="B1554" s="777">
        <v>40753</v>
      </c>
      <c r="C1554" s="730">
        <v>0.86458333333333337</v>
      </c>
      <c r="D1554" s="777">
        <v>40756</v>
      </c>
      <c r="E1554" s="730">
        <v>0.18333333333333332</v>
      </c>
      <c r="F1554" s="558" t="s">
        <v>1592</v>
      </c>
      <c r="G1554" s="558" t="s">
        <v>826</v>
      </c>
      <c r="H1554" s="558" t="s">
        <v>5873</v>
      </c>
      <c r="I1554" s="679" t="s">
        <v>22</v>
      </c>
      <c r="J1554" s="676" t="s">
        <v>5873</v>
      </c>
      <c r="K1554" s="676">
        <v>67900</v>
      </c>
      <c r="M1554" t="str">
        <f>""</f>
        <v/>
      </c>
    </row>
    <row r="1555" spans="1:13" ht="15.75">
      <c r="A1555">
        <v>2023</v>
      </c>
      <c r="B1555" s="777">
        <v>45010</v>
      </c>
      <c r="C1555" s="730">
        <v>0.67569444444444449</v>
      </c>
      <c r="D1555" s="777">
        <v>45012</v>
      </c>
      <c r="E1555" s="730">
        <v>0.77083333333333337</v>
      </c>
      <c r="F1555" s="558" t="s">
        <v>3307</v>
      </c>
      <c r="G1555" s="558" t="s">
        <v>3143</v>
      </c>
      <c r="H1555" s="558" t="s">
        <v>2753</v>
      </c>
      <c r="I1555" s="679" t="s">
        <v>22</v>
      </c>
      <c r="J1555" s="676">
        <v>5800</v>
      </c>
      <c r="K1555" s="676">
        <v>67893</v>
      </c>
      <c r="M1555" t="str">
        <f>""</f>
        <v/>
      </c>
    </row>
    <row r="1556" spans="1:13" ht="15.75">
      <c r="A1556">
        <v>2020</v>
      </c>
      <c r="B1556" s="777">
        <v>43847</v>
      </c>
      <c r="C1556" s="730">
        <v>0.22777777777777777</v>
      </c>
      <c r="D1556" s="777">
        <v>43847</v>
      </c>
      <c r="E1556" s="730">
        <v>0.42569444444444443</v>
      </c>
      <c r="F1556" s="558" t="s">
        <v>3079</v>
      </c>
      <c r="G1556" s="558" t="s">
        <v>124</v>
      </c>
      <c r="H1556" s="558" t="s">
        <v>4071</v>
      </c>
      <c r="I1556" s="679" t="s">
        <v>2990</v>
      </c>
      <c r="J1556" s="676">
        <v>87</v>
      </c>
      <c r="K1556" s="676">
        <v>67864</v>
      </c>
      <c r="M1556" t="str">
        <f>""</f>
        <v/>
      </c>
    </row>
    <row r="1557" spans="1:13" ht="15.75">
      <c r="A1557">
        <v>2022</v>
      </c>
      <c r="B1557" s="777">
        <v>44670</v>
      </c>
      <c r="C1557" s="730">
        <v>0.36180555555555555</v>
      </c>
      <c r="D1557" s="777">
        <v>44670</v>
      </c>
      <c r="E1557" s="730">
        <v>0.50694444444444442</v>
      </c>
      <c r="F1557" s="558" t="s">
        <v>3264</v>
      </c>
      <c r="G1557" s="558" t="s">
        <v>61</v>
      </c>
      <c r="H1557" s="558" t="s">
        <v>2753</v>
      </c>
      <c r="I1557" s="679" t="s">
        <v>22</v>
      </c>
      <c r="J1557" s="676" t="s">
        <v>5873</v>
      </c>
      <c r="K1557" s="676">
        <v>67754</v>
      </c>
      <c r="M1557" t="str">
        <f>""</f>
        <v/>
      </c>
    </row>
    <row r="1558" spans="1:13" ht="15.75">
      <c r="A1558">
        <v>2022</v>
      </c>
      <c r="B1558" s="777">
        <v>44596</v>
      </c>
      <c r="C1558" s="730">
        <v>0.54861111111111116</v>
      </c>
      <c r="D1558" s="777" t="s">
        <v>5873</v>
      </c>
      <c r="E1558" s="730" t="s">
        <v>5873</v>
      </c>
      <c r="F1558" s="558" t="s">
        <v>5214</v>
      </c>
      <c r="G1558" s="558" t="s">
        <v>61</v>
      </c>
      <c r="H1558" s="558" t="s">
        <v>2753</v>
      </c>
      <c r="I1558" s="679" t="s">
        <v>2990</v>
      </c>
      <c r="J1558" s="676" t="s">
        <v>5873</v>
      </c>
      <c r="K1558" s="676">
        <v>67404</v>
      </c>
      <c r="M1558" t="str">
        <f>""</f>
        <v/>
      </c>
    </row>
    <row r="1559" spans="1:13" ht="15.75">
      <c r="A1559">
        <v>2014</v>
      </c>
      <c r="B1559" s="777">
        <v>41914</v>
      </c>
      <c r="C1559" s="730">
        <v>0.92708333333333337</v>
      </c>
      <c r="D1559" s="777" t="s">
        <v>5873</v>
      </c>
      <c r="E1559" s="730" t="s">
        <v>5873</v>
      </c>
      <c r="F1559" s="558" t="s">
        <v>48</v>
      </c>
      <c r="G1559" s="558" t="s">
        <v>63</v>
      </c>
      <c r="H1559" s="558" t="s">
        <v>5873</v>
      </c>
      <c r="I1559" s="679" t="s">
        <v>2368</v>
      </c>
      <c r="J1559" s="676" t="s">
        <v>5873</v>
      </c>
      <c r="K1559" s="676">
        <v>67300</v>
      </c>
      <c r="M1559" t="str">
        <f>""</f>
        <v/>
      </c>
    </row>
    <row r="1560" spans="1:13" ht="15.75">
      <c r="A1560">
        <v>2015</v>
      </c>
      <c r="B1560" s="777">
        <v>42051</v>
      </c>
      <c r="C1560" s="730">
        <v>0.875</v>
      </c>
      <c r="D1560" s="777">
        <v>42053</v>
      </c>
      <c r="E1560" s="730">
        <v>0.58333333333333337</v>
      </c>
      <c r="F1560" s="558" t="s">
        <v>2746</v>
      </c>
      <c r="G1560" s="558" t="s">
        <v>63</v>
      </c>
      <c r="H1560" s="558" t="s">
        <v>2753</v>
      </c>
      <c r="I1560" s="679" t="s">
        <v>2745</v>
      </c>
      <c r="J1560" s="676" t="s">
        <v>5873</v>
      </c>
      <c r="K1560" s="676">
        <v>67189</v>
      </c>
      <c r="M1560" t="str">
        <f>""</f>
        <v/>
      </c>
    </row>
    <row r="1561" spans="1:13" ht="15.75">
      <c r="A1561">
        <v>2012</v>
      </c>
      <c r="B1561" s="777">
        <v>41108.680555555555</v>
      </c>
      <c r="C1561" s="730">
        <v>41108.680555555555</v>
      </c>
      <c r="D1561" s="777">
        <v>41108.795138888891</v>
      </c>
      <c r="E1561" s="730">
        <v>41108.795138888891</v>
      </c>
      <c r="F1561" s="558" t="s">
        <v>2380</v>
      </c>
      <c r="G1561" s="558" t="s">
        <v>826</v>
      </c>
      <c r="H1561" s="558" t="s">
        <v>5873</v>
      </c>
      <c r="I1561" s="679" t="s">
        <v>2368</v>
      </c>
      <c r="J1561" s="676" t="s">
        <v>5873</v>
      </c>
      <c r="K1561" s="676">
        <v>67000</v>
      </c>
      <c r="M1561" t="str">
        <f>""</f>
        <v/>
      </c>
    </row>
    <row r="1562" spans="1:13" ht="15.75">
      <c r="A1562">
        <v>2018</v>
      </c>
      <c r="B1562" s="777">
        <v>43338</v>
      </c>
      <c r="C1562" s="730">
        <v>0.91666666666666663</v>
      </c>
      <c r="D1562" s="777">
        <v>43339</v>
      </c>
      <c r="E1562" s="730">
        <v>0.20555555555555555</v>
      </c>
      <c r="F1562" s="558" t="s">
        <v>3450</v>
      </c>
      <c r="G1562" s="558" t="s">
        <v>3143</v>
      </c>
      <c r="H1562" s="558" t="s">
        <v>3451</v>
      </c>
      <c r="I1562" s="679" t="s">
        <v>22</v>
      </c>
      <c r="J1562" s="676" t="s">
        <v>5873</v>
      </c>
      <c r="K1562" s="676">
        <v>67000</v>
      </c>
      <c r="M1562" t="str">
        <f>""</f>
        <v/>
      </c>
    </row>
    <row r="1563" spans="1:13" ht="15.75">
      <c r="A1563">
        <v>2021</v>
      </c>
      <c r="B1563" s="777">
        <v>44244</v>
      </c>
      <c r="C1563" s="730">
        <v>0.70833333333333337</v>
      </c>
      <c r="D1563" s="777">
        <v>44244</v>
      </c>
      <c r="E1563" s="730">
        <v>0.91666666666666663</v>
      </c>
      <c r="F1563" s="558" t="s">
        <v>4532</v>
      </c>
      <c r="G1563" s="558" t="s">
        <v>63</v>
      </c>
      <c r="H1563" s="558" t="s">
        <v>3478</v>
      </c>
      <c r="I1563" s="679" t="s">
        <v>22</v>
      </c>
      <c r="J1563" s="676">
        <v>400</v>
      </c>
      <c r="K1563" s="676">
        <v>67000</v>
      </c>
      <c r="M1563" t="str">
        <f>""</f>
        <v/>
      </c>
    </row>
    <row r="1564" spans="1:13" ht="15.75">
      <c r="A1564">
        <v>2014</v>
      </c>
      <c r="B1564" s="777">
        <v>41934</v>
      </c>
      <c r="C1564" s="730">
        <v>0.94861111111111107</v>
      </c>
      <c r="D1564" s="777">
        <v>41934</v>
      </c>
      <c r="E1564" s="730">
        <v>0.94930555555555551</v>
      </c>
      <c r="F1564" s="558" t="s">
        <v>2725</v>
      </c>
      <c r="G1564" s="558" t="s">
        <v>61</v>
      </c>
      <c r="H1564" s="558" t="s">
        <v>5873</v>
      </c>
      <c r="I1564" s="679" t="s">
        <v>22</v>
      </c>
      <c r="J1564" s="676" t="s">
        <v>5873</v>
      </c>
      <c r="K1564" s="676">
        <v>66650</v>
      </c>
      <c r="M1564" t="str">
        <f>""</f>
        <v/>
      </c>
    </row>
    <row r="1565" spans="1:13" ht="15.75">
      <c r="A1565">
        <v>2021</v>
      </c>
      <c r="B1565" s="777">
        <v>44452</v>
      </c>
      <c r="C1565" s="730">
        <v>0.75</v>
      </c>
      <c r="D1565" s="777">
        <v>44453</v>
      </c>
      <c r="E1565" s="730">
        <v>3.4027777777777775E-2</v>
      </c>
      <c r="F1565" s="558" t="s">
        <v>2809</v>
      </c>
      <c r="G1565" s="558" t="s">
        <v>1352</v>
      </c>
      <c r="H1565" s="558" t="s">
        <v>2753</v>
      </c>
      <c r="I1565" s="679" t="s">
        <v>22</v>
      </c>
      <c r="J1565" s="676" t="s">
        <v>5873</v>
      </c>
      <c r="K1565" s="676">
        <v>66589</v>
      </c>
      <c r="M1565" t="str">
        <f>""</f>
        <v/>
      </c>
    </row>
    <row r="1566" spans="1:13" ht="15.75">
      <c r="A1566">
        <v>2022</v>
      </c>
      <c r="B1566" s="777">
        <v>44918</v>
      </c>
      <c r="C1566" s="730">
        <v>0.40625</v>
      </c>
      <c r="D1566" s="777">
        <v>44918</v>
      </c>
      <c r="E1566" s="730">
        <v>0.70833333333333337</v>
      </c>
      <c r="F1566" s="558" t="s">
        <v>2928</v>
      </c>
      <c r="G1566" s="558" t="s">
        <v>63</v>
      </c>
      <c r="H1566" s="558" t="s">
        <v>3451</v>
      </c>
      <c r="I1566" s="679" t="s">
        <v>22</v>
      </c>
      <c r="J1566" s="676" t="s">
        <v>5873</v>
      </c>
      <c r="K1566" s="676">
        <v>66519</v>
      </c>
      <c r="M1566" t="str">
        <f>""</f>
        <v/>
      </c>
    </row>
    <row r="1567" spans="1:13" ht="15.75">
      <c r="A1567">
        <v>2020</v>
      </c>
      <c r="B1567" s="777">
        <v>43841</v>
      </c>
      <c r="C1567" s="730">
        <v>0.95972222222222225</v>
      </c>
      <c r="D1567" s="777">
        <v>43842</v>
      </c>
      <c r="E1567" s="730">
        <v>8.4027777777777785E-2</v>
      </c>
      <c r="F1567" s="558" t="s">
        <v>2832</v>
      </c>
      <c r="G1567" s="558" t="s">
        <v>63</v>
      </c>
      <c r="H1567" s="558" t="s">
        <v>3451</v>
      </c>
      <c r="I1567" s="679" t="s">
        <v>22</v>
      </c>
      <c r="J1567" s="676" t="s">
        <v>5873</v>
      </c>
      <c r="K1567" s="676">
        <v>66475</v>
      </c>
      <c r="M1567" t="str">
        <f>""</f>
        <v/>
      </c>
    </row>
    <row r="1568" spans="1:13" ht="15.75">
      <c r="A1568">
        <v>2022</v>
      </c>
      <c r="B1568" s="777">
        <v>44650</v>
      </c>
      <c r="C1568" s="730">
        <v>0.65625</v>
      </c>
      <c r="D1568" s="777" t="s">
        <v>5873</v>
      </c>
      <c r="E1568" s="730" t="s">
        <v>5873</v>
      </c>
      <c r="F1568" s="558" t="s">
        <v>5271</v>
      </c>
      <c r="G1568" s="558" t="s">
        <v>63</v>
      </c>
      <c r="H1568" s="558" t="s">
        <v>2753</v>
      </c>
      <c r="I1568" s="679" t="s">
        <v>22</v>
      </c>
      <c r="J1568" s="676" t="s">
        <v>5873</v>
      </c>
      <c r="K1568" s="676">
        <v>66448</v>
      </c>
      <c r="M1568" t="str">
        <f>""</f>
        <v/>
      </c>
    </row>
    <row r="1569" spans="1:13" ht="15.75">
      <c r="A1569">
        <v>2014</v>
      </c>
      <c r="B1569" s="777">
        <v>41691</v>
      </c>
      <c r="C1569" s="730">
        <v>0.12013888888888889</v>
      </c>
      <c r="D1569" s="777">
        <v>41691</v>
      </c>
      <c r="E1569" s="730">
        <v>0.875</v>
      </c>
      <c r="F1569" s="558" t="s">
        <v>2668</v>
      </c>
      <c r="G1569" s="558" t="s">
        <v>63</v>
      </c>
      <c r="H1569" s="558" t="s">
        <v>5873</v>
      </c>
      <c r="I1569" s="679" t="s">
        <v>2671</v>
      </c>
      <c r="J1569" s="676">
        <v>221</v>
      </c>
      <c r="K1569" s="676">
        <v>66445</v>
      </c>
      <c r="M1569" t="str">
        <f>""</f>
        <v/>
      </c>
    </row>
    <row r="1570" spans="1:13" ht="15.75">
      <c r="A1570">
        <v>2014</v>
      </c>
      <c r="B1570" s="777">
        <v>41800</v>
      </c>
      <c r="C1570" s="730">
        <v>0.90972222222222221</v>
      </c>
      <c r="D1570" s="777">
        <v>41801</v>
      </c>
      <c r="E1570" s="730">
        <v>0.60416666666666663</v>
      </c>
      <c r="F1570" s="558" t="s">
        <v>2402</v>
      </c>
      <c r="G1570" s="558" t="s">
        <v>826</v>
      </c>
      <c r="H1570" s="558" t="s">
        <v>5873</v>
      </c>
      <c r="I1570" s="679" t="s">
        <v>2368</v>
      </c>
      <c r="J1570" s="676" t="s">
        <v>5873</v>
      </c>
      <c r="K1570" s="676">
        <v>66383</v>
      </c>
      <c r="M1570" t="str">
        <f>""</f>
        <v/>
      </c>
    </row>
    <row r="1571" spans="1:13" ht="15.75">
      <c r="A1571">
        <v>2019</v>
      </c>
      <c r="B1571" s="777">
        <v>43770</v>
      </c>
      <c r="C1571" s="730">
        <v>0.11180555555555556</v>
      </c>
      <c r="D1571" s="777" t="s">
        <v>5873</v>
      </c>
      <c r="E1571" s="730" t="s">
        <v>5873</v>
      </c>
      <c r="F1571" s="558" t="s">
        <v>3719</v>
      </c>
      <c r="G1571" s="558" t="s">
        <v>61</v>
      </c>
      <c r="H1571" s="558" t="s">
        <v>3451</v>
      </c>
      <c r="I1571" s="679" t="s">
        <v>22</v>
      </c>
      <c r="J1571" s="676" t="s">
        <v>5873</v>
      </c>
      <c r="K1571" s="676">
        <v>66325</v>
      </c>
      <c r="M1571" t="str">
        <f>""</f>
        <v/>
      </c>
    </row>
    <row r="1572" spans="1:13" ht="15.75">
      <c r="A1572">
        <v>2014</v>
      </c>
      <c r="B1572" s="777">
        <v>41690</v>
      </c>
      <c r="C1572" s="730">
        <v>0.69444444444444442</v>
      </c>
      <c r="D1572" s="777">
        <v>41691</v>
      </c>
      <c r="E1572" s="730">
        <v>0.99930555555555556</v>
      </c>
      <c r="F1572" s="558" t="s">
        <v>2670</v>
      </c>
      <c r="G1572" s="558" t="s">
        <v>63</v>
      </c>
      <c r="H1572" s="558" t="s">
        <v>5873</v>
      </c>
      <c r="I1572" s="679" t="s">
        <v>2662</v>
      </c>
      <c r="J1572" s="676" t="s">
        <v>5873</v>
      </c>
      <c r="K1572" s="676">
        <v>66000</v>
      </c>
      <c r="M1572" t="str">
        <f>""</f>
        <v/>
      </c>
    </row>
    <row r="1573" spans="1:13" ht="15.75">
      <c r="A1573">
        <v>2014</v>
      </c>
      <c r="B1573" s="777">
        <v>41828</v>
      </c>
      <c r="C1573" s="730">
        <v>0.72916666666666663</v>
      </c>
      <c r="D1573" s="777">
        <v>41830</v>
      </c>
      <c r="E1573" s="730">
        <v>0.625</v>
      </c>
      <c r="F1573" s="558" t="s">
        <v>2707</v>
      </c>
      <c r="G1573" s="558" t="s">
        <v>826</v>
      </c>
      <c r="H1573" s="558" t="s">
        <v>5873</v>
      </c>
      <c r="I1573" s="679" t="s">
        <v>2368</v>
      </c>
      <c r="J1573" s="676" t="s">
        <v>5873</v>
      </c>
      <c r="K1573" s="676">
        <v>66000</v>
      </c>
      <c r="M1573" t="str">
        <f>""</f>
        <v/>
      </c>
    </row>
    <row r="1574" spans="1:13" ht="15.75">
      <c r="A1574">
        <v>2019</v>
      </c>
      <c r="B1574" s="777">
        <v>43537</v>
      </c>
      <c r="C1574" s="730">
        <v>0.625</v>
      </c>
      <c r="D1574" s="777">
        <v>43538</v>
      </c>
      <c r="E1574" s="730">
        <v>0</v>
      </c>
      <c r="F1574" s="558" t="s">
        <v>3706</v>
      </c>
      <c r="G1574" s="558" t="s">
        <v>1352</v>
      </c>
      <c r="H1574" s="558" t="s">
        <v>3451</v>
      </c>
      <c r="I1574" s="679" t="s">
        <v>2990</v>
      </c>
      <c r="J1574" s="676" t="s">
        <v>5873</v>
      </c>
      <c r="K1574" s="676">
        <v>66000</v>
      </c>
      <c r="M1574" t="str">
        <f>""</f>
        <v/>
      </c>
    </row>
    <row r="1575" spans="1:13" ht="15.75">
      <c r="A1575">
        <v>2021</v>
      </c>
      <c r="B1575" s="777">
        <v>44544</v>
      </c>
      <c r="C1575" s="730">
        <v>0.31111111111111112</v>
      </c>
      <c r="D1575" s="777">
        <v>44544</v>
      </c>
      <c r="E1575" s="730">
        <v>0.57152777777777775</v>
      </c>
      <c r="F1575" s="558" t="s">
        <v>3079</v>
      </c>
      <c r="G1575" s="558" t="s">
        <v>124</v>
      </c>
      <c r="H1575" s="558" t="s">
        <v>2839</v>
      </c>
      <c r="I1575" s="679" t="s">
        <v>22</v>
      </c>
      <c r="J1575" s="676">
        <v>120</v>
      </c>
      <c r="K1575" s="676">
        <v>65994</v>
      </c>
      <c r="M1575" t="str">
        <f>""</f>
        <v/>
      </c>
    </row>
    <row r="1576" spans="1:13" ht="15.75">
      <c r="A1576">
        <v>2021</v>
      </c>
      <c r="B1576" s="777">
        <v>44557</v>
      </c>
      <c r="C1576" s="730">
        <v>0.87569444444444444</v>
      </c>
      <c r="D1576" s="777">
        <v>44560</v>
      </c>
      <c r="E1576" s="730">
        <v>0.38263888888888886</v>
      </c>
      <c r="F1576" s="558" t="s">
        <v>3079</v>
      </c>
      <c r="G1576" s="558" t="s">
        <v>124</v>
      </c>
      <c r="H1576" s="558" t="s">
        <v>2839</v>
      </c>
      <c r="I1576" s="679" t="s">
        <v>2764</v>
      </c>
      <c r="J1576" s="676">
        <v>120</v>
      </c>
      <c r="K1576" s="676">
        <v>65994</v>
      </c>
      <c r="M1576" t="str">
        <f>""</f>
        <v/>
      </c>
    </row>
    <row r="1577" spans="1:13" ht="15.75">
      <c r="A1577">
        <v>2018</v>
      </c>
      <c r="B1577" s="777">
        <v>43195</v>
      </c>
      <c r="C1577" s="730">
        <v>3.4722222222222224E-2</v>
      </c>
      <c r="D1577" s="777">
        <v>43195</v>
      </c>
      <c r="E1577" s="730">
        <v>0.66666666666666663</v>
      </c>
      <c r="F1577" s="558" t="s">
        <v>2984</v>
      </c>
      <c r="G1577" s="558" t="s">
        <v>61</v>
      </c>
      <c r="H1577" s="558" t="s">
        <v>2753</v>
      </c>
      <c r="I1577" s="679" t="s">
        <v>22</v>
      </c>
      <c r="J1577" s="676" t="s">
        <v>5873</v>
      </c>
      <c r="K1577" s="676">
        <v>65932</v>
      </c>
      <c r="M1577" t="str">
        <f>""</f>
        <v/>
      </c>
    </row>
    <row r="1578" spans="1:13" ht="15.75">
      <c r="A1578">
        <v>2014</v>
      </c>
      <c r="B1578" s="777">
        <v>41701</v>
      </c>
      <c r="C1578" s="730">
        <v>0.27777777777777779</v>
      </c>
      <c r="D1578" s="777">
        <v>41701</v>
      </c>
      <c r="E1578" s="730">
        <v>0.64444444444444449</v>
      </c>
      <c r="F1578" s="558" t="s">
        <v>2650</v>
      </c>
      <c r="G1578" s="558" t="s">
        <v>63</v>
      </c>
      <c r="H1578" s="558" t="s">
        <v>5873</v>
      </c>
      <c r="I1578" s="679" t="s">
        <v>2349</v>
      </c>
      <c r="J1578" s="676" t="s">
        <v>5873</v>
      </c>
      <c r="K1578" s="676">
        <v>65904</v>
      </c>
      <c r="M1578" t="str">
        <f>""</f>
        <v/>
      </c>
    </row>
    <row r="1579" spans="1:13" ht="15.75">
      <c r="A1579">
        <v>2021</v>
      </c>
      <c r="B1579" s="777">
        <v>44409</v>
      </c>
      <c r="C1579" s="730">
        <v>0.98402777777777772</v>
      </c>
      <c r="D1579" s="777">
        <v>44410</v>
      </c>
      <c r="E1579" s="730">
        <v>0</v>
      </c>
      <c r="F1579" s="558" t="s">
        <v>4947</v>
      </c>
      <c r="G1579" s="558" t="s">
        <v>124</v>
      </c>
      <c r="H1579" s="558" t="s">
        <v>2839</v>
      </c>
      <c r="I1579" s="679" t="s">
        <v>22</v>
      </c>
      <c r="J1579" s="676">
        <v>95</v>
      </c>
      <c r="K1579" s="676">
        <v>65888</v>
      </c>
      <c r="M1579" t="str">
        <f>""</f>
        <v/>
      </c>
    </row>
    <row r="1580" spans="1:13" ht="15.75">
      <c r="A1580">
        <v>2019</v>
      </c>
      <c r="B1580" s="777">
        <v>43593</v>
      </c>
      <c r="C1580" s="730">
        <v>0.65972222222222221</v>
      </c>
      <c r="D1580" s="777">
        <v>43598</v>
      </c>
      <c r="E1580" s="730">
        <v>0</v>
      </c>
      <c r="F1580" s="558" t="s">
        <v>3767</v>
      </c>
      <c r="G1580" s="558" t="s">
        <v>3347</v>
      </c>
      <c r="H1580" s="558" t="s">
        <v>3451</v>
      </c>
      <c r="I1580" s="679" t="s">
        <v>3768</v>
      </c>
      <c r="J1580" s="676" t="s">
        <v>5873</v>
      </c>
      <c r="K1580" s="676">
        <v>65844</v>
      </c>
      <c r="M1580" t="str">
        <f>""</f>
        <v/>
      </c>
    </row>
    <row r="1581" spans="1:13" ht="15.75">
      <c r="A1581">
        <v>2013</v>
      </c>
      <c r="B1581" s="777">
        <v>41453</v>
      </c>
      <c r="C1581" s="730">
        <v>0.75138888888888888</v>
      </c>
      <c r="D1581" s="777">
        <v>41453</v>
      </c>
      <c r="E1581" s="730">
        <v>0.86527777777777781</v>
      </c>
      <c r="F1581" s="558" t="s">
        <v>2567</v>
      </c>
      <c r="G1581" s="558" t="s">
        <v>124</v>
      </c>
      <c r="H1581" s="558" t="s">
        <v>5873</v>
      </c>
      <c r="I1581" s="679" t="s">
        <v>2568</v>
      </c>
      <c r="J1581" s="676">
        <v>240</v>
      </c>
      <c r="K1581" s="676">
        <v>65255</v>
      </c>
      <c r="M1581" t="str">
        <f>""</f>
        <v/>
      </c>
    </row>
    <row r="1582" spans="1:13" ht="15.75">
      <c r="A1582">
        <v>2018</v>
      </c>
      <c r="B1582" s="777">
        <v>43161</v>
      </c>
      <c r="C1582" s="730">
        <v>0.33333333333333331</v>
      </c>
      <c r="D1582" s="777">
        <v>43162</v>
      </c>
      <c r="E1582" s="730">
        <v>0.95833333333333337</v>
      </c>
      <c r="F1582" s="558" t="s">
        <v>3256</v>
      </c>
      <c r="G1582" s="558" t="s">
        <v>3143</v>
      </c>
      <c r="H1582" s="558" t="s">
        <v>2753</v>
      </c>
      <c r="I1582" s="679" t="s">
        <v>22</v>
      </c>
      <c r="J1582" s="676" t="s">
        <v>5873</v>
      </c>
      <c r="K1582" s="676">
        <v>65198</v>
      </c>
      <c r="M1582" t="str">
        <f>""</f>
        <v/>
      </c>
    </row>
    <row r="1583" spans="1:13" ht="15.75">
      <c r="A1583">
        <v>2012</v>
      </c>
      <c r="B1583" s="777">
        <v>41116.759722222225</v>
      </c>
      <c r="C1583" s="730">
        <v>41116.759722222225</v>
      </c>
      <c r="D1583" s="777">
        <v>41117.759722222225</v>
      </c>
      <c r="E1583" s="730">
        <v>41117.759722222225</v>
      </c>
      <c r="F1583" s="558" t="s">
        <v>1562</v>
      </c>
      <c r="G1583" s="558" t="s">
        <v>826</v>
      </c>
      <c r="H1583" s="558" t="s">
        <v>5873</v>
      </c>
      <c r="I1583" s="679" t="s">
        <v>2368</v>
      </c>
      <c r="J1583" s="676" t="s">
        <v>5873</v>
      </c>
      <c r="K1583" s="676">
        <v>65112</v>
      </c>
      <c r="M1583" t="str">
        <f>""</f>
        <v/>
      </c>
    </row>
    <row r="1584" spans="1:13" ht="15.75">
      <c r="A1584" s="728">
        <v>2010</v>
      </c>
      <c r="B1584" s="777">
        <v>40234</v>
      </c>
      <c r="C1584" s="730">
        <v>6.9444444444444447E-4</v>
      </c>
      <c r="D1584" s="777">
        <v>40235</v>
      </c>
      <c r="E1584" s="730">
        <v>0.875</v>
      </c>
      <c r="F1584" s="558" t="s">
        <v>1889</v>
      </c>
      <c r="G1584" s="558" t="s">
        <v>61</v>
      </c>
      <c r="H1584" s="558" t="s">
        <v>5873</v>
      </c>
      <c r="I1584" s="679" t="s">
        <v>40</v>
      </c>
      <c r="J1584" s="676" t="s">
        <v>5873</v>
      </c>
      <c r="K1584" s="676">
        <v>65000</v>
      </c>
      <c r="M1584" t="str">
        <f>""</f>
        <v/>
      </c>
    </row>
    <row r="1585" spans="1:13" ht="15.75">
      <c r="A1585">
        <v>2011</v>
      </c>
      <c r="B1585" s="777">
        <v>40775</v>
      </c>
      <c r="C1585" s="730">
        <v>0.73750000000000004</v>
      </c>
      <c r="D1585" s="777">
        <v>40778</v>
      </c>
      <c r="E1585" s="730">
        <v>0.83333333333333337</v>
      </c>
      <c r="F1585" s="558" t="s">
        <v>268</v>
      </c>
      <c r="G1585" s="558" t="s">
        <v>826</v>
      </c>
      <c r="H1585" s="558" t="s">
        <v>5873</v>
      </c>
      <c r="I1585" s="679" t="s">
        <v>22</v>
      </c>
      <c r="J1585" s="676">
        <v>254</v>
      </c>
      <c r="K1585" s="676">
        <v>65000</v>
      </c>
      <c r="M1585" t="str">
        <f>""</f>
        <v/>
      </c>
    </row>
    <row r="1586" spans="1:13" ht="15.75">
      <c r="A1586">
        <v>2011</v>
      </c>
      <c r="B1586" s="777">
        <v>40815</v>
      </c>
      <c r="C1586" s="730">
        <v>0.20833333333333334</v>
      </c>
      <c r="D1586" s="777">
        <v>40816</v>
      </c>
      <c r="E1586" s="730">
        <v>0.25</v>
      </c>
      <c r="F1586" s="558" t="s">
        <v>2306</v>
      </c>
      <c r="G1586" s="558" t="s">
        <v>1352</v>
      </c>
      <c r="H1586" s="558" t="s">
        <v>5873</v>
      </c>
      <c r="I1586" s="679" t="s">
        <v>22</v>
      </c>
      <c r="J1586" s="676" t="s">
        <v>5873</v>
      </c>
      <c r="K1586" s="676">
        <v>65000</v>
      </c>
      <c r="M1586" t="str">
        <f>""</f>
        <v/>
      </c>
    </row>
    <row r="1587" spans="1:13" ht="15.75">
      <c r="A1587">
        <v>2012</v>
      </c>
      <c r="B1587" s="777">
        <v>41116.76458333333</v>
      </c>
      <c r="C1587" s="730">
        <v>41116.76458333333</v>
      </c>
      <c r="D1587" s="777">
        <v>41118.979166666664</v>
      </c>
      <c r="E1587" s="730">
        <v>41118.979166666664</v>
      </c>
      <c r="F1587" s="558" t="s">
        <v>2427</v>
      </c>
      <c r="G1587" s="558" t="s">
        <v>826</v>
      </c>
      <c r="H1587" s="558" t="s">
        <v>5873</v>
      </c>
      <c r="I1587" s="679" t="s">
        <v>2368</v>
      </c>
      <c r="J1587" s="676" t="s">
        <v>5873</v>
      </c>
      <c r="K1587" s="676">
        <v>65000</v>
      </c>
      <c r="M1587" t="str">
        <f>""</f>
        <v/>
      </c>
    </row>
    <row r="1588" spans="1:13" ht="15.75">
      <c r="A1588">
        <v>2012</v>
      </c>
      <c r="B1588" s="777">
        <v>41160.652777777781</v>
      </c>
      <c r="C1588" s="730">
        <v>41160.652777777781</v>
      </c>
      <c r="D1588" s="777">
        <v>41160.78125</v>
      </c>
      <c r="E1588" s="730">
        <v>41160.78125</v>
      </c>
      <c r="F1588" s="558" t="s">
        <v>2437</v>
      </c>
      <c r="G1588" s="558" t="s">
        <v>826</v>
      </c>
      <c r="H1588" s="558" t="s">
        <v>5873</v>
      </c>
      <c r="I1588" s="679" t="s">
        <v>2368</v>
      </c>
      <c r="J1588" s="676" t="s">
        <v>5873</v>
      </c>
      <c r="K1588" s="676">
        <v>65000</v>
      </c>
      <c r="M1588" t="str">
        <f>""</f>
        <v/>
      </c>
    </row>
    <row r="1589" spans="1:13" ht="15.75">
      <c r="A1589">
        <v>2014</v>
      </c>
      <c r="B1589" s="777">
        <v>41797</v>
      </c>
      <c r="C1589" s="730">
        <v>0.95833333333333337</v>
      </c>
      <c r="D1589" s="777">
        <v>41798</v>
      </c>
      <c r="E1589" s="730">
        <v>0.22916666666666666</v>
      </c>
      <c r="F1589" s="558" t="s">
        <v>2699</v>
      </c>
      <c r="G1589" s="558" t="s">
        <v>63</v>
      </c>
      <c r="H1589" s="558" t="s">
        <v>5873</v>
      </c>
      <c r="I1589" s="679" t="s">
        <v>2368</v>
      </c>
      <c r="J1589" s="676">
        <v>217</v>
      </c>
      <c r="K1589" s="676">
        <v>65000</v>
      </c>
      <c r="M1589" t="str">
        <f>""</f>
        <v/>
      </c>
    </row>
    <row r="1590" spans="1:13" ht="15.75">
      <c r="A1590">
        <v>2014</v>
      </c>
      <c r="B1590" s="777">
        <v>41828</v>
      </c>
      <c r="C1590" s="730">
        <v>0.80625000000000002</v>
      </c>
      <c r="D1590" s="777">
        <v>41831</v>
      </c>
      <c r="E1590" s="730">
        <v>0.29166666666666669</v>
      </c>
      <c r="F1590" s="558" t="s">
        <v>89</v>
      </c>
      <c r="G1590" s="558" t="s">
        <v>61</v>
      </c>
      <c r="H1590" s="558" t="s">
        <v>5873</v>
      </c>
      <c r="I1590" s="679" t="s">
        <v>2368</v>
      </c>
      <c r="J1590" s="676" t="s">
        <v>5873</v>
      </c>
      <c r="K1590" s="676">
        <v>65000</v>
      </c>
      <c r="M1590" t="str">
        <f>""</f>
        <v/>
      </c>
    </row>
    <row r="1591" spans="1:13" ht="15.75">
      <c r="A1591">
        <v>2015</v>
      </c>
      <c r="B1591" s="777">
        <v>42041</v>
      </c>
      <c r="C1591" s="730">
        <v>0.87361111111111112</v>
      </c>
      <c r="D1591" s="777" t="s">
        <v>5873</v>
      </c>
      <c r="E1591" s="730" t="s">
        <v>5873</v>
      </c>
      <c r="F1591" s="558" t="s">
        <v>141</v>
      </c>
      <c r="G1591" s="558" t="s">
        <v>124</v>
      </c>
      <c r="H1591" s="558" t="s">
        <v>2753</v>
      </c>
      <c r="I1591" s="679" t="s">
        <v>2680</v>
      </c>
      <c r="J1591" s="676" t="s">
        <v>5873</v>
      </c>
      <c r="K1591" s="676">
        <v>65000</v>
      </c>
      <c r="M1591" t="str">
        <f>""</f>
        <v/>
      </c>
    </row>
    <row r="1592" spans="1:13" ht="15.75">
      <c r="A1592">
        <v>2015</v>
      </c>
      <c r="B1592" s="777">
        <v>42178</v>
      </c>
      <c r="C1592" s="730">
        <v>0.71250000000000002</v>
      </c>
      <c r="D1592" s="777">
        <v>42181</v>
      </c>
      <c r="E1592" s="730">
        <v>0.66666666666666663</v>
      </c>
      <c r="F1592" s="558" t="s">
        <v>2783</v>
      </c>
      <c r="G1592" s="558" t="s">
        <v>826</v>
      </c>
      <c r="H1592" s="558" t="s">
        <v>2753</v>
      </c>
      <c r="I1592" s="679" t="s">
        <v>22</v>
      </c>
      <c r="J1592" s="676" t="s">
        <v>5873</v>
      </c>
      <c r="K1592" s="676">
        <v>65000</v>
      </c>
      <c r="M1592" t="str">
        <f>""</f>
        <v/>
      </c>
    </row>
    <row r="1593" spans="1:13" ht="15.75">
      <c r="A1593">
        <v>2021</v>
      </c>
      <c r="B1593" s="777">
        <v>44432</v>
      </c>
      <c r="C1593" s="730">
        <v>0.90069444444444446</v>
      </c>
      <c r="D1593" s="777" t="s">
        <v>5873</v>
      </c>
      <c r="E1593" s="730" t="s">
        <v>5873</v>
      </c>
      <c r="F1593" s="558" t="s">
        <v>4985</v>
      </c>
      <c r="G1593" s="558" t="s">
        <v>3143</v>
      </c>
      <c r="H1593" s="558" t="s">
        <v>2753</v>
      </c>
      <c r="I1593" s="679" t="s">
        <v>22</v>
      </c>
      <c r="J1593" s="676" t="s">
        <v>5873</v>
      </c>
      <c r="K1593" s="676">
        <v>65000</v>
      </c>
      <c r="M1593" t="str">
        <f>""</f>
        <v/>
      </c>
    </row>
    <row r="1594" spans="1:13" ht="15.75">
      <c r="A1594">
        <v>2023</v>
      </c>
      <c r="B1594" s="777">
        <v>45016</v>
      </c>
      <c r="C1594" s="730">
        <v>0.86736111111111114</v>
      </c>
      <c r="D1594" s="777" t="s">
        <v>5873</v>
      </c>
      <c r="E1594" s="730" t="s">
        <v>5873</v>
      </c>
      <c r="F1594" s="558" t="s">
        <v>3461</v>
      </c>
      <c r="G1594" s="558" t="s">
        <v>5822</v>
      </c>
      <c r="H1594" s="558" t="s">
        <v>2753</v>
      </c>
      <c r="I1594" s="679" t="s">
        <v>22</v>
      </c>
      <c r="J1594" s="676" t="s">
        <v>5873</v>
      </c>
      <c r="K1594" s="676">
        <v>65000</v>
      </c>
      <c r="M1594" t="str">
        <f>""</f>
        <v/>
      </c>
    </row>
    <row r="1595" spans="1:13" ht="15.75">
      <c r="A1595">
        <v>2012</v>
      </c>
      <c r="B1595" s="777">
        <v>41159.895833333336</v>
      </c>
      <c r="C1595" s="730">
        <v>41159.895833333336</v>
      </c>
      <c r="D1595" s="777">
        <v>41160.041666666664</v>
      </c>
      <c r="E1595" s="730">
        <v>41160.041666666664</v>
      </c>
      <c r="F1595" s="558" t="s">
        <v>48</v>
      </c>
      <c r="G1595" s="558" t="s">
        <v>63</v>
      </c>
      <c r="H1595" s="558" t="s">
        <v>5873</v>
      </c>
      <c r="I1595" s="679" t="s">
        <v>2368</v>
      </c>
      <c r="J1595" s="676" t="s">
        <v>5873</v>
      </c>
      <c r="K1595" s="676">
        <v>64951</v>
      </c>
      <c r="M1595" t="str">
        <f>""</f>
        <v/>
      </c>
    </row>
    <row r="1596" spans="1:13" ht="15.75">
      <c r="A1596">
        <v>2018</v>
      </c>
      <c r="B1596" s="777">
        <v>43302</v>
      </c>
      <c r="C1596" s="730">
        <v>0.19791666666666666</v>
      </c>
      <c r="D1596" s="777">
        <v>43302</v>
      </c>
      <c r="E1596" s="730">
        <v>0.46875</v>
      </c>
      <c r="F1596" s="558" t="s">
        <v>3405</v>
      </c>
      <c r="G1596" s="558" t="s">
        <v>63</v>
      </c>
      <c r="H1596" s="558" t="s">
        <v>2753</v>
      </c>
      <c r="I1596" s="679" t="s">
        <v>22</v>
      </c>
      <c r="J1596" s="676" t="s">
        <v>5873</v>
      </c>
      <c r="K1596" s="676">
        <v>64930</v>
      </c>
      <c r="M1596" t="str">
        <f>""</f>
        <v/>
      </c>
    </row>
    <row r="1597" spans="1:13" ht="15.75">
      <c r="A1597">
        <v>2017</v>
      </c>
      <c r="B1597" s="777">
        <v>42832</v>
      </c>
      <c r="C1597" s="730">
        <v>0.18958333333333333</v>
      </c>
      <c r="D1597" s="777">
        <v>42832</v>
      </c>
      <c r="E1597" s="730">
        <v>0.34722222222222221</v>
      </c>
      <c r="F1597" s="558" t="s">
        <v>2152</v>
      </c>
      <c r="G1597" s="558" t="s">
        <v>124</v>
      </c>
      <c r="H1597" s="558" t="s">
        <v>2753</v>
      </c>
      <c r="I1597" s="679" t="s">
        <v>22</v>
      </c>
      <c r="J1597" s="676">
        <v>100</v>
      </c>
      <c r="K1597" s="676">
        <v>64852</v>
      </c>
      <c r="M1597" t="str">
        <f>""</f>
        <v/>
      </c>
    </row>
    <row r="1598" spans="1:13" ht="15.75">
      <c r="A1598">
        <v>2023</v>
      </c>
      <c r="B1598" s="777">
        <v>45102</v>
      </c>
      <c r="C1598" s="730">
        <v>0.8125</v>
      </c>
      <c r="D1598" s="777">
        <v>45103</v>
      </c>
      <c r="E1598" s="730">
        <v>0.73958333333333337</v>
      </c>
      <c r="F1598" s="558" t="s">
        <v>5867</v>
      </c>
      <c r="G1598" s="558" t="s">
        <v>63</v>
      </c>
      <c r="H1598" s="558" t="s">
        <v>2753</v>
      </c>
      <c r="I1598" s="679" t="s">
        <v>5883</v>
      </c>
      <c r="J1598" s="676" t="s">
        <v>5873</v>
      </c>
      <c r="K1598" s="676">
        <v>64732</v>
      </c>
      <c r="M1598" t="str">
        <f>""</f>
        <v/>
      </c>
    </row>
    <row r="1599" spans="1:13" ht="15.75">
      <c r="A1599">
        <v>2012</v>
      </c>
      <c r="B1599" s="777">
        <v>41097.254166666666</v>
      </c>
      <c r="C1599" s="730">
        <v>41097.254166666666</v>
      </c>
      <c r="D1599" s="777">
        <v>41099.958333333336</v>
      </c>
      <c r="E1599" s="730">
        <v>41099.958333333336</v>
      </c>
      <c r="F1599" s="558" t="s">
        <v>2416</v>
      </c>
      <c r="G1599" s="558" t="s">
        <v>826</v>
      </c>
      <c r="H1599" s="558" t="s">
        <v>5873</v>
      </c>
      <c r="I1599" s="679" t="s">
        <v>2368</v>
      </c>
      <c r="J1599" s="676" t="s">
        <v>5873</v>
      </c>
      <c r="K1599" s="676">
        <v>64500</v>
      </c>
      <c r="M1599" t="str">
        <f>""</f>
        <v/>
      </c>
    </row>
    <row r="1600" spans="1:13" ht="15.75">
      <c r="A1600">
        <v>2011</v>
      </c>
      <c r="B1600" s="777">
        <v>40652</v>
      </c>
      <c r="C1600" s="730">
        <v>0.94722222222222219</v>
      </c>
      <c r="D1600" s="777">
        <v>40653</v>
      </c>
      <c r="E1600" s="730">
        <v>8.3333333333333329E-2</v>
      </c>
      <c r="F1600" s="558" t="s">
        <v>2163</v>
      </c>
      <c r="G1600" s="558" t="s">
        <v>63</v>
      </c>
      <c r="H1600" s="558" t="s">
        <v>5873</v>
      </c>
      <c r="I1600" s="679" t="s">
        <v>22</v>
      </c>
      <c r="J1600" s="676">
        <v>100</v>
      </c>
      <c r="K1600" s="676">
        <v>64000</v>
      </c>
      <c r="M1600" t="str">
        <f>""</f>
        <v/>
      </c>
    </row>
    <row r="1601" spans="1:13" ht="15.75">
      <c r="A1601">
        <v>2014</v>
      </c>
      <c r="B1601" s="777">
        <v>41823</v>
      </c>
      <c r="C1601" s="730">
        <v>0.95486111111111116</v>
      </c>
      <c r="D1601" s="777">
        <v>41824</v>
      </c>
      <c r="E1601" s="730">
        <v>7.6388888888888895E-2</v>
      </c>
      <c r="F1601" s="558" t="s">
        <v>2706</v>
      </c>
      <c r="G1601" s="558" t="s">
        <v>61</v>
      </c>
      <c r="H1601" s="558" t="s">
        <v>5873</v>
      </c>
      <c r="I1601" s="679" t="s">
        <v>2368</v>
      </c>
      <c r="J1601" s="676" t="s">
        <v>5873</v>
      </c>
      <c r="K1601" s="676">
        <v>64000</v>
      </c>
      <c r="M1601" t="str">
        <f>""</f>
        <v/>
      </c>
    </row>
    <row r="1602" spans="1:13" ht="15.75">
      <c r="A1602">
        <v>2015</v>
      </c>
      <c r="B1602" s="777">
        <v>42245</v>
      </c>
      <c r="C1602" s="730">
        <v>0.54166666666666663</v>
      </c>
      <c r="D1602" s="777">
        <v>42247</v>
      </c>
      <c r="E1602" s="730">
        <v>0.29166666666666669</v>
      </c>
      <c r="F1602" s="558" t="s">
        <v>2801</v>
      </c>
      <c r="G1602" s="558" t="s">
        <v>124</v>
      </c>
      <c r="H1602" s="558" t="s">
        <v>2753</v>
      </c>
      <c r="I1602" s="679" t="s">
        <v>22</v>
      </c>
      <c r="J1602" s="676">
        <v>1200</v>
      </c>
      <c r="K1602" s="676">
        <v>64000</v>
      </c>
      <c r="M1602" t="str">
        <f>""</f>
        <v/>
      </c>
    </row>
    <row r="1603" spans="1:13" ht="15.75">
      <c r="A1603">
        <v>2017</v>
      </c>
      <c r="B1603" s="777">
        <v>42757</v>
      </c>
      <c r="C1603" s="730">
        <v>0.17708333333333334</v>
      </c>
      <c r="D1603" s="777">
        <v>42759</v>
      </c>
      <c r="E1603" s="730">
        <v>0.58333333333333337</v>
      </c>
      <c r="F1603" s="558" t="s">
        <v>18</v>
      </c>
      <c r="G1603" s="558" t="s">
        <v>124</v>
      </c>
      <c r="H1603" s="558" t="s">
        <v>2753</v>
      </c>
      <c r="I1603" s="679" t="s">
        <v>22</v>
      </c>
      <c r="J1603" s="676">
        <v>97</v>
      </c>
      <c r="K1603" s="676">
        <v>64000</v>
      </c>
      <c r="M1603" t="str">
        <f>""</f>
        <v/>
      </c>
    </row>
    <row r="1604" spans="1:13" ht="15.75">
      <c r="A1604">
        <v>2014</v>
      </c>
      <c r="B1604" s="777">
        <v>41945</v>
      </c>
      <c r="C1604" s="730">
        <v>0.57361111111111107</v>
      </c>
      <c r="D1604" s="777" t="s">
        <v>5873</v>
      </c>
      <c r="E1604" s="730" t="s">
        <v>5873</v>
      </c>
      <c r="F1604" s="558" t="s">
        <v>2729</v>
      </c>
      <c r="G1604" s="558" t="s">
        <v>61</v>
      </c>
      <c r="H1604" s="558" t="s">
        <v>5873</v>
      </c>
      <c r="I1604" s="679" t="s">
        <v>2349</v>
      </c>
      <c r="J1604" s="676" t="s">
        <v>5873</v>
      </c>
      <c r="K1604" s="676">
        <v>63719</v>
      </c>
      <c r="M1604" t="str">
        <f>""</f>
        <v/>
      </c>
    </row>
    <row r="1605" spans="1:13" ht="15.75">
      <c r="A1605">
        <v>2018</v>
      </c>
      <c r="B1605" s="777">
        <v>43394</v>
      </c>
      <c r="C1605" s="730">
        <v>1.1111111111111112E-2</v>
      </c>
      <c r="D1605" s="777">
        <v>43394</v>
      </c>
      <c r="E1605" s="730">
        <v>0.67638888888888893</v>
      </c>
      <c r="F1605" s="558" t="s">
        <v>3524</v>
      </c>
      <c r="G1605" s="558" t="s">
        <v>3143</v>
      </c>
      <c r="H1605" s="558" t="s">
        <v>2753</v>
      </c>
      <c r="I1605" s="679" t="s">
        <v>22</v>
      </c>
      <c r="J1605" s="676" t="s">
        <v>5873</v>
      </c>
      <c r="K1605" s="676">
        <v>63408</v>
      </c>
      <c r="M1605" t="str">
        <f>""</f>
        <v/>
      </c>
    </row>
    <row r="1606" spans="1:13" ht="15.75">
      <c r="A1606">
        <v>2018</v>
      </c>
      <c r="B1606" s="777">
        <v>43161</v>
      </c>
      <c r="C1606" s="730">
        <v>0.36249999999999999</v>
      </c>
      <c r="D1606" s="777" t="s">
        <v>5873</v>
      </c>
      <c r="E1606" s="730" t="s">
        <v>5873</v>
      </c>
      <c r="F1606" s="558" t="s">
        <v>2868</v>
      </c>
      <c r="G1606" s="558" t="s">
        <v>61</v>
      </c>
      <c r="H1606" s="558" t="s">
        <v>2753</v>
      </c>
      <c r="I1606" s="679" t="s">
        <v>22</v>
      </c>
      <c r="J1606" s="676" t="s">
        <v>5873</v>
      </c>
      <c r="K1606" s="676">
        <v>63331</v>
      </c>
      <c r="M1606" t="str">
        <f>""</f>
        <v/>
      </c>
    </row>
    <row r="1607" spans="1:13" ht="15.75">
      <c r="A1607">
        <v>2020</v>
      </c>
      <c r="B1607" s="777">
        <v>43933</v>
      </c>
      <c r="C1607" s="730">
        <v>0.75902777777777775</v>
      </c>
      <c r="D1607" s="777">
        <v>43934</v>
      </c>
      <c r="E1607" s="730">
        <v>0.64097222222222228</v>
      </c>
      <c r="F1607" s="558" t="s">
        <v>2919</v>
      </c>
      <c r="G1607" s="558" t="s">
        <v>1352</v>
      </c>
      <c r="H1607" s="558" t="s">
        <v>3451</v>
      </c>
      <c r="I1607" s="679" t="s">
        <v>22</v>
      </c>
      <c r="J1607" s="676" t="s">
        <v>5873</v>
      </c>
      <c r="K1607" s="676">
        <v>63289</v>
      </c>
      <c r="M1607" t="str">
        <f>""</f>
        <v/>
      </c>
    </row>
    <row r="1608" spans="1:13" ht="15.75">
      <c r="A1608" s="728">
        <v>2010</v>
      </c>
      <c r="B1608" s="777">
        <v>40376</v>
      </c>
      <c r="C1608" s="730">
        <v>0.85416666666666663</v>
      </c>
      <c r="D1608" s="777">
        <v>40378</v>
      </c>
      <c r="E1608" s="730">
        <v>0.91666666666666663</v>
      </c>
      <c r="F1608" s="558" t="s">
        <v>675</v>
      </c>
      <c r="G1608" s="558" t="s">
        <v>674</v>
      </c>
      <c r="H1608" s="558" t="s">
        <v>5873</v>
      </c>
      <c r="I1608" s="679" t="s">
        <v>1988</v>
      </c>
      <c r="J1608" s="676" t="s">
        <v>5873</v>
      </c>
      <c r="K1608" s="676">
        <v>63000</v>
      </c>
      <c r="M1608" t="str">
        <f>""</f>
        <v/>
      </c>
    </row>
    <row r="1609" spans="1:13" ht="15.75">
      <c r="A1609" s="728">
        <v>2010</v>
      </c>
      <c r="B1609" s="777">
        <v>40478</v>
      </c>
      <c r="C1609" s="730">
        <v>0.16666666666666666</v>
      </c>
      <c r="D1609" s="777">
        <v>40478</v>
      </c>
      <c r="E1609" s="730">
        <v>0.5</v>
      </c>
      <c r="F1609" s="558" t="s">
        <v>2060</v>
      </c>
      <c r="G1609" s="558" t="s">
        <v>674</v>
      </c>
      <c r="H1609" s="558" t="s">
        <v>5873</v>
      </c>
      <c r="I1609" s="679" t="s">
        <v>264</v>
      </c>
      <c r="J1609" s="676" t="s">
        <v>5873</v>
      </c>
      <c r="K1609" s="676">
        <v>63000</v>
      </c>
      <c r="M1609" t="str">
        <f>""</f>
        <v/>
      </c>
    </row>
    <row r="1610" spans="1:13" ht="15.75">
      <c r="A1610">
        <v>2011</v>
      </c>
      <c r="B1610" s="777">
        <v>40637</v>
      </c>
      <c r="C1610" s="730">
        <v>0.4909722222222222</v>
      </c>
      <c r="D1610" s="777">
        <v>40641</v>
      </c>
      <c r="E1610" s="730">
        <v>6.9444444444444447E-4</v>
      </c>
      <c r="F1610" s="558" t="s">
        <v>2163</v>
      </c>
      <c r="G1610" s="558" t="s">
        <v>63</v>
      </c>
      <c r="H1610" s="558" t="s">
        <v>5873</v>
      </c>
      <c r="I1610" s="679" t="s">
        <v>22</v>
      </c>
      <c r="J1610" s="676">
        <v>359</v>
      </c>
      <c r="K1610" s="676">
        <v>63000</v>
      </c>
      <c r="M1610" t="str">
        <f>""</f>
        <v/>
      </c>
    </row>
    <row r="1611" spans="1:13" ht="15.75">
      <c r="A1611">
        <v>2011</v>
      </c>
      <c r="B1611" s="777">
        <v>40637</v>
      </c>
      <c r="C1611" s="730">
        <v>0.54166666666666663</v>
      </c>
      <c r="D1611" s="777">
        <v>40638</v>
      </c>
      <c r="E1611" s="730">
        <v>0</v>
      </c>
      <c r="F1611" s="558" t="s">
        <v>2164</v>
      </c>
      <c r="G1611" s="558" t="s">
        <v>63</v>
      </c>
      <c r="H1611" s="558" t="s">
        <v>5873</v>
      </c>
      <c r="I1611" s="679" t="s">
        <v>22</v>
      </c>
      <c r="J1611" s="676">
        <v>300</v>
      </c>
      <c r="K1611" s="676">
        <v>63000</v>
      </c>
      <c r="M1611" t="str">
        <f>""</f>
        <v/>
      </c>
    </row>
    <row r="1612" spans="1:13" ht="15.75">
      <c r="A1612">
        <v>2019</v>
      </c>
      <c r="B1612" s="777">
        <v>43659</v>
      </c>
      <c r="C1612" s="730">
        <v>0.99652777777777779</v>
      </c>
      <c r="D1612" s="777">
        <v>43660</v>
      </c>
      <c r="E1612" s="730">
        <v>0.54166666666666663</v>
      </c>
      <c r="F1612" s="558" t="s">
        <v>3863</v>
      </c>
      <c r="G1612" s="558" t="s">
        <v>63</v>
      </c>
      <c r="H1612" s="558" t="s">
        <v>3451</v>
      </c>
      <c r="I1612" s="679" t="s">
        <v>22</v>
      </c>
      <c r="J1612" s="676" t="s">
        <v>5873</v>
      </c>
      <c r="K1612" s="676">
        <v>63000</v>
      </c>
      <c r="M1612" t="str">
        <f>""</f>
        <v/>
      </c>
    </row>
    <row r="1613" spans="1:13" ht="15.75">
      <c r="A1613">
        <v>2016</v>
      </c>
      <c r="B1613" s="777">
        <v>42559</v>
      </c>
      <c r="C1613" s="730">
        <v>0.75</v>
      </c>
      <c r="D1613" s="777" t="s">
        <v>5873</v>
      </c>
      <c r="E1613" s="730" t="s">
        <v>5873</v>
      </c>
      <c r="F1613" s="558" t="s">
        <v>2880</v>
      </c>
      <c r="G1613" s="558" t="s">
        <v>826</v>
      </c>
      <c r="H1613" s="558" t="s">
        <v>2753</v>
      </c>
      <c r="I1613" s="679" t="s">
        <v>22</v>
      </c>
      <c r="J1613" s="676" t="s">
        <v>5873</v>
      </c>
      <c r="K1613" s="676">
        <v>62961</v>
      </c>
      <c r="M1613" t="str">
        <f>""</f>
        <v/>
      </c>
    </row>
    <row r="1614" spans="1:13" ht="15.75">
      <c r="A1614">
        <v>2020</v>
      </c>
      <c r="B1614" s="777">
        <v>43933</v>
      </c>
      <c r="C1614" s="730">
        <v>0.70833333333333337</v>
      </c>
      <c r="D1614" s="777">
        <v>43935</v>
      </c>
      <c r="E1614" s="730">
        <v>5.9027777777777776E-2</v>
      </c>
      <c r="F1614" s="558" t="s">
        <v>4205</v>
      </c>
      <c r="G1614" s="558" t="s">
        <v>63</v>
      </c>
      <c r="H1614" s="558" t="s">
        <v>3451</v>
      </c>
      <c r="I1614" s="679" t="s">
        <v>22</v>
      </c>
      <c r="J1614" s="676">
        <v>448</v>
      </c>
      <c r="K1614" s="676">
        <v>62828</v>
      </c>
      <c r="M1614" t="str">
        <f>""</f>
        <v/>
      </c>
    </row>
    <row r="1615" spans="1:13" ht="15.75">
      <c r="A1615">
        <v>2022</v>
      </c>
      <c r="B1615" s="777">
        <v>44782</v>
      </c>
      <c r="C1615" s="730">
        <v>0.6958333333333333</v>
      </c>
      <c r="D1615" s="777">
        <v>44782</v>
      </c>
      <c r="E1615" s="730">
        <v>0.92500000000000004</v>
      </c>
      <c r="F1615" s="558" t="s">
        <v>2895</v>
      </c>
      <c r="G1615" s="558" t="s">
        <v>3143</v>
      </c>
      <c r="H1615" s="558" t="s">
        <v>2753</v>
      </c>
      <c r="I1615" s="679" t="s">
        <v>2764</v>
      </c>
      <c r="J1615" s="676" t="s">
        <v>5873</v>
      </c>
      <c r="K1615" s="676">
        <v>62464</v>
      </c>
      <c r="M1615" t="str">
        <f>""</f>
        <v/>
      </c>
    </row>
    <row r="1616" spans="1:13" ht="15.75">
      <c r="A1616">
        <v>2015</v>
      </c>
      <c r="B1616" s="777">
        <v>42178</v>
      </c>
      <c r="C1616" s="730">
        <v>0.77083333333333337</v>
      </c>
      <c r="D1616" s="777">
        <v>42179</v>
      </c>
      <c r="E1616" s="730">
        <v>0.20833333333333334</v>
      </c>
      <c r="F1616" s="558" t="s">
        <v>2785</v>
      </c>
      <c r="G1616" s="558" t="s">
        <v>61</v>
      </c>
      <c r="H1616" s="558" t="s">
        <v>2753</v>
      </c>
      <c r="I1616" s="679" t="s">
        <v>22</v>
      </c>
      <c r="J1616" s="676" t="s">
        <v>5873</v>
      </c>
      <c r="K1616" s="676">
        <v>62442</v>
      </c>
      <c r="M1616" t="str">
        <f>""</f>
        <v/>
      </c>
    </row>
    <row r="1617" spans="1:13" ht="15.75">
      <c r="A1617">
        <v>2020</v>
      </c>
      <c r="B1617" s="777">
        <v>44150</v>
      </c>
      <c r="C1617" s="730">
        <v>0.96180555555555558</v>
      </c>
      <c r="D1617" s="777">
        <v>44151</v>
      </c>
      <c r="E1617" s="730">
        <v>0.20833333333333334</v>
      </c>
      <c r="F1617" s="558" t="s">
        <v>3264</v>
      </c>
      <c r="G1617" s="558" t="s">
        <v>61</v>
      </c>
      <c r="H1617" s="558" t="s">
        <v>3451</v>
      </c>
      <c r="I1617" s="679" t="s">
        <v>22</v>
      </c>
      <c r="J1617" s="676" t="s">
        <v>5873</v>
      </c>
      <c r="K1617" s="676">
        <v>62408</v>
      </c>
      <c r="M1617" t="str">
        <f>""</f>
        <v/>
      </c>
    </row>
    <row r="1618" spans="1:13" ht="15.75">
      <c r="A1618">
        <v>2014</v>
      </c>
      <c r="B1618" s="777">
        <v>41675</v>
      </c>
      <c r="C1618" s="730">
        <v>0.31597222222222221</v>
      </c>
      <c r="D1618" s="777">
        <v>41677</v>
      </c>
      <c r="E1618" s="730">
        <v>0.16875000000000001</v>
      </c>
      <c r="F1618" s="558" t="s">
        <v>2663</v>
      </c>
      <c r="G1618" s="558" t="s">
        <v>826</v>
      </c>
      <c r="H1618" s="558" t="s">
        <v>5873</v>
      </c>
      <c r="I1618" s="679" t="s">
        <v>2662</v>
      </c>
      <c r="J1618" s="676" t="s">
        <v>5873</v>
      </c>
      <c r="K1618" s="676">
        <v>62159</v>
      </c>
      <c r="M1618" t="str">
        <f>""</f>
        <v/>
      </c>
    </row>
    <row r="1619" spans="1:13" ht="15.75">
      <c r="A1619">
        <v>2016</v>
      </c>
      <c r="B1619" s="777">
        <v>42593</v>
      </c>
      <c r="C1619" s="730">
        <v>0.6875</v>
      </c>
      <c r="D1619" s="777">
        <v>42593</v>
      </c>
      <c r="E1619" s="730">
        <v>0.80208333333333337</v>
      </c>
      <c r="F1619" s="558" t="s">
        <v>2895</v>
      </c>
      <c r="G1619" s="558" t="s">
        <v>826</v>
      </c>
      <c r="H1619" s="558" t="s">
        <v>2753</v>
      </c>
      <c r="I1619" s="679" t="s">
        <v>22</v>
      </c>
      <c r="J1619" s="676" t="s">
        <v>5873</v>
      </c>
      <c r="K1619" s="676">
        <v>62140</v>
      </c>
      <c r="M1619" t="str">
        <f>""</f>
        <v/>
      </c>
    </row>
    <row r="1620" spans="1:13" ht="15.75">
      <c r="A1620">
        <v>2011</v>
      </c>
      <c r="B1620" s="777">
        <v>40665</v>
      </c>
      <c r="C1620" s="730">
        <v>0.71250000000000002</v>
      </c>
      <c r="D1620" s="777">
        <v>40665</v>
      </c>
      <c r="E1620" s="730">
        <v>0.83333333333333337</v>
      </c>
      <c r="F1620" s="558" t="s">
        <v>2186</v>
      </c>
      <c r="G1620" s="558" t="s">
        <v>5873</v>
      </c>
      <c r="H1620" s="558" t="s">
        <v>5873</v>
      </c>
      <c r="I1620" s="679" t="s">
        <v>22</v>
      </c>
      <c r="J1620" s="676">
        <v>220</v>
      </c>
      <c r="K1620" s="676">
        <v>62000</v>
      </c>
      <c r="M1620" t="str">
        <f>""</f>
        <v/>
      </c>
    </row>
    <row r="1621" spans="1:13" ht="15.75">
      <c r="A1621">
        <v>2014</v>
      </c>
      <c r="B1621" s="777">
        <v>41645</v>
      </c>
      <c r="C1621" s="730">
        <v>0.82638888888888884</v>
      </c>
      <c r="D1621" s="777">
        <v>41645</v>
      </c>
      <c r="E1621" s="730">
        <v>0.86736111111111114</v>
      </c>
      <c r="F1621" s="558" t="s">
        <v>171</v>
      </c>
      <c r="G1621" s="558" t="s">
        <v>826</v>
      </c>
      <c r="H1621" s="558" t="s">
        <v>5873</v>
      </c>
      <c r="I1621" s="679" t="s">
        <v>2645</v>
      </c>
      <c r="J1621" s="676">
        <v>200</v>
      </c>
      <c r="K1621" s="676">
        <v>62000</v>
      </c>
      <c r="M1621" t="str">
        <f>""</f>
        <v/>
      </c>
    </row>
    <row r="1622" spans="1:13" ht="15.75">
      <c r="A1622">
        <v>2016</v>
      </c>
      <c r="B1622" s="777">
        <v>42560</v>
      </c>
      <c r="C1622" s="730">
        <v>0.73958333333333337</v>
      </c>
      <c r="D1622" s="777">
        <v>42562</v>
      </c>
      <c r="E1622" s="730">
        <v>0.58333333333333337</v>
      </c>
      <c r="F1622" s="558" t="s">
        <v>2881</v>
      </c>
      <c r="G1622" s="558" t="s">
        <v>1352</v>
      </c>
      <c r="H1622" s="558" t="s">
        <v>2753</v>
      </c>
      <c r="I1622" s="679" t="s">
        <v>22</v>
      </c>
      <c r="J1622" s="676" t="s">
        <v>5873</v>
      </c>
      <c r="K1622" s="676">
        <v>62000</v>
      </c>
      <c r="M1622" t="str">
        <f>""</f>
        <v/>
      </c>
    </row>
    <row r="1623" spans="1:13" ht="15.75">
      <c r="A1623">
        <v>2018</v>
      </c>
      <c r="B1623" s="777">
        <v>43407</v>
      </c>
      <c r="C1623" s="730">
        <v>0.72222222222222221</v>
      </c>
      <c r="D1623" s="777">
        <v>43408</v>
      </c>
      <c r="E1623" s="730">
        <v>0.60416666666666663</v>
      </c>
      <c r="F1623" s="558" t="s">
        <v>3541</v>
      </c>
      <c r="G1623" s="558" t="s">
        <v>61</v>
      </c>
      <c r="H1623" s="558" t="s">
        <v>3451</v>
      </c>
      <c r="I1623" s="679" t="s">
        <v>22</v>
      </c>
      <c r="J1623" s="676" t="s">
        <v>5873</v>
      </c>
      <c r="K1623" s="676">
        <v>62000</v>
      </c>
      <c r="M1623" t="str">
        <f>""</f>
        <v/>
      </c>
    </row>
    <row r="1624" spans="1:13" ht="15.75">
      <c r="A1624">
        <v>2021</v>
      </c>
      <c r="B1624" s="777">
        <v>44208</v>
      </c>
      <c r="C1624" s="730">
        <v>0.85416666666666663</v>
      </c>
      <c r="D1624" s="777" t="s">
        <v>5873</v>
      </c>
      <c r="E1624" s="730" t="s">
        <v>5873</v>
      </c>
      <c r="F1624" s="558" t="s">
        <v>2813</v>
      </c>
      <c r="G1624" s="558" t="s">
        <v>124</v>
      </c>
      <c r="H1624" s="558" t="s">
        <v>3451</v>
      </c>
      <c r="I1624" s="679" t="s">
        <v>2990</v>
      </c>
      <c r="J1624" s="676">
        <v>200</v>
      </c>
      <c r="K1624" s="676">
        <v>62000</v>
      </c>
      <c r="M1624" t="str">
        <f>""</f>
        <v/>
      </c>
    </row>
    <row r="1625" spans="1:13" ht="15.75">
      <c r="A1625">
        <v>2022</v>
      </c>
      <c r="B1625" s="777">
        <v>44720</v>
      </c>
      <c r="C1625" s="730">
        <v>0</v>
      </c>
      <c r="D1625" s="777">
        <v>44720</v>
      </c>
      <c r="E1625" s="730">
        <v>0.16666666666666666</v>
      </c>
      <c r="F1625" s="558" t="s">
        <v>5374</v>
      </c>
      <c r="G1625" s="558" t="s">
        <v>5055</v>
      </c>
      <c r="H1625" s="558" t="s">
        <v>5373</v>
      </c>
      <c r="I1625" s="679" t="s">
        <v>22</v>
      </c>
      <c r="J1625" s="676" t="s">
        <v>5873</v>
      </c>
      <c r="K1625" s="676">
        <v>62000</v>
      </c>
      <c r="M1625" t="str">
        <f>""</f>
        <v/>
      </c>
    </row>
    <row r="1626" spans="1:13" ht="15.75">
      <c r="A1626">
        <v>2013</v>
      </c>
      <c r="B1626" s="777">
        <v>41423</v>
      </c>
      <c r="C1626" s="730">
        <v>0.87361111111111112</v>
      </c>
      <c r="D1626" s="777">
        <v>41425</v>
      </c>
      <c r="E1626" s="730">
        <v>0.62013888888888891</v>
      </c>
      <c r="F1626" s="558" t="s">
        <v>2540</v>
      </c>
      <c r="G1626" s="558" t="s">
        <v>61</v>
      </c>
      <c r="H1626" s="558" t="s">
        <v>5873</v>
      </c>
      <c r="I1626" s="679" t="s">
        <v>2368</v>
      </c>
      <c r="J1626" s="676" t="s">
        <v>5873</v>
      </c>
      <c r="K1626" s="676">
        <v>61795</v>
      </c>
      <c r="M1626" t="str">
        <f>""</f>
        <v/>
      </c>
    </row>
    <row r="1627" spans="1:13" ht="15.75">
      <c r="A1627">
        <v>2013</v>
      </c>
      <c r="B1627" s="777">
        <v>41595</v>
      </c>
      <c r="C1627" s="730">
        <v>0.69930555555555551</v>
      </c>
      <c r="D1627" s="777">
        <v>41598</v>
      </c>
      <c r="E1627" s="730">
        <v>0.49930555555555556</v>
      </c>
      <c r="F1627" s="558" t="s">
        <v>2208</v>
      </c>
      <c r="G1627" s="558" t="s">
        <v>826</v>
      </c>
      <c r="H1627" s="558" t="s">
        <v>5873</v>
      </c>
      <c r="I1627" s="679" t="s">
        <v>2623</v>
      </c>
      <c r="J1627" s="676">
        <v>535</v>
      </c>
      <c r="K1627" s="676">
        <v>61705</v>
      </c>
      <c r="M1627" t="str">
        <f>""</f>
        <v/>
      </c>
    </row>
    <row r="1628" spans="1:13" ht="15.75">
      <c r="A1628">
        <v>2013</v>
      </c>
      <c r="B1628" s="777">
        <v>41595</v>
      </c>
      <c r="C1628" s="730">
        <v>0.69930555555555551</v>
      </c>
      <c r="D1628" s="777">
        <v>41598</v>
      </c>
      <c r="E1628" s="730">
        <v>0.69930555555555551</v>
      </c>
      <c r="F1628" s="558" t="s">
        <v>2208</v>
      </c>
      <c r="G1628" s="558" t="s">
        <v>826</v>
      </c>
      <c r="H1628" s="558" t="s">
        <v>5873</v>
      </c>
      <c r="I1628" s="679" t="s">
        <v>2368</v>
      </c>
      <c r="J1628" s="676" t="s">
        <v>5873</v>
      </c>
      <c r="K1628" s="676">
        <v>61705</v>
      </c>
      <c r="M1628" t="str">
        <f>""</f>
        <v/>
      </c>
    </row>
    <row r="1629" spans="1:13" ht="15.75">
      <c r="A1629">
        <v>2012</v>
      </c>
      <c r="B1629" s="777">
        <v>41125.166666666664</v>
      </c>
      <c r="C1629" s="730">
        <v>41125.166666666664</v>
      </c>
      <c r="D1629" s="777">
        <v>41125.305555555555</v>
      </c>
      <c r="E1629" s="730">
        <v>41125.305555555555</v>
      </c>
      <c r="F1629" s="558" t="s">
        <v>2426</v>
      </c>
      <c r="G1629" s="558" t="s">
        <v>826</v>
      </c>
      <c r="H1629" s="558" t="s">
        <v>5873</v>
      </c>
      <c r="I1629" s="679" t="s">
        <v>2368</v>
      </c>
      <c r="J1629" s="676" t="s">
        <v>5873</v>
      </c>
      <c r="K1629" s="676">
        <v>61413</v>
      </c>
      <c r="M1629" t="str">
        <f>""</f>
        <v/>
      </c>
    </row>
    <row r="1630" spans="1:13" ht="15.75">
      <c r="A1630">
        <v>2014</v>
      </c>
      <c r="B1630" s="777">
        <v>41710</v>
      </c>
      <c r="C1630" s="730">
        <v>0.81597222222222221</v>
      </c>
      <c r="D1630" s="777">
        <v>41711</v>
      </c>
      <c r="E1630" s="730">
        <v>0.5</v>
      </c>
      <c r="F1630" s="558" t="s">
        <v>2482</v>
      </c>
      <c r="G1630" s="558" t="s">
        <v>63</v>
      </c>
      <c r="H1630" s="558" t="s">
        <v>5873</v>
      </c>
      <c r="I1630" s="679" t="s">
        <v>2175</v>
      </c>
      <c r="J1630" s="676">
        <v>250</v>
      </c>
      <c r="K1630" s="676">
        <v>61377</v>
      </c>
      <c r="M1630" t="str">
        <f>""</f>
        <v/>
      </c>
    </row>
    <row r="1631" spans="1:13" ht="15.75">
      <c r="A1631">
        <v>2019</v>
      </c>
      <c r="B1631" s="777">
        <v>43692</v>
      </c>
      <c r="C1631" s="730">
        <v>0.9604166666666667</v>
      </c>
      <c r="D1631" s="777">
        <v>43693</v>
      </c>
      <c r="E1631" s="730">
        <v>2.5694444444444443E-2</v>
      </c>
      <c r="F1631" s="558" t="s">
        <v>3914</v>
      </c>
      <c r="G1631" s="558" t="s">
        <v>124</v>
      </c>
      <c r="H1631" s="558" t="s">
        <v>3451</v>
      </c>
      <c r="I1631" s="679" t="s">
        <v>2490</v>
      </c>
      <c r="J1631" s="676">
        <v>80</v>
      </c>
      <c r="K1631" s="676">
        <v>61318</v>
      </c>
      <c r="M1631" t="str">
        <f>""</f>
        <v/>
      </c>
    </row>
    <row r="1632" spans="1:13" ht="15.75">
      <c r="A1632">
        <v>2022</v>
      </c>
      <c r="B1632" s="777">
        <v>44577</v>
      </c>
      <c r="C1632" s="730">
        <v>0.21875</v>
      </c>
      <c r="D1632" s="777">
        <v>44578</v>
      </c>
      <c r="E1632" s="730">
        <v>4.1666666666666666E-3</v>
      </c>
      <c r="F1632" s="558" t="s">
        <v>5187</v>
      </c>
      <c r="G1632" s="558" t="s">
        <v>63</v>
      </c>
      <c r="H1632" s="558" t="s">
        <v>2753</v>
      </c>
      <c r="I1632" s="679" t="s">
        <v>22</v>
      </c>
      <c r="J1632" s="676">
        <v>436</v>
      </c>
      <c r="K1632" s="676">
        <v>61113</v>
      </c>
      <c r="M1632" t="str">
        <f>""</f>
        <v/>
      </c>
    </row>
    <row r="1633" spans="1:13" ht="15.75">
      <c r="A1633">
        <v>2019</v>
      </c>
      <c r="B1633" s="777">
        <v>43595</v>
      </c>
      <c r="C1633" s="730">
        <v>8.3333333333333329E-2</v>
      </c>
      <c r="D1633" s="777">
        <v>43595</v>
      </c>
      <c r="E1633" s="730">
        <v>0.51041666666666663</v>
      </c>
      <c r="F1633" s="558" t="s">
        <v>2919</v>
      </c>
      <c r="G1633" s="558" t="s">
        <v>1352</v>
      </c>
      <c r="H1633" s="558" t="s">
        <v>3451</v>
      </c>
      <c r="I1633" s="679" t="s">
        <v>22</v>
      </c>
      <c r="J1633" s="676" t="s">
        <v>5873</v>
      </c>
      <c r="K1633" s="676">
        <v>61008</v>
      </c>
      <c r="M1633" t="str">
        <f>""</f>
        <v/>
      </c>
    </row>
    <row r="1634" spans="1:13" ht="15.75">
      <c r="A1634">
        <v>2015</v>
      </c>
      <c r="B1634" s="777">
        <v>42149</v>
      </c>
      <c r="C1634" s="730">
        <v>0.94791666666666663</v>
      </c>
      <c r="D1634" s="777">
        <v>42152</v>
      </c>
      <c r="E1634" s="730">
        <v>5.9027777777777776E-2</v>
      </c>
      <c r="F1634" s="558" t="s">
        <v>2776</v>
      </c>
      <c r="G1634" s="558" t="s">
        <v>1352</v>
      </c>
      <c r="H1634" s="558" t="s">
        <v>2753</v>
      </c>
      <c r="I1634" s="679" t="s">
        <v>22</v>
      </c>
      <c r="J1634" s="676" t="s">
        <v>5873</v>
      </c>
      <c r="K1634" s="676">
        <v>61000</v>
      </c>
      <c r="M1634" t="str">
        <f>""</f>
        <v/>
      </c>
    </row>
    <row r="1635" spans="1:13" ht="15.75">
      <c r="A1635">
        <v>2018</v>
      </c>
      <c r="B1635" s="777">
        <v>43410</v>
      </c>
      <c r="C1635" s="730">
        <v>0.40902777777777777</v>
      </c>
      <c r="D1635" s="777">
        <v>43413</v>
      </c>
      <c r="E1635" s="730">
        <v>0.58680555555555558</v>
      </c>
      <c r="F1635" s="558" t="s">
        <v>3189</v>
      </c>
      <c r="G1635" s="558" t="s">
        <v>63</v>
      </c>
      <c r="H1635" s="558" t="s">
        <v>3451</v>
      </c>
      <c r="I1635" s="679" t="s">
        <v>22</v>
      </c>
      <c r="J1635" s="676" t="s">
        <v>5873</v>
      </c>
      <c r="K1635" s="676">
        <v>61000</v>
      </c>
      <c r="M1635" t="str">
        <f>""</f>
        <v/>
      </c>
    </row>
    <row r="1636" spans="1:13" ht="15.75">
      <c r="A1636">
        <v>2019</v>
      </c>
      <c r="B1636" s="777">
        <v>43695</v>
      </c>
      <c r="C1636" s="730">
        <v>0.6875</v>
      </c>
      <c r="D1636" s="777">
        <v>43695</v>
      </c>
      <c r="E1636" s="730">
        <v>0.91666666666666663</v>
      </c>
      <c r="F1636" s="558" t="s">
        <v>2919</v>
      </c>
      <c r="G1636" s="558" t="s">
        <v>1352</v>
      </c>
      <c r="H1636" s="558" t="s">
        <v>3451</v>
      </c>
      <c r="I1636" s="679" t="s">
        <v>3922</v>
      </c>
      <c r="J1636" s="676">
        <v>259</v>
      </c>
      <c r="K1636" s="676">
        <v>61000</v>
      </c>
      <c r="M1636" t="str">
        <f>""</f>
        <v/>
      </c>
    </row>
    <row r="1637" spans="1:13" ht="15.75">
      <c r="A1637">
        <v>2023</v>
      </c>
      <c r="B1637" s="777">
        <v>45135</v>
      </c>
      <c r="C1637" s="532">
        <v>0.875</v>
      </c>
      <c r="D1637" s="777" t="s">
        <v>5873</v>
      </c>
      <c r="E1637" s="782" t="s">
        <v>5873</v>
      </c>
      <c r="F1637" t="s">
        <v>5901</v>
      </c>
      <c r="G1637" t="s">
        <v>3143</v>
      </c>
      <c r="H1637" t="s">
        <v>3451</v>
      </c>
      <c r="I1637" s="677" t="s">
        <v>5883</v>
      </c>
      <c r="J1637" s="785" t="s">
        <v>5873</v>
      </c>
      <c r="K1637" s="783">
        <v>61000</v>
      </c>
      <c r="M1637" t="str">
        <f>""</f>
        <v/>
      </c>
    </row>
    <row r="1638" spans="1:13" ht="15.75">
      <c r="A1638">
        <v>2023</v>
      </c>
      <c r="B1638" s="777" t="s">
        <v>5873</v>
      </c>
      <c r="C1638" s="532">
        <v>0.875</v>
      </c>
      <c r="D1638" s="777" t="s">
        <v>5873</v>
      </c>
      <c r="E1638" s="782" t="s">
        <v>5873</v>
      </c>
      <c r="F1638" t="s">
        <v>5901</v>
      </c>
      <c r="G1638" t="s">
        <v>3143</v>
      </c>
      <c r="H1638" t="s">
        <v>3451</v>
      </c>
      <c r="I1638" s="677" t="s">
        <v>5883</v>
      </c>
      <c r="J1638" s="785" t="s">
        <v>5873</v>
      </c>
      <c r="K1638" s="783">
        <v>61000</v>
      </c>
      <c r="M1638" t="str">
        <f>""</f>
        <v/>
      </c>
    </row>
    <row r="1639" spans="1:13" ht="15.75">
      <c r="A1639">
        <v>2023</v>
      </c>
      <c r="B1639" s="777">
        <v>44951</v>
      </c>
      <c r="C1639" s="730">
        <v>0.14583333333333334</v>
      </c>
      <c r="D1639" s="777">
        <v>44951</v>
      </c>
      <c r="E1639" s="730">
        <v>0.54166666666666663</v>
      </c>
      <c r="F1639" s="558" t="s">
        <v>5710</v>
      </c>
      <c r="G1639" s="558" t="s">
        <v>63</v>
      </c>
      <c r="H1639" s="558" t="s">
        <v>2753</v>
      </c>
      <c r="I1639" s="679" t="s">
        <v>22</v>
      </c>
      <c r="J1639" s="676" t="s">
        <v>5873</v>
      </c>
      <c r="K1639" s="676">
        <v>60958</v>
      </c>
      <c r="M1639" t="str">
        <f>""</f>
        <v/>
      </c>
    </row>
    <row r="1640" spans="1:13" ht="15.75">
      <c r="A1640" s="728">
        <v>2010</v>
      </c>
      <c r="B1640" s="777">
        <v>40490</v>
      </c>
      <c r="C1640" s="730">
        <v>0.28263888888888888</v>
      </c>
      <c r="D1640" s="777">
        <v>40490</v>
      </c>
      <c r="E1640" s="730">
        <v>0.75</v>
      </c>
      <c r="F1640" s="558" t="s">
        <v>2079</v>
      </c>
      <c r="G1640" s="558" t="s">
        <v>61</v>
      </c>
      <c r="H1640" s="558" t="s">
        <v>5873</v>
      </c>
      <c r="I1640" s="679" t="s">
        <v>2080</v>
      </c>
      <c r="J1640" s="676" t="s">
        <v>5873</v>
      </c>
      <c r="K1640" s="676">
        <v>60863</v>
      </c>
      <c r="M1640" t="str">
        <f>""</f>
        <v/>
      </c>
    </row>
    <row r="1641" spans="1:13" ht="15.75">
      <c r="A1641">
        <v>2018</v>
      </c>
      <c r="B1641" s="777">
        <v>43383</v>
      </c>
      <c r="C1641" s="730">
        <v>0.58333333333333337</v>
      </c>
      <c r="D1641" s="777">
        <v>43384</v>
      </c>
      <c r="E1641" s="730">
        <v>0.25</v>
      </c>
      <c r="F1641" s="558" t="s">
        <v>2901</v>
      </c>
      <c r="G1641" s="558" t="s">
        <v>301</v>
      </c>
      <c r="H1641" s="558" t="s">
        <v>2753</v>
      </c>
      <c r="I1641" s="679" t="s">
        <v>22</v>
      </c>
      <c r="J1641" s="676">
        <v>135</v>
      </c>
      <c r="K1641" s="676">
        <v>60717</v>
      </c>
      <c r="M1641" t="str">
        <f>""</f>
        <v/>
      </c>
    </row>
    <row r="1642" spans="1:13" ht="15.75">
      <c r="A1642">
        <v>2020</v>
      </c>
      <c r="B1642" s="777">
        <v>44070</v>
      </c>
      <c r="C1642" s="730">
        <v>0.71597222222222223</v>
      </c>
      <c r="D1642" s="777">
        <v>44071</v>
      </c>
      <c r="E1642" s="730">
        <v>0.41666666666666669</v>
      </c>
      <c r="F1642" s="558" t="s">
        <v>3139</v>
      </c>
      <c r="G1642" s="558" t="s">
        <v>61</v>
      </c>
      <c r="H1642" s="558" t="s">
        <v>3451</v>
      </c>
      <c r="I1642" s="679" t="s">
        <v>22</v>
      </c>
      <c r="J1642" s="676">
        <v>100</v>
      </c>
      <c r="K1642" s="676">
        <v>60687</v>
      </c>
      <c r="M1642" t="str">
        <f>""</f>
        <v/>
      </c>
    </row>
    <row r="1643" spans="1:13" ht="15.75">
      <c r="A1643">
        <v>2011</v>
      </c>
      <c r="B1643" s="777">
        <v>40625</v>
      </c>
      <c r="C1643" s="730">
        <v>0.77083333333333337</v>
      </c>
      <c r="D1643" s="777">
        <v>40626</v>
      </c>
      <c r="E1643" s="730">
        <v>0.2048611111111111</v>
      </c>
      <c r="F1643" s="558" t="s">
        <v>2158</v>
      </c>
      <c r="G1643" s="558" t="s">
        <v>826</v>
      </c>
      <c r="H1643" s="558" t="s">
        <v>5873</v>
      </c>
      <c r="I1643" s="679" t="s">
        <v>1096</v>
      </c>
      <c r="J1643" s="676" t="s">
        <v>5873</v>
      </c>
      <c r="K1643" s="676">
        <v>60596</v>
      </c>
      <c r="M1643" t="str">
        <f>""</f>
        <v/>
      </c>
    </row>
    <row r="1644" spans="1:13" ht="15.75">
      <c r="A1644">
        <v>2019</v>
      </c>
      <c r="B1644" s="777">
        <v>43568</v>
      </c>
      <c r="C1644" s="730">
        <v>0.76041666666666663</v>
      </c>
      <c r="D1644" s="777">
        <v>43568</v>
      </c>
      <c r="E1644" s="730">
        <v>0.96875</v>
      </c>
      <c r="F1644" s="558" t="s">
        <v>3734</v>
      </c>
      <c r="G1644" s="558" t="s">
        <v>63</v>
      </c>
      <c r="H1644" s="558" t="s">
        <v>3451</v>
      </c>
      <c r="I1644" s="679" t="s">
        <v>22</v>
      </c>
      <c r="J1644" s="676" t="s">
        <v>5873</v>
      </c>
      <c r="K1644" s="676">
        <v>60467</v>
      </c>
      <c r="M1644" t="str">
        <f>""</f>
        <v/>
      </c>
    </row>
    <row r="1645" spans="1:13" ht="15.75">
      <c r="A1645">
        <v>2022</v>
      </c>
      <c r="B1645" s="777">
        <v>44564</v>
      </c>
      <c r="C1645" s="730">
        <v>0.20833333333333334</v>
      </c>
      <c r="D1645" s="777">
        <v>44565</v>
      </c>
      <c r="E1645" s="730">
        <v>0.75</v>
      </c>
      <c r="F1645" s="558" t="s">
        <v>2896</v>
      </c>
      <c r="G1645" s="558" t="s">
        <v>63</v>
      </c>
      <c r="H1645" s="558" t="s">
        <v>2753</v>
      </c>
      <c r="I1645" s="679" t="s">
        <v>22</v>
      </c>
      <c r="J1645" s="676" t="s">
        <v>5873</v>
      </c>
      <c r="K1645" s="676">
        <v>60424</v>
      </c>
      <c r="M1645" t="str">
        <f>""</f>
        <v/>
      </c>
    </row>
    <row r="1646" spans="1:13" ht="15.75">
      <c r="A1646">
        <v>2017</v>
      </c>
      <c r="B1646" s="777">
        <v>42859</v>
      </c>
      <c r="C1646" s="730">
        <v>0.20833333333333334</v>
      </c>
      <c r="D1646" s="777">
        <v>42859</v>
      </c>
      <c r="E1646" s="730">
        <v>0.91666666666666663</v>
      </c>
      <c r="F1646" s="558" t="s">
        <v>3023</v>
      </c>
      <c r="G1646" s="558" t="s">
        <v>63</v>
      </c>
      <c r="H1646" s="558" t="s">
        <v>2753</v>
      </c>
      <c r="I1646" s="679" t="s">
        <v>22</v>
      </c>
      <c r="J1646" s="676">
        <v>200</v>
      </c>
      <c r="K1646" s="676">
        <v>60377</v>
      </c>
      <c r="M1646" t="str">
        <f>""</f>
        <v/>
      </c>
    </row>
    <row r="1647" spans="1:13" ht="15.75">
      <c r="A1647" s="728">
        <v>2010</v>
      </c>
      <c r="B1647" s="777">
        <v>40524</v>
      </c>
      <c r="C1647" s="730">
        <v>0.6875</v>
      </c>
      <c r="D1647" s="777">
        <v>40527</v>
      </c>
      <c r="E1647" s="730">
        <v>0.58333333333333337</v>
      </c>
      <c r="F1647" s="558" t="s">
        <v>268</v>
      </c>
      <c r="G1647" s="558" t="s">
        <v>826</v>
      </c>
      <c r="H1647" s="558" t="s">
        <v>5873</v>
      </c>
      <c r="I1647" s="679" t="s">
        <v>22</v>
      </c>
      <c r="J1647" s="676">
        <v>210</v>
      </c>
      <c r="K1647" s="676">
        <v>60175</v>
      </c>
      <c r="M1647" t="str">
        <f>""</f>
        <v/>
      </c>
    </row>
    <row r="1648" spans="1:13" ht="15.75">
      <c r="A1648" s="728">
        <v>2010</v>
      </c>
      <c r="B1648" s="777">
        <v>40495</v>
      </c>
      <c r="C1648" s="730">
        <v>0.625</v>
      </c>
      <c r="D1648" s="777">
        <v>40496</v>
      </c>
      <c r="E1648" s="730">
        <v>0.91666666666666663</v>
      </c>
      <c r="F1648" s="558" t="s">
        <v>675</v>
      </c>
      <c r="G1648" s="558" t="s">
        <v>674</v>
      </c>
      <c r="H1648" s="558" t="s">
        <v>5873</v>
      </c>
      <c r="I1648" s="679" t="s">
        <v>40</v>
      </c>
      <c r="J1648" s="676" t="s">
        <v>5873</v>
      </c>
      <c r="K1648" s="676">
        <v>60000</v>
      </c>
      <c r="M1648" t="str">
        <f>""</f>
        <v/>
      </c>
    </row>
    <row r="1649" spans="1:13" ht="15.75">
      <c r="A1649" s="728">
        <v>2010</v>
      </c>
      <c r="B1649" s="777">
        <v>40503</v>
      </c>
      <c r="C1649" s="730">
        <v>6.8750000000000006E-2</v>
      </c>
      <c r="D1649" s="777">
        <v>40506</v>
      </c>
      <c r="E1649" s="730">
        <v>0.69861111111111107</v>
      </c>
      <c r="F1649" s="558" t="s">
        <v>39</v>
      </c>
      <c r="G1649" s="558" t="s">
        <v>124</v>
      </c>
      <c r="H1649" s="558" t="s">
        <v>5873</v>
      </c>
      <c r="I1649" s="679" t="s">
        <v>40</v>
      </c>
      <c r="J1649" s="676">
        <v>75</v>
      </c>
      <c r="K1649" s="676">
        <v>60000</v>
      </c>
      <c r="M1649" t="str">
        <f>""</f>
        <v/>
      </c>
    </row>
    <row r="1650" spans="1:13" ht="15.75">
      <c r="A1650">
        <v>2011</v>
      </c>
      <c r="B1650" s="777">
        <v>40583</v>
      </c>
      <c r="C1650" s="730">
        <v>0.15625</v>
      </c>
      <c r="D1650" s="777">
        <v>40583</v>
      </c>
      <c r="E1650" s="730">
        <v>0.38333333333333336</v>
      </c>
      <c r="F1650" s="558" t="s">
        <v>2140</v>
      </c>
      <c r="G1650" s="558" t="s">
        <v>1352</v>
      </c>
      <c r="H1650" s="558" t="s">
        <v>5873</v>
      </c>
      <c r="I1650" s="679" t="s">
        <v>40</v>
      </c>
      <c r="J1650" s="676">
        <v>399</v>
      </c>
      <c r="K1650" s="676">
        <v>60000</v>
      </c>
      <c r="M1650" t="str">
        <f>""</f>
        <v/>
      </c>
    </row>
    <row r="1651" spans="1:13" ht="15.75">
      <c r="A1651">
        <v>2011</v>
      </c>
      <c r="B1651" s="777">
        <v>40878</v>
      </c>
      <c r="C1651" s="730">
        <v>0.41666666666666669</v>
      </c>
      <c r="D1651" s="777">
        <v>40879</v>
      </c>
      <c r="E1651" s="730">
        <v>0.5493055555555556</v>
      </c>
      <c r="F1651" s="558" t="s">
        <v>2330</v>
      </c>
      <c r="G1651" s="558" t="s">
        <v>124</v>
      </c>
      <c r="H1651" s="558" t="s">
        <v>5873</v>
      </c>
      <c r="I1651" s="679" t="s">
        <v>22</v>
      </c>
      <c r="J1651" s="676" t="s">
        <v>5873</v>
      </c>
      <c r="K1651" s="676">
        <v>60000</v>
      </c>
      <c r="M1651" t="str">
        <f>""</f>
        <v/>
      </c>
    </row>
    <row r="1652" spans="1:13" ht="15.75">
      <c r="A1652">
        <v>2011</v>
      </c>
      <c r="B1652" s="777">
        <v>40884</v>
      </c>
      <c r="C1652" s="730">
        <v>0.81180555555555556</v>
      </c>
      <c r="D1652" s="777">
        <v>40884</v>
      </c>
      <c r="E1652" s="730">
        <v>0.95625000000000004</v>
      </c>
      <c r="F1652" s="558" t="s">
        <v>459</v>
      </c>
      <c r="G1652" s="558" t="s">
        <v>63</v>
      </c>
      <c r="H1652" s="558" t="s">
        <v>5873</v>
      </c>
      <c r="I1652" s="679" t="s">
        <v>22</v>
      </c>
      <c r="J1652" s="676">
        <v>240</v>
      </c>
      <c r="K1652" s="676">
        <v>60000</v>
      </c>
      <c r="M1652" t="str">
        <f>""</f>
        <v/>
      </c>
    </row>
    <row r="1653" spans="1:13" ht="15.75">
      <c r="A1653">
        <v>2012</v>
      </c>
      <c r="B1653" s="777">
        <v>41090</v>
      </c>
      <c r="C1653" s="730">
        <v>0.9375</v>
      </c>
      <c r="D1653" s="777">
        <v>41092</v>
      </c>
      <c r="E1653" s="730">
        <v>0.34097222222222223</v>
      </c>
      <c r="F1653" s="558" t="s">
        <v>2408</v>
      </c>
      <c r="G1653" s="558" t="s">
        <v>826</v>
      </c>
      <c r="H1653" s="558" t="s">
        <v>5873</v>
      </c>
      <c r="I1653" s="679" t="s">
        <v>2368</v>
      </c>
      <c r="J1653" s="676">
        <v>354</v>
      </c>
      <c r="K1653" s="676">
        <v>60000</v>
      </c>
      <c r="M1653" t="str">
        <f>""</f>
        <v/>
      </c>
    </row>
    <row r="1654" spans="1:13" ht="15.75">
      <c r="A1654">
        <v>2014</v>
      </c>
      <c r="B1654" s="777">
        <v>41887</v>
      </c>
      <c r="C1654" s="730">
        <v>0.80138888888888893</v>
      </c>
      <c r="D1654" s="777">
        <v>41888</v>
      </c>
      <c r="E1654" s="730">
        <v>0.54166666666666663</v>
      </c>
      <c r="F1654" s="558" t="s">
        <v>21</v>
      </c>
      <c r="G1654" s="558" t="s">
        <v>826</v>
      </c>
      <c r="H1654" s="558" t="s">
        <v>5873</v>
      </c>
      <c r="I1654" s="679" t="s">
        <v>2368</v>
      </c>
      <c r="J1654" s="676">
        <v>50</v>
      </c>
      <c r="K1654" s="676">
        <v>60000</v>
      </c>
      <c r="M1654" t="str">
        <f>""</f>
        <v/>
      </c>
    </row>
    <row r="1655" spans="1:13" ht="15.75">
      <c r="A1655">
        <v>2015</v>
      </c>
      <c r="B1655" s="777">
        <v>42329</v>
      </c>
      <c r="C1655" s="730">
        <v>0.85416666666666663</v>
      </c>
      <c r="D1655" s="777">
        <v>42331</v>
      </c>
      <c r="E1655" s="730">
        <v>4.1666666666666664E-2</v>
      </c>
      <c r="F1655" s="558" t="s">
        <v>1833</v>
      </c>
      <c r="G1655" s="558" t="s">
        <v>826</v>
      </c>
      <c r="H1655" s="558" t="s">
        <v>2753</v>
      </c>
      <c r="I1655" s="679" t="s">
        <v>22</v>
      </c>
      <c r="J1655" s="676" t="s">
        <v>5873</v>
      </c>
      <c r="K1655" s="676">
        <v>60000</v>
      </c>
      <c r="M1655" t="str">
        <f>""</f>
        <v/>
      </c>
    </row>
    <row r="1656" spans="1:13" ht="15.75">
      <c r="A1656">
        <v>2018</v>
      </c>
      <c r="B1656" s="777">
        <v>43161</v>
      </c>
      <c r="C1656" s="730">
        <v>0.70833333333333337</v>
      </c>
      <c r="D1656" s="777">
        <v>43165</v>
      </c>
      <c r="E1656" s="730">
        <v>0.45833333333333331</v>
      </c>
      <c r="F1656" s="558" t="s">
        <v>3236</v>
      </c>
      <c r="G1656" s="558" t="s">
        <v>3143</v>
      </c>
      <c r="H1656" s="558" t="s">
        <v>2753</v>
      </c>
      <c r="I1656" s="679" t="s">
        <v>22</v>
      </c>
      <c r="J1656" s="676" t="s">
        <v>5873</v>
      </c>
      <c r="K1656" s="676">
        <v>60000</v>
      </c>
      <c r="M1656" t="str">
        <f>""</f>
        <v/>
      </c>
    </row>
    <row r="1657" spans="1:13" ht="15.75">
      <c r="A1657">
        <v>2018</v>
      </c>
      <c r="B1657" s="777">
        <v>43387</v>
      </c>
      <c r="C1657" s="730">
        <v>0.9243055555555556</v>
      </c>
      <c r="D1657" s="777" t="s">
        <v>5873</v>
      </c>
      <c r="E1657" s="730" t="s">
        <v>5873</v>
      </c>
      <c r="F1657" s="558" t="s">
        <v>2945</v>
      </c>
      <c r="G1657" s="558" t="s">
        <v>124</v>
      </c>
      <c r="H1657" s="558" t="s">
        <v>2753</v>
      </c>
      <c r="I1657" s="679" t="s">
        <v>3416</v>
      </c>
      <c r="J1657" s="676" t="s">
        <v>5873</v>
      </c>
      <c r="K1657" s="676">
        <v>60000</v>
      </c>
      <c r="M1657" t="str">
        <f>""</f>
        <v/>
      </c>
    </row>
    <row r="1658" spans="1:13" ht="15.75">
      <c r="A1658">
        <v>2018</v>
      </c>
      <c r="B1658" s="777">
        <v>43448</v>
      </c>
      <c r="C1658" s="730">
        <v>0.75</v>
      </c>
      <c r="D1658" s="777" t="s">
        <v>5873</v>
      </c>
      <c r="E1658" s="730" t="s">
        <v>5873</v>
      </c>
      <c r="F1658" s="558" t="s">
        <v>2813</v>
      </c>
      <c r="G1658" s="558" t="s">
        <v>124</v>
      </c>
      <c r="H1658" s="558" t="s">
        <v>3451</v>
      </c>
      <c r="I1658" s="679" t="s">
        <v>22</v>
      </c>
      <c r="J1658" s="676">
        <v>200</v>
      </c>
      <c r="K1658" s="676">
        <v>60000</v>
      </c>
      <c r="M1658" t="str">
        <f>""</f>
        <v/>
      </c>
    </row>
    <row r="1659" spans="1:13" ht="15.75">
      <c r="A1659">
        <v>2019</v>
      </c>
      <c r="B1659" s="777">
        <v>43636</v>
      </c>
      <c r="C1659" s="730">
        <v>0.6743055555555556</v>
      </c>
      <c r="D1659" s="777">
        <v>43637</v>
      </c>
      <c r="E1659" s="730">
        <v>0.53125</v>
      </c>
      <c r="F1659" s="558" t="s">
        <v>3325</v>
      </c>
      <c r="G1659" s="558" t="s">
        <v>63</v>
      </c>
      <c r="H1659" s="558" t="s">
        <v>3451</v>
      </c>
      <c r="I1659" s="679" t="s">
        <v>22</v>
      </c>
      <c r="J1659" s="676" t="s">
        <v>5873</v>
      </c>
      <c r="K1659" s="676">
        <v>60000</v>
      </c>
      <c r="M1659" t="str">
        <f>""</f>
        <v/>
      </c>
    </row>
    <row r="1660" spans="1:13" ht="15.75">
      <c r="A1660">
        <v>2020</v>
      </c>
      <c r="B1660" s="777">
        <v>44057</v>
      </c>
      <c r="C1660" s="730">
        <v>0.83333333333333337</v>
      </c>
      <c r="D1660" s="777">
        <v>44059</v>
      </c>
      <c r="E1660" s="730">
        <v>0.70833333333333337</v>
      </c>
      <c r="F1660" s="558" t="s">
        <v>4416</v>
      </c>
      <c r="G1660" s="558" t="s">
        <v>674</v>
      </c>
      <c r="H1660" s="558" t="s">
        <v>3451</v>
      </c>
      <c r="I1660" s="679" t="s">
        <v>22</v>
      </c>
      <c r="J1660" s="676" t="s">
        <v>5873</v>
      </c>
      <c r="K1660" s="676">
        <v>60000</v>
      </c>
      <c r="M1660" t="str">
        <f>""</f>
        <v/>
      </c>
    </row>
    <row r="1661" spans="1:13" ht="15.75">
      <c r="A1661">
        <v>2021</v>
      </c>
      <c r="B1661" s="777">
        <v>44446</v>
      </c>
      <c r="C1661" s="730">
        <v>0.83333333333333337</v>
      </c>
      <c r="D1661" s="777">
        <v>44448</v>
      </c>
      <c r="E1661" s="730">
        <v>0.29166666666666669</v>
      </c>
      <c r="F1661" s="558" t="s">
        <v>3528</v>
      </c>
      <c r="G1661" s="558" t="s">
        <v>3143</v>
      </c>
      <c r="H1661" s="558" t="s">
        <v>2753</v>
      </c>
      <c r="I1661" s="679" t="s">
        <v>22</v>
      </c>
      <c r="J1661" s="676" t="s">
        <v>5873</v>
      </c>
      <c r="K1661" s="676">
        <v>60000</v>
      </c>
      <c r="M1661" t="str">
        <f>""</f>
        <v/>
      </c>
    </row>
    <row r="1662" spans="1:13" ht="15.75">
      <c r="A1662">
        <v>2022</v>
      </c>
      <c r="B1662" s="777">
        <v>44720</v>
      </c>
      <c r="C1662" s="730">
        <v>4.1666666666666664E-2</v>
      </c>
      <c r="D1662" s="777">
        <v>44720</v>
      </c>
      <c r="E1662" s="730">
        <v>0.16666666666666666</v>
      </c>
      <c r="F1662" s="558" t="s">
        <v>2864</v>
      </c>
      <c r="G1662" s="558" t="s">
        <v>63</v>
      </c>
      <c r="H1662" s="558" t="s">
        <v>5373</v>
      </c>
      <c r="I1662" s="679" t="s">
        <v>3768</v>
      </c>
      <c r="J1662" s="676" t="s">
        <v>5873</v>
      </c>
      <c r="K1662" s="676">
        <v>60000</v>
      </c>
      <c r="M1662" t="str">
        <f>""</f>
        <v/>
      </c>
    </row>
    <row r="1663" spans="1:13" ht="15.75">
      <c r="A1663">
        <v>2016</v>
      </c>
      <c r="B1663" s="777">
        <v>42379</v>
      </c>
      <c r="C1663" s="730">
        <v>0.86527777777777781</v>
      </c>
      <c r="D1663" s="777">
        <v>42380</v>
      </c>
      <c r="E1663" s="730">
        <v>0.22569444444444445</v>
      </c>
      <c r="F1663" s="558" t="s">
        <v>2827</v>
      </c>
      <c r="G1663" s="558" t="s">
        <v>61</v>
      </c>
      <c r="H1663" s="558" t="s">
        <v>2753</v>
      </c>
      <c r="I1663" s="679" t="s">
        <v>2828</v>
      </c>
      <c r="J1663" s="676" t="s">
        <v>5873</v>
      </c>
      <c r="K1663" s="676">
        <v>59859</v>
      </c>
      <c r="M1663" t="str">
        <f>""</f>
        <v/>
      </c>
    </row>
    <row r="1664" spans="1:13" ht="15.75">
      <c r="A1664">
        <v>2021</v>
      </c>
      <c r="B1664" s="777">
        <v>44449</v>
      </c>
      <c r="C1664" s="730">
        <v>0.30555555555555558</v>
      </c>
      <c r="D1664" s="777">
        <v>44449</v>
      </c>
      <c r="E1664" s="730">
        <v>0.37847222222222221</v>
      </c>
      <c r="F1664" s="558" t="s">
        <v>2945</v>
      </c>
      <c r="G1664" s="558" t="s">
        <v>124</v>
      </c>
      <c r="H1664" s="558" t="s">
        <v>2753</v>
      </c>
      <c r="I1664" s="679" t="s">
        <v>22</v>
      </c>
      <c r="J1664" s="676">
        <v>89</v>
      </c>
      <c r="K1664" s="676">
        <v>59649</v>
      </c>
      <c r="M1664" t="str">
        <f>""</f>
        <v/>
      </c>
    </row>
    <row r="1665" spans="1:13" ht="15.75">
      <c r="A1665">
        <v>2013</v>
      </c>
      <c r="B1665" s="777">
        <v>41630</v>
      </c>
      <c r="C1665" s="730">
        <v>0.26111111111111113</v>
      </c>
      <c r="D1665" s="777">
        <v>41632</v>
      </c>
      <c r="E1665" s="730">
        <v>0.99930555555555556</v>
      </c>
      <c r="F1665" s="558" t="s">
        <v>2638</v>
      </c>
      <c r="G1665" s="558" t="s">
        <v>61</v>
      </c>
      <c r="H1665" s="558" t="s">
        <v>5873</v>
      </c>
      <c r="I1665" s="679" t="s">
        <v>2634</v>
      </c>
      <c r="J1665" s="676" t="s">
        <v>5873</v>
      </c>
      <c r="K1665" s="676">
        <v>59000</v>
      </c>
      <c r="M1665" t="str">
        <f>""</f>
        <v/>
      </c>
    </row>
    <row r="1666" spans="1:13" ht="15.75">
      <c r="A1666">
        <v>2021</v>
      </c>
      <c r="B1666" s="777">
        <v>44493</v>
      </c>
      <c r="C1666" s="730">
        <v>0.37152777777777779</v>
      </c>
      <c r="D1666" s="777">
        <v>44494</v>
      </c>
      <c r="E1666" s="730">
        <v>0.76041666666666663</v>
      </c>
      <c r="F1666" s="558" t="s">
        <v>2945</v>
      </c>
      <c r="G1666" s="558" t="s">
        <v>124</v>
      </c>
      <c r="H1666" s="558" t="s">
        <v>2753</v>
      </c>
      <c r="I1666" s="679" t="s">
        <v>22</v>
      </c>
      <c r="J1666" s="676">
        <v>116</v>
      </c>
      <c r="K1666" s="676">
        <v>59000</v>
      </c>
      <c r="M1666" t="str">
        <f>""</f>
        <v/>
      </c>
    </row>
    <row r="1667" spans="1:13" ht="15.75">
      <c r="A1667">
        <v>2013</v>
      </c>
      <c r="B1667" s="777">
        <v>41336</v>
      </c>
      <c r="C1667" s="730">
        <v>0.27708333333333335</v>
      </c>
      <c r="D1667" s="777">
        <v>41336</v>
      </c>
      <c r="E1667" s="730">
        <v>0.43680555555555556</v>
      </c>
      <c r="F1667" s="558" t="s">
        <v>2507</v>
      </c>
      <c r="G1667" s="558" t="s">
        <v>124</v>
      </c>
      <c r="H1667" s="558" t="s">
        <v>5873</v>
      </c>
      <c r="I1667" s="679" t="s">
        <v>1806</v>
      </c>
      <c r="J1667" s="676">
        <v>300</v>
      </c>
      <c r="K1667" s="676">
        <v>58850</v>
      </c>
      <c r="M1667" t="str">
        <f>""</f>
        <v/>
      </c>
    </row>
    <row r="1668" spans="1:13" ht="15.75">
      <c r="A1668">
        <v>2016</v>
      </c>
      <c r="B1668" s="777">
        <v>42558</v>
      </c>
      <c r="C1668" s="730">
        <v>0.18055555555555555</v>
      </c>
      <c r="D1668" s="777">
        <v>42558</v>
      </c>
      <c r="E1668" s="730">
        <v>0.33333333333333331</v>
      </c>
      <c r="F1668" s="558" t="s">
        <v>2876</v>
      </c>
      <c r="G1668" s="558" t="s">
        <v>63</v>
      </c>
      <c r="H1668" s="558" t="s">
        <v>2753</v>
      </c>
      <c r="I1668" s="679" t="s">
        <v>22</v>
      </c>
      <c r="J1668" s="676" t="s">
        <v>5873</v>
      </c>
      <c r="K1668" s="676">
        <v>58500</v>
      </c>
      <c r="M1668" t="str">
        <f>""</f>
        <v/>
      </c>
    </row>
    <row r="1669" spans="1:13" ht="15.75">
      <c r="A1669" s="728">
        <v>2010</v>
      </c>
      <c r="B1669" s="777">
        <v>40215</v>
      </c>
      <c r="C1669" s="730">
        <v>0.33333333333333331</v>
      </c>
      <c r="D1669" s="777">
        <v>40215</v>
      </c>
      <c r="E1669" s="730">
        <v>0.375</v>
      </c>
      <c r="F1669" s="558" t="s">
        <v>1875</v>
      </c>
      <c r="G1669" s="558" t="s">
        <v>826</v>
      </c>
      <c r="H1669" s="558" t="s">
        <v>5873</v>
      </c>
      <c r="I1669" s="679" t="s">
        <v>40</v>
      </c>
      <c r="J1669" s="676" t="s">
        <v>5873</v>
      </c>
      <c r="K1669" s="676">
        <v>58491</v>
      </c>
      <c r="M1669" t="str">
        <f>""</f>
        <v/>
      </c>
    </row>
    <row r="1670" spans="1:13" ht="15.75">
      <c r="A1670">
        <v>2019</v>
      </c>
      <c r="B1670" s="777">
        <v>43537</v>
      </c>
      <c r="C1670" s="730">
        <v>0.47847222222222224</v>
      </c>
      <c r="D1670" s="777">
        <v>43538</v>
      </c>
      <c r="E1670" s="730">
        <v>0.88263888888888886</v>
      </c>
      <c r="F1670" s="558" t="s">
        <v>3701</v>
      </c>
      <c r="G1670" s="558" t="s">
        <v>124</v>
      </c>
      <c r="H1670" s="558" t="s">
        <v>3451</v>
      </c>
      <c r="I1670" s="679" t="s">
        <v>22</v>
      </c>
      <c r="J1670" s="676">
        <v>58</v>
      </c>
      <c r="K1670" s="676">
        <v>58379</v>
      </c>
      <c r="M1670" t="str">
        <f>""</f>
        <v/>
      </c>
    </row>
    <row r="1671" spans="1:13" ht="15.75">
      <c r="A1671">
        <v>2023</v>
      </c>
      <c r="B1671" s="777">
        <v>45016</v>
      </c>
      <c r="C1671" s="730">
        <v>0.75</v>
      </c>
      <c r="D1671" s="777">
        <v>45016</v>
      </c>
      <c r="E1671" s="730">
        <v>0.86458333333333337</v>
      </c>
      <c r="F1671" s="558" t="s">
        <v>3405</v>
      </c>
      <c r="G1671" s="558" t="s">
        <v>63</v>
      </c>
      <c r="H1671" s="558" t="s">
        <v>2753</v>
      </c>
      <c r="I1671" s="679" t="s">
        <v>22</v>
      </c>
      <c r="J1671" s="676" t="s">
        <v>5873</v>
      </c>
      <c r="K1671" s="676">
        <v>58368</v>
      </c>
      <c r="M1671" t="str">
        <f>""</f>
        <v/>
      </c>
    </row>
    <row r="1672" spans="1:13" ht="15.75">
      <c r="A1672">
        <v>2011</v>
      </c>
      <c r="B1672" s="777">
        <v>40673</v>
      </c>
      <c r="C1672" s="730">
        <v>0.93125000000000002</v>
      </c>
      <c r="D1672" s="777">
        <v>40674</v>
      </c>
      <c r="E1672" s="730">
        <v>0.60069444444444442</v>
      </c>
      <c r="F1672" s="558" t="s">
        <v>2167</v>
      </c>
      <c r="G1672" s="558" t="s">
        <v>826</v>
      </c>
      <c r="H1672" s="558" t="s">
        <v>5873</v>
      </c>
      <c r="I1672" s="679" t="s">
        <v>22</v>
      </c>
      <c r="J1672" s="676" t="s">
        <v>5873</v>
      </c>
      <c r="K1672" s="676">
        <v>58000</v>
      </c>
      <c r="M1672" t="str">
        <f>""</f>
        <v/>
      </c>
    </row>
    <row r="1673" spans="1:13" ht="15.75">
      <c r="A1673">
        <v>2017</v>
      </c>
      <c r="B1673" s="777">
        <v>42795</v>
      </c>
      <c r="C1673" s="730">
        <v>0.35416666666666669</v>
      </c>
      <c r="D1673" s="777">
        <v>42795</v>
      </c>
      <c r="E1673" s="730">
        <v>0.58333333333333337</v>
      </c>
      <c r="F1673" s="558" t="s">
        <v>2983</v>
      </c>
      <c r="G1673" s="558" t="s">
        <v>63</v>
      </c>
      <c r="H1673" s="558" t="s">
        <v>2753</v>
      </c>
      <c r="I1673" s="679" t="s">
        <v>22</v>
      </c>
      <c r="J1673" s="676" t="s">
        <v>5873</v>
      </c>
      <c r="K1673" s="676">
        <v>58000</v>
      </c>
      <c r="M1673" t="str">
        <f>""</f>
        <v/>
      </c>
    </row>
    <row r="1674" spans="1:13" ht="15.75">
      <c r="A1674">
        <v>2018</v>
      </c>
      <c r="B1674" s="777">
        <v>43166</v>
      </c>
      <c r="C1674" s="730">
        <v>0.71875</v>
      </c>
      <c r="D1674" s="777" t="s">
        <v>5873</v>
      </c>
      <c r="E1674" s="730" t="s">
        <v>5873</v>
      </c>
      <c r="F1674" s="558" t="s">
        <v>2833</v>
      </c>
      <c r="G1674" s="558" t="s">
        <v>3143</v>
      </c>
      <c r="H1674" s="558" t="s">
        <v>2753</v>
      </c>
      <c r="I1674" s="679" t="s">
        <v>22</v>
      </c>
      <c r="J1674" s="676">
        <v>50</v>
      </c>
      <c r="K1674" s="676">
        <v>58000</v>
      </c>
      <c r="M1674" t="str">
        <f>""</f>
        <v/>
      </c>
    </row>
    <row r="1675" spans="1:13" ht="15.75">
      <c r="A1675">
        <v>2021</v>
      </c>
      <c r="B1675" s="777">
        <v>44207</v>
      </c>
      <c r="C1675" s="730">
        <v>0.20833333333333334</v>
      </c>
      <c r="D1675" s="777">
        <v>44207</v>
      </c>
      <c r="E1675" s="730">
        <v>0.59861111111111109</v>
      </c>
      <c r="F1675" s="558" t="s">
        <v>3767</v>
      </c>
      <c r="G1675" s="558" t="s">
        <v>63</v>
      </c>
      <c r="H1675" s="558" t="s">
        <v>3451</v>
      </c>
      <c r="I1675" s="679" t="s">
        <v>3768</v>
      </c>
      <c r="J1675" s="676" t="s">
        <v>5873</v>
      </c>
      <c r="K1675" s="676">
        <v>58000</v>
      </c>
      <c r="M1675" t="str">
        <f>""</f>
        <v/>
      </c>
    </row>
    <row r="1676" spans="1:13" ht="15.75">
      <c r="A1676">
        <v>2016</v>
      </c>
      <c r="B1676" s="777">
        <v>42624</v>
      </c>
      <c r="C1676" s="730">
        <v>0.50347222222222221</v>
      </c>
      <c r="D1676" s="777">
        <v>42624</v>
      </c>
      <c r="E1676" s="730">
        <v>0.63194444444444442</v>
      </c>
      <c r="F1676" s="558" t="s">
        <v>2906</v>
      </c>
      <c r="G1676" s="558" t="s">
        <v>61</v>
      </c>
      <c r="H1676" s="558" t="s">
        <v>2753</v>
      </c>
      <c r="I1676" s="679" t="s">
        <v>22</v>
      </c>
      <c r="J1676" s="676" t="s">
        <v>5873</v>
      </c>
      <c r="K1676" s="676">
        <v>57960</v>
      </c>
      <c r="M1676" t="str">
        <f>""</f>
        <v/>
      </c>
    </row>
    <row r="1677" spans="1:13" ht="15.75">
      <c r="A1677">
        <v>2020</v>
      </c>
      <c r="B1677" s="777">
        <v>43921</v>
      </c>
      <c r="C1677" s="730">
        <v>0.48958333333333331</v>
      </c>
      <c r="D1677" s="777">
        <v>43921</v>
      </c>
      <c r="E1677" s="730">
        <v>0.83333333333333337</v>
      </c>
      <c r="F1677" s="558" t="s">
        <v>3273</v>
      </c>
      <c r="G1677" s="558" t="s">
        <v>63</v>
      </c>
      <c r="H1677" s="558" t="s">
        <v>3451</v>
      </c>
      <c r="I1677" s="679" t="s">
        <v>22</v>
      </c>
      <c r="J1677" s="676">
        <v>412</v>
      </c>
      <c r="K1677" s="676">
        <v>57744</v>
      </c>
      <c r="M1677" t="str">
        <f>""</f>
        <v/>
      </c>
    </row>
    <row r="1678" spans="1:13" ht="15.75">
      <c r="A1678">
        <v>2018</v>
      </c>
      <c r="B1678" s="777">
        <v>43310</v>
      </c>
      <c r="C1678" s="730">
        <v>0.60624999999999996</v>
      </c>
      <c r="D1678" s="777">
        <v>43310</v>
      </c>
      <c r="E1678" s="730">
        <v>0.76597222222222228</v>
      </c>
      <c r="F1678" s="558" t="s">
        <v>2945</v>
      </c>
      <c r="G1678" s="558" t="s">
        <v>124</v>
      </c>
      <c r="H1678" s="558" t="s">
        <v>2753</v>
      </c>
      <c r="I1678" s="679" t="s">
        <v>3416</v>
      </c>
      <c r="J1678" s="676">
        <v>83</v>
      </c>
      <c r="K1678" s="676">
        <v>57670</v>
      </c>
      <c r="M1678" t="str">
        <f>""</f>
        <v/>
      </c>
    </row>
    <row r="1679" spans="1:13" ht="15.75">
      <c r="A1679">
        <v>2015</v>
      </c>
      <c r="B1679" s="777">
        <v>42149</v>
      </c>
      <c r="C1679" s="730">
        <v>0.85416666666666663</v>
      </c>
      <c r="D1679" s="777">
        <v>42150</v>
      </c>
      <c r="E1679" s="730">
        <v>0.77083333333333337</v>
      </c>
      <c r="F1679" s="558" t="s">
        <v>166</v>
      </c>
      <c r="G1679" s="558" t="s">
        <v>58</v>
      </c>
      <c r="H1679" s="558" t="s">
        <v>2753</v>
      </c>
      <c r="I1679" s="679" t="s">
        <v>22</v>
      </c>
      <c r="J1679" s="676" t="s">
        <v>5873</v>
      </c>
      <c r="K1679" s="676">
        <v>57531</v>
      </c>
      <c r="M1679" t="str">
        <f>""</f>
        <v/>
      </c>
    </row>
    <row r="1680" spans="1:13" ht="15.75">
      <c r="A1680">
        <v>2014</v>
      </c>
      <c r="B1680" s="777">
        <v>41926</v>
      </c>
      <c r="C1680" s="730">
        <v>0.2388888888888889</v>
      </c>
      <c r="D1680" s="777">
        <v>41926</v>
      </c>
      <c r="E1680" s="730">
        <v>0.74305555555555558</v>
      </c>
      <c r="F1680" s="558" t="s">
        <v>2688</v>
      </c>
      <c r="G1680" s="558" t="s">
        <v>63</v>
      </c>
      <c r="H1680" s="558" t="s">
        <v>5873</v>
      </c>
      <c r="I1680" s="679" t="s">
        <v>2368</v>
      </c>
      <c r="J1680" s="676">
        <v>191</v>
      </c>
      <c r="K1680" s="676">
        <v>57475</v>
      </c>
      <c r="M1680" t="str">
        <f>""</f>
        <v/>
      </c>
    </row>
    <row r="1681" spans="1:13" ht="15.75">
      <c r="A1681">
        <v>2015</v>
      </c>
      <c r="B1681" s="777">
        <v>42149</v>
      </c>
      <c r="C1681" s="730">
        <v>0.85416666666666663</v>
      </c>
      <c r="D1681" s="777" t="s">
        <v>5873</v>
      </c>
      <c r="E1681" s="730" t="s">
        <v>5873</v>
      </c>
      <c r="F1681" s="558" t="s">
        <v>2777</v>
      </c>
      <c r="G1681" s="558" t="s">
        <v>58</v>
      </c>
      <c r="H1681" s="558" t="s">
        <v>2753</v>
      </c>
      <c r="I1681" s="679" t="s">
        <v>22</v>
      </c>
      <c r="J1681" s="676" t="s">
        <v>5873</v>
      </c>
      <c r="K1681" s="676">
        <v>57351</v>
      </c>
      <c r="M1681" t="str">
        <f>""</f>
        <v/>
      </c>
    </row>
    <row r="1682" spans="1:13" ht="15.75">
      <c r="A1682">
        <v>2020</v>
      </c>
      <c r="B1682" s="777">
        <v>44150</v>
      </c>
      <c r="C1682" s="730">
        <v>0.65069444444444446</v>
      </c>
      <c r="D1682" s="777">
        <v>44152</v>
      </c>
      <c r="E1682" s="730">
        <v>0.51041666666666663</v>
      </c>
      <c r="F1682" s="558" t="s">
        <v>4586</v>
      </c>
      <c r="G1682" s="558" t="s">
        <v>3143</v>
      </c>
      <c r="H1682" s="558" t="s">
        <v>3451</v>
      </c>
      <c r="I1682" s="679" t="s">
        <v>22</v>
      </c>
      <c r="J1682" s="676" t="s">
        <v>5873</v>
      </c>
      <c r="K1682" s="676">
        <v>57327</v>
      </c>
      <c r="M1682" t="str">
        <f>""</f>
        <v/>
      </c>
    </row>
    <row r="1683" spans="1:13" ht="15.75">
      <c r="A1683">
        <v>2014</v>
      </c>
      <c r="B1683" s="777">
        <v>41843</v>
      </c>
      <c r="C1683" s="730">
        <v>0.80138888888888893</v>
      </c>
      <c r="D1683" s="777">
        <v>41844</v>
      </c>
      <c r="E1683" s="730">
        <v>1.5972222222222221E-2</v>
      </c>
      <c r="F1683" s="558" t="s">
        <v>2708</v>
      </c>
      <c r="G1683" s="558" t="s">
        <v>63</v>
      </c>
      <c r="H1683" s="558" t="s">
        <v>5873</v>
      </c>
      <c r="I1683" s="679" t="s">
        <v>2368</v>
      </c>
      <c r="J1683" s="676" t="s">
        <v>5873</v>
      </c>
      <c r="K1683" s="676">
        <v>57299</v>
      </c>
      <c r="M1683" t="str">
        <f>""</f>
        <v/>
      </c>
    </row>
    <row r="1684" spans="1:13" ht="15.75">
      <c r="A1684">
        <v>2014</v>
      </c>
      <c r="B1684" s="777">
        <v>41821</v>
      </c>
      <c r="C1684" s="730">
        <v>0.20833333333333334</v>
      </c>
      <c r="D1684" s="777">
        <v>41822</v>
      </c>
      <c r="E1684" s="730">
        <v>8.3333333333333329E-2</v>
      </c>
      <c r="F1684" s="558" t="s">
        <v>1962</v>
      </c>
      <c r="G1684" s="558" t="s">
        <v>826</v>
      </c>
      <c r="H1684" s="558" t="s">
        <v>5873</v>
      </c>
      <c r="I1684" s="679" t="s">
        <v>2368</v>
      </c>
      <c r="J1684" s="676" t="s">
        <v>5873</v>
      </c>
      <c r="K1684" s="676">
        <v>57237</v>
      </c>
      <c r="M1684" t="str">
        <f>""</f>
        <v/>
      </c>
    </row>
    <row r="1685" spans="1:13" ht="15.75">
      <c r="A1685">
        <v>2014</v>
      </c>
      <c r="B1685" s="777">
        <v>41733</v>
      </c>
      <c r="C1685" s="730">
        <v>0.14583333333333334</v>
      </c>
      <c r="D1685" s="777">
        <v>41733</v>
      </c>
      <c r="E1685" s="730">
        <v>0.34375</v>
      </c>
      <c r="F1685" s="558" t="s">
        <v>2265</v>
      </c>
      <c r="G1685" s="558" t="s">
        <v>63</v>
      </c>
      <c r="H1685" s="558" t="s">
        <v>5873</v>
      </c>
      <c r="I1685" s="679" t="s">
        <v>2680</v>
      </c>
      <c r="J1685" s="676" t="s">
        <v>5873</v>
      </c>
      <c r="K1685" s="676">
        <v>57200</v>
      </c>
      <c r="M1685" t="str">
        <f>""</f>
        <v/>
      </c>
    </row>
    <row r="1686" spans="1:13" ht="15.75">
      <c r="A1686">
        <v>2023</v>
      </c>
      <c r="B1686" s="777">
        <v>44988</v>
      </c>
      <c r="C1686" s="730">
        <v>0.81111111111111112</v>
      </c>
      <c r="D1686" s="777">
        <v>44988</v>
      </c>
      <c r="E1686" s="730">
        <v>0.87083333333333335</v>
      </c>
      <c r="F1686" s="558" t="s">
        <v>4048</v>
      </c>
      <c r="G1686" s="558" t="s">
        <v>3143</v>
      </c>
      <c r="H1686" s="558" t="s">
        <v>2753</v>
      </c>
      <c r="I1686" s="679" t="s">
        <v>22</v>
      </c>
      <c r="J1686" s="676" t="s">
        <v>5873</v>
      </c>
      <c r="K1686" s="676">
        <v>57186</v>
      </c>
      <c r="M1686" t="str">
        <f>""</f>
        <v/>
      </c>
    </row>
    <row r="1687" spans="1:13" ht="15.75">
      <c r="A1687">
        <v>2016</v>
      </c>
      <c r="B1687" s="777">
        <v>42510</v>
      </c>
      <c r="C1687" s="730">
        <v>5.2083333333333336E-2</v>
      </c>
      <c r="D1687" s="777" t="s">
        <v>5877</v>
      </c>
      <c r="E1687" s="730" t="s">
        <v>5877</v>
      </c>
      <c r="F1687" s="558" t="s">
        <v>2866</v>
      </c>
      <c r="G1687" s="558" t="s">
        <v>63</v>
      </c>
      <c r="H1687" s="558" t="s">
        <v>2753</v>
      </c>
      <c r="I1687" s="679" t="s">
        <v>2828</v>
      </c>
      <c r="J1687" s="676" t="s">
        <v>5873</v>
      </c>
      <c r="K1687" s="676">
        <v>57184</v>
      </c>
      <c r="M1687" t="str">
        <f>""</f>
        <v/>
      </c>
    </row>
    <row r="1688" spans="1:13" ht="15.75">
      <c r="A1688">
        <v>2020</v>
      </c>
      <c r="B1688" s="777">
        <v>44056</v>
      </c>
      <c r="C1688" s="730">
        <v>0.57708333333333328</v>
      </c>
      <c r="D1688" s="777">
        <v>44056</v>
      </c>
      <c r="E1688" s="730">
        <v>0.68541666666666667</v>
      </c>
      <c r="F1688" s="558" t="s">
        <v>4402</v>
      </c>
      <c r="G1688" s="558" t="s">
        <v>1352</v>
      </c>
      <c r="H1688" s="558" t="s">
        <v>3750</v>
      </c>
      <c r="I1688" s="679" t="s">
        <v>2764</v>
      </c>
      <c r="J1688" s="676">
        <v>218</v>
      </c>
      <c r="K1688" s="676">
        <v>57060</v>
      </c>
      <c r="M1688" t="str">
        <f>""</f>
        <v/>
      </c>
    </row>
    <row r="1689" spans="1:13" ht="15.75">
      <c r="A1689">
        <v>2016</v>
      </c>
      <c r="B1689" s="777">
        <v>42573</v>
      </c>
      <c r="C1689" s="730">
        <v>0.99305555555555558</v>
      </c>
      <c r="D1689" s="777">
        <v>42574</v>
      </c>
      <c r="E1689" s="730">
        <v>0.38194444444444442</v>
      </c>
      <c r="F1689" s="558" t="s">
        <v>2889</v>
      </c>
      <c r="G1689" s="558" t="s">
        <v>61</v>
      </c>
      <c r="H1689" s="558" t="s">
        <v>2753</v>
      </c>
      <c r="I1689" s="679" t="s">
        <v>22</v>
      </c>
      <c r="J1689" s="676" t="s">
        <v>5873</v>
      </c>
      <c r="K1689" s="676">
        <v>57058</v>
      </c>
      <c r="M1689" t="str">
        <f>""</f>
        <v/>
      </c>
    </row>
    <row r="1690" spans="1:13" ht="15.75">
      <c r="A1690">
        <v>2012</v>
      </c>
      <c r="B1690" s="777">
        <v>41116.770833333336</v>
      </c>
      <c r="C1690" s="730">
        <v>41116.770833333336</v>
      </c>
      <c r="D1690" s="777">
        <v>41117.723611111112</v>
      </c>
      <c r="E1690" s="730">
        <v>41117.723611111112</v>
      </c>
      <c r="F1690" s="558" t="s">
        <v>2380</v>
      </c>
      <c r="G1690" s="558" t="s">
        <v>826</v>
      </c>
      <c r="H1690" s="558" t="s">
        <v>5873</v>
      </c>
      <c r="I1690" s="679" t="s">
        <v>2368</v>
      </c>
      <c r="J1690" s="676" t="s">
        <v>5873</v>
      </c>
      <c r="K1690" s="676">
        <v>57054</v>
      </c>
      <c r="M1690" t="str">
        <f>""</f>
        <v/>
      </c>
    </row>
    <row r="1691" spans="1:13" ht="15.75">
      <c r="A1691" s="728">
        <v>2010</v>
      </c>
      <c r="B1691" s="777">
        <v>40214</v>
      </c>
      <c r="C1691" s="730">
        <v>0.9375</v>
      </c>
      <c r="D1691" s="777">
        <v>40221</v>
      </c>
      <c r="E1691" s="730">
        <v>0.5</v>
      </c>
      <c r="F1691" s="558" t="s">
        <v>1868</v>
      </c>
      <c r="G1691" s="558" t="s">
        <v>826</v>
      </c>
      <c r="H1691" s="558" t="s">
        <v>5873</v>
      </c>
      <c r="I1691" s="679" t="s">
        <v>40</v>
      </c>
      <c r="J1691" s="676" t="s">
        <v>5873</v>
      </c>
      <c r="K1691" s="676">
        <v>57000</v>
      </c>
      <c r="M1691" t="str">
        <f>""</f>
        <v/>
      </c>
    </row>
    <row r="1692" spans="1:13" ht="15.75">
      <c r="A1692" s="728">
        <v>2010</v>
      </c>
      <c r="B1692" s="777">
        <v>40401</v>
      </c>
      <c r="C1692" s="730">
        <v>0.63958333333333328</v>
      </c>
      <c r="D1692" s="777">
        <v>40401</v>
      </c>
      <c r="E1692" s="730">
        <v>0.5083333333333333</v>
      </c>
      <c r="F1692" s="558" t="s">
        <v>160</v>
      </c>
      <c r="G1692" s="558" t="s">
        <v>826</v>
      </c>
      <c r="H1692" s="558" t="s">
        <v>5873</v>
      </c>
      <c r="I1692" s="679" t="s">
        <v>22</v>
      </c>
      <c r="J1692" s="676" t="s">
        <v>5873</v>
      </c>
      <c r="K1692" s="676">
        <v>57000</v>
      </c>
      <c r="M1692" t="str">
        <f>""</f>
        <v/>
      </c>
    </row>
    <row r="1693" spans="1:13" ht="15.75">
      <c r="A1693">
        <v>2014</v>
      </c>
      <c r="B1693" s="777">
        <v>41758</v>
      </c>
      <c r="C1693" s="730">
        <v>0.40069444444444446</v>
      </c>
      <c r="D1693" s="777">
        <v>41760</v>
      </c>
      <c r="E1693" s="730">
        <v>0.375</v>
      </c>
      <c r="F1693" s="558" t="s">
        <v>2687</v>
      </c>
      <c r="G1693" s="558" t="s">
        <v>63</v>
      </c>
      <c r="H1693" s="558" t="s">
        <v>5873</v>
      </c>
      <c r="I1693" s="679" t="s">
        <v>2368</v>
      </c>
      <c r="J1693" s="676" t="s">
        <v>5873</v>
      </c>
      <c r="K1693" s="676">
        <v>57000</v>
      </c>
      <c r="M1693" t="str">
        <f>""</f>
        <v/>
      </c>
    </row>
    <row r="1694" spans="1:13" ht="15.75">
      <c r="A1694">
        <v>2015</v>
      </c>
      <c r="B1694" s="777">
        <v>42118</v>
      </c>
      <c r="C1694" s="730">
        <v>0.79861111111111116</v>
      </c>
      <c r="D1694" s="777">
        <v>42120</v>
      </c>
      <c r="E1694" s="730">
        <v>0.66666666666666663</v>
      </c>
      <c r="F1694" s="558" t="s">
        <v>2771</v>
      </c>
      <c r="G1694" s="558" t="s">
        <v>1352</v>
      </c>
      <c r="H1694" s="558" t="s">
        <v>2753</v>
      </c>
      <c r="I1694" s="679" t="s">
        <v>22</v>
      </c>
      <c r="J1694" s="676" t="s">
        <v>5873</v>
      </c>
      <c r="K1694" s="676">
        <v>57000</v>
      </c>
      <c r="M1694" t="str">
        <f>""</f>
        <v/>
      </c>
    </row>
    <row r="1695" spans="1:13" ht="15.75">
      <c r="A1695">
        <v>2016</v>
      </c>
      <c r="B1695" s="777">
        <v>42615</v>
      </c>
      <c r="C1695" s="730">
        <v>0.23958333333333334</v>
      </c>
      <c r="D1695" s="777">
        <v>42616</v>
      </c>
      <c r="E1695" s="730">
        <v>2.0833333333333332E-2</v>
      </c>
      <c r="F1695" s="558" t="s">
        <v>2904</v>
      </c>
      <c r="G1695" s="558" t="s">
        <v>63</v>
      </c>
      <c r="H1695" s="558" t="s">
        <v>2753</v>
      </c>
      <c r="I1695" s="679" t="s">
        <v>22</v>
      </c>
      <c r="J1695" s="676" t="s">
        <v>5873</v>
      </c>
      <c r="K1695" s="676">
        <v>57000</v>
      </c>
      <c r="M1695" t="str">
        <f>""</f>
        <v/>
      </c>
    </row>
    <row r="1696" spans="1:13" ht="15.75">
      <c r="A1696">
        <v>2018</v>
      </c>
      <c r="B1696" s="777">
        <v>43199</v>
      </c>
      <c r="C1696" s="730">
        <v>0.51111111111111107</v>
      </c>
      <c r="D1696" s="777">
        <v>43199</v>
      </c>
      <c r="E1696" s="730">
        <v>0.57777777777777772</v>
      </c>
      <c r="F1696" s="558" t="s">
        <v>2831</v>
      </c>
      <c r="G1696" s="558" t="s">
        <v>124</v>
      </c>
      <c r="H1696" s="558" t="s">
        <v>2769</v>
      </c>
      <c r="I1696" s="679" t="s">
        <v>2483</v>
      </c>
      <c r="J1696" s="676">
        <v>806</v>
      </c>
      <c r="K1696" s="676">
        <v>57000</v>
      </c>
      <c r="M1696" t="str">
        <f>""</f>
        <v/>
      </c>
    </row>
    <row r="1697" spans="1:13" ht="15.75">
      <c r="A1697">
        <v>2019</v>
      </c>
      <c r="B1697" s="777">
        <v>43656</v>
      </c>
      <c r="C1697" s="730">
        <v>0.50694444444444442</v>
      </c>
      <c r="D1697" s="777">
        <v>43658</v>
      </c>
      <c r="E1697" s="730">
        <v>0.52083333333333337</v>
      </c>
      <c r="F1697" s="558" t="s">
        <v>3856</v>
      </c>
      <c r="G1697" s="558" t="s">
        <v>1352</v>
      </c>
      <c r="H1697" s="558" t="s">
        <v>3451</v>
      </c>
      <c r="I1697" s="679" t="s">
        <v>22</v>
      </c>
      <c r="J1697" s="676" t="s">
        <v>5873</v>
      </c>
      <c r="K1697" s="676">
        <v>57000</v>
      </c>
      <c r="M1697" t="str">
        <f>""</f>
        <v/>
      </c>
    </row>
    <row r="1698" spans="1:13" ht="15.75">
      <c r="A1698">
        <v>2022</v>
      </c>
      <c r="B1698" s="777">
        <v>44727</v>
      </c>
      <c r="C1698" s="730">
        <v>0.875</v>
      </c>
      <c r="D1698" s="777" t="s">
        <v>5873</v>
      </c>
      <c r="E1698" s="730" t="s">
        <v>5873</v>
      </c>
      <c r="F1698" s="558" t="s">
        <v>5389</v>
      </c>
      <c r="G1698" s="558" t="s">
        <v>5390</v>
      </c>
      <c r="H1698" s="558" t="s">
        <v>5373</v>
      </c>
      <c r="I1698" s="679" t="s">
        <v>22</v>
      </c>
      <c r="J1698" s="676">
        <v>90</v>
      </c>
      <c r="K1698" s="676">
        <v>57000</v>
      </c>
      <c r="M1698" t="str">
        <f>""</f>
        <v/>
      </c>
    </row>
    <row r="1699" spans="1:13" ht="15.75">
      <c r="A1699">
        <v>2022</v>
      </c>
      <c r="B1699" s="777">
        <v>44918</v>
      </c>
      <c r="C1699" s="730">
        <v>0.60416666666666663</v>
      </c>
      <c r="D1699" s="777" t="s">
        <v>5873</v>
      </c>
      <c r="E1699" s="730" t="s">
        <v>5873</v>
      </c>
      <c r="F1699" s="558" t="s">
        <v>2868</v>
      </c>
      <c r="G1699" s="558" t="s">
        <v>61</v>
      </c>
      <c r="H1699" s="558" t="s">
        <v>3451</v>
      </c>
      <c r="I1699" s="679" t="s">
        <v>22</v>
      </c>
      <c r="J1699" s="676" t="s">
        <v>5873</v>
      </c>
      <c r="K1699" s="676">
        <v>57000</v>
      </c>
      <c r="M1699" t="str">
        <f>""</f>
        <v/>
      </c>
    </row>
    <row r="1700" spans="1:13" ht="15.75">
      <c r="A1700">
        <v>2023</v>
      </c>
      <c r="B1700" s="777">
        <v>44980</v>
      </c>
      <c r="C1700" s="730">
        <v>0.1875</v>
      </c>
      <c r="D1700" s="777">
        <v>44980</v>
      </c>
      <c r="E1700" s="730">
        <v>0.54166666666666663</v>
      </c>
      <c r="F1700" s="558" t="s">
        <v>5754</v>
      </c>
      <c r="G1700" s="558" t="s">
        <v>674</v>
      </c>
      <c r="H1700" s="558" t="s">
        <v>2753</v>
      </c>
      <c r="I1700" s="679" t="s">
        <v>22</v>
      </c>
      <c r="J1700" s="676">
        <v>143</v>
      </c>
      <c r="K1700" s="676">
        <v>57000</v>
      </c>
      <c r="M1700" t="str">
        <f>""</f>
        <v/>
      </c>
    </row>
    <row r="1701" spans="1:13" ht="15.75">
      <c r="A1701">
        <v>2016</v>
      </c>
      <c r="B1701" s="777">
        <v>42516</v>
      </c>
      <c r="C1701" s="730">
        <v>0.89513888888888893</v>
      </c>
      <c r="D1701" s="777">
        <v>42517</v>
      </c>
      <c r="E1701" s="730">
        <v>2.7777777777777776E-2</v>
      </c>
      <c r="F1701" s="558" t="s">
        <v>2868</v>
      </c>
      <c r="G1701" s="558" t="s">
        <v>61</v>
      </c>
      <c r="H1701" s="558" t="s">
        <v>2753</v>
      </c>
      <c r="I1701" s="679" t="s">
        <v>2483</v>
      </c>
      <c r="J1701" s="676">
        <v>82</v>
      </c>
      <c r="K1701" s="676">
        <v>56645</v>
      </c>
      <c r="M1701" t="str">
        <f>""</f>
        <v/>
      </c>
    </row>
    <row r="1702" spans="1:13" ht="15.75">
      <c r="A1702">
        <v>2014</v>
      </c>
      <c r="B1702" s="777">
        <v>41828</v>
      </c>
      <c r="C1702" s="730">
        <v>0.89652777777777781</v>
      </c>
      <c r="D1702" s="777" t="s">
        <v>5873</v>
      </c>
      <c r="E1702" s="730" t="s">
        <v>5873</v>
      </c>
      <c r="F1702" s="558" t="s">
        <v>2123</v>
      </c>
      <c r="G1702" s="558" t="s">
        <v>826</v>
      </c>
      <c r="H1702" s="558" t="s">
        <v>5873</v>
      </c>
      <c r="I1702" s="679" t="s">
        <v>2368</v>
      </c>
      <c r="J1702" s="676" t="s">
        <v>5873</v>
      </c>
      <c r="K1702" s="676">
        <v>56600</v>
      </c>
      <c r="M1702" t="str">
        <f>""</f>
        <v/>
      </c>
    </row>
    <row r="1703" spans="1:13" ht="15.75">
      <c r="A1703">
        <v>2014</v>
      </c>
      <c r="B1703" s="777">
        <v>41795</v>
      </c>
      <c r="C1703" s="730">
        <v>0.54583333333333328</v>
      </c>
      <c r="D1703" s="777">
        <v>41795</v>
      </c>
      <c r="E1703" s="730">
        <v>0.54652777777777772</v>
      </c>
      <c r="F1703" s="558" t="s">
        <v>2698</v>
      </c>
      <c r="G1703" s="558" t="s">
        <v>63</v>
      </c>
      <c r="H1703" s="558" t="s">
        <v>5873</v>
      </c>
      <c r="I1703" s="679" t="s">
        <v>2368</v>
      </c>
      <c r="J1703" s="676" t="s">
        <v>5873</v>
      </c>
      <c r="K1703" s="676">
        <v>56475</v>
      </c>
      <c r="M1703" t="str">
        <f>""</f>
        <v/>
      </c>
    </row>
    <row r="1704" spans="1:13" ht="15.75">
      <c r="A1704">
        <v>2019</v>
      </c>
      <c r="B1704" s="777">
        <v>43640</v>
      </c>
      <c r="C1704" s="730">
        <v>0.22916666666666666</v>
      </c>
      <c r="D1704" s="777">
        <v>43640</v>
      </c>
      <c r="E1704" s="730">
        <v>0.36458333333333331</v>
      </c>
      <c r="F1704" s="558" t="s">
        <v>3405</v>
      </c>
      <c r="G1704" s="558" t="s">
        <v>3347</v>
      </c>
      <c r="H1704" s="558" t="s">
        <v>3451</v>
      </c>
      <c r="I1704" s="679" t="s">
        <v>22</v>
      </c>
      <c r="J1704" s="676" t="s">
        <v>5873</v>
      </c>
      <c r="K1704" s="676">
        <v>56451</v>
      </c>
      <c r="M1704" t="str">
        <f>""</f>
        <v/>
      </c>
    </row>
    <row r="1705" spans="1:13" ht="15.75">
      <c r="A1705">
        <v>2013</v>
      </c>
      <c r="B1705" s="777">
        <v>41331</v>
      </c>
      <c r="C1705" s="730">
        <v>0.54166666666666663</v>
      </c>
      <c r="D1705" s="777">
        <v>41334</v>
      </c>
      <c r="E1705" s="730">
        <v>0.41666666666666669</v>
      </c>
      <c r="F1705" s="558" t="s">
        <v>2506</v>
      </c>
      <c r="G1705" s="558" t="s">
        <v>63</v>
      </c>
      <c r="H1705" s="558" t="s">
        <v>5873</v>
      </c>
      <c r="I1705" s="679" t="s">
        <v>2496</v>
      </c>
      <c r="J1705" s="676" t="s">
        <v>5873</v>
      </c>
      <c r="K1705" s="676">
        <v>56444</v>
      </c>
      <c r="M1705" t="str">
        <f>""</f>
        <v/>
      </c>
    </row>
    <row r="1706" spans="1:13" ht="15.75">
      <c r="A1706">
        <v>2018</v>
      </c>
      <c r="B1706" s="777">
        <v>43204</v>
      </c>
      <c r="C1706" s="730">
        <v>0.39583333333333331</v>
      </c>
      <c r="D1706" s="777">
        <v>43204</v>
      </c>
      <c r="E1706" s="730">
        <v>0.41666666666666669</v>
      </c>
      <c r="F1706" s="558" t="s">
        <v>3303</v>
      </c>
      <c r="G1706" s="558" t="s">
        <v>63</v>
      </c>
      <c r="H1706" s="558" t="s">
        <v>2753</v>
      </c>
      <c r="I1706" s="679" t="s">
        <v>22</v>
      </c>
      <c r="J1706" s="676" t="s">
        <v>5873</v>
      </c>
      <c r="K1706" s="676">
        <v>56350</v>
      </c>
      <c r="M1706" t="str">
        <f>""</f>
        <v/>
      </c>
    </row>
    <row r="1707" spans="1:13" ht="15.75">
      <c r="A1707">
        <v>2011</v>
      </c>
      <c r="B1707" s="777">
        <v>40706</v>
      </c>
      <c r="C1707" s="730">
        <v>0.79166666666666663</v>
      </c>
      <c r="D1707" s="777">
        <v>40706</v>
      </c>
      <c r="E1707" s="730">
        <v>0.85416666666666663</v>
      </c>
      <c r="F1707" s="558" t="s">
        <v>2004</v>
      </c>
      <c r="G1707" s="558" t="s">
        <v>826</v>
      </c>
      <c r="H1707" s="558" t="s">
        <v>5873</v>
      </c>
      <c r="I1707" s="679" t="s">
        <v>106</v>
      </c>
      <c r="J1707" s="676">
        <v>250</v>
      </c>
      <c r="K1707" s="676">
        <v>56000</v>
      </c>
      <c r="M1707" t="str">
        <f>""</f>
        <v/>
      </c>
    </row>
    <row r="1708" spans="1:13" ht="15.75">
      <c r="A1708">
        <v>2011</v>
      </c>
      <c r="B1708" s="777">
        <v>40715</v>
      </c>
      <c r="C1708" s="730">
        <v>0.77083333333333337</v>
      </c>
      <c r="D1708" s="777">
        <v>40716</v>
      </c>
      <c r="E1708" s="730">
        <v>0.29166666666666669</v>
      </c>
      <c r="F1708" s="558" t="s">
        <v>2229</v>
      </c>
      <c r="G1708" s="558" t="s">
        <v>826</v>
      </c>
      <c r="H1708" s="558" t="s">
        <v>5873</v>
      </c>
      <c r="I1708" s="679" t="s">
        <v>22</v>
      </c>
      <c r="J1708" s="676" t="s">
        <v>5873</v>
      </c>
      <c r="K1708" s="676">
        <v>56000</v>
      </c>
      <c r="M1708" t="str">
        <f>""</f>
        <v/>
      </c>
    </row>
    <row r="1709" spans="1:13" ht="15.75">
      <c r="A1709">
        <v>2014</v>
      </c>
      <c r="B1709" s="777">
        <v>41768</v>
      </c>
      <c r="C1709" s="730">
        <v>0.75</v>
      </c>
      <c r="D1709" s="777">
        <v>41770</v>
      </c>
      <c r="E1709" s="730">
        <v>0.54166666666666663</v>
      </c>
      <c r="F1709" s="558" t="s">
        <v>1470</v>
      </c>
      <c r="G1709" s="558" t="s">
        <v>826</v>
      </c>
      <c r="H1709" s="558" t="s">
        <v>5873</v>
      </c>
      <c r="I1709" s="679" t="s">
        <v>2615</v>
      </c>
      <c r="J1709" s="676" t="s">
        <v>5873</v>
      </c>
      <c r="K1709" s="676">
        <v>56000</v>
      </c>
      <c r="M1709" t="str">
        <f>""</f>
        <v/>
      </c>
    </row>
    <row r="1710" spans="1:13" ht="15.75">
      <c r="A1710">
        <v>2016</v>
      </c>
      <c r="B1710" s="777">
        <v>42430</v>
      </c>
      <c r="C1710" s="730">
        <v>0.625</v>
      </c>
      <c r="D1710" s="777" t="s">
        <v>5873</v>
      </c>
      <c r="E1710" s="730" t="s">
        <v>5873</v>
      </c>
      <c r="F1710" s="558" t="s">
        <v>2848</v>
      </c>
      <c r="G1710" s="558" t="s">
        <v>124</v>
      </c>
      <c r="H1710" s="558" t="s">
        <v>2753</v>
      </c>
      <c r="I1710" s="679" t="s">
        <v>2828</v>
      </c>
      <c r="J1710" s="676" t="s">
        <v>5873</v>
      </c>
      <c r="K1710" s="676">
        <v>56000</v>
      </c>
      <c r="M1710" t="str">
        <f>""</f>
        <v/>
      </c>
    </row>
    <row r="1711" spans="1:13" ht="15.75">
      <c r="A1711">
        <v>2018</v>
      </c>
      <c r="B1711" s="777">
        <v>43224</v>
      </c>
      <c r="C1711" s="730">
        <v>0.96527777777777779</v>
      </c>
      <c r="D1711" s="777">
        <v>43225</v>
      </c>
      <c r="E1711" s="730">
        <v>2.7777777777777776E-2</v>
      </c>
      <c r="F1711" s="558" t="s">
        <v>3317</v>
      </c>
      <c r="G1711" s="558" t="s">
        <v>61</v>
      </c>
      <c r="H1711" s="558" t="s">
        <v>2753</v>
      </c>
      <c r="I1711" s="679" t="s">
        <v>22</v>
      </c>
      <c r="J1711" s="676" t="s">
        <v>5873</v>
      </c>
      <c r="K1711" s="676">
        <v>56000</v>
      </c>
      <c r="M1711" t="str">
        <f>""</f>
        <v/>
      </c>
    </row>
    <row r="1712" spans="1:13" ht="15.75">
      <c r="A1712">
        <v>2014</v>
      </c>
      <c r="B1712" s="777">
        <v>41805</v>
      </c>
      <c r="C1712" s="730">
        <v>0</v>
      </c>
      <c r="D1712" s="777">
        <v>41805</v>
      </c>
      <c r="E1712" s="730">
        <v>4.1666666666666664E-2</v>
      </c>
      <c r="F1712" s="558" t="s">
        <v>2703</v>
      </c>
      <c r="G1712" s="558" t="s">
        <v>674</v>
      </c>
      <c r="H1712" s="558" t="s">
        <v>5873</v>
      </c>
      <c r="I1712" s="679" t="s">
        <v>2368</v>
      </c>
      <c r="J1712" s="676" t="s">
        <v>5873</v>
      </c>
      <c r="K1712" s="676">
        <v>55951</v>
      </c>
      <c r="M1712" t="str">
        <f>""</f>
        <v/>
      </c>
    </row>
    <row r="1713" spans="1:13" ht="15.75">
      <c r="A1713">
        <v>2019</v>
      </c>
      <c r="B1713" s="777">
        <v>43659</v>
      </c>
      <c r="C1713" s="730">
        <v>0.30208333333333331</v>
      </c>
      <c r="D1713" s="777">
        <v>43660</v>
      </c>
      <c r="E1713" s="730">
        <v>0.70833333333333337</v>
      </c>
      <c r="F1713" s="558" t="s">
        <v>2866</v>
      </c>
      <c r="G1713" s="558" t="s">
        <v>63</v>
      </c>
      <c r="H1713" s="558" t="s">
        <v>3451</v>
      </c>
      <c r="I1713" s="679" t="s">
        <v>22</v>
      </c>
      <c r="J1713" s="676" t="s">
        <v>5873</v>
      </c>
      <c r="K1713" s="676">
        <v>55730</v>
      </c>
      <c r="M1713" t="str">
        <f>""</f>
        <v/>
      </c>
    </row>
    <row r="1714" spans="1:13" ht="15.75">
      <c r="A1714">
        <v>2015</v>
      </c>
      <c r="B1714" s="777">
        <v>42295</v>
      </c>
      <c r="C1714" s="730">
        <v>0.29166666666666669</v>
      </c>
      <c r="D1714" s="777">
        <v>42295</v>
      </c>
      <c r="E1714" s="730">
        <v>0.97847222222222219</v>
      </c>
      <c r="F1714" s="558" t="s">
        <v>2805</v>
      </c>
      <c r="G1714" s="558" t="s">
        <v>124</v>
      </c>
      <c r="H1714" s="558" t="s">
        <v>2753</v>
      </c>
      <c r="I1714" s="679" t="s">
        <v>22</v>
      </c>
      <c r="J1714" s="676">
        <v>88</v>
      </c>
      <c r="K1714" s="676">
        <v>55677</v>
      </c>
      <c r="M1714" t="str">
        <f>""</f>
        <v/>
      </c>
    </row>
    <row r="1715" spans="1:13" ht="15.75">
      <c r="A1715">
        <v>2015</v>
      </c>
      <c r="B1715" s="777">
        <v>42336</v>
      </c>
      <c r="C1715" s="730">
        <v>0.25</v>
      </c>
      <c r="D1715" s="777">
        <v>42338</v>
      </c>
      <c r="E1715" s="730">
        <v>0.54166666666666663</v>
      </c>
      <c r="F1715" s="558" t="s">
        <v>10</v>
      </c>
      <c r="G1715" s="558" t="s">
        <v>58</v>
      </c>
      <c r="H1715" s="558" t="s">
        <v>2753</v>
      </c>
      <c r="I1715" s="679" t="s">
        <v>22</v>
      </c>
      <c r="J1715" s="676" t="s">
        <v>5873</v>
      </c>
      <c r="K1715" s="676">
        <v>55609</v>
      </c>
      <c r="M1715" t="str">
        <f>""</f>
        <v/>
      </c>
    </row>
    <row r="1716" spans="1:13" ht="15.75">
      <c r="A1716">
        <v>2020</v>
      </c>
      <c r="B1716" s="777">
        <v>44127</v>
      </c>
      <c r="C1716" s="730">
        <v>0.65694444444444444</v>
      </c>
      <c r="D1716" s="777">
        <v>44127</v>
      </c>
      <c r="E1716" s="730">
        <v>0.9604166666666667</v>
      </c>
      <c r="F1716" s="558" t="s">
        <v>2809</v>
      </c>
      <c r="G1716" s="558" t="s">
        <v>1352</v>
      </c>
      <c r="H1716" s="558" t="s">
        <v>3451</v>
      </c>
      <c r="I1716" s="679" t="s">
        <v>22</v>
      </c>
      <c r="J1716" s="676" t="s">
        <v>5873</v>
      </c>
      <c r="K1716" s="676">
        <v>55506</v>
      </c>
      <c r="M1716" t="str">
        <f>""</f>
        <v/>
      </c>
    </row>
    <row r="1717" spans="1:13" ht="15.75">
      <c r="A1717">
        <v>2020</v>
      </c>
      <c r="B1717" s="777">
        <v>43944</v>
      </c>
      <c r="C1717" s="730">
        <v>0.1875</v>
      </c>
      <c r="D1717" s="777">
        <v>43944</v>
      </c>
      <c r="E1717" s="730">
        <v>0.29166666666666669</v>
      </c>
      <c r="F1717" s="558" t="s">
        <v>4221</v>
      </c>
      <c r="G1717" s="558" t="s">
        <v>63</v>
      </c>
      <c r="H1717" s="558" t="s">
        <v>3451</v>
      </c>
      <c r="I1717" s="679" t="s">
        <v>22</v>
      </c>
      <c r="J1717" s="676" t="s">
        <v>5873</v>
      </c>
      <c r="K1717" s="676">
        <v>55184</v>
      </c>
      <c r="M1717" t="str">
        <f>""</f>
        <v/>
      </c>
    </row>
    <row r="1718" spans="1:13" ht="15.75">
      <c r="A1718">
        <v>2021</v>
      </c>
      <c r="B1718" s="777">
        <v>44240</v>
      </c>
      <c r="C1718" s="730">
        <v>0.5625</v>
      </c>
      <c r="D1718" s="777">
        <v>44246</v>
      </c>
      <c r="E1718" s="730">
        <v>0.875</v>
      </c>
      <c r="F1718" s="558" t="s">
        <v>4713</v>
      </c>
      <c r="G1718" s="558" t="s">
        <v>3143</v>
      </c>
      <c r="H1718" s="558" t="s">
        <v>3451</v>
      </c>
      <c r="I1718" s="679" t="s">
        <v>22</v>
      </c>
      <c r="J1718" s="676" t="s">
        <v>5873</v>
      </c>
      <c r="K1718" s="676">
        <v>55097</v>
      </c>
      <c r="M1718" t="str">
        <f>""</f>
        <v/>
      </c>
    </row>
    <row r="1719" spans="1:13" ht="15.75">
      <c r="A1719">
        <v>2019</v>
      </c>
      <c r="B1719" s="777">
        <v>43622</v>
      </c>
      <c r="C1719" s="730">
        <v>0.75624999999999998</v>
      </c>
      <c r="D1719" s="777">
        <v>43622</v>
      </c>
      <c r="E1719" s="730">
        <v>0.77430555555555558</v>
      </c>
      <c r="F1719" s="558" t="s">
        <v>3162</v>
      </c>
      <c r="G1719" s="558" t="s">
        <v>1352</v>
      </c>
      <c r="H1719" s="558" t="s">
        <v>3451</v>
      </c>
      <c r="I1719" s="679" t="s">
        <v>22</v>
      </c>
      <c r="J1719" s="676" t="s">
        <v>5873</v>
      </c>
      <c r="K1719" s="676">
        <v>55017</v>
      </c>
      <c r="M1719" t="str">
        <f>""</f>
        <v/>
      </c>
    </row>
    <row r="1720" spans="1:13" ht="15.75">
      <c r="A1720" s="728">
        <v>2010</v>
      </c>
      <c r="B1720" s="777">
        <v>40234</v>
      </c>
      <c r="C1720" s="730">
        <v>0.70833333333333337</v>
      </c>
      <c r="D1720" s="777">
        <v>40239</v>
      </c>
      <c r="E1720" s="730">
        <v>0.79166666666666663</v>
      </c>
      <c r="F1720" s="558" t="s">
        <v>1892</v>
      </c>
      <c r="G1720" s="558" t="s">
        <v>61</v>
      </c>
      <c r="H1720" s="558" t="s">
        <v>5873</v>
      </c>
      <c r="I1720" s="679" t="s">
        <v>40</v>
      </c>
      <c r="J1720" s="676" t="s">
        <v>5873</v>
      </c>
      <c r="K1720" s="676">
        <v>55000</v>
      </c>
      <c r="M1720" t="str">
        <f>""</f>
        <v/>
      </c>
    </row>
    <row r="1721" spans="1:13" ht="15.75">
      <c r="A1721" s="728">
        <v>2010</v>
      </c>
      <c r="B1721" s="777">
        <v>40388</v>
      </c>
      <c r="C1721" s="730">
        <v>0.73819444444444449</v>
      </c>
      <c r="D1721" s="777">
        <v>40388</v>
      </c>
      <c r="E1721" s="730">
        <v>0.83819444444444446</v>
      </c>
      <c r="F1721" s="558" t="s">
        <v>2004</v>
      </c>
      <c r="G1721" s="558" t="s">
        <v>63</v>
      </c>
      <c r="H1721" s="558" t="s">
        <v>5873</v>
      </c>
      <c r="I1721" s="679" t="s">
        <v>381</v>
      </c>
      <c r="J1721" s="676" t="s">
        <v>5873</v>
      </c>
      <c r="K1721" s="676">
        <v>55000</v>
      </c>
      <c r="M1721" t="str">
        <f>""</f>
        <v/>
      </c>
    </row>
    <row r="1722" spans="1:13" ht="15.75">
      <c r="A1722">
        <v>2011</v>
      </c>
      <c r="B1722" s="777">
        <v>40655</v>
      </c>
      <c r="C1722" s="730">
        <v>0.875</v>
      </c>
      <c r="D1722" s="777">
        <v>40655</v>
      </c>
      <c r="E1722" s="730">
        <v>0.95833333333333337</v>
      </c>
      <c r="F1722" s="558" t="s">
        <v>2179</v>
      </c>
      <c r="G1722" s="558" t="s">
        <v>63</v>
      </c>
      <c r="H1722" s="558" t="s">
        <v>5873</v>
      </c>
      <c r="I1722" s="679" t="s">
        <v>22</v>
      </c>
      <c r="J1722" s="676">
        <v>0</v>
      </c>
      <c r="K1722" s="676">
        <v>55000</v>
      </c>
      <c r="M1722" t="str">
        <f>""</f>
        <v/>
      </c>
    </row>
    <row r="1723" spans="1:13" ht="15.75">
      <c r="A1723">
        <v>2011</v>
      </c>
      <c r="B1723" s="777">
        <v>40659</v>
      </c>
      <c r="C1723" s="730">
        <v>0.41041666666666665</v>
      </c>
      <c r="D1723" s="777">
        <v>40661</v>
      </c>
      <c r="E1723" s="730">
        <v>0.41041666666666665</v>
      </c>
      <c r="F1723" s="558" t="s">
        <v>2182</v>
      </c>
      <c r="G1723" s="558" t="s">
        <v>63</v>
      </c>
      <c r="H1723" s="558" t="s">
        <v>5873</v>
      </c>
      <c r="I1723" s="679" t="s">
        <v>22</v>
      </c>
      <c r="J1723" s="676" t="s">
        <v>5873</v>
      </c>
      <c r="K1723" s="676">
        <v>55000</v>
      </c>
      <c r="M1723" t="str">
        <f>""</f>
        <v/>
      </c>
    </row>
    <row r="1724" spans="1:13" ht="15.75">
      <c r="A1724">
        <v>2018</v>
      </c>
      <c r="B1724" s="777">
        <v>43383</v>
      </c>
      <c r="C1724" s="730">
        <v>0.66666666666666663</v>
      </c>
      <c r="D1724" s="777">
        <v>43392</v>
      </c>
      <c r="E1724" s="730">
        <v>0.25</v>
      </c>
      <c r="F1724" s="558" t="s">
        <v>2901</v>
      </c>
      <c r="G1724" s="558" t="s">
        <v>301</v>
      </c>
      <c r="H1724" s="558" t="s">
        <v>2753</v>
      </c>
      <c r="I1724" s="679" t="s">
        <v>22</v>
      </c>
      <c r="J1724" s="676">
        <v>330</v>
      </c>
      <c r="K1724" s="676">
        <v>55000</v>
      </c>
      <c r="M1724" t="str">
        <f>""</f>
        <v/>
      </c>
    </row>
    <row r="1725" spans="1:13" ht="15.75">
      <c r="A1725">
        <v>2018</v>
      </c>
      <c r="B1725" s="777">
        <v>43419</v>
      </c>
      <c r="C1725" s="730">
        <v>0.22777777777777777</v>
      </c>
      <c r="D1725" s="777">
        <v>43419</v>
      </c>
      <c r="E1725" s="730">
        <v>0.3576388888888889</v>
      </c>
      <c r="F1725" s="558" t="s">
        <v>3561</v>
      </c>
      <c r="G1725" s="558" t="s">
        <v>3143</v>
      </c>
      <c r="H1725" s="558" t="s">
        <v>3451</v>
      </c>
      <c r="I1725" s="679" t="s">
        <v>22</v>
      </c>
      <c r="J1725" s="676" t="s">
        <v>5873</v>
      </c>
      <c r="K1725" s="676">
        <v>55000</v>
      </c>
      <c r="M1725" t="str">
        <f>""</f>
        <v/>
      </c>
    </row>
    <row r="1726" spans="1:13" ht="15.75">
      <c r="A1726">
        <v>2019</v>
      </c>
      <c r="B1726" s="777">
        <v>43669</v>
      </c>
      <c r="C1726" s="730">
        <v>0.65208333333333335</v>
      </c>
      <c r="D1726" s="777">
        <v>43669</v>
      </c>
      <c r="E1726" s="730">
        <v>0.79166666666666663</v>
      </c>
      <c r="F1726" s="558" t="s">
        <v>3335</v>
      </c>
      <c r="G1726" s="558" t="s">
        <v>61</v>
      </c>
      <c r="H1726" s="558" t="s">
        <v>3451</v>
      </c>
      <c r="I1726" s="679" t="s">
        <v>22</v>
      </c>
      <c r="J1726" s="676">
        <v>54</v>
      </c>
      <c r="K1726" s="676">
        <v>54535</v>
      </c>
      <c r="M1726" t="str">
        <f>""</f>
        <v/>
      </c>
    </row>
    <row r="1727" spans="1:13" ht="15.75">
      <c r="A1727">
        <v>2015</v>
      </c>
      <c r="B1727" s="777">
        <v>42365</v>
      </c>
      <c r="C1727" s="730">
        <v>0.98472222222222228</v>
      </c>
      <c r="D1727" s="777">
        <v>42366</v>
      </c>
      <c r="E1727" s="730">
        <v>0.70833333333333337</v>
      </c>
      <c r="F1727" s="558" t="s">
        <v>10</v>
      </c>
      <c r="G1727" s="558" t="s">
        <v>58</v>
      </c>
      <c r="H1727" s="558" t="s">
        <v>2753</v>
      </c>
      <c r="I1727" s="679" t="s">
        <v>22</v>
      </c>
      <c r="J1727" s="676" t="s">
        <v>5873</v>
      </c>
      <c r="K1727" s="676">
        <v>54476</v>
      </c>
      <c r="M1727" t="str">
        <f>""</f>
        <v/>
      </c>
    </row>
    <row r="1728" spans="1:13" ht="15.75">
      <c r="A1728">
        <v>2011</v>
      </c>
      <c r="B1728" s="777">
        <v>40623</v>
      </c>
      <c r="C1728" s="730">
        <v>0.52430555555555558</v>
      </c>
      <c r="D1728" s="777">
        <v>40623</v>
      </c>
      <c r="E1728" s="730">
        <v>0.61458333333333337</v>
      </c>
      <c r="F1728" s="558" t="s">
        <v>703</v>
      </c>
      <c r="G1728" s="558" t="s">
        <v>124</v>
      </c>
      <c r="H1728" s="558" t="s">
        <v>5873</v>
      </c>
      <c r="I1728" s="679" t="s">
        <v>1096</v>
      </c>
      <c r="J1728" s="676">
        <v>150</v>
      </c>
      <c r="K1728" s="676">
        <v>54332</v>
      </c>
      <c r="M1728" t="str">
        <f>""</f>
        <v/>
      </c>
    </row>
    <row r="1729" spans="1:13" ht="15.75">
      <c r="A1729">
        <v>2017</v>
      </c>
      <c r="B1729" s="777">
        <v>42796</v>
      </c>
      <c r="C1729" s="730">
        <v>0.51388888888888884</v>
      </c>
      <c r="D1729" s="777">
        <v>42796</v>
      </c>
      <c r="E1729" s="730">
        <v>0.98958333333333337</v>
      </c>
      <c r="F1729" s="558" t="s">
        <v>2984</v>
      </c>
      <c r="G1729" s="558" t="s">
        <v>61</v>
      </c>
      <c r="H1729" s="558" t="s">
        <v>2753</v>
      </c>
      <c r="I1729" s="679" t="s">
        <v>22</v>
      </c>
      <c r="J1729" s="676" t="s">
        <v>5873</v>
      </c>
      <c r="K1729" s="676">
        <v>54316</v>
      </c>
      <c r="M1729" t="str">
        <f>""</f>
        <v/>
      </c>
    </row>
    <row r="1730" spans="1:13" ht="15.75">
      <c r="A1730">
        <v>2019</v>
      </c>
      <c r="B1730" s="777">
        <v>43537</v>
      </c>
      <c r="C1730" s="730">
        <v>0.66041666666666665</v>
      </c>
      <c r="D1730" s="777">
        <v>43540</v>
      </c>
      <c r="E1730" s="730">
        <v>0.75</v>
      </c>
      <c r="F1730" s="558" t="s">
        <v>2919</v>
      </c>
      <c r="G1730" s="558" t="s">
        <v>1352</v>
      </c>
      <c r="H1730" s="558" t="s">
        <v>3451</v>
      </c>
      <c r="I1730" s="679" t="s">
        <v>2990</v>
      </c>
      <c r="J1730" s="676">
        <v>50</v>
      </c>
      <c r="K1730" s="676">
        <v>54290</v>
      </c>
      <c r="M1730" t="str">
        <f>""</f>
        <v/>
      </c>
    </row>
    <row r="1731" spans="1:13" ht="15.75">
      <c r="A1731">
        <v>2021</v>
      </c>
      <c r="B1731" s="777">
        <v>44243</v>
      </c>
      <c r="C1731" s="730">
        <v>4.1666666666666664E-2</v>
      </c>
      <c r="D1731" s="777">
        <v>44243</v>
      </c>
      <c r="E1731" s="730">
        <v>0.89444444444444449</v>
      </c>
      <c r="F1731" s="558" t="s">
        <v>3354</v>
      </c>
      <c r="G1731" s="558" t="s">
        <v>63</v>
      </c>
      <c r="H1731" s="558" t="s">
        <v>3451</v>
      </c>
      <c r="I1731" s="679" t="s">
        <v>22</v>
      </c>
      <c r="J1731" s="676" t="s">
        <v>5873</v>
      </c>
      <c r="K1731" s="676">
        <v>54167</v>
      </c>
      <c r="M1731" t="str">
        <f>""</f>
        <v/>
      </c>
    </row>
    <row r="1732" spans="1:13" ht="15.75">
      <c r="A1732">
        <v>2023</v>
      </c>
      <c r="B1732" s="777">
        <v>45136</v>
      </c>
      <c r="C1732" s="532">
        <v>0.68402777777777779</v>
      </c>
      <c r="D1732" s="678">
        <v>45136</v>
      </c>
      <c r="E1732" s="532">
        <v>0.68611111111111112</v>
      </c>
      <c r="F1732" t="s">
        <v>5605</v>
      </c>
      <c r="G1732" t="s">
        <v>3143</v>
      </c>
      <c r="H1732" t="s">
        <v>3451</v>
      </c>
      <c r="I1732" s="677" t="s">
        <v>5883</v>
      </c>
      <c r="J1732" s="785" t="s">
        <v>5873</v>
      </c>
      <c r="K1732" s="783">
        <v>54158</v>
      </c>
      <c r="M1732" t="str">
        <f>""</f>
        <v/>
      </c>
    </row>
    <row r="1733" spans="1:13" ht="15.75">
      <c r="A1733">
        <v>2023</v>
      </c>
      <c r="B1733" s="777" t="s">
        <v>5873</v>
      </c>
      <c r="C1733" s="532">
        <v>0.68402777777777779</v>
      </c>
      <c r="D1733" s="678">
        <v>45136</v>
      </c>
      <c r="E1733" s="532">
        <v>0.68611111111111112</v>
      </c>
      <c r="F1733" t="s">
        <v>5605</v>
      </c>
      <c r="G1733" t="s">
        <v>3143</v>
      </c>
      <c r="H1733" t="s">
        <v>3451</v>
      </c>
      <c r="I1733" s="677" t="s">
        <v>5883</v>
      </c>
      <c r="J1733" s="785" t="s">
        <v>5873</v>
      </c>
      <c r="K1733" s="783">
        <v>54158</v>
      </c>
      <c r="M1733" t="str">
        <f>""</f>
        <v/>
      </c>
    </row>
    <row r="1734" spans="1:13" ht="15.75">
      <c r="A1734">
        <v>2022</v>
      </c>
      <c r="B1734" s="777">
        <v>44895</v>
      </c>
      <c r="C1734" s="730">
        <v>0.14930555555555555</v>
      </c>
      <c r="D1734" s="777">
        <v>44895</v>
      </c>
      <c r="E1734" s="730">
        <v>0.38194444444444442</v>
      </c>
      <c r="F1734" s="558" t="s">
        <v>5614</v>
      </c>
      <c r="G1734" s="558" t="s">
        <v>63</v>
      </c>
      <c r="H1734" s="558" t="s">
        <v>2753</v>
      </c>
      <c r="I1734" s="679" t="s">
        <v>22</v>
      </c>
      <c r="J1734" s="676">
        <v>386</v>
      </c>
      <c r="K1734" s="676">
        <v>54110</v>
      </c>
      <c r="M1734" t="str">
        <f>""</f>
        <v/>
      </c>
    </row>
    <row r="1735" spans="1:13" ht="15.75">
      <c r="A1735">
        <v>2019</v>
      </c>
      <c r="B1735" s="777">
        <v>43581</v>
      </c>
      <c r="C1735" s="730">
        <v>0.74027777777777781</v>
      </c>
      <c r="D1735" s="777">
        <v>43582</v>
      </c>
      <c r="E1735" s="730">
        <v>0.49236111111111114</v>
      </c>
      <c r="F1735" s="558" t="s">
        <v>2832</v>
      </c>
      <c r="G1735" s="558" t="s">
        <v>63</v>
      </c>
      <c r="H1735" s="558" t="s">
        <v>3451</v>
      </c>
      <c r="I1735" s="679" t="s">
        <v>22</v>
      </c>
      <c r="J1735" s="676" t="s">
        <v>5873</v>
      </c>
      <c r="K1735" s="676">
        <v>54071</v>
      </c>
      <c r="M1735" t="str">
        <f>""</f>
        <v/>
      </c>
    </row>
    <row r="1736" spans="1:13" ht="15.75">
      <c r="A1736">
        <v>2011</v>
      </c>
      <c r="B1736" s="777">
        <v>40687</v>
      </c>
      <c r="C1736" s="730">
        <v>0.69791666666666663</v>
      </c>
      <c r="D1736" s="777">
        <v>40689</v>
      </c>
      <c r="E1736" s="730">
        <v>0.70833333333333337</v>
      </c>
      <c r="F1736" s="558" t="s">
        <v>2206</v>
      </c>
      <c r="G1736" s="558" t="s">
        <v>58</v>
      </c>
      <c r="H1736" s="558" t="s">
        <v>5873</v>
      </c>
      <c r="I1736" s="679" t="s">
        <v>22</v>
      </c>
      <c r="J1736" s="676" t="s">
        <v>5873</v>
      </c>
      <c r="K1736" s="676">
        <v>54000</v>
      </c>
      <c r="M1736" t="str">
        <f>""</f>
        <v/>
      </c>
    </row>
    <row r="1737" spans="1:13" ht="15.75">
      <c r="A1737">
        <v>2011</v>
      </c>
      <c r="B1737" s="777">
        <v>40763</v>
      </c>
      <c r="C1737" s="730">
        <v>0.87361111111111112</v>
      </c>
      <c r="D1737" s="777">
        <v>40765</v>
      </c>
      <c r="E1737" s="730">
        <v>0.6875</v>
      </c>
      <c r="F1737" s="558" t="s">
        <v>2268</v>
      </c>
      <c r="G1737" s="558" t="s">
        <v>58</v>
      </c>
      <c r="H1737" s="558" t="s">
        <v>5873</v>
      </c>
      <c r="I1737" s="679" t="s">
        <v>22</v>
      </c>
      <c r="J1737" s="676" t="s">
        <v>5873</v>
      </c>
      <c r="K1737" s="676">
        <v>54000</v>
      </c>
      <c r="M1737" t="str">
        <f>""</f>
        <v/>
      </c>
    </row>
    <row r="1738" spans="1:13" ht="15.75">
      <c r="A1738">
        <v>2019</v>
      </c>
      <c r="B1738" s="777">
        <v>43719</v>
      </c>
      <c r="C1738" s="730">
        <v>0.94097222222222221</v>
      </c>
      <c r="D1738" s="777">
        <v>43719</v>
      </c>
      <c r="E1738" s="730">
        <v>0.99930555555555556</v>
      </c>
      <c r="F1738" s="558" t="s">
        <v>3951</v>
      </c>
      <c r="G1738" s="558" t="s">
        <v>3143</v>
      </c>
      <c r="H1738" s="558" t="s">
        <v>3451</v>
      </c>
      <c r="I1738" s="679" t="s">
        <v>22</v>
      </c>
      <c r="J1738" s="676" t="s">
        <v>5873</v>
      </c>
      <c r="K1738" s="676">
        <v>54000</v>
      </c>
      <c r="M1738" t="str">
        <f>""</f>
        <v/>
      </c>
    </row>
    <row r="1739" spans="1:13" ht="15.75">
      <c r="A1739">
        <v>2019</v>
      </c>
      <c r="B1739" s="777">
        <v>43789</v>
      </c>
      <c r="C1739" s="730">
        <v>0.40902777777777777</v>
      </c>
      <c r="D1739" s="777">
        <v>43789</v>
      </c>
      <c r="E1739" s="730">
        <v>0.63888888888888884</v>
      </c>
      <c r="F1739" s="558" t="s">
        <v>4029</v>
      </c>
      <c r="G1739" s="558" t="s">
        <v>124</v>
      </c>
      <c r="H1739" s="558" t="s">
        <v>3451</v>
      </c>
      <c r="I1739" s="679" t="s">
        <v>2990</v>
      </c>
      <c r="J1739" s="676">
        <v>178</v>
      </c>
      <c r="K1739" s="676">
        <v>54000</v>
      </c>
      <c r="M1739" t="str">
        <f>""</f>
        <v/>
      </c>
    </row>
    <row r="1740" spans="1:13" ht="15.75">
      <c r="A1740">
        <v>2020</v>
      </c>
      <c r="B1740" s="777">
        <v>43975</v>
      </c>
      <c r="C1740" s="730">
        <v>0.69791666666666663</v>
      </c>
      <c r="D1740" s="777" t="s">
        <v>5873</v>
      </c>
      <c r="E1740" s="730" t="s">
        <v>5873</v>
      </c>
      <c r="F1740" s="558" t="s">
        <v>2206</v>
      </c>
      <c r="G1740" s="558" t="s">
        <v>3347</v>
      </c>
      <c r="H1740" s="558" t="s">
        <v>3451</v>
      </c>
      <c r="I1740" s="679" t="s">
        <v>22</v>
      </c>
      <c r="J1740" s="676" t="s">
        <v>5873</v>
      </c>
      <c r="K1740" s="676">
        <v>54000</v>
      </c>
      <c r="M1740" t="str">
        <f>""</f>
        <v/>
      </c>
    </row>
    <row r="1741" spans="1:13" ht="15.75">
      <c r="A1741">
        <v>2023</v>
      </c>
      <c r="B1741" s="777">
        <v>45047</v>
      </c>
      <c r="C1741" s="730">
        <v>0.21944444444444444</v>
      </c>
      <c r="D1741" s="777">
        <v>45047</v>
      </c>
      <c r="E1741" s="730">
        <v>0.39652777777777776</v>
      </c>
      <c r="F1741" s="558" t="s">
        <v>4158</v>
      </c>
      <c r="G1741" s="558" t="s">
        <v>61</v>
      </c>
      <c r="H1741" s="558" t="s">
        <v>2753</v>
      </c>
      <c r="I1741" s="679" t="s">
        <v>22</v>
      </c>
      <c r="J1741" s="676" t="s">
        <v>5873</v>
      </c>
      <c r="K1741" s="676">
        <v>54000</v>
      </c>
      <c r="M1741" t="str">
        <f>""</f>
        <v/>
      </c>
    </row>
    <row r="1742" spans="1:13" ht="15.75">
      <c r="A1742">
        <v>2019</v>
      </c>
      <c r="B1742" s="777">
        <v>43769</v>
      </c>
      <c r="C1742" s="730">
        <v>0.91666666666666663</v>
      </c>
      <c r="D1742" s="777" t="s">
        <v>5873</v>
      </c>
      <c r="E1742" s="730" t="s">
        <v>5873</v>
      </c>
      <c r="F1742" s="558" t="s">
        <v>3245</v>
      </c>
      <c r="G1742" s="558" t="s">
        <v>3143</v>
      </c>
      <c r="H1742" s="558" t="s">
        <v>3451</v>
      </c>
      <c r="I1742" s="679" t="s">
        <v>3768</v>
      </c>
      <c r="J1742" s="676" t="s">
        <v>5873</v>
      </c>
      <c r="K1742" s="676">
        <v>53943</v>
      </c>
      <c r="M1742" t="str">
        <f>""</f>
        <v/>
      </c>
    </row>
    <row r="1743" spans="1:13" ht="15.75">
      <c r="A1743">
        <v>2016</v>
      </c>
      <c r="B1743" s="777">
        <v>42625</v>
      </c>
      <c r="C1743" s="730">
        <v>0.52083333333333337</v>
      </c>
      <c r="D1743" s="777">
        <v>42625</v>
      </c>
      <c r="E1743" s="730">
        <v>0.74722222222222223</v>
      </c>
      <c r="F1743" s="558" t="s">
        <v>2907</v>
      </c>
      <c r="G1743" s="558" t="s">
        <v>124</v>
      </c>
      <c r="H1743" s="558" t="s">
        <v>2791</v>
      </c>
      <c r="I1743" s="679" t="s">
        <v>2905</v>
      </c>
      <c r="J1743" s="676">
        <v>110</v>
      </c>
      <c r="K1743" s="676">
        <v>53753</v>
      </c>
      <c r="M1743" t="str">
        <f>""</f>
        <v/>
      </c>
    </row>
    <row r="1744" spans="1:13" ht="15.75">
      <c r="A1744">
        <v>2023</v>
      </c>
      <c r="B1744" s="777">
        <v>45136</v>
      </c>
      <c r="C1744" s="532">
        <v>0.66666666666666663</v>
      </c>
      <c r="D1744" s="678">
        <v>45139</v>
      </c>
      <c r="E1744" s="532">
        <v>0.29166666666666669</v>
      </c>
      <c r="F1744" t="s">
        <v>3252</v>
      </c>
      <c r="G1744" t="s">
        <v>3143</v>
      </c>
      <c r="H1744" t="s">
        <v>3451</v>
      </c>
      <c r="I1744" s="677" t="s">
        <v>5883</v>
      </c>
      <c r="J1744" s="785" t="s">
        <v>5873</v>
      </c>
      <c r="K1744" s="783">
        <v>53630</v>
      </c>
      <c r="M1744" t="str">
        <f>""</f>
        <v/>
      </c>
    </row>
    <row r="1745" spans="1:13" ht="15.75">
      <c r="A1745">
        <v>2023</v>
      </c>
      <c r="B1745" s="777" t="s">
        <v>5873</v>
      </c>
      <c r="C1745" s="532">
        <v>0.66666666666666663</v>
      </c>
      <c r="D1745" s="678">
        <v>45139</v>
      </c>
      <c r="E1745" s="532">
        <v>0.29166666666666669</v>
      </c>
      <c r="F1745" t="s">
        <v>3252</v>
      </c>
      <c r="G1745" t="s">
        <v>3143</v>
      </c>
      <c r="H1745" t="s">
        <v>3451</v>
      </c>
      <c r="I1745" s="677" t="s">
        <v>5883</v>
      </c>
      <c r="J1745" s="785" t="s">
        <v>5873</v>
      </c>
      <c r="K1745" s="783">
        <v>53630</v>
      </c>
      <c r="M1745" t="str">
        <f>""</f>
        <v/>
      </c>
    </row>
    <row r="1746" spans="1:13" ht="15.75">
      <c r="A1746">
        <v>2017</v>
      </c>
      <c r="B1746" s="777">
        <v>42897</v>
      </c>
      <c r="C1746" s="730">
        <v>0.55902777777777779</v>
      </c>
      <c r="D1746" s="777">
        <v>42897</v>
      </c>
      <c r="E1746" s="730">
        <v>0.80208333333333337</v>
      </c>
      <c r="F1746" s="558" t="s">
        <v>2656</v>
      </c>
      <c r="G1746" s="558" t="s">
        <v>674</v>
      </c>
      <c r="H1746" s="558" t="s">
        <v>2753</v>
      </c>
      <c r="I1746" s="679" t="s">
        <v>22</v>
      </c>
      <c r="J1746" s="676" t="s">
        <v>5873</v>
      </c>
      <c r="K1746" s="676">
        <v>53610</v>
      </c>
      <c r="M1746" t="str">
        <f>""</f>
        <v/>
      </c>
    </row>
    <row r="1747" spans="1:13" ht="15.75">
      <c r="A1747">
        <v>2011</v>
      </c>
      <c r="B1747" s="777">
        <v>40791</v>
      </c>
      <c r="C1747" s="730">
        <v>0.6875</v>
      </c>
      <c r="D1747" s="777">
        <v>40793</v>
      </c>
      <c r="E1747" s="730">
        <v>0.65625</v>
      </c>
      <c r="F1747" s="558" t="s">
        <v>2231</v>
      </c>
      <c r="G1747" s="558" t="s">
        <v>63</v>
      </c>
      <c r="H1747" s="558" t="s">
        <v>5873</v>
      </c>
      <c r="I1747" s="679" t="s">
        <v>22</v>
      </c>
      <c r="J1747" s="676">
        <v>177</v>
      </c>
      <c r="K1747" s="676">
        <v>53295</v>
      </c>
      <c r="M1747" t="str">
        <f>""</f>
        <v/>
      </c>
    </row>
    <row r="1748" spans="1:13" ht="15.75">
      <c r="A1748">
        <v>2021</v>
      </c>
      <c r="B1748" s="777">
        <v>44377</v>
      </c>
      <c r="C1748" s="730">
        <v>0.78472222222222221</v>
      </c>
      <c r="D1748" s="777" t="s">
        <v>5873</v>
      </c>
      <c r="E1748" s="730" t="s">
        <v>5873</v>
      </c>
      <c r="F1748" s="558" t="s">
        <v>4896</v>
      </c>
      <c r="G1748" s="558" t="s">
        <v>61</v>
      </c>
      <c r="H1748" s="558" t="s">
        <v>3451</v>
      </c>
      <c r="I1748" s="679" t="s">
        <v>22</v>
      </c>
      <c r="J1748" s="676" t="s">
        <v>5873</v>
      </c>
      <c r="K1748" s="676">
        <v>53103</v>
      </c>
      <c r="M1748" t="str">
        <f>""</f>
        <v/>
      </c>
    </row>
    <row r="1749" spans="1:13" ht="15.75">
      <c r="A1749">
        <v>2011</v>
      </c>
      <c r="B1749" s="777">
        <v>40779</v>
      </c>
      <c r="C1749" s="730">
        <v>0.61875000000000002</v>
      </c>
      <c r="D1749" s="777">
        <v>40779</v>
      </c>
      <c r="E1749" s="730">
        <v>0.91666666666666663</v>
      </c>
      <c r="F1749" s="558" t="s">
        <v>2274</v>
      </c>
      <c r="G1749" s="558" t="s">
        <v>58</v>
      </c>
      <c r="H1749" s="558" t="s">
        <v>5873</v>
      </c>
      <c r="I1749" s="679" t="s">
        <v>22</v>
      </c>
      <c r="J1749" s="676" t="s">
        <v>5873</v>
      </c>
      <c r="K1749" s="676">
        <v>53064</v>
      </c>
      <c r="M1749" t="str">
        <f>""</f>
        <v/>
      </c>
    </row>
    <row r="1750" spans="1:13" ht="15.75">
      <c r="A1750" s="728">
        <v>2010</v>
      </c>
      <c r="B1750" s="777">
        <v>40352</v>
      </c>
      <c r="C1750" s="730">
        <v>0.7416666666666667</v>
      </c>
      <c r="D1750" s="777">
        <v>40353</v>
      </c>
      <c r="E1750" s="730">
        <v>9.7916666666666666E-2</v>
      </c>
      <c r="F1750" s="558" t="s">
        <v>1434</v>
      </c>
      <c r="G1750" s="558" t="s">
        <v>826</v>
      </c>
      <c r="H1750" s="558" t="s">
        <v>5873</v>
      </c>
      <c r="I1750" s="679" t="s">
        <v>381</v>
      </c>
      <c r="J1750" s="676" t="s">
        <v>5873</v>
      </c>
      <c r="K1750" s="676">
        <v>53000</v>
      </c>
      <c r="M1750" t="str">
        <f>""</f>
        <v/>
      </c>
    </row>
    <row r="1751" spans="1:13" ht="15.75">
      <c r="A1751">
        <v>2013</v>
      </c>
      <c r="B1751" s="777">
        <v>41438</v>
      </c>
      <c r="C1751" s="730">
        <v>0.73958333333333337</v>
      </c>
      <c r="D1751" s="777">
        <v>41439</v>
      </c>
      <c r="E1751" s="730">
        <v>0.77083333333333337</v>
      </c>
      <c r="F1751" s="558" t="s">
        <v>2171</v>
      </c>
      <c r="G1751" s="558" t="s">
        <v>63</v>
      </c>
      <c r="H1751" s="558" t="s">
        <v>5873</v>
      </c>
      <c r="I1751" s="679" t="s">
        <v>2368</v>
      </c>
      <c r="J1751" s="676" t="s">
        <v>5873</v>
      </c>
      <c r="K1751" s="676">
        <v>53000</v>
      </c>
      <c r="M1751" t="str">
        <f>""</f>
        <v/>
      </c>
    </row>
    <row r="1752" spans="1:13" ht="15.75">
      <c r="A1752">
        <v>2021</v>
      </c>
      <c r="B1752" s="777">
        <v>44376</v>
      </c>
      <c r="C1752" s="730">
        <v>0.66666666666666663</v>
      </c>
      <c r="D1752" s="777" t="s">
        <v>5873</v>
      </c>
      <c r="E1752" s="730" t="s">
        <v>5873</v>
      </c>
      <c r="F1752" s="558" t="s">
        <v>4893</v>
      </c>
      <c r="G1752" s="558" t="s">
        <v>3143</v>
      </c>
      <c r="H1752" s="558" t="s">
        <v>3451</v>
      </c>
      <c r="I1752" s="679" t="s">
        <v>22</v>
      </c>
      <c r="J1752" s="676" t="s">
        <v>5873</v>
      </c>
      <c r="K1752" s="676">
        <v>53000</v>
      </c>
      <c r="M1752" t="str">
        <f>""</f>
        <v/>
      </c>
    </row>
    <row r="1753" spans="1:13" ht="15.75">
      <c r="A1753">
        <v>2022</v>
      </c>
      <c r="B1753" s="777">
        <v>44870</v>
      </c>
      <c r="C1753" s="730">
        <v>0.83125000000000004</v>
      </c>
      <c r="D1753" s="777" t="s">
        <v>5873</v>
      </c>
      <c r="E1753" s="730" t="s">
        <v>5873</v>
      </c>
      <c r="F1753" s="558" t="s">
        <v>5586</v>
      </c>
      <c r="G1753" s="558" t="s">
        <v>3143</v>
      </c>
      <c r="H1753" s="558" t="s">
        <v>2753</v>
      </c>
      <c r="I1753" s="679" t="s">
        <v>22</v>
      </c>
      <c r="J1753" s="676" t="s">
        <v>5873</v>
      </c>
      <c r="K1753" s="676">
        <v>53000</v>
      </c>
      <c r="M1753" t="str">
        <f>""</f>
        <v/>
      </c>
    </row>
    <row r="1754" spans="1:13" ht="15.75">
      <c r="A1754" s="728">
        <v>2010</v>
      </c>
      <c r="B1754" s="777">
        <v>40221</v>
      </c>
      <c r="C1754" s="730">
        <v>0.20833333333333334</v>
      </c>
      <c r="D1754" s="777">
        <v>40221</v>
      </c>
      <c r="E1754" s="730">
        <v>0.70833333333333337</v>
      </c>
      <c r="F1754" s="558" t="s">
        <v>1881</v>
      </c>
      <c r="G1754" s="558" t="s">
        <v>58</v>
      </c>
      <c r="H1754" s="558" t="s">
        <v>5873</v>
      </c>
      <c r="I1754" s="679" t="s">
        <v>40</v>
      </c>
      <c r="J1754" s="676" t="s">
        <v>5873</v>
      </c>
      <c r="K1754" s="676">
        <v>52999</v>
      </c>
      <c r="M1754" t="str">
        <f>""</f>
        <v/>
      </c>
    </row>
    <row r="1755" spans="1:13" ht="15.75">
      <c r="A1755">
        <v>2011</v>
      </c>
      <c r="B1755" s="777">
        <v>40637</v>
      </c>
      <c r="C1755" s="730">
        <v>0.79166666666666663</v>
      </c>
      <c r="D1755" s="777">
        <v>40638</v>
      </c>
      <c r="E1755" s="730">
        <v>0.5</v>
      </c>
      <c r="F1755" s="558" t="s">
        <v>2167</v>
      </c>
      <c r="G1755" s="558" t="s">
        <v>826</v>
      </c>
      <c r="H1755" s="558" t="s">
        <v>5873</v>
      </c>
      <c r="I1755" s="679" t="s">
        <v>22</v>
      </c>
      <c r="J1755" s="676" t="s">
        <v>5873</v>
      </c>
      <c r="K1755" s="676">
        <v>52920</v>
      </c>
      <c r="M1755" t="str">
        <f>""</f>
        <v/>
      </c>
    </row>
    <row r="1756" spans="1:13" ht="15.75">
      <c r="A1756">
        <v>2018</v>
      </c>
      <c r="B1756" s="777">
        <v>43235</v>
      </c>
      <c r="C1756" s="730">
        <v>0.75972222222222219</v>
      </c>
      <c r="D1756" s="777">
        <v>43235</v>
      </c>
      <c r="E1756" s="730">
        <v>0.79166666666666663</v>
      </c>
      <c r="F1756" s="558" t="s">
        <v>3245</v>
      </c>
      <c r="G1756" s="558" t="s">
        <v>3143</v>
      </c>
      <c r="H1756" s="558" t="s">
        <v>2753</v>
      </c>
      <c r="I1756" s="679" t="s">
        <v>22</v>
      </c>
      <c r="J1756" s="676" t="s">
        <v>5873</v>
      </c>
      <c r="K1756" s="676">
        <v>52872</v>
      </c>
      <c r="M1756" t="str">
        <f>""</f>
        <v/>
      </c>
    </row>
    <row r="1757" spans="1:13" ht="15.75">
      <c r="A1757">
        <v>2011</v>
      </c>
      <c r="B1757" s="777">
        <v>40701</v>
      </c>
      <c r="C1757" s="730">
        <v>0.58333333333333337</v>
      </c>
      <c r="D1757" s="777">
        <v>40702</v>
      </c>
      <c r="E1757" s="730">
        <v>0.25</v>
      </c>
      <c r="F1757" s="558" t="s">
        <v>160</v>
      </c>
      <c r="G1757" s="558" t="s">
        <v>826</v>
      </c>
      <c r="H1757" s="558" t="s">
        <v>5873</v>
      </c>
      <c r="I1757" s="679" t="s">
        <v>22</v>
      </c>
      <c r="J1757" s="676" t="s">
        <v>5873</v>
      </c>
      <c r="K1757" s="676">
        <v>52747</v>
      </c>
      <c r="M1757" t="str">
        <f>""</f>
        <v/>
      </c>
    </row>
    <row r="1758" spans="1:13" ht="15.75">
      <c r="A1758">
        <v>2015</v>
      </c>
      <c r="B1758" s="777">
        <v>42198</v>
      </c>
      <c r="C1758" s="730">
        <v>0.81944444444444442</v>
      </c>
      <c r="D1758" s="777">
        <v>42200</v>
      </c>
      <c r="E1758" s="730">
        <v>0.51041666666666663</v>
      </c>
      <c r="F1758" s="558" t="s">
        <v>2004</v>
      </c>
      <c r="G1758" s="558" t="s">
        <v>826</v>
      </c>
      <c r="H1758" s="558" t="s">
        <v>2753</v>
      </c>
      <c r="I1758" s="679" t="s">
        <v>22</v>
      </c>
      <c r="J1758" s="676" t="s">
        <v>5873</v>
      </c>
      <c r="K1758" s="676">
        <v>52739</v>
      </c>
      <c r="M1758" t="str">
        <f>""</f>
        <v/>
      </c>
    </row>
    <row r="1759" spans="1:13" ht="15.75">
      <c r="A1759">
        <v>2012</v>
      </c>
      <c r="B1759" s="777">
        <v>41117.72152777778</v>
      </c>
      <c r="C1759" s="730">
        <v>41117.72152777778</v>
      </c>
      <c r="D1759" s="777">
        <v>41118.72152777778</v>
      </c>
      <c r="E1759" s="730">
        <v>41118.72152777778</v>
      </c>
      <c r="F1759" s="558" t="s">
        <v>2208</v>
      </c>
      <c r="G1759" s="558" t="s">
        <v>826</v>
      </c>
      <c r="H1759" s="558" t="s">
        <v>5873</v>
      </c>
      <c r="I1759" s="679" t="s">
        <v>2368</v>
      </c>
      <c r="J1759" s="676" t="s">
        <v>5873</v>
      </c>
      <c r="K1759" s="676">
        <v>52702</v>
      </c>
      <c r="M1759" t="str">
        <f>""</f>
        <v/>
      </c>
    </row>
    <row r="1760" spans="1:13" ht="15.75">
      <c r="A1760">
        <v>2016</v>
      </c>
      <c r="B1760" s="777">
        <v>42416</v>
      </c>
      <c r="C1760" s="730">
        <v>0.3576388888888889</v>
      </c>
      <c r="D1760" s="777">
        <v>42416</v>
      </c>
      <c r="E1760" s="730">
        <v>0.72777777777777775</v>
      </c>
      <c r="F1760" s="558" t="s">
        <v>2841</v>
      </c>
      <c r="G1760" s="558" t="s">
        <v>826</v>
      </c>
      <c r="H1760" s="558" t="s">
        <v>2753</v>
      </c>
      <c r="I1760" s="679" t="s">
        <v>2828</v>
      </c>
      <c r="J1760" s="676" t="s">
        <v>5873</v>
      </c>
      <c r="K1760" s="676">
        <v>52640</v>
      </c>
      <c r="M1760" t="str">
        <f>""</f>
        <v/>
      </c>
    </row>
    <row r="1761" spans="1:13" ht="15.75">
      <c r="A1761">
        <v>2013</v>
      </c>
      <c r="B1761" s="777">
        <v>41631</v>
      </c>
      <c r="C1761" s="730">
        <v>0.63888888888888884</v>
      </c>
      <c r="D1761" s="777">
        <v>41633</v>
      </c>
      <c r="E1761" s="730">
        <v>0.48055555555555557</v>
      </c>
      <c r="F1761" s="558" t="s">
        <v>2640</v>
      </c>
      <c r="G1761" s="558" t="s">
        <v>61</v>
      </c>
      <c r="H1761" s="558" t="s">
        <v>5873</v>
      </c>
      <c r="I1761" s="679" t="s">
        <v>2634</v>
      </c>
      <c r="J1761" s="676" t="s">
        <v>5873</v>
      </c>
      <c r="K1761" s="676">
        <v>52500</v>
      </c>
      <c r="M1761" t="str">
        <f>""</f>
        <v/>
      </c>
    </row>
    <row r="1762" spans="1:13" ht="15.75">
      <c r="A1762">
        <v>2019</v>
      </c>
      <c r="B1762" s="777">
        <v>43646</v>
      </c>
      <c r="C1762" s="730">
        <v>0.63541666666666663</v>
      </c>
      <c r="D1762" s="777">
        <v>43646</v>
      </c>
      <c r="E1762" s="730">
        <v>0.67708333333333337</v>
      </c>
      <c r="F1762" s="558" t="s">
        <v>3843</v>
      </c>
      <c r="G1762" s="558" t="s">
        <v>61</v>
      </c>
      <c r="H1762" s="558" t="s">
        <v>3451</v>
      </c>
      <c r="I1762" s="679" t="s">
        <v>22</v>
      </c>
      <c r="J1762" s="676">
        <v>3189</v>
      </c>
      <c r="K1762" s="676">
        <v>52498</v>
      </c>
      <c r="M1762" t="str">
        <f>""</f>
        <v/>
      </c>
    </row>
    <row r="1763" spans="1:13" ht="15.75">
      <c r="A1763">
        <v>2015</v>
      </c>
      <c r="B1763" s="777">
        <v>42343</v>
      </c>
      <c r="C1763" s="730">
        <v>0.80694444444444446</v>
      </c>
      <c r="D1763" s="777">
        <v>42344</v>
      </c>
      <c r="E1763" s="730">
        <v>0.22708333333333333</v>
      </c>
      <c r="F1763" s="558" t="s">
        <v>2816</v>
      </c>
      <c r="G1763" s="558" t="s">
        <v>61</v>
      </c>
      <c r="H1763" s="558" t="s">
        <v>2753</v>
      </c>
      <c r="I1763" s="679" t="s">
        <v>2798</v>
      </c>
      <c r="J1763" s="676">
        <v>110</v>
      </c>
      <c r="K1763" s="676">
        <v>52476</v>
      </c>
      <c r="M1763" t="str">
        <f>""</f>
        <v/>
      </c>
    </row>
    <row r="1764" spans="1:13" ht="15.75">
      <c r="A1764">
        <v>2022</v>
      </c>
      <c r="B1764" s="777">
        <v>44703</v>
      </c>
      <c r="C1764" s="730">
        <v>0.10416666666666667</v>
      </c>
      <c r="D1764" s="777">
        <v>44703</v>
      </c>
      <c r="E1764" s="730">
        <v>0.78611111111111109</v>
      </c>
      <c r="F1764" s="558" t="s">
        <v>2809</v>
      </c>
      <c r="G1764" s="558" t="s">
        <v>1352</v>
      </c>
      <c r="H1764" s="558" t="s">
        <v>2753</v>
      </c>
      <c r="I1764" s="679" t="s">
        <v>22</v>
      </c>
      <c r="J1764" s="676" t="s">
        <v>5873</v>
      </c>
      <c r="K1764" s="676">
        <v>52172</v>
      </c>
      <c r="M1764" t="str">
        <f>""</f>
        <v/>
      </c>
    </row>
    <row r="1765" spans="1:13" ht="15.75">
      <c r="A1765">
        <v>2020</v>
      </c>
      <c r="B1765" s="777">
        <v>43944</v>
      </c>
      <c r="C1765" s="730">
        <v>0.33333333333333331</v>
      </c>
      <c r="D1765" s="777">
        <v>43944</v>
      </c>
      <c r="E1765" s="730">
        <v>0.98611111111111116</v>
      </c>
      <c r="F1765" s="558" t="s">
        <v>2974</v>
      </c>
      <c r="G1765" s="558" t="s">
        <v>63</v>
      </c>
      <c r="H1765" s="558" t="s">
        <v>3451</v>
      </c>
      <c r="I1765" s="679" t="s">
        <v>22</v>
      </c>
      <c r="J1765" s="676">
        <v>375</v>
      </c>
      <c r="K1765" s="676">
        <v>52163</v>
      </c>
      <c r="M1765" t="str">
        <f>""</f>
        <v/>
      </c>
    </row>
    <row r="1766" spans="1:13" ht="15.75">
      <c r="A1766">
        <v>2023</v>
      </c>
      <c r="B1766" s="777">
        <v>45135</v>
      </c>
      <c r="C1766" s="532">
        <v>0.75</v>
      </c>
      <c r="D1766" s="678">
        <v>45137</v>
      </c>
      <c r="E1766" s="532">
        <v>0.32291666666666669</v>
      </c>
      <c r="F1766" t="s">
        <v>4713</v>
      </c>
      <c r="G1766" t="s">
        <v>3143</v>
      </c>
      <c r="H1766" t="s">
        <v>3451</v>
      </c>
      <c r="I1766" s="677" t="s">
        <v>5883</v>
      </c>
      <c r="J1766" s="785" t="s">
        <v>5873</v>
      </c>
      <c r="K1766" s="783">
        <v>52098</v>
      </c>
      <c r="M1766" t="str">
        <f>""</f>
        <v/>
      </c>
    </row>
    <row r="1767" spans="1:13" ht="15.75">
      <c r="A1767">
        <v>2023</v>
      </c>
      <c r="B1767" s="777" t="s">
        <v>5873</v>
      </c>
      <c r="C1767" s="532">
        <v>0.75</v>
      </c>
      <c r="D1767" s="678">
        <v>45137</v>
      </c>
      <c r="E1767" s="532">
        <v>0.32291666666666669</v>
      </c>
      <c r="F1767" t="s">
        <v>4713</v>
      </c>
      <c r="G1767" t="s">
        <v>3143</v>
      </c>
      <c r="H1767" t="s">
        <v>3451</v>
      </c>
      <c r="I1767" s="677" t="s">
        <v>5883</v>
      </c>
      <c r="J1767" s="785" t="s">
        <v>5873</v>
      </c>
      <c r="K1767" s="783">
        <v>52098</v>
      </c>
      <c r="M1767" t="str">
        <f>""</f>
        <v/>
      </c>
    </row>
    <row r="1768" spans="1:13" ht="15.75">
      <c r="A1768" s="728">
        <v>2010</v>
      </c>
      <c r="B1768" s="777">
        <v>40443</v>
      </c>
      <c r="C1768" s="730">
        <v>0.67222222222222228</v>
      </c>
      <c r="D1768" s="777">
        <v>40447</v>
      </c>
      <c r="E1768" s="730">
        <v>0</v>
      </c>
      <c r="F1768" s="558" t="s">
        <v>2050</v>
      </c>
      <c r="G1768" s="558" t="s">
        <v>826</v>
      </c>
      <c r="H1768" s="558" t="s">
        <v>5873</v>
      </c>
      <c r="I1768" s="679" t="s">
        <v>381</v>
      </c>
      <c r="J1768" s="676">
        <v>156</v>
      </c>
      <c r="K1768" s="676">
        <v>52000</v>
      </c>
      <c r="M1768" t="str">
        <f>""</f>
        <v/>
      </c>
    </row>
    <row r="1769" spans="1:13" ht="15.75">
      <c r="A1769">
        <v>2013</v>
      </c>
      <c r="B1769" s="777">
        <v>41313</v>
      </c>
      <c r="C1769" s="730">
        <v>0.48472222222222222</v>
      </c>
      <c r="D1769" s="777">
        <v>41313</v>
      </c>
      <c r="E1769" s="730">
        <v>0.59513888888888888</v>
      </c>
      <c r="F1769" s="558" t="s">
        <v>2494</v>
      </c>
      <c r="G1769" s="558" t="s">
        <v>826</v>
      </c>
      <c r="H1769" s="558" t="s">
        <v>5873</v>
      </c>
      <c r="I1769" s="679" t="s">
        <v>2397</v>
      </c>
      <c r="J1769" s="676">
        <v>140</v>
      </c>
      <c r="K1769" s="676">
        <v>52000</v>
      </c>
      <c r="M1769" t="str">
        <f>""</f>
        <v/>
      </c>
    </row>
    <row r="1770" spans="1:13" ht="15.75">
      <c r="A1770">
        <v>2015</v>
      </c>
      <c r="B1770" s="777">
        <v>42052</v>
      </c>
      <c r="C1770" s="730">
        <v>0.375</v>
      </c>
      <c r="D1770" s="777">
        <v>42053</v>
      </c>
      <c r="E1770" s="730">
        <v>0.95833333333333337</v>
      </c>
      <c r="F1770" s="558" t="s">
        <v>2169</v>
      </c>
      <c r="G1770" s="558" t="s">
        <v>63</v>
      </c>
      <c r="H1770" s="558" t="s">
        <v>2753</v>
      </c>
      <c r="I1770" s="679" t="s">
        <v>2745</v>
      </c>
      <c r="J1770" s="676" t="s">
        <v>5873</v>
      </c>
      <c r="K1770" s="676">
        <v>52000</v>
      </c>
      <c r="M1770" t="str">
        <f>""</f>
        <v/>
      </c>
    </row>
    <row r="1771" spans="1:13" ht="15.75">
      <c r="A1771">
        <v>2016</v>
      </c>
      <c r="B1771" s="777">
        <v>42556</v>
      </c>
      <c r="C1771" s="730">
        <v>0.11458333333333333</v>
      </c>
      <c r="D1771" s="777">
        <v>42557</v>
      </c>
      <c r="E1771" s="730">
        <v>0.125</v>
      </c>
      <c r="F1771" s="558" t="s">
        <v>2874</v>
      </c>
      <c r="G1771" s="558" t="s">
        <v>1352</v>
      </c>
      <c r="H1771" s="558" t="s">
        <v>2753</v>
      </c>
      <c r="I1771" s="679" t="s">
        <v>22</v>
      </c>
      <c r="J1771" s="676" t="s">
        <v>5873</v>
      </c>
      <c r="K1771" s="676">
        <v>52000</v>
      </c>
      <c r="M1771" t="str">
        <f>""</f>
        <v/>
      </c>
    </row>
    <row r="1772" spans="1:13" ht="15.75">
      <c r="A1772">
        <v>2020</v>
      </c>
      <c r="B1772" s="777">
        <v>43868</v>
      </c>
      <c r="C1772" s="730">
        <v>0.45833333333333331</v>
      </c>
      <c r="D1772" s="777" t="s">
        <v>5873</v>
      </c>
      <c r="E1772" s="730" t="s">
        <v>5873</v>
      </c>
      <c r="F1772" s="558" t="s">
        <v>3245</v>
      </c>
      <c r="G1772" s="558" t="s">
        <v>3143</v>
      </c>
      <c r="H1772" s="558" t="s">
        <v>3451</v>
      </c>
      <c r="I1772" s="679" t="s">
        <v>3768</v>
      </c>
      <c r="J1772" s="676" t="s">
        <v>5873</v>
      </c>
      <c r="K1772" s="676">
        <v>52000</v>
      </c>
      <c r="M1772" t="str">
        <f>""</f>
        <v/>
      </c>
    </row>
    <row r="1773" spans="1:13" ht="15.75">
      <c r="A1773">
        <v>2021</v>
      </c>
      <c r="B1773" s="777">
        <v>44387</v>
      </c>
      <c r="C1773" s="730">
        <v>7.9861111111111105E-2</v>
      </c>
      <c r="D1773" s="777">
        <v>44387</v>
      </c>
      <c r="E1773" s="730">
        <v>8.0555555555555561E-2</v>
      </c>
      <c r="F1773" s="558" t="s">
        <v>2864</v>
      </c>
      <c r="G1773" s="558" t="s">
        <v>63</v>
      </c>
      <c r="H1773" s="558" t="s">
        <v>2753</v>
      </c>
      <c r="I1773" s="679" t="s">
        <v>22</v>
      </c>
      <c r="J1773" s="676" t="s">
        <v>5873</v>
      </c>
      <c r="K1773" s="676">
        <v>52000</v>
      </c>
      <c r="M1773" t="str">
        <f>""</f>
        <v/>
      </c>
    </row>
    <row r="1774" spans="1:13" ht="15.75">
      <c r="A1774">
        <v>2021</v>
      </c>
      <c r="B1774" s="777">
        <v>44366</v>
      </c>
      <c r="C1774" s="730">
        <v>0.78749999999999998</v>
      </c>
      <c r="D1774" s="777">
        <v>44366</v>
      </c>
      <c r="E1774" s="730">
        <v>0.87569444444444444</v>
      </c>
      <c r="F1774" s="558" t="s">
        <v>3967</v>
      </c>
      <c r="G1774" s="558" t="s">
        <v>124</v>
      </c>
      <c r="H1774" s="558" t="s">
        <v>3451</v>
      </c>
      <c r="I1774" s="679" t="s">
        <v>2764</v>
      </c>
      <c r="J1774" s="676">
        <v>93</v>
      </c>
      <c r="K1774" s="676">
        <v>51806</v>
      </c>
      <c r="M1774" t="str">
        <f>""</f>
        <v/>
      </c>
    </row>
    <row r="1775" spans="1:13" ht="15.75">
      <c r="A1775">
        <v>2020</v>
      </c>
      <c r="B1775" s="777">
        <v>44168</v>
      </c>
      <c r="C1775" s="730">
        <v>0.45624999999999999</v>
      </c>
      <c r="D1775" s="777">
        <v>44169</v>
      </c>
      <c r="E1775" s="730">
        <v>0.62638888888888888</v>
      </c>
      <c r="F1775" s="558" t="s">
        <v>4604</v>
      </c>
      <c r="G1775" s="558" t="s">
        <v>124</v>
      </c>
      <c r="H1775" s="558" t="s">
        <v>3451</v>
      </c>
      <c r="I1775" s="679" t="s">
        <v>22</v>
      </c>
      <c r="J1775" s="676">
        <v>132</v>
      </c>
      <c r="K1775" s="676">
        <v>51686</v>
      </c>
      <c r="M1775" t="str">
        <f>""</f>
        <v/>
      </c>
    </row>
    <row r="1776" spans="1:13" ht="15.75">
      <c r="A1776">
        <v>2011</v>
      </c>
      <c r="B1776" s="777">
        <v>40728</v>
      </c>
      <c r="C1776" s="730">
        <v>0.75</v>
      </c>
      <c r="D1776" s="777">
        <v>40728</v>
      </c>
      <c r="E1776" s="730">
        <v>0.875</v>
      </c>
      <c r="F1776" s="558" t="s">
        <v>2004</v>
      </c>
      <c r="G1776" s="558" t="s">
        <v>63</v>
      </c>
      <c r="H1776" s="558" t="s">
        <v>5873</v>
      </c>
      <c r="I1776" s="679" t="s">
        <v>22</v>
      </c>
      <c r="J1776" s="676">
        <v>150</v>
      </c>
      <c r="K1776" s="676">
        <v>51580</v>
      </c>
      <c r="M1776" t="str">
        <f>""</f>
        <v/>
      </c>
    </row>
    <row r="1777" spans="1:13" ht="15.75">
      <c r="A1777">
        <v>2019</v>
      </c>
      <c r="B1777" s="777">
        <v>43580</v>
      </c>
      <c r="C1777" s="730">
        <v>0.75208333333333333</v>
      </c>
      <c r="D1777" s="777">
        <v>43580</v>
      </c>
      <c r="E1777" s="730">
        <v>0.77222222222222225</v>
      </c>
      <c r="F1777" s="558" t="s">
        <v>3424</v>
      </c>
      <c r="G1777" s="558" t="s">
        <v>124</v>
      </c>
      <c r="H1777" s="558" t="s">
        <v>3750</v>
      </c>
      <c r="I1777" s="679" t="s">
        <v>2905</v>
      </c>
      <c r="J1777" s="676">
        <v>150</v>
      </c>
      <c r="K1777" s="676">
        <v>51366</v>
      </c>
      <c r="M1777" t="str">
        <f>""</f>
        <v/>
      </c>
    </row>
    <row r="1778" spans="1:13" ht="15.75">
      <c r="A1778">
        <v>2017</v>
      </c>
      <c r="B1778" s="777">
        <v>43079</v>
      </c>
      <c r="C1778" s="730">
        <v>5.9027777777777776E-2</v>
      </c>
      <c r="D1778" s="777">
        <v>43079</v>
      </c>
      <c r="E1778" s="730">
        <v>0.10416666666666667</v>
      </c>
      <c r="F1778" s="558" t="s">
        <v>3170</v>
      </c>
      <c r="G1778" s="558" t="s">
        <v>124</v>
      </c>
      <c r="H1778" s="558" t="s">
        <v>2753</v>
      </c>
      <c r="I1778" s="679" t="s">
        <v>2990</v>
      </c>
      <c r="J1778" s="676">
        <v>110</v>
      </c>
      <c r="K1778" s="676">
        <v>51323</v>
      </c>
      <c r="M1778" t="str">
        <f>""</f>
        <v/>
      </c>
    </row>
    <row r="1779" spans="1:13" ht="15.75">
      <c r="A1779">
        <v>2022</v>
      </c>
      <c r="B1779" s="777">
        <v>44577</v>
      </c>
      <c r="C1779" s="730">
        <v>0.50347222222222221</v>
      </c>
      <c r="D1779" s="777">
        <v>44578</v>
      </c>
      <c r="E1779" s="730">
        <v>0.36458333333333331</v>
      </c>
      <c r="F1779" s="558" t="s">
        <v>5184</v>
      </c>
      <c r="G1779" s="558" t="s">
        <v>63</v>
      </c>
      <c r="H1779" s="558" t="s">
        <v>2753</v>
      </c>
      <c r="I1779" s="679" t="s">
        <v>22</v>
      </c>
      <c r="J1779" s="676" t="s">
        <v>5873</v>
      </c>
      <c r="K1779" s="676">
        <v>51289</v>
      </c>
      <c r="M1779" t="str">
        <f>""</f>
        <v/>
      </c>
    </row>
    <row r="1780" spans="1:13" ht="15.75">
      <c r="A1780">
        <v>2013</v>
      </c>
      <c r="B1780" s="777">
        <v>41493</v>
      </c>
      <c r="C1780" s="730">
        <v>1.0416666666666666E-2</v>
      </c>
      <c r="D1780" s="777">
        <v>41493</v>
      </c>
      <c r="E1780" s="730">
        <v>0.89375000000000004</v>
      </c>
      <c r="F1780" s="558" t="s">
        <v>2593</v>
      </c>
      <c r="G1780" s="558" t="s">
        <v>674</v>
      </c>
      <c r="H1780" s="558" t="s">
        <v>5873</v>
      </c>
      <c r="I1780" s="679" t="s">
        <v>2368</v>
      </c>
      <c r="J1780" s="676">
        <v>220</v>
      </c>
      <c r="K1780" s="676">
        <v>51160</v>
      </c>
      <c r="M1780" t="str">
        <f>""</f>
        <v/>
      </c>
    </row>
    <row r="1781" spans="1:13" ht="15.75">
      <c r="A1781">
        <v>2020</v>
      </c>
      <c r="B1781" s="777">
        <v>43914</v>
      </c>
      <c r="C1781" s="730">
        <v>0.12152777777777778</v>
      </c>
      <c r="D1781" s="777">
        <v>43914</v>
      </c>
      <c r="E1781" s="730">
        <v>0.28472222222222221</v>
      </c>
      <c r="F1781" s="558" t="s">
        <v>3264</v>
      </c>
      <c r="G1781" s="558" t="s">
        <v>61</v>
      </c>
      <c r="H1781" s="558" t="s">
        <v>3451</v>
      </c>
      <c r="I1781" s="679" t="s">
        <v>22</v>
      </c>
      <c r="J1781" s="676" t="s">
        <v>5873</v>
      </c>
      <c r="K1781" s="676">
        <v>51026</v>
      </c>
      <c r="M1781" t="str">
        <f>""</f>
        <v/>
      </c>
    </row>
    <row r="1782" spans="1:13" ht="15.75">
      <c r="A1782">
        <v>2014</v>
      </c>
      <c r="B1782" s="777">
        <v>41821</v>
      </c>
      <c r="C1782" s="730">
        <v>0.14583333333333334</v>
      </c>
      <c r="D1782" s="777" t="s">
        <v>5873</v>
      </c>
      <c r="E1782" s="730" t="s">
        <v>5873</v>
      </c>
      <c r="F1782" s="558" t="s">
        <v>1238</v>
      </c>
      <c r="G1782" s="558" t="s">
        <v>826</v>
      </c>
      <c r="H1782" s="558" t="s">
        <v>5873</v>
      </c>
      <c r="I1782" s="679" t="s">
        <v>2368</v>
      </c>
      <c r="J1782" s="676" t="s">
        <v>5873</v>
      </c>
      <c r="K1782" s="676">
        <v>51000</v>
      </c>
      <c r="M1782" t="str">
        <f>""</f>
        <v/>
      </c>
    </row>
    <row r="1783" spans="1:13" ht="15.75">
      <c r="A1783">
        <v>2020</v>
      </c>
      <c r="B1783" s="777">
        <v>43933</v>
      </c>
      <c r="C1783" s="730">
        <v>0.85416666666666663</v>
      </c>
      <c r="D1783" s="777">
        <v>43935</v>
      </c>
      <c r="E1783" s="730">
        <v>0.375</v>
      </c>
      <c r="F1783" s="558" t="s">
        <v>3405</v>
      </c>
      <c r="G1783" s="558" t="s">
        <v>3347</v>
      </c>
      <c r="H1783" s="558" t="s">
        <v>3451</v>
      </c>
      <c r="I1783" s="679" t="s">
        <v>22</v>
      </c>
      <c r="J1783" s="676" t="s">
        <v>5873</v>
      </c>
      <c r="K1783" s="676">
        <v>51000</v>
      </c>
      <c r="M1783" t="str">
        <f>""</f>
        <v/>
      </c>
    </row>
    <row r="1784" spans="1:13" ht="15.75">
      <c r="A1784">
        <v>2022</v>
      </c>
      <c r="B1784" s="777">
        <v>44595</v>
      </c>
      <c r="C1784" s="730">
        <v>0.53888888888888886</v>
      </c>
      <c r="D1784" s="777">
        <v>44596</v>
      </c>
      <c r="E1784" s="730">
        <v>0.85416666666666663</v>
      </c>
      <c r="F1784" s="558" t="s">
        <v>2895</v>
      </c>
      <c r="G1784" s="558" t="s">
        <v>3143</v>
      </c>
      <c r="H1784" s="558" t="s">
        <v>2753</v>
      </c>
      <c r="I1784" s="679" t="s">
        <v>2990</v>
      </c>
      <c r="J1784" s="676" t="s">
        <v>5873</v>
      </c>
      <c r="K1784" s="676">
        <v>51000</v>
      </c>
      <c r="M1784" t="str">
        <f>""</f>
        <v/>
      </c>
    </row>
    <row r="1785" spans="1:13" ht="15.75">
      <c r="A1785">
        <v>2022</v>
      </c>
      <c r="B1785" s="777">
        <v>44595</v>
      </c>
      <c r="C1785" s="730">
        <v>0.53888888888888886</v>
      </c>
      <c r="D1785" s="777" t="s">
        <v>5873</v>
      </c>
      <c r="E1785" s="730" t="s">
        <v>5873</v>
      </c>
      <c r="F1785" s="558" t="s">
        <v>2895</v>
      </c>
      <c r="G1785" s="558" t="s">
        <v>3143</v>
      </c>
      <c r="H1785" s="558" t="s">
        <v>2753</v>
      </c>
      <c r="I1785" s="679" t="s">
        <v>2990</v>
      </c>
      <c r="J1785" s="676" t="s">
        <v>5873</v>
      </c>
      <c r="K1785" s="676">
        <v>51000</v>
      </c>
      <c r="M1785" t="str">
        <f>""</f>
        <v/>
      </c>
    </row>
    <row r="1786" spans="1:13" ht="15.75">
      <c r="A1786">
        <v>2019</v>
      </c>
      <c r="B1786" s="777">
        <v>43504</v>
      </c>
      <c r="C1786" s="730">
        <v>0.77083333333333337</v>
      </c>
      <c r="D1786" s="777" t="s">
        <v>5873</v>
      </c>
      <c r="E1786" s="730" t="s">
        <v>5873</v>
      </c>
      <c r="F1786" s="558" t="s">
        <v>2575</v>
      </c>
      <c r="G1786" s="558" t="s">
        <v>124</v>
      </c>
      <c r="H1786" s="558" t="s">
        <v>3451</v>
      </c>
      <c r="I1786" s="679" t="s">
        <v>22</v>
      </c>
      <c r="J1786" s="676" t="s">
        <v>5873</v>
      </c>
      <c r="K1786" s="676">
        <v>50940</v>
      </c>
      <c r="M1786" t="str">
        <f>""</f>
        <v/>
      </c>
    </row>
    <row r="1787" spans="1:13" ht="15.75">
      <c r="A1787">
        <v>2016</v>
      </c>
      <c r="B1787" s="777">
        <v>42392</v>
      </c>
      <c r="C1787" s="730">
        <v>0.32569444444444445</v>
      </c>
      <c r="D1787" s="777">
        <v>42392</v>
      </c>
      <c r="E1787" s="730">
        <v>0.37847222222222221</v>
      </c>
      <c r="F1787" s="558" t="s">
        <v>2833</v>
      </c>
      <c r="G1787" s="558" t="s">
        <v>826</v>
      </c>
      <c r="H1787" s="558" t="s">
        <v>2753</v>
      </c>
      <c r="I1787" s="679" t="s">
        <v>2828</v>
      </c>
      <c r="J1787" s="676" t="s">
        <v>5873</v>
      </c>
      <c r="K1787" s="676">
        <v>50900</v>
      </c>
      <c r="M1787" t="str">
        <f>""</f>
        <v/>
      </c>
    </row>
    <row r="1788" spans="1:13" ht="15.75">
      <c r="A1788" s="728">
        <v>2010</v>
      </c>
      <c r="B1788" s="777">
        <v>40350</v>
      </c>
      <c r="C1788" s="730">
        <v>0.57499999999999996</v>
      </c>
      <c r="D1788" s="777">
        <v>40351</v>
      </c>
      <c r="E1788" s="730">
        <v>0.85486111111111107</v>
      </c>
      <c r="F1788" s="558" t="s">
        <v>1966</v>
      </c>
      <c r="G1788" s="558" t="s">
        <v>826</v>
      </c>
      <c r="H1788" s="558" t="s">
        <v>5873</v>
      </c>
      <c r="I1788" s="679" t="s">
        <v>381</v>
      </c>
      <c r="J1788" s="676">
        <v>400</v>
      </c>
      <c r="K1788" s="676">
        <v>50636</v>
      </c>
      <c r="M1788" t="str">
        <f>""</f>
        <v/>
      </c>
    </row>
    <row r="1789" spans="1:13" ht="15.75">
      <c r="A1789">
        <v>2018</v>
      </c>
      <c r="B1789" s="777">
        <v>43419</v>
      </c>
      <c r="C1789" s="730">
        <v>0.4513888888888889</v>
      </c>
      <c r="D1789" s="777">
        <v>43421</v>
      </c>
      <c r="E1789" s="730">
        <v>0.55000000000000004</v>
      </c>
      <c r="F1789" s="558" t="s">
        <v>3256</v>
      </c>
      <c r="G1789" s="558" t="s">
        <v>3143</v>
      </c>
      <c r="H1789" s="558" t="s">
        <v>3451</v>
      </c>
      <c r="I1789" s="679" t="s">
        <v>22</v>
      </c>
      <c r="J1789" s="676" t="s">
        <v>5873</v>
      </c>
      <c r="K1789" s="676">
        <v>50600</v>
      </c>
      <c r="M1789" t="str">
        <f>""</f>
        <v/>
      </c>
    </row>
    <row r="1790" spans="1:13" ht="15.75">
      <c r="A1790" s="728">
        <v>2010</v>
      </c>
      <c r="B1790" s="777">
        <v>40300</v>
      </c>
      <c r="C1790" s="730">
        <v>0.61111111111111116</v>
      </c>
      <c r="D1790" s="777">
        <v>40307</v>
      </c>
      <c r="E1790" s="730">
        <v>0.8125</v>
      </c>
      <c r="F1790" s="558" t="s">
        <v>1920</v>
      </c>
      <c r="G1790" s="558" t="s">
        <v>63</v>
      </c>
      <c r="H1790" s="558" t="s">
        <v>5873</v>
      </c>
      <c r="I1790" s="679" t="s">
        <v>381</v>
      </c>
      <c r="J1790" s="676" t="s">
        <v>5873</v>
      </c>
      <c r="K1790" s="676">
        <v>50500</v>
      </c>
      <c r="M1790" t="str">
        <f>""</f>
        <v/>
      </c>
    </row>
    <row r="1791" spans="1:13" ht="15.75">
      <c r="A1791">
        <v>2015</v>
      </c>
      <c r="B1791" s="777">
        <v>42365</v>
      </c>
      <c r="C1791" s="730">
        <v>0.70833333333333337</v>
      </c>
      <c r="D1791" s="777" t="s">
        <v>5873</v>
      </c>
      <c r="E1791" s="730" t="s">
        <v>5873</v>
      </c>
      <c r="F1791" s="558" t="s">
        <v>10</v>
      </c>
      <c r="G1791" s="558" t="s">
        <v>58</v>
      </c>
      <c r="H1791" s="558" t="s">
        <v>2753</v>
      </c>
      <c r="I1791" s="679" t="s">
        <v>22</v>
      </c>
      <c r="J1791" s="676" t="s">
        <v>5873</v>
      </c>
      <c r="K1791" s="676">
        <v>50500</v>
      </c>
      <c r="M1791" t="str">
        <f>""</f>
        <v/>
      </c>
    </row>
    <row r="1792" spans="1:13" ht="15.75">
      <c r="A1792">
        <v>2016</v>
      </c>
      <c r="B1792" s="777">
        <v>42459</v>
      </c>
      <c r="C1792" s="730">
        <v>0.8833333333333333</v>
      </c>
      <c r="D1792" s="777">
        <v>42460</v>
      </c>
      <c r="E1792" s="730">
        <v>0.625</v>
      </c>
      <c r="F1792" s="558" t="s">
        <v>2855</v>
      </c>
      <c r="G1792" s="558" t="s">
        <v>61</v>
      </c>
      <c r="H1792" s="558" t="s">
        <v>2150</v>
      </c>
      <c r="I1792" s="679" t="s">
        <v>2343</v>
      </c>
      <c r="J1792" s="676">
        <v>200</v>
      </c>
      <c r="K1792" s="676">
        <v>50500</v>
      </c>
      <c r="M1792" t="str">
        <f>""</f>
        <v/>
      </c>
    </row>
    <row r="1793" spans="1:13" ht="15.75">
      <c r="A1793">
        <v>2011</v>
      </c>
      <c r="B1793" s="777">
        <v>40696</v>
      </c>
      <c r="C1793" s="730">
        <v>0.98958333333333337</v>
      </c>
      <c r="D1793" s="777">
        <v>40698</v>
      </c>
      <c r="E1793" s="730">
        <v>0.66666666666666663</v>
      </c>
      <c r="F1793" s="558" t="s">
        <v>2214</v>
      </c>
      <c r="G1793" s="558" t="s">
        <v>63</v>
      </c>
      <c r="H1793" s="558" t="s">
        <v>5873</v>
      </c>
      <c r="I1793" s="679" t="s">
        <v>22</v>
      </c>
      <c r="J1793" s="676">
        <v>0</v>
      </c>
      <c r="K1793" s="676">
        <v>50465</v>
      </c>
      <c r="M1793" t="str">
        <f>""</f>
        <v/>
      </c>
    </row>
    <row r="1794" spans="1:13" ht="15.75">
      <c r="A1794" s="728">
        <v>2010</v>
      </c>
      <c r="B1794" s="777">
        <v>40250</v>
      </c>
      <c r="C1794" s="730">
        <v>0.5</v>
      </c>
      <c r="D1794" s="777">
        <v>40252</v>
      </c>
      <c r="E1794" s="730">
        <v>0.83680555555555558</v>
      </c>
      <c r="F1794" s="558" t="s">
        <v>1579</v>
      </c>
      <c r="G1794" s="558" t="s">
        <v>61</v>
      </c>
      <c r="H1794" s="558" t="s">
        <v>5873</v>
      </c>
      <c r="I1794" s="679" t="s">
        <v>1790</v>
      </c>
      <c r="J1794" s="676">
        <v>50</v>
      </c>
      <c r="K1794" s="676">
        <v>50246</v>
      </c>
      <c r="M1794" t="str">
        <f>""</f>
        <v/>
      </c>
    </row>
    <row r="1795" spans="1:13" ht="15.75">
      <c r="A1795">
        <v>2023</v>
      </c>
      <c r="B1795" s="777">
        <v>45279</v>
      </c>
      <c r="C1795" s="532">
        <v>2.8472222222222222E-2</v>
      </c>
      <c r="D1795" s="678">
        <v>45279</v>
      </c>
      <c r="E1795" s="532">
        <v>3.2638888888888891E-2</v>
      </c>
      <c r="F1795" t="s">
        <v>6030</v>
      </c>
      <c r="G1795" t="s">
        <v>255</v>
      </c>
      <c r="H1795" t="s">
        <v>6031</v>
      </c>
      <c r="I1795" s="677" t="s">
        <v>6062</v>
      </c>
      <c r="J1795" s="783">
        <v>77</v>
      </c>
      <c r="K1795" s="783">
        <v>50204</v>
      </c>
      <c r="M1795" t="str">
        <f>""</f>
        <v/>
      </c>
    </row>
    <row r="1796" spans="1:13" ht="15.75">
      <c r="A1796">
        <v>2022</v>
      </c>
      <c r="B1796" s="777">
        <v>44754</v>
      </c>
      <c r="C1796" s="730">
        <v>0.75</v>
      </c>
      <c r="D1796" s="777">
        <v>44754</v>
      </c>
      <c r="E1796" s="730">
        <v>0.91666666666666663</v>
      </c>
      <c r="F1796" s="558" t="s">
        <v>3917</v>
      </c>
      <c r="G1796" s="558" t="s">
        <v>3143</v>
      </c>
      <c r="H1796" s="558" t="s">
        <v>2753</v>
      </c>
      <c r="I1796" s="679" t="s">
        <v>22</v>
      </c>
      <c r="J1796" s="676" t="s">
        <v>5873</v>
      </c>
      <c r="K1796" s="676">
        <v>50200</v>
      </c>
      <c r="M1796" t="str">
        <f>""</f>
        <v/>
      </c>
    </row>
    <row r="1797" spans="1:13" ht="15.75">
      <c r="A1797">
        <v>2015</v>
      </c>
      <c r="B1797" s="777">
        <v>42250</v>
      </c>
      <c r="C1797" s="730">
        <v>0.10625</v>
      </c>
      <c r="D1797" s="777">
        <v>42250</v>
      </c>
      <c r="E1797" s="730">
        <v>0.2673611111111111</v>
      </c>
      <c r="F1797" s="558" t="s">
        <v>1833</v>
      </c>
      <c r="G1797" s="558" t="s">
        <v>826</v>
      </c>
      <c r="H1797" s="558" t="s">
        <v>2753</v>
      </c>
      <c r="I1797" s="679" t="s">
        <v>22</v>
      </c>
      <c r="J1797" s="676" t="s">
        <v>5873</v>
      </c>
      <c r="K1797" s="676">
        <v>50114</v>
      </c>
      <c r="M1797" t="str">
        <f>""</f>
        <v/>
      </c>
    </row>
    <row r="1798" spans="1:13" ht="15.75">
      <c r="A1798" s="728">
        <v>2010</v>
      </c>
      <c r="B1798" s="777">
        <v>40380</v>
      </c>
      <c r="C1798" s="730">
        <v>0.78055555555555556</v>
      </c>
      <c r="D1798" s="777">
        <v>40380</v>
      </c>
      <c r="E1798" s="730">
        <v>0.83333333333333337</v>
      </c>
      <c r="F1798" s="558" t="s">
        <v>1579</v>
      </c>
      <c r="G1798" s="558" t="s">
        <v>61</v>
      </c>
      <c r="H1798" s="558" t="s">
        <v>5873</v>
      </c>
      <c r="I1798" s="679" t="s">
        <v>381</v>
      </c>
      <c r="J1798" s="676" t="s">
        <v>5873</v>
      </c>
      <c r="K1798" s="676">
        <v>50100</v>
      </c>
      <c r="M1798" t="str">
        <f>""</f>
        <v/>
      </c>
    </row>
    <row r="1799" spans="1:13" ht="15.75">
      <c r="A1799">
        <v>2018</v>
      </c>
      <c r="B1799" s="777">
        <v>43358</v>
      </c>
      <c r="C1799" s="730">
        <v>4.5138888888888888E-2</v>
      </c>
      <c r="D1799" s="777">
        <v>43360</v>
      </c>
      <c r="E1799" s="730">
        <v>0.66666666666666663</v>
      </c>
      <c r="F1799" s="558" t="s">
        <v>3481</v>
      </c>
      <c r="G1799" s="558" t="s">
        <v>63</v>
      </c>
      <c r="H1799" s="558" t="s">
        <v>3451</v>
      </c>
      <c r="I1799" s="679" t="s">
        <v>22</v>
      </c>
      <c r="J1799" s="676" t="s">
        <v>5873</v>
      </c>
      <c r="K1799" s="676">
        <v>50100</v>
      </c>
      <c r="M1799" t="str">
        <f>""</f>
        <v/>
      </c>
    </row>
    <row r="1800" spans="1:13" ht="15.75">
      <c r="A1800">
        <v>2019</v>
      </c>
      <c r="B1800" s="777">
        <v>43737</v>
      </c>
      <c r="C1800" s="730">
        <v>0.31805555555555554</v>
      </c>
      <c r="D1800" s="777" t="s">
        <v>5873</v>
      </c>
      <c r="E1800" s="730" t="s">
        <v>5873</v>
      </c>
      <c r="F1800" s="558" t="s">
        <v>3967</v>
      </c>
      <c r="G1800" s="558" t="s">
        <v>124</v>
      </c>
      <c r="H1800" s="558" t="s">
        <v>3451</v>
      </c>
      <c r="I1800" s="679" t="s">
        <v>2490</v>
      </c>
      <c r="J1800" s="676" t="s">
        <v>5873</v>
      </c>
      <c r="K1800" s="676">
        <v>50072</v>
      </c>
      <c r="M1800" t="str">
        <f>""</f>
        <v/>
      </c>
    </row>
    <row r="1801" spans="1:13" ht="15.75">
      <c r="A1801">
        <v>2012</v>
      </c>
      <c r="B1801" s="777">
        <v>41095.791666666664</v>
      </c>
      <c r="C1801" s="730">
        <v>41095.791666666664</v>
      </c>
      <c r="D1801" s="777">
        <v>41096.666666666664</v>
      </c>
      <c r="E1801" s="730">
        <v>41096.666666666664</v>
      </c>
      <c r="F1801" s="558" t="s">
        <v>2180</v>
      </c>
      <c r="G1801" s="558" t="s">
        <v>63</v>
      </c>
      <c r="H1801" s="558" t="s">
        <v>5873</v>
      </c>
      <c r="I1801" s="679" t="s">
        <v>2414</v>
      </c>
      <c r="J1801" s="676" t="s">
        <v>5873</v>
      </c>
      <c r="K1801" s="676">
        <v>50001</v>
      </c>
      <c r="M1801" t="str">
        <f>""</f>
        <v/>
      </c>
    </row>
    <row r="1802" spans="1:13" ht="15.75">
      <c r="A1802" s="728">
        <v>2010</v>
      </c>
      <c r="B1802" s="777">
        <v>40197</v>
      </c>
      <c r="C1802" s="730">
        <v>0.60416666666666663</v>
      </c>
      <c r="D1802" s="777">
        <v>40198</v>
      </c>
      <c r="E1802" s="730">
        <v>0.625</v>
      </c>
      <c r="F1802" s="558" t="s">
        <v>1852</v>
      </c>
      <c r="G1802" s="558" t="s">
        <v>124</v>
      </c>
      <c r="H1802" s="558" t="s">
        <v>5873</v>
      </c>
      <c r="I1802" s="679" t="s">
        <v>362</v>
      </c>
      <c r="J1802" s="676">
        <v>2650</v>
      </c>
      <c r="K1802" s="676">
        <v>50000</v>
      </c>
      <c r="M1802" t="str">
        <f>""</f>
        <v/>
      </c>
    </row>
    <row r="1803" spans="1:13" ht="15.75">
      <c r="A1803">
        <v>2011</v>
      </c>
      <c r="B1803" s="777">
        <v>40599</v>
      </c>
      <c r="C1803" s="730">
        <v>0.63888888888888884</v>
      </c>
      <c r="D1803" s="777">
        <v>40599</v>
      </c>
      <c r="E1803" s="730">
        <v>0.75</v>
      </c>
      <c r="F1803" s="558" t="s">
        <v>2004</v>
      </c>
      <c r="G1803" s="558" t="s">
        <v>63</v>
      </c>
      <c r="H1803" s="558" t="s">
        <v>5873</v>
      </c>
      <c r="I1803" s="679" t="s">
        <v>22</v>
      </c>
      <c r="J1803" s="676" t="s">
        <v>5873</v>
      </c>
      <c r="K1803" s="676">
        <v>50000</v>
      </c>
      <c r="M1803" t="str">
        <f>""</f>
        <v/>
      </c>
    </row>
    <row r="1804" spans="1:13" ht="15.75">
      <c r="A1804">
        <v>2011</v>
      </c>
      <c r="B1804" s="777">
        <v>40633</v>
      </c>
      <c r="C1804" s="730">
        <v>0.60416666666666663</v>
      </c>
      <c r="D1804" s="777">
        <v>40634</v>
      </c>
      <c r="E1804" s="730">
        <v>0.99930555555555556</v>
      </c>
      <c r="F1804" s="558" t="s">
        <v>2161</v>
      </c>
      <c r="G1804" s="558" t="s">
        <v>301</v>
      </c>
      <c r="H1804" s="558" t="s">
        <v>5873</v>
      </c>
      <c r="I1804" s="679" t="s">
        <v>22</v>
      </c>
      <c r="J1804" s="676" t="s">
        <v>5873</v>
      </c>
      <c r="K1804" s="676">
        <v>50000</v>
      </c>
      <c r="M1804" t="str">
        <f>""</f>
        <v/>
      </c>
    </row>
    <row r="1805" spans="1:13" ht="15.75">
      <c r="A1805">
        <v>2011</v>
      </c>
      <c r="B1805" s="777">
        <v>40783</v>
      </c>
      <c r="C1805" s="730">
        <v>0.50694444444444442</v>
      </c>
      <c r="D1805" s="777">
        <v>40783</v>
      </c>
      <c r="E1805" s="730">
        <v>0.50763888888888886</v>
      </c>
      <c r="F1805" s="558" t="s">
        <v>2281</v>
      </c>
      <c r="G1805" s="558" t="s">
        <v>61</v>
      </c>
      <c r="H1805" s="558" t="s">
        <v>5873</v>
      </c>
      <c r="I1805" s="679" t="s">
        <v>22</v>
      </c>
      <c r="J1805" s="676" t="s">
        <v>5873</v>
      </c>
      <c r="K1805" s="676">
        <v>50000</v>
      </c>
      <c r="M1805" t="str">
        <f>""</f>
        <v/>
      </c>
    </row>
    <row r="1806" spans="1:13" ht="15.75">
      <c r="A1806">
        <v>2011</v>
      </c>
      <c r="B1806" s="777">
        <v>40783</v>
      </c>
      <c r="C1806" s="730">
        <v>0.20902777777777778</v>
      </c>
      <c r="D1806" s="777">
        <v>40789</v>
      </c>
      <c r="E1806" s="730">
        <v>0.20902777777777778</v>
      </c>
      <c r="F1806" s="558" t="s">
        <v>2283</v>
      </c>
      <c r="G1806" s="558" t="s">
        <v>61</v>
      </c>
      <c r="H1806" s="558" t="s">
        <v>5873</v>
      </c>
      <c r="I1806" s="679" t="s">
        <v>22</v>
      </c>
      <c r="J1806" s="676" t="s">
        <v>5873</v>
      </c>
      <c r="K1806" s="676">
        <v>50000</v>
      </c>
      <c r="M1806" t="str">
        <f>""</f>
        <v/>
      </c>
    </row>
    <row r="1807" spans="1:13" ht="15.75">
      <c r="A1807">
        <v>2011</v>
      </c>
      <c r="B1807" s="777">
        <v>40845</v>
      </c>
      <c r="C1807" s="730">
        <v>0.37430555555555556</v>
      </c>
      <c r="D1807" s="777">
        <v>40854</v>
      </c>
      <c r="E1807" s="730">
        <v>0.625</v>
      </c>
      <c r="F1807" s="558" t="s">
        <v>171</v>
      </c>
      <c r="G1807" s="558" t="s">
        <v>826</v>
      </c>
      <c r="H1807" s="558" t="s">
        <v>5873</v>
      </c>
      <c r="I1807" s="679" t="s">
        <v>22</v>
      </c>
      <c r="J1807" s="676" t="s">
        <v>5873</v>
      </c>
      <c r="K1807" s="676">
        <v>50000</v>
      </c>
      <c r="M1807" t="str">
        <f>""</f>
        <v/>
      </c>
    </row>
    <row r="1808" spans="1:13" ht="15.75">
      <c r="A1808">
        <v>2011</v>
      </c>
      <c r="B1808" s="777">
        <v>40845</v>
      </c>
      <c r="C1808" s="730">
        <v>0.67777777777777781</v>
      </c>
      <c r="D1808" s="777">
        <v>40849</v>
      </c>
      <c r="E1808" s="730">
        <v>0.89583333333333337</v>
      </c>
      <c r="F1808" s="558" t="s">
        <v>2324</v>
      </c>
      <c r="G1808" s="558" t="s">
        <v>61</v>
      </c>
      <c r="H1808" s="558" t="s">
        <v>5873</v>
      </c>
      <c r="I1808" s="679" t="s">
        <v>22</v>
      </c>
      <c r="J1808" s="676" t="s">
        <v>5873</v>
      </c>
      <c r="K1808" s="676">
        <v>50000</v>
      </c>
      <c r="M1808" t="str">
        <f>""</f>
        <v/>
      </c>
    </row>
    <row r="1809" spans="1:13" ht="15.75">
      <c r="A1809">
        <v>2012</v>
      </c>
      <c r="B1809" s="777">
        <v>41150.375</v>
      </c>
      <c r="C1809" s="730">
        <v>41150.375</v>
      </c>
      <c r="D1809" s="777">
        <v>41152.5</v>
      </c>
      <c r="E1809" s="730">
        <v>41152.5</v>
      </c>
      <c r="F1809" s="558" t="s">
        <v>1577</v>
      </c>
      <c r="G1809" s="558" t="s">
        <v>63</v>
      </c>
      <c r="H1809" s="558" t="s">
        <v>5873</v>
      </c>
      <c r="I1809" s="679" t="s">
        <v>2433</v>
      </c>
      <c r="J1809" s="676">
        <v>300</v>
      </c>
      <c r="K1809" s="676">
        <v>50000</v>
      </c>
      <c r="M1809" t="str">
        <f>""</f>
        <v/>
      </c>
    </row>
    <row r="1810" spans="1:13" ht="15.75">
      <c r="A1810">
        <v>2012</v>
      </c>
      <c r="B1810" s="777">
        <v>41211.611111111109</v>
      </c>
      <c r="C1810" s="730">
        <v>41211.611111111109</v>
      </c>
      <c r="D1810" s="777">
        <v>41212.761111111111</v>
      </c>
      <c r="E1810" s="730">
        <v>41212.761111111111</v>
      </c>
      <c r="F1810" s="558" t="s">
        <v>2450</v>
      </c>
      <c r="G1810" s="558" t="s">
        <v>61</v>
      </c>
      <c r="H1810" s="558" t="s">
        <v>5873</v>
      </c>
      <c r="I1810" s="679" t="s">
        <v>2448</v>
      </c>
      <c r="J1810" s="676" t="s">
        <v>5873</v>
      </c>
      <c r="K1810" s="676">
        <v>50000</v>
      </c>
      <c r="M1810" t="str">
        <f>""</f>
        <v/>
      </c>
    </row>
    <row r="1811" spans="1:13" ht="15.75">
      <c r="A1811">
        <v>2012</v>
      </c>
      <c r="B1811" s="777">
        <v>41211.614583333336</v>
      </c>
      <c r="C1811" s="730">
        <v>41211.614583333336</v>
      </c>
      <c r="D1811" s="777">
        <v>41214.0625</v>
      </c>
      <c r="E1811" s="730">
        <v>41214.0625</v>
      </c>
      <c r="F1811" s="558" t="s">
        <v>2281</v>
      </c>
      <c r="G1811" s="558" t="s">
        <v>61</v>
      </c>
      <c r="H1811" s="558" t="s">
        <v>5873</v>
      </c>
      <c r="I1811" s="679" t="s">
        <v>2448</v>
      </c>
      <c r="J1811" s="676" t="s">
        <v>5873</v>
      </c>
      <c r="K1811" s="676">
        <v>50000</v>
      </c>
      <c r="M1811" t="str">
        <f>""</f>
        <v/>
      </c>
    </row>
    <row r="1812" spans="1:13" ht="15.75">
      <c r="A1812">
        <v>2012</v>
      </c>
      <c r="B1812" s="777">
        <v>41211.668749999997</v>
      </c>
      <c r="C1812" s="730">
        <v>41211.668749999997</v>
      </c>
      <c r="D1812" s="777">
        <v>41219</v>
      </c>
      <c r="E1812" s="730">
        <v>0.5</v>
      </c>
      <c r="F1812" s="558" t="s">
        <v>2288</v>
      </c>
      <c r="G1812" s="558" t="s">
        <v>61</v>
      </c>
      <c r="H1812" s="558" t="s">
        <v>5873</v>
      </c>
      <c r="I1812" s="679" t="s">
        <v>2448</v>
      </c>
      <c r="J1812" s="676" t="s">
        <v>5873</v>
      </c>
      <c r="K1812" s="676">
        <v>50000</v>
      </c>
      <c r="M1812" t="str">
        <f>""</f>
        <v/>
      </c>
    </row>
    <row r="1813" spans="1:13" ht="15.75">
      <c r="A1813">
        <v>2012</v>
      </c>
      <c r="B1813" s="777">
        <v>41211.697916666664</v>
      </c>
      <c r="C1813" s="730">
        <v>41211.697916666664</v>
      </c>
      <c r="D1813" s="777">
        <v>41213.458333333336</v>
      </c>
      <c r="E1813" s="730">
        <v>41213.458333333336</v>
      </c>
      <c r="F1813" s="558" t="s">
        <v>1115</v>
      </c>
      <c r="G1813" s="558" t="s">
        <v>61</v>
      </c>
      <c r="H1813" s="558" t="s">
        <v>5873</v>
      </c>
      <c r="I1813" s="679" t="s">
        <v>2448</v>
      </c>
      <c r="J1813" s="676" t="s">
        <v>5873</v>
      </c>
      <c r="K1813" s="676">
        <v>50000</v>
      </c>
      <c r="M1813" t="str">
        <f>""</f>
        <v/>
      </c>
    </row>
    <row r="1814" spans="1:13" ht="15.75">
      <c r="A1814">
        <v>2012</v>
      </c>
      <c r="B1814" s="777">
        <v>41211.802083333336</v>
      </c>
      <c r="C1814" s="730">
        <v>41211.802083333336</v>
      </c>
      <c r="D1814" s="777">
        <v>41212.626388888886</v>
      </c>
      <c r="E1814" s="730">
        <v>41212.626388888886</v>
      </c>
      <c r="F1814" s="558" t="s">
        <v>2464</v>
      </c>
      <c r="G1814" s="558" t="s">
        <v>61</v>
      </c>
      <c r="H1814" s="558" t="s">
        <v>5873</v>
      </c>
      <c r="I1814" s="679" t="s">
        <v>2448</v>
      </c>
      <c r="J1814" s="676" t="s">
        <v>5873</v>
      </c>
      <c r="K1814" s="676">
        <v>50000</v>
      </c>
      <c r="M1814" t="str">
        <f>""</f>
        <v/>
      </c>
    </row>
    <row r="1815" spans="1:13" ht="15.75">
      <c r="A1815">
        <v>2013</v>
      </c>
      <c r="B1815" s="777">
        <v>41313</v>
      </c>
      <c r="C1815" s="730">
        <v>0.83333333333333337</v>
      </c>
      <c r="D1815" s="777">
        <v>41316</v>
      </c>
      <c r="E1815" s="730">
        <v>0.85416666666666663</v>
      </c>
      <c r="F1815" s="558" t="s">
        <v>2495</v>
      </c>
      <c r="G1815" s="558" t="s">
        <v>61</v>
      </c>
      <c r="H1815" s="558" t="s">
        <v>5873</v>
      </c>
      <c r="I1815" s="679" t="s">
        <v>2496</v>
      </c>
      <c r="J1815" s="676" t="s">
        <v>5873</v>
      </c>
      <c r="K1815" s="676">
        <v>50000</v>
      </c>
      <c r="M1815" t="str">
        <f>""</f>
        <v/>
      </c>
    </row>
    <row r="1816" spans="1:13" ht="15.75">
      <c r="A1816">
        <v>2013</v>
      </c>
      <c r="B1816" s="777">
        <v>41313</v>
      </c>
      <c r="C1816" s="730">
        <v>0.87152777777777779</v>
      </c>
      <c r="D1816" s="777">
        <v>41317</v>
      </c>
      <c r="E1816" s="730">
        <v>0.16666666666666666</v>
      </c>
      <c r="F1816" s="558" t="s">
        <v>2497</v>
      </c>
      <c r="G1816" s="558" t="s">
        <v>61</v>
      </c>
      <c r="H1816" s="558" t="s">
        <v>5873</v>
      </c>
      <c r="I1816" s="679" t="s">
        <v>2496</v>
      </c>
      <c r="J1816" s="676" t="s">
        <v>5873</v>
      </c>
      <c r="K1816" s="676">
        <v>50000</v>
      </c>
      <c r="M1816" t="str">
        <f>""</f>
        <v/>
      </c>
    </row>
    <row r="1817" spans="1:13" ht="15.75">
      <c r="A1817">
        <v>2013</v>
      </c>
      <c r="B1817" s="777">
        <v>41595</v>
      </c>
      <c r="C1817" s="730">
        <v>0.69791666666666663</v>
      </c>
      <c r="D1817" s="777">
        <v>41599</v>
      </c>
      <c r="E1817" s="730">
        <v>0.69791666666666663</v>
      </c>
      <c r="F1817" s="558" t="s">
        <v>2624</v>
      </c>
      <c r="G1817" s="558" t="s">
        <v>826</v>
      </c>
      <c r="H1817" s="558" t="s">
        <v>5873</v>
      </c>
      <c r="I1817" s="679" t="s">
        <v>2368</v>
      </c>
      <c r="J1817" s="676" t="s">
        <v>5873</v>
      </c>
      <c r="K1817" s="676">
        <v>50000</v>
      </c>
      <c r="M1817" t="str">
        <f>""</f>
        <v/>
      </c>
    </row>
    <row r="1818" spans="1:13" ht="15.75">
      <c r="A1818">
        <v>2013</v>
      </c>
      <c r="B1818" s="777">
        <v>41630</v>
      </c>
      <c r="C1818" s="730">
        <v>0.14444444444444443</v>
      </c>
      <c r="D1818" s="777">
        <v>41636</v>
      </c>
      <c r="E1818" s="730">
        <v>0.98958333333333337</v>
      </c>
      <c r="F1818" s="558" t="s">
        <v>2639</v>
      </c>
      <c r="G1818" s="558" t="s">
        <v>826</v>
      </c>
      <c r="H1818" s="558" t="s">
        <v>5873</v>
      </c>
      <c r="I1818" s="679" t="s">
        <v>2634</v>
      </c>
      <c r="J1818" s="676" t="s">
        <v>5873</v>
      </c>
      <c r="K1818" s="676">
        <v>50000</v>
      </c>
      <c r="M1818" t="str">
        <f>""</f>
        <v/>
      </c>
    </row>
    <row r="1819" spans="1:13" ht="15.75">
      <c r="A1819">
        <v>2014</v>
      </c>
      <c r="B1819" s="777">
        <v>41741</v>
      </c>
      <c r="C1819" s="730">
        <v>0.76041666666666663</v>
      </c>
      <c r="D1819" s="777">
        <v>41743</v>
      </c>
      <c r="E1819" s="730">
        <v>0.375</v>
      </c>
      <c r="F1819" s="558" t="s">
        <v>2682</v>
      </c>
      <c r="G1819" s="558" t="s">
        <v>826</v>
      </c>
      <c r="H1819" s="558" t="s">
        <v>5873</v>
      </c>
      <c r="I1819" s="679" t="s">
        <v>2368</v>
      </c>
      <c r="J1819" s="676" t="s">
        <v>5873</v>
      </c>
      <c r="K1819" s="676">
        <v>50000</v>
      </c>
      <c r="M1819" t="str">
        <f>""</f>
        <v/>
      </c>
    </row>
    <row r="1820" spans="1:13" ht="15.75">
      <c r="A1820">
        <v>2015</v>
      </c>
      <c r="B1820" s="777">
        <v>42056</v>
      </c>
      <c r="C1820" s="730">
        <v>0.35694444444444445</v>
      </c>
      <c r="D1820" s="777">
        <v>42056</v>
      </c>
      <c r="E1820" s="730">
        <v>0.53125</v>
      </c>
      <c r="F1820" s="558" t="s">
        <v>2757</v>
      </c>
      <c r="G1820" s="558" t="s">
        <v>63</v>
      </c>
      <c r="H1820" s="558" t="s">
        <v>2753</v>
      </c>
      <c r="I1820" s="679" t="s">
        <v>2745</v>
      </c>
      <c r="J1820" s="676" t="s">
        <v>5873</v>
      </c>
      <c r="K1820" s="676">
        <v>50000</v>
      </c>
      <c r="M1820" t="str">
        <f>""</f>
        <v/>
      </c>
    </row>
    <row r="1821" spans="1:13" ht="15.75">
      <c r="A1821">
        <v>2017</v>
      </c>
      <c r="B1821" s="777">
        <v>42802</v>
      </c>
      <c r="C1821" s="730">
        <v>0.6479166666666667</v>
      </c>
      <c r="D1821" s="777" t="s">
        <v>5873</v>
      </c>
      <c r="E1821" s="730" t="s">
        <v>5873</v>
      </c>
      <c r="F1821" s="558" t="s">
        <v>30</v>
      </c>
      <c r="G1821" s="558" t="s">
        <v>61</v>
      </c>
      <c r="H1821" s="558" t="s">
        <v>2753</v>
      </c>
      <c r="I1821" s="679" t="s">
        <v>22</v>
      </c>
      <c r="J1821" s="676" t="s">
        <v>5873</v>
      </c>
      <c r="K1821" s="676">
        <v>50000</v>
      </c>
      <c r="M1821" t="str">
        <f>""</f>
        <v/>
      </c>
    </row>
    <row r="1822" spans="1:13" ht="15.75">
      <c r="A1822">
        <v>2018</v>
      </c>
      <c r="B1822" s="777">
        <v>43161</v>
      </c>
      <c r="C1822" s="730">
        <v>0.48194444444444445</v>
      </c>
      <c r="D1822" s="777" t="s">
        <v>5873</v>
      </c>
      <c r="E1822" s="730" t="s">
        <v>5873</v>
      </c>
      <c r="F1822" s="558" t="s">
        <v>2868</v>
      </c>
      <c r="G1822" s="558" t="s">
        <v>61</v>
      </c>
      <c r="H1822" s="558" t="s">
        <v>2753</v>
      </c>
      <c r="I1822" s="679" t="s">
        <v>22</v>
      </c>
      <c r="J1822" s="676" t="s">
        <v>5873</v>
      </c>
      <c r="K1822" s="676">
        <v>50000</v>
      </c>
      <c r="M1822" t="str">
        <f>""</f>
        <v/>
      </c>
    </row>
    <row r="1823" spans="1:13" ht="15.75">
      <c r="A1823">
        <v>2018</v>
      </c>
      <c r="B1823" s="777">
        <v>43343</v>
      </c>
      <c r="C1823" s="730">
        <v>0.62986111111111109</v>
      </c>
      <c r="D1823" s="777">
        <v>43343</v>
      </c>
      <c r="E1823" s="730">
        <v>0.64652777777777781</v>
      </c>
      <c r="F1823" s="558" t="s">
        <v>2933</v>
      </c>
      <c r="G1823" s="558" t="s">
        <v>124</v>
      </c>
      <c r="H1823" s="558" t="s">
        <v>3411</v>
      </c>
      <c r="I1823" s="679" t="s">
        <v>3465</v>
      </c>
      <c r="J1823" s="676">
        <v>96</v>
      </c>
      <c r="K1823" s="676">
        <v>50000</v>
      </c>
      <c r="M1823" t="str">
        <f>""</f>
        <v/>
      </c>
    </row>
    <row r="1824" spans="1:13" ht="15.75">
      <c r="A1824">
        <v>2018</v>
      </c>
      <c r="B1824" s="777">
        <v>43359</v>
      </c>
      <c r="C1824" s="730">
        <v>0.33333333333333331</v>
      </c>
      <c r="D1824" s="777">
        <v>43361</v>
      </c>
      <c r="E1824" s="730">
        <v>0.81944444444444442</v>
      </c>
      <c r="F1824" s="558" t="s">
        <v>2832</v>
      </c>
      <c r="G1824" s="558" t="s">
        <v>63</v>
      </c>
      <c r="H1824" s="558" t="s">
        <v>3451</v>
      </c>
      <c r="I1824" s="679" t="s">
        <v>22</v>
      </c>
      <c r="J1824" s="676" t="s">
        <v>5873</v>
      </c>
      <c r="K1824" s="676">
        <v>50000</v>
      </c>
      <c r="M1824" t="str">
        <f>""</f>
        <v/>
      </c>
    </row>
    <row r="1825" spans="1:13" ht="15.75">
      <c r="A1825">
        <v>2018</v>
      </c>
      <c r="B1825" s="777">
        <v>43443</v>
      </c>
      <c r="C1825" s="730">
        <v>0.14930555555555555</v>
      </c>
      <c r="D1825" s="777">
        <v>43444</v>
      </c>
      <c r="E1825" s="730">
        <v>0.98958333333333337</v>
      </c>
      <c r="F1825" s="558" t="s">
        <v>2928</v>
      </c>
      <c r="G1825" s="558" t="s">
        <v>63</v>
      </c>
      <c r="H1825" s="558" t="s">
        <v>3451</v>
      </c>
      <c r="I1825" s="679" t="s">
        <v>2990</v>
      </c>
      <c r="J1825" s="676" t="s">
        <v>5873</v>
      </c>
      <c r="K1825" s="676">
        <v>50000</v>
      </c>
      <c r="M1825" t="str">
        <f>""</f>
        <v/>
      </c>
    </row>
    <row r="1826" spans="1:13" ht="15.75">
      <c r="A1826">
        <v>2019</v>
      </c>
      <c r="B1826" s="777">
        <v>43637</v>
      </c>
      <c r="C1826" s="730">
        <v>0.80208333333333337</v>
      </c>
      <c r="D1826" s="777" t="s">
        <v>5873</v>
      </c>
      <c r="E1826" s="730" t="s">
        <v>5873</v>
      </c>
      <c r="F1826" s="558" t="s">
        <v>3824</v>
      </c>
      <c r="G1826" s="558" t="s">
        <v>63</v>
      </c>
      <c r="H1826" s="558" t="s">
        <v>3431</v>
      </c>
      <c r="I1826" s="679" t="s">
        <v>22</v>
      </c>
      <c r="J1826" s="676" t="s">
        <v>5873</v>
      </c>
      <c r="K1826" s="676">
        <v>50000</v>
      </c>
      <c r="M1826" t="str">
        <f>""</f>
        <v/>
      </c>
    </row>
    <row r="1827" spans="1:13" ht="15.75">
      <c r="A1827">
        <v>2019</v>
      </c>
      <c r="B1827" s="777">
        <v>43666</v>
      </c>
      <c r="C1827" s="730">
        <v>0.49652777777777779</v>
      </c>
      <c r="D1827" s="777">
        <v>43669</v>
      </c>
      <c r="E1827" s="730">
        <v>0</v>
      </c>
      <c r="F1827" s="558" t="s">
        <v>3876</v>
      </c>
      <c r="G1827" s="558" t="s">
        <v>3143</v>
      </c>
      <c r="H1827" s="558" t="s">
        <v>3451</v>
      </c>
      <c r="I1827" s="679" t="s">
        <v>22</v>
      </c>
      <c r="J1827" s="676">
        <v>200</v>
      </c>
      <c r="K1827" s="676">
        <v>50000</v>
      </c>
      <c r="M1827" t="str">
        <f>""</f>
        <v/>
      </c>
    </row>
    <row r="1828" spans="1:13" ht="15.75">
      <c r="A1828">
        <v>2019</v>
      </c>
      <c r="B1828" s="777">
        <v>43761</v>
      </c>
      <c r="C1828" s="730">
        <v>0.60833333333333328</v>
      </c>
      <c r="D1828" s="777" t="s">
        <v>5873</v>
      </c>
      <c r="E1828" s="730" t="s">
        <v>5873</v>
      </c>
      <c r="F1828" s="558" t="s">
        <v>2945</v>
      </c>
      <c r="G1828" s="558" t="s">
        <v>124</v>
      </c>
      <c r="H1828" s="558" t="s">
        <v>3451</v>
      </c>
      <c r="I1828" s="679" t="s">
        <v>2990</v>
      </c>
      <c r="J1828" s="676" t="s">
        <v>5873</v>
      </c>
      <c r="K1828" s="676">
        <v>50000</v>
      </c>
      <c r="M1828" t="str">
        <f>""</f>
        <v/>
      </c>
    </row>
    <row r="1829" spans="1:13" ht="15.75">
      <c r="A1829">
        <v>2020</v>
      </c>
      <c r="B1829" s="777">
        <v>44070</v>
      </c>
      <c r="C1829" s="730">
        <v>0.20833333333333334</v>
      </c>
      <c r="D1829" s="777">
        <v>44077</v>
      </c>
      <c r="E1829" s="730">
        <v>0.5</v>
      </c>
      <c r="F1829" s="558" t="s">
        <v>2866</v>
      </c>
      <c r="G1829" s="558" t="s">
        <v>63</v>
      </c>
      <c r="H1829" s="558" t="s">
        <v>3451</v>
      </c>
      <c r="I1829" s="679" t="s">
        <v>22</v>
      </c>
      <c r="J1829" s="676">
        <v>200</v>
      </c>
      <c r="K1829" s="676">
        <v>50000</v>
      </c>
      <c r="M1829" t="str">
        <f>""</f>
        <v/>
      </c>
    </row>
    <row r="1830" spans="1:13" ht="15.75">
      <c r="A1830">
        <v>2020</v>
      </c>
      <c r="B1830" s="777">
        <v>44113</v>
      </c>
      <c r="C1830" s="730">
        <v>0.83333333333333337</v>
      </c>
      <c r="D1830" s="777">
        <v>44119</v>
      </c>
      <c r="E1830" s="730">
        <v>0.29166666666666669</v>
      </c>
      <c r="F1830" s="558" t="s">
        <v>2866</v>
      </c>
      <c r="G1830" s="558" t="s">
        <v>63</v>
      </c>
      <c r="H1830" s="558" t="s">
        <v>3451</v>
      </c>
      <c r="I1830" s="679" t="s">
        <v>22</v>
      </c>
      <c r="J1830" s="676">
        <v>200</v>
      </c>
      <c r="K1830" s="676">
        <v>50000</v>
      </c>
      <c r="M1830" t="str">
        <f>""</f>
        <v/>
      </c>
    </row>
    <row r="1831" spans="1:13" ht="15.75">
      <c r="A1831">
        <v>2020</v>
      </c>
      <c r="B1831" s="777">
        <v>44113</v>
      </c>
      <c r="C1831" s="730">
        <v>0.83333333333333337</v>
      </c>
      <c r="D1831" s="777">
        <v>44114</v>
      </c>
      <c r="E1831" s="730">
        <v>0.25</v>
      </c>
      <c r="F1831" s="558" t="s">
        <v>4532</v>
      </c>
      <c r="G1831" s="558" t="s">
        <v>63</v>
      </c>
      <c r="H1831" s="558" t="s">
        <v>3451</v>
      </c>
      <c r="I1831" s="679" t="s">
        <v>22</v>
      </c>
      <c r="J1831" s="676" t="s">
        <v>5873</v>
      </c>
      <c r="K1831" s="676">
        <v>50000</v>
      </c>
      <c r="M1831" t="str">
        <f>""</f>
        <v/>
      </c>
    </row>
    <row r="1832" spans="1:13" ht="15.75">
      <c r="A1832">
        <v>2021</v>
      </c>
      <c r="B1832" s="777">
        <v>44437</v>
      </c>
      <c r="C1832" s="730">
        <v>0.94374999999999998</v>
      </c>
      <c r="D1832" s="777">
        <v>44442</v>
      </c>
      <c r="E1832" s="730">
        <v>0.35972222222222222</v>
      </c>
      <c r="F1832" s="558" t="s">
        <v>2866</v>
      </c>
      <c r="G1832" s="558" t="s">
        <v>63</v>
      </c>
      <c r="H1832" s="558" t="s">
        <v>2753</v>
      </c>
      <c r="I1832" s="679" t="s">
        <v>22</v>
      </c>
      <c r="J1832" s="676" t="s">
        <v>5873</v>
      </c>
      <c r="K1832" s="676">
        <v>50000</v>
      </c>
      <c r="M1832" t="str">
        <f>""</f>
        <v/>
      </c>
    </row>
    <row r="1833" spans="1:13" ht="15.75">
      <c r="A1833">
        <v>2022</v>
      </c>
      <c r="B1833" s="777">
        <v>44870</v>
      </c>
      <c r="C1833" s="730">
        <v>0.79166666666666663</v>
      </c>
      <c r="D1833" s="777" t="s">
        <v>5873</v>
      </c>
      <c r="E1833" s="730" t="s">
        <v>5873</v>
      </c>
      <c r="F1833" s="558" t="s">
        <v>3554</v>
      </c>
      <c r="G1833" s="558" t="s">
        <v>4935</v>
      </c>
      <c r="H1833" s="558" t="s">
        <v>2753</v>
      </c>
      <c r="I1833" s="679" t="s">
        <v>22</v>
      </c>
      <c r="J1833" s="676" t="s">
        <v>5873</v>
      </c>
      <c r="K1833" s="676">
        <v>50000</v>
      </c>
      <c r="M1833" t="str">
        <f>""</f>
        <v/>
      </c>
    </row>
    <row r="1834" spans="1:13" ht="15.75">
      <c r="A1834">
        <v>2018</v>
      </c>
      <c r="B1834" s="777">
        <v>43235</v>
      </c>
      <c r="C1834" s="730">
        <v>0.71875</v>
      </c>
      <c r="D1834" s="777" t="s">
        <v>5873</v>
      </c>
      <c r="E1834" s="730" t="s">
        <v>5873</v>
      </c>
      <c r="F1834" s="558" t="s">
        <v>2868</v>
      </c>
      <c r="G1834" s="558" t="s">
        <v>61</v>
      </c>
      <c r="H1834" s="558" t="s">
        <v>2753</v>
      </c>
      <c r="I1834" s="679" t="s">
        <v>22</v>
      </c>
      <c r="J1834" s="676" t="s">
        <v>5873</v>
      </c>
      <c r="K1834" s="676">
        <v>49999</v>
      </c>
      <c r="M1834" t="str">
        <f>""</f>
        <v/>
      </c>
    </row>
    <row r="1835" spans="1:13" ht="15.75">
      <c r="A1835">
        <v>2020</v>
      </c>
      <c r="B1835" s="777">
        <v>43947</v>
      </c>
      <c r="C1835" s="730">
        <v>6.805555555555555E-2</v>
      </c>
      <c r="D1835" s="777" t="s">
        <v>5873</v>
      </c>
      <c r="E1835" s="730" t="s">
        <v>5873</v>
      </c>
      <c r="F1835" s="558" t="s">
        <v>2901</v>
      </c>
      <c r="G1835" s="558" t="s">
        <v>301</v>
      </c>
      <c r="H1835" s="558" t="s">
        <v>3451</v>
      </c>
      <c r="I1835" s="679" t="s">
        <v>22</v>
      </c>
      <c r="J1835" s="676" t="s">
        <v>5873</v>
      </c>
      <c r="K1835" s="676">
        <v>49999</v>
      </c>
      <c r="M1835" t="str">
        <f>""</f>
        <v/>
      </c>
    </row>
    <row r="1836" spans="1:13" ht="15.75">
      <c r="A1836">
        <v>2013</v>
      </c>
      <c r="B1836" s="777">
        <v>41590</v>
      </c>
      <c r="C1836" s="730">
        <v>0.58611111111111114</v>
      </c>
      <c r="D1836" s="777">
        <v>41590</v>
      </c>
      <c r="E1836" s="730">
        <v>0.58680555555555558</v>
      </c>
      <c r="F1836" s="558" t="s">
        <v>2617</v>
      </c>
      <c r="G1836" s="558" t="s">
        <v>124</v>
      </c>
      <c r="H1836" s="558" t="s">
        <v>5873</v>
      </c>
      <c r="I1836" s="679" t="s">
        <v>2037</v>
      </c>
      <c r="J1836" s="676">
        <v>55</v>
      </c>
      <c r="K1836" s="676">
        <v>48400</v>
      </c>
      <c r="M1836" t="str">
        <f>""</f>
        <v/>
      </c>
    </row>
    <row r="1837" spans="1:13" ht="15.75">
      <c r="A1837">
        <v>2023</v>
      </c>
      <c r="B1837" s="777">
        <v>44988</v>
      </c>
      <c r="C1837" s="730">
        <v>0.53125</v>
      </c>
      <c r="D1837" s="777">
        <v>44988</v>
      </c>
      <c r="E1837" s="730">
        <v>0.9458333333333333</v>
      </c>
      <c r="F1837" s="558" t="s">
        <v>3167</v>
      </c>
      <c r="G1837" s="558" t="s">
        <v>63</v>
      </c>
      <c r="H1837" s="558" t="s">
        <v>2753</v>
      </c>
      <c r="I1837" s="679" t="s">
        <v>22</v>
      </c>
      <c r="J1837" s="676">
        <v>346</v>
      </c>
      <c r="K1837" s="676">
        <v>48384</v>
      </c>
      <c r="M1837" t="str">
        <f>""</f>
        <v/>
      </c>
    </row>
    <row r="1838" spans="1:13" ht="15.75">
      <c r="A1838">
        <v>2022</v>
      </c>
      <c r="B1838" s="777">
        <v>44834</v>
      </c>
      <c r="C1838" s="730">
        <v>0.11458333333333333</v>
      </c>
      <c r="D1838" s="777">
        <v>44835</v>
      </c>
      <c r="E1838" s="730">
        <v>0.67708333333333337</v>
      </c>
      <c r="F1838" s="558" t="s">
        <v>2928</v>
      </c>
      <c r="G1838" s="558" t="s">
        <v>63</v>
      </c>
      <c r="H1838" s="558" t="s">
        <v>2753</v>
      </c>
      <c r="I1838" s="679" t="s">
        <v>22</v>
      </c>
      <c r="J1838" s="676" t="s">
        <v>5873</v>
      </c>
      <c r="K1838" s="676">
        <v>48323</v>
      </c>
      <c r="M1838" t="str">
        <f>""</f>
        <v/>
      </c>
    </row>
    <row r="1839" spans="1:13" ht="15.75">
      <c r="A1839">
        <v>2018</v>
      </c>
      <c r="B1839" s="777">
        <v>43279</v>
      </c>
      <c r="C1839" s="730">
        <v>0.61805555555555558</v>
      </c>
      <c r="D1839" s="777">
        <v>43280</v>
      </c>
      <c r="E1839" s="730">
        <v>0.375</v>
      </c>
      <c r="F1839" s="558" t="s">
        <v>3273</v>
      </c>
      <c r="G1839" s="558" t="s">
        <v>63</v>
      </c>
      <c r="H1839" s="558" t="s">
        <v>2753</v>
      </c>
      <c r="I1839" s="679" t="s">
        <v>22</v>
      </c>
      <c r="J1839" s="676">
        <v>160</v>
      </c>
      <c r="K1839" s="676">
        <v>48109</v>
      </c>
      <c r="M1839" t="str">
        <f>""</f>
        <v/>
      </c>
    </row>
    <row r="1840" spans="1:13" ht="15.75">
      <c r="A1840">
        <v>2020</v>
      </c>
      <c r="B1840" s="777">
        <v>44024</v>
      </c>
      <c r="C1840" s="730">
        <v>0.1875</v>
      </c>
      <c r="D1840" s="777">
        <v>44025</v>
      </c>
      <c r="E1840" s="730">
        <v>0.20833333333333334</v>
      </c>
      <c r="F1840" s="558" t="s">
        <v>4321</v>
      </c>
      <c r="G1840" s="558" t="s">
        <v>1352</v>
      </c>
      <c r="H1840" s="558" t="s">
        <v>3451</v>
      </c>
      <c r="I1840" s="679" t="s">
        <v>22</v>
      </c>
      <c r="J1840" s="676" t="s">
        <v>5873</v>
      </c>
      <c r="K1840" s="676">
        <v>48000</v>
      </c>
      <c r="M1840" t="str">
        <f>""</f>
        <v/>
      </c>
    </row>
    <row r="1841" spans="1:13" ht="15.75">
      <c r="A1841">
        <v>2020</v>
      </c>
      <c r="B1841" s="777">
        <v>44070</v>
      </c>
      <c r="C1841" s="730">
        <v>0.31944444444444442</v>
      </c>
      <c r="D1841" s="777">
        <v>44074</v>
      </c>
      <c r="E1841" s="730">
        <v>0.14791666666666667</v>
      </c>
      <c r="F1841" s="558" t="s">
        <v>3767</v>
      </c>
      <c r="G1841" s="558" t="s">
        <v>63</v>
      </c>
      <c r="H1841" s="558" t="s">
        <v>3451</v>
      </c>
      <c r="I1841" s="679" t="s">
        <v>22</v>
      </c>
      <c r="J1841" s="676" t="s">
        <v>5873</v>
      </c>
      <c r="K1841" s="676">
        <v>47927</v>
      </c>
      <c r="M1841" t="str">
        <f>""</f>
        <v/>
      </c>
    </row>
    <row r="1842" spans="1:13" ht="15.75">
      <c r="A1842">
        <v>2021</v>
      </c>
      <c r="B1842" s="777">
        <v>44386</v>
      </c>
      <c r="C1842" s="730">
        <v>0.85069444444444442</v>
      </c>
      <c r="D1842" s="777">
        <v>44387</v>
      </c>
      <c r="E1842" s="730">
        <v>0.875</v>
      </c>
      <c r="F1842" s="558" t="s">
        <v>3414</v>
      </c>
      <c r="G1842" s="558" t="s">
        <v>124</v>
      </c>
      <c r="H1842" s="558" t="s">
        <v>3415</v>
      </c>
      <c r="I1842" s="679" t="s">
        <v>22</v>
      </c>
      <c r="J1842" s="676">
        <v>230</v>
      </c>
      <c r="K1842" s="676">
        <v>47000</v>
      </c>
      <c r="M1842" t="str">
        <f>""</f>
        <v/>
      </c>
    </row>
    <row r="1843" spans="1:13" ht="15.75">
      <c r="A1843">
        <v>2018</v>
      </c>
      <c r="B1843" s="777">
        <v>43383</v>
      </c>
      <c r="C1843" s="730">
        <v>0.49930555555555556</v>
      </c>
      <c r="D1843" s="777" t="s">
        <v>5873</v>
      </c>
      <c r="E1843" s="730" t="s">
        <v>5873</v>
      </c>
      <c r="F1843" s="558" t="s">
        <v>3503</v>
      </c>
      <c r="G1843" s="558" t="s">
        <v>301</v>
      </c>
      <c r="H1843" s="558" t="s">
        <v>2753</v>
      </c>
      <c r="I1843" s="679" t="s">
        <v>22</v>
      </c>
      <c r="J1843" s="676">
        <v>152</v>
      </c>
      <c r="K1843" s="676">
        <v>45604</v>
      </c>
      <c r="M1843" t="str">
        <f>""</f>
        <v/>
      </c>
    </row>
    <row r="1844" spans="1:13" ht="15.75">
      <c r="A1844">
        <v>2019</v>
      </c>
      <c r="B1844" s="777">
        <v>43667</v>
      </c>
      <c r="C1844" s="730">
        <v>0.95833333333333337</v>
      </c>
      <c r="D1844" s="777">
        <v>43668</v>
      </c>
      <c r="E1844" s="730">
        <v>0.87083333333333335</v>
      </c>
      <c r="F1844" s="558" t="s">
        <v>3879</v>
      </c>
      <c r="G1844" s="558" t="s">
        <v>61</v>
      </c>
      <c r="H1844" s="558" t="s">
        <v>3451</v>
      </c>
      <c r="I1844" s="679" t="s">
        <v>22</v>
      </c>
      <c r="J1844" s="676">
        <v>60</v>
      </c>
      <c r="K1844" s="676">
        <v>45000</v>
      </c>
      <c r="M1844" t="str">
        <f>""</f>
        <v/>
      </c>
    </row>
    <row r="1845" spans="1:13" ht="15.75">
      <c r="A1845">
        <v>2022</v>
      </c>
      <c r="B1845" s="777">
        <v>44898</v>
      </c>
      <c r="C1845" s="730">
        <v>0.82708333333333328</v>
      </c>
      <c r="D1845" s="777" t="s">
        <v>5873</v>
      </c>
      <c r="E1845" s="730" t="s">
        <v>5873</v>
      </c>
      <c r="F1845" s="558" t="s">
        <v>5618</v>
      </c>
      <c r="G1845" s="558" t="s">
        <v>63</v>
      </c>
      <c r="H1845" s="558" t="s">
        <v>3463</v>
      </c>
      <c r="I1845" s="679" t="s">
        <v>100</v>
      </c>
      <c r="J1845" s="676">
        <v>99</v>
      </c>
      <c r="K1845" s="676">
        <v>45000</v>
      </c>
      <c r="M1845" t="str">
        <f>""</f>
        <v/>
      </c>
    </row>
    <row r="1846" spans="1:13" ht="15.75">
      <c r="A1846">
        <v>2016</v>
      </c>
      <c r="B1846" s="777">
        <v>42651</v>
      </c>
      <c r="C1846" s="730">
        <v>0.58680555555555558</v>
      </c>
      <c r="D1846" s="777">
        <v>42652</v>
      </c>
      <c r="E1846" s="730">
        <v>0.25416666666666665</v>
      </c>
      <c r="F1846" s="558" t="s">
        <v>2928</v>
      </c>
      <c r="G1846" s="558" t="s">
        <v>63</v>
      </c>
      <c r="H1846" s="558" t="s">
        <v>2769</v>
      </c>
      <c r="I1846" s="679" t="s">
        <v>22</v>
      </c>
      <c r="J1846" s="676" t="s">
        <v>5873</v>
      </c>
      <c r="K1846" s="676">
        <v>44875</v>
      </c>
      <c r="M1846" t="str">
        <f>""</f>
        <v/>
      </c>
    </row>
    <row r="1847" spans="1:13" ht="15.75">
      <c r="A1847">
        <v>2022</v>
      </c>
      <c r="B1847" s="777">
        <v>44729</v>
      </c>
      <c r="C1847" s="730">
        <v>0.78125</v>
      </c>
      <c r="D1847" s="777">
        <v>44730</v>
      </c>
      <c r="E1847" s="730">
        <v>0.56388888888888888</v>
      </c>
      <c r="F1847" s="558" t="s">
        <v>2928</v>
      </c>
      <c r="G1847" s="558" t="s">
        <v>63</v>
      </c>
      <c r="H1847" s="558" t="s">
        <v>5373</v>
      </c>
      <c r="I1847" s="679" t="s">
        <v>22</v>
      </c>
      <c r="J1847" s="676" t="s">
        <v>5873</v>
      </c>
      <c r="K1847" s="676">
        <v>44000</v>
      </c>
      <c r="M1847" t="str">
        <f>""</f>
        <v/>
      </c>
    </row>
    <row r="1848" spans="1:13" ht="15.75">
      <c r="A1848">
        <v>2022</v>
      </c>
      <c r="B1848" s="777">
        <v>44805</v>
      </c>
      <c r="C1848" s="730">
        <v>0.625</v>
      </c>
      <c r="D1848" s="777">
        <v>44805</v>
      </c>
      <c r="E1848" s="730">
        <v>0.875</v>
      </c>
      <c r="F1848" s="558" t="s">
        <v>3414</v>
      </c>
      <c r="G1848" s="558" t="s">
        <v>124</v>
      </c>
      <c r="H1848" s="558" t="s">
        <v>3415</v>
      </c>
      <c r="I1848" s="679" t="s">
        <v>22</v>
      </c>
      <c r="J1848" s="676">
        <v>242</v>
      </c>
      <c r="K1848" s="676">
        <v>44000</v>
      </c>
      <c r="M1848" t="str">
        <f>""</f>
        <v/>
      </c>
    </row>
    <row r="1849" spans="1:13" ht="15.75">
      <c r="A1849">
        <v>2022</v>
      </c>
      <c r="B1849" s="777">
        <v>44810</v>
      </c>
      <c r="C1849" s="730">
        <v>0.66666666666666663</v>
      </c>
      <c r="D1849" s="777">
        <v>44810</v>
      </c>
      <c r="E1849" s="730">
        <v>0.875</v>
      </c>
      <c r="F1849" s="558" t="s">
        <v>3414</v>
      </c>
      <c r="G1849" s="558" t="s">
        <v>124</v>
      </c>
      <c r="H1849" s="558" t="s">
        <v>3415</v>
      </c>
      <c r="I1849" s="679" t="s">
        <v>22</v>
      </c>
      <c r="J1849" s="676">
        <v>272</v>
      </c>
      <c r="K1849" s="676">
        <v>44000</v>
      </c>
      <c r="M1849" t="str">
        <f>""</f>
        <v/>
      </c>
    </row>
    <row r="1850" spans="1:13" ht="15.75">
      <c r="A1850">
        <v>2022</v>
      </c>
      <c r="B1850" s="777">
        <v>44811</v>
      </c>
      <c r="C1850" s="730">
        <v>0.66666666666666663</v>
      </c>
      <c r="D1850" s="777">
        <v>44811</v>
      </c>
      <c r="E1850" s="730">
        <v>0.875</v>
      </c>
      <c r="F1850" s="558" t="s">
        <v>3414</v>
      </c>
      <c r="G1850" s="558" t="s">
        <v>124</v>
      </c>
      <c r="H1850" s="558" t="s">
        <v>3415</v>
      </c>
      <c r="I1850" s="679" t="s">
        <v>22</v>
      </c>
      <c r="J1850" s="676">
        <v>257</v>
      </c>
      <c r="K1850" s="676">
        <v>44000</v>
      </c>
      <c r="M1850" t="str">
        <f>""</f>
        <v/>
      </c>
    </row>
    <row r="1851" spans="1:13" ht="15.75">
      <c r="A1851">
        <v>2022</v>
      </c>
      <c r="B1851" s="777">
        <v>44812</v>
      </c>
      <c r="C1851" s="730">
        <v>0.49583333333333335</v>
      </c>
      <c r="D1851" s="777">
        <v>44812</v>
      </c>
      <c r="E1851" s="730">
        <v>0.875</v>
      </c>
      <c r="F1851" s="558" t="s">
        <v>3414</v>
      </c>
      <c r="G1851" s="558" t="s">
        <v>124</v>
      </c>
      <c r="H1851" s="558" t="s">
        <v>3415</v>
      </c>
      <c r="I1851" s="679" t="s">
        <v>22</v>
      </c>
      <c r="J1851" s="676">
        <v>258</v>
      </c>
      <c r="K1851" s="676">
        <v>44000</v>
      </c>
      <c r="M1851" t="str">
        <f>""</f>
        <v/>
      </c>
    </row>
    <row r="1852" spans="1:13" ht="15.75">
      <c r="A1852">
        <v>2022</v>
      </c>
      <c r="B1852" s="777">
        <v>44813</v>
      </c>
      <c r="C1852" s="730">
        <v>0.66666666666666663</v>
      </c>
      <c r="D1852" s="777">
        <v>44813</v>
      </c>
      <c r="E1852" s="730">
        <v>0.875</v>
      </c>
      <c r="F1852" s="558" t="s">
        <v>3414</v>
      </c>
      <c r="G1852" s="558" t="s">
        <v>124</v>
      </c>
      <c r="H1852" s="558" t="s">
        <v>3415</v>
      </c>
      <c r="I1852" s="679" t="s">
        <v>22</v>
      </c>
      <c r="J1852" s="676">
        <v>257</v>
      </c>
      <c r="K1852" s="676">
        <v>44000</v>
      </c>
      <c r="M1852" t="str">
        <f>""</f>
        <v/>
      </c>
    </row>
    <row r="1853" spans="1:13" ht="15.75">
      <c r="A1853" s="728">
        <v>2010</v>
      </c>
      <c r="B1853" s="777">
        <v>40366</v>
      </c>
      <c r="C1853" s="730">
        <v>0.67569444444444449</v>
      </c>
      <c r="D1853" s="777">
        <v>40366</v>
      </c>
      <c r="E1853" s="730">
        <v>0.93680555555555556</v>
      </c>
      <c r="F1853" s="558" t="s">
        <v>1984</v>
      </c>
      <c r="G1853" s="558" t="s">
        <v>826</v>
      </c>
      <c r="H1853" s="558" t="s">
        <v>5873</v>
      </c>
      <c r="I1853" s="679" t="s">
        <v>1985</v>
      </c>
      <c r="J1853" s="676" t="s">
        <v>5873</v>
      </c>
      <c r="K1853" s="676">
        <v>43903</v>
      </c>
      <c r="M1853" t="str">
        <f>""</f>
        <v/>
      </c>
    </row>
    <row r="1854" spans="1:13" ht="15.75">
      <c r="A1854">
        <v>2018</v>
      </c>
      <c r="B1854" s="777">
        <v>43302</v>
      </c>
      <c r="C1854" s="730">
        <v>0.30555555555555558</v>
      </c>
      <c r="D1854" s="777">
        <v>43302</v>
      </c>
      <c r="E1854" s="730">
        <v>0.47916666666666669</v>
      </c>
      <c r="F1854" s="558" t="s">
        <v>2904</v>
      </c>
      <c r="G1854" s="558" t="s">
        <v>63</v>
      </c>
      <c r="H1854" s="558" t="s">
        <v>2753</v>
      </c>
      <c r="I1854" s="679" t="s">
        <v>22</v>
      </c>
      <c r="J1854" s="676">
        <v>143</v>
      </c>
      <c r="K1854" s="676">
        <v>42901</v>
      </c>
      <c r="M1854" t="str">
        <f>""</f>
        <v/>
      </c>
    </row>
    <row r="1855" spans="1:13" ht="15.75">
      <c r="A1855" s="728">
        <v>2010</v>
      </c>
      <c r="B1855" s="777">
        <v>40538</v>
      </c>
      <c r="C1855" s="730">
        <v>0.34375</v>
      </c>
      <c r="D1855" s="777">
        <v>40538</v>
      </c>
      <c r="E1855" s="730">
        <v>0.67708333333333337</v>
      </c>
      <c r="F1855" s="558" t="s">
        <v>2100</v>
      </c>
      <c r="G1855" s="558" t="s">
        <v>63</v>
      </c>
      <c r="H1855" s="558" t="s">
        <v>5873</v>
      </c>
      <c r="I1855" s="679" t="s">
        <v>22</v>
      </c>
      <c r="J1855" s="676" t="s">
        <v>5873</v>
      </c>
      <c r="K1855" s="676">
        <v>42000</v>
      </c>
      <c r="M1855" t="str">
        <f>""</f>
        <v/>
      </c>
    </row>
    <row r="1856" spans="1:13" ht="15.75">
      <c r="A1856">
        <v>2013</v>
      </c>
      <c r="B1856" s="777">
        <v>41414</v>
      </c>
      <c r="C1856" s="730">
        <v>0.625</v>
      </c>
      <c r="D1856" s="777">
        <v>41416</v>
      </c>
      <c r="E1856" s="730">
        <v>0.70833333333333337</v>
      </c>
      <c r="F1856" s="558" t="s">
        <v>2534</v>
      </c>
      <c r="G1856" s="558" t="s">
        <v>58</v>
      </c>
      <c r="H1856" s="558" t="s">
        <v>5873</v>
      </c>
      <c r="I1856" s="679" t="s">
        <v>2535</v>
      </c>
      <c r="J1856" s="676" t="s">
        <v>5873</v>
      </c>
      <c r="K1856" s="676">
        <v>41306</v>
      </c>
      <c r="M1856" t="str">
        <f>""</f>
        <v/>
      </c>
    </row>
    <row r="1857" spans="1:13" ht="15.75">
      <c r="A1857">
        <v>2018</v>
      </c>
      <c r="B1857" s="777">
        <v>43443</v>
      </c>
      <c r="C1857" s="730">
        <v>1.5972222222222221E-2</v>
      </c>
      <c r="D1857" s="777">
        <v>43443</v>
      </c>
      <c r="E1857" s="730">
        <v>0.49583333333333335</v>
      </c>
      <c r="F1857" s="558" t="s">
        <v>3273</v>
      </c>
      <c r="G1857" s="558" t="s">
        <v>63</v>
      </c>
      <c r="H1857" s="558" t="s">
        <v>3451</v>
      </c>
      <c r="I1857" s="679" t="s">
        <v>22</v>
      </c>
      <c r="J1857" s="676">
        <v>137</v>
      </c>
      <c r="K1857" s="676">
        <v>41126</v>
      </c>
      <c r="M1857" t="str">
        <f>""</f>
        <v/>
      </c>
    </row>
    <row r="1858" spans="1:13" ht="15.75">
      <c r="A1858">
        <v>2023</v>
      </c>
      <c r="B1858" s="777">
        <v>44949</v>
      </c>
      <c r="C1858" s="730">
        <v>0.2951388888888889</v>
      </c>
      <c r="D1858" s="777">
        <v>44950</v>
      </c>
      <c r="E1858" s="730">
        <v>0.72013888888888888</v>
      </c>
      <c r="F1858" s="558" t="s">
        <v>3521</v>
      </c>
      <c r="G1858" s="558" t="s">
        <v>61</v>
      </c>
      <c r="H1858" s="558" t="s">
        <v>2753</v>
      </c>
      <c r="I1858" s="679" t="s">
        <v>22</v>
      </c>
      <c r="J1858" s="676" t="s">
        <v>5873</v>
      </c>
      <c r="K1858" s="676">
        <v>41000</v>
      </c>
      <c r="M1858" t="str">
        <f>""</f>
        <v/>
      </c>
    </row>
    <row r="1859" spans="1:13" ht="15.75">
      <c r="A1859">
        <v>2022</v>
      </c>
      <c r="B1859" s="777">
        <v>44564</v>
      </c>
      <c r="C1859" s="730">
        <v>4.1666666666666664E-2</v>
      </c>
      <c r="D1859" s="777">
        <v>44564</v>
      </c>
      <c r="E1859" s="730">
        <v>0.58333333333333337</v>
      </c>
      <c r="F1859" s="558" t="s">
        <v>5163</v>
      </c>
      <c r="G1859" s="558" t="s">
        <v>63</v>
      </c>
      <c r="H1859" s="558" t="s">
        <v>2753</v>
      </c>
      <c r="I1859" s="679" t="s">
        <v>22</v>
      </c>
      <c r="J1859" s="676">
        <v>283</v>
      </c>
      <c r="K1859" s="676">
        <v>40885</v>
      </c>
      <c r="M1859" t="str">
        <f>""</f>
        <v/>
      </c>
    </row>
    <row r="1860" spans="1:13" ht="15.75">
      <c r="A1860">
        <v>2013</v>
      </c>
      <c r="B1860" s="777">
        <v>41438</v>
      </c>
      <c r="C1860" s="730">
        <v>0.64583333333333337</v>
      </c>
      <c r="D1860" s="777">
        <v>41438</v>
      </c>
      <c r="E1860" s="730">
        <v>0.66666666666666663</v>
      </c>
      <c r="F1860" s="558" t="s">
        <v>2275</v>
      </c>
      <c r="G1860" s="558" t="s">
        <v>826</v>
      </c>
      <c r="H1860" s="558" t="s">
        <v>5873</v>
      </c>
      <c r="I1860" s="679" t="s">
        <v>2547</v>
      </c>
      <c r="J1860" s="676">
        <v>700</v>
      </c>
      <c r="K1860" s="676">
        <v>40000</v>
      </c>
      <c r="M1860" t="str">
        <f>""</f>
        <v/>
      </c>
    </row>
    <row r="1861" spans="1:13" ht="15.75">
      <c r="A1861">
        <v>2016</v>
      </c>
      <c r="B1861" s="777">
        <v>42602</v>
      </c>
      <c r="C1861" s="730">
        <v>0.59583333333333333</v>
      </c>
      <c r="D1861" s="777">
        <v>42602</v>
      </c>
      <c r="E1861" s="730">
        <v>0.8881944444444444</v>
      </c>
      <c r="F1861" s="558" t="s">
        <v>2868</v>
      </c>
      <c r="G1861" s="558" t="s">
        <v>61</v>
      </c>
      <c r="H1861" s="558" t="s">
        <v>2293</v>
      </c>
      <c r="I1861" s="679" t="s">
        <v>2873</v>
      </c>
      <c r="J1861" s="676" t="s">
        <v>5873</v>
      </c>
      <c r="K1861" s="676">
        <v>40000</v>
      </c>
      <c r="M1861" t="str">
        <f>""</f>
        <v/>
      </c>
    </row>
    <row r="1862" spans="1:13" ht="15.75">
      <c r="A1862">
        <v>2017</v>
      </c>
      <c r="B1862" s="777">
        <v>42989</v>
      </c>
      <c r="C1862" s="730">
        <v>0.10208333333333333</v>
      </c>
      <c r="D1862" s="777">
        <v>42993</v>
      </c>
      <c r="E1862" s="730">
        <v>0.86388888888888893</v>
      </c>
      <c r="F1862" s="558" t="s">
        <v>2904</v>
      </c>
      <c r="G1862" s="558" t="s">
        <v>63</v>
      </c>
      <c r="H1862" s="558" t="s">
        <v>2753</v>
      </c>
      <c r="I1862" s="679" t="s">
        <v>22</v>
      </c>
      <c r="J1862" s="676">
        <v>132</v>
      </c>
      <c r="K1862" s="676">
        <v>39659</v>
      </c>
      <c r="M1862" t="str">
        <f>""</f>
        <v/>
      </c>
    </row>
    <row r="1863" spans="1:13" ht="15.75">
      <c r="A1863">
        <v>2022</v>
      </c>
      <c r="B1863" s="777">
        <v>44722</v>
      </c>
      <c r="C1863" s="730">
        <v>0.8520833333333333</v>
      </c>
      <c r="D1863" s="777">
        <v>44722</v>
      </c>
      <c r="E1863" s="730">
        <v>0.89583333333333337</v>
      </c>
      <c r="F1863" s="558" t="s">
        <v>3357</v>
      </c>
      <c r="G1863" s="558" t="s">
        <v>124</v>
      </c>
      <c r="H1863" s="558" t="s">
        <v>5369</v>
      </c>
      <c r="I1863" s="679" t="s">
        <v>2764</v>
      </c>
      <c r="J1863" s="676">
        <v>100</v>
      </c>
      <c r="K1863" s="676">
        <v>39094</v>
      </c>
      <c r="M1863" t="str">
        <f>""</f>
        <v/>
      </c>
    </row>
    <row r="1864" spans="1:13" ht="15.75">
      <c r="A1864">
        <v>2020</v>
      </c>
      <c r="B1864" s="777">
        <v>44111</v>
      </c>
      <c r="C1864" s="730">
        <v>0.57291666666666663</v>
      </c>
      <c r="D1864" s="777">
        <v>44111</v>
      </c>
      <c r="E1864" s="730">
        <v>0.58263888888888893</v>
      </c>
      <c r="F1864" s="558" t="s">
        <v>4520</v>
      </c>
      <c r="G1864" s="558" t="s">
        <v>63</v>
      </c>
      <c r="H1864" s="558" t="s">
        <v>3411</v>
      </c>
      <c r="I1864" s="679" t="s">
        <v>2483</v>
      </c>
      <c r="J1864" s="676">
        <v>183</v>
      </c>
      <c r="K1864" s="676">
        <v>39089</v>
      </c>
      <c r="M1864" t="str">
        <f>""</f>
        <v/>
      </c>
    </row>
    <row r="1865" spans="1:13" ht="15.75">
      <c r="A1865">
        <v>2014</v>
      </c>
      <c r="B1865" s="777">
        <v>41795</v>
      </c>
      <c r="C1865" s="730">
        <v>0.125</v>
      </c>
      <c r="D1865" s="777">
        <v>41797</v>
      </c>
      <c r="E1865" s="730">
        <v>0.98958333333333337</v>
      </c>
      <c r="F1865" s="558" t="s">
        <v>2164</v>
      </c>
      <c r="G1865" s="558" t="s">
        <v>63</v>
      </c>
      <c r="H1865" s="558" t="s">
        <v>5873</v>
      </c>
      <c r="I1865" s="679" t="s">
        <v>2368</v>
      </c>
      <c r="J1865" s="676">
        <v>494</v>
      </c>
      <c r="K1865" s="676">
        <v>38500</v>
      </c>
      <c r="M1865" t="str">
        <f>""</f>
        <v/>
      </c>
    </row>
    <row r="1866" spans="1:13" ht="15.75">
      <c r="A1866">
        <v>2020</v>
      </c>
      <c r="B1866" s="777">
        <v>43933</v>
      </c>
      <c r="C1866" s="730">
        <v>0.54166666666666663</v>
      </c>
      <c r="D1866" s="777">
        <v>43933</v>
      </c>
      <c r="E1866" s="730">
        <v>0.81041666666666667</v>
      </c>
      <c r="F1866" s="558" t="s">
        <v>4199</v>
      </c>
      <c r="G1866" s="558" t="s">
        <v>63</v>
      </c>
      <c r="H1866" s="558" t="s">
        <v>3387</v>
      </c>
      <c r="I1866" s="679" t="s">
        <v>22</v>
      </c>
      <c r="J1866" s="676">
        <v>122</v>
      </c>
      <c r="K1866" s="676">
        <v>37991</v>
      </c>
      <c r="M1866" t="str">
        <f>""</f>
        <v/>
      </c>
    </row>
    <row r="1867" spans="1:13" ht="15.75">
      <c r="A1867">
        <v>2023</v>
      </c>
      <c r="B1867" s="777">
        <v>45283</v>
      </c>
      <c r="C1867" s="532">
        <v>2.9861111111111113E-2</v>
      </c>
      <c r="D1867" s="678">
        <v>45283</v>
      </c>
      <c r="E1867" s="532">
        <v>3.3333333333333333E-2</v>
      </c>
      <c r="F1867" t="s">
        <v>6030</v>
      </c>
      <c r="G1867" t="s">
        <v>255</v>
      </c>
      <c r="H1867" t="s">
        <v>6031</v>
      </c>
      <c r="I1867" s="677" t="s">
        <v>6062</v>
      </c>
      <c r="J1867" s="783">
        <v>65</v>
      </c>
      <c r="K1867" s="783">
        <v>37850</v>
      </c>
      <c r="M1867" t="str">
        <f>""</f>
        <v/>
      </c>
    </row>
    <row r="1868" spans="1:13" ht="15.75">
      <c r="A1868">
        <v>2021</v>
      </c>
      <c r="B1868" s="777">
        <v>44240</v>
      </c>
      <c r="C1868" s="730">
        <v>0.41388888888888886</v>
      </c>
      <c r="D1868" s="777">
        <v>44240</v>
      </c>
      <c r="E1868" s="730">
        <v>0.45902777777777776</v>
      </c>
      <c r="F1868" s="558" t="s">
        <v>4709</v>
      </c>
      <c r="G1868" s="558" t="s">
        <v>124</v>
      </c>
      <c r="H1868" s="558" t="s">
        <v>3451</v>
      </c>
      <c r="I1868" s="679" t="s">
        <v>22</v>
      </c>
      <c r="J1868" s="676">
        <v>164</v>
      </c>
      <c r="K1868" s="676">
        <v>37583</v>
      </c>
      <c r="M1868" t="str">
        <f>""</f>
        <v/>
      </c>
    </row>
    <row r="1869" spans="1:13" ht="15.75">
      <c r="A1869">
        <v>2016</v>
      </c>
      <c r="B1869" s="777">
        <v>42577</v>
      </c>
      <c r="C1869" s="730">
        <v>0.78541666666666665</v>
      </c>
      <c r="D1869" s="777">
        <v>42578</v>
      </c>
      <c r="E1869" s="730">
        <v>7.2916666666666671E-2</v>
      </c>
      <c r="F1869" s="558" t="s">
        <v>2271</v>
      </c>
      <c r="G1869" s="558" t="s">
        <v>472</v>
      </c>
      <c r="H1869" s="558" t="s">
        <v>619</v>
      </c>
      <c r="I1869" s="679" t="s">
        <v>2764</v>
      </c>
      <c r="J1869" s="676">
        <v>25</v>
      </c>
      <c r="K1869" s="676">
        <v>37100</v>
      </c>
      <c r="M1869" t="str">
        <f>""</f>
        <v/>
      </c>
    </row>
    <row r="1870" spans="1:13" ht="15.75">
      <c r="A1870" s="728">
        <v>2010</v>
      </c>
      <c r="B1870" s="777">
        <v>40394</v>
      </c>
      <c r="C1870" s="730">
        <v>0.70833333333333337</v>
      </c>
      <c r="D1870" s="777">
        <v>40396</v>
      </c>
      <c r="E1870" s="730">
        <v>0.16666666666666666</v>
      </c>
      <c r="F1870" s="558" t="s">
        <v>2016</v>
      </c>
      <c r="G1870" s="558" t="s">
        <v>826</v>
      </c>
      <c r="H1870" s="558" t="s">
        <v>5873</v>
      </c>
      <c r="I1870" s="679" t="s">
        <v>22</v>
      </c>
      <c r="J1870" s="676" t="s">
        <v>5873</v>
      </c>
      <c r="K1870" s="676">
        <v>37000</v>
      </c>
      <c r="M1870" t="str">
        <f>""</f>
        <v/>
      </c>
    </row>
    <row r="1871" spans="1:13" ht="15.75">
      <c r="A1871">
        <v>2022</v>
      </c>
      <c r="B1871" s="777">
        <v>44911</v>
      </c>
      <c r="C1871" s="730">
        <v>0.97916666666666663</v>
      </c>
      <c r="D1871" s="777">
        <v>44913</v>
      </c>
      <c r="E1871" s="730">
        <v>0.97291666666666665</v>
      </c>
      <c r="F1871" s="558" t="s">
        <v>5641</v>
      </c>
      <c r="G1871" s="558" t="s">
        <v>61</v>
      </c>
      <c r="H1871" s="558" t="s">
        <v>3451</v>
      </c>
      <c r="I1871" s="679" t="s">
        <v>22</v>
      </c>
      <c r="J1871" s="676" t="s">
        <v>5873</v>
      </c>
      <c r="K1871" s="676">
        <v>36600</v>
      </c>
      <c r="M1871" t="str">
        <f>""</f>
        <v/>
      </c>
    </row>
    <row r="1872" spans="1:13" ht="15.75">
      <c r="A1872">
        <v>2016</v>
      </c>
      <c r="B1872" s="777">
        <v>42650</v>
      </c>
      <c r="C1872" s="730">
        <v>0.68194444444444446</v>
      </c>
      <c r="D1872" s="777">
        <v>42655</v>
      </c>
      <c r="E1872" s="730">
        <v>0.45833333333333331</v>
      </c>
      <c r="F1872" s="558" t="s">
        <v>2904</v>
      </c>
      <c r="G1872" s="558" t="s">
        <v>63</v>
      </c>
      <c r="H1872" s="558" t="s">
        <v>2753</v>
      </c>
      <c r="I1872" s="679" t="s">
        <v>22</v>
      </c>
      <c r="J1872" s="676">
        <v>122</v>
      </c>
      <c r="K1872" s="676">
        <v>36384</v>
      </c>
      <c r="M1872" t="str">
        <f>""</f>
        <v/>
      </c>
    </row>
    <row r="1873" spans="1:13" ht="15.75">
      <c r="A1873">
        <v>2023</v>
      </c>
      <c r="B1873" s="777">
        <v>45285</v>
      </c>
      <c r="C1873" s="532">
        <v>0.8305555555555556</v>
      </c>
      <c r="D1873" s="678">
        <v>45285</v>
      </c>
      <c r="E1873" s="532">
        <v>0.83402777777777781</v>
      </c>
      <c r="F1873" t="s">
        <v>6030</v>
      </c>
      <c r="G1873" t="s">
        <v>255</v>
      </c>
      <c r="H1873" t="s">
        <v>6031</v>
      </c>
      <c r="I1873" s="677" t="s">
        <v>6062</v>
      </c>
      <c r="J1873" s="783">
        <v>105</v>
      </c>
      <c r="K1873" s="783">
        <v>36100</v>
      </c>
      <c r="M1873" t="str">
        <f>""</f>
        <v/>
      </c>
    </row>
    <row r="1874" spans="1:13" ht="15.75">
      <c r="A1874">
        <v>2020</v>
      </c>
      <c r="B1874" s="777">
        <v>44132</v>
      </c>
      <c r="C1874" s="730">
        <v>0.90069444444444446</v>
      </c>
      <c r="D1874" s="777">
        <v>44137</v>
      </c>
      <c r="E1874" s="730">
        <v>0.8125</v>
      </c>
      <c r="F1874" s="558" t="s">
        <v>4562</v>
      </c>
      <c r="G1874" s="558" t="s">
        <v>63</v>
      </c>
      <c r="H1874" s="558" t="s">
        <v>3451</v>
      </c>
      <c r="I1874" s="679" t="s">
        <v>22</v>
      </c>
      <c r="J1874" s="676">
        <v>253</v>
      </c>
      <c r="K1874" s="676">
        <v>35478</v>
      </c>
      <c r="M1874" t="str">
        <f>""</f>
        <v/>
      </c>
    </row>
    <row r="1875" spans="1:13" ht="15.75">
      <c r="A1875">
        <v>2023</v>
      </c>
      <c r="B1875" s="777">
        <v>45127</v>
      </c>
      <c r="C1875" s="532">
        <v>0.6875</v>
      </c>
      <c r="D1875" s="678">
        <v>45129</v>
      </c>
      <c r="E1875" s="532">
        <v>0.51180555555555551</v>
      </c>
      <c r="F1875" t="s">
        <v>2904</v>
      </c>
      <c r="G1875" t="s">
        <v>63</v>
      </c>
      <c r="H1875" t="s">
        <v>3451</v>
      </c>
      <c r="I1875" s="677" t="s">
        <v>5883</v>
      </c>
      <c r="J1875" s="783">
        <v>640</v>
      </c>
      <c r="K1875" s="783">
        <v>35257</v>
      </c>
      <c r="M1875" t="str">
        <f>""</f>
        <v/>
      </c>
    </row>
    <row r="1876" spans="1:13" ht="15.75">
      <c r="A1876">
        <v>2023</v>
      </c>
      <c r="B1876" s="777" t="s">
        <v>5873</v>
      </c>
      <c r="C1876" s="532">
        <v>0.6875</v>
      </c>
      <c r="D1876" s="678">
        <v>45129</v>
      </c>
      <c r="E1876" s="532">
        <v>0.51180555555555551</v>
      </c>
      <c r="F1876" t="s">
        <v>2904</v>
      </c>
      <c r="G1876" t="s">
        <v>63</v>
      </c>
      <c r="H1876" t="s">
        <v>3451</v>
      </c>
      <c r="I1876" s="677" t="s">
        <v>5883</v>
      </c>
      <c r="J1876" s="783">
        <v>640</v>
      </c>
      <c r="K1876" s="783">
        <v>35257</v>
      </c>
      <c r="M1876" t="str">
        <f>""</f>
        <v/>
      </c>
    </row>
    <row r="1877" spans="1:13" ht="15.75">
      <c r="A1877">
        <v>2013</v>
      </c>
      <c r="B1877" s="777">
        <v>41395</v>
      </c>
      <c r="C1877" s="730">
        <v>0.39027777777777778</v>
      </c>
      <c r="D1877" s="777">
        <v>41395</v>
      </c>
      <c r="E1877" s="730">
        <v>0.39166666666666666</v>
      </c>
      <c r="F1877" s="558" t="s">
        <v>2528</v>
      </c>
      <c r="G1877" s="558" t="s">
        <v>124</v>
      </c>
      <c r="H1877" s="558" t="s">
        <v>5873</v>
      </c>
      <c r="I1877" s="679" t="s">
        <v>2037</v>
      </c>
      <c r="J1877" s="676">
        <v>123</v>
      </c>
      <c r="K1877" s="676">
        <v>35230</v>
      </c>
      <c r="M1877" t="str">
        <f>""</f>
        <v/>
      </c>
    </row>
    <row r="1878" spans="1:13" ht="15.75">
      <c r="A1878">
        <v>2015</v>
      </c>
      <c r="B1878" s="777">
        <v>42305</v>
      </c>
      <c r="C1878" s="730">
        <v>0.56805555555555554</v>
      </c>
      <c r="D1878" s="777">
        <v>42306</v>
      </c>
      <c r="E1878" s="730">
        <v>0.70833333333333337</v>
      </c>
      <c r="F1878" s="558" t="s">
        <v>2807</v>
      </c>
      <c r="G1878" s="558" t="s">
        <v>826</v>
      </c>
      <c r="H1878" s="558" t="s">
        <v>2150</v>
      </c>
      <c r="I1878" s="679" t="s">
        <v>2798</v>
      </c>
      <c r="J1878" s="676" t="s">
        <v>5873</v>
      </c>
      <c r="K1878" s="676">
        <v>35000</v>
      </c>
      <c r="M1878" t="str">
        <f>""</f>
        <v/>
      </c>
    </row>
    <row r="1879" spans="1:13" ht="15.75">
      <c r="A1879">
        <v>2015</v>
      </c>
      <c r="B1879" s="777">
        <v>42336</v>
      </c>
      <c r="C1879" s="730">
        <v>0.25</v>
      </c>
      <c r="D1879" s="777" t="s">
        <v>5873</v>
      </c>
      <c r="E1879" s="730" t="s">
        <v>5873</v>
      </c>
      <c r="F1879" s="558" t="s">
        <v>10</v>
      </c>
      <c r="G1879" s="558" t="s">
        <v>58</v>
      </c>
      <c r="H1879" s="558" t="s">
        <v>2753</v>
      </c>
      <c r="I1879" s="679" t="s">
        <v>22</v>
      </c>
      <c r="J1879" s="676" t="s">
        <v>5873</v>
      </c>
      <c r="K1879" s="676">
        <v>35000</v>
      </c>
      <c r="M1879" t="str">
        <f>""</f>
        <v/>
      </c>
    </row>
    <row r="1880" spans="1:13" ht="15.75">
      <c r="A1880">
        <v>2021</v>
      </c>
      <c r="B1880" s="777">
        <v>44336</v>
      </c>
      <c r="C1880" s="730">
        <v>0.42083333333333334</v>
      </c>
      <c r="D1880" s="777">
        <v>44336</v>
      </c>
      <c r="E1880" s="730">
        <v>0.57291666666666663</v>
      </c>
      <c r="F1880" s="558" t="s">
        <v>4843</v>
      </c>
      <c r="G1880" s="558" t="s">
        <v>63</v>
      </c>
      <c r="H1880" s="558" t="s">
        <v>3411</v>
      </c>
      <c r="I1880" s="679" t="s">
        <v>2483</v>
      </c>
      <c r="J1880" s="676">
        <v>0</v>
      </c>
      <c r="K1880" s="676">
        <v>35000</v>
      </c>
      <c r="M1880" t="str">
        <f>""</f>
        <v/>
      </c>
    </row>
    <row r="1881" spans="1:13" ht="15.75">
      <c r="A1881">
        <v>2019</v>
      </c>
      <c r="B1881" s="777">
        <v>43573</v>
      </c>
      <c r="C1881" s="730">
        <v>0.82986111111111116</v>
      </c>
      <c r="D1881" s="777">
        <v>43574</v>
      </c>
      <c r="E1881" s="730">
        <v>0.72847222222222219</v>
      </c>
      <c r="F1881" s="558" t="s">
        <v>3745</v>
      </c>
      <c r="G1881" s="558" t="s">
        <v>63</v>
      </c>
      <c r="H1881" s="558" t="s">
        <v>3451</v>
      </c>
      <c r="I1881" s="679" t="s">
        <v>22</v>
      </c>
      <c r="J1881" s="676">
        <v>116</v>
      </c>
      <c r="K1881" s="676">
        <v>34695</v>
      </c>
      <c r="M1881" t="str">
        <f>""</f>
        <v/>
      </c>
    </row>
    <row r="1882" spans="1:13" ht="15.75">
      <c r="A1882">
        <v>2019</v>
      </c>
      <c r="B1882" s="777">
        <v>43638</v>
      </c>
      <c r="C1882" s="730">
        <v>0.86527777777777781</v>
      </c>
      <c r="D1882" s="777">
        <v>43639</v>
      </c>
      <c r="E1882" s="730">
        <v>2.0833333333333332E-2</v>
      </c>
      <c r="F1882" s="558" t="s">
        <v>3273</v>
      </c>
      <c r="G1882" s="558" t="s">
        <v>63</v>
      </c>
      <c r="H1882" s="558" t="s">
        <v>3451</v>
      </c>
      <c r="I1882" s="679" t="s">
        <v>22</v>
      </c>
      <c r="J1882" s="676">
        <v>115</v>
      </c>
      <c r="K1882" s="676">
        <v>34637</v>
      </c>
      <c r="M1882" t="str">
        <f>""</f>
        <v/>
      </c>
    </row>
    <row r="1883" spans="1:13" ht="15.75">
      <c r="A1883">
        <v>2021</v>
      </c>
      <c r="B1883" s="777">
        <v>44380</v>
      </c>
      <c r="C1883" s="730">
        <v>0.96388888888888891</v>
      </c>
      <c r="D1883" s="777">
        <v>44381</v>
      </c>
      <c r="E1883" s="730">
        <v>9.4444444444444442E-2</v>
      </c>
      <c r="F1883" s="558" t="s">
        <v>2893</v>
      </c>
      <c r="G1883" s="558" t="s">
        <v>124</v>
      </c>
      <c r="H1883" s="558" t="s">
        <v>4900</v>
      </c>
      <c r="I1883" s="679" t="s">
        <v>100</v>
      </c>
      <c r="J1883" s="676">
        <v>45</v>
      </c>
      <c r="K1883" s="676">
        <v>34509</v>
      </c>
      <c r="M1883" t="str">
        <f>""</f>
        <v/>
      </c>
    </row>
    <row r="1884" spans="1:13" ht="15.75">
      <c r="A1884">
        <v>2011</v>
      </c>
      <c r="B1884" s="777">
        <v>40883</v>
      </c>
      <c r="C1884" s="730">
        <v>0.33333333333333331</v>
      </c>
      <c r="D1884" s="777">
        <v>40883</v>
      </c>
      <c r="E1884" s="730">
        <v>0.83333333333333337</v>
      </c>
      <c r="F1884" s="558" t="s">
        <v>2333</v>
      </c>
      <c r="G1884" s="558" t="s">
        <v>674</v>
      </c>
      <c r="H1884" s="558" t="s">
        <v>5873</v>
      </c>
      <c r="I1884" s="679" t="s">
        <v>2221</v>
      </c>
      <c r="J1884" s="676">
        <v>155</v>
      </c>
      <c r="K1884" s="676">
        <v>34500</v>
      </c>
      <c r="M1884" t="str">
        <f>""</f>
        <v/>
      </c>
    </row>
    <row r="1885" spans="1:13" ht="15.75">
      <c r="A1885">
        <v>2020</v>
      </c>
      <c r="B1885" s="777">
        <v>44089</v>
      </c>
      <c r="C1885" s="730">
        <v>0.91666666666666663</v>
      </c>
      <c r="D1885" s="777">
        <v>44094</v>
      </c>
      <c r="E1885" s="730">
        <v>0.625</v>
      </c>
      <c r="F1885" s="558" t="s">
        <v>4495</v>
      </c>
      <c r="G1885" s="558" t="s">
        <v>63</v>
      </c>
      <c r="H1885" s="558" t="s">
        <v>3451</v>
      </c>
      <c r="I1885" s="679" t="s">
        <v>2990</v>
      </c>
      <c r="J1885" s="676">
        <v>236</v>
      </c>
      <c r="K1885" s="676">
        <v>34096</v>
      </c>
      <c r="M1885" t="str">
        <f>""</f>
        <v/>
      </c>
    </row>
    <row r="1886" spans="1:13" ht="15.75">
      <c r="A1886">
        <v>2019</v>
      </c>
      <c r="B1886" s="777">
        <v>43501</v>
      </c>
      <c r="C1886" s="730">
        <v>0.76180555555555551</v>
      </c>
      <c r="D1886" s="777">
        <v>43501</v>
      </c>
      <c r="E1886" s="730">
        <v>0.85138888888888886</v>
      </c>
      <c r="F1886" s="558" t="s">
        <v>18</v>
      </c>
      <c r="G1886" s="558" t="s">
        <v>124</v>
      </c>
      <c r="H1886" s="558" t="s">
        <v>3431</v>
      </c>
      <c r="I1886" s="679" t="s">
        <v>22</v>
      </c>
      <c r="J1886" s="676">
        <v>42</v>
      </c>
      <c r="K1886" s="676">
        <v>33200</v>
      </c>
      <c r="M1886" t="str">
        <f>""</f>
        <v/>
      </c>
    </row>
    <row r="1887" spans="1:13" ht="15.75">
      <c r="A1887">
        <v>2022</v>
      </c>
      <c r="B1887" s="777">
        <v>44918</v>
      </c>
      <c r="C1887" s="730">
        <v>0.12708333333333333</v>
      </c>
      <c r="D1887" s="777">
        <v>44918</v>
      </c>
      <c r="E1887" s="730">
        <v>0.52083333333333337</v>
      </c>
      <c r="F1887" s="558" t="s">
        <v>3167</v>
      </c>
      <c r="G1887" s="558" t="s">
        <v>63</v>
      </c>
      <c r="H1887" s="558" t="s">
        <v>3451</v>
      </c>
      <c r="I1887" s="679" t="s">
        <v>22</v>
      </c>
      <c r="J1887" s="676">
        <v>236</v>
      </c>
      <c r="K1887" s="676">
        <v>33010</v>
      </c>
      <c r="M1887" t="str">
        <f>""</f>
        <v/>
      </c>
    </row>
    <row r="1888" spans="1:13" ht="15.75">
      <c r="A1888">
        <v>2023</v>
      </c>
      <c r="B1888" s="777">
        <v>45129</v>
      </c>
      <c r="C1888" s="532">
        <v>0.61944444444444446</v>
      </c>
      <c r="D1888" s="678">
        <v>45129</v>
      </c>
      <c r="E1888" s="532">
        <v>0.62013888888888891</v>
      </c>
      <c r="F1888" t="s">
        <v>5892</v>
      </c>
      <c r="G1888" t="s">
        <v>63</v>
      </c>
      <c r="H1888" t="s">
        <v>3411</v>
      </c>
      <c r="I1888" s="677" t="s">
        <v>2798</v>
      </c>
      <c r="J1888" s="783">
        <v>130</v>
      </c>
      <c r="K1888" s="783">
        <v>32781</v>
      </c>
      <c r="M1888" t="str">
        <f>""</f>
        <v/>
      </c>
    </row>
    <row r="1889" spans="1:13" ht="15.75">
      <c r="A1889">
        <v>2023</v>
      </c>
      <c r="B1889" s="777" t="s">
        <v>5873</v>
      </c>
      <c r="C1889" s="532">
        <v>0.61944444444444446</v>
      </c>
      <c r="D1889" s="678">
        <v>45129</v>
      </c>
      <c r="E1889" s="532">
        <v>0.62013888888888891</v>
      </c>
      <c r="F1889" t="s">
        <v>5892</v>
      </c>
      <c r="G1889" t="s">
        <v>63</v>
      </c>
      <c r="H1889" t="s">
        <v>3411</v>
      </c>
      <c r="I1889" s="677" t="s">
        <v>2798</v>
      </c>
      <c r="J1889" s="783">
        <v>130</v>
      </c>
      <c r="K1889" s="783">
        <v>32781</v>
      </c>
      <c r="M1889" t="str">
        <f>""</f>
        <v/>
      </c>
    </row>
    <row r="1890" spans="1:13" ht="15.75">
      <c r="A1890">
        <v>2018</v>
      </c>
      <c r="B1890" s="777">
        <v>43431</v>
      </c>
      <c r="C1890" s="730">
        <v>0.33333333333333331</v>
      </c>
      <c r="D1890" s="777">
        <v>43432</v>
      </c>
      <c r="E1890" s="730">
        <v>0.70138888888888884</v>
      </c>
      <c r="F1890" s="558" t="s">
        <v>3571</v>
      </c>
      <c r="G1890" s="558" t="s">
        <v>61</v>
      </c>
      <c r="H1890" s="558" t="s">
        <v>3451</v>
      </c>
      <c r="I1890" s="679" t="s">
        <v>22</v>
      </c>
      <c r="J1890" s="676" t="s">
        <v>5873</v>
      </c>
      <c r="K1890" s="676">
        <v>32000</v>
      </c>
      <c r="M1890" t="str">
        <f>""</f>
        <v/>
      </c>
    </row>
    <row r="1891" spans="1:13" ht="15.75">
      <c r="A1891">
        <v>2018</v>
      </c>
      <c r="B1891" s="777">
        <v>43225</v>
      </c>
      <c r="C1891" s="730">
        <v>0.1875</v>
      </c>
      <c r="D1891" s="777">
        <v>43225</v>
      </c>
      <c r="E1891" s="730">
        <v>0.64583333333333337</v>
      </c>
      <c r="F1891" s="558" t="s">
        <v>3319</v>
      </c>
      <c r="G1891" s="558" t="s">
        <v>61</v>
      </c>
      <c r="H1891" s="558" t="s">
        <v>2753</v>
      </c>
      <c r="I1891" s="679" t="s">
        <v>22</v>
      </c>
      <c r="J1891" s="676" t="s">
        <v>5873</v>
      </c>
      <c r="K1891" s="676">
        <v>31900</v>
      </c>
      <c r="M1891" t="str">
        <f>""</f>
        <v/>
      </c>
    </row>
    <row r="1892" spans="1:13" ht="15.75">
      <c r="A1892" s="728">
        <v>2010</v>
      </c>
      <c r="B1892" s="777">
        <v>40336</v>
      </c>
      <c r="C1892" s="730">
        <v>0.77013888888888893</v>
      </c>
      <c r="D1892" s="777">
        <v>40337</v>
      </c>
      <c r="E1892" s="730">
        <v>4.1666666666666664E-2</v>
      </c>
      <c r="F1892" s="558" t="s">
        <v>1936</v>
      </c>
      <c r="G1892" s="558" t="s">
        <v>124</v>
      </c>
      <c r="H1892" s="558" t="s">
        <v>5873</v>
      </c>
      <c r="I1892" s="679" t="s">
        <v>1930</v>
      </c>
      <c r="J1892" s="676">
        <v>300</v>
      </c>
      <c r="K1892" s="676">
        <v>31000</v>
      </c>
      <c r="M1892" t="str">
        <f>""</f>
        <v/>
      </c>
    </row>
    <row r="1893" spans="1:13" ht="15.75">
      <c r="A1893">
        <v>2019</v>
      </c>
      <c r="B1893" s="777">
        <v>43628</v>
      </c>
      <c r="C1893" s="730">
        <v>0.62222222222222223</v>
      </c>
      <c r="D1893" s="777">
        <v>43628</v>
      </c>
      <c r="E1893" s="730">
        <v>0.65972222222222221</v>
      </c>
      <c r="F1893" s="558" t="s">
        <v>3811</v>
      </c>
      <c r="G1893" s="558" t="s">
        <v>124</v>
      </c>
      <c r="H1893" s="558" t="s">
        <v>3750</v>
      </c>
      <c r="I1893" s="679" t="s">
        <v>2905</v>
      </c>
      <c r="J1893" s="676">
        <v>982</v>
      </c>
      <c r="K1893" s="676">
        <v>30907</v>
      </c>
      <c r="M1893" t="str">
        <f>""</f>
        <v/>
      </c>
    </row>
    <row r="1894" spans="1:13" ht="15.75">
      <c r="A1894">
        <v>2020</v>
      </c>
      <c r="B1894" s="777">
        <v>43841</v>
      </c>
      <c r="C1894" s="730">
        <v>0.53472222222222221</v>
      </c>
      <c r="D1894" s="777">
        <v>43842</v>
      </c>
      <c r="E1894" s="730">
        <v>0.56458333333333333</v>
      </c>
      <c r="F1894" s="558" t="s">
        <v>3167</v>
      </c>
      <c r="G1894" s="558" t="s">
        <v>63</v>
      </c>
      <c r="H1894" s="558" t="s">
        <v>3451</v>
      </c>
      <c r="I1894" s="679" t="s">
        <v>22</v>
      </c>
      <c r="J1894" s="676">
        <v>219</v>
      </c>
      <c r="K1894" s="676">
        <v>30715</v>
      </c>
      <c r="M1894" t="str">
        <f>""</f>
        <v/>
      </c>
    </row>
    <row r="1895" spans="1:13" ht="15.75">
      <c r="A1895">
        <v>2012</v>
      </c>
      <c r="B1895" s="777">
        <v>41068</v>
      </c>
      <c r="C1895" s="730">
        <v>0.72222222222222221</v>
      </c>
      <c r="D1895" s="777">
        <v>41068</v>
      </c>
      <c r="E1895" s="730">
        <v>0.72569444444444442</v>
      </c>
      <c r="F1895" s="558" t="s">
        <v>2389</v>
      </c>
      <c r="G1895" s="558" t="s">
        <v>124</v>
      </c>
      <c r="H1895" s="558" t="s">
        <v>5873</v>
      </c>
      <c r="I1895" s="679" t="s">
        <v>905</v>
      </c>
      <c r="J1895" s="676">
        <v>120</v>
      </c>
      <c r="K1895" s="676">
        <v>30379</v>
      </c>
      <c r="M1895" t="str">
        <f>""</f>
        <v/>
      </c>
    </row>
    <row r="1896" spans="1:13" ht="15.75">
      <c r="A1896" s="728">
        <v>2010</v>
      </c>
      <c r="B1896" s="777">
        <v>40197</v>
      </c>
      <c r="C1896" s="730">
        <v>0.3125</v>
      </c>
      <c r="D1896" s="777">
        <v>40197</v>
      </c>
      <c r="E1896" s="730">
        <v>0.51666666666666672</v>
      </c>
      <c r="F1896" s="558" t="s">
        <v>1849</v>
      </c>
      <c r="G1896" s="558" t="s">
        <v>124</v>
      </c>
      <c r="H1896" s="558" t="s">
        <v>5873</v>
      </c>
      <c r="I1896" s="679" t="s">
        <v>362</v>
      </c>
      <c r="J1896" s="676">
        <v>300</v>
      </c>
      <c r="K1896" s="676">
        <v>30000</v>
      </c>
      <c r="M1896" t="str">
        <f>""</f>
        <v/>
      </c>
    </row>
    <row r="1897" spans="1:13" ht="15.75">
      <c r="A1897">
        <v>2015</v>
      </c>
      <c r="B1897" s="777">
        <v>42188</v>
      </c>
      <c r="C1897" s="730">
        <v>0.72013888888888888</v>
      </c>
      <c r="D1897" s="777">
        <v>42188</v>
      </c>
      <c r="E1897" s="730">
        <v>0.97916666666666663</v>
      </c>
      <c r="F1897" s="558" t="s">
        <v>166</v>
      </c>
      <c r="G1897" s="558" t="s">
        <v>1352</v>
      </c>
      <c r="H1897" s="558" t="s">
        <v>2769</v>
      </c>
      <c r="I1897" s="679" t="s">
        <v>2764</v>
      </c>
      <c r="J1897" s="676">
        <v>350</v>
      </c>
      <c r="K1897" s="676">
        <v>30000</v>
      </c>
      <c r="M1897" t="str">
        <f>""</f>
        <v/>
      </c>
    </row>
    <row r="1898" spans="1:13" ht="15.75">
      <c r="A1898">
        <v>2017</v>
      </c>
      <c r="B1898" s="777">
        <v>42757</v>
      </c>
      <c r="C1898" s="730">
        <v>0.66666666666666663</v>
      </c>
      <c r="D1898" s="777">
        <v>42758</v>
      </c>
      <c r="E1898" s="730">
        <v>0.14305555555555555</v>
      </c>
      <c r="F1898" s="558" t="s">
        <v>2974</v>
      </c>
      <c r="G1898" s="558" t="s">
        <v>63</v>
      </c>
      <c r="H1898" s="558" t="s">
        <v>2753</v>
      </c>
      <c r="I1898" s="679" t="s">
        <v>22</v>
      </c>
      <c r="J1898" s="676">
        <v>100</v>
      </c>
      <c r="K1898" s="676">
        <v>29965</v>
      </c>
      <c r="M1898" t="str">
        <f>""</f>
        <v/>
      </c>
    </row>
    <row r="1899" spans="1:13" ht="15.75">
      <c r="A1899">
        <v>2021</v>
      </c>
      <c r="B1899" s="777">
        <v>44242</v>
      </c>
      <c r="C1899" s="730">
        <v>0.43333333333333335</v>
      </c>
      <c r="D1899" s="777">
        <v>44245</v>
      </c>
      <c r="E1899" s="730">
        <v>0.41111111111111109</v>
      </c>
      <c r="F1899" s="558" t="s">
        <v>2909</v>
      </c>
      <c r="G1899" s="558" t="s">
        <v>1352</v>
      </c>
      <c r="H1899" s="558" t="s">
        <v>3478</v>
      </c>
      <c r="I1899" s="679" t="s">
        <v>22</v>
      </c>
      <c r="J1899" s="676">
        <v>116</v>
      </c>
      <c r="K1899" s="676">
        <v>29942</v>
      </c>
      <c r="M1899" t="str">
        <f>""</f>
        <v/>
      </c>
    </row>
    <row r="1900" spans="1:13" ht="15.75">
      <c r="A1900" s="728">
        <v>2010</v>
      </c>
      <c r="B1900" s="777">
        <v>40295</v>
      </c>
      <c r="C1900" s="730">
        <v>0.62152777777777779</v>
      </c>
      <c r="D1900" s="777">
        <v>40295</v>
      </c>
      <c r="E1900" s="730">
        <v>0.62152777777777779</v>
      </c>
      <c r="F1900" s="558" t="s">
        <v>1917</v>
      </c>
      <c r="G1900" s="558" t="s">
        <v>63</v>
      </c>
      <c r="H1900" s="558" t="s">
        <v>5873</v>
      </c>
      <c r="I1900" s="679" t="s">
        <v>1806</v>
      </c>
      <c r="J1900" s="676" t="s">
        <v>5873</v>
      </c>
      <c r="K1900" s="676">
        <v>29376</v>
      </c>
      <c r="M1900" t="str">
        <f>""</f>
        <v/>
      </c>
    </row>
    <row r="1901" spans="1:13" ht="15.75">
      <c r="A1901">
        <v>2012</v>
      </c>
      <c r="B1901" s="777">
        <v>41083</v>
      </c>
      <c r="C1901" s="730">
        <v>0.7895833333333333</v>
      </c>
      <c r="D1901" s="777">
        <v>41083</v>
      </c>
      <c r="E1901" s="730">
        <v>0.81111111111111112</v>
      </c>
      <c r="F1901" s="558" t="s">
        <v>2395</v>
      </c>
      <c r="G1901" s="558" t="s">
        <v>61</v>
      </c>
      <c r="H1901" s="558" t="s">
        <v>5873</v>
      </c>
      <c r="I1901" s="679" t="s">
        <v>905</v>
      </c>
      <c r="J1901" s="676">
        <v>51</v>
      </c>
      <c r="K1901" s="676">
        <v>29250</v>
      </c>
      <c r="M1901" t="str">
        <f>""</f>
        <v/>
      </c>
    </row>
    <row r="1902" spans="1:13" ht="15.75">
      <c r="A1902">
        <v>2021</v>
      </c>
      <c r="B1902" s="777">
        <v>44430</v>
      </c>
      <c r="C1902" s="730">
        <v>0.50763888888888886</v>
      </c>
      <c r="D1902" s="777">
        <v>44431</v>
      </c>
      <c r="E1902" s="730">
        <v>0.6875</v>
      </c>
      <c r="F1902" s="558" t="s">
        <v>4982</v>
      </c>
      <c r="G1902" s="558" t="s">
        <v>61</v>
      </c>
      <c r="H1902" s="558" t="s">
        <v>2753</v>
      </c>
      <c r="I1902" s="679" t="s">
        <v>22</v>
      </c>
      <c r="J1902" s="676" t="s">
        <v>5873</v>
      </c>
      <c r="K1902" s="676">
        <v>28134</v>
      </c>
      <c r="M1902" t="str">
        <f>""</f>
        <v/>
      </c>
    </row>
    <row r="1903" spans="1:13" ht="15.75">
      <c r="A1903">
        <v>2014</v>
      </c>
      <c r="B1903" s="777">
        <v>41752</v>
      </c>
      <c r="C1903" s="730">
        <v>0.82291666666666663</v>
      </c>
      <c r="D1903" s="777">
        <v>41752</v>
      </c>
      <c r="E1903" s="730">
        <v>0.85902777777777772</v>
      </c>
      <c r="F1903" s="558" t="s">
        <v>2683</v>
      </c>
      <c r="G1903" s="558" t="s">
        <v>63</v>
      </c>
      <c r="H1903" s="558" t="s">
        <v>5873</v>
      </c>
      <c r="I1903" s="679" t="s">
        <v>2684</v>
      </c>
      <c r="J1903" s="676">
        <v>163</v>
      </c>
      <c r="K1903" s="676">
        <v>28000</v>
      </c>
      <c r="M1903" t="str">
        <f>""</f>
        <v/>
      </c>
    </row>
    <row r="1904" spans="1:13" ht="15.75">
      <c r="A1904">
        <v>2018</v>
      </c>
      <c r="B1904" s="777">
        <v>43199</v>
      </c>
      <c r="C1904" s="730">
        <v>0.96527777777777779</v>
      </c>
      <c r="D1904" s="777">
        <v>43200</v>
      </c>
      <c r="E1904" s="730">
        <v>0.28263888888888888</v>
      </c>
      <c r="F1904" s="558" t="s">
        <v>3299</v>
      </c>
      <c r="G1904" s="558" t="s">
        <v>301</v>
      </c>
      <c r="H1904" s="558" t="s">
        <v>2915</v>
      </c>
      <c r="I1904" s="679" t="s">
        <v>2343</v>
      </c>
      <c r="J1904" s="676">
        <v>55</v>
      </c>
      <c r="K1904" s="676">
        <v>27000</v>
      </c>
      <c r="M1904" t="str">
        <f>""</f>
        <v/>
      </c>
    </row>
    <row r="1905" spans="1:13" ht="15.75">
      <c r="A1905">
        <v>2018</v>
      </c>
      <c r="B1905" s="777">
        <v>43271</v>
      </c>
      <c r="C1905" s="730">
        <v>0.95694444444444449</v>
      </c>
      <c r="D1905" s="777">
        <v>43272</v>
      </c>
      <c r="E1905" s="730">
        <v>0.25347222222222221</v>
      </c>
      <c r="F1905" s="558" t="s">
        <v>3299</v>
      </c>
      <c r="G1905" s="558" t="s">
        <v>301</v>
      </c>
      <c r="H1905" s="558" t="s">
        <v>3363</v>
      </c>
      <c r="I1905" s="679" t="s">
        <v>2483</v>
      </c>
      <c r="J1905" s="676">
        <v>73</v>
      </c>
      <c r="K1905" s="676">
        <v>27000</v>
      </c>
      <c r="M1905" t="str">
        <f>""</f>
        <v/>
      </c>
    </row>
    <row r="1906" spans="1:13" ht="15.75">
      <c r="A1906">
        <v>2014</v>
      </c>
      <c r="B1906" s="777">
        <v>41844</v>
      </c>
      <c r="C1906" s="730">
        <v>0.68680555555555556</v>
      </c>
      <c r="D1906" s="777">
        <v>41844</v>
      </c>
      <c r="E1906" s="730">
        <v>0.98055555555555551</v>
      </c>
      <c r="F1906" s="558" t="s">
        <v>18</v>
      </c>
      <c r="G1906" s="558" t="s">
        <v>124</v>
      </c>
      <c r="H1906" s="558" t="s">
        <v>5873</v>
      </c>
      <c r="I1906" s="679" t="s">
        <v>2684</v>
      </c>
      <c r="J1906" s="676">
        <v>126</v>
      </c>
      <c r="K1906" s="676">
        <v>26856</v>
      </c>
      <c r="M1906" t="str">
        <f>""</f>
        <v/>
      </c>
    </row>
    <row r="1907" spans="1:13" ht="15.75">
      <c r="A1907">
        <v>2018</v>
      </c>
      <c r="B1907" s="777">
        <v>43292</v>
      </c>
      <c r="C1907" s="730">
        <v>0.65277777777777779</v>
      </c>
      <c r="D1907" s="777">
        <v>43292</v>
      </c>
      <c r="E1907" s="730">
        <v>0.66666666666666663</v>
      </c>
      <c r="F1907" s="558" t="s">
        <v>3189</v>
      </c>
      <c r="G1907" s="558" t="s">
        <v>63</v>
      </c>
      <c r="H1907" s="558" t="s">
        <v>3379</v>
      </c>
      <c r="I1907" s="679" t="s">
        <v>2483</v>
      </c>
      <c r="J1907" s="676">
        <v>425</v>
      </c>
      <c r="K1907" s="676">
        <v>26195</v>
      </c>
      <c r="M1907" t="str">
        <f>""</f>
        <v/>
      </c>
    </row>
    <row r="1908" spans="1:13" ht="15.75">
      <c r="A1908" s="728">
        <v>2010</v>
      </c>
      <c r="B1908" s="777">
        <v>40351</v>
      </c>
      <c r="C1908" s="730">
        <v>0.64861111111111114</v>
      </c>
      <c r="D1908" s="777">
        <v>40351</v>
      </c>
      <c r="E1908" s="730">
        <v>0.79166666666666663</v>
      </c>
      <c r="F1908" s="558" t="s">
        <v>1969</v>
      </c>
      <c r="G1908" s="558" t="s">
        <v>63</v>
      </c>
      <c r="H1908" s="558" t="s">
        <v>5873</v>
      </c>
      <c r="I1908" s="679" t="s">
        <v>1970</v>
      </c>
      <c r="J1908" s="676">
        <v>84</v>
      </c>
      <c r="K1908" s="676">
        <v>25159</v>
      </c>
      <c r="M1908" t="str">
        <f>""</f>
        <v/>
      </c>
    </row>
    <row r="1909" spans="1:13" ht="15.75">
      <c r="A1909">
        <v>2021</v>
      </c>
      <c r="B1909" s="777">
        <v>44242</v>
      </c>
      <c r="C1909" s="730">
        <v>0.32777777777777778</v>
      </c>
      <c r="D1909" s="777">
        <v>44244</v>
      </c>
      <c r="E1909" s="730">
        <v>0.59375</v>
      </c>
      <c r="F1909" s="558" t="s">
        <v>4741</v>
      </c>
      <c r="G1909" s="558" t="s">
        <v>1352</v>
      </c>
      <c r="H1909" s="558" t="s">
        <v>3750</v>
      </c>
      <c r="I1909" s="679" t="s">
        <v>22</v>
      </c>
      <c r="J1909" s="676">
        <v>107</v>
      </c>
      <c r="K1909" s="676">
        <v>25000</v>
      </c>
      <c r="M1909" t="str">
        <f>""</f>
        <v/>
      </c>
    </row>
    <row r="1910" spans="1:13" ht="15.75">
      <c r="A1910">
        <v>2021</v>
      </c>
      <c r="B1910" s="777">
        <v>44320</v>
      </c>
      <c r="C1910" s="730">
        <v>0.75416666666666665</v>
      </c>
      <c r="D1910" s="777">
        <v>44321</v>
      </c>
      <c r="E1910" s="730">
        <v>0.7416666666666667</v>
      </c>
      <c r="F1910" s="558" t="s">
        <v>4205</v>
      </c>
      <c r="G1910" s="558" t="s">
        <v>63</v>
      </c>
      <c r="H1910" s="558" t="s">
        <v>3451</v>
      </c>
      <c r="I1910" s="679" t="s">
        <v>22</v>
      </c>
      <c r="J1910" s="676">
        <v>175</v>
      </c>
      <c r="K1910" s="676">
        <v>24457</v>
      </c>
      <c r="M1910" t="str">
        <f>""</f>
        <v/>
      </c>
    </row>
    <row r="1911" spans="1:13" ht="15.75">
      <c r="A1911">
        <v>2021</v>
      </c>
      <c r="B1911" s="777">
        <v>44261</v>
      </c>
      <c r="C1911" s="730">
        <v>0.13958333333333334</v>
      </c>
      <c r="D1911" s="777">
        <v>44261</v>
      </c>
      <c r="E1911" s="730">
        <v>0.17152777777777778</v>
      </c>
      <c r="F1911" s="558" t="s">
        <v>4776</v>
      </c>
      <c r="G1911" s="558" t="s">
        <v>124</v>
      </c>
      <c r="H1911" s="558" t="s">
        <v>4071</v>
      </c>
      <c r="I1911" s="679" t="s">
        <v>22</v>
      </c>
      <c r="J1911" s="676">
        <v>22</v>
      </c>
      <c r="K1911" s="676">
        <v>24000</v>
      </c>
      <c r="M1911" t="str">
        <f>""</f>
        <v/>
      </c>
    </row>
    <row r="1912" spans="1:13" ht="15.75">
      <c r="A1912">
        <v>2023</v>
      </c>
      <c r="B1912" s="777">
        <v>45194</v>
      </c>
      <c r="C1912" s="532">
        <v>0.21666666666666667</v>
      </c>
      <c r="D1912" s="678">
        <v>45194</v>
      </c>
      <c r="E1912" s="532">
        <v>0.27847222222222223</v>
      </c>
      <c r="F1912" t="s">
        <v>5914</v>
      </c>
      <c r="G1912" t="s">
        <v>63</v>
      </c>
      <c r="H1912" t="s">
        <v>5911</v>
      </c>
      <c r="I1912" s="677" t="s">
        <v>5886</v>
      </c>
      <c r="J1912" s="783">
        <v>103</v>
      </c>
      <c r="K1912" s="783">
        <v>23380</v>
      </c>
      <c r="M1912" t="str">
        <f>""</f>
        <v/>
      </c>
    </row>
    <row r="1913" spans="1:13" ht="15.75">
      <c r="A1913">
        <v>2018</v>
      </c>
      <c r="B1913" s="777">
        <v>43112</v>
      </c>
      <c r="C1913" s="730">
        <v>0.54722222222222228</v>
      </c>
      <c r="D1913" s="777">
        <v>43112</v>
      </c>
      <c r="E1913" s="730">
        <v>0.62013888888888891</v>
      </c>
      <c r="F1913" s="558" t="s">
        <v>3200</v>
      </c>
      <c r="G1913" s="558" t="s">
        <v>3143</v>
      </c>
      <c r="H1913" s="558" t="s">
        <v>3201</v>
      </c>
      <c r="I1913" s="679" t="s">
        <v>2764</v>
      </c>
      <c r="J1913" s="676">
        <v>41</v>
      </c>
      <c r="K1913" s="676">
        <v>23007</v>
      </c>
      <c r="M1913" t="str">
        <f>""</f>
        <v/>
      </c>
    </row>
    <row r="1914" spans="1:13" ht="15.75">
      <c r="A1914">
        <v>2011</v>
      </c>
      <c r="B1914" s="777">
        <v>40746</v>
      </c>
      <c r="C1914" s="730">
        <v>0.48194444444444445</v>
      </c>
      <c r="D1914" s="777">
        <v>40746</v>
      </c>
      <c r="E1914" s="730">
        <v>0.72638888888888886</v>
      </c>
      <c r="F1914" s="558" t="s">
        <v>160</v>
      </c>
      <c r="G1914" s="558" t="s">
        <v>826</v>
      </c>
      <c r="H1914" s="558" t="s">
        <v>5873</v>
      </c>
      <c r="I1914" s="679" t="s">
        <v>905</v>
      </c>
      <c r="J1914" s="676">
        <v>206</v>
      </c>
      <c r="K1914" s="676">
        <v>23000</v>
      </c>
      <c r="M1914" t="str">
        <f>""</f>
        <v/>
      </c>
    </row>
    <row r="1915" spans="1:13" ht="15.75">
      <c r="A1915">
        <v>2022</v>
      </c>
      <c r="B1915" s="777">
        <v>44919</v>
      </c>
      <c r="C1915" s="730">
        <v>0.375</v>
      </c>
      <c r="D1915" s="777">
        <v>44919</v>
      </c>
      <c r="E1915" s="730">
        <v>0.46875</v>
      </c>
      <c r="F1915" s="558" t="s">
        <v>3167</v>
      </c>
      <c r="G1915" s="558" t="s">
        <v>63</v>
      </c>
      <c r="H1915" s="558" t="s">
        <v>3451</v>
      </c>
      <c r="I1915" s="679" t="s">
        <v>22</v>
      </c>
      <c r="J1915" s="676">
        <v>160</v>
      </c>
      <c r="K1915" s="676">
        <v>22436</v>
      </c>
      <c r="M1915" t="str">
        <f>""</f>
        <v/>
      </c>
    </row>
    <row r="1916" spans="1:13" ht="15.75">
      <c r="A1916">
        <v>2022</v>
      </c>
      <c r="B1916" s="777">
        <v>44674</v>
      </c>
      <c r="C1916" s="730">
        <v>0.8208333333333333</v>
      </c>
      <c r="D1916" s="777">
        <v>44675</v>
      </c>
      <c r="E1916" s="730">
        <v>0.67847222222222225</v>
      </c>
      <c r="F1916" s="558" t="s">
        <v>5313</v>
      </c>
      <c r="G1916" s="558" t="s">
        <v>5055</v>
      </c>
      <c r="H1916" s="558" t="s">
        <v>3411</v>
      </c>
      <c r="I1916" s="679" t="s">
        <v>22</v>
      </c>
      <c r="J1916" s="676">
        <v>43</v>
      </c>
      <c r="K1916" s="676">
        <v>22400</v>
      </c>
      <c r="M1916" t="str">
        <f>""</f>
        <v/>
      </c>
    </row>
    <row r="1917" spans="1:13" ht="15.75">
      <c r="A1917">
        <v>2022</v>
      </c>
      <c r="B1917" s="777">
        <v>44651</v>
      </c>
      <c r="C1917" s="730">
        <v>2.7777777777777779E-3</v>
      </c>
      <c r="D1917" s="777">
        <v>44651</v>
      </c>
      <c r="E1917" s="730">
        <v>0.3888888888888889</v>
      </c>
      <c r="F1917" s="558" t="s">
        <v>5278</v>
      </c>
      <c r="G1917" s="558" t="s">
        <v>63</v>
      </c>
      <c r="H1917" s="558" t="s">
        <v>2753</v>
      </c>
      <c r="I1917" s="679" t="s">
        <v>22</v>
      </c>
      <c r="J1917" s="676">
        <v>157</v>
      </c>
      <c r="K1917" s="676">
        <v>22000</v>
      </c>
      <c r="M1917" t="str">
        <f>""</f>
        <v/>
      </c>
    </row>
    <row r="1918" spans="1:13" ht="15.75">
      <c r="A1918">
        <v>2013</v>
      </c>
      <c r="B1918" s="777">
        <v>41414</v>
      </c>
      <c r="C1918" s="730">
        <v>0.72361111111111109</v>
      </c>
      <c r="D1918" s="777">
        <v>41414</v>
      </c>
      <c r="E1918" s="730">
        <v>0.88124999999999998</v>
      </c>
      <c r="F1918" s="558" t="s">
        <v>2536</v>
      </c>
      <c r="G1918" s="558" t="s">
        <v>63</v>
      </c>
      <c r="H1918" s="558" t="s">
        <v>5873</v>
      </c>
      <c r="I1918" s="679" t="s">
        <v>2537</v>
      </c>
      <c r="J1918" s="676">
        <v>103</v>
      </c>
      <c r="K1918" s="676">
        <v>21800</v>
      </c>
      <c r="M1918" t="str">
        <f>""</f>
        <v/>
      </c>
    </row>
    <row r="1919" spans="1:13" ht="15.75">
      <c r="A1919">
        <v>2016</v>
      </c>
      <c r="B1919" s="777">
        <v>42579</v>
      </c>
      <c r="C1919" s="730">
        <v>0.78541666666666665</v>
      </c>
      <c r="D1919" s="777">
        <v>42580</v>
      </c>
      <c r="E1919" s="730">
        <v>8.4722222222222227E-2</v>
      </c>
      <c r="F1919" s="558" t="s">
        <v>2271</v>
      </c>
      <c r="G1919" s="558" t="s">
        <v>472</v>
      </c>
      <c r="H1919" s="558" t="s">
        <v>619</v>
      </c>
      <c r="I1919" s="679" t="s">
        <v>2764</v>
      </c>
      <c r="J1919" s="676">
        <v>22</v>
      </c>
      <c r="K1919" s="676">
        <v>21600</v>
      </c>
      <c r="M1919" t="str">
        <f>""</f>
        <v/>
      </c>
    </row>
    <row r="1920" spans="1:13" ht="15.75">
      <c r="A1920">
        <v>2020</v>
      </c>
      <c r="B1920" s="777">
        <v>44081</v>
      </c>
      <c r="C1920" s="730">
        <v>0.3840277777777778</v>
      </c>
      <c r="D1920" s="777">
        <v>44082</v>
      </c>
      <c r="E1920" s="730">
        <v>0.25</v>
      </c>
      <c r="F1920" s="558" t="s">
        <v>2853</v>
      </c>
      <c r="G1920" s="558" t="s">
        <v>124</v>
      </c>
      <c r="H1920" s="558" t="s">
        <v>4453</v>
      </c>
      <c r="I1920" s="679" t="s">
        <v>3416</v>
      </c>
      <c r="J1920" s="676">
        <v>80</v>
      </c>
      <c r="K1920" s="676">
        <v>21000</v>
      </c>
      <c r="M1920" t="str">
        <f>""</f>
        <v/>
      </c>
    </row>
    <row r="1921" spans="1:13" ht="15.75">
      <c r="A1921">
        <v>2011</v>
      </c>
      <c r="B1921" s="777">
        <v>40556</v>
      </c>
      <c r="C1921" s="730">
        <v>0.30625000000000002</v>
      </c>
      <c r="D1921" s="777">
        <v>40556</v>
      </c>
      <c r="E1921" s="730">
        <v>0.34236111111111112</v>
      </c>
      <c r="F1921" s="558" t="s">
        <v>2114</v>
      </c>
      <c r="G1921" s="558" t="s">
        <v>301</v>
      </c>
      <c r="H1921" s="558" t="s">
        <v>5873</v>
      </c>
      <c r="I1921" s="679" t="s">
        <v>1885</v>
      </c>
      <c r="J1921" s="676">
        <v>150</v>
      </c>
      <c r="K1921" s="676">
        <v>20900</v>
      </c>
      <c r="M1921" t="str">
        <f>""</f>
        <v/>
      </c>
    </row>
    <row r="1922" spans="1:13" ht="15.75">
      <c r="A1922">
        <v>2022</v>
      </c>
      <c r="B1922" s="777">
        <v>44638</v>
      </c>
      <c r="C1922" s="730">
        <v>0.68888888888888888</v>
      </c>
      <c r="D1922" s="777" t="s">
        <v>5873</v>
      </c>
      <c r="E1922" s="730" t="s">
        <v>5873</v>
      </c>
      <c r="F1922" s="558" t="s">
        <v>3299</v>
      </c>
      <c r="G1922" s="558" t="s">
        <v>63</v>
      </c>
      <c r="H1922" s="558" t="s">
        <v>3411</v>
      </c>
      <c r="I1922" s="679" t="s">
        <v>2483</v>
      </c>
      <c r="J1922" s="676">
        <v>78</v>
      </c>
      <c r="K1922" s="676">
        <v>20423</v>
      </c>
      <c r="M1922" t="str">
        <f>""</f>
        <v/>
      </c>
    </row>
    <row r="1923" spans="1:13" ht="15.75">
      <c r="A1923">
        <v>2011</v>
      </c>
      <c r="B1923" s="777">
        <v>40685</v>
      </c>
      <c r="C1923" s="730">
        <v>0.71458333333333335</v>
      </c>
      <c r="D1923" s="777">
        <v>40694</v>
      </c>
      <c r="E1923" s="730">
        <v>0.50069444444444444</v>
      </c>
      <c r="F1923" s="558" t="s">
        <v>2203</v>
      </c>
      <c r="G1923" s="558" t="s">
        <v>58</v>
      </c>
      <c r="H1923" s="558" t="s">
        <v>5873</v>
      </c>
      <c r="I1923" s="679" t="s">
        <v>22</v>
      </c>
      <c r="J1923" s="676">
        <v>200</v>
      </c>
      <c r="K1923" s="676">
        <v>20000</v>
      </c>
      <c r="M1923" t="str">
        <f>""</f>
        <v/>
      </c>
    </row>
    <row r="1924" spans="1:13" ht="15.75">
      <c r="A1924">
        <v>2017</v>
      </c>
      <c r="B1924" s="777">
        <v>42989</v>
      </c>
      <c r="C1924" s="730">
        <v>2.0833333333333332E-2</v>
      </c>
      <c r="D1924" s="777" t="s">
        <v>5873</v>
      </c>
      <c r="E1924" s="730" t="s">
        <v>5873</v>
      </c>
      <c r="F1924" s="558" t="s">
        <v>2901</v>
      </c>
      <c r="G1924" s="558" t="s">
        <v>301</v>
      </c>
      <c r="H1924" s="558" t="s">
        <v>2753</v>
      </c>
      <c r="I1924" s="679" t="s">
        <v>22</v>
      </c>
      <c r="J1924" s="676">
        <v>200</v>
      </c>
      <c r="K1924" s="676">
        <v>20000</v>
      </c>
      <c r="M1924" t="str">
        <f>""</f>
        <v/>
      </c>
    </row>
    <row r="1925" spans="1:13" ht="15.75">
      <c r="A1925">
        <v>2020</v>
      </c>
      <c r="B1925" s="777">
        <v>44079</v>
      </c>
      <c r="C1925" s="730">
        <v>0.72569444444444442</v>
      </c>
      <c r="D1925" s="777">
        <v>44079</v>
      </c>
      <c r="E1925" s="730">
        <v>0.87152777777777779</v>
      </c>
      <c r="F1925" s="558" t="s">
        <v>2920</v>
      </c>
      <c r="G1925" s="558" t="s">
        <v>124</v>
      </c>
      <c r="H1925" s="558" t="s">
        <v>3750</v>
      </c>
      <c r="I1925" s="679" t="s">
        <v>22</v>
      </c>
      <c r="J1925" s="676">
        <v>100</v>
      </c>
      <c r="K1925" s="676">
        <v>20000</v>
      </c>
      <c r="M1925" t="str">
        <f>""</f>
        <v/>
      </c>
    </row>
    <row r="1926" spans="1:13" ht="15.75">
      <c r="A1926">
        <v>2020</v>
      </c>
      <c r="B1926" s="777">
        <v>44048</v>
      </c>
      <c r="C1926" s="730">
        <v>0.74861111111111112</v>
      </c>
      <c r="D1926" s="777">
        <v>44048</v>
      </c>
      <c r="E1926" s="730">
        <v>0.87013888888888891</v>
      </c>
      <c r="F1926" s="558" t="s">
        <v>4383</v>
      </c>
      <c r="G1926" s="558" t="s">
        <v>1352</v>
      </c>
      <c r="H1926" s="558" t="s">
        <v>3411</v>
      </c>
      <c r="I1926" s="679" t="s">
        <v>2483</v>
      </c>
      <c r="J1926" s="676">
        <v>89</v>
      </c>
      <c r="K1926" s="676">
        <v>19785</v>
      </c>
      <c r="M1926" t="str">
        <f>""</f>
        <v/>
      </c>
    </row>
    <row r="1927" spans="1:13" ht="15.75">
      <c r="A1927">
        <v>2022</v>
      </c>
      <c r="B1927" s="777">
        <v>44632</v>
      </c>
      <c r="C1927" s="730">
        <v>0.35625000000000001</v>
      </c>
      <c r="D1927" s="777" t="s">
        <v>5873</v>
      </c>
      <c r="E1927" s="730" t="s">
        <v>5873</v>
      </c>
      <c r="F1927" s="558" t="s">
        <v>2974</v>
      </c>
      <c r="G1927" s="558" t="s">
        <v>63</v>
      </c>
      <c r="H1927" s="558" t="s">
        <v>2753</v>
      </c>
      <c r="I1927" s="679" t="s">
        <v>22</v>
      </c>
      <c r="J1927" s="676">
        <v>139</v>
      </c>
      <c r="K1927" s="676">
        <v>19380</v>
      </c>
      <c r="M1927" t="str">
        <f>""</f>
        <v/>
      </c>
    </row>
    <row r="1928" spans="1:13" ht="15.75">
      <c r="A1928">
        <v>2016</v>
      </c>
      <c r="B1928" s="777">
        <v>42635</v>
      </c>
      <c r="C1928" s="730">
        <v>0.45555555555555555</v>
      </c>
      <c r="D1928" s="777">
        <v>42635</v>
      </c>
      <c r="E1928" s="730">
        <v>0.48680555555555555</v>
      </c>
      <c r="F1928" s="558" t="s">
        <v>2911</v>
      </c>
      <c r="G1928" s="558" t="s">
        <v>674</v>
      </c>
      <c r="H1928" s="558" t="s">
        <v>2908</v>
      </c>
      <c r="I1928" s="679" t="s">
        <v>2764</v>
      </c>
      <c r="J1928" s="676">
        <v>69</v>
      </c>
      <c r="K1928" s="676">
        <v>19124</v>
      </c>
      <c r="M1928" t="str">
        <f>""</f>
        <v/>
      </c>
    </row>
    <row r="1929" spans="1:13" ht="15.75">
      <c r="A1929">
        <v>2020</v>
      </c>
      <c r="B1929" s="777">
        <v>44190</v>
      </c>
      <c r="C1929" s="730">
        <v>0.3298611111111111</v>
      </c>
      <c r="D1929" s="777">
        <v>44190</v>
      </c>
      <c r="E1929" s="730">
        <v>0.69791666666666663</v>
      </c>
      <c r="F1929" s="558" t="s">
        <v>4633</v>
      </c>
      <c r="G1929" s="558" t="s">
        <v>61</v>
      </c>
      <c r="H1929" s="558" t="s">
        <v>3451</v>
      </c>
      <c r="I1929" s="679" t="s">
        <v>22</v>
      </c>
      <c r="J1929" s="676" t="s">
        <v>5873</v>
      </c>
      <c r="K1929" s="676">
        <v>19000</v>
      </c>
      <c r="M1929" t="str">
        <f>""</f>
        <v/>
      </c>
    </row>
    <row r="1930" spans="1:13" ht="15.75">
      <c r="A1930">
        <v>2021</v>
      </c>
      <c r="B1930" s="777">
        <v>44410</v>
      </c>
      <c r="C1930" s="730">
        <v>0.26597222222222222</v>
      </c>
      <c r="D1930" s="777">
        <v>44410</v>
      </c>
      <c r="E1930" s="730">
        <v>0.66319444444444442</v>
      </c>
      <c r="F1930" s="558" t="s">
        <v>4950</v>
      </c>
      <c r="G1930" s="558" t="s">
        <v>1352</v>
      </c>
      <c r="H1930" s="558" t="s">
        <v>3411</v>
      </c>
      <c r="I1930" s="679" t="s">
        <v>2990</v>
      </c>
      <c r="J1930" s="676">
        <v>43</v>
      </c>
      <c r="K1930" s="676">
        <v>19000</v>
      </c>
      <c r="M1930" t="str">
        <f>""</f>
        <v/>
      </c>
    </row>
    <row r="1931" spans="1:13" ht="15.75">
      <c r="A1931">
        <v>2021</v>
      </c>
      <c r="B1931" s="777">
        <v>44310</v>
      </c>
      <c r="C1931" s="730">
        <v>0.875</v>
      </c>
      <c r="D1931" s="777">
        <v>44311</v>
      </c>
      <c r="E1931" s="730">
        <v>0.4465277777777778</v>
      </c>
      <c r="F1931" s="558" t="s">
        <v>4815</v>
      </c>
      <c r="G1931" s="558" t="s">
        <v>63</v>
      </c>
      <c r="H1931" s="558" t="s">
        <v>3451</v>
      </c>
      <c r="I1931" s="679" t="s">
        <v>22</v>
      </c>
      <c r="J1931" s="676">
        <v>137</v>
      </c>
      <c r="K1931" s="676">
        <v>18860</v>
      </c>
      <c r="M1931" t="str">
        <f>""</f>
        <v/>
      </c>
    </row>
    <row r="1932" spans="1:13" ht="15.75">
      <c r="A1932">
        <v>2022</v>
      </c>
      <c r="B1932" s="777">
        <v>44674</v>
      </c>
      <c r="C1932" s="730">
        <v>0.65138888888888891</v>
      </c>
      <c r="D1932" s="777">
        <v>44675</v>
      </c>
      <c r="E1932" s="730">
        <v>0.16666666666666666</v>
      </c>
      <c r="F1932" s="558" t="s">
        <v>3809</v>
      </c>
      <c r="G1932" s="558" t="s">
        <v>674</v>
      </c>
      <c r="H1932" s="558" t="s">
        <v>3379</v>
      </c>
      <c r="I1932" s="679" t="s">
        <v>22</v>
      </c>
      <c r="J1932" s="676">
        <v>480</v>
      </c>
      <c r="K1932" s="676">
        <v>18430</v>
      </c>
      <c r="M1932" t="str">
        <f>""</f>
        <v/>
      </c>
    </row>
    <row r="1933" spans="1:13" ht="15.75">
      <c r="A1933" s="728">
        <v>2010</v>
      </c>
      <c r="B1933" s="777">
        <v>40365</v>
      </c>
      <c r="C1933" s="730">
        <v>0.15763888888888888</v>
      </c>
      <c r="D1933" s="777">
        <v>40365</v>
      </c>
      <c r="E1933" s="730">
        <v>0.19236111111111112</v>
      </c>
      <c r="F1933" s="558" t="s">
        <v>1980</v>
      </c>
      <c r="G1933" s="558" t="s">
        <v>826</v>
      </c>
      <c r="H1933" s="558" t="s">
        <v>5873</v>
      </c>
      <c r="I1933" s="679" t="s">
        <v>1981</v>
      </c>
      <c r="J1933" s="676">
        <v>95</v>
      </c>
      <c r="K1933" s="676">
        <v>18400</v>
      </c>
      <c r="M1933" t="str">
        <f>""</f>
        <v/>
      </c>
    </row>
    <row r="1934" spans="1:13" ht="15.75">
      <c r="A1934">
        <v>2021</v>
      </c>
      <c r="B1934" s="777">
        <v>44243</v>
      </c>
      <c r="C1934" s="730">
        <v>0.26666666666666666</v>
      </c>
      <c r="D1934" s="777">
        <v>44243</v>
      </c>
      <c r="E1934" s="730">
        <v>0.44513888888888886</v>
      </c>
      <c r="F1934" s="558" t="s">
        <v>2866</v>
      </c>
      <c r="G1934" s="558" t="s">
        <v>63</v>
      </c>
      <c r="H1934" s="558" t="s">
        <v>3750</v>
      </c>
      <c r="I1934" s="679" t="s">
        <v>2764</v>
      </c>
      <c r="J1934" s="676">
        <v>100</v>
      </c>
      <c r="K1934" s="676">
        <v>18150</v>
      </c>
      <c r="M1934" t="str">
        <f>""</f>
        <v/>
      </c>
    </row>
    <row r="1935" spans="1:13" ht="15.75">
      <c r="A1935">
        <v>2018</v>
      </c>
      <c r="B1935" s="777">
        <v>43389</v>
      </c>
      <c r="C1935" s="730">
        <v>0.17708333333333334</v>
      </c>
      <c r="D1935" s="777">
        <v>43389</v>
      </c>
      <c r="E1935" s="730">
        <v>0.71597222222222223</v>
      </c>
      <c r="F1935" s="558" t="s">
        <v>3521</v>
      </c>
      <c r="G1935" s="558" t="s">
        <v>61</v>
      </c>
      <c r="H1935" s="558" t="s">
        <v>2753</v>
      </c>
      <c r="I1935" s="679" t="s">
        <v>22</v>
      </c>
      <c r="J1935" s="676" t="s">
        <v>5873</v>
      </c>
      <c r="K1935" s="676">
        <v>18000</v>
      </c>
      <c r="M1935" t="str">
        <f>""</f>
        <v/>
      </c>
    </row>
    <row r="1936" spans="1:13" ht="15.75">
      <c r="A1936">
        <v>2022</v>
      </c>
      <c r="B1936" s="777">
        <v>44919</v>
      </c>
      <c r="C1936" s="730">
        <v>0.26041666666666669</v>
      </c>
      <c r="D1936" s="777">
        <v>44920</v>
      </c>
      <c r="E1936" s="730">
        <v>0.375</v>
      </c>
      <c r="F1936" s="558" t="s">
        <v>2896</v>
      </c>
      <c r="G1936" s="558" t="s">
        <v>63</v>
      </c>
      <c r="H1936" s="558" t="s">
        <v>5655</v>
      </c>
      <c r="I1936" s="679" t="s">
        <v>22</v>
      </c>
      <c r="J1936" s="676">
        <v>4615</v>
      </c>
      <c r="K1936" s="676">
        <v>17600</v>
      </c>
      <c r="M1936" t="str">
        <f>""</f>
        <v/>
      </c>
    </row>
    <row r="1937" spans="1:13" ht="15.75">
      <c r="A1937">
        <v>2015</v>
      </c>
      <c r="B1937" s="777">
        <v>42201</v>
      </c>
      <c r="C1937" s="730">
        <v>0.69791666666666663</v>
      </c>
      <c r="D1937" s="777">
        <v>42201</v>
      </c>
      <c r="E1937" s="730">
        <v>0.7416666666666667</v>
      </c>
      <c r="F1937" s="558" t="s">
        <v>166</v>
      </c>
      <c r="G1937" s="558" t="s">
        <v>58</v>
      </c>
      <c r="H1937" s="558" t="s">
        <v>2791</v>
      </c>
      <c r="I1937" s="679" t="s">
        <v>2764</v>
      </c>
      <c r="J1937" s="676">
        <v>117</v>
      </c>
      <c r="K1937" s="676">
        <v>17311</v>
      </c>
      <c r="M1937" t="str">
        <f>""</f>
        <v/>
      </c>
    </row>
    <row r="1938" spans="1:13" ht="15.75">
      <c r="A1938">
        <v>2020</v>
      </c>
      <c r="B1938" s="777">
        <v>44182</v>
      </c>
      <c r="C1938" s="730">
        <v>0.33819444444444446</v>
      </c>
      <c r="D1938" s="777">
        <v>44182</v>
      </c>
      <c r="E1938" s="730">
        <v>0.35555555555555557</v>
      </c>
      <c r="F1938" s="558" t="s">
        <v>2945</v>
      </c>
      <c r="G1938" s="558" t="s">
        <v>124</v>
      </c>
      <c r="H1938" s="558" t="s">
        <v>4071</v>
      </c>
      <c r="I1938" s="679" t="s">
        <v>22</v>
      </c>
      <c r="J1938" s="676">
        <v>35</v>
      </c>
      <c r="K1938" s="676">
        <v>17000</v>
      </c>
      <c r="M1938" t="str">
        <f>""</f>
        <v/>
      </c>
    </row>
    <row r="1939" spans="1:13" ht="15.75">
      <c r="A1939">
        <v>2022</v>
      </c>
      <c r="B1939" s="777">
        <v>44656</v>
      </c>
      <c r="C1939" s="730">
        <v>0.19444444444444445</v>
      </c>
      <c r="D1939" s="777">
        <v>44656</v>
      </c>
      <c r="E1939" s="730">
        <v>0.72291666666666665</v>
      </c>
      <c r="F1939" s="558" t="s">
        <v>4590</v>
      </c>
      <c r="G1939" s="558" t="s">
        <v>5174</v>
      </c>
      <c r="H1939" s="558" t="s">
        <v>3411</v>
      </c>
      <c r="I1939" s="679" t="s">
        <v>2764</v>
      </c>
      <c r="J1939" s="676">
        <v>73</v>
      </c>
      <c r="K1939" s="676">
        <v>16299</v>
      </c>
      <c r="M1939" t="str">
        <f>""</f>
        <v/>
      </c>
    </row>
    <row r="1940" spans="1:13" ht="15.75">
      <c r="A1940">
        <v>2022</v>
      </c>
      <c r="B1940" s="777">
        <v>44849</v>
      </c>
      <c r="C1940" s="730">
        <v>0.83611111111111114</v>
      </c>
      <c r="D1940" s="777">
        <v>44852</v>
      </c>
      <c r="E1940" s="730">
        <v>0.66874999999999996</v>
      </c>
      <c r="F1940" s="558" t="s">
        <v>4790</v>
      </c>
      <c r="G1940" s="558" t="s">
        <v>63</v>
      </c>
      <c r="H1940" s="558" t="s">
        <v>3411</v>
      </c>
      <c r="I1940" s="679" t="s">
        <v>2764</v>
      </c>
      <c r="J1940" s="676">
        <v>69</v>
      </c>
      <c r="K1940" s="676">
        <v>16225</v>
      </c>
      <c r="M1940" t="str">
        <f>""</f>
        <v/>
      </c>
    </row>
    <row r="1941" spans="1:13" ht="15.75">
      <c r="A1941">
        <v>2019</v>
      </c>
      <c r="B1941" s="777">
        <v>43639</v>
      </c>
      <c r="C1941" s="730">
        <v>0.21736111111111112</v>
      </c>
      <c r="D1941" s="777">
        <v>43639</v>
      </c>
      <c r="E1941" s="730">
        <v>0.45694444444444443</v>
      </c>
      <c r="F1941" s="558" t="s">
        <v>3405</v>
      </c>
      <c r="G1941" s="558" t="s">
        <v>3347</v>
      </c>
      <c r="H1941" s="558" t="s">
        <v>3411</v>
      </c>
      <c r="I1941" s="679" t="s">
        <v>2483</v>
      </c>
      <c r="J1941" s="676">
        <v>47</v>
      </c>
      <c r="K1941" s="676">
        <v>16199</v>
      </c>
      <c r="M1941" t="str">
        <f>""</f>
        <v/>
      </c>
    </row>
    <row r="1942" spans="1:13" ht="15.75">
      <c r="A1942">
        <v>2020</v>
      </c>
      <c r="B1942" s="777">
        <v>44062</v>
      </c>
      <c r="C1942" s="730">
        <v>6.0416666666666667E-2</v>
      </c>
      <c r="D1942" s="777">
        <v>44062</v>
      </c>
      <c r="E1942" s="730">
        <v>0.12708333333333333</v>
      </c>
      <c r="F1942" s="558" t="s">
        <v>4438</v>
      </c>
      <c r="G1942" s="558" t="s">
        <v>3143</v>
      </c>
      <c r="H1942" s="558" t="s">
        <v>3411</v>
      </c>
      <c r="I1942" s="679" t="s">
        <v>2483</v>
      </c>
      <c r="J1942" s="676">
        <v>22</v>
      </c>
      <c r="K1942" s="676">
        <v>16107</v>
      </c>
      <c r="M1942" t="str">
        <f>""</f>
        <v/>
      </c>
    </row>
    <row r="1943" spans="1:13" ht="15.75">
      <c r="A1943">
        <v>2020</v>
      </c>
      <c r="B1943" s="777">
        <v>43902</v>
      </c>
      <c r="C1943" s="730">
        <v>4.3749999999999997E-2</v>
      </c>
      <c r="D1943" s="777">
        <v>43902</v>
      </c>
      <c r="E1943" s="730">
        <v>0.125</v>
      </c>
      <c r="F1943" s="558" t="s">
        <v>3245</v>
      </c>
      <c r="G1943" s="558" t="s">
        <v>3143</v>
      </c>
      <c r="H1943" s="558" t="s">
        <v>3411</v>
      </c>
      <c r="I1943" s="679" t="s">
        <v>2483</v>
      </c>
      <c r="J1943" s="676">
        <v>40</v>
      </c>
      <c r="K1943" s="676">
        <v>15864</v>
      </c>
      <c r="M1943" t="str">
        <f>""</f>
        <v/>
      </c>
    </row>
    <row r="1944" spans="1:13" ht="15.75">
      <c r="A1944">
        <v>2022</v>
      </c>
      <c r="B1944" s="777">
        <v>44833</v>
      </c>
      <c r="C1944" s="730">
        <v>0.14374999999999999</v>
      </c>
      <c r="D1944" s="777" t="s">
        <v>5873</v>
      </c>
      <c r="E1944" s="730" t="s">
        <v>5873</v>
      </c>
      <c r="F1944" s="558" t="s">
        <v>4534</v>
      </c>
      <c r="G1944" s="558" t="s">
        <v>63</v>
      </c>
      <c r="H1944" s="558" t="s">
        <v>2753</v>
      </c>
      <c r="I1944" s="679" t="s">
        <v>22</v>
      </c>
      <c r="J1944" s="676">
        <v>150</v>
      </c>
      <c r="K1944" s="676">
        <v>15797</v>
      </c>
      <c r="M1944" t="str">
        <f>""</f>
        <v/>
      </c>
    </row>
    <row r="1945" spans="1:13" ht="15.75">
      <c r="A1945">
        <v>2022</v>
      </c>
      <c r="B1945" s="777">
        <v>44732</v>
      </c>
      <c r="C1945" s="730">
        <v>0.53749999999999998</v>
      </c>
      <c r="D1945" s="777">
        <v>44732</v>
      </c>
      <c r="E1945" s="730">
        <v>0.59930555555555554</v>
      </c>
      <c r="F1945" s="558" t="s">
        <v>4269</v>
      </c>
      <c r="G1945" s="558" t="s">
        <v>674</v>
      </c>
      <c r="H1945" s="558" t="s">
        <v>3411</v>
      </c>
      <c r="I1945" s="679" t="s">
        <v>2764</v>
      </c>
      <c r="J1945" s="676">
        <v>0</v>
      </c>
      <c r="K1945" s="676">
        <v>15604</v>
      </c>
      <c r="M1945" t="str">
        <f>""</f>
        <v/>
      </c>
    </row>
    <row r="1946" spans="1:13" ht="15.75">
      <c r="A1946" s="728">
        <v>2010</v>
      </c>
      <c r="B1946" s="777">
        <v>40422</v>
      </c>
      <c r="C1946" s="730">
        <v>0.43055555555555558</v>
      </c>
      <c r="D1946" s="777">
        <v>40422</v>
      </c>
      <c r="E1946" s="730">
        <v>0.53055555555555556</v>
      </c>
      <c r="F1946" s="558" t="s">
        <v>2036</v>
      </c>
      <c r="G1946" s="558" t="s">
        <v>124</v>
      </c>
      <c r="H1946" s="558" t="s">
        <v>5873</v>
      </c>
      <c r="I1946" s="679" t="s">
        <v>2037</v>
      </c>
      <c r="J1946" s="676">
        <v>31</v>
      </c>
      <c r="K1946" s="676">
        <v>15000</v>
      </c>
      <c r="M1946" t="str">
        <f>""</f>
        <v/>
      </c>
    </row>
    <row r="1947" spans="1:13" ht="15.75">
      <c r="A1947">
        <v>2011</v>
      </c>
      <c r="B1947" s="777">
        <v>40763</v>
      </c>
      <c r="C1947" s="730">
        <v>0.81666666666666665</v>
      </c>
      <c r="D1947" s="777">
        <v>40764</v>
      </c>
      <c r="E1947" s="730">
        <v>0.5</v>
      </c>
      <c r="F1947" s="558" t="s">
        <v>10</v>
      </c>
      <c r="G1947" s="558" t="s">
        <v>58</v>
      </c>
      <c r="H1947" s="558" t="s">
        <v>5873</v>
      </c>
      <c r="I1947" s="679" t="s">
        <v>2037</v>
      </c>
      <c r="J1947" s="676">
        <v>92</v>
      </c>
      <c r="K1947" s="676">
        <v>14500</v>
      </c>
      <c r="M1947" t="str">
        <f>""</f>
        <v/>
      </c>
    </row>
    <row r="1948" spans="1:13" ht="15.75">
      <c r="A1948">
        <v>2020</v>
      </c>
      <c r="B1948" s="777">
        <v>44032</v>
      </c>
      <c r="C1948" s="730">
        <v>3.9583333333333331E-2</v>
      </c>
      <c r="D1948" s="777">
        <v>44032</v>
      </c>
      <c r="E1948" s="730">
        <v>0.10694444444444444</v>
      </c>
      <c r="F1948" s="558" t="s">
        <v>3591</v>
      </c>
      <c r="G1948" s="558" t="s">
        <v>1352</v>
      </c>
      <c r="H1948" s="558" t="s">
        <v>3356</v>
      </c>
      <c r="I1948" s="679" t="s">
        <v>2118</v>
      </c>
      <c r="J1948" s="676">
        <v>21</v>
      </c>
      <c r="K1948" s="676">
        <v>14096</v>
      </c>
      <c r="M1948" t="str">
        <f>""</f>
        <v/>
      </c>
    </row>
    <row r="1949" spans="1:13" ht="15.75">
      <c r="A1949">
        <v>2019</v>
      </c>
      <c r="B1949" s="777">
        <v>43676</v>
      </c>
      <c r="C1949" s="730">
        <v>0.36458333333333331</v>
      </c>
      <c r="D1949" s="777">
        <v>43676</v>
      </c>
      <c r="E1949" s="730">
        <v>0.40625</v>
      </c>
      <c r="F1949" s="558" t="s">
        <v>2866</v>
      </c>
      <c r="G1949" s="558" t="s">
        <v>63</v>
      </c>
      <c r="H1949" s="558" t="s">
        <v>3411</v>
      </c>
      <c r="I1949" s="679" t="s">
        <v>2990</v>
      </c>
      <c r="J1949" s="676" t="s">
        <v>5873</v>
      </c>
      <c r="K1949" s="676">
        <v>13720</v>
      </c>
      <c r="M1949" t="str">
        <f>""</f>
        <v/>
      </c>
    </row>
    <row r="1950" spans="1:13" ht="15.75">
      <c r="A1950">
        <v>2022</v>
      </c>
      <c r="B1950" s="777">
        <v>44920</v>
      </c>
      <c r="C1950" s="730">
        <v>0.80902777777777779</v>
      </c>
      <c r="D1950" s="777">
        <v>44920</v>
      </c>
      <c r="E1950" s="730">
        <v>0.83819444444444446</v>
      </c>
      <c r="F1950" s="558" t="s">
        <v>3903</v>
      </c>
      <c r="G1950" s="558" t="s">
        <v>124</v>
      </c>
      <c r="H1950" s="558" t="s">
        <v>3356</v>
      </c>
      <c r="I1950" s="679" t="s">
        <v>100</v>
      </c>
      <c r="J1950" s="676">
        <v>32</v>
      </c>
      <c r="K1950" s="676">
        <v>13500</v>
      </c>
      <c r="M1950" t="str">
        <f>""</f>
        <v/>
      </c>
    </row>
    <row r="1951" spans="1:13" ht="15.75">
      <c r="A1951">
        <v>2011</v>
      </c>
      <c r="B1951" s="777">
        <v>40659</v>
      </c>
      <c r="C1951" s="730">
        <v>0.75972222222222219</v>
      </c>
      <c r="D1951" s="777">
        <v>40661</v>
      </c>
      <c r="E1951" s="730">
        <v>0.70833333333333337</v>
      </c>
      <c r="F1951" s="558" t="s">
        <v>2183</v>
      </c>
      <c r="G1951" s="558" t="s">
        <v>58</v>
      </c>
      <c r="H1951" s="558" t="s">
        <v>5873</v>
      </c>
      <c r="I1951" s="679" t="s">
        <v>22</v>
      </c>
      <c r="J1951" s="676">
        <v>50</v>
      </c>
      <c r="K1951" s="676">
        <v>13000</v>
      </c>
      <c r="M1951" t="str">
        <f>""</f>
        <v/>
      </c>
    </row>
    <row r="1952" spans="1:13" ht="15.75">
      <c r="A1952">
        <v>2011</v>
      </c>
      <c r="B1952" s="777">
        <v>40700</v>
      </c>
      <c r="C1952" s="730">
        <v>0.625</v>
      </c>
      <c r="D1952" s="777">
        <v>40702</v>
      </c>
      <c r="E1952" s="730">
        <v>0.625</v>
      </c>
      <c r="F1952" s="558" t="s">
        <v>2220</v>
      </c>
      <c r="G1952" s="558" t="s">
        <v>58</v>
      </c>
      <c r="H1952" s="558" t="s">
        <v>5873</v>
      </c>
      <c r="I1952" s="679" t="s">
        <v>2221</v>
      </c>
      <c r="J1952" s="676" t="s">
        <v>5873</v>
      </c>
      <c r="K1952" s="676">
        <v>13000</v>
      </c>
      <c r="M1952" t="str">
        <f>""</f>
        <v/>
      </c>
    </row>
    <row r="1953" spans="1:13" ht="15.75">
      <c r="A1953">
        <v>2020</v>
      </c>
      <c r="B1953" s="777">
        <v>44100</v>
      </c>
      <c r="C1953" s="730">
        <v>0.22013888888888888</v>
      </c>
      <c r="D1953" s="777">
        <v>44100</v>
      </c>
      <c r="E1953" s="730">
        <v>0.23680555555555555</v>
      </c>
      <c r="F1953" s="558" t="s">
        <v>2817</v>
      </c>
      <c r="G1953" s="558" t="s">
        <v>124</v>
      </c>
      <c r="H1953" s="558" t="s">
        <v>3402</v>
      </c>
      <c r="I1953" s="679" t="s">
        <v>2293</v>
      </c>
      <c r="J1953" s="676">
        <v>26</v>
      </c>
      <c r="K1953" s="676">
        <v>13000</v>
      </c>
      <c r="M1953" t="str">
        <f>""</f>
        <v/>
      </c>
    </row>
    <row r="1954" spans="1:13" ht="15.75">
      <c r="A1954">
        <v>2020</v>
      </c>
      <c r="B1954" s="777">
        <v>44130</v>
      </c>
      <c r="C1954" s="730">
        <v>0.39444444444444443</v>
      </c>
      <c r="D1954" s="777">
        <v>44130</v>
      </c>
      <c r="E1954" s="730">
        <v>0.51388888888888884</v>
      </c>
      <c r="F1954" s="558" t="s">
        <v>2900</v>
      </c>
      <c r="G1954" s="558" t="s">
        <v>124</v>
      </c>
      <c r="H1954" s="558" t="s">
        <v>3411</v>
      </c>
      <c r="I1954" s="679" t="s">
        <v>2483</v>
      </c>
      <c r="J1954" s="676">
        <v>75</v>
      </c>
      <c r="K1954" s="676">
        <v>13000</v>
      </c>
      <c r="M1954" t="str">
        <f>""</f>
        <v/>
      </c>
    </row>
    <row r="1955" spans="1:13" ht="15.75">
      <c r="A1955">
        <v>2020</v>
      </c>
      <c r="B1955" s="777">
        <v>44057</v>
      </c>
      <c r="C1955" s="730">
        <v>0.69374999999999998</v>
      </c>
      <c r="D1955" s="777">
        <v>44057</v>
      </c>
      <c r="E1955" s="730">
        <v>0.73750000000000004</v>
      </c>
      <c r="F1955" s="558" t="s">
        <v>4408</v>
      </c>
      <c r="G1955" s="558" t="s">
        <v>63</v>
      </c>
      <c r="H1955" s="558" t="s">
        <v>3411</v>
      </c>
      <c r="I1955" s="679" t="s">
        <v>2483</v>
      </c>
      <c r="J1955" s="676">
        <v>101</v>
      </c>
      <c r="K1955" s="676">
        <v>12671</v>
      </c>
      <c r="M1955" t="str">
        <f>""</f>
        <v/>
      </c>
    </row>
    <row r="1956" spans="1:13" ht="15.75">
      <c r="A1956">
        <v>2023</v>
      </c>
      <c r="B1956" s="777">
        <v>44988</v>
      </c>
      <c r="C1956" s="730">
        <v>0.40625</v>
      </c>
      <c r="D1956" s="777">
        <v>44988</v>
      </c>
      <c r="E1956" s="730">
        <v>0.40972222222222221</v>
      </c>
      <c r="F1956" s="558" t="s">
        <v>3116</v>
      </c>
      <c r="G1956" s="558" t="s">
        <v>63</v>
      </c>
      <c r="H1956" s="558" t="s">
        <v>3411</v>
      </c>
      <c r="I1956" s="679" t="s">
        <v>2764</v>
      </c>
      <c r="J1956" s="676">
        <v>38</v>
      </c>
      <c r="K1956" s="676">
        <v>12014</v>
      </c>
      <c r="M1956" t="str">
        <f>""</f>
        <v/>
      </c>
    </row>
    <row r="1957" spans="1:13" ht="15.75">
      <c r="A1957">
        <v>2012</v>
      </c>
      <c r="B1957" s="777">
        <v>41274</v>
      </c>
      <c r="C1957" s="730">
        <v>0.59791666666666665</v>
      </c>
      <c r="D1957" s="777">
        <v>41274</v>
      </c>
      <c r="E1957" s="730">
        <v>0.6875</v>
      </c>
      <c r="F1957" s="558" t="s">
        <v>2482</v>
      </c>
      <c r="G1957" s="558" t="s">
        <v>63</v>
      </c>
      <c r="H1957" s="558" t="s">
        <v>5873</v>
      </c>
      <c r="I1957" s="679" t="s">
        <v>2483</v>
      </c>
      <c r="J1957" s="676">
        <v>40</v>
      </c>
      <c r="K1957" s="676">
        <v>12000</v>
      </c>
      <c r="M1957" t="str">
        <f>""</f>
        <v/>
      </c>
    </row>
    <row r="1958" spans="1:13" ht="15.75">
      <c r="A1958">
        <v>2013</v>
      </c>
      <c r="B1958" s="777">
        <v>41291</v>
      </c>
      <c r="C1958" s="730">
        <v>0.85763888888888884</v>
      </c>
      <c r="D1958" s="777">
        <v>41291</v>
      </c>
      <c r="E1958" s="730">
        <v>0.88888888888888884</v>
      </c>
      <c r="F1958" s="558" t="s">
        <v>2489</v>
      </c>
      <c r="G1958" s="558" t="s">
        <v>63</v>
      </c>
      <c r="H1958" s="558" t="s">
        <v>5873</v>
      </c>
      <c r="I1958" s="679" t="s">
        <v>2490</v>
      </c>
      <c r="J1958" s="676">
        <v>40</v>
      </c>
      <c r="K1958" s="676">
        <v>12000</v>
      </c>
      <c r="M1958" t="str">
        <f>""</f>
        <v/>
      </c>
    </row>
    <row r="1959" spans="1:13" ht="15.75">
      <c r="A1959">
        <v>2022</v>
      </c>
      <c r="B1959" s="777">
        <v>44590</v>
      </c>
      <c r="C1959" s="730">
        <v>0.36458333333333331</v>
      </c>
      <c r="D1959" s="777">
        <v>44591</v>
      </c>
      <c r="E1959" s="730">
        <v>4.1666666666666664E-2</v>
      </c>
      <c r="F1959" s="558" t="s">
        <v>2906</v>
      </c>
      <c r="G1959" s="558" t="s">
        <v>61</v>
      </c>
      <c r="H1959" s="558" t="s">
        <v>2753</v>
      </c>
      <c r="I1959" s="679" t="s">
        <v>22</v>
      </c>
      <c r="J1959" s="676">
        <v>120</v>
      </c>
      <c r="K1959" s="676">
        <v>12000</v>
      </c>
      <c r="M1959" t="str">
        <f>""</f>
        <v/>
      </c>
    </row>
    <row r="1960" spans="1:13" ht="15.75">
      <c r="A1960">
        <v>2020</v>
      </c>
      <c r="B1960" s="777">
        <v>43916</v>
      </c>
      <c r="C1960" s="730">
        <v>0.89513888888888893</v>
      </c>
      <c r="D1960" s="777">
        <v>43916</v>
      </c>
      <c r="E1960" s="730">
        <v>0.90763888888888888</v>
      </c>
      <c r="F1960" s="558" t="s">
        <v>2895</v>
      </c>
      <c r="G1960" s="558" t="s">
        <v>3143</v>
      </c>
      <c r="H1960" s="558" t="s">
        <v>3411</v>
      </c>
      <c r="I1960" s="679" t="s">
        <v>2483</v>
      </c>
      <c r="J1960" s="676">
        <v>19</v>
      </c>
      <c r="K1960" s="676">
        <v>11964</v>
      </c>
      <c r="M1960" t="str">
        <f>""</f>
        <v/>
      </c>
    </row>
    <row r="1961" spans="1:13" ht="15.75">
      <c r="A1961">
        <v>2018</v>
      </c>
      <c r="B1961" s="777">
        <v>43412</v>
      </c>
      <c r="C1961" s="730">
        <v>0.30277777777777776</v>
      </c>
      <c r="D1961" s="777">
        <v>43432</v>
      </c>
      <c r="E1961" s="730">
        <v>0.68888888888888888</v>
      </c>
      <c r="F1961" s="558" t="s">
        <v>2894</v>
      </c>
      <c r="G1961" s="558" t="s">
        <v>124</v>
      </c>
      <c r="H1961" s="558" t="s">
        <v>3366</v>
      </c>
      <c r="I1961" s="679" t="s">
        <v>3465</v>
      </c>
      <c r="J1961" s="676">
        <v>32</v>
      </c>
      <c r="K1961" s="676">
        <v>11844</v>
      </c>
      <c r="M1961" t="str">
        <f>""</f>
        <v/>
      </c>
    </row>
    <row r="1962" spans="1:13" ht="15.75">
      <c r="A1962">
        <v>2021</v>
      </c>
      <c r="B1962" s="777">
        <v>44548</v>
      </c>
      <c r="C1962" s="730">
        <v>0.5444444444444444</v>
      </c>
      <c r="D1962" s="777">
        <v>44548</v>
      </c>
      <c r="E1962" s="730">
        <v>0.91597222222222219</v>
      </c>
      <c r="F1962" s="558" t="s">
        <v>2945</v>
      </c>
      <c r="G1962" s="558" t="s">
        <v>124</v>
      </c>
      <c r="H1962" s="558" t="s">
        <v>5137</v>
      </c>
      <c r="I1962" s="679" t="s">
        <v>2118</v>
      </c>
      <c r="J1962" s="676">
        <v>10</v>
      </c>
      <c r="K1962" s="676">
        <v>11770</v>
      </c>
      <c r="M1962" t="str">
        <f>""</f>
        <v/>
      </c>
    </row>
    <row r="1963" spans="1:13" ht="15.75">
      <c r="A1963">
        <v>2022</v>
      </c>
      <c r="B1963" s="777">
        <v>44922</v>
      </c>
      <c r="C1963" s="730">
        <v>0.86111111111111116</v>
      </c>
      <c r="D1963" s="777">
        <v>44922</v>
      </c>
      <c r="E1963" s="730">
        <v>0.8618055555555556</v>
      </c>
      <c r="F1963" s="558" t="s">
        <v>2801</v>
      </c>
      <c r="G1963" s="558" t="s">
        <v>124</v>
      </c>
      <c r="H1963" s="558" t="s">
        <v>4882</v>
      </c>
      <c r="I1963" s="679" t="s">
        <v>22</v>
      </c>
      <c r="J1963" s="676">
        <v>11</v>
      </c>
      <c r="K1963" s="676">
        <v>11600</v>
      </c>
      <c r="M1963" t="str">
        <f>""</f>
        <v/>
      </c>
    </row>
    <row r="1964" spans="1:13" ht="15.75">
      <c r="A1964">
        <v>2017</v>
      </c>
      <c r="B1964" s="777">
        <v>42775</v>
      </c>
      <c r="C1964" s="730">
        <v>0.67013888888888884</v>
      </c>
      <c r="D1964" s="777">
        <v>42776</v>
      </c>
      <c r="E1964" s="730">
        <v>0.21875</v>
      </c>
      <c r="F1964" s="558" t="s">
        <v>2834</v>
      </c>
      <c r="G1964" s="558" t="s">
        <v>61</v>
      </c>
      <c r="H1964" s="558" t="s">
        <v>2753</v>
      </c>
      <c r="I1964" s="679" t="s">
        <v>22</v>
      </c>
      <c r="J1964" s="676" t="s">
        <v>5873</v>
      </c>
      <c r="K1964" s="676">
        <v>11525</v>
      </c>
      <c r="M1964" t="str">
        <f>""</f>
        <v/>
      </c>
    </row>
    <row r="1965" spans="1:13" ht="15.75">
      <c r="A1965">
        <v>2023</v>
      </c>
      <c r="B1965" s="777">
        <v>45008</v>
      </c>
      <c r="C1965" s="730">
        <v>2.7083333333333334E-2</v>
      </c>
      <c r="D1965" s="777">
        <v>45008</v>
      </c>
      <c r="E1965" s="730">
        <v>2.7777777777777776E-2</v>
      </c>
      <c r="F1965" s="558" t="s">
        <v>2817</v>
      </c>
      <c r="G1965" s="558" t="s">
        <v>124</v>
      </c>
      <c r="H1965" s="558" t="s">
        <v>2910</v>
      </c>
      <c r="I1965" s="679" t="s">
        <v>5075</v>
      </c>
      <c r="J1965" s="676">
        <v>24</v>
      </c>
      <c r="K1965" s="676">
        <v>11479</v>
      </c>
      <c r="M1965" t="str">
        <f>""</f>
        <v/>
      </c>
    </row>
    <row r="1966" spans="1:13" ht="15.75">
      <c r="A1966">
        <v>2018</v>
      </c>
      <c r="B1966" s="777">
        <v>43319</v>
      </c>
      <c r="C1966" s="730">
        <v>5.6944444444444443E-2</v>
      </c>
      <c r="D1966" s="777">
        <v>43319</v>
      </c>
      <c r="E1966" s="730">
        <v>0.7944444444444444</v>
      </c>
      <c r="F1966" s="558" t="s">
        <v>2894</v>
      </c>
      <c r="G1966" s="558" t="s">
        <v>124</v>
      </c>
      <c r="H1966" s="558" t="s">
        <v>3431</v>
      </c>
      <c r="I1966" s="679" t="s">
        <v>3416</v>
      </c>
      <c r="J1966" s="676">
        <v>27</v>
      </c>
      <c r="K1966" s="676">
        <v>11383</v>
      </c>
      <c r="M1966" t="str">
        <f>""</f>
        <v/>
      </c>
    </row>
    <row r="1967" spans="1:13" ht="15.75">
      <c r="A1967" s="728">
        <v>2010</v>
      </c>
      <c r="B1967" s="777">
        <v>40394</v>
      </c>
      <c r="C1967" s="730">
        <v>0.69791666666666663</v>
      </c>
      <c r="D1967" s="777">
        <v>40397</v>
      </c>
      <c r="E1967" s="730">
        <v>0</v>
      </c>
      <c r="F1967" s="558" t="s">
        <v>2014</v>
      </c>
      <c r="G1967" s="558" t="s">
        <v>826</v>
      </c>
      <c r="H1967" s="558" t="s">
        <v>5873</v>
      </c>
      <c r="I1967" s="679" t="s">
        <v>381</v>
      </c>
      <c r="J1967" s="676">
        <v>60</v>
      </c>
      <c r="K1967" s="676">
        <v>11186</v>
      </c>
      <c r="M1967" t="str">
        <f>""</f>
        <v/>
      </c>
    </row>
    <row r="1968" spans="1:13" ht="15.75">
      <c r="A1968">
        <v>2011</v>
      </c>
      <c r="B1968" s="777">
        <v>40653</v>
      </c>
      <c r="C1968" s="730">
        <v>0.33819444444444446</v>
      </c>
      <c r="D1968" s="777">
        <v>40653</v>
      </c>
      <c r="E1968" s="730">
        <v>0.34305555555555556</v>
      </c>
      <c r="F1968" s="558" t="s">
        <v>1722</v>
      </c>
      <c r="G1968" s="558" t="s">
        <v>63</v>
      </c>
      <c r="H1968" s="558" t="s">
        <v>5873</v>
      </c>
      <c r="I1968" s="679" t="s">
        <v>2176</v>
      </c>
      <c r="J1968" s="676">
        <v>33</v>
      </c>
      <c r="K1968" s="676">
        <v>11000</v>
      </c>
      <c r="M1968" t="str">
        <f>""</f>
        <v/>
      </c>
    </row>
    <row r="1969" spans="1:13" ht="15.75">
      <c r="A1969">
        <v>2020</v>
      </c>
      <c r="B1969" s="777">
        <v>44033</v>
      </c>
      <c r="C1969" s="730">
        <v>0.49513888888888891</v>
      </c>
      <c r="D1969" s="777">
        <v>44033</v>
      </c>
      <c r="E1969" s="730">
        <v>0.54166666666666663</v>
      </c>
      <c r="F1969" s="558" t="s">
        <v>3903</v>
      </c>
      <c r="G1969" s="558" t="s">
        <v>124</v>
      </c>
      <c r="H1969" s="558" t="s">
        <v>3356</v>
      </c>
      <c r="I1969" s="679" t="s">
        <v>100</v>
      </c>
      <c r="J1969" s="676">
        <v>19</v>
      </c>
      <c r="K1969" s="676">
        <v>11000</v>
      </c>
      <c r="M1969" t="str">
        <f>""</f>
        <v/>
      </c>
    </row>
    <row r="1970" spans="1:13" ht="15.75">
      <c r="A1970">
        <v>2021</v>
      </c>
      <c r="B1970" s="777">
        <v>44391</v>
      </c>
      <c r="C1970" s="730">
        <v>0.59375</v>
      </c>
      <c r="D1970" s="777">
        <v>44391</v>
      </c>
      <c r="E1970" s="730">
        <v>0.59444444444444444</v>
      </c>
      <c r="F1970" s="558" t="s">
        <v>2939</v>
      </c>
      <c r="G1970" s="558" t="s">
        <v>124</v>
      </c>
      <c r="H1970" s="558" t="s">
        <v>2839</v>
      </c>
      <c r="I1970" s="679" t="s">
        <v>4905</v>
      </c>
      <c r="J1970" s="676">
        <v>35</v>
      </c>
      <c r="K1970" s="676">
        <v>11000</v>
      </c>
      <c r="M1970" t="str">
        <f>""</f>
        <v/>
      </c>
    </row>
    <row r="1971" spans="1:13" ht="15.75">
      <c r="A1971">
        <v>2019</v>
      </c>
      <c r="B1971" s="777">
        <v>43609</v>
      </c>
      <c r="C1971" s="730">
        <v>0.90763888888888888</v>
      </c>
      <c r="D1971" s="777">
        <v>43609</v>
      </c>
      <c r="E1971" s="730">
        <v>0.99861111111111112</v>
      </c>
      <c r="F1971" s="558" t="s">
        <v>2945</v>
      </c>
      <c r="G1971" s="558" t="s">
        <v>124</v>
      </c>
      <c r="H1971" s="558" t="s">
        <v>3366</v>
      </c>
      <c r="I1971" s="679" t="s">
        <v>22</v>
      </c>
      <c r="J1971" s="676">
        <v>20</v>
      </c>
      <c r="K1971" s="676">
        <v>10961</v>
      </c>
      <c r="M1971" t="str">
        <f>""</f>
        <v/>
      </c>
    </row>
    <row r="1972" spans="1:13" ht="15.75">
      <c r="A1972">
        <v>2018</v>
      </c>
      <c r="B1972" s="777">
        <v>43139</v>
      </c>
      <c r="C1972" s="730">
        <v>0.55902777777777779</v>
      </c>
      <c r="D1972" s="777">
        <v>43139</v>
      </c>
      <c r="E1972" s="730">
        <v>0.56319444444444444</v>
      </c>
      <c r="F1972" s="558" t="s">
        <v>2945</v>
      </c>
      <c r="G1972" s="558" t="s">
        <v>124</v>
      </c>
      <c r="H1972" s="558" t="s">
        <v>2839</v>
      </c>
      <c r="I1972" s="679" t="s">
        <v>2764</v>
      </c>
      <c r="J1972" s="676">
        <v>30</v>
      </c>
      <c r="K1972" s="676">
        <v>10900</v>
      </c>
      <c r="M1972" t="str">
        <f>""</f>
        <v/>
      </c>
    </row>
    <row r="1973" spans="1:13" ht="15.75">
      <c r="A1973">
        <v>2018</v>
      </c>
      <c r="B1973" s="777">
        <v>43160</v>
      </c>
      <c r="C1973" s="730">
        <v>0.48819444444444443</v>
      </c>
      <c r="D1973" s="777">
        <v>43160</v>
      </c>
      <c r="E1973" s="730">
        <v>0.49722222222222223</v>
      </c>
      <c r="F1973" s="558" t="s">
        <v>2945</v>
      </c>
      <c r="G1973" s="558" t="s">
        <v>124</v>
      </c>
      <c r="H1973" s="558" t="s">
        <v>2839</v>
      </c>
      <c r="I1973" s="679" t="s">
        <v>22</v>
      </c>
      <c r="J1973" s="676">
        <v>38</v>
      </c>
      <c r="K1973" s="676">
        <v>10898</v>
      </c>
      <c r="M1973" t="str">
        <f>""</f>
        <v/>
      </c>
    </row>
    <row r="1974" spans="1:13" ht="15.75">
      <c r="A1974">
        <v>2011</v>
      </c>
      <c r="B1974" s="777">
        <v>40689</v>
      </c>
      <c r="C1974" s="730">
        <v>4.1666666666666664E-2</v>
      </c>
      <c r="D1974" s="777">
        <v>40689</v>
      </c>
      <c r="E1974" s="730">
        <v>0.25</v>
      </c>
      <c r="F1974" s="558" t="s">
        <v>2211</v>
      </c>
      <c r="G1974" s="558" t="s">
        <v>63</v>
      </c>
      <c r="H1974" s="558" t="s">
        <v>5873</v>
      </c>
      <c r="I1974" s="679" t="s">
        <v>2212</v>
      </c>
      <c r="J1974" s="676">
        <v>30</v>
      </c>
      <c r="K1974" s="676">
        <v>10000</v>
      </c>
      <c r="M1974" t="str">
        <f>""</f>
        <v/>
      </c>
    </row>
    <row r="1975" spans="1:13" ht="15.75">
      <c r="A1975">
        <v>2016</v>
      </c>
      <c r="B1975" s="777">
        <v>42638</v>
      </c>
      <c r="C1975" s="730">
        <v>0.53402777777777777</v>
      </c>
      <c r="D1975" s="777">
        <v>42638</v>
      </c>
      <c r="E1975" s="730">
        <v>0.76388888888888884</v>
      </c>
      <c r="F1975" s="558" t="s">
        <v>2912</v>
      </c>
      <c r="G1975" s="558" t="s">
        <v>124</v>
      </c>
      <c r="H1975" s="558" t="s">
        <v>2910</v>
      </c>
      <c r="I1975" s="679" t="s">
        <v>100</v>
      </c>
      <c r="J1975" s="676">
        <v>20</v>
      </c>
      <c r="K1975" s="676">
        <v>10000</v>
      </c>
      <c r="M1975" t="str">
        <f>""</f>
        <v/>
      </c>
    </row>
    <row r="1976" spans="1:13" ht="15.75">
      <c r="A1976">
        <v>2017</v>
      </c>
      <c r="B1976" s="777">
        <v>42838</v>
      </c>
      <c r="C1976" s="730">
        <v>0.3263888888888889</v>
      </c>
      <c r="D1976" s="777">
        <v>42838</v>
      </c>
      <c r="E1976" s="730">
        <v>0.33819444444444446</v>
      </c>
      <c r="F1976" s="558" t="s">
        <v>3006</v>
      </c>
      <c r="G1976" s="558" t="s">
        <v>124</v>
      </c>
      <c r="H1976" s="558" t="s">
        <v>2915</v>
      </c>
      <c r="I1976" s="679" t="s">
        <v>2343</v>
      </c>
      <c r="J1976" s="676">
        <v>53</v>
      </c>
      <c r="K1976" s="676">
        <v>10000</v>
      </c>
      <c r="M1976" t="str">
        <f>""</f>
        <v/>
      </c>
    </row>
    <row r="1977" spans="1:13" ht="15.75">
      <c r="A1977">
        <v>2020</v>
      </c>
      <c r="B1977" s="777">
        <v>44024</v>
      </c>
      <c r="C1977" s="730">
        <v>0.58888888888888891</v>
      </c>
      <c r="D1977" s="777">
        <v>44024</v>
      </c>
      <c r="E1977" s="730">
        <v>0.86388888888888893</v>
      </c>
      <c r="F1977" s="558" t="s">
        <v>3795</v>
      </c>
      <c r="G1977" s="558" t="s">
        <v>124</v>
      </c>
      <c r="H1977" s="558" t="s">
        <v>3356</v>
      </c>
      <c r="I1977" s="679" t="s">
        <v>2293</v>
      </c>
      <c r="J1977" s="676">
        <v>36</v>
      </c>
      <c r="K1977" s="676">
        <v>10000</v>
      </c>
      <c r="M1977" t="str">
        <f>""</f>
        <v/>
      </c>
    </row>
    <row r="1978" spans="1:13" ht="15.75">
      <c r="A1978">
        <v>2021</v>
      </c>
      <c r="B1978" s="777">
        <v>44344</v>
      </c>
      <c r="C1978" s="730">
        <v>0.89166666666666672</v>
      </c>
      <c r="D1978" s="777">
        <v>44344</v>
      </c>
      <c r="E1978" s="730">
        <v>0.89236111111111116</v>
      </c>
      <c r="F1978" s="558" t="s">
        <v>4019</v>
      </c>
      <c r="G1978" s="558" t="s">
        <v>63</v>
      </c>
      <c r="H1978" s="558" t="s">
        <v>3411</v>
      </c>
      <c r="I1978" s="679" t="s">
        <v>2483</v>
      </c>
      <c r="J1978" s="676">
        <v>1850</v>
      </c>
      <c r="K1978" s="676">
        <v>10000</v>
      </c>
      <c r="M1978" t="str">
        <f>""</f>
        <v/>
      </c>
    </row>
    <row r="1979" spans="1:13" ht="15.75">
      <c r="A1979">
        <v>2015</v>
      </c>
      <c r="B1979" s="777">
        <v>42348</v>
      </c>
      <c r="C1979" s="730">
        <v>0.16180555555555556</v>
      </c>
      <c r="D1979" s="777">
        <v>42348</v>
      </c>
      <c r="E1979" s="730">
        <v>0.17222222222222222</v>
      </c>
      <c r="F1979" s="558" t="s">
        <v>2820</v>
      </c>
      <c r="G1979" s="558" t="s">
        <v>124</v>
      </c>
      <c r="H1979" s="558" t="s">
        <v>2763</v>
      </c>
      <c r="I1979" s="679" t="s">
        <v>22</v>
      </c>
      <c r="J1979" s="676">
        <v>24</v>
      </c>
      <c r="K1979" s="676">
        <v>9956</v>
      </c>
      <c r="M1979" t="str">
        <f>""</f>
        <v/>
      </c>
    </row>
    <row r="1980" spans="1:13" ht="15.75">
      <c r="A1980">
        <v>2015</v>
      </c>
      <c r="B1980" s="777">
        <v>42348</v>
      </c>
      <c r="C1980" s="730">
        <v>0.25069444444444444</v>
      </c>
      <c r="D1980" s="777">
        <v>42348</v>
      </c>
      <c r="E1980" s="730">
        <v>0.30069444444444443</v>
      </c>
      <c r="F1980" s="558" t="s">
        <v>2821</v>
      </c>
      <c r="G1980" s="558" t="s">
        <v>124</v>
      </c>
      <c r="H1980" s="558" t="s">
        <v>2763</v>
      </c>
      <c r="I1980" s="679" t="s">
        <v>22</v>
      </c>
      <c r="J1980" s="676">
        <v>29</v>
      </c>
      <c r="K1980" s="676">
        <v>9956</v>
      </c>
      <c r="M1980" t="str">
        <f>""</f>
        <v/>
      </c>
    </row>
    <row r="1981" spans="1:13" ht="15.75">
      <c r="A1981">
        <v>2023</v>
      </c>
      <c r="B1981" s="777">
        <v>44933</v>
      </c>
      <c r="C1981" s="730">
        <v>0.98888888888888893</v>
      </c>
      <c r="D1981" s="777">
        <v>44934</v>
      </c>
      <c r="E1981" s="730">
        <v>0.10347222222222222</v>
      </c>
      <c r="F1981" s="558" t="s">
        <v>5692</v>
      </c>
      <c r="G1981" s="558" t="s">
        <v>1352</v>
      </c>
      <c r="H1981" s="558" t="s">
        <v>3411</v>
      </c>
      <c r="I1981" s="679" t="s">
        <v>2483</v>
      </c>
      <c r="J1981" s="676">
        <v>20</v>
      </c>
      <c r="K1981" s="676">
        <v>9823</v>
      </c>
      <c r="M1981" t="str">
        <f>""</f>
        <v/>
      </c>
    </row>
    <row r="1982" spans="1:13" ht="15.75">
      <c r="A1982">
        <v>2012</v>
      </c>
      <c r="B1982" s="777">
        <v>41205.381944444445</v>
      </c>
      <c r="C1982" s="730">
        <v>41205.381944444445</v>
      </c>
      <c r="D1982" s="777">
        <v>41205.386111111111</v>
      </c>
      <c r="E1982" s="730">
        <v>41205.386111111111</v>
      </c>
      <c r="F1982" s="558" t="s">
        <v>1628</v>
      </c>
      <c r="G1982" s="558" t="s">
        <v>826</v>
      </c>
      <c r="H1982" s="558" t="s">
        <v>5873</v>
      </c>
      <c r="I1982" s="679" t="s">
        <v>1806</v>
      </c>
      <c r="J1982" s="676">
        <v>49</v>
      </c>
      <c r="K1982" s="676">
        <v>9800</v>
      </c>
      <c r="M1982" t="str">
        <f>""</f>
        <v/>
      </c>
    </row>
    <row r="1983" spans="1:13" ht="15.75">
      <c r="A1983">
        <v>2021</v>
      </c>
      <c r="B1983" s="777">
        <v>44357</v>
      </c>
      <c r="C1983" s="730">
        <v>0.93611111111111112</v>
      </c>
      <c r="D1983" s="777">
        <v>44357</v>
      </c>
      <c r="E1983" s="730">
        <v>0.96319444444444446</v>
      </c>
      <c r="F1983" s="558" t="s">
        <v>4864</v>
      </c>
      <c r="G1983" s="558" t="s">
        <v>674</v>
      </c>
      <c r="H1983" s="558" t="s">
        <v>3411</v>
      </c>
      <c r="I1983" s="679" t="s">
        <v>2483</v>
      </c>
      <c r="J1983" s="676">
        <v>90</v>
      </c>
      <c r="K1983" s="676">
        <v>9800</v>
      </c>
      <c r="M1983" t="str">
        <f>""</f>
        <v/>
      </c>
    </row>
    <row r="1984" spans="1:13" ht="15.75">
      <c r="A1984">
        <v>2017</v>
      </c>
      <c r="B1984" s="777">
        <v>42876</v>
      </c>
      <c r="C1984" s="730">
        <v>0.69722222222222219</v>
      </c>
      <c r="D1984" s="777">
        <v>42876</v>
      </c>
      <c r="E1984" s="730">
        <v>0.73819444444444449</v>
      </c>
      <c r="F1984" s="558" t="s">
        <v>3030</v>
      </c>
      <c r="G1984" s="558" t="s">
        <v>124</v>
      </c>
      <c r="H1984" s="558" t="s">
        <v>2910</v>
      </c>
      <c r="I1984" s="679" t="s">
        <v>100</v>
      </c>
      <c r="J1984" s="676">
        <v>21</v>
      </c>
      <c r="K1984" s="676">
        <v>9598</v>
      </c>
      <c r="M1984" t="str">
        <f>""</f>
        <v/>
      </c>
    </row>
    <row r="1985" spans="1:13" ht="15.75">
      <c r="A1985">
        <v>2021</v>
      </c>
      <c r="B1985" s="777">
        <v>44410</v>
      </c>
      <c r="C1985" s="730">
        <v>1.2500000000000001E-2</v>
      </c>
      <c r="D1985" s="777">
        <v>44410</v>
      </c>
      <c r="E1985" s="730">
        <v>0.44930555555555557</v>
      </c>
      <c r="F1985" s="558" t="s">
        <v>4950</v>
      </c>
      <c r="G1985" s="558" t="s">
        <v>1352</v>
      </c>
      <c r="H1985" s="558" t="s">
        <v>3411</v>
      </c>
      <c r="I1985" s="679" t="s">
        <v>2990</v>
      </c>
      <c r="J1985" s="676">
        <v>24</v>
      </c>
      <c r="K1985" s="676">
        <v>9400</v>
      </c>
      <c r="M1985" t="str">
        <f>""</f>
        <v/>
      </c>
    </row>
    <row r="1986" spans="1:13" ht="15.75">
      <c r="A1986">
        <v>2013</v>
      </c>
      <c r="B1986" s="777">
        <v>41553</v>
      </c>
      <c r="C1986" s="730">
        <v>0.30902777777777779</v>
      </c>
      <c r="D1986" s="777">
        <v>41553</v>
      </c>
      <c r="E1986" s="730">
        <v>0.38541666666666669</v>
      </c>
      <c r="F1986" s="558" t="s">
        <v>2607</v>
      </c>
      <c r="G1986" s="558" t="s">
        <v>58</v>
      </c>
      <c r="H1986" s="558" t="s">
        <v>5873</v>
      </c>
      <c r="I1986" s="679" t="s">
        <v>2202</v>
      </c>
      <c r="J1986" s="676" t="s">
        <v>5873</v>
      </c>
      <c r="K1986" s="676">
        <v>9200</v>
      </c>
      <c r="M1986" t="str">
        <f>""</f>
        <v/>
      </c>
    </row>
    <row r="1987" spans="1:13" ht="15.75">
      <c r="A1987">
        <v>2023</v>
      </c>
      <c r="B1987" s="777">
        <v>45198</v>
      </c>
      <c r="C1987" s="532">
        <v>0.92777777777777781</v>
      </c>
      <c r="D1987" s="678">
        <v>45198</v>
      </c>
      <c r="E1987" s="532">
        <v>0.9291666666666667</v>
      </c>
      <c r="F1987" t="s">
        <v>2894</v>
      </c>
      <c r="G1987" t="s">
        <v>124</v>
      </c>
      <c r="H1987" t="s">
        <v>2839</v>
      </c>
      <c r="I1987" s="677" t="s">
        <v>5883</v>
      </c>
      <c r="J1987" s="783">
        <v>18</v>
      </c>
      <c r="K1987" s="783">
        <v>9082</v>
      </c>
      <c r="M1987" t="str">
        <f>""</f>
        <v/>
      </c>
    </row>
    <row r="1988" spans="1:13" ht="15.75">
      <c r="A1988">
        <v>2011</v>
      </c>
      <c r="B1988" s="777">
        <v>40615</v>
      </c>
      <c r="C1988" s="730">
        <v>0.59722222222222221</v>
      </c>
      <c r="D1988" s="777">
        <v>40616</v>
      </c>
      <c r="E1988" s="730">
        <v>0.65694444444444444</v>
      </c>
      <c r="F1988" s="558" t="s">
        <v>2152</v>
      </c>
      <c r="G1988" s="558" t="s">
        <v>124</v>
      </c>
      <c r="H1988" s="558" t="s">
        <v>5873</v>
      </c>
      <c r="I1988" s="679" t="s">
        <v>22</v>
      </c>
      <c r="J1988" s="676" t="s">
        <v>5873</v>
      </c>
      <c r="K1988" s="676">
        <v>9000</v>
      </c>
      <c r="M1988" t="str">
        <f>""</f>
        <v/>
      </c>
    </row>
    <row r="1989" spans="1:13" ht="15.75">
      <c r="A1989">
        <v>2022</v>
      </c>
      <c r="B1989" s="777">
        <v>44593</v>
      </c>
      <c r="C1989" s="730">
        <v>0.50902777777777775</v>
      </c>
      <c r="D1989" s="777">
        <v>44593</v>
      </c>
      <c r="E1989" s="730">
        <v>0.51736111111111116</v>
      </c>
      <c r="F1989" s="558" t="s">
        <v>4426</v>
      </c>
      <c r="G1989" s="558" t="s">
        <v>124</v>
      </c>
      <c r="H1989" s="558" t="s">
        <v>2839</v>
      </c>
      <c r="I1989" s="679" t="s">
        <v>2764</v>
      </c>
      <c r="J1989" s="676">
        <v>10</v>
      </c>
      <c r="K1989" s="676">
        <v>8124</v>
      </c>
      <c r="M1989" t="str">
        <f>""</f>
        <v/>
      </c>
    </row>
    <row r="1990" spans="1:13" ht="15.75">
      <c r="A1990">
        <v>2019</v>
      </c>
      <c r="B1990" s="777">
        <v>43770</v>
      </c>
      <c r="C1990" s="730">
        <v>4.1666666666666664E-2</v>
      </c>
      <c r="D1990" s="777">
        <v>43772</v>
      </c>
      <c r="E1990" s="730">
        <v>0.54166666666666663</v>
      </c>
      <c r="F1990" s="558" t="s">
        <v>2868</v>
      </c>
      <c r="G1990" s="558" t="s">
        <v>61</v>
      </c>
      <c r="H1990" s="558" t="s">
        <v>3451</v>
      </c>
      <c r="I1990" s="679" t="s">
        <v>22</v>
      </c>
      <c r="J1990" s="676" t="s">
        <v>5873</v>
      </c>
      <c r="K1990" s="676">
        <v>8000</v>
      </c>
      <c r="M1990" t="str">
        <f>""</f>
        <v/>
      </c>
    </row>
    <row r="1991" spans="1:13" ht="15.75">
      <c r="A1991">
        <v>2022</v>
      </c>
      <c r="B1991" s="777">
        <v>44920</v>
      </c>
      <c r="C1991" s="730">
        <v>0.1125</v>
      </c>
      <c r="D1991" s="777">
        <v>44920</v>
      </c>
      <c r="E1991" s="730">
        <v>0.2048611111111111</v>
      </c>
      <c r="F1991" s="558" t="s">
        <v>3903</v>
      </c>
      <c r="G1991" s="558" t="s">
        <v>124</v>
      </c>
      <c r="H1991" s="558" t="s">
        <v>3356</v>
      </c>
      <c r="I1991" s="679" t="s">
        <v>100</v>
      </c>
      <c r="J1991" s="676">
        <v>14</v>
      </c>
      <c r="K1991" s="676">
        <v>8000</v>
      </c>
      <c r="M1991" t="str">
        <f>""</f>
        <v/>
      </c>
    </row>
    <row r="1992" spans="1:13" ht="15.75">
      <c r="A1992">
        <v>2023</v>
      </c>
      <c r="B1992" s="777">
        <v>45287</v>
      </c>
      <c r="C1992" s="532">
        <v>0.61388888888888893</v>
      </c>
      <c r="D1992" s="678">
        <v>45288</v>
      </c>
      <c r="E1992" s="532">
        <v>0.1763888888888889</v>
      </c>
      <c r="F1992" t="s">
        <v>6036</v>
      </c>
      <c r="G1992" t="s">
        <v>674</v>
      </c>
      <c r="H1992" t="s">
        <v>2839</v>
      </c>
      <c r="I1992" s="677" t="s">
        <v>5883</v>
      </c>
      <c r="J1992" s="783">
        <v>14</v>
      </c>
      <c r="K1992" s="783">
        <v>8000</v>
      </c>
      <c r="M1992" t="str">
        <f>""</f>
        <v/>
      </c>
    </row>
    <row r="1993" spans="1:13" ht="15.75">
      <c r="A1993">
        <v>2012</v>
      </c>
      <c r="B1993" s="777">
        <v>41089</v>
      </c>
      <c r="C1993" s="730">
        <v>0.66666666666666663</v>
      </c>
      <c r="D1993" s="777">
        <v>41089</v>
      </c>
      <c r="E1993" s="730">
        <v>0.875</v>
      </c>
      <c r="F1993" s="558" t="s">
        <v>2220</v>
      </c>
      <c r="G1993" s="558" t="s">
        <v>63</v>
      </c>
      <c r="H1993" s="558" t="s">
        <v>5873</v>
      </c>
      <c r="I1993" s="679" t="s">
        <v>2221</v>
      </c>
      <c r="J1993" s="676">
        <v>45</v>
      </c>
      <c r="K1993" s="676">
        <v>7935</v>
      </c>
      <c r="M1993" t="str">
        <f>""</f>
        <v/>
      </c>
    </row>
    <row r="1994" spans="1:13" ht="15.75">
      <c r="A1994">
        <v>2021</v>
      </c>
      <c r="B1994" s="777">
        <v>44371</v>
      </c>
      <c r="C1994" s="730">
        <v>0.14861111111111111</v>
      </c>
      <c r="D1994" s="777">
        <v>44371</v>
      </c>
      <c r="E1994" s="730">
        <v>0.21319444444444444</v>
      </c>
      <c r="F1994" s="558" t="s">
        <v>2939</v>
      </c>
      <c r="G1994" s="558" t="s">
        <v>124</v>
      </c>
      <c r="H1994" s="558" t="s">
        <v>4882</v>
      </c>
      <c r="I1994" s="679" t="s">
        <v>2483</v>
      </c>
      <c r="J1994" s="676">
        <v>36</v>
      </c>
      <c r="K1994" s="676">
        <v>7621</v>
      </c>
      <c r="M1994" t="str">
        <f>""</f>
        <v/>
      </c>
    </row>
    <row r="1995" spans="1:13" ht="15.75">
      <c r="A1995" s="728">
        <v>2010</v>
      </c>
      <c r="B1995" s="777">
        <v>40402</v>
      </c>
      <c r="C1995" s="730">
        <v>0.65416666666666667</v>
      </c>
      <c r="D1995" s="777">
        <v>40402</v>
      </c>
      <c r="E1995" s="730">
        <v>0.92361111111111116</v>
      </c>
      <c r="F1995" s="558" t="s">
        <v>2031</v>
      </c>
      <c r="G1995" s="558" t="s">
        <v>674</v>
      </c>
      <c r="H1995" s="558" t="s">
        <v>5873</v>
      </c>
      <c r="I1995" s="679" t="s">
        <v>962</v>
      </c>
      <c r="J1995" s="676">
        <v>30</v>
      </c>
      <c r="K1995" s="676">
        <v>7600</v>
      </c>
      <c r="M1995" t="str">
        <f>""</f>
        <v/>
      </c>
    </row>
    <row r="1996" spans="1:13" ht="15.75">
      <c r="A1996">
        <v>2022</v>
      </c>
      <c r="B1996" s="777">
        <v>44858</v>
      </c>
      <c r="C1996" s="730">
        <v>0.68680555555555556</v>
      </c>
      <c r="D1996" s="777">
        <v>44858</v>
      </c>
      <c r="E1996" s="730">
        <v>0.75347222222222221</v>
      </c>
      <c r="F1996" s="558" t="s">
        <v>5567</v>
      </c>
      <c r="G1996" s="558" t="s">
        <v>5179</v>
      </c>
      <c r="H1996" s="558" t="s">
        <v>3411</v>
      </c>
      <c r="I1996" s="679" t="s">
        <v>2764</v>
      </c>
      <c r="J1996" s="676">
        <v>34</v>
      </c>
      <c r="K1996" s="676">
        <v>7551</v>
      </c>
      <c r="M1996" t="str">
        <f>""</f>
        <v/>
      </c>
    </row>
    <row r="1997" spans="1:13" ht="15.75">
      <c r="A1997">
        <v>2020</v>
      </c>
      <c r="B1997" s="777">
        <v>43841</v>
      </c>
      <c r="C1997" s="730">
        <v>0.10069444444444445</v>
      </c>
      <c r="D1997" s="777">
        <v>43841</v>
      </c>
      <c r="E1997" s="730">
        <v>0.33055555555555555</v>
      </c>
      <c r="F1997" s="558" t="s">
        <v>4074</v>
      </c>
      <c r="G1997" s="558" t="s">
        <v>3347</v>
      </c>
      <c r="H1997" s="558" t="s">
        <v>3411</v>
      </c>
      <c r="I1997" s="679" t="s">
        <v>2990</v>
      </c>
      <c r="J1997" s="676">
        <v>22</v>
      </c>
      <c r="K1997" s="676">
        <v>7541</v>
      </c>
      <c r="M1997" t="str">
        <f>""</f>
        <v/>
      </c>
    </row>
    <row r="1998" spans="1:13" ht="15.75">
      <c r="A1998">
        <v>2013</v>
      </c>
      <c r="B1998" s="777">
        <v>41595</v>
      </c>
      <c r="C1998" s="730">
        <v>0.52430555555555558</v>
      </c>
      <c r="D1998" s="777">
        <v>41595</v>
      </c>
      <c r="E1998" s="730">
        <v>0.56944444444444442</v>
      </c>
      <c r="F1998" s="558" t="s">
        <v>2621</v>
      </c>
      <c r="G1998" s="558" t="s">
        <v>826</v>
      </c>
      <c r="H1998" s="558" t="s">
        <v>5873</v>
      </c>
      <c r="I1998" s="679" t="s">
        <v>2622</v>
      </c>
      <c r="J1998" s="676">
        <v>38</v>
      </c>
      <c r="K1998" s="676">
        <v>7500</v>
      </c>
      <c r="M1998" t="str">
        <f>""</f>
        <v/>
      </c>
    </row>
    <row r="1999" spans="1:13" ht="15.75">
      <c r="A1999">
        <v>2020</v>
      </c>
      <c r="B1999" s="777">
        <v>43868</v>
      </c>
      <c r="C1999" s="730">
        <v>0.61250000000000004</v>
      </c>
      <c r="D1999" s="777">
        <v>43871</v>
      </c>
      <c r="E1999" s="730">
        <v>0.3923611111111111</v>
      </c>
      <c r="F1999" s="558" t="s">
        <v>2868</v>
      </c>
      <c r="G1999" s="558" t="s">
        <v>61</v>
      </c>
      <c r="H1999" s="558" t="s">
        <v>3451</v>
      </c>
      <c r="I1999" s="679" t="s">
        <v>22</v>
      </c>
      <c r="J1999" s="676" t="s">
        <v>5873</v>
      </c>
      <c r="K1999" s="676">
        <v>7500</v>
      </c>
      <c r="M1999" t="str">
        <f>""</f>
        <v/>
      </c>
    </row>
    <row r="2000" spans="1:13" ht="15.75">
      <c r="A2000">
        <v>2020</v>
      </c>
      <c r="B2000" s="777">
        <v>44111</v>
      </c>
      <c r="C2000" s="730">
        <v>0.66666666666666663</v>
      </c>
      <c r="D2000" s="777" t="s">
        <v>5873</v>
      </c>
      <c r="E2000" s="730" t="s">
        <v>5873</v>
      </c>
      <c r="F2000" s="558" t="s">
        <v>4398</v>
      </c>
      <c r="G2000" s="558" t="s">
        <v>61</v>
      </c>
      <c r="H2000" s="558" t="s">
        <v>3451</v>
      </c>
      <c r="I2000" s="679" t="s">
        <v>22</v>
      </c>
      <c r="J2000" s="676" t="s">
        <v>5873</v>
      </c>
      <c r="K2000" s="676">
        <v>7500</v>
      </c>
      <c r="M2000" t="str">
        <f>""</f>
        <v/>
      </c>
    </row>
    <row r="2001" spans="1:13" ht="15.75">
      <c r="A2001">
        <v>2022</v>
      </c>
      <c r="B2001" s="777">
        <v>44728</v>
      </c>
      <c r="C2001" s="730">
        <v>0.16041666666666668</v>
      </c>
      <c r="D2001" s="777">
        <v>44728</v>
      </c>
      <c r="E2001" s="730">
        <v>0.27083333333333331</v>
      </c>
      <c r="F2001" s="558" t="s">
        <v>4709</v>
      </c>
      <c r="G2001" s="558" t="s">
        <v>124</v>
      </c>
      <c r="H2001" s="558" t="s">
        <v>3356</v>
      </c>
      <c r="I2001" s="679" t="s">
        <v>2118</v>
      </c>
      <c r="J2001" s="676">
        <v>35</v>
      </c>
      <c r="K2001" s="676">
        <v>7500</v>
      </c>
      <c r="M2001" t="str">
        <f>""</f>
        <v/>
      </c>
    </row>
    <row r="2002" spans="1:13" ht="15.75">
      <c r="A2002">
        <v>2021</v>
      </c>
      <c r="B2002" s="777">
        <v>44272</v>
      </c>
      <c r="C2002" s="730">
        <v>0.26874999999999999</v>
      </c>
      <c r="D2002" s="777">
        <v>44272</v>
      </c>
      <c r="E2002" s="730">
        <v>0.35208333333333336</v>
      </c>
      <c r="F2002" s="558" t="s">
        <v>3245</v>
      </c>
      <c r="G2002" s="558" t="s">
        <v>3143</v>
      </c>
      <c r="H2002" s="558" t="s">
        <v>3411</v>
      </c>
      <c r="I2002" s="679" t="s">
        <v>2483</v>
      </c>
      <c r="J2002" s="676">
        <v>43</v>
      </c>
      <c r="K2002" s="676">
        <v>7381</v>
      </c>
      <c r="M2002" t="str">
        <f>""</f>
        <v/>
      </c>
    </row>
    <row r="2003" spans="1:13" ht="15.75">
      <c r="A2003">
        <v>2016</v>
      </c>
      <c r="B2003" s="777">
        <v>42565</v>
      </c>
      <c r="C2003" s="730">
        <v>0.72916666666666663</v>
      </c>
      <c r="D2003" s="777">
        <v>42567</v>
      </c>
      <c r="E2003" s="730">
        <v>0.83333333333333337</v>
      </c>
      <c r="F2003" s="558" t="s">
        <v>2883</v>
      </c>
      <c r="G2003" s="558" t="s">
        <v>58</v>
      </c>
      <c r="H2003" s="558" t="s">
        <v>2753</v>
      </c>
      <c r="I2003" s="679" t="s">
        <v>22</v>
      </c>
      <c r="J2003" s="676" t="s">
        <v>5873</v>
      </c>
      <c r="K2003" s="676">
        <v>7300</v>
      </c>
      <c r="M2003" t="str">
        <f>""</f>
        <v/>
      </c>
    </row>
    <row r="2004" spans="1:13" ht="15.75">
      <c r="A2004" s="728">
        <v>2010</v>
      </c>
      <c r="B2004" s="777">
        <v>40505</v>
      </c>
      <c r="C2004" s="730">
        <v>0.58402777777777781</v>
      </c>
      <c r="D2004" s="777">
        <v>40505</v>
      </c>
      <c r="E2004" s="730">
        <v>0.7583333333333333</v>
      </c>
      <c r="F2004" s="558" t="s">
        <v>141</v>
      </c>
      <c r="G2004" s="558" t="s">
        <v>124</v>
      </c>
      <c r="H2004" s="558" t="s">
        <v>5873</v>
      </c>
      <c r="I2004" s="679" t="s">
        <v>2076</v>
      </c>
      <c r="J2004" s="676">
        <v>22</v>
      </c>
      <c r="K2004" s="676">
        <v>7077</v>
      </c>
      <c r="M2004" t="str">
        <f>""</f>
        <v/>
      </c>
    </row>
    <row r="2005" spans="1:13" ht="15.75">
      <c r="A2005" s="728">
        <v>2010</v>
      </c>
      <c r="B2005" s="777">
        <v>40515</v>
      </c>
      <c r="C2005" s="730">
        <v>0.89722222222222225</v>
      </c>
      <c r="D2005" s="777">
        <v>40516</v>
      </c>
      <c r="E2005" s="730">
        <v>8.3333333333333329E-2</v>
      </c>
      <c r="F2005" s="558" t="s">
        <v>18</v>
      </c>
      <c r="G2005" s="558" t="s">
        <v>124</v>
      </c>
      <c r="H2005" s="558" t="s">
        <v>5873</v>
      </c>
      <c r="I2005" s="679" t="s">
        <v>2076</v>
      </c>
      <c r="J2005" s="676">
        <v>22</v>
      </c>
      <c r="K2005" s="676">
        <v>7077</v>
      </c>
      <c r="M2005" t="str">
        <f>""</f>
        <v/>
      </c>
    </row>
    <row r="2006" spans="1:13" ht="15.75">
      <c r="A2006">
        <v>2022</v>
      </c>
      <c r="B2006" s="777">
        <v>44610</v>
      </c>
      <c r="C2006" s="730">
        <v>0.2986111111111111</v>
      </c>
      <c r="D2006" s="777">
        <v>44610</v>
      </c>
      <c r="E2006" s="730">
        <v>0.68402777777777779</v>
      </c>
      <c r="F2006" s="558" t="s">
        <v>5221</v>
      </c>
      <c r="G2006" s="558" t="s">
        <v>61</v>
      </c>
      <c r="H2006" s="558" t="s">
        <v>2753</v>
      </c>
      <c r="I2006" s="679" t="s">
        <v>22</v>
      </c>
      <c r="J2006" s="676">
        <v>7</v>
      </c>
      <c r="K2006" s="676">
        <v>7047</v>
      </c>
      <c r="M2006" t="str">
        <f>""</f>
        <v/>
      </c>
    </row>
    <row r="2007" spans="1:13" ht="15.75">
      <c r="A2007">
        <v>2013</v>
      </c>
      <c r="B2007" s="777">
        <v>41515</v>
      </c>
      <c r="C2007" s="730">
        <v>0.62291666666666667</v>
      </c>
      <c r="D2007" s="777">
        <v>41515</v>
      </c>
      <c r="E2007" s="730">
        <v>0.64513888888888893</v>
      </c>
      <c r="F2007" s="558" t="s">
        <v>2601</v>
      </c>
      <c r="G2007" s="558" t="s">
        <v>674</v>
      </c>
      <c r="H2007" s="558" t="s">
        <v>5873</v>
      </c>
      <c r="I2007" s="679" t="s">
        <v>2588</v>
      </c>
      <c r="J2007" s="676">
        <v>15</v>
      </c>
      <c r="K2007" s="676">
        <v>7000</v>
      </c>
      <c r="M2007" t="str">
        <f>""</f>
        <v/>
      </c>
    </row>
    <row r="2008" spans="1:13" ht="15.75">
      <c r="A2008">
        <v>2023</v>
      </c>
      <c r="B2008" s="777">
        <v>44928</v>
      </c>
      <c r="C2008" s="730">
        <v>0.76527777777777772</v>
      </c>
      <c r="D2008" s="777">
        <v>44928</v>
      </c>
      <c r="E2008" s="730">
        <v>0.93541666666666667</v>
      </c>
      <c r="F2008" s="558" t="s">
        <v>5681</v>
      </c>
      <c r="G2008" s="558" t="s">
        <v>63</v>
      </c>
      <c r="H2008" s="558" t="s">
        <v>3411</v>
      </c>
      <c r="I2008" s="679" t="s">
        <v>22</v>
      </c>
      <c r="J2008" s="676">
        <v>20</v>
      </c>
      <c r="K2008" s="676">
        <v>6849</v>
      </c>
      <c r="M2008" t="str">
        <f>""</f>
        <v/>
      </c>
    </row>
    <row r="2009" spans="1:13" ht="15.75">
      <c r="A2009">
        <v>2020</v>
      </c>
      <c r="B2009" s="777">
        <v>43926</v>
      </c>
      <c r="C2009" s="730">
        <v>0.65694444444444444</v>
      </c>
      <c r="D2009" s="777">
        <v>43926</v>
      </c>
      <c r="E2009" s="730">
        <v>0.73263888888888884</v>
      </c>
      <c r="F2009" s="558" t="s">
        <v>2819</v>
      </c>
      <c r="G2009" s="558" t="s">
        <v>124</v>
      </c>
      <c r="H2009" s="558" t="s">
        <v>4071</v>
      </c>
      <c r="I2009" s="679" t="s">
        <v>22</v>
      </c>
      <c r="J2009" s="676">
        <v>7</v>
      </c>
      <c r="K2009" s="676">
        <v>6814</v>
      </c>
      <c r="M2009" t="str">
        <f>""</f>
        <v/>
      </c>
    </row>
    <row r="2010" spans="1:13" ht="15.75">
      <c r="A2010">
        <v>2013</v>
      </c>
      <c r="B2010" s="777">
        <v>41324</v>
      </c>
      <c r="C2010" s="730">
        <v>0.66736111111111107</v>
      </c>
      <c r="D2010" s="777">
        <v>41325</v>
      </c>
      <c r="E2010" s="730">
        <v>0.53819444444444442</v>
      </c>
      <c r="F2010" s="558" t="s">
        <v>2504</v>
      </c>
      <c r="G2010" s="558" t="s">
        <v>124</v>
      </c>
      <c r="H2010" s="558" t="s">
        <v>5873</v>
      </c>
      <c r="I2010" s="679" t="s">
        <v>2037</v>
      </c>
      <c r="J2010" s="676">
        <v>13850</v>
      </c>
      <c r="K2010" s="676">
        <v>6810</v>
      </c>
      <c r="M2010" t="str">
        <f>""</f>
        <v/>
      </c>
    </row>
    <row r="2011" spans="1:13" ht="15.75">
      <c r="A2011">
        <v>2011</v>
      </c>
      <c r="B2011" s="777">
        <v>40613</v>
      </c>
      <c r="C2011" s="730">
        <v>0.29305555555555557</v>
      </c>
      <c r="D2011" s="777">
        <v>40613</v>
      </c>
      <c r="E2011" s="730">
        <v>0.38541666666666669</v>
      </c>
      <c r="F2011" s="558" t="s">
        <v>2151</v>
      </c>
      <c r="G2011" s="558" t="s">
        <v>124</v>
      </c>
      <c r="H2011" s="558" t="s">
        <v>5873</v>
      </c>
      <c r="I2011" s="679" t="s">
        <v>2132</v>
      </c>
      <c r="J2011" s="676">
        <v>15</v>
      </c>
      <c r="K2011" s="676">
        <v>6800</v>
      </c>
      <c r="M2011" t="str">
        <f>""</f>
        <v/>
      </c>
    </row>
    <row r="2012" spans="1:13" ht="15.75">
      <c r="A2012" s="728">
        <v>2010</v>
      </c>
      <c r="B2012" s="777">
        <v>40526</v>
      </c>
      <c r="C2012" s="730">
        <v>0.30555555555555558</v>
      </c>
      <c r="D2012" s="777">
        <v>40526</v>
      </c>
      <c r="E2012" s="730">
        <v>0.30902777777777779</v>
      </c>
      <c r="F2012" s="558" t="s">
        <v>18</v>
      </c>
      <c r="G2012" s="558" t="s">
        <v>124</v>
      </c>
      <c r="H2012" s="558" t="s">
        <v>5873</v>
      </c>
      <c r="I2012" s="679" t="s">
        <v>2076</v>
      </c>
      <c r="J2012" s="676">
        <v>9</v>
      </c>
      <c r="K2012" s="676">
        <v>6635</v>
      </c>
      <c r="M2012" t="str">
        <f>""</f>
        <v/>
      </c>
    </row>
    <row r="2013" spans="1:13" ht="15.75">
      <c r="A2013">
        <v>2014</v>
      </c>
      <c r="B2013" s="777">
        <v>41874</v>
      </c>
      <c r="C2013" s="730">
        <v>0.69374999999999998</v>
      </c>
      <c r="D2013" s="777">
        <v>41875</v>
      </c>
      <c r="E2013" s="730">
        <v>7.3611111111111113E-2</v>
      </c>
      <c r="F2013" s="558" t="s">
        <v>2710</v>
      </c>
      <c r="G2013" s="558" t="s">
        <v>826</v>
      </c>
      <c r="H2013" s="558" t="s">
        <v>5873</v>
      </c>
      <c r="I2013" s="679" t="s">
        <v>2711</v>
      </c>
      <c r="J2013" s="676">
        <v>31</v>
      </c>
      <c r="K2013" s="676">
        <v>6549</v>
      </c>
      <c r="M2013" t="str">
        <f>""</f>
        <v/>
      </c>
    </row>
    <row r="2014" spans="1:13" ht="15.75">
      <c r="A2014">
        <v>2017</v>
      </c>
      <c r="B2014" s="777">
        <v>42915</v>
      </c>
      <c r="C2014" s="730">
        <v>0.16666666666666666</v>
      </c>
      <c r="D2014" s="777" t="s">
        <v>5873</v>
      </c>
      <c r="E2014" s="730" t="s">
        <v>5873</v>
      </c>
      <c r="F2014" s="558" t="s">
        <v>3051</v>
      </c>
      <c r="G2014" s="558" t="s">
        <v>63</v>
      </c>
      <c r="H2014" s="558" t="s">
        <v>2910</v>
      </c>
      <c r="I2014" s="679" t="s">
        <v>100</v>
      </c>
      <c r="J2014" s="676">
        <v>130</v>
      </c>
      <c r="K2014" s="676">
        <v>6467</v>
      </c>
      <c r="M2014" t="str">
        <f>""</f>
        <v/>
      </c>
    </row>
    <row r="2015" spans="1:13" ht="15.75">
      <c r="A2015">
        <v>2022</v>
      </c>
      <c r="B2015" s="777">
        <v>44795</v>
      </c>
      <c r="C2015" s="730">
        <v>0.53194444444444444</v>
      </c>
      <c r="D2015" s="777">
        <v>44795</v>
      </c>
      <c r="E2015" s="730">
        <v>0.54791666666666672</v>
      </c>
      <c r="F2015" s="558" t="s">
        <v>5485</v>
      </c>
      <c r="G2015" s="558" t="s">
        <v>1352</v>
      </c>
      <c r="H2015" s="558" t="s">
        <v>3411</v>
      </c>
      <c r="I2015" s="679" t="s">
        <v>2764</v>
      </c>
      <c r="J2015" s="676">
        <v>24</v>
      </c>
      <c r="K2015" s="676">
        <v>6385</v>
      </c>
      <c r="M2015" t="str">
        <f>""</f>
        <v/>
      </c>
    </row>
    <row r="2016" spans="1:13" ht="15.75">
      <c r="A2016">
        <v>2022</v>
      </c>
      <c r="B2016" s="777">
        <v>44893</v>
      </c>
      <c r="C2016" s="730">
        <v>4.7222222222222221E-2</v>
      </c>
      <c r="D2016" s="777">
        <v>44893</v>
      </c>
      <c r="E2016" s="730">
        <v>0.1</v>
      </c>
      <c r="F2016" s="558" t="s">
        <v>4119</v>
      </c>
      <c r="G2016" s="558" t="s">
        <v>124</v>
      </c>
      <c r="H2016" s="558" t="s">
        <v>2910</v>
      </c>
      <c r="I2016" s="679" t="s">
        <v>5075</v>
      </c>
      <c r="J2016" s="676" t="s">
        <v>5873</v>
      </c>
      <c r="K2016" s="676">
        <v>6337</v>
      </c>
      <c r="M2016" t="str">
        <f>""</f>
        <v/>
      </c>
    </row>
    <row r="2017" spans="1:13" ht="15.75">
      <c r="A2017">
        <v>2013</v>
      </c>
      <c r="B2017" s="777">
        <v>41425</v>
      </c>
      <c r="C2017" s="730">
        <v>0.79652777777777772</v>
      </c>
      <c r="D2017" s="777">
        <v>41426</v>
      </c>
      <c r="E2017" s="730">
        <v>0.59375</v>
      </c>
      <c r="F2017" s="558" t="s">
        <v>2544</v>
      </c>
      <c r="G2017" s="558" t="s">
        <v>674</v>
      </c>
      <c r="H2017" s="558" t="s">
        <v>5873</v>
      </c>
      <c r="I2017" s="679" t="s">
        <v>1806</v>
      </c>
      <c r="J2017" s="676">
        <v>102</v>
      </c>
      <c r="K2017" s="676">
        <v>6300</v>
      </c>
      <c r="M2017" t="str">
        <f>""</f>
        <v/>
      </c>
    </row>
    <row r="2018" spans="1:13" ht="15.75">
      <c r="A2018">
        <v>2023</v>
      </c>
      <c r="B2018" s="777">
        <v>45099</v>
      </c>
      <c r="C2018" s="730">
        <v>0.10416666666666667</v>
      </c>
      <c r="D2018" s="777">
        <v>45099</v>
      </c>
      <c r="E2018" s="730">
        <v>0.10972222222222222</v>
      </c>
      <c r="F2018" s="558" t="s">
        <v>1577</v>
      </c>
      <c r="G2018" s="558" t="s">
        <v>63</v>
      </c>
      <c r="H2018" s="558" t="s">
        <v>3411</v>
      </c>
      <c r="I2018" s="679" t="s">
        <v>5886</v>
      </c>
      <c r="J2018" s="676">
        <v>17</v>
      </c>
      <c r="K2018" s="676">
        <v>6242</v>
      </c>
      <c r="M2018" t="str">
        <f>""</f>
        <v/>
      </c>
    </row>
    <row r="2019" spans="1:13" ht="15.75">
      <c r="A2019">
        <v>2021</v>
      </c>
      <c r="B2019" s="777">
        <v>44228</v>
      </c>
      <c r="C2019" s="730">
        <v>0.97569444444444442</v>
      </c>
      <c r="D2019" s="777">
        <v>44229</v>
      </c>
      <c r="E2019" s="730">
        <v>0.05</v>
      </c>
      <c r="F2019" s="558" t="s">
        <v>4685</v>
      </c>
      <c r="G2019" s="558" t="s">
        <v>1352</v>
      </c>
      <c r="H2019" s="558" t="s">
        <v>3411</v>
      </c>
      <c r="I2019" s="679" t="s">
        <v>2483</v>
      </c>
      <c r="J2019" s="676">
        <v>13</v>
      </c>
      <c r="K2019" s="676">
        <v>6102</v>
      </c>
      <c r="M2019" t="str">
        <f>""</f>
        <v/>
      </c>
    </row>
    <row r="2020" spans="1:13" ht="15.75">
      <c r="A2020">
        <v>2012</v>
      </c>
      <c r="B2020" s="777">
        <v>41091.699305555558</v>
      </c>
      <c r="C2020" s="730">
        <v>41091.699305555558</v>
      </c>
      <c r="D2020" s="777">
        <v>41091.958333333336</v>
      </c>
      <c r="E2020" s="730">
        <v>41091.958333333336</v>
      </c>
      <c r="F2020" s="558" t="s">
        <v>2409</v>
      </c>
      <c r="G2020" s="558" t="s">
        <v>63</v>
      </c>
      <c r="H2020" s="558" t="s">
        <v>5873</v>
      </c>
      <c r="I2020" s="679" t="s">
        <v>2410</v>
      </c>
      <c r="J2020" s="676">
        <v>48</v>
      </c>
      <c r="K2020" s="676">
        <v>6100</v>
      </c>
      <c r="M2020" t="str">
        <f>""</f>
        <v/>
      </c>
    </row>
    <row r="2021" spans="1:13" ht="15.75">
      <c r="A2021">
        <v>2020</v>
      </c>
      <c r="B2021" s="777">
        <v>43970</v>
      </c>
      <c r="C2021" s="730">
        <v>0.83611111111111114</v>
      </c>
      <c r="D2021" s="777">
        <v>43970</v>
      </c>
      <c r="E2021" s="730">
        <v>0.91666666666666663</v>
      </c>
      <c r="F2021" s="558" t="s">
        <v>4253</v>
      </c>
      <c r="G2021" s="558" t="s">
        <v>63</v>
      </c>
      <c r="H2021" s="558" t="s">
        <v>3356</v>
      </c>
      <c r="I2021" s="679" t="s">
        <v>100</v>
      </c>
      <c r="J2021" s="676">
        <v>8</v>
      </c>
      <c r="K2021" s="676">
        <v>6000</v>
      </c>
      <c r="M2021" t="str">
        <f>""</f>
        <v/>
      </c>
    </row>
    <row r="2022" spans="1:13" ht="15.75">
      <c r="A2022">
        <v>2021</v>
      </c>
      <c r="B2022" s="777">
        <v>44530</v>
      </c>
      <c r="C2022" s="730">
        <v>0.57430555555555551</v>
      </c>
      <c r="D2022" s="777">
        <v>44530</v>
      </c>
      <c r="E2022" s="730">
        <v>0.59791666666666665</v>
      </c>
      <c r="F2022" s="558" t="s">
        <v>2945</v>
      </c>
      <c r="G2022" s="558" t="s">
        <v>124</v>
      </c>
      <c r="H2022" s="558" t="s">
        <v>2839</v>
      </c>
      <c r="I2022" s="679" t="s">
        <v>2764</v>
      </c>
      <c r="J2022" s="676">
        <v>10</v>
      </c>
      <c r="K2022" s="676">
        <v>6000</v>
      </c>
      <c r="M2022" t="str">
        <f>""</f>
        <v/>
      </c>
    </row>
    <row r="2023" spans="1:13" ht="15.75">
      <c r="A2023">
        <v>2015</v>
      </c>
      <c r="B2023" s="777">
        <v>42079</v>
      </c>
      <c r="C2023" s="730">
        <v>0.31319444444444444</v>
      </c>
      <c r="D2023" s="777">
        <v>42079</v>
      </c>
      <c r="E2023" s="730">
        <v>0.42083333333333334</v>
      </c>
      <c r="F2023" s="558" t="s">
        <v>2761</v>
      </c>
      <c r="G2023" s="558" t="s">
        <v>674</v>
      </c>
      <c r="H2023" s="558" t="s">
        <v>2150</v>
      </c>
      <c r="I2023" s="679" t="s">
        <v>2343</v>
      </c>
      <c r="J2023" s="676">
        <v>20</v>
      </c>
      <c r="K2023" s="676">
        <v>5941</v>
      </c>
      <c r="M2023" t="str">
        <f>""</f>
        <v/>
      </c>
    </row>
    <row r="2024" spans="1:13" ht="15.75">
      <c r="A2024">
        <v>2022</v>
      </c>
      <c r="B2024" s="777">
        <v>44628</v>
      </c>
      <c r="C2024" s="730">
        <v>0.57638888888888884</v>
      </c>
      <c r="D2024" s="777">
        <v>44628</v>
      </c>
      <c r="E2024" s="730">
        <v>0.61041666666666672</v>
      </c>
      <c r="F2024" s="558" t="s">
        <v>5242</v>
      </c>
      <c r="G2024" s="558" t="s">
        <v>1352</v>
      </c>
      <c r="H2024" s="558" t="s">
        <v>3411</v>
      </c>
      <c r="I2024" s="679" t="s">
        <v>2764</v>
      </c>
      <c r="J2024" s="676">
        <v>48</v>
      </c>
      <c r="K2024" s="676">
        <v>5855</v>
      </c>
      <c r="M2024" t="str">
        <f>""</f>
        <v/>
      </c>
    </row>
    <row r="2025" spans="1:13" ht="15.75">
      <c r="A2025">
        <v>2019</v>
      </c>
      <c r="B2025" s="777">
        <v>43581</v>
      </c>
      <c r="C2025" s="730">
        <v>4.1666666666666664E-2</v>
      </c>
      <c r="D2025" s="777">
        <v>43581</v>
      </c>
      <c r="E2025" s="730">
        <v>0.56041666666666667</v>
      </c>
      <c r="F2025" s="558" t="s">
        <v>3245</v>
      </c>
      <c r="G2025" s="558" t="s">
        <v>3143</v>
      </c>
      <c r="H2025" s="558" t="s">
        <v>3411</v>
      </c>
      <c r="I2025" s="679" t="s">
        <v>2483</v>
      </c>
      <c r="J2025" s="676">
        <v>7</v>
      </c>
      <c r="K2025" s="676">
        <v>5830</v>
      </c>
      <c r="M2025" t="str">
        <f>""</f>
        <v/>
      </c>
    </row>
    <row r="2026" spans="1:13" ht="15.75">
      <c r="A2026">
        <v>2021</v>
      </c>
      <c r="B2026" s="777">
        <v>44198</v>
      </c>
      <c r="C2026" s="730">
        <v>0.43611111111111112</v>
      </c>
      <c r="D2026" s="777">
        <v>44198</v>
      </c>
      <c r="E2026" s="730">
        <v>0.43680555555555556</v>
      </c>
      <c r="F2026" s="558" t="s">
        <v>2894</v>
      </c>
      <c r="G2026" s="558" t="s">
        <v>124</v>
      </c>
      <c r="H2026" s="558" t="s">
        <v>4071</v>
      </c>
      <c r="I2026" s="679" t="s">
        <v>2764</v>
      </c>
      <c r="J2026" s="676">
        <v>8</v>
      </c>
      <c r="K2026" s="676">
        <v>5803</v>
      </c>
      <c r="M2026" t="str">
        <f>""</f>
        <v/>
      </c>
    </row>
    <row r="2027" spans="1:13" ht="15.75">
      <c r="A2027">
        <v>2015</v>
      </c>
      <c r="B2027" s="777">
        <v>42096</v>
      </c>
      <c r="C2027" s="730">
        <v>0.29444444444444445</v>
      </c>
      <c r="D2027" s="777">
        <v>42096</v>
      </c>
      <c r="E2027" s="730">
        <v>0.37291666666666667</v>
      </c>
      <c r="F2027" s="558" t="s">
        <v>2765</v>
      </c>
      <c r="G2027" s="558" t="s">
        <v>124</v>
      </c>
      <c r="H2027" s="558" t="s">
        <v>2150</v>
      </c>
      <c r="I2027" s="679" t="s">
        <v>100</v>
      </c>
      <c r="J2027" s="676">
        <v>6</v>
      </c>
      <c r="K2027" s="676">
        <v>5763</v>
      </c>
      <c r="M2027" t="str">
        <f>""</f>
        <v/>
      </c>
    </row>
    <row r="2028" spans="1:13" ht="15.75">
      <c r="A2028">
        <v>2019</v>
      </c>
      <c r="B2028" s="777">
        <v>43685</v>
      </c>
      <c r="C2028" s="730">
        <v>0.67777777777777781</v>
      </c>
      <c r="D2028" s="777">
        <v>43685</v>
      </c>
      <c r="E2028" s="730">
        <v>0.94513888888888886</v>
      </c>
      <c r="F2028" s="558" t="s">
        <v>2895</v>
      </c>
      <c r="G2028" s="558" t="s">
        <v>3143</v>
      </c>
      <c r="H2028" s="558" t="s">
        <v>3411</v>
      </c>
      <c r="I2028" s="679" t="s">
        <v>2990</v>
      </c>
      <c r="J2028" s="676" t="s">
        <v>5873</v>
      </c>
      <c r="K2028" s="676">
        <v>5600</v>
      </c>
      <c r="M2028" t="str">
        <f>""</f>
        <v/>
      </c>
    </row>
    <row r="2029" spans="1:13" ht="15.75">
      <c r="A2029">
        <v>2011</v>
      </c>
      <c r="B2029" s="777">
        <v>40699</v>
      </c>
      <c r="C2029" s="730">
        <v>0.83472222222222225</v>
      </c>
      <c r="D2029" s="777">
        <v>40699</v>
      </c>
      <c r="E2029" s="730">
        <v>0.87152777777777779</v>
      </c>
      <c r="F2029" s="558" t="s">
        <v>2217</v>
      </c>
      <c r="G2029" s="558" t="s">
        <v>124</v>
      </c>
      <c r="H2029" s="558" t="s">
        <v>5873</v>
      </c>
      <c r="I2029" s="679" t="s">
        <v>2037</v>
      </c>
      <c r="J2029" s="676">
        <v>10</v>
      </c>
      <c r="K2029" s="676">
        <v>5314</v>
      </c>
      <c r="M2029" t="str">
        <f>""</f>
        <v/>
      </c>
    </row>
    <row r="2030" spans="1:13" ht="15.75">
      <c r="A2030">
        <v>2023</v>
      </c>
      <c r="B2030" s="777">
        <v>45101</v>
      </c>
      <c r="C2030" s="730">
        <v>0.76180555555555551</v>
      </c>
      <c r="D2030" s="777">
        <v>45101</v>
      </c>
      <c r="E2030" s="730">
        <v>0.97569444444444442</v>
      </c>
      <c r="F2030" s="558" t="s">
        <v>1833</v>
      </c>
      <c r="G2030" s="558" t="s">
        <v>3143</v>
      </c>
      <c r="H2030" s="558" t="s">
        <v>2150</v>
      </c>
      <c r="I2030" s="679" t="s">
        <v>5884</v>
      </c>
      <c r="J2030" s="676">
        <v>5</v>
      </c>
      <c r="K2030" s="676">
        <v>5200</v>
      </c>
      <c r="M2030" t="str">
        <f>""</f>
        <v/>
      </c>
    </row>
    <row r="2031" spans="1:13" ht="15.75">
      <c r="A2031">
        <v>2018</v>
      </c>
      <c r="B2031" s="777">
        <v>43285</v>
      </c>
      <c r="C2031" s="730">
        <v>0.91666666666666663</v>
      </c>
      <c r="D2031" s="777">
        <v>43285</v>
      </c>
      <c r="E2031" s="730">
        <v>0.9375</v>
      </c>
      <c r="F2031" s="558" t="s">
        <v>3385</v>
      </c>
      <c r="G2031" s="558" t="s">
        <v>124</v>
      </c>
      <c r="H2031" s="558" t="s">
        <v>3356</v>
      </c>
      <c r="I2031" s="679" t="s">
        <v>100</v>
      </c>
      <c r="J2031" s="676" t="s">
        <v>5873</v>
      </c>
      <c r="K2031" s="676">
        <v>5058</v>
      </c>
      <c r="M2031" t="str">
        <f>""</f>
        <v/>
      </c>
    </row>
    <row r="2032" spans="1:13" ht="15.75">
      <c r="A2032">
        <v>2021</v>
      </c>
      <c r="B2032" s="777">
        <v>44467</v>
      </c>
      <c r="C2032" s="730">
        <v>0.57222222222222219</v>
      </c>
      <c r="D2032" s="777">
        <v>44467</v>
      </c>
      <c r="E2032" s="730">
        <v>0.5805555555555556</v>
      </c>
      <c r="F2032" s="558" t="s">
        <v>5036</v>
      </c>
      <c r="G2032" s="558" t="s">
        <v>63</v>
      </c>
      <c r="H2032" s="558" t="s">
        <v>2839</v>
      </c>
      <c r="I2032" s="679" t="s">
        <v>2483</v>
      </c>
      <c r="J2032" s="676">
        <v>20</v>
      </c>
      <c r="K2032" s="676">
        <v>5000</v>
      </c>
      <c r="M2032" t="str">
        <f>""</f>
        <v/>
      </c>
    </row>
    <row r="2033" spans="1:13" ht="15.75">
      <c r="A2033">
        <v>2022</v>
      </c>
      <c r="B2033" s="777">
        <v>44788</v>
      </c>
      <c r="C2033" s="730">
        <v>0.98819444444444449</v>
      </c>
      <c r="D2033" s="777">
        <v>44789</v>
      </c>
      <c r="E2033" s="730">
        <v>0.30138888888888887</v>
      </c>
      <c r="F2033" s="558" t="s">
        <v>5479</v>
      </c>
      <c r="G2033" s="558" t="s">
        <v>5309</v>
      </c>
      <c r="H2033" s="558" t="s">
        <v>3411</v>
      </c>
      <c r="I2033" s="679" t="s">
        <v>2483</v>
      </c>
      <c r="J2033" s="676">
        <v>0</v>
      </c>
      <c r="K2033" s="676">
        <v>5000</v>
      </c>
      <c r="M2033" t="str">
        <f>""</f>
        <v/>
      </c>
    </row>
    <row r="2034" spans="1:13" ht="15.75">
      <c r="A2034">
        <v>2022</v>
      </c>
      <c r="B2034" s="777">
        <v>44748</v>
      </c>
      <c r="C2034" s="730">
        <v>8.1944444444444445E-2</v>
      </c>
      <c r="D2034" s="777" t="s">
        <v>5873</v>
      </c>
      <c r="E2034" s="730" t="s">
        <v>5873</v>
      </c>
      <c r="F2034" s="558" t="s">
        <v>5429</v>
      </c>
      <c r="G2034" s="558" t="s">
        <v>674</v>
      </c>
      <c r="H2034" s="558" t="s">
        <v>3356</v>
      </c>
      <c r="I2034" s="679" t="s">
        <v>2293</v>
      </c>
      <c r="J2034" s="676">
        <v>25</v>
      </c>
      <c r="K2034" s="676">
        <v>4836</v>
      </c>
      <c r="M2034" t="str">
        <f>""</f>
        <v/>
      </c>
    </row>
    <row r="2035" spans="1:13" ht="15.75">
      <c r="A2035">
        <v>2022</v>
      </c>
      <c r="B2035" s="777">
        <v>44751</v>
      </c>
      <c r="C2035" s="730">
        <v>0.11597222222222223</v>
      </c>
      <c r="D2035" s="777">
        <v>44751</v>
      </c>
      <c r="E2035" s="730">
        <v>0.12430555555555556</v>
      </c>
      <c r="F2035" s="558" t="s">
        <v>3399</v>
      </c>
      <c r="G2035" s="558" t="s">
        <v>63</v>
      </c>
      <c r="H2035" s="558" t="s">
        <v>3411</v>
      </c>
      <c r="I2035" s="679" t="s">
        <v>2764</v>
      </c>
      <c r="J2035" s="676" t="s">
        <v>5873</v>
      </c>
      <c r="K2035" s="676">
        <v>4724</v>
      </c>
      <c r="M2035" t="str">
        <f>""</f>
        <v/>
      </c>
    </row>
    <row r="2036" spans="1:13" ht="15.75">
      <c r="A2036">
        <v>2017</v>
      </c>
      <c r="B2036" s="777">
        <v>42878</v>
      </c>
      <c r="C2036" s="730">
        <v>0.20972222222222223</v>
      </c>
      <c r="D2036" s="777">
        <v>42878</v>
      </c>
      <c r="E2036" s="730">
        <v>0.3611111111111111</v>
      </c>
      <c r="F2036" s="558" t="s">
        <v>3032</v>
      </c>
      <c r="G2036" s="558" t="s">
        <v>63</v>
      </c>
      <c r="H2036" s="558" t="s">
        <v>2910</v>
      </c>
      <c r="I2036" s="679" t="s">
        <v>100</v>
      </c>
      <c r="J2036" s="676">
        <v>10</v>
      </c>
      <c r="K2036" s="676">
        <v>4700</v>
      </c>
      <c r="M2036" t="str">
        <f>""</f>
        <v/>
      </c>
    </row>
    <row r="2037" spans="1:13" ht="15.75">
      <c r="A2037">
        <v>2020</v>
      </c>
      <c r="B2037" s="777">
        <v>44096</v>
      </c>
      <c r="C2037" s="730">
        <v>0.41805555555555557</v>
      </c>
      <c r="D2037" s="777">
        <v>44096</v>
      </c>
      <c r="E2037" s="730">
        <v>0.54027777777777775</v>
      </c>
      <c r="F2037" s="558" t="s">
        <v>2945</v>
      </c>
      <c r="G2037" s="558" t="s">
        <v>124</v>
      </c>
      <c r="H2037" s="558" t="s">
        <v>4071</v>
      </c>
      <c r="I2037" s="679" t="s">
        <v>2764</v>
      </c>
      <c r="J2037" s="676">
        <v>8</v>
      </c>
      <c r="K2037" s="676">
        <v>4350</v>
      </c>
      <c r="M2037" t="str">
        <f>""</f>
        <v/>
      </c>
    </row>
    <row r="2038" spans="1:13" ht="15.75">
      <c r="A2038">
        <v>2016</v>
      </c>
      <c r="B2038" s="777">
        <v>42413</v>
      </c>
      <c r="C2038" s="730">
        <v>0.53055555555555556</v>
      </c>
      <c r="D2038" s="777">
        <v>42413</v>
      </c>
      <c r="E2038" s="730">
        <v>0.68541666666666667</v>
      </c>
      <c r="F2038" s="558" t="s">
        <v>18</v>
      </c>
      <c r="G2038" s="558" t="s">
        <v>63</v>
      </c>
      <c r="H2038" s="558" t="s">
        <v>2839</v>
      </c>
      <c r="I2038" s="679" t="s">
        <v>2840</v>
      </c>
      <c r="J2038" s="676">
        <v>7</v>
      </c>
      <c r="K2038" s="676">
        <v>4300</v>
      </c>
      <c r="M2038" t="str">
        <f>""</f>
        <v/>
      </c>
    </row>
    <row r="2039" spans="1:13" ht="15.75">
      <c r="A2039">
        <v>2021</v>
      </c>
      <c r="B2039" s="777">
        <v>44274</v>
      </c>
      <c r="C2039" s="730">
        <v>0.4375</v>
      </c>
      <c r="D2039" s="777">
        <v>44274</v>
      </c>
      <c r="E2039" s="730">
        <v>0.5</v>
      </c>
      <c r="F2039" s="558" t="s">
        <v>4790</v>
      </c>
      <c r="G2039" s="558" t="s">
        <v>63</v>
      </c>
      <c r="H2039" s="558" t="s">
        <v>3356</v>
      </c>
      <c r="I2039" s="679" t="s">
        <v>100</v>
      </c>
      <c r="J2039" s="676" t="s">
        <v>5873</v>
      </c>
      <c r="K2039" s="676">
        <v>4200</v>
      </c>
      <c r="M2039" t="str">
        <f>""</f>
        <v/>
      </c>
    </row>
    <row r="2040" spans="1:13" ht="15.75">
      <c r="A2040" s="728">
        <v>2010</v>
      </c>
      <c r="B2040" s="777">
        <v>40338</v>
      </c>
      <c r="C2040" s="730">
        <v>0.59583333333333333</v>
      </c>
      <c r="D2040" s="777">
        <v>40338</v>
      </c>
      <c r="E2040" s="730">
        <v>0.625</v>
      </c>
      <c r="F2040" s="558" t="s">
        <v>1941</v>
      </c>
      <c r="G2040" s="558" t="s">
        <v>63</v>
      </c>
      <c r="H2040" s="558" t="s">
        <v>5873</v>
      </c>
      <c r="I2040" s="679" t="s">
        <v>1806</v>
      </c>
      <c r="J2040" s="676" t="s">
        <v>5873</v>
      </c>
      <c r="K2040" s="676">
        <v>4196</v>
      </c>
      <c r="M2040" t="str">
        <f>""</f>
        <v/>
      </c>
    </row>
    <row r="2041" spans="1:13" ht="15.75">
      <c r="A2041">
        <v>2016</v>
      </c>
      <c r="B2041" s="777">
        <v>42645</v>
      </c>
      <c r="C2041" s="730">
        <v>0.97916666666666663</v>
      </c>
      <c r="D2041" s="777">
        <v>42648</v>
      </c>
      <c r="E2041" s="730">
        <v>0.33333333333333331</v>
      </c>
      <c r="F2041" s="558" t="s">
        <v>2865</v>
      </c>
      <c r="G2041" s="558" t="s">
        <v>124</v>
      </c>
      <c r="H2041" s="558" t="s">
        <v>2917</v>
      </c>
      <c r="I2041" s="679" t="s">
        <v>2483</v>
      </c>
      <c r="J2041" s="676">
        <v>50</v>
      </c>
      <c r="K2041" s="676">
        <v>4000</v>
      </c>
      <c r="M2041" t="str">
        <f>""</f>
        <v/>
      </c>
    </row>
    <row r="2042" spans="1:13" ht="15.75">
      <c r="A2042">
        <v>2021</v>
      </c>
      <c r="B2042" s="777">
        <v>44455</v>
      </c>
      <c r="C2042" s="730">
        <v>0.61736111111111114</v>
      </c>
      <c r="D2042" s="777">
        <v>44455</v>
      </c>
      <c r="E2042" s="730">
        <v>0.83472222222222225</v>
      </c>
      <c r="F2042" s="558" t="s">
        <v>3693</v>
      </c>
      <c r="G2042" s="558" t="s">
        <v>4918</v>
      </c>
      <c r="H2042" s="558" t="s">
        <v>3411</v>
      </c>
      <c r="I2042" s="679" t="s">
        <v>2483</v>
      </c>
      <c r="J2042" s="676">
        <v>100</v>
      </c>
      <c r="K2042" s="676">
        <v>4000</v>
      </c>
      <c r="M2042" t="str">
        <f>""</f>
        <v/>
      </c>
    </row>
    <row r="2043" spans="1:13" ht="15.75">
      <c r="A2043">
        <v>2021</v>
      </c>
      <c r="B2043" s="777">
        <v>44455</v>
      </c>
      <c r="C2043" s="730">
        <v>0.61736111111111114</v>
      </c>
      <c r="D2043" s="777">
        <v>44455</v>
      </c>
      <c r="E2043" s="730">
        <v>0.83472222222222225</v>
      </c>
      <c r="F2043" s="558" t="s">
        <v>3693</v>
      </c>
      <c r="G2043" s="558" t="s">
        <v>4918</v>
      </c>
      <c r="H2043" s="558" t="s">
        <v>3411</v>
      </c>
      <c r="I2043" s="679" t="s">
        <v>2483</v>
      </c>
      <c r="J2043" s="676">
        <v>100</v>
      </c>
      <c r="K2043" s="676">
        <v>4000</v>
      </c>
      <c r="M2043" t="str">
        <f>""</f>
        <v/>
      </c>
    </row>
    <row r="2044" spans="1:13" ht="15.75">
      <c r="A2044">
        <v>2022</v>
      </c>
      <c r="B2044" s="777">
        <v>44718</v>
      </c>
      <c r="C2044" s="730">
        <v>0.43125000000000002</v>
      </c>
      <c r="D2044" s="777">
        <v>44718</v>
      </c>
      <c r="E2044" s="730">
        <v>0.43333333333333335</v>
      </c>
      <c r="F2044" s="558" t="s">
        <v>3414</v>
      </c>
      <c r="G2044" s="558" t="s">
        <v>124</v>
      </c>
      <c r="H2044" s="558" t="s">
        <v>2839</v>
      </c>
      <c r="I2044" s="679" t="s">
        <v>2764</v>
      </c>
      <c r="J2044" s="676">
        <v>13</v>
      </c>
      <c r="K2044" s="676">
        <v>4000</v>
      </c>
      <c r="M2044" t="str">
        <f>""</f>
        <v/>
      </c>
    </row>
    <row r="2045" spans="1:13" ht="15.75">
      <c r="A2045">
        <v>2022</v>
      </c>
      <c r="B2045" s="777">
        <v>44635</v>
      </c>
      <c r="C2045" s="730">
        <v>0.78680555555555554</v>
      </c>
      <c r="D2045" s="777">
        <v>44635</v>
      </c>
      <c r="E2045" s="730">
        <v>0.85624999999999996</v>
      </c>
      <c r="F2045" s="558" t="s">
        <v>5252</v>
      </c>
      <c r="G2045" s="558" t="s">
        <v>124</v>
      </c>
      <c r="H2045" s="558" t="s">
        <v>3402</v>
      </c>
      <c r="I2045" s="679" t="s">
        <v>100</v>
      </c>
      <c r="J2045" s="676">
        <v>10</v>
      </c>
      <c r="K2045" s="676">
        <v>3958</v>
      </c>
      <c r="M2045" t="str">
        <f>""</f>
        <v/>
      </c>
    </row>
    <row r="2046" spans="1:13" ht="15.75">
      <c r="A2046">
        <v>2023</v>
      </c>
      <c r="B2046" s="777">
        <v>45032</v>
      </c>
      <c r="C2046" s="730">
        <v>0.3034722222222222</v>
      </c>
      <c r="D2046" s="777">
        <v>45032</v>
      </c>
      <c r="E2046" s="730">
        <v>0.58333333333333337</v>
      </c>
      <c r="F2046" s="558" t="s">
        <v>3853</v>
      </c>
      <c r="G2046" s="558" t="s">
        <v>1352</v>
      </c>
      <c r="H2046" s="558" t="s">
        <v>3356</v>
      </c>
      <c r="I2046" s="679" t="s">
        <v>2118</v>
      </c>
      <c r="J2046" s="676" t="s">
        <v>5873</v>
      </c>
      <c r="K2046" s="676">
        <v>3900</v>
      </c>
      <c r="M2046" t="str">
        <f>""</f>
        <v/>
      </c>
    </row>
    <row r="2047" spans="1:13" ht="15.75">
      <c r="A2047">
        <v>2021</v>
      </c>
      <c r="B2047" s="777">
        <v>44200</v>
      </c>
      <c r="C2047" s="730">
        <v>0.44027777777777777</v>
      </c>
      <c r="D2047" s="777">
        <v>44200</v>
      </c>
      <c r="E2047" s="730">
        <v>0.45069444444444445</v>
      </c>
      <c r="F2047" s="558" t="s">
        <v>3245</v>
      </c>
      <c r="G2047" s="558" t="s">
        <v>3143</v>
      </c>
      <c r="H2047" s="558" t="s">
        <v>3411</v>
      </c>
      <c r="I2047" s="679" t="s">
        <v>2483</v>
      </c>
      <c r="J2047" s="676">
        <v>6</v>
      </c>
      <c r="K2047" s="676">
        <v>3825</v>
      </c>
      <c r="M2047" t="str">
        <f>""</f>
        <v/>
      </c>
    </row>
    <row r="2048" spans="1:13" ht="15.75">
      <c r="A2048">
        <v>2020</v>
      </c>
      <c r="B2048" s="777">
        <v>43976</v>
      </c>
      <c r="C2048" s="730">
        <v>0.45694444444444443</v>
      </c>
      <c r="D2048" s="777">
        <v>43976</v>
      </c>
      <c r="E2048" s="730">
        <v>0.54166666666666663</v>
      </c>
      <c r="F2048" s="558" t="s">
        <v>4261</v>
      </c>
      <c r="G2048" s="558" t="s">
        <v>1352</v>
      </c>
      <c r="H2048" s="558" t="s">
        <v>3411</v>
      </c>
      <c r="I2048" s="679" t="s">
        <v>2483</v>
      </c>
      <c r="J2048" s="676">
        <v>8</v>
      </c>
      <c r="K2048" s="676">
        <v>3745</v>
      </c>
      <c r="M2048" t="str">
        <f>""</f>
        <v/>
      </c>
    </row>
    <row r="2049" spans="1:13" ht="15.75">
      <c r="A2049">
        <v>2023</v>
      </c>
      <c r="B2049" s="777">
        <v>44927</v>
      </c>
      <c r="C2049" s="730">
        <v>0.61597222222222225</v>
      </c>
      <c r="D2049" s="777">
        <v>44927</v>
      </c>
      <c r="E2049" s="730">
        <v>0.70138888888888884</v>
      </c>
      <c r="F2049" s="558" t="s">
        <v>5012</v>
      </c>
      <c r="G2049" s="558" t="s">
        <v>63</v>
      </c>
      <c r="H2049" s="558" t="s">
        <v>2910</v>
      </c>
      <c r="I2049" s="679" t="s">
        <v>100</v>
      </c>
      <c r="J2049" s="676">
        <v>19</v>
      </c>
      <c r="K2049" s="676">
        <v>3509</v>
      </c>
      <c r="M2049" t="str">
        <f>""</f>
        <v/>
      </c>
    </row>
    <row r="2050" spans="1:13" ht="15.75">
      <c r="A2050">
        <v>2021</v>
      </c>
      <c r="B2050" s="777">
        <v>44400</v>
      </c>
      <c r="C2050" s="730">
        <v>0.33958333333333335</v>
      </c>
      <c r="D2050" s="777">
        <v>44400</v>
      </c>
      <c r="E2050" s="730">
        <v>0.35416666666666669</v>
      </c>
      <c r="F2050" s="558" t="s">
        <v>4269</v>
      </c>
      <c r="G2050" s="558" t="s">
        <v>4935</v>
      </c>
      <c r="H2050" s="558" t="s">
        <v>3411</v>
      </c>
      <c r="I2050" s="679" t="s">
        <v>2764</v>
      </c>
      <c r="J2050" s="676">
        <v>15</v>
      </c>
      <c r="K2050" s="676">
        <v>3500</v>
      </c>
      <c r="M2050" t="str">
        <f>""</f>
        <v/>
      </c>
    </row>
    <row r="2051" spans="1:13" ht="15.75">
      <c r="A2051">
        <v>2022</v>
      </c>
      <c r="B2051" s="777">
        <v>44926</v>
      </c>
      <c r="C2051" s="730">
        <v>0.83333333333333337</v>
      </c>
      <c r="D2051" s="777">
        <v>44929</v>
      </c>
      <c r="E2051" s="730">
        <v>0</v>
      </c>
      <c r="F2051" s="558" t="s">
        <v>4430</v>
      </c>
      <c r="G2051" s="558" t="s">
        <v>124</v>
      </c>
      <c r="H2051" s="558" t="s">
        <v>3451</v>
      </c>
      <c r="I2051" s="679" t="s">
        <v>22</v>
      </c>
      <c r="J2051" s="676" t="s">
        <v>5873</v>
      </c>
      <c r="K2051" s="676">
        <v>3500</v>
      </c>
      <c r="M2051" t="str">
        <f>""</f>
        <v/>
      </c>
    </row>
    <row r="2052" spans="1:13" ht="15.75">
      <c r="A2052">
        <v>2019</v>
      </c>
      <c r="B2052" s="777">
        <v>43503</v>
      </c>
      <c r="C2052" s="730">
        <v>0.31874999999999998</v>
      </c>
      <c r="D2052" s="777">
        <v>43503</v>
      </c>
      <c r="E2052" s="730">
        <v>0.31944444444444442</v>
      </c>
      <c r="F2052" s="558" t="s">
        <v>48</v>
      </c>
      <c r="G2052" s="558" t="s">
        <v>63</v>
      </c>
      <c r="H2052" s="558" t="s">
        <v>3411</v>
      </c>
      <c r="I2052" s="679" t="s">
        <v>2990</v>
      </c>
      <c r="J2052" s="676">
        <v>3</v>
      </c>
      <c r="K2052" s="676">
        <v>3370</v>
      </c>
      <c r="M2052" t="str">
        <f>""</f>
        <v/>
      </c>
    </row>
    <row r="2053" spans="1:13" ht="15.75">
      <c r="A2053">
        <v>2012</v>
      </c>
      <c r="B2053" s="777">
        <v>41140.362500000003</v>
      </c>
      <c r="C2053" s="730">
        <v>41140.362500000003</v>
      </c>
      <c r="D2053" s="777">
        <v>41140.505555555559</v>
      </c>
      <c r="E2053" s="730">
        <v>41140.505555555559</v>
      </c>
      <c r="F2053" s="558" t="s">
        <v>376</v>
      </c>
      <c r="G2053" s="558" t="s">
        <v>124</v>
      </c>
      <c r="H2053" s="558" t="s">
        <v>5873</v>
      </c>
      <c r="I2053" s="679" t="s">
        <v>2150</v>
      </c>
      <c r="J2053" s="676">
        <v>12</v>
      </c>
      <c r="K2053" s="676">
        <v>3314</v>
      </c>
      <c r="M2053" t="str">
        <f>""</f>
        <v/>
      </c>
    </row>
    <row r="2054" spans="1:13" ht="15.75">
      <c r="A2054">
        <v>2020</v>
      </c>
      <c r="B2054" s="777">
        <v>43891</v>
      </c>
      <c r="C2054" s="730">
        <v>0.47708333333333336</v>
      </c>
      <c r="D2054" s="777">
        <v>43891</v>
      </c>
      <c r="E2054" s="730">
        <v>0.90763888888888888</v>
      </c>
      <c r="F2054" s="558" t="s">
        <v>4135</v>
      </c>
      <c r="G2054" s="558" t="s">
        <v>63</v>
      </c>
      <c r="H2054" s="558" t="s">
        <v>3411</v>
      </c>
      <c r="I2054" s="679" t="s">
        <v>2483</v>
      </c>
      <c r="J2054" s="676">
        <v>19</v>
      </c>
      <c r="K2054" s="676">
        <v>3136</v>
      </c>
      <c r="M2054" t="str">
        <f>""</f>
        <v/>
      </c>
    </row>
    <row r="2055" spans="1:13" ht="15.75">
      <c r="A2055">
        <v>2020</v>
      </c>
      <c r="B2055" s="777">
        <v>43852</v>
      </c>
      <c r="C2055" s="730">
        <v>0.12291666666666666</v>
      </c>
      <c r="D2055" s="777">
        <v>43852</v>
      </c>
      <c r="E2055" s="730">
        <v>0.13680555555555557</v>
      </c>
      <c r="F2055" s="558" t="s">
        <v>4091</v>
      </c>
      <c r="G2055" s="558" t="s">
        <v>124</v>
      </c>
      <c r="H2055" s="558" t="s">
        <v>3356</v>
      </c>
      <c r="I2055" s="679" t="s">
        <v>2293</v>
      </c>
      <c r="J2055" s="676">
        <v>7</v>
      </c>
      <c r="K2055" s="676">
        <v>3120</v>
      </c>
      <c r="M2055" t="str">
        <f>""</f>
        <v/>
      </c>
    </row>
    <row r="2056" spans="1:13" ht="15.75">
      <c r="A2056">
        <v>2022</v>
      </c>
      <c r="B2056" s="777">
        <v>44746</v>
      </c>
      <c r="C2056" s="730">
        <v>0.76458333333333328</v>
      </c>
      <c r="D2056" s="777" t="s">
        <v>5873</v>
      </c>
      <c r="E2056" s="730" t="s">
        <v>5873</v>
      </c>
      <c r="F2056" s="558" t="s">
        <v>5418</v>
      </c>
      <c r="G2056" s="558" t="s">
        <v>124</v>
      </c>
      <c r="H2056" s="558" t="s">
        <v>2839</v>
      </c>
      <c r="I2056" s="679" t="s">
        <v>2764</v>
      </c>
      <c r="J2056" s="676">
        <v>3</v>
      </c>
      <c r="K2056" s="676">
        <v>3001</v>
      </c>
      <c r="M2056" t="str">
        <f>""</f>
        <v/>
      </c>
    </row>
    <row r="2057" spans="1:13" ht="15.75">
      <c r="A2057">
        <v>2019</v>
      </c>
      <c r="B2057" s="777">
        <v>43652</v>
      </c>
      <c r="C2057" s="730">
        <v>0.91666666666666663</v>
      </c>
      <c r="D2057" s="777">
        <v>43653</v>
      </c>
      <c r="E2057" s="730">
        <v>0.58125000000000004</v>
      </c>
      <c r="F2057" s="558" t="s">
        <v>3850</v>
      </c>
      <c r="G2057" s="558" t="s">
        <v>63</v>
      </c>
      <c r="H2057" s="558" t="s">
        <v>3463</v>
      </c>
      <c r="I2057" s="679" t="s">
        <v>100</v>
      </c>
      <c r="J2057" s="676" t="s">
        <v>5873</v>
      </c>
      <c r="K2057" s="676">
        <v>3000</v>
      </c>
      <c r="M2057" t="str">
        <f>""</f>
        <v/>
      </c>
    </row>
    <row r="2058" spans="1:13" ht="15.75">
      <c r="A2058">
        <v>2022</v>
      </c>
      <c r="B2058" s="777">
        <v>44804</v>
      </c>
      <c r="C2058" s="730">
        <v>0.4152777777777778</v>
      </c>
      <c r="D2058" s="777">
        <v>44804</v>
      </c>
      <c r="E2058" s="730">
        <v>0.51041666666666663</v>
      </c>
      <c r="F2058" s="558" t="s">
        <v>4019</v>
      </c>
      <c r="G2058" s="558" t="s">
        <v>63</v>
      </c>
      <c r="H2058" s="558" t="s">
        <v>3402</v>
      </c>
      <c r="I2058" s="679" t="s">
        <v>100</v>
      </c>
      <c r="J2058" s="676">
        <v>10</v>
      </c>
      <c r="K2058" s="676">
        <v>3000</v>
      </c>
      <c r="M2058" t="str">
        <f>""</f>
        <v/>
      </c>
    </row>
    <row r="2059" spans="1:13" ht="15.75">
      <c r="A2059">
        <v>2014</v>
      </c>
      <c r="B2059" s="777">
        <v>41921</v>
      </c>
      <c r="C2059" s="730">
        <v>0.39374999999999999</v>
      </c>
      <c r="D2059" s="777" t="s">
        <v>5873</v>
      </c>
      <c r="E2059" s="730" t="s">
        <v>5873</v>
      </c>
      <c r="F2059" s="558" t="s">
        <v>2665</v>
      </c>
      <c r="G2059" s="558" t="s">
        <v>1352</v>
      </c>
      <c r="H2059" s="558" t="s">
        <v>5873</v>
      </c>
      <c r="I2059" s="679" t="s">
        <v>2221</v>
      </c>
      <c r="J2059" s="676" t="s">
        <v>5873</v>
      </c>
      <c r="K2059" s="676">
        <v>2800</v>
      </c>
      <c r="M2059" t="str">
        <f>""</f>
        <v/>
      </c>
    </row>
    <row r="2060" spans="1:13" ht="15.75">
      <c r="A2060">
        <v>2016</v>
      </c>
      <c r="B2060" s="777">
        <v>42426</v>
      </c>
      <c r="C2060" s="730">
        <v>0.69097222222222221</v>
      </c>
      <c r="D2060" s="777">
        <v>42426</v>
      </c>
      <c r="E2060" s="730">
        <v>0.84861111111111109</v>
      </c>
      <c r="F2060" s="558" t="s">
        <v>2844</v>
      </c>
      <c r="G2060" s="558" t="s">
        <v>124</v>
      </c>
      <c r="H2060" s="558" t="s">
        <v>2150</v>
      </c>
      <c r="I2060" s="679" t="s">
        <v>2845</v>
      </c>
      <c r="J2060" s="676">
        <v>2</v>
      </c>
      <c r="K2060" s="676">
        <v>2713</v>
      </c>
      <c r="M2060" t="str">
        <f>""</f>
        <v/>
      </c>
    </row>
    <row r="2061" spans="1:13" ht="15.75">
      <c r="A2061" s="728">
        <v>2010</v>
      </c>
      <c r="B2061" s="777">
        <v>40478</v>
      </c>
      <c r="C2061" s="730">
        <v>0.71944444444444444</v>
      </c>
      <c r="D2061" s="777">
        <v>40478</v>
      </c>
      <c r="E2061" s="730">
        <v>0.7270833333333333</v>
      </c>
      <c r="F2061" s="558" t="s">
        <v>141</v>
      </c>
      <c r="G2061" s="558" t="s">
        <v>124</v>
      </c>
      <c r="H2061" s="558" t="s">
        <v>5873</v>
      </c>
      <c r="I2061" s="679" t="s">
        <v>2066</v>
      </c>
      <c r="J2061" s="676">
        <v>16</v>
      </c>
      <c r="K2061" s="676">
        <v>2674</v>
      </c>
      <c r="M2061" t="str">
        <f>""</f>
        <v/>
      </c>
    </row>
    <row r="2062" spans="1:13" ht="15.75">
      <c r="A2062" s="728">
        <v>2010</v>
      </c>
      <c r="B2062" s="777">
        <v>40335</v>
      </c>
      <c r="C2062" s="730">
        <v>0.19791666666666666</v>
      </c>
      <c r="D2062" s="777">
        <v>40335</v>
      </c>
      <c r="E2062" s="730">
        <v>0.2326388888888889</v>
      </c>
      <c r="F2062" s="558" t="s">
        <v>141</v>
      </c>
      <c r="G2062" s="558" t="s">
        <v>124</v>
      </c>
      <c r="H2062" s="558" t="s">
        <v>5873</v>
      </c>
      <c r="I2062" s="679" t="s">
        <v>1359</v>
      </c>
      <c r="J2062" s="676">
        <v>3</v>
      </c>
      <c r="K2062" s="676">
        <v>2650</v>
      </c>
      <c r="M2062" t="str">
        <f>""</f>
        <v/>
      </c>
    </row>
    <row r="2063" spans="1:13" ht="15.75">
      <c r="A2063">
        <v>2023</v>
      </c>
      <c r="B2063" s="777">
        <v>44978</v>
      </c>
      <c r="C2063" s="730">
        <v>0.55138888888888893</v>
      </c>
      <c r="D2063" s="777">
        <v>44978</v>
      </c>
      <c r="E2063" s="730">
        <v>0.60833333333333328</v>
      </c>
      <c r="F2063" s="558" t="s">
        <v>5745</v>
      </c>
      <c r="G2063" s="558" t="s">
        <v>63</v>
      </c>
      <c r="H2063" s="558" t="s">
        <v>2910</v>
      </c>
      <c r="I2063" s="679" t="s">
        <v>5075</v>
      </c>
      <c r="J2063" s="676" t="s">
        <v>5873</v>
      </c>
      <c r="K2063" s="676">
        <v>2547</v>
      </c>
      <c r="M2063" t="str">
        <f>""</f>
        <v/>
      </c>
    </row>
    <row r="2064" spans="1:13" ht="15.75">
      <c r="A2064">
        <v>2011</v>
      </c>
      <c r="B2064" s="777">
        <v>40897</v>
      </c>
      <c r="C2064" s="730">
        <v>0.32291666666666669</v>
      </c>
      <c r="D2064" s="777">
        <v>40897</v>
      </c>
      <c r="E2064" s="730">
        <v>0.36458333333333331</v>
      </c>
      <c r="F2064" s="558" t="s">
        <v>2337</v>
      </c>
      <c r="G2064" s="558" t="s">
        <v>124</v>
      </c>
      <c r="H2064" s="558" t="s">
        <v>5873</v>
      </c>
      <c r="I2064" s="679" t="s">
        <v>2150</v>
      </c>
      <c r="J2064" s="676">
        <v>12</v>
      </c>
      <c r="K2064" s="676">
        <v>2500</v>
      </c>
      <c r="M2064" t="str">
        <f>""</f>
        <v/>
      </c>
    </row>
    <row r="2065" spans="1:13" ht="15.75">
      <c r="A2065">
        <v>2013</v>
      </c>
      <c r="B2065" s="777">
        <v>41460</v>
      </c>
      <c r="C2065" s="730">
        <v>3.472222222222222E-3</v>
      </c>
      <c r="D2065" s="777">
        <v>41460</v>
      </c>
      <c r="E2065" s="730">
        <v>7.7083333333333337E-2</v>
      </c>
      <c r="F2065" s="558" t="s">
        <v>18</v>
      </c>
      <c r="G2065" s="558" t="s">
        <v>124</v>
      </c>
      <c r="H2065" s="558" t="s">
        <v>5873</v>
      </c>
      <c r="I2065" s="679" t="s">
        <v>2444</v>
      </c>
      <c r="J2065" s="676" t="s">
        <v>5873</v>
      </c>
      <c r="K2065" s="676">
        <v>2500</v>
      </c>
      <c r="M2065" t="str">
        <f>""</f>
        <v/>
      </c>
    </row>
    <row r="2066" spans="1:13" ht="15.75">
      <c r="A2066">
        <v>2018</v>
      </c>
      <c r="B2066" s="777">
        <v>43365</v>
      </c>
      <c r="C2066" s="730">
        <v>0.64097222222222228</v>
      </c>
      <c r="D2066" s="777">
        <v>43365</v>
      </c>
      <c r="E2066" s="730">
        <v>0.95833333333333337</v>
      </c>
      <c r="F2066" s="558" t="s">
        <v>2967</v>
      </c>
      <c r="G2066" s="558" t="s">
        <v>124</v>
      </c>
      <c r="H2066" s="558" t="s">
        <v>3411</v>
      </c>
      <c r="I2066" s="679" t="s">
        <v>3416</v>
      </c>
      <c r="J2066" s="676">
        <v>3507</v>
      </c>
      <c r="K2066" s="676">
        <v>2500</v>
      </c>
      <c r="M2066" t="str">
        <f>""</f>
        <v/>
      </c>
    </row>
    <row r="2067" spans="1:13" ht="15.75">
      <c r="A2067">
        <v>2022</v>
      </c>
      <c r="B2067" s="777">
        <v>44739</v>
      </c>
      <c r="C2067" s="730">
        <v>0.60138888888888886</v>
      </c>
      <c r="D2067" s="777">
        <v>44740</v>
      </c>
      <c r="E2067" s="730">
        <v>0.16388888888888889</v>
      </c>
      <c r="F2067" s="558" t="s">
        <v>5409</v>
      </c>
      <c r="G2067" s="558" t="s">
        <v>1352</v>
      </c>
      <c r="H2067" s="558" t="s">
        <v>3411</v>
      </c>
      <c r="I2067" s="679" t="s">
        <v>22</v>
      </c>
      <c r="J2067" s="676">
        <v>14</v>
      </c>
      <c r="K2067" s="676">
        <v>2491</v>
      </c>
      <c r="M2067" t="str">
        <f>""</f>
        <v/>
      </c>
    </row>
    <row r="2068" spans="1:13" ht="15.75">
      <c r="A2068">
        <v>2022</v>
      </c>
      <c r="B2068" s="777">
        <v>44664</v>
      </c>
      <c r="C2068" s="730">
        <v>0.9194444444444444</v>
      </c>
      <c r="D2068" s="777">
        <v>44665</v>
      </c>
      <c r="E2068" s="730">
        <v>1.3888888888888889E-3</v>
      </c>
      <c r="F2068" s="558" t="s">
        <v>5294</v>
      </c>
      <c r="G2068" s="558" t="s">
        <v>63</v>
      </c>
      <c r="H2068" s="558" t="s">
        <v>3411</v>
      </c>
      <c r="I2068" s="679" t="s">
        <v>2764</v>
      </c>
      <c r="J2068" s="676">
        <v>7</v>
      </c>
      <c r="K2068" s="676">
        <v>2429</v>
      </c>
      <c r="M2068" t="str">
        <f>""</f>
        <v/>
      </c>
    </row>
    <row r="2069" spans="1:13" ht="15.75">
      <c r="A2069">
        <v>2018</v>
      </c>
      <c r="B2069" s="777">
        <v>43377</v>
      </c>
      <c r="C2069" s="730">
        <v>0.25</v>
      </c>
      <c r="D2069" s="777">
        <v>43377</v>
      </c>
      <c r="E2069" s="730">
        <v>0.33333333333333331</v>
      </c>
      <c r="F2069" s="558" t="s">
        <v>3496</v>
      </c>
      <c r="G2069" s="558" t="s">
        <v>3347</v>
      </c>
      <c r="H2069" s="558" t="s">
        <v>3402</v>
      </c>
      <c r="I2069" s="679" t="s">
        <v>100</v>
      </c>
      <c r="J2069" s="676">
        <v>4</v>
      </c>
      <c r="K2069" s="676">
        <v>2089</v>
      </c>
      <c r="M2069" t="str">
        <f>""</f>
        <v/>
      </c>
    </row>
    <row r="2070" spans="1:13" ht="15.75">
      <c r="A2070">
        <v>2019</v>
      </c>
      <c r="B2070" s="777">
        <v>43657</v>
      </c>
      <c r="C2070" s="730">
        <v>0.46388888888888891</v>
      </c>
      <c r="D2070" s="777">
        <v>43657</v>
      </c>
      <c r="E2070" s="730">
        <v>0.46736111111111112</v>
      </c>
      <c r="F2070" s="558" t="s">
        <v>3858</v>
      </c>
      <c r="G2070" s="558" t="s">
        <v>1352</v>
      </c>
      <c r="H2070" s="558" t="s">
        <v>3411</v>
      </c>
      <c r="I2070" s="679" t="s">
        <v>2483</v>
      </c>
      <c r="J2070" s="676">
        <v>26</v>
      </c>
      <c r="K2070" s="676">
        <v>2043</v>
      </c>
      <c r="M2070" t="str">
        <f>""</f>
        <v/>
      </c>
    </row>
    <row r="2071" spans="1:13" ht="15.75">
      <c r="A2071">
        <v>2012</v>
      </c>
      <c r="B2071" s="777">
        <v>41196.441666666666</v>
      </c>
      <c r="C2071" s="730">
        <v>41196.441666666666</v>
      </c>
      <c r="D2071" s="777">
        <v>41196.451388888891</v>
      </c>
      <c r="E2071" s="730">
        <v>41196.451388888891</v>
      </c>
      <c r="F2071" s="558" t="s">
        <v>141</v>
      </c>
      <c r="G2071" s="558" t="s">
        <v>124</v>
      </c>
      <c r="H2071" s="558" t="s">
        <v>5873</v>
      </c>
      <c r="I2071" s="679" t="s">
        <v>2037</v>
      </c>
      <c r="J2071" s="676">
        <v>3</v>
      </c>
      <c r="K2071" s="676">
        <v>2035</v>
      </c>
      <c r="M2071" t="str">
        <f>""</f>
        <v/>
      </c>
    </row>
    <row r="2072" spans="1:13" ht="15.75">
      <c r="A2072">
        <v>2020</v>
      </c>
      <c r="B2072" s="777">
        <v>44013</v>
      </c>
      <c r="C2072" s="730">
        <v>0.80972222222222223</v>
      </c>
      <c r="D2072" s="777">
        <v>44013</v>
      </c>
      <c r="E2072" s="730">
        <v>0.82222222222222219</v>
      </c>
      <c r="F2072" s="558" t="s">
        <v>3245</v>
      </c>
      <c r="G2072" s="558" t="s">
        <v>3143</v>
      </c>
      <c r="H2072" s="558" t="s">
        <v>3411</v>
      </c>
      <c r="I2072" s="679" t="s">
        <v>2483</v>
      </c>
      <c r="J2072" s="676">
        <v>32</v>
      </c>
      <c r="K2072" s="676">
        <v>2013</v>
      </c>
      <c r="M2072" t="str">
        <f>""</f>
        <v/>
      </c>
    </row>
    <row r="2073" spans="1:13" ht="15.75">
      <c r="A2073">
        <v>2011</v>
      </c>
      <c r="B2073" s="777">
        <v>40833</v>
      </c>
      <c r="C2073" s="730">
        <v>0.65555555555555556</v>
      </c>
      <c r="D2073" s="777">
        <v>40833</v>
      </c>
      <c r="E2073" s="730">
        <v>0.65555555555555556</v>
      </c>
      <c r="F2073" s="558" t="s">
        <v>1472</v>
      </c>
      <c r="G2073" s="558" t="s">
        <v>826</v>
      </c>
      <c r="H2073" s="558" t="s">
        <v>5873</v>
      </c>
      <c r="I2073" s="679" t="s">
        <v>100</v>
      </c>
      <c r="J2073" s="676">
        <v>7</v>
      </c>
      <c r="K2073" s="676">
        <v>2000</v>
      </c>
      <c r="M2073" t="str">
        <f>""</f>
        <v/>
      </c>
    </row>
    <row r="2074" spans="1:13" ht="15.75">
      <c r="A2074">
        <v>2019</v>
      </c>
      <c r="B2074" s="777">
        <v>43713</v>
      </c>
      <c r="C2074" s="730">
        <v>0.91666666666666663</v>
      </c>
      <c r="D2074" s="777">
        <v>43714</v>
      </c>
      <c r="E2074" s="730">
        <v>0.5</v>
      </c>
      <c r="F2074" s="558" t="s">
        <v>2928</v>
      </c>
      <c r="G2074" s="558" t="s">
        <v>63</v>
      </c>
      <c r="H2074" s="558" t="s">
        <v>3451</v>
      </c>
      <c r="I2074" s="679" t="s">
        <v>22</v>
      </c>
      <c r="J2074" s="676">
        <v>3</v>
      </c>
      <c r="K2074" s="676">
        <v>2000</v>
      </c>
      <c r="M2074" t="str">
        <f>""</f>
        <v/>
      </c>
    </row>
    <row r="2075" spans="1:13" ht="15.75">
      <c r="A2075">
        <v>2020</v>
      </c>
      <c r="B2075" s="777">
        <v>44187</v>
      </c>
      <c r="C2075" s="730">
        <v>9.7222222222222224E-2</v>
      </c>
      <c r="D2075" s="777">
        <v>44187</v>
      </c>
      <c r="E2075" s="730">
        <v>9.7916666666666666E-2</v>
      </c>
      <c r="F2075" s="558" t="s">
        <v>3903</v>
      </c>
      <c r="G2075" s="558" t="s">
        <v>124</v>
      </c>
      <c r="H2075" s="558" t="s">
        <v>3402</v>
      </c>
      <c r="I2075" s="679" t="s">
        <v>100</v>
      </c>
      <c r="J2075" s="676">
        <v>0</v>
      </c>
      <c r="K2075" s="676">
        <v>2000</v>
      </c>
      <c r="M2075" t="str">
        <f>""</f>
        <v/>
      </c>
    </row>
    <row r="2076" spans="1:13" ht="15.75">
      <c r="A2076">
        <v>2021</v>
      </c>
      <c r="B2076" s="777">
        <v>44204</v>
      </c>
      <c r="C2076" s="730">
        <v>5.9722222222222225E-2</v>
      </c>
      <c r="D2076" s="777">
        <v>44204</v>
      </c>
      <c r="E2076" s="730">
        <v>0.11458333333333333</v>
      </c>
      <c r="F2076" s="558" t="s">
        <v>4645</v>
      </c>
      <c r="G2076" s="558" t="s">
        <v>63</v>
      </c>
      <c r="H2076" s="558" t="s">
        <v>3356</v>
      </c>
      <c r="I2076" s="679" t="s">
        <v>2343</v>
      </c>
      <c r="J2076" s="676" t="s">
        <v>5873</v>
      </c>
      <c r="K2076" s="676">
        <v>1908</v>
      </c>
      <c r="M2076" t="str">
        <f>""</f>
        <v/>
      </c>
    </row>
    <row r="2077" spans="1:13" ht="15.75">
      <c r="A2077">
        <v>2021</v>
      </c>
      <c r="B2077" s="777">
        <v>44363</v>
      </c>
      <c r="C2077" s="730">
        <v>0.44444444444444442</v>
      </c>
      <c r="D2077" s="777">
        <v>44363</v>
      </c>
      <c r="E2077" s="730">
        <v>0.4465277777777778</v>
      </c>
      <c r="F2077" s="558" t="s">
        <v>4873</v>
      </c>
      <c r="G2077" s="558" t="s">
        <v>63</v>
      </c>
      <c r="H2077" s="558" t="s">
        <v>3411</v>
      </c>
      <c r="I2077" s="679" t="s">
        <v>2483</v>
      </c>
      <c r="J2077" s="676">
        <v>7</v>
      </c>
      <c r="K2077" s="676">
        <v>1841</v>
      </c>
      <c r="M2077" t="str">
        <f>""</f>
        <v/>
      </c>
    </row>
    <row r="2078" spans="1:13" ht="15.75">
      <c r="A2078">
        <v>2022</v>
      </c>
      <c r="B2078" s="777">
        <v>44876</v>
      </c>
      <c r="C2078" s="730">
        <v>7.013888888888889E-2</v>
      </c>
      <c r="D2078" s="777">
        <v>44879</v>
      </c>
      <c r="E2078" s="730">
        <v>0.58333333333333337</v>
      </c>
      <c r="F2078" s="558" t="s">
        <v>5591</v>
      </c>
      <c r="G2078" s="558" t="s">
        <v>3143</v>
      </c>
      <c r="H2078" s="558" t="s">
        <v>3356</v>
      </c>
      <c r="I2078" s="679" t="s">
        <v>5075</v>
      </c>
      <c r="J2078" s="676">
        <v>7</v>
      </c>
      <c r="K2078" s="676">
        <v>1775</v>
      </c>
      <c r="M2078" t="str">
        <f>""</f>
        <v/>
      </c>
    </row>
    <row r="2079" spans="1:13" ht="15.75">
      <c r="A2079">
        <v>2022</v>
      </c>
      <c r="B2079" s="777">
        <v>44563</v>
      </c>
      <c r="C2079" s="730">
        <v>0.55625000000000002</v>
      </c>
      <c r="D2079" s="777">
        <v>44563</v>
      </c>
      <c r="E2079" s="730">
        <v>0.73472222222222228</v>
      </c>
      <c r="F2079" s="558" t="s">
        <v>4776</v>
      </c>
      <c r="G2079" s="558" t="s">
        <v>124</v>
      </c>
      <c r="H2079" s="558" t="s">
        <v>2839</v>
      </c>
      <c r="I2079" s="679" t="s">
        <v>22</v>
      </c>
      <c r="J2079" s="676">
        <v>3</v>
      </c>
      <c r="K2079" s="676">
        <v>1706</v>
      </c>
      <c r="M2079" t="str">
        <f>""</f>
        <v/>
      </c>
    </row>
    <row r="2080" spans="1:13" ht="15.75">
      <c r="A2080">
        <v>2016</v>
      </c>
      <c r="B2080" s="777">
        <v>42655</v>
      </c>
      <c r="C2080" s="730">
        <v>0.50624999999999998</v>
      </c>
      <c r="D2080" s="777">
        <v>42655</v>
      </c>
      <c r="E2080" s="730">
        <v>0.55277777777777781</v>
      </c>
      <c r="F2080" s="558" t="s">
        <v>2817</v>
      </c>
      <c r="G2080" s="558" t="s">
        <v>124</v>
      </c>
      <c r="H2080" s="558" t="s">
        <v>2910</v>
      </c>
      <c r="I2080" s="679" t="s">
        <v>100</v>
      </c>
      <c r="J2080" s="676">
        <v>4</v>
      </c>
      <c r="K2080" s="676">
        <v>1671</v>
      </c>
      <c r="M2080" t="str">
        <f>""</f>
        <v/>
      </c>
    </row>
    <row r="2081" spans="1:13" ht="15.75">
      <c r="A2081">
        <v>2023</v>
      </c>
      <c r="B2081" s="777">
        <v>44931</v>
      </c>
      <c r="C2081" s="730">
        <v>0.34652777777777777</v>
      </c>
      <c r="D2081" s="777">
        <v>44931</v>
      </c>
      <c r="E2081" s="730">
        <v>0.34722222222222221</v>
      </c>
      <c r="F2081" s="558" t="s">
        <v>5684</v>
      </c>
      <c r="G2081" s="558" t="s">
        <v>63</v>
      </c>
      <c r="H2081" s="558" t="s">
        <v>2839</v>
      </c>
      <c r="I2081" s="679" t="s">
        <v>2483</v>
      </c>
      <c r="J2081" s="676">
        <v>23</v>
      </c>
      <c r="K2081" s="676">
        <v>1631</v>
      </c>
      <c r="M2081" t="str">
        <f>""</f>
        <v/>
      </c>
    </row>
    <row r="2082" spans="1:13" ht="15.75">
      <c r="A2082">
        <v>2020</v>
      </c>
      <c r="B2082" s="777">
        <v>43919</v>
      </c>
      <c r="C2082" s="730">
        <v>0.8520833333333333</v>
      </c>
      <c r="D2082" s="777">
        <v>43919</v>
      </c>
      <c r="E2082" s="730">
        <v>0.96111111111111114</v>
      </c>
      <c r="F2082" s="558" t="s">
        <v>3850</v>
      </c>
      <c r="G2082" s="558" t="s">
        <v>63</v>
      </c>
      <c r="H2082" s="558" t="s">
        <v>3411</v>
      </c>
      <c r="I2082" s="679" t="s">
        <v>2483</v>
      </c>
      <c r="J2082" s="676">
        <v>4</v>
      </c>
      <c r="K2082" s="676">
        <v>1558</v>
      </c>
      <c r="M2082" t="str">
        <f>""</f>
        <v/>
      </c>
    </row>
    <row r="2083" spans="1:13" ht="15.75">
      <c r="A2083">
        <v>2022</v>
      </c>
      <c r="B2083" s="777">
        <v>44825</v>
      </c>
      <c r="C2083" s="730">
        <v>0.67986111111111114</v>
      </c>
      <c r="D2083" s="777">
        <v>44825</v>
      </c>
      <c r="E2083" s="730">
        <v>0.75069444444444444</v>
      </c>
      <c r="F2083" s="558" t="s">
        <v>5522</v>
      </c>
      <c r="G2083" s="558" t="s">
        <v>5015</v>
      </c>
      <c r="H2083" s="558" t="s">
        <v>3356</v>
      </c>
      <c r="I2083" s="679" t="s">
        <v>100</v>
      </c>
      <c r="J2083" s="676" t="s">
        <v>5873</v>
      </c>
      <c r="K2083" s="676">
        <v>1521</v>
      </c>
      <c r="M2083" t="str">
        <f>""</f>
        <v/>
      </c>
    </row>
    <row r="2084" spans="1:13" ht="15.75">
      <c r="A2084">
        <v>2015</v>
      </c>
      <c r="B2084" s="777">
        <v>42369</v>
      </c>
      <c r="C2084" s="730">
        <v>0.70833333333333337</v>
      </c>
      <c r="D2084" s="777">
        <v>42369</v>
      </c>
      <c r="E2084" s="730">
        <v>0.90277777777777779</v>
      </c>
      <c r="F2084" s="558" t="s">
        <v>2824</v>
      </c>
      <c r="G2084" s="558" t="s">
        <v>58</v>
      </c>
      <c r="H2084" s="558" t="s">
        <v>2744</v>
      </c>
      <c r="I2084" s="679" t="s">
        <v>22</v>
      </c>
      <c r="J2084" s="676">
        <v>8</v>
      </c>
      <c r="K2084" s="676">
        <v>1500</v>
      </c>
      <c r="M2084" t="str">
        <f>""</f>
        <v/>
      </c>
    </row>
    <row r="2085" spans="1:13" ht="15.75">
      <c r="A2085">
        <v>2022</v>
      </c>
      <c r="B2085" s="777">
        <v>44883</v>
      </c>
      <c r="C2085" s="730">
        <v>0.1875</v>
      </c>
      <c r="D2085" s="777">
        <v>44883</v>
      </c>
      <c r="E2085" s="730">
        <v>0.2076388888888889</v>
      </c>
      <c r="F2085" s="558" t="s">
        <v>5596</v>
      </c>
      <c r="G2085" s="558" t="s">
        <v>124</v>
      </c>
      <c r="H2085" s="558" t="s">
        <v>3356</v>
      </c>
      <c r="I2085" s="679" t="s">
        <v>5075</v>
      </c>
      <c r="J2085" s="676">
        <v>3</v>
      </c>
      <c r="K2085" s="676">
        <v>1454</v>
      </c>
      <c r="M2085" t="str">
        <f>""</f>
        <v/>
      </c>
    </row>
    <row r="2086" spans="1:13" ht="15.75">
      <c r="A2086">
        <v>2022</v>
      </c>
      <c r="B2086" s="777">
        <v>44616</v>
      </c>
      <c r="C2086" s="730">
        <v>0.43402777777777779</v>
      </c>
      <c r="D2086" s="777">
        <v>44616</v>
      </c>
      <c r="E2086" s="730">
        <v>0.43819444444444444</v>
      </c>
      <c r="F2086" s="558" t="s">
        <v>5089</v>
      </c>
      <c r="G2086" s="558" t="s">
        <v>1352</v>
      </c>
      <c r="H2086" s="558" t="s">
        <v>3411</v>
      </c>
      <c r="I2086" s="679" t="s">
        <v>2483</v>
      </c>
      <c r="J2086" s="676">
        <v>3</v>
      </c>
      <c r="K2086" s="676">
        <v>1405</v>
      </c>
      <c r="M2086" t="str">
        <f>""</f>
        <v/>
      </c>
    </row>
    <row r="2087" spans="1:13" ht="15.75">
      <c r="A2087">
        <v>2021</v>
      </c>
      <c r="B2087" s="777">
        <v>44230</v>
      </c>
      <c r="C2087" s="730">
        <v>0.59861111111111109</v>
      </c>
      <c r="D2087" s="777">
        <v>44231</v>
      </c>
      <c r="E2087" s="730">
        <v>0.93888888888888888</v>
      </c>
      <c r="F2087" s="558" t="s">
        <v>4690</v>
      </c>
      <c r="G2087" s="558" t="s">
        <v>674</v>
      </c>
      <c r="H2087" s="558" t="s">
        <v>3411</v>
      </c>
      <c r="I2087" s="679" t="s">
        <v>2483</v>
      </c>
      <c r="J2087" s="676">
        <v>7</v>
      </c>
      <c r="K2087" s="676">
        <v>1400</v>
      </c>
      <c r="M2087" t="str">
        <f>""</f>
        <v/>
      </c>
    </row>
    <row r="2088" spans="1:13" ht="15.75">
      <c r="A2088">
        <v>2019</v>
      </c>
      <c r="B2088" s="777">
        <v>43698</v>
      </c>
      <c r="C2088" s="730">
        <v>0.33055555555555555</v>
      </c>
      <c r="D2088" s="777" t="s">
        <v>5873</v>
      </c>
      <c r="E2088" s="730" t="s">
        <v>5873</v>
      </c>
      <c r="F2088" s="558" t="s">
        <v>2895</v>
      </c>
      <c r="G2088" s="558" t="s">
        <v>3143</v>
      </c>
      <c r="H2088" s="558" t="s">
        <v>3356</v>
      </c>
      <c r="I2088" s="679" t="s">
        <v>100</v>
      </c>
      <c r="J2088" s="676" t="s">
        <v>5873</v>
      </c>
      <c r="K2088" s="676">
        <v>1397</v>
      </c>
      <c r="M2088" t="str">
        <f>""</f>
        <v/>
      </c>
    </row>
    <row r="2089" spans="1:13" ht="15.75">
      <c r="A2089">
        <v>2022</v>
      </c>
      <c r="B2089" s="777">
        <v>44662</v>
      </c>
      <c r="C2089" s="730">
        <v>0.90069444444444446</v>
      </c>
      <c r="D2089" s="777">
        <v>44662</v>
      </c>
      <c r="E2089" s="730">
        <v>0.92638888888888893</v>
      </c>
      <c r="F2089" s="558" t="s">
        <v>2951</v>
      </c>
      <c r="G2089" s="558" t="s">
        <v>124</v>
      </c>
      <c r="H2089" s="558" t="s">
        <v>3356</v>
      </c>
      <c r="I2089" s="679" t="s">
        <v>2293</v>
      </c>
      <c r="J2089" s="676">
        <v>2</v>
      </c>
      <c r="K2089" s="676">
        <v>1337</v>
      </c>
      <c r="M2089" t="str">
        <f>""</f>
        <v/>
      </c>
    </row>
    <row r="2090" spans="1:13" ht="15.75">
      <c r="A2090">
        <v>2017</v>
      </c>
      <c r="B2090" s="777">
        <v>43081</v>
      </c>
      <c r="C2090" s="730">
        <v>9.8611111111111108E-2</v>
      </c>
      <c r="D2090" s="777">
        <v>43081</v>
      </c>
      <c r="E2090" s="730">
        <v>0.10069444444444445</v>
      </c>
      <c r="F2090" s="558" t="s">
        <v>3174</v>
      </c>
      <c r="G2090" s="558" t="s">
        <v>61</v>
      </c>
      <c r="H2090" s="558" t="s">
        <v>2910</v>
      </c>
      <c r="I2090" s="679" t="s">
        <v>2293</v>
      </c>
      <c r="J2090" s="676">
        <v>3</v>
      </c>
      <c r="K2090" s="676">
        <v>1208</v>
      </c>
      <c r="M2090" t="str">
        <f>""</f>
        <v/>
      </c>
    </row>
    <row r="2091" spans="1:13" ht="15.75">
      <c r="A2091">
        <v>2011</v>
      </c>
      <c r="B2091" s="777">
        <v>40782</v>
      </c>
      <c r="C2091" s="730">
        <v>8.3333333333333329E-2</v>
      </c>
      <c r="D2091" s="777">
        <v>40782</v>
      </c>
      <c r="E2091" s="730">
        <v>0.21875</v>
      </c>
      <c r="F2091" s="558" t="s">
        <v>2279</v>
      </c>
      <c r="G2091" s="558" t="s">
        <v>63</v>
      </c>
      <c r="H2091" s="558" t="s">
        <v>5873</v>
      </c>
      <c r="I2091" s="679" t="s">
        <v>2280</v>
      </c>
      <c r="J2091" s="676">
        <v>2</v>
      </c>
      <c r="K2091" s="676">
        <v>1200</v>
      </c>
      <c r="M2091" t="str">
        <f>""</f>
        <v/>
      </c>
    </row>
    <row r="2092" spans="1:13" ht="15.75">
      <c r="A2092">
        <v>2012</v>
      </c>
      <c r="B2092" s="777">
        <v>41269</v>
      </c>
      <c r="C2092" s="730">
        <v>0.61805555555555558</v>
      </c>
      <c r="D2092" s="777">
        <v>41269</v>
      </c>
      <c r="E2092" s="730">
        <v>0.81944444444444442</v>
      </c>
      <c r="F2092" s="558" t="s">
        <v>2480</v>
      </c>
      <c r="G2092" s="558" t="s">
        <v>63</v>
      </c>
      <c r="H2092" s="558" t="s">
        <v>5873</v>
      </c>
      <c r="I2092" s="679" t="s">
        <v>2481</v>
      </c>
      <c r="J2092" s="676">
        <v>3</v>
      </c>
      <c r="K2092" s="676">
        <v>1200</v>
      </c>
      <c r="M2092" t="str">
        <f>""</f>
        <v/>
      </c>
    </row>
    <row r="2093" spans="1:13" ht="15.75">
      <c r="A2093">
        <v>2018</v>
      </c>
      <c r="B2093" s="777">
        <v>43187</v>
      </c>
      <c r="C2093" s="730">
        <v>0.625</v>
      </c>
      <c r="D2093" s="777">
        <v>43187</v>
      </c>
      <c r="E2093" s="730">
        <v>0.66666666666666663</v>
      </c>
      <c r="F2093" s="558" t="s">
        <v>3284</v>
      </c>
      <c r="G2093" s="558" t="s">
        <v>124</v>
      </c>
      <c r="H2093" s="558" t="s">
        <v>2910</v>
      </c>
      <c r="I2093" s="679" t="s">
        <v>100</v>
      </c>
      <c r="J2093" s="676">
        <v>12</v>
      </c>
      <c r="K2093" s="676">
        <v>1185</v>
      </c>
      <c r="M2093" t="str">
        <f>""</f>
        <v/>
      </c>
    </row>
    <row r="2094" spans="1:13" ht="15.75">
      <c r="A2094">
        <v>2013</v>
      </c>
      <c r="B2094" s="777">
        <v>41446</v>
      </c>
      <c r="C2094" s="730">
        <v>0.31944444444444442</v>
      </c>
      <c r="D2094" s="777">
        <v>41446</v>
      </c>
      <c r="E2094" s="730">
        <v>0.50972222222222219</v>
      </c>
      <c r="F2094" s="558" t="s">
        <v>2556</v>
      </c>
      <c r="G2094" s="558" t="s">
        <v>124</v>
      </c>
      <c r="H2094" s="558" t="s">
        <v>5873</v>
      </c>
      <c r="I2094" s="679" t="s">
        <v>2557</v>
      </c>
      <c r="J2094" s="676" t="s">
        <v>5873</v>
      </c>
      <c r="K2094" s="676">
        <v>1100</v>
      </c>
      <c r="M2094" t="str">
        <f>""</f>
        <v/>
      </c>
    </row>
    <row r="2095" spans="1:13" ht="15.75">
      <c r="A2095">
        <v>2022</v>
      </c>
      <c r="B2095" s="777">
        <v>44745</v>
      </c>
      <c r="C2095" s="730">
        <v>0.4597222222222222</v>
      </c>
      <c r="D2095" s="777" t="s">
        <v>5873</v>
      </c>
      <c r="E2095" s="730" t="s">
        <v>5873</v>
      </c>
      <c r="F2095" s="558" t="s">
        <v>3357</v>
      </c>
      <c r="G2095" s="558" t="s">
        <v>124</v>
      </c>
      <c r="H2095" s="558" t="s">
        <v>3356</v>
      </c>
      <c r="I2095" s="679" t="s">
        <v>2293</v>
      </c>
      <c r="J2095" s="676" t="s">
        <v>5873</v>
      </c>
      <c r="K2095" s="676">
        <v>1079</v>
      </c>
      <c r="M2095" t="str">
        <f>""</f>
        <v/>
      </c>
    </row>
    <row r="2096" spans="1:13" ht="15.75">
      <c r="A2096">
        <v>2020</v>
      </c>
      <c r="B2096" s="777">
        <v>43913</v>
      </c>
      <c r="C2096" s="730">
        <v>0.59375</v>
      </c>
      <c r="D2096" s="777">
        <v>43913</v>
      </c>
      <c r="E2096" s="730">
        <v>0.69236111111111109</v>
      </c>
      <c r="F2096" s="558" t="s">
        <v>3325</v>
      </c>
      <c r="G2096" s="558" t="s">
        <v>63</v>
      </c>
      <c r="H2096" s="558" t="s">
        <v>3463</v>
      </c>
      <c r="I2096" s="679" t="s">
        <v>2343</v>
      </c>
      <c r="J2096" s="676" t="s">
        <v>5873</v>
      </c>
      <c r="K2096" s="676">
        <v>1018</v>
      </c>
      <c r="M2096" t="str">
        <f>""</f>
        <v/>
      </c>
    </row>
    <row r="2097" spans="1:13" ht="15.75">
      <c r="A2097">
        <v>2021</v>
      </c>
      <c r="B2097" s="777">
        <v>44374</v>
      </c>
      <c r="C2097" s="730">
        <v>0.84027777777777779</v>
      </c>
      <c r="D2097" s="777">
        <v>44374</v>
      </c>
      <c r="E2097" s="730">
        <v>0.89583333333333337</v>
      </c>
      <c r="F2097" s="558" t="s">
        <v>4886</v>
      </c>
      <c r="G2097" s="558" t="s">
        <v>674</v>
      </c>
      <c r="H2097" s="558" t="s">
        <v>3356</v>
      </c>
      <c r="I2097" s="679" t="s">
        <v>100</v>
      </c>
      <c r="J2097" s="676">
        <v>4</v>
      </c>
      <c r="K2097" s="676">
        <v>1003</v>
      </c>
      <c r="M2097" t="str">
        <f>""</f>
        <v/>
      </c>
    </row>
    <row r="2098" spans="1:13" ht="15.75">
      <c r="A2098">
        <v>2021</v>
      </c>
      <c r="B2098" s="777">
        <v>44374</v>
      </c>
      <c r="C2098" s="730">
        <v>0.10208333333333333</v>
      </c>
      <c r="D2098" s="777">
        <v>44374</v>
      </c>
      <c r="E2098" s="730">
        <v>0.14583333333333334</v>
      </c>
      <c r="F2098" s="558" t="s">
        <v>4888</v>
      </c>
      <c r="G2098" s="558" t="s">
        <v>61</v>
      </c>
      <c r="H2098" s="558" t="s">
        <v>3356</v>
      </c>
      <c r="I2098" s="679" t="s">
        <v>100</v>
      </c>
      <c r="J2098" s="676" t="s">
        <v>5873</v>
      </c>
      <c r="K2098" s="676">
        <v>982</v>
      </c>
      <c r="M2098" t="str">
        <f>""</f>
        <v/>
      </c>
    </row>
    <row r="2099" spans="1:13" ht="15.75">
      <c r="A2099">
        <v>2020</v>
      </c>
      <c r="B2099" s="777">
        <v>43945</v>
      </c>
      <c r="C2099" s="730">
        <v>0.875</v>
      </c>
      <c r="D2099" s="777">
        <v>43945</v>
      </c>
      <c r="E2099" s="730">
        <v>0.8979166666666667</v>
      </c>
      <c r="F2099" s="558" t="s">
        <v>4226</v>
      </c>
      <c r="G2099" s="558" t="s">
        <v>124</v>
      </c>
      <c r="H2099" s="558" t="s">
        <v>4071</v>
      </c>
      <c r="I2099" s="679" t="s">
        <v>2764</v>
      </c>
      <c r="J2099" s="676">
        <v>5</v>
      </c>
      <c r="K2099" s="676">
        <v>945</v>
      </c>
      <c r="M2099" t="str">
        <f>""</f>
        <v/>
      </c>
    </row>
    <row r="2100" spans="1:13" ht="15.75">
      <c r="A2100">
        <v>2021</v>
      </c>
      <c r="B2100" s="777">
        <v>44273</v>
      </c>
      <c r="C2100" s="730">
        <v>0.88055555555555554</v>
      </c>
      <c r="D2100" s="777">
        <v>44274</v>
      </c>
      <c r="E2100" s="730">
        <v>0.93819444444444444</v>
      </c>
      <c r="F2100" s="558" t="s">
        <v>4788</v>
      </c>
      <c r="G2100" s="558" t="s">
        <v>124</v>
      </c>
      <c r="H2100" s="558" t="s">
        <v>3356</v>
      </c>
      <c r="I2100" s="679" t="s">
        <v>100</v>
      </c>
      <c r="J2100" s="676">
        <v>4</v>
      </c>
      <c r="K2100" s="676">
        <v>916</v>
      </c>
      <c r="M2100" t="str">
        <f>""</f>
        <v/>
      </c>
    </row>
    <row r="2101" spans="1:13" ht="15.75">
      <c r="A2101">
        <v>2022</v>
      </c>
      <c r="B2101" s="777">
        <v>44562</v>
      </c>
      <c r="C2101" s="730">
        <v>4.1666666666666666E-3</v>
      </c>
      <c r="D2101" s="777">
        <v>44562</v>
      </c>
      <c r="E2101" s="730">
        <v>0.24374999999999999</v>
      </c>
      <c r="F2101" s="558" t="s">
        <v>5156</v>
      </c>
      <c r="G2101" s="558" t="s">
        <v>61</v>
      </c>
      <c r="H2101" s="558" t="s">
        <v>3356</v>
      </c>
      <c r="I2101" s="679" t="s">
        <v>2118</v>
      </c>
      <c r="J2101" s="676">
        <v>2</v>
      </c>
      <c r="K2101" s="676">
        <v>845</v>
      </c>
      <c r="M2101" t="str">
        <f>""</f>
        <v/>
      </c>
    </row>
    <row r="2102" spans="1:13" ht="15.75">
      <c r="A2102">
        <v>2017</v>
      </c>
      <c r="B2102" s="777">
        <v>42750</v>
      </c>
      <c r="C2102" s="730">
        <v>0.39374999999999999</v>
      </c>
      <c r="D2102" s="777">
        <v>42752</v>
      </c>
      <c r="E2102" s="730">
        <v>8.1944444444444445E-2</v>
      </c>
      <c r="F2102" s="558" t="s">
        <v>2970</v>
      </c>
      <c r="G2102" s="558" t="s">
        <v>58</v>
      </c>
      <c r="H2102" s="558" t="s">
        <v>2839</v>
      </c>
      <c r="I2102" s="679" t="s">
        <v>22</v>
      </c>
      <c r="J2102" s="676">
        <v>1</v>
      </c>
      <c r="K2102" s="676">
        <v>788</v>
      </c>
      <c r="M2102" t="str">
        <f>""</f>
        <v/>
      </c>
    </row>
    <row r="2103" spans="1:13" ht="15.75">
      <c r="A2103">
        <v>2015</v>
      </c>
      <c r="B2103" s="777">
        <v>42157</v>
      </c>
      <c r="C2103" s="730">
        <v>0.79027777777777775</v>
      </c>
      <c r="D2103" s="777">
        <v>42157</v>
      </c>
      <c r="E2103" s="730">
        <v>0.80833333333333335</v>
      </c>
      <c r="F2103" s="558" t="s">
        <v>18</v>
      </c>
      <c r="G2103" s="558" t="s">
        <v>124</v>
      </c>
      <c r="H2103" s="558" t="s">
        <v>2763</v>
      </c>
      <c r="I2103" s="679" t="s">
        <v>2764</v>
      </c>
      <c r="J2103" s="676">
        <v>5</v>
      </c>
      <c r="K2103" s="676">
        <v>727</v>
      </c>
      <c r="M2103" t="str">
        <f>""</f>
        <v/>
      </c>
    </row>
    <row r="2104" spans="1:13" ht="15.75">
      <c r="A2104">
        <v>2017</v>
      </c>
      <c r="B2104" s="777">
        <v>42934</v>
      </c>
      <c r="C2104" s="730">
        <v>0.16875000000000001</v>
      </c>
      <c r="D2104" s="777" t="s">
        <v>5873</v>
      </c>
      <c r="E2104" s="730" t="s">
        <v>5873</v>
      </c>
      <c r="F2104" s="558" t="s">
        <v>16</v>
      </c>
      <c r="G2104" s="558" t="s">
        <v>63</v>
      </c>
      <c r="H2104" s="558" t="s">
        <v>2910</v>
      </c>
      <c r="I2104" s="679" t="s">
        <v>2293</v>
      </c>
      <c r="J2104" s="676" t="s">
        <v>5873</v>
      </c>
      <c r="K2104" s="676">
        <v>700</v>
      </c>
      <c r="M2104" t="str">
        <f>""</f>
        <v/>
      </c>
    </row>
    <row r="2105" spans="1:13" ht="15.75">
      <c r="A2105">
        <v>2021</v>
      </c>
      <c r="B2105" s="777">
        <v>44344</v>
      </c>
      <c r="C2105" s="730">
        <v>0.83333333333333337</v>
      </c>
      <c r="D2105" s="777">
        <v>44344</v>
      </c>
      <c r="E2105" s="730">
        <v>0.89513888888888893</v>
      </c>
      <c r="F2105" s="558" t="s">
        <v>2951</v>
      </c>
      <c r="G2105" s="558" t="s">
        <v>124</v>
      </c>
      <c r="H2105" s="558" t="s">
        <v>3402</v>
      </c>
      <c r="I2105" s="679" t="s">
        <v>2293</v>
      </c>
      <c r="J2105" s="676">
        <v>0</v>
      </c>
      <c r="K2105" s="676">
        <v>655</v>
      </c>
      <c r="M2105" t="str">
        <f>""</f>
        <v/>
      </c>
    </row>
    <row r="2106" spans="1:13" ht="15.75">
      <c r="A2106">
        <v>2023</v>
      </c>
      <c r="B2106" s="777">
        <v>45124</v>
      </c>
      <c r="C2106" s="532">
        <v>0.40694444444444444</v>
      </c>
      <c r="D2106" s="678">
        <v>45124</v>
      </c>
      <c r="E2106" s="532">
        <v>0.45833333333333331</v>
      </c>
      <c r="F2106" t="s">
        <v>3719</v>
      </c>
      <c r="G2106" t="s">
        <v>61</v>
      </c>
      <c r="H2106" t="s">
        <v>3356</v>
      </c>
      <c r="I2106" s="677" t="s">
        <v>100</v>
      </c>
      <c r="J2106" s="783">
        <v>0</v>
      </c>
      <c r="K2106" s="783">
        <v>642</v>
      </c>
      <c r="M2106" t="str">
        <f>""</f>
        <v/>
      </c>
    </row>
    <row r="2107" spans="1:13" ht="15.75">
      <c r="A2107">
        <v>2023</v>
      </c>
      <c r="B2107" s="777" t="s">
        <v>5873</v>
      </c>
      <c r="C2107" s="532">
        <v>0.40694444444444444</v>
      </c>
      <c r="D2107" s="678">
        <v>45124</v>
      </c>
      <c r="E2107" s="532">
        <v>0.45833333333333331</v>
      </c>
      <c r="F2107" t="s">
        <v>3719</v>
      </c>
      <c r="G2107" t="s">
        <v>61</v>
      </c>
      <c r="H2107" t="s">
        <v>3356</v>
      </c>
      <c r="I2107" s="677" t="s">
        <v>100</v>
      </c>
      <c r="J2107" s="783">
        <v>0</v>
      </c>
      <c r="K2107" s="783">
        <v>642</v>
      </c>
      <c r="M2107" t="str">
        <f>""</f>
        <v/>
      </c>
    </row>
    <row r="2108" spans="1:13" ht="15.75">
      <c r="A2108">
        <v>2022</v>
      </c>
      <c r="B2108" s="777">
        <v>44908</v>
      </c>
      <c r="C2108" s="730">
        <v>0.99930555555555556</v>
      </c>
      <c r="D2108" s="777">
        <v>44909</v>
      </c>
      <c r="E2108" s="730">
        <v>0.15208333333333332</v>
      </c>
      <c r="F2108" s="558" t="s">
        <v>5635</v>
      </c>
      <c r="G2108" s="558" t="s">
        <v>124</v>
      </c>
      <c r="H2108" s="558" t="s">
        <v>3356</v>
      </c>
      <c r="I2108" s="679" t="s">
        <v>100</v>
      </c>
      <c r="J2108" s="676">
        <v>10</v>
      </c>
      <c r="K2108" s="676">
        <v>583</v>
      </c>
      <c r="M2108" t="str">
        <f>""</f>
        <v/>
      </c>
    </row>
    <row r="2109" spans="1:13" ht="15.75">
      <c r="A2109">
        <v>2020</v>
      </c>
      <c r="B2109" s="777">
        <v>44156</v>
      </c>
      <c r="C2109" s="730">
        <v>0.49930555555555556</v>
      </c>
      <c r="D2109" s="777">
        <v>44156</v>
      </c>
      <c r="E2109" s="730">
        <v>0.54097222222222219</v>
      </c>
      <c r="F2109" s="558" t="s">
        <v>2817</v>
      </c>
      <c r="G2109" s="558" t="s">
        <v>124</v>
      </c>
      <c r="H2109" s="558" t="s">
        <v>3402</v>
      </c>
      <c r="I2109" s="679" t="s">
        <v>2293</v>
      </c>
      <c r="J2109" s="676">
        <v>21</v>
      </c>
      <c r="K2109" s="676">
        <v>577</v>
      </c>
      <c r="M2109" t="str">
        <f>""</f>
        <v/>
      </c>
    </row>
    <row r="2110" spans="1:13" ht="15.75">
      <c r="A2110">
        <v>2018</v>
      </c>
      <c r="B2110" s="777">
        <v>43104</v>
      </c>
      <c r="C2110" s="730">
        <v>7.5694444444444439E-2</v>
      </c>
      <c r="D2110" s="777">
        <v>43104</v>
      </c>
      <c r="E2110" s="730">
        <v>8.9583333333333334E-2</v>
      </c>
      <c r="F2110" s="558" t="s">
        <v>3197</v>
      </c>
      <c r="G2110" s="558" t="s">
        <v>1352</v>
      </c>
      <c r="H2110" s="558" t="s">
        <v>2910</v>
      </c>
      <c r="I2110" s="679" t="s">
        <v>2293</v>
      </c>
      <c r="J2110" s="676" t="s">
        <v>5873</v>
      </c>
      <c r="K2110" s="676">
        <v>500</v>
      </c>
      <c r="M2110" t="str">
        <f>""</f>
        <v/>
      </c>
    </row>
    <row r="2111" spans="1:13" ht="15.75">
      <c r="A2111">
        <v>2018</v>
      </c>
      <c r="B2111" s="777">
        <v>43319</v>
      </c>
      <c r="C2111" s="730">
        <v>5.6944444444444443E-2</v>
      </c>
      <c r="D2111" s="777">
        <v>43319</v>
      </c>
      <c r="E2111" s="730">
        <v>8.2638888888888887E-2</v>
      </c>
      <c r="F2111" s="558" t="s">
        <v>2894</v>
      </c>
      <c r="G2111" s="558" t="s">
        <v>124</v>
      </c>
      <c r="H2111" s="558" t="s">
        <v>3431</v>
      </c>
      <c r="I2111" s="679" t="s">
        <v>3416</v>
      </c>
      <c r="J2111" s="676">
        <v>5</v>
      </c>
      <c r="K2111" s="676">
        <v>485</v>
      </c>
      <c r="M2111" t="str">
        <f>""</f>
        <v/>
      </c>
    </row>
    <row r="2112" spans="1:13" ht="15.75">
      <c r="A2112">
        <v>2015</v>
      </c>
      <c r="B2112" s="777">
        <v>42156</v>
      </c>
      <c r="C2112" s="730">
        <v>0.80486111111111114</v>
      </c>
      <c r="D2112" s="777">
        <v>42157</v>
      </c>
      <c r="E2112" s="730">
        <v>0.35833333333333334</v>
      </c>
      <c r="F2112" s="558" t="s">
        <v>18</v>
      </c>
      <c r="G2112" s="558" t="s">
        <v>124</v>
      </c>
      <c r="H2112" s="558" t="s">
        <v>2763</v>
      </c>
      <c r="I2112" s="679" t="s">
        <v>2764</v>
      </c>
      <c r="J2112" s="676">
        <v>5</v>
      </c>
      <c r="K2112" s="676">
        <v>484</v>
      </c>
      <c r="M2112" t="str">
        <f>""</f>
        <v/>
      </c>
    </row>
    <row r="2113" spans="1:13" ht="15.75">
      <c r="A2113">
        <v>2015</v>
      </c>
      <c r="B2113" s="777">
        <v>42212</v>
      </c>
      <c r="C2113" s="730">
        <v>0.16111111111111112</v>
      </c>
      <c r="D2113" s="777">
        <v>42212</v>
      </c>
      <c r="E2113" s="730">
        <v>0.19166666666666668</v>
      </c>
      <c r="F2113" s="558" t="s">
        <v>18</v>
      </c>
      <c r="G2113" s="558" t="s">
        <v>124</v>
      </c>
      <c r="H2113" s="558" t="s">
        <v>2763</v>
      </c>
      <c r="I2113" s="679" t="s">
        <v>2764</v>
      </c>
      <c r="J2113" s="676" t="s">
        <v>5873</v>
      </c>
      <c r="K2113" s="676">
        <v>484</v>
      </c>
      <c r="M2113" t="str">
        <f>""</f>
        <v/>
      </c>
    </row>
    <row r="2114" spans="1:13" ht="15.75">
      <c r="A2114">
        <v>2016</v>
      </c>
      <c r="B2114" s="777">
        <v>42671</v>
      </c>
      <c r="C2114" s="730">
        <v>0.56180555555555556</v>
      </c>
      <c r="D2114" s="777">
        <v>42671</v>
      </c>
      <c r="E2114" s="730">
        <v>0.56805555555555554</v>
      </c>
      <c r="F2114" s="558" t="s">
        <v>2939</v>
      </c>
      <c r="G2114" s="558" t="s">
        <v>124</v>
      </c>
      <c r="H2114" s="558" t="s">
        <v>2839</v>
      </c>
      <c r="I2114" s="679" t="s">
        <v>2840</v>
      </c>
      <c r="J2114" s="676">
        <v>4</v>
      </c>
      <c r="K2114" s="676">
        <v>482</v>
      </c>
      <c r="M2114" t="str">
        <f>""</f>
        <v/>
      </c>
    </row>
    <row r="2115" spans="1:13" ht="15.75">
      <c r="A2115">
        <v>2022</v>
      </c>
      <c r="B2115" s="777">
        <v>44722</v>
      </c>
      <c r="C2115" s="730">
        <v>0.36458333333333331</v>
      </c>
      <c r="D2115" s="777" t="s">
        <v>5873</v>
      </c>
      <c r="E2115" s="730" t="s">
        <v>5873</v>
      </c>
      <c r="F2115" s="558" t="s">
        <v>2945</v>
      </c>
      <c r="G2115" s="558" t="s">
        <v>124</v>
      </c>
      <c r="H2115" s="558" t="s">
        <v>2839</v>
      </c>
      <c r="I2115" s="679" t="s">
        <v>2764</v>
      </c>
      <c r="J2115" s="676">
        <v>13437</v>
      </c>
      <c r="K2115" s="676">
        <v>445</v>
      </c>
      <c r="M2115" t="str">
        <f>""</f>
        <v/>
      </c>
    </row>
    <row r="2116" spans="1:13" ht="15.75">
      <c r="A2116">
        <v>2013</v>
      </c>
      <c r="B2116" s="777">
        <v>41568</v>
      </c>
      <c r="C2116" s="730">
        <v>0.22083333333333333</v>
      </c>
      <c r="D2116" s="777">
        <v>41568</v>
      </c>
      <c r="E2116" s="730">
        <v>0.23125000000000001</v>
      </c>
      <c r="F2116" s="558" t="s">
        <v>5875</v>
      </c>
      <c r="G2116" s="558" t="s">
        <v>124</v>
      </c>
      <c r="H2116" s="558" t="s">
        <v>5873</v>
      </c>
      <c r="I2116" s="679" t="s">
        <v>2037</v>
      </c>
      <c r="J2116" s="676">
        <v>115</v>
      </c>
      <c r="K2116" s="676">
        <v>433</v>
      </c>
      <c r="M2116" t="str">
        <f>""</f>
        <v/>
      </c>
    </row>
    <row r="2117" spans="1:13" ht="15.75">
      <c r="A2117">
        <v>2014</v>
      </c>
      <c r="B2117" s="777">
        <v>41773</v>
      </c>
      <c r="C2117" s="730">
        <v>0.64861111111111114</v>
      </c>
      <c r="D2117" s="777" t="s">
        <v>5873</v>
      </c>
      <c r="E2117" s="730" t="s">
        <v>5873</v>
      </c>
      <c r="F2117" s="558" t="s">
        <v>2693</v>
      </c>
      <c r="G2117" s="558" t="s">
        <v>124</v>
      </c>
      <c r="H2117" s="558" t="s">
        <v>5873</v>
      </c>
      <c r="I2117" s="679" t="s">
        <v>2694</v>
      </c>
      <c r="J2117" s="676" t="s">
        <v>5873</v>
      </c>
      <c r="K2117" s="676">
        <v>426</v>
      </c>
      <c r="M2117" t="str">
        <f>""</f>
        <v/>
      </c>
    </row>
    <row r="2118" spans="1:13" ht="15.75">
      <c r="A2118">
        <v>2011</v>
      </c>
      <c r="B2118" s="777">
        <v>40698</v>
      </c>
      <c r="C2118" s="730">
        <v>5.347222222222222E-2</v>
      </c>
      <c r="D2118" s="777">
        <v>40698</v>
      </c>
      <c r="E2118" s="730">
        <v>0.1423611111111111</v>
      </c>
      <c r="F2118" s="558" t="s">
        <v>2215</v>
      </c>
      <c r="G2118" s="558" t="s">
        <v>124</v>
      </c>
      <c r="H2118" s="558" t="s">
        <v>5873</v>
      </c>
      <c r="I2118" s="679" t="s">
        <v>100</v>
      </c>
      <c r="J2118" s="676" t="s">
        <v>5873</v>
      </c>
      <c r="K2118" s="676">
        <v>420</v>
      </c>
      <c r="M2118" t="str">
        <f>""</f>
        <v/>
      </c>
    </row>
    <row r="2119" spans="1:13" ht="15.75">
      <c r="A2119">
        <v>2021</v>
      </c>
      <c r="B2119" s="777">
        <v>44429</v>
      </c>
      <c r="C2119" s="730">
        <v>0.42638888888888887</v>
      </c>
      <c r="D2119" s="777">
        <v>44429</v>
      </c>
      <c r="E2119" s="730">
        <v>0.45277777777777778</v>
      </c>
      <c r="F2119" s="558" t="s">
        <v>4021</v>
      </c>
      <c r="G2119" s="558" t="s">
        <v>124</v>
      </c>
      <c r="H2119" s="558" t="s">
        <v>2839</v>
      </c>
      <c r="I2119" s="679" t="s">
        <v>22</v>
      </c>
      <c r="J2119" s="676">
        <v>0</v>
      </c>
      <c r="K2119" s="676">
        <v>418</v>
      </c>
      <c r="M2119" t="str">
        <f>""</f>
        <v/>
      </c>
    </row>
    <row r="2120" spans="1:13" ht="15.75">
      <c r="A2120">
        <v>2019</v>
      </c>
      <c r="B2120" s="777">
        <v>43806</v>
      </c>
      <c r="C2120" s="730">
        <v>0.25694444444444442</v>
      </c>
      <c r="D2120" s="777">
        <v>43807</v>
      </c>
      <c r="E2120" s="730">
        <v>9.7222222222222224E-2</v>
      </c>
      <c r="F2120" s="558" t="s">
        <v>4052</v>
      </c>
      <c r="G2120" s="558" t="s">
        <v>3347</v>
      </c>
      <c r="H2120" s="558" t="s">
        <v>3428</v>
      </c>
      <c r="I2120" s="679" t="s">
        <v>2293</v>
      </c>
      <c r="J2120" s="676">
        <v>2</v>
      </c>
      <c r="K2120" s="676">
        <v>400</v>
      </c>
      <c r="M2120" t="str">
        <f>""</f>
        <v/>
      </c>
    </row>
    <row r="2121" spans="1:13" ht="15.75">
      <c r="A2121">
        <v>2019</v>
      </c>
      <c r="B2121" s="777">
        <v>43810</v>
      </c>
      <c r="C2121" s="730">
        <v>0.87013888888888891</v>
      </c>
      <c r="D2121" s="777">
        <v>43810</v>
      </c>
      <c r="E2121" s="730">
        <v>0.8979166666666667</v>
      </c>
      <c r="F2121" s="558" t="s">
        <v>4052</v>
      </c>
      <c r="G2121" s="558" t="s">
        <v>3347</v>
      </c>
      <c r="H2121" s="558" t="s">
        <v>3428</v>
      </c>
      <c r="I2121" s="679" t="s">
        <v>2293</v>
      </c>
      <c r="J2121" s="676">
        <v>1</v>
      </c>
      <c r="K2121" s="676">
        <v>392</v>
      </c>
      <c r="M2121" t="str">
        <f>""</f>
        <v/>
      </c>
    </row>
    <row r="2122" spans="1:13" ht="15.75">
      <c r="A2122">
        <v>2023</v>
      </c>
      <c r="B2122" s="777">
        <v>45057</v>
      </c>
      <c r="C2122" s="730">
        <v>1.0416666666666666E-2</v>
      </c>
      <c r="D2122" s="777">
        <v>45064</v>
      </c>
      <c r="E2122" s="730">
        <v>0.39374999999999999</v>
      </c>
      <c r="F2122" s="558" t="s">
        <v>4125</v>
      </c>
      <c r="G2122" s="558" t="s">
        <v>5856</v>
      </c>
      <c r="H2122" s="558" t="s">
        <v>2910</v>
      </c>
      <c r="I2122" s="679" t="s">
        <v>2118</v>
      </c>
      <c r="J2122" s="676" t="s">
        <v>5873</v>
      </c>
      <c r="K2122" s="676">
        <v>378</v>
      </c>
      <c r="M2122" t="str">
        <f>""</f>
        <v/>
      </c>
    </row>
    <row r="2123" spans="1:13" ht="15.75">
      <c r="A2123">
        <v>2021</v>
      </c>
      <c r="B2123" s="777">
        <v>44506</v>
      </c>
      <c r="C2123" s="730">
        <v>0.3611111111111111</v>
      </c>
      <c r="D2123" s="777">
        <v>44506</v>
      </c>
      <c r="E2123" s="730">
        <v>0.36180555555555555</v>
      </c>
      <c r="F2123" s="558" t="s">
        <v>3819</v>
      </c>
      <c r="G2123" s="558" t="s">
        <v>124</v>
      </c>
      <c r="H2123" s="558" t="s">
        <v>3402</v>
      </c>
      <c r="I2123" s="679" t="s">
        <v>2118</v>
      </c>
      <c r="J2123" s="676" t="s">
        <v>5873</v>
      </c>
      <c r="K2123" s="676">
        <v>350</v>
      </c>
      <c r="M2123" t="str">
        <f>""</f>
        <v/>
      </c>
    </row>
    <row r="2124" spans="1:13" ht="15.75">
      <c r="A2124">
        <v>2022</v>
      </c>
      <c r="B2124" s="777">
        <v>44778</v>
      </c>
      <c r="C2124" s="730">
        <v>8.3333333333333329E-2</v>
      </c>
      <c r="D2124" s="777">
        <v>44778</v>
      </c>
      <c r="E2124" s="730">
        <v>0.27083333333333331</v>
      </c>
      <c r="F2124" s="558" t="s">
        <v>2853</v>
      </c>
      <c r="G2124" s="558" t="s">
        <v>124</v>
      </c>
      <c r="H2124" s="558" t="s">
        <v>3402</v>
      </c>
      <c r="I2124" s="679" t="s">
        <v>2293</v>
      </c>
      <c r="J2124" s="676">
        <v>3</v>
      </c>
      <c r="K2124" s="676">
        <v>350</v>
      </c>
      <c r="M2124" t="str">
        <f>""</f>
        <v/>
      </c>
    </row>
    <row r="2125" spans="1:13" ht="15.75">
      <c r="A2125">
        <v>2023</v>
      </c>
      <c r="B2125" s="777">
        <v>45059</v>
      </c>
      <c r="C2125" s="730">
        <v>0.22708333333333333</v>
      </c>
      <c r="D2125" s="777" t="s">
        <v>5873</v>
      </c>
      <c r="E2125" s="730" t="s">
        <v>5873</v>
      </c>
      <c r="F2125" s="558" t="s">
        <v>3838</v>
      </c>
      <c r="G2125" s="558" t="s">
        <v>674</v>
      </c>
      <c r="H2125" s="558" t="s">
        <v>3356</v>
      </c>
      <c r="I2125" s="679" t="s">
        <v>5075</v>
      </c>
      <c r="J2125" s="676">
        <v>166</v>
      </c>
      <c r="K2125" s="676">
        <v>327</v>
      </c>
      <c r="M2125" t="str">
        <f>""</f>
        <v/>
      </c>
    </row>
    <row r="2126" spans="1:13" ht="15.75">
      <c r="A2126">
        <v>2023</v>
      </c>
      <c r="B2126" s="777">
        <v>45059</v>
      </c>
      <c r="C2126" s="730">
        <v>0.30902777777777779</v>
      </c>
      <c r="D2126" s="777">
        <v>45059</v>
      </c>
      <c r="E2126" s="730">
        <v>0.50694444444444442</v>
      </c>
      <c r="F2126" s="558" t="s">
        <v>3838</v>
      </c>
      <c r="G2126" s="558" t="s">
        <v>674</v>
      </c>
      <c r="H2126" s="558" t="s">
        <v>2910</v>
      </c>
      <c r="I2126" s="679" t="s">
        <v>5075</v>
      </c>
      <c r="J2126" s="676">
        <v>8</v>
      </c>
      <c r="K2126" s="676">
        <v>327</v>
      </c>
      <c r="M2126" t="str">
        <f>""</f>
        <v/>
      </c>
    </row>
    <row r="2127" spans="1:13" ht="15.75">
      <c r="A2127">
        <v>2020</v>
      </c>
      <c r="B2127" s="777">
        <v>44061</v>
      </c>
      <c r="C2127" s="730">
        <v>0.61388888888888893</v>
      </c>
      <c r="D2127" s="777">
        <v>44061</v>
      </c>
      <c r="E2127" s="730">
        <v>0.63472222222222219</v>
      </c>
      <c r="F2127" s="558" t="s">
        <v>4434</v>
      </c>
      <c r="G2127" s="558" t="s">
        <v>1352</v>
      </c>
      <c r="H2127" s="558" t="s">
        <v>3411</v>
      </c>
      <c r="I2127" s="679" t="s">
        <v>2483</v>
      </c>
      <c r="J2127" s="676">
        <v>205</v>
      </c>
      <c r="K2127" s="676">
        <v>238</v>
      </c>
      <c r="M2127" t="str">
        <f>""</f>
        <v/>
      </c>
    </row>
    <row r="2128" spans="1:13" ht="15.75">
      <c r="A2128">
        <v>2015</v>
      </c>
      <c r="B2128" s="777">
        <v>42126</v>
      </c>
      <c r="C2128" s="730">
        <v>0.95208333333333328</v>
      </c>
      <c r="D2128" s="777">
        <v>42127</v>
      </c>
      <c r="E2128" s="730">
        <v>1.8055555555555554E-2</v>
      </c>
      <c r="F2128" s="558" t="s">
        <v>2773</v>
      </c>
      <c r="G2128" s="558" t="s">
        <v>63</v>
      </c>
      <c r="H2128" s="558" t="s">
        <v>2150</v>
      </c>
      <c r="I2128" s="679" t="s">
        <v>100</v>
      </c>
      <c r="J2128" s="676">
        <v>1</v>
      </c>
      <c r="K2128" s="676">
        <v>215</v>
      </c>
      <c r="M2128" t="str">
        <f>""</f>
        <v/>
      </c>
    </row>
    <row r="2129" spans="1:13" ht="15.75">
      <c r="A2129">
        <v>2019</v>
      </c>
      <c r="B2129" s="777">
        <v>43774</v>
      </c>
      <c r="C2129" s="730">
        <v>0.65277777777777779</v>
      </c>
      <c r="D2129" s="777">
        <v>43774</v>
      </c>
      <c r="E2129" s="730">
        <v>0.71597222222222223</v>
      </c>
      <c r="F2129" s="558" t="s">
        <v>4021</v>
      </c>
      <c r="G2129" s="558" t="s">
        <v>124</v>
      </c>
      <c r="H2129" s="558" t="s">
        <v>3356</v>
      </c>
      <c r="I2129" s="679" t="s">
        <v>100</v>
      </c>
      <c r="J2129" s="676" t="s">
        <v>5873</v>
      </c>
      <c r="K2129" s="676">
        <v>131</v>
      </c>
      <c r="M2129" t="str">
        <f>""</f>
        <v/>
      </c>
    </row>
    <row r="2130" spans="1:13" ht="15.75">
      <c r="A2130">
        <v>2012</v>
      </c>
      <c r="B2130" s="777">
        <v>41125.163194444445</v>
      </c>
      <c r="C2130" s="730">
        <v>41125.163194444445</v>
      </c>
      <c r="D2130" s="777">
        <v>41125.181250000001</v>
      </c>
      <c r="E2130" s="730">
        <v>41125.181250000001</v>
      </c>
      <c r="F2130" s="558" t="s">
        <v>2429</v>
      </c>
      <c r="G2130" s="558" t="s">
        <v>124</v>
      </c>
      <c r="H2130" s="558" t="s">
        <v>5873</v>
      </c>
      <c r="I2130" s="679" t="s">
        <v>2037</v>
      </c>
      <c r="J2130" s="676">
        <v>5</v>
      </c>
      <c r="K2130" s="676">
        <v>127</v>
      </c>
      <c r="M2130" t="str">
        <f>""</f>
        <v/>
      </c>
    </row>
    <row r="2131" spans="1:13" ht="15.75">
      <c r="A2131">
        <v>2014</v>
      </c>
      <c r="B2131" s="777">
        <v>41896</v>
      </c>
      <c r="C2131" s="730">
        <v>0.90972222222222221</v>
      </c>
      <c r="D2131" s="777">
        <v>41899</v>
      </c>
      <c r="E2131" s="730">
        <v>0.63055555555555554</v>
      </c>
      <c r="F2131" s="558" t="s">
        <v>2152</v>
      </c>
      <c r="G2131" s="558" t="s">
        <v>124</v>
      </c>
      <c r="H2131" s="558" t="s">
        <v>5873</v>
      </c>
      <c r="I2131" s="679" t="s">
        <v>2037</v>
      </c>
      <c r="J2131" s="676">
        <v>1</v>
      </c>
      <c r="K2131" s="676">
        <v>123</v>
      </c>
      <c r="M2131" t="str">
        <f>""</f>
        <v/>
      </c>
    </row>
    <row r="2132" spans="1:13" ht="15.75">
      <c r="A2132">
        <v>2014</v>
      </c>
      <c r="B2132" s="777">
        <v>41901</v>
      </c>
      <c r="C2132" s="730">
        <v>0.59722222222222221</v>
      </c>
      <c r="D2132" s="777">
        <v>41905</v>
      </c>
      <c r="E2132" s="730">
        <v>0.54861111111111116</v>
      </c>
      <c r="F2132" s="558" t="s">
        <v>2715</v>
      </c>
      <c r="G2132" s="558" t="s">
        <v>124</v>
      </c>
      <c r="H2132" s="558" t="s">
        <v>5873</v>
      </c>
      <c r="I2132" s="679" t="s">
        <v>2037</v>
      </c>
      <c r="J2132" s="676">
        <v>1</v>
      </c>
      <c r="K2132" s="676">
        <v>123</v>
      </c>
      <c r="M2132" t="str">
        <f>""</f>
        <v/>
      </c>
    </row>
    <row r="2133" spans="1:13" ht="15.75">
      <c r="A2133">
        <v>2014</v>
      </c>
      <c r="B2133" s="777">
        <v>41957</v>
      </c>
      <c r="C2133" s="730">
        <v>0.40972222222222221</v>
      </c>
      <c r="D2133" s="777">
        <v>41957</v>
      </c>
      <c r="E2133" s="730">
        <v>0.5541666666666667</v>
      </c>
      <c r="F2133" s="558" t="s">
        <v>2715</v>
      </c>
      <c r="G2133" s="558" t="s">
        <v>124</v>
      </c>
      <c r="H2133" s="558" t="s">
        <v>5873</v>
      </c>
      <c r="I2133" s="679" t="s">
        <v>2655</v>
      </c>
      <c r="J2133" s="676">
        <v>1</v>
      </c>
      <c r="K2133" s="676">
        <v>123</v>
      </c>
      <c r="M2133" t="str">
        <f>""</f>
        <v/>
      </c>
    </row>
    <row r="2134" spans="1:13" ht="15.75">
      <c r="A2134">
        <v>2015</v>
      </c>
      <c r="B2134" s="777">
        <v>42156</v>
      </c>
      <c r="C2134" s="730">
        <v>1.8749999999999999E-2</v>
      </c>
      <c r="D2134" s="777">
        <v>42156</v>
      </c>
      <c r="E2134" s="730">
        <v>9.375E-2</v>
      </c>
      <c r="F2134" s="558" t="s">
        <v>2258</v>
      </c>
      <c r="G2134" s="558" t="s">
        <v>63</v>
      </c>
      <c r="H2134" s="558" t="s">
        <v>2150</v>
      </c>
      <c r="I2134" s="679" t="s">
        <v>100</v>
      </c>
      <c r="J2134" s="676">
        <v>2</v>
      </c>
      <c r="K2134" s="676">
        <v>110</v>
      </c>
      <c r="M2134" t="str">
        <f>""</f>
        <v/>
      </c>
    </row>
    <row r="2135" spans="1:13" ht="15.75">
      <c r="A2135">
        <v>2015</v>
      </c>
      <c r="B2135" s="777">
        <v>42203</v>
      </c>
      <c r="C2135" s="730">
        <v>0.7680555555555556</v>
      </c>
      <c r="D2135" s="777">
        <v>42203</v>
      </c>
      <c r="E2135" s="730">
        <v>0.87708333333333333</v>
      </c>
      <c r="F2135" s="558" t="s">
        <v>18</v>
      </c>
      <c r="G2135" s="558" t="s">
        <v>124</v>
      </c>
      <c r="H2135" s="558" t="s">
        <v>2763</v>
      </c>
      <c r="I2135" s="679" t="s">
        <v>2764</v>
      </c>
      <c r="J2135" s="676">
        <v>30</v>
      </c>
      <c r="K2135" s="676">
        <v>70</v>
      </c>
      <c r="M2135" t="str">
        <f>""</f>
        <v/>
      </c>
    </row>
    <row r="2136" spans="1:13" ht="15.75">
      <c r="A2136">
        <v>2020</v>
      </c>
      <c r="B2136" s="777">
        <v>43966</v>
      </c>
      <c r="C2136" s="730">
        <v>0.74652777777777779</v>
      </c>
      <c r="D2136" s="777">
        <v>43968</v>
      </c>
      <c r="E2136" s="730">
        <v>0.75</v>
      </c>
      <c r="F2136" s="558" t="s">
        <v>3174</v>
      </c>
      <c r="G2136" s="558" t="s">
        <v>61</v>
      </c>
      <c r="H2136" s="558" t="s">
        <v>3451</v>
      </c>
      <c r="I2136" s="679" t="s">
        <v>22</v>
      </c>
      <c r="J2136" s="676" t="s">
        <v>5873</v>
      </c>
      <c r="K2136" s="676">
        <v>52</v>
      </c>
      <c r="M2136" t="str">
        <f>""</f>
        <v/>
      </c>
    </row>
    <row r="2137" spans="1:13" ht="15.75">
      <c r="A2137">
        <v>2013</v>
      </c>
      <c r="B2137" s="777">
        <v>41442</v>
      </c>
      <c r="C2137" s="730">
        <v>0.67847222222222225</v>
      </c>
      <c r="D2137" s="777">
        <v>41442</v>
      </c>
      <c r="E2137" s="730">
        <v>0.78402777777777777</v>
      </c>
      <c r="F2137" s="558" t="s">
        <v>2551</v>
      </c>
      <c r="G2137" s="558" t="s">
        <v>301</v>
      </c>
      <c r="H2137" s="558" t="s">
        <v>5873</v>
      </c>
      <c r="I2137" s="679" t="s">
        <v>2552</v>
      </c>
      <c r="J2137" s="676">
        <v>180</v>
      </c>
      <c r="K2137" s="676">
        <v>37</v>
      </c>
      <c r="M2137" t="str">
        <f>""</f>
        <v/>
      </c>
    </row>
    <row r="2138" spans="1:13" ht="15.75">
      <c r="A2138">
        <v>2015</v>
      </c>
      <c r="B2138" s="777">
        <v>42095</v>
      </c>
      <c r="C2138" s="730">
        <v>0.76736111111111116</v>
      </c>
      <c r="D2138" s="777">
        <v>42095</v>
      </c>
      <c r="E2138" s="730">
        <v>0.7680555555555556</v>
      </c>
      <c r="F2138" s="558" t="s">
        <v>2765</v>
      </c>
      <c r="G2138" s="558" t="s">
        <v>124</v>
      </c>
      <c r="H2138" s="558" t="s">
        <v>2150</v>
      </c>
      <c r="I2138" s="679" t="s">
        <v>100</v>
      </c>
      <c r="J2138" s="676" t="s">
        <v>5873</v>
      </c>
      <c r="K2138" s="676">
        <v>37</v>
      </c>
      <c r="M2138" t="str">
        <f>""</f>
        <v/>
      </c>
    </row>
    <row r="2139" spans="1:13" ht="15.75">
      <c r="A2139">
        <v>2023</v>
      </c>
      <c r="B2139" s="777">
        <v>44989</v>
      </c>
      <c r="C2139" s="730">
        <v>0.2951388888888889</v>
      </c>
      <c r="D2139" s="777">
        <v>44989</v>
      </c>
      <c r="E2139" s="730">
        <v>0.29583333333333334</v>
      </c>
      <c r="F2139" s="558" t="s">
        <v>2866</v>
      </c>
      <c r="G2139" s="558" t="s">
        <v>63</v>
      </c>
      <c r="H2139" s="558" t="s">
        <v>3379</v>
      </c>
      <c r="I2139" s="679" t="s">
        <v>2483</v>
      </c>
      <c r="J2139" s="676">
        <v>965</v>
      </c>
      <c r="K2139" s="676">
        <v>33</v>
      </c>
      <c r="M2139" t="str">
        <f>""</f>
        <v/>
      </c>
    </row>
    <row r="2140" spans="1:13" ht="15.75">
      <c r="A2140">
        <v>2023</v>
      </c>
      <c r="B2140" s="777">
        <v>45225</v>
      </c>
      <c r="C2140" s="532">
        <v>0.47291666666666665</v>
      </c>
      <c r="D2140" s="678">
        <v>45225</v>
      </c>
      <c r="E2140" s="532">
        <v>0.47361111111111109</v>
      </c>
      <c r="F2140" t="s">
        <v>4383</v>
      </c>
      <c r="G2140" t="s">
        <v>674</v>
      </c>
      <c r="H2140" t="s">
        <v>3411</v>
      </c>
      <c r="I2140" s="677" t="s">
        <v>5886</v>
      </c>
      <c r="J2140" s="785" t="s">
        <v>5873</v>
      </c>
      <c r="K2140" s="783">
        <v>26</v>
      </c>
      <c r="M2140" t="str">
        <f>""</f>
        <v/>
      </c>
    </row>
    <row r="2141" spans="1:13" ht="15.75">
      <c r="A2141">
        <v>2019</v>
      </c>
      <c r="B2141" s="777">
        <v>43669</v>
      </c>
      <c r="C2141" s="730">
        <v>0.14027777777777778</v>
      </c>
      <c r="D2141" s="777">
        <v>43669</v>
      </c>
      <c r="E2141" s="730">
        <v>0.2361111111111111</v>
      </c>
      <c r="F2141" s="558" t="s">
        <v>3888</v>
      </c>
      <c r="G2141" s="558" t="s">
        <v>124</v>
      </c>
      <c r="H2141" s="558" t="s">
        <v>3356</v>
      </c>
      <c r="I2141" s="679" t="s">
        <v>100</v>
      </c>
      <c r="J2141" s="676" t="s">
        <v>5873</v>
      </c>
      <c r="K2141" s="676">
        <v>25</v>
      </c>
      <c r="M2141" t="str">
        <f>""</f>
        <v/>
      </c>
    </row>
    <row r="2142" spans="1:13" ht="15.75">
      <c r="A2142">
        <v>2020</v>
      </c>
      <c r="B2142" s="777">
        <v>44058</v>
      </c>
      <c r="C2142" s="730">
        <v>0.70833333333333337</v>
      </c>
      <c r="D2142" s="777" t="s">
        <v>5873</v>
      </c>
      <c r="E2142" s="730" t="s">
        <v>5873</v>
      </c>
      <c r="F2142" s="558" t="s">
        <v>2813</v>
      </c>
      <c r="G2142" s="558" t="s">
        <v>124</v>
      </c>
      <c r="H2142" s="558" t="s">
        <v>3463</v>
      </c>
      <c r="I2142" s="679" t="s">
        <v>100</v>
      </c>
      <c r="J2142" s="676">
        <v>0</v>
      </c>
      <c r="K2142" s="676">
        <v>8</v>
      </c>
      <c r="M2142" t="str">
        <f>""</f>
        <v/>
      </c>
    </row>
    <row r="2143" spans="1:13" ht="15.75">
      <c r="A2143">
        <v>2023</v>
      </c>
      <c r="B2143" s="777">
        <v>45033</v>
      </c>
      <c r="C2143" s="730">
        <v>0.51180555555555551</v>
      </c>
      <c r="D2143" s="777">
        <v>45033</v>
      </c>
      <c r="E2143" s="730">
        <v>0.71666666666666667</v>
      </c>
      <c r="F2143" s="558" t="s">
        <v>5836</v>
      </c>
      <c r="G2143" s="558" t="s">
        <v>63</v>
      </c>
      <c r="H2143" s="558" t="s">
        <v>3356</v>
      </c>
      <c r="I2143" s="679" t="s">
        <v>5075</v>
      </c>
      <c r="J2143" s="676">
        <v>39</v>
      </c>
      <c r="K2143" s="676">
        <v>8</v>
      </c>
      <c r="M2143" t="str">
        <f>""</f>
        <v/>
      </c>
    </row>
    <row r="2144" spans="1:13" ht="15.75">
      <c r="A2144">
        <v>2023</v>
      </c>
      <c r="B2144" s="777">
        <v>45214</v>
      </c>
      <c r="C2144" s="532">
        <v>0.30277777777777776</v>
      </c>
      <c r="D2144" s="678">
        <v>45214</v>
      </c>
      <c r="E2144" s="532">
        <v>0.53611111111111109</v>
      </c>
      <c r="F2144" t="s">
        <v>3616</v>
      </c>
      <c r="G2144" t="s">
        <v>124</v>
      </c>
      <c r="H2144" t="s">
        <v>3411</v>
      </c>
      <c r="I2144" s="677" t="s">
        <v>2798</v>
      </c>
      <c r="J2144" s="783">
        <v>72</v>
      </c>
      <c r="K2144" s="783">
        <v>6</v>
      </c>
      <c r="M2144" t="str">
        <f>""</f>
        <v/>
      </c>
    </row>
    <row r="2145" spans="1:13" ht="15.75">
      <c r="A2145" s="728">
        <v>2010</v>
      </c>
      <c r="B2145" s="777">
        <v>40488</v>
      </c>
      <c r="C2145" s="730">
        <v>0.66180555555555554</v>
      </c>
      <c r="D2145" s="777">
        <v>40488</v>
      </c>
      <c r="E2145" s="730">
        <v>0.75555555555555554</v>
      </c>
      <c r="F2145" s="558" t="s">
        <v>141</v>
      </c>
      <c r="G2145" s="558" t="s">
        <v>124</v>
      </c>
      <c r="H2145" s="558" t="s">
        <v>5873</v>
      </c>
      <c r="I2145" s="679" t="s">
        <v>2076</v>
      </c>
      <c r="J2145" s="676">
        <v>20</v>
      </c>
      <c r="K2145" s="676">
        <v>4</v>
      </c>
      <c r="M2145" t="str">
        <f>""</f>
        <v/>
      </c>
    </row>
    <row r="2146" spans="1:13" ht="15.75">
      <c r="A2146">
        <v>2020</v>
      </c>
      <c r="B2146" s="777">
        <v>44128</v>
      </c>
      <c r="C2146" s="730">
        <v>0.84236111111111112</v>
      </c>
      <c r="D2146" s="777">
        <v>44128</v>
      </c>
      <c r="E2146" s="730">
        <v>0.95277777777777772</v>
      </c>
      <c r="F2146" s="558" t="s">
        <v>4269</v>
      </c>
      <c r="G2146" s="558" t="s">
        <v>674</v>
      </c>
      <c r="H2146" s="558" t="s">
        <v>3411</v>
      </c>
      <c r="I2146" s="679" t="s">
        <v>2483</v>
      </c>
      <c r="J2146" s="676">
        <v>1</v>
      </c>
      <c r="K2146" s="676">
        <v>4</v>
      </c>
      <c r="M2146" t="str">
        <f>""</f>
        <v/>
      </c>
    </row>
    <row r="2147" spans="1:13" ht="15.75">
      <c r="A2147">
        <v>2021</v>
      </c>
      <c r="B2147" s="777">
        <v>44229</v>
      </c>
      <c r="C2147" s="730">
        <v>0.52361111111111114</v>
      </c>
      <c r="D2147" s="777">
        <v>44229</v>
      </c>
      <c r="E2147" s="730">
        <v>0.65486111111111112</v>
      </c>
      <c r="F2147" s="558" t="s">
        <v>4688</v>
      </c>
      <c r="G2147" s="558" t="s">
        <v>674</v>
      </c>
      <c r="H2147" s="558" t="s">
        <v>4071</v>
      </c>
      <c r="I2147" s="679" t="s">
        <v>2990</v>
      </c>
      <c r="J2147" s="676">
        <v>5</v>
      </c>
      <c r="K2147" s="676">
        <v>4</v>
      </c>
      <c r="M2147" t="str">
        <f>""</f>
        <v/>
      </c>
    </row>
    <row r="2148" spans="1:13" ht="15.75">
      <c r="A2148">
        <v>2021</v>
      </c>
      <c r="B2148" s="777">
        <v>44229</v>
      </c>
      <c r="C2148" s="730">
        <v>0.3923611111111111</v>
      </c>
      <c r="D2148" s="777">
        <v>44230</v>
      </c>
      <c r="E2148" s="730">
        <v>0.48472222222222222</v>
      </c>
      <c r="F2148" s="558" t="s">
        <v>4688</v>
      </c>
      <c r="G2148" s="558" t="s">
        <v>674</v>
      </c>
      <c r="H2148" s="558" t="s">
        <v>4071</v>
      </c>
      <c r="I2148" s="679" t="s">
        <v>2990</v>
      </c>
      <c r="J2148" s="676">
        <v>5</v>
      </c>
      <c r="K2148" s="676">
        <v>3</v>
      </c>
      <c r="M2148" t="str">
        <f>""</f>
        <v/>
      </c>
    </row>
    <row r="2149" spans="1:13" ht="15.75">
      <c r="A2149">
        <v>2017</v>
      </c>
      <c r="B2149" s="777">
        <v>42968</v>
      </c>
      <c r="C2149" s="730">
        <v>0.9868055555555556</v>
      </c>
      <c r="D2149" s="777">
        <v>42969</v>
      </c>
      <c r="E2149" s="730">
        <v>1.4583333333333334E-2</v>
      </c>
      <c r="F2149" s="558" t="s">
        <v>2939</v>
      </c>
      <c r="G2149" s="558" t="s">
        <v>124</v>
      </c>
      <c r="H2149" s="558" t="s">
        <v>2839</v>
      </c>
      <c r="I2149" s="679" t="s">
        <v>2764</v>
      </c>
      <c r="J2149" s="676">
        <v>1</v>
      </c>
      <c r="K2149" s="676">
        <v>2</v>
      </c>
      <c r="M2149" t="str">
        <f>""</f>
        <v/>
      </c>
    </row>
    <row r="2150" spans="1:13" ht="15.75">
      <c r="A2150">
        <v>2019</v>
      </c>
      <c r="B2150" s="777">
        <v>43475</v>
      </c>
      <c r="C2150" s="730">
        <v>0.5131944444444444</v>
      </c>
      <c r="D2150" s="777">
        <v>43475</v>
      </c>
      <c r="E2150" s="730">
        <v>0.53333333333333333</v>
      </c>
      <c r="F2150" s="558" t="s">
        <v>3622</v>
      </c>
      <c r="G2150" s="558" t="s">
        <v>124</v>
      </c>
      <c r="H2150" s="558" t="s">
        <v>3411</v>
      </c>
      <c r="I2150" s="679" t="s">
        <v>2764</v>
      </c>
      <c r="J2150" s="676">
        <v>11</v>
      </c>
      <c r="K2150" s="676">
        <v>2</v>
      </c>
      <c r="M2150" t="str">
        <f>""</f>
        <v/>
      </c>
    </row>
    <row r="2151" spans="1:13" ht="15.75">
      <c r="A2151">
        <v>2019</v>
      </c>
      <c r="B2151" s="777">
        <v>43796</v>
      </c>
      <c r="C2151" s="730">
        <v>0.11388888888888889</v>
      </c>
      <c r="D2151" s="777">
        <v>43796</v>
      </c>
      <c r="E2151" s="730">
        <v>0.66666666666666663</v>
      </c>
      <c r="F2151" s="558" t="s">
        <v>4035</v>
      </c>
      <c r="G2151" s="558" t="s">
        <v>124</v>
      </c>
      <c r="H2151" s="558" t="s">
        <v>3356</v>
      </c>
      <c r="I2151" s="679" t="s">
        <v>100</v>
      </c>
      <c r="J2151" s="676">
        <v>35</v>
      </c>
      <c r="K2151" s="676">
        <v>2</v>
      </c>
      <c r="M2151" t="str">
        <f>""</f>
        <v/>
      </c>
    </row>
    <row r="2152" spans="1:13" ht="15.75">
      <c r="A2152">
        <v>2020</v>
      </c>
      <c r="B2152" s="777">
        <v>44060</v>
      </c>
      <c r="C2152" s="730">
        <v>0.34791666666666665</v>
      </c>
      <c r="D2152" s="777">
        <v>44060</v>
      </c>
      <c r="E2152" s="730">
        <v>0.37569444444444444</v>
      </c>
      <c r="F2152" s="558" t="s">
        <v>4426</v>
      </c>
      <c r="G2152" s="558" t="s">
        <v>124</v>
      </c>
      <c r="H2152" s="558" t="s">
        <v>4071</v>
      </c>
      <c r="I2152" s="679" t="s">
        <v>22</v>
      </c>
      <c r="J2152" s="676">
        <v>2</v>
      </c>
      <c r="K2152" s="676">
        <v>2</v>
      </c>
      <c r="M2152" t="str">
        <f>""</f>
        <v/>
      </c>
    </row>
    <row r="2153" spans="1:13" ht="15.75">
      <c r="A2153">
        <v>2023</v>
      </c>
      <c r="B2153" s="777">
        <v>45059</v>
      </c>
      <c r="C2153" s="730">
        <v>0.26874999999999999</v>
      </c>
      <c r="D2153" s="777">
        <v>45059</v>
      </c>
      <c r="E2153" s="730">
        <v>0.64375000000000004</v>
      </c>
      <c r="F2153" s="558" t="s">
        <v>3838</v>
      </c>
      <c r="G2153" s="558" t="s">
        <v>674</v>
      </c>
      <c r="H2153" s="558" t="s">
        <v>3356</v>
      </c>
      <c r="I2153" s="679" t="s">
        <v>5075</v>
      </c>
      <c r="J2153" s="676">
        <v>64</v>
      </c>
      <c r="K2153" s="676">
        <v>2</v>
      </c>
      <c r="M2153" t="str">
        <f>""</f>
        <v/>
      </c>
    </row>
    <row r="2154" spans="1:13" ht="15.75">
      <c r="A2154" s="728">
        <v>2010</v>
      </c>
      <c r="B2154" s="777">
        <v>40330</v>
      </c>
      <c r="C2154" s="730">
        <v>0.91874999999999996</v>
      </c>
      <c r="D2154" s="777">
        <v>40347</v>
      </c>
      <c r="E2154" s="730">
        <v>2.0833333333333332E-2</v>
      </c>
      <c r="F2154" s="558" t="s">
        <v>1929</v>
      </c>
      <c r="G2154" s="558" t="s">
        <v>826</v>
      </c>
      <c r="H2154" s="558" t="s">
        <v>5873</v>
      </c>
      <c r="I2154" s="679" t="s">
        <v>1930</v>
      </c>
      <c r="J2154" s="676">
        <v>500</v>
      </c>
      <c r="K2154" s="676">
        <v>1</v>
      </c>
      <c r="M2154" t="str">
        <f>""</f>
        <v/>
      </c>
    </row>
    <row r="2155" spans="1:13" ht="15.75">
      <c r="A2155">
        <v>2012</v>
      </c>
      <c r="B2155" s="777">
        <v>40917</v>
      </c>
      <c r="C2155" s="730">
        <v>0.56666666666666665</v>
      </c>
      <c r="D2155" s="777">
        <v>40919</v>
      </c>
      <c r="E2155" s="730">
        <v>4.5138888888888888E-2</v>
      </c>
      <c r="F2155" s="558" t="s">
        <v>1577</v>
      </c>
      <c r="G2155" s="558" t="s">
        <v>63</v>
      </c>
      <c r="H2155" s="558" t="s">
        <v>5873</v>
      </c>
      <c r="I2155" s="679" t="s">
        <v>905</v>
      </c>
      <c r="J2155" s="676">
        <v>150</v>
      </c>
      <c r="K2155" s="676">
        <v>1</v>
      </c>
      <c r="M2155" t="str">
        <f>""</f>
        <v/>
      </c>
    </row>
    <row r="2156" spans="1:13" ht="15.75">
      <c r="A2156">
        <v>2012</v>
      </c>
      <c r="B2156" s="777">
        <v>40967</v>
      </c>
      <c r="C2156" s="730">
        <v>0.12430555555555556</v>
      </c>
      <c r="D2156" s="777">
        <v>40967</v>
      </c>
      <c r="E2156" s="730">
        <v>0.25833333333333336</v>
      </c>
      <c r="F2156" s="558" t="s">
        <v>2359</v>
      </c>
      <c r="G2156" s="558" t="s">
        <v>124</v>
      </c>
      <c r="H2156" s="558" t="s">
        <v>5873</v>
      </c>
      <c r="I2156" s="679" t="s">
        <v>2037</v>
      </c>
      <c r="J2156" s="676">
        <v>1</v>
      </c>
      <c r="K2156" s="676">
        <v>1</v>
      </c>
      <c r="M2156" t="str">
        <f>""</f>
        <v/>
      </c>
    </row>
    <row r="2157" spans="1:13" ht="15.75">
      <c r="A2157">
        <v>2012</v>
      </c>
      <c r="B2157" s="777">
        <v>41036</v>
      </c>
      <c r="C2157" s="730">
        <v>0.73958333333333337</v>
      </c>
      <c r="D2157" s="777">
        <v>41036</v>
      </c>
      <c r="E2157" s="730">
        <v>0.75416666666666665</v>
      </c>
      <c r="F2157" s="558" t="s">
        <v>2380</v>
      </c>
      <c r="G2157" s="558" t="s">
        <v>826</v>
      </c>
      <c r="H2157" s="558" t="s">
        <v>5873</v>
      </c>
      <c r="I2157" s="679" t="s">
        <v>5882</v>
      </c>
      <c r="J2157" s="676">
        <v>420</v>
      </c>
      <c r="K2157" s="676">
        <v>1</v>
      </c>
      <c r="M2157" t="str">
        <f>""</f>
        <v/>
      </c>
    </row>
    <row r="2158" spans="1:13" ht="15.75">
      <c r="A2158">
        <v>2013</v>
      </c>
      <c r="B2158" s="777">
        <v>41318</v>
      </c>
      <c r="C2158" s="730">
        <v>0.39583333333333331</v>
      </c>
      <c r="D2158" s="777">
        <v>41318</v>
      </c>
      <c r="E2158" s="730">
        <v>0.39583333333333331</v>
      </c>
      <c r="F2158" s="558" t="s">
        <v>2500</v>
      </c>
      <c r="G2158" s="558" t="s">
        <v>826</v>
      </c>
      <c r="H2158" s="558" t="s">
        <v>5873</v>
      </c>
      <c r="I2158" s="679" t="s">
        <v>100</v>
      </c>
      <c r="J2158" s="676">
        <v>1</v>
      </c>
      <c r="K2158" s="676">
        <v>1</v>
      </c>
      <c r="M2158" t="str">
        <f>""</f>
        <v/>
      </c>
    </row>
    <row r="2159" spans="1:13" ht="15.75">
      <c r="A2159">
        <v>2013</v>
      </c>
      <c r="B2159" s="777">
        <v>41318</v>
      </c>
      <c r="C2159" s="730">
        <v>0.73541666666666672</v>
      </c>
      <c r="D2159" s="777">
        <v>41320</v>
      </c>
      <c r="E2159" s="730">
        <v>0.74305555555555558</v>
      </c>
      <c r="F2159" s="558" t="s">
        <v>2281</v>
      </c>
      <c r="G2159" s="558" t="s">
        <v>61</v>
      </c>
      <c r="H2159" s="558" t="s">
        <v>5873</v>
      </c>
      <c r="I2159" s="679" t="s">
        <v>2501</v>
      </c>
      <c r="J2159" s="676">
        <v>1</v>
      </c>
      <c r="K2159" s="676">
        <v>1</v>
      </c>
      <c r="M2159" t="str">
        <f>""</f>
        <v/>
      </c>
    </row>
    <row r="2160" spans="1:13" ht="15.75">
      <c r="A2160">
        <v>2013</v>
      </c>
      <c r="B2160" s="777">
        <v>41321</v>
      </c>
      <c r="C2160" s="730">
        <v>0.32916666666666666</v>
      </c>
      <c r="D2160" s="777">
        <v>41321</v>
      </c>
      <c r="E2160" s="730">
        <v>0.32916666666666666</v>
      </c>
      <c r="F2160" s="558" t="s">
        <v>2503</v>
      </c>
      <c r="G2160" s="558" t="s">
        <v>826</v>
      </c>
      <c r="H2160" s="558" t="s">
        <v>5873</v>
      </c>
      <c r="I2160" s="679" t="s">
        <v>100</v>
      </c>
      <c r="J2160" s="676">
        <v>1</v>
      </c>
      <c r="K2160" s="676">
        <v>1</v>
      </c>
      <c r="M2160" t="str">
        <f>""</f>
        <v/>
      </c>
    </row>
    <row r="2161" spans="1:13" ht="15.75">
      <c r="A2161">
        <v>2013</v>
      </c>
      <c r="B2161" s="777">
        <v>41387</v>
      </c>
      <c r="C2161" s="730">
        <v>3.4027777777777775E-2</v>
      </c>
      <c r="D2161" s="777">
        <v>41387</v>
      </c>
      <c r="E2161" s="730">
        <v>0.16944444444444445</v>
      </c>
      <c r="F2161" s="558" t="s">
        <v>2526</v>
      </c>
      <c r="G2161" s="558" t="s">
        <v>124</v>
      </c>
      <c r="H2161" s="558" t="s">
        <v>5873</v>
      </c>
      <c r="I2161" s="679" t="s">
        <v>2037</v>
      </c>
      <c r="J2161" s="676">
        <v>80</v>
      </c>
      <c r="K2161" s="676">
        <v>1</v>
      </c>
      <c r="M2161" t="str">
        <f>""</f>
        <v/>
      </c>
    </row>
    <row r="2162" spans="1:13" ht="15.75">
      <c r="A2162">
        <v>2014</v>
      </c>
      <c r="B2162" s="777">
        <v>41847</v>
      </c>
      <c r="C2162" s="730">
        <v>0.95833333333333337</v>
      </c>
      <c r="D2162" s="777">
        <v>41848</v>
      </c>
      <c r="E2162" s="730">
        <v>0.16666666666666666</v>
      </c>
      <c r="F2162" s="558" t="s">
        <v>1922</v>
      </c>
      <c r="G2162" s="558" t="s">
        <v>124</v>
      </c>
      <c r="H2162" s="558" t="s">
        <v>5873</v>
      </c>
      <c r="I2162" s="679" t="s">
        <v>2709</v>
      </c>
      <c r="J2162" s="676">
        <v>480</v>
      </c>
      <c r="K2162" s="676">
        <v>1</v>
      </c>
      <c r="M2162" t="str">
        <f>""</f>
        <v/>
      </c>
    </row>
    <row r="2163" spans="1:13" ht="15.75">
      <c r="A2163">
        <v>2015</v>
      </c>
      <c r="B2163" s="777">
        <v>42348</v>
      </c>
      <c r="C2163" s="730">
        <v>0.89236111111111116</v>
      </c>
      <c r="D2163" s="777">
        <v>42348</v>
      </c>
      <c r="E2163" s="730">
        <v>0.9375</v>
      </c>
      <c r="F2163" s="558" t="s">
        <v>2818</v>
      </c>
      <c r="G2163" s="558" t="s">
        <v>63</v>
      </c>
      <c r="H2163" s="558" t="s">
        <v>2769</v>
      </c>
      <c r="I2163" s="679" t="s">
        <v>2764</v>
      </c>
      <c r="J2163" s="676">
        <v>400</v>
      </c>
      <c r="K2163" s="676">
        <v>1</v>
      </c>
      <c r="M2163" t="str">
        <f>""</f>
        <v/>
      </c>
    </row>
    <row r="2164" spans="1:13" ht="15.75">
      <c r="A2164">
        <v>2017</v>
      </c>
      <c r="B2164" s="777">
        <v>42806</v>
      </c>
      <c r="C2164" s="730">
        <v>0.41388888888888886</v>
      </c>
      <c r="D2164" s="777">
        <v>42806</v>
      </c>
      <c r="E2164" s="730">
        <v>0.47222222222222221</v>
      </c>
      <c r="F2164" s="558" t="s">
        <v>2920</v>
      </c>
      <c r="G2164" s="558" t="s">
        <v>124</v>
      </c>
      <c r="H2164" s="558" t="s">
        <v>2910</v>
      </c>
      <c r="I2164" s="679" t="s">
        <v>100</v>
      </c>
      <c r="J2164" s="676">
        <v>0</v>
      </c>
      <c r="K2164" s="676">
        <v>1</v>
      </c>
      <c r="M2164" t="str">
        <f>""</f>
        <v/>
      </c>
    </row>
    <row r="2165" spans="1:13" ht="15.75">
      <c r="A2165">
        <v>2019</v>
      </c>
      <c r="B2165" s="777">
        <v>43497</v>
      </c>
      <c r="C2165" s="730">
        <v>0.99791666666666667</v>
      </c>
      <c r="D2165" s="777">
        <v>43498</v>
      </c>
      <c r="E2165" s="730">
        <v>0.36736111111111114</v>
      </c>
      <c r="F2165" s="558" t="s">
        <v>2346</v>
      </c>
      <c r="G2165" s="558" t="s">
        <v>124</v>
      </c>
      <c r="H2165" s="558" t="s">
        <v>3356</v>
      </c>
      <c r="I2165" s="679" t="s">
        <v>100</v>
      </c>
      <c r="J2165" s="676" t="s">
        <v>5873</v>
      </c>
      <c r="K2165" s="676">
        <v>1</v>
      </c>
      <c r="M2165" t="str">
        <f>""</f>
        <v/>
      </c>
    </row>
    <row r="2166" spans="1:13" ht="15.75">
      <c r="A2166">
        <v>2019</v>
      </c>
      <c r="B2166" s="777">
        <v>43593</v>
      </c>
      <c r="C2166" s="730">
        <v>0.39027777777777778</v>
      </c>
      <c r="D2166" s="777">
        <v>43593</v>
      </c>
      <c r="E2166" s="730">
        <v>0.41388888888888886</v>
      </c>
      <c r="F2166" s="558" t="s">
        <v>3764</v>
      </c>
      <c r="G2166" s="558" t="s">
        <v>3143</v>
      </c>
      <c r="H2166" s="558" t="s">
        <v>3411</v>
      </c>
      <c r="I2166" s="679" t="s">
        <v>2483</v>
      </c>
      <c r="J2166" s="676">
        <v>29</v>
      </c>
      <c r="K2166" s="676">
        <v>1</v>
      </c>
      <c r="M2166" t="str">
        <f>""</f>
        <v/>
      </c>
    </row>
    <row r="2167" spans="1:13" ht="15.75">
      <c r="A2167">
        <v>2019</v>
      </c>
      <c r="B2167" s="777">
        <v>43623</v>
      </c>
      <c r="C2167" s="730">
        <v>0.61319444444444449</v>
      </c>
      <c r="D2167" s="777">
        <v>43623</v>
      </c>
      <c r="E2167" s="730">
        <v>0.68055555555555558</v>
      </c>
      <c r="F2167" s="558" t="s">
        <v>3801</v>
      </c>
      <c r="G2167" s="558" t="s">
        <v>1352</v>
      </c>
      <c r="H2167" s="558" t="s">
        <v>3411</v>
      </c>
      <c r="I2167" s="679" t="s">
        <v>2483</v>
      </c>
      <c r="J2167" s="676">
        <v>8</v>
      </c>
      <c r="K2167" s="676">
        <v>1</v>
      </c>
      <c r="M2167" t="str">
        <f>""</f>
        <v/>
      </c>
    </row>
    <row r="2168" spans="1:13" ht="15.75">
      <c r="A2168">
        <v>2019</v>
      </c>
      <c r="B2168" s="777">
        <v>43670</v>
      </c>
      <c r="C2168" s="730">
        <v>0.5625</v>
      </c>
      <c r="D2168" s="777">
        <v>43670</v>
      </c>
      <c r="E2168" s="730">
        <v>0.56319444444444444</v>
      </c>
      <c r="F2168" s="558" t="s">
        <v>3648</v>
      </c>
      <c r="G2168" s="558" t="s">
        <v>124</v>
      </c>
      <c r="H2168" s="558" t="s">
        <v>3356</v>
      </c>
      <c r="I2168" s="679" t="s">
        <v>100</v>
      </c>
      <c r="J2168" s="676" t="s">
        <v>5873</v>
      </c>
      <c r="K2168" s="676">
        <v>1</v>
      </c>
      <c r="M2168" t="str">
        <f>""</f>
        <v/>
      </c>
    </row>
    <row r="2169" spans="1:13" ht="15.75">
      <c r="A2169">
        <v>2019</v>
      </c>
      <c r="B2169" s="777">
        <v>43810</v>
      </c>
      <c r="C2169" s="730">
        <v>0.56041666666666667</v>
      </c>
      <c r="D2169" s="777">
        <v>43810</v>
      </c>
      <c r="E2169" s="730">
        <v>0.57708333333333328</v>
      </c>
      <c r="F2169" s="558" t="s">
        <v>4057</v>
      </c>
      <c r="G2169" s="558" t="s">
        <v>674</v>
      </c>
      <c r="H2169" s="558" t="s">
        <v>3411</v>
      </c>
      <c r="I2169" s="679" t="s">
        <v>2483</v>
      </c>
      <c r="J2169" s="676">
        <v>18</v>
      </c>
      <c r="K2169" s="676">
        <v>1</v>
      </c>
      <c r="M2169" t="str">
        <f>""</f>
        <v/>
      </c>
    </row>
    <row r="2170" spans="1:13" ht="15.75">
      <c r="A2170">
        <v>2020</v>
      </c>
      <c r="B2170" s="777">
        <v>43949</v>
      </c>
      <c r="C2170" s="730">
        <v>0.83402777777777781</v>
      </c>
      <c r="D2170" s="777">
        <v>43949</v>
      </c>
      <c r="E2170" s="730">
        <v>0.97291666666666665</v>
      </c>
      <c r="F2170" s="558" t="s">
        <v>4231</v>
      </c>
      <c r="G2170" s="558" t="s">
        <v>1352</v>
      </c>
      <c r="H2170" s="558" t="s">
        <v>3411</v>
      </c>
      <c r="I2170" s="679" t="s">
        <v>2483</v>
      </c>
      <c r="J2170" s="676">
        <v>14</v>
      </c>
      <c r="K2170" s="676">
        <v>1</v>
      </c>
      <c r="M2170" t="str">
        <f>""</f>
        <v/>
      </c>
    </row>
    <row r="2171" spans="1:13" ht="15.75">
      <c r="A2171">
        <v>2021</v>
      </c>
      <c r="B2171" s="777">
        <v>44354</v>
      </c>
      <c r="C2171" s="730">
        <v>0.93541666666666667</v>
      </c>
      <c r="D2171" s="777">
        <v>44355</v>
      </c>
      <c r="E2171" s="730">
        <v>2.2916666666666665E-2</v>
      </c>
      <c r="F2171" s="558" t="s">
        <v>4857</v>
      </c>
      <c r="G2171" s="558" t="s">
        <v>674</v>
      </c>
      <c r="H2171" s="558" t="s">
        <v>3411</v>
      </c>
      <c r="I2171" s="679" t="s">
        <v>2990</v>
      </c>
      <c r="J2171" s="676">
        <v>23</v>
      </c>
      <c r="K2171" s="676">
        <v>1</v>
      </c>
      <c r="M2171" t="str">
        <f>""</f>
        <v/>
      </c>
    </row>
    <row r="2172" spans="1:13" ht="15.75">
      <c r="A2172">
        <v>2021</v>
      </c>
      <c r="B2172" s="777">
        <v>44447</v>
      </c>
      <c r="C2172" s="730">
        <v>0.51041666666666663</v>
      </c>
      <c r="D2172" s="777">
        <v>44447</v>
      </c>
      <c r="E2172" s="730">
        <v>0.52638888888888891</v>
      </c>
      <c r="F2172" s="558" t="s">
        <v>5006</v>
      </c>
      <c r="G2172" s="558" t="s">
        <v>674</v>
      </c>
      <c r="H2172" s="558" t="s">
        <v>3411</v>
      </c>
      <c r="I2172" s="679" t="s">
        <v>2483</v>
      </c>
      <c r="J2172" s="676">
        <v>37</v>
      </c>
      <c r="K2172" s="676">
        <v>1</v>
      </c>
      <c r="M2172" t="str">
        <f>""</f>
        <v/>
      </c>
    </row>
    <row r="2173" spans="1:13" ht="15.75">
      <c r="A2173">
        <v>2021</v>
      </c>
      <c r="B2173" s="777">
        <v>44449</v>
      </c>
      <c r="C2173" s="730">
        <v>0.47013888888888888</v>
      </c>
      <c r="D2173" s="777">
        <v>44449</v>
      </c>
      <c r="E2173" s="730">
        <v>0.47152777777777777</v>
      </c>
      <c r="F2173" s="558" t="s">
        <v>5009</v>
      </c>
      <c r="G2173" s="558" t="s">
        <v>674</v>
      </c>
      <c r="H2173" s="558" t="s">
        <v>3411</v>
      </c>
      <c r="I2173" s="679" t="s">
        <v>2483</v>
      </c>
      <c r="J2173" s="676">
        <v>6</v>
      </c>
      <c r="K2173" s="676">
        <v>1</v>
      </c>
      <c r="M2173" t="str">
        <f>""</f>
        <v/>
      </c>
    </row>
    <row r="2174" spans="1:13" ht="15.75">
      <c r="A2174">
        <v>2021</v>
      </c>
      <c r="B2174" s="777">
        <v>44488</v>
      </c>
      <c r="C2174" s="730">
        <v>0.64861111111111114</v>
      </c>
      <c r="D2174" s="777">
        <v>44488</v>
      </c>
      <c r="E2174" s="730">
        <v>0.68472222222222223</v>
      </c>
      <c r="F2174" s="558" t="s">
        <v>5057</v>
      </c>
      <c r="G2174" s="558" t="s">
        <v>3143</v>
      </c>
      <c r="H2174" s="558" t="s">
        <v>3411</v>
      </c>
      <c r="I2174" s="679" t="s">
        <v>2764</v>
      </c>
      <c r="J2174" s="676">
        <v>42</v>
      </c>
      <c r="K2174" s="676">
        <v>1</v>
      </c>
      <c r="M2174" t="str">
        <f>""</f>
        <v/>
      </c>
    </row>
    <row r="2175" spans="1:13" ht="15.75">
      <c r="A2175">
        <v>2023</v>
      </c>
      <c r="B2175" s="777">
        <v>45274</v>
      </c>
      <c r="C2175" s="532">
        <v>0.44791666666666669</v>
      </c>
      <c r="D2175" s="678">
        <v>45274</v>
      </c>
      <c r="E2175" s="532">
        <v>0.46250000000000002</v>
      </c>
      <c r="F2175" t="s">
        <v>6026</v>
      </c>
      <c r="G2175" t="s">
        <v>124</v>
      </c>
      <c r="H2175" t="s">
        <v>3411</v>
      </c>
      <c r="I2175" s="677" t="s">
        <v>45</v>
      </c>
      <c r="J2175" s="783">
        <v>20</v>
      </c>
      <c r="K2175" s="783">
        <v>1</v>
      </c>
      <c r="M2175" t="str">
        <f>""</f>
        <v/>
      </c>
    </row>
    <row r="2176" spans="1:13" ht="15.75">
      <c r="A2176">
        <v>2023</v>
      </c>
      <c r="B2176" s="777">
        <v>45034</v>
      </c>
      <c r="C2176" s="730">
        <v>0.44166666666666665</v>
      </c>
      <c r="D2176" s="777">
        <v>45035</v>
      </c>
      <c r="E2176" s="730">
        <v>0.46388888888888891</v>
      </c>
      <c r="F2176" s="558" t="s">
        <v>5840</v>
      </c>
      <c r="G2176" s="558" t="s">
        <v>674</v>
      </c>
      <c r="H2176" s="558" t="s">
        <v>3411</v>
      </c>
      <c r="I2176" s="679" t="s">
        <v>2764</v>
      </c>
      <c r="J2176" s="676">
        <v>4</v>
      </c>
      <c r="K2176" s="676">
        <v>1</v>
      </c>
      <c r="M2176" t="str">
        <f>""</f>
        <v/>
      </c>
    </row>
    <row r="2177" spans="1:13" ht="15.75">
      <c r="A2177" s="728">
        <v>2010</v>
      </c>
      <c r="B2177" s="777">
        <v>40210</v>
      </c>
      <c r="C2177" s="730">
        <v>0.60555555555555551</v>
      </c>
      <c r="D2177" s="777">
        <v>40210</v>
      </c>
      <c r="E2177" s="730">
        <v>0.70833333333333337</v>
      </c>
      <c r="F2177" s="558" t="s">
        <v>10</v>
      </c>
      <c r="G2177" s="558" t="s">
        <v>58</v>
      </c>
      <c r="H2177" s="558" t="s">
        <v>5873</v>
      </c>
      <c r="I2177" s="679" t="s">
        <v>1859</v>
      </c>
      <c r="J2177" s="676">
        <v>30</v>
      </c>
      <c r="K2177" s="676">
        <v>0</v>
      </c>
      <c r="M2177" t="str">
        <f>""</f>
        <v/>
      </c>
    </row>
    <row r="2178" spans="1:13" ht="15.75">
      <c r="A2178">
        <v>2011</v>
      </c>
      <c r="B2178" s="777">
        <v>40554</v>
      </c>
      <c r="C2178" s="730">
        <v>0.96388888888888891</v>
      </c>
      <c r="D2178" s="777">
        <v>40554</v>
      </c>
      <c r="E2178" s="730">
        <v>0.96388888888888891</v>
      </c>
      <c r="F2178" s="558" t="s">
        <v>2111</v>
      </c>
      <c r="G2178" s="558" t="s">
        <v>61</v>
      </c>
      <c r="H2178" s="558" t="s">
        <v>5873</v>
      </c>
      <c r="I2178" s="679" t="s">
        <v>2112</v>
      </c>
      <c r="J2178" s="676">
        <v>0</v>
      </c>
      <c r="K2178" s="676">
        <v>0</v>
      </c>
      <c r="M2178" t="str">
        <f>""</f>
        <v/>
      </c>
    </row>
    <row r="2179" spans="1:13" ht="15.75">
      <c r="A2179">
        <v>2011</v>
      </c>
      <c r="B2179" s="777">
        <v>40561</v>
      </c>
      <c r="C2179" s="730">
        <v>0.58333333333333337</v>
      </c>
      <c r="D2179" s="777">
        <v>40561</v>
      </c>
      <c r="E2179" s="730">
        <v>0.58333333333333337</v>
      </c>
      <c r="F2179" s="558" t="s">
        <v>2115</v>
      </c>
      <c r="G2179" s="558" t="s">
        <v>61</v>
      </c>
      <c r="H2179" s="558" t="s">
        <v>5873</v>
      </c>
      <c r="I2179" s="679" t="s">
        <v>100</v>
      </c>
      <c r="J2179" s="676">
        <v>0</v>
      </c>
      <c r="K2179" s="676">
        <v>0</v>
      </c>
      <c r="M2179" t="str">
        <f>""</f>
        <v/>
      </c>
    </row>
    <row r="2180" spans="1:13" ht="15.75">
      <c r="A2180">
        <v>2011</v>
      </c>
      <c r="B2180" s="777">
        <v>40566</v>
      </c>
      <c r="C2180" s="730">
        <v>0.29166666666666669</v>
      </c>
      <c r="D2180" s="777">
        <v>40566</v>
      </c>
      <c r="E2180" s="730">
        <v>0.54166666666666663</v>
      </c>
      <c r="F2180" s="558" t="s">
        <v>2116</v>
      </c>
      <c r="G2180" s="558" t="s">
        <v>124</v>
      </c>
      <c r="H2180" s="558" t="s">
        <v>5873</v>
      </c>
      <c r="I2180" s="679" t="s">
        <v>100</v>
      </c>
      <c r="J2180" s="676">
        <v>0</v>
      </c>
      <c r="K2180" s="676">
        <v>0</v>
      </c>
      <c r="M2180" t="str">
        <f>""</f>
        <v/>
      </c>
    </row>
    <row r="2181" spans="1:13" ht="15.75">
      <c r="A2181">
        <v>2011</v>
      </c>
      <c r="B2181" s="777">
        <v>40567</v>
      </c>
      <c r="C2181" s="730">
        <v>0.55555555555555558</v>
      </c>
      <c r="D2181" s="777">
        <v>40567</v>
      </c>
      <c r="E2181" s="730">
        <v>0.5625</v>
      </c>
      <c r="F2181" s="558" t="s">
        <v>2117</v>
      </c>
      <c r="G2181" s="558" t="s">
        <v>124</v>
      </c>
      <c r="H2181" s="558" t="s">
        <v>5873</v>
      </c>
      <c r="I2181" s="679" t="s">
        <v>2118</v>
      </c>
      <c r="J2181" s="676">
        <v>0</v>
      </c>
      <c r="K2181" s="676">
        <v>0</v>
      </c>
      <c r="M2181" t="str">
        <f>""</f>
        <v/>
      </c>
    </row>
    <row r="2182" spans="1:13" ht="15.75">
      <c r="A2182">
        <v>2011</v>
      </c>
      <c r="B2182" s="777">
        <v>40568</v>
      </c>
      <c r="C2182" s="730">
        <v>0.14097222222222222</v>
      </c>
      <c r="D2182" s="777">
        <v>40568</v>
      </c>
      <c r="E2182" s="730">
        <v>0.45833333333333331</v>
      </c>
      <c r="F2182" s="558" t="s">
        <v>2119</v>
      </c>
      <c r="G2182" s="558" t="s">
        <v>826</v>
      </c>
      <c r="H2182" s="558" t="s">
        <v>5873</v>
      </c>
      <c r="I2182" s="679" t="s">
        <v>100</v>
      </c>
      <c r="J2182" s="676">
        <v>0</v>
      </c>
      <c r="K2182" s="676">
        <v>0</v>
      </c>
      <c r="M2182" t="str">
        <f>""</f>
        <v/>
      </c>
    </row>
    <row r="2183" spans="1:13" ht="15.75">
      <c r="A2183">
        <v>2011</v>
      </c>
      <c r="B2183" s="777">
        <v>40569</v>
      </c>
      <c r="C2183" s="730">
        <v>0.3923611111111111</v>
      </c>
      <c r="D2183" s="777">
        <v>40570</v>
      </c>
      <c r="E2183" s="730">
        <v>0.70833333333333337</v>
      </c>
      <c r="F2183" s="558" t="s">
        <v>2120</v>
      </c>
      <c r="G2183" s="558" t="s">
        <v>124</v>
      </c>
      <c r="H2183" s="558" t="s">
        <v>5873</v>
      </c>
      <c r="I2183" s="679" t="s">
        <v>2121</v>
      </c>
      <c r="J2183" s="676">
        <v>0</v>
      </c>
      <c r="K2183" s="676">
        <v>0</v>
      </c>
      <c r="M2183" t="str">
        <f>""</f>
        <v/>
      </c>
    </row>
    <row r="2184" spans="1:13" ht="15.75">
      <c r="A2184">
        <v>2011</v>
      </c>
      <c r="B2184" s="777">
        <v>40569</v>
      </c>
      <c r="C2184" s="730">
        <v>0.39791666666666664</v>
      </c>
      <c r="D2184" s="777">
        <v>40570</v>
      </c>
      <c r="E2184" s="730">
        <v>0.62708333333333333</v>
      </c>
      <c r="F2184" s="558" t="s">
        <v>1833</v>
      </c>
      <c r="G2184" s="558" t="s">
        <v>826</v>
      </c>
      <c r="H2184" s="558" t="s">
        <v>5873</v>
      </c>
      <c r="I2184" s="679" t="s">
        <v>100</v>
      </c>
      <c r="J2184" s="676">
        <v>0</v>
      </c>
      <c r="K2184" s="676">
        <v>0</v>
      </c>
      <c r="M2184" t="str">
        <f>""</f>
        <v/>
      </c>
    </row>
    <row r="2185" spans="1:13" ht="15.75">
      <c r="A2185">
        <v>2011</v>
      </c>
      <c r="B2185" s="777">
        <v>40570</v>
      </c>
      <c r="C2185" s="730">
        <v>0.39583333333333331</v>
      </c>
      <c r="D2185" s="777">
        <v>40570</v>
      </c>
      <c r="E2185" s="730">
        <v>0.39583333333333331</v>
      </c>
      <c r="F2185" s="558" t="s">
        <v>2124</v>
      </c>
      <c r="G2185" s="558" t="s">
        <v>826</v>
      </c>
      <c r="H2185" s="558" t="s">
        <v>5873</v>
      </c>
      <c r="I2185" s="679" t="s">
        <v>100</v>
      </c>
      <c r="J2185" s="676">
        <v>0</v>
      </c>
      <c r="K2185" s="676">
        <v>0</v>
      </c>
      <c r="M2185" t="str">
        <f>""</f>
        <v/>
      </c>
    </row>
    <row r="2186" spans="1:13" ht="15.75">
      <c r="A2186">
        <v>2011</v>
      </c>
      <c r="B2186" s="777">
        <v>40577</v>
      </c>
      <c r="C2186" s="730">
        <v>0.60416666666666663</v>
      </c>
      <c r="D2186" s="777">
        <v>40577</v>
      </c>
      <c r="E2186" s="730">
        <v>0.60416666666666663</v>
      </c>
      <c r="F2186" s="558" t="s">
        <v>2138</v>
      </c>
      <c r="G2186" s="558" t="s">
        <v>826</v>
      </c>
      <c r="H2186" s="558" t="s">
        <v>5873</v>
      </c>
      <c r="I2186" s="679" t="s">
        <v>2139</v>
      </c>
      <c r="J2186" s="676" t="s">
        <v>5873</v>
      </c>
      <c r="K2186" s="676">
        <v>0</v>
      </c>
      <c r="M2186" t="str">
        <f>""</f>
        <v/>
      </c>
    </row>
    <row r="2187" spans="1:13" ht="15.75">
      <c r="A2187">
        <v>2011</v>
      </c>
      <c r="B2187" s="777">
        <v>40583</v>
      </c>
      <c r="C2187" s="730">
        <v>0.62083333333333335</v>
      </c>
      <c r="D2187" s="777">
        <v>40583</v>
      </c>
      <c r="E2187" s="730">
        <v>0.70833333333333337</v>
      </c>
      <c r="F2187" s="558" t="s">
        <v>2141</v>
      </c>
      <c r="G2187" s="558" t="s">
        <v>124</v>
      </c>
      <c r="H2187" s="558" t="s">
        <v>5873</v>
      </c>
      <c r="I2187" s="679" t="s">
        <v>100</v>
      </c>
      <c r="J2187" s="676">
        <v>0</v>
      </c>
      <c r="K2187" s="676">
        <v>0</v>
      </c>
      <c r="M2187" t="str">
        <f>""</f>
        <v/>
      </c>
    </row>
    <row r="2188" spans="1:13" ht="15.75">
      <c r="A2188">
        <v>2011</v>
      </c>
      <c r="B2188" s="777">
        <v>40584</v>
      </c>
      <c r="C2188" s="730">
        <v>0.54166666666666663</v>
      </c>
      <c r="D2188" s="777">
        <v>40584</v>
      </c>
      <c r="E2188" s="730">
        <v>0.54166666666666663</v>
      </c>
      <c r="F2188" s="558" t="s">
        <v>2143</v>
      </c>
      <c r="G2188" s="558" t="s">
        <v>124</v>
      </c>
      <c r="H2188" s="558" t="s">
        <v>5873</v>
      </c>
      <c r="I2188" s="679" t="s">
        <v>100</v>
      </c>
      <c r="J2188" s="676">
        <v>0</v>
      </c>
      <c r="K2188" s="676">
        <v>0</v>
      </c>
      <c r="M2188" t="str">
        <f>""</f>
        <v/>
      </c>
    </row>
    <row r="2189" spans="1:13" ht="15.75">
      <c r="A2189">
        <v>2011</v>
      </c>
      <c r="B2189" s="777">
        <v>40591</v>
      </c>
      <c r="C2189" s="730">
        <v>0.54166666666666663</v>
      </c>
      <c r="D2189" s="777">
        <v>40597</v>
      </c>
      <c r="E2189" s="730">
        <v>0.70347222222222228</v>
      </c>
      <c r="F2189" s="558" t="s">
        <v>2144</v>
      </c>
      <c r="G2189" s="558" t="s">
        <v>124</v>
      </c>
      <c r="H2189" s="558" t="s">
        <v>5873</v>
      </c>
      <c r="I2189" s="679" t="s">
        <v>2139</v>
      </c>
      <c r="J2189" s="676">
        <v>0</v>
      </c>
      <c r="K2189" s="676">
        <v>0</v>
      </c>
      <c r="M2189" t="str">
        <f>""</f>
        <v/>
      </c>
    </row>
    <row r="2190" spans="1:13" ht="15.75">
      <c r="A2190">
        <v>2011</v>
      </c>
      <c r="B2190" s="777">
        <v>40593</v>
      </c>
      <c r="C2190" s="730">
        <v>0.69027777777777777</v>
      </c>
      <c r="D2190" s="777">
        <v>40593</v>
      </c>
      <c r="E2190" s="730">
        <v>0.69027777777777777</v>
      </c>
      <c r="F2190" s="558" t="s">
        <v>2145</v>
      </c>
      <c r="G2190" s="558" t="s">
        <v>826</v>
      </c>
      <c r="H2190" s="558" t="s">
        <v>5873</v>
      </c>
      <c r="I2190" s="679" t="s">
        <v>100</v>
      </c>
      <c r="J2190" s="676">
        <v>0</v>
      </c>
      <c r="K2190" s="676">
        <v>0</v>
      </c>
      <c r="M2190" t="str">
        <f>""</f>
        <v/>
      </c>
    </row>
    <row r="2191" spans="1:13" ht="15.75">
      <c r="A2191">
        <v>2011</v>
      </c>
      <c r="B2191" s="777">
        <v>40599</v>
      </c>
      <c r="C2191" s="730">
        <v>0.4375</v>
      </c>
      <c r="D2191" s="777">
        <v>40599</v>
      </c>
      <c r="E2191" s="730">
        <v>0.44791666666666669</v>
      </c>
      <c r="F2191" s="558" t="s">
        <v>2147</v>
      </c>
      <c r="G2191" s="558" t="s">
        <v>124</v>
      </c>
      <c r="H2191" s="558" t="s">
        <v>5873</v>
      </c>
      <c r="I2191" s="679" t="s">
        <v>100</v>
      </c>
      <c r="J2191" s="676">
        <v>0</v>
      </c>
      <c r="K2191" s="676">
        <v>0</v>
      </c>
      <c r="M2191" t="str">
        <f>""</f>
        <v/>
      </c>
    </row>
    <row r="2192" spans="1:13" ht="15.75">
      <c r="A2192">
        <v>2011</v>
      </c>
      <c r="B2192" s="777">
        <v>40608</v>
      </c>
      <c r="C2192" s="730">
        <v>0.12083333333333333</v>
      </c>
      <c r="D2192" s="777">
        <v>40610</v>
      </c>
      <c r="E2192" s="730">
        <v>0.33333333333333331</v>
      </c>
      <c r="F2192" s="558" t="s">
        <v>2149</v>
      </c>
      <c r="G2192" s="558" t="s">
        <v>124</v>
      </c>
      <c r="H2192" s="558" t="s">
        <v>5873</v>
      </c>
      <c r="I2192" s="679" t="s">
        <v>100</v>
      </c>
      <c r="J2192" s="676" t="s">
        <v>5873</v>
      </c>
      <c r="K2192" s="676">
        <v>0</v>
      </c>
      <c r="M2192" t="str">
        <f>""</f>
        <v/>
      </c>
    </row>
    <row r="2193" spans="1:13" ht="15.75">
      <c r="A2193">
        <v>2011</v>
      </c>
      <c r="B2193" s="777">
        <v>40636</v>
      </c>
      <c r="C2193" s="730">
        <v>0.84930555555555554</v>
      </c>
      <c r="D2193" s="777">
        <v>40638</v>
      </c>
      <c r="E2193" s="730">
        <v>0.625</v>
      </c>
      <c r="F2193" s="558" t="s">
        <v>5873</v>
      </c>
      <c r="G2193" s="558" t="s">
        <v>63</v>
      </c>
      <c r="H2193" s="558" t="s">
        <v>5873</v>
      </c>
      <c r="I2193" s="679" t="s">
        <v>2139</v>
      </c>
      <c r="J2193" s="676">
        <v>0</v>
      </c>
      <c r="K2193" s="676">
        <v>0</v>
      </c>
      <c r="M2193" t="str">
        <f>""</f>
        <v/>
      </c>
    </row>
    <row r="2194" spans="1:13" ht="15.75">
      <c r="A2194">
        <v>2011</v>
      </c>
      <c r="B2194" s="777">
        <v>40639</v>
      </c>
      <c r="C2194" s="730">
        <v>0.4513888888888889</v>
      </c>
      <c r="D2194" s="777">
        <v>40639</v>
      </c>
      <c r="E2194" s="730">
        <v>0.4513888888888889</v>
      </c>
      <c r="F2194" s="558" t="s">
        <v>2170</v>
      </c>
      <c r="G2194" s="558" t="s">
        <v>826</v>
      </c>
      <c r="H2194" s="558" t="s">
        <v>5873</v>
      </c>
      <c r="I2194" s="679" t="s">
        <v>100</v>
      </c>
      <c r="J2194" s="676">
        <v>0</v>
      </c>
      <c r="K2194" s="676">
        <v>0</v>
      </c>
      <c r="M2194" t="str">
        <f>""</f>
        <v/>
      </c>
    </row>
    <row r="2195" spans="1:13" ht="15.75">
      <c r="A2195">
        <v>2011</v>
      </c>
      <c r="B2195" s="777">
        <v>40644</v>
      </c>
      <c r="C2195" s="730">
        <v>0.73611111111111116</v>
      </c>
      <c r="D2195" s="777">
        <v>40644</v>
      </c>
      <c r="E2195" s="730">
        <v>0.74375000000000002</v>
      </c>
      <c r="F2195" s="558" t="s">
        <v>2147</v>
      </c>
      <c r="G2195" s="558" t="s">
        <v>124</v>
      </c>
      <c r="H2195" s="558" t="s">
        <v>5873</v>
      </c>
      <c r="I2195" s="679" t="s">
        <v>2118</v>
      </c>
      <c r="J2195" s="676">
        <v>0</v>
      </c>
      <c r="K2195" s="676">
        <v>0</v>
      </c>
      <c r="M2195" t="str">
        <f>""</f>
        <v/>
      </c>
    </row>
    <row r="2196" spans="1:13" ht="15.75">
      <c r="A2196">
        <v>2011</v>
      </c>
      <c r="B2196" s="777">
        <v>40652</v>
      </c>
      <c r="C2196" s="730">
        <v>0.58402777777777781</v>
      </c>
      <c r="D2196" s="777">
        <v>40652</v>
      </c>
      <c r="E2196" s="730">
        <v>0.6694444444444444</v>
      </c>
      <c r="F2196" s="558" t="s">
        <v>2172</v>
      </c>
      <c r="G2196" s="558" t="s">
        <v>124</v>
      </c>
      <c r="H2196" s="558" t="s">
        <v>5873</v>
      </c>
      <c r="I2196" s="679" t="s">
        <v>100</v>
      </c>
      <c r="J2196" s="676">
        <v>0</v>
      </c>
      <c r="K2196" s="676">
        <v>0</v>
      </c>
      <c r="M2196" t="str">
        <f>""</f>
        <v/>
      </c>
    </row>
    <row r="2197" spans="1:13" ht="15.75">
      <c r="A2197">
        <v>2011</v>
      </c>
      <c r="B2197" s="777">
        <v>40654</v>
      </c>
      <c r="C2197" s="730">
        <v>0.30208333333333331</v>
      </c>
      <c r="D2197" s="777">
        <v>40654</v>
      </c>
      <c r="E2197" s="730">
        <v>0.70138888888888884</v>
      </c>
      <c r="F2197" s="558" t="s">
        <v>2177</v>
      </c>
      <c r="G2197" s="558" t="s">
        <v>124</v>
      </c>
      <c r="H2197" s="558" t="s">
        <v>5873</v>
      </c>
      <c r="I2197" s="679" t="s">
        <v>100</v>
      </c>
      <c r="J2197" s="676">
        <v>0</v>
      </c>
      <c r="K2197" s="676">
        <v>0</v>
      </c>
      <c r="M2197" t="str">
        <f>""</f>
        <v/>
      </c>
    </row>
    <row r="2198" spans="1:13" ht="15.75">
      <c r="A2198">
        <v>2011</v>
      </c>
      <c r="B2198" s="777">
        <v>40659</v>
      </c>
      <c r="C2198" s="730">
        <v>0.5444444444444444</v>
      </c>
      <c r="D2198" s="777">
        <v>40659</v>
      </c>
      <c r="E2198" s="730">
        <v>0.58333333333333337</v>
      </c>
      <c r="F2198" s="558" t="s">
        <v>2147</v>
      </c>
      <c r="G2198" s="558" t="s">
        <v>124</v>
      </c>
      <c r="H2198" s="558" t="s">
        <v>5873</v>
      </c>
      <c r="I2198" s="679" t="s">
        <v>100</v>
      </c>
      <c r="J2198" s="676">
        <v>0</v>
      </c>
      <c r="K2198" s="676">
        <v>0</v>
      </c>
      <c r="M2198" t="str">
        <f>""</f>
        <v/>
      </c>
    </row>
    <row r="2199" spans="1:13" ht="15.75">
      <c r="A2199">
        <v>2011</v>
      </c>
      <c r="B2199" s="777">
        <v>40665</v>
      </c>
      <c r="C2199" s="730">
        <v>0.58333333333333337</v>
      </c>
      <c r="D2199" s="777">
        <v>40665</v>
      </c>
      <c r="E2199" s="730">
        <v>0.58333333333333337</v>
      </c>
      <c r="F2199" s="558" t="s">
        <v>2187</v>
      </c>
      <c r="G2199" s="558" t="s">
        <v>61</v>
      </c>
      <c r="H2199" s="558" t="s">
        <v>5873</v>
      </c>
      <c r="I2199" s="679" t="s">
        <v>2150</v>
      </c>
      <c r="J2199" s="676">
        <v>0</v>
      </c>
      <c r="K2199" s="676">
        <v>0</v>
      </c>
      <c r="M2199" t="str">
        <f>""</f>
        <v/>
      </c>
    </row>
    <row r="2200" spans="1:13" ht="15.75">
      <c r="A2200">
        <v>2011</v>
      </c>
      <c r="B2200" s="777">
        <v>40665</v>
      </c>
      <c r="C2200" s="730">
        <v>0.36944444444444446</v>
      </c>
      <c r="D2200" s="777">
        <v>40665</v>
      </c>
      <c r="E2200" s="730">
        <v>0.44861111111111113</v>
      </c>
      <c r="F2200" s="558" t="s">
        <v>2188</v>
      </c>
      <c r="G2200" s="558" t="s">
        <v>124</v>
      </c>
      <c r="H2200" s="558" t="s">
        <v>5873</v>
      </c>
      <c r="I2200" s="679" t="s">
        <v>100</v>
      </c>
      <c r="J2200" s="676">
        <v>0</v>
      </c>
      <c r="K2200" s="676">
        <v>0</v>
      </c>
      <c r="M2200" t="str">
        <f>""</f>
        <v/>
      </c>
    </row>
    <row r="2201" spans="1:13" ht="15.75">
      <c r="A2201">
        <v>2011</v>
      </c>
      <c r="B2201" s="777">
        <v>40666</v>
      </c>
      <c r="C2201" s="730">
        <v>0.5</v>
      </c>
      <c r="D2201" s="777">
        <v>40668</v>
      </c>
      <c r="E2201" s="730">
        <v>0.5</v>
      </c>
      <c r="F2201" s="558" t="s">
        <v>2189</v>
      </c>
      <c r="G2201" s="558" t="s">
        <v>61</v>
      </c>
      <c r="H2201" s="558" t="s">
        <v>5873</v>
      </c>
      <c r="I2201" s="679" t="s">
        <v>2150</v>
      </c>
      <c r="J2201" s="676">
        <v>0</v>
      </c>
      <c r="K2201" s="676">
        <v>0</v>
      </c>
      <c r="M2201" t="str">
        <f>""</f>
        <v/>
      </c>
    </row>
    <row r="2202" spans="1:13" ht="15.75">
      <c r="A2202">
        <v>2011</v>
      </c>
      <c r="B2202" s="777">
        <v>40667</v>
      </c>
      <c r="C2202" s="730">
        <v>0.54722222222222228</v>
      </c>
      <c r="D2202" s="777">
        <v>40667</v>
      </c>
      <c r="E2202" s="730">
        <v>0.55902777777777779</v>
      </c>
      <c r="F2202" s="558" t="s">
        <v>2123</v>
      </c>
      <c r="G2202" s="558" t="s">
        <v>826</v>
      </c>
      <c r="H2202" s="558" t="s">
        <v>5873</v>
      </c>
      <c r="I2202" s="679" t="s">
        <v>2150</v>
      </c>
      <c r="J2202" s="676">
        <v>0</v>
      </c>
      <c r="K2202" s="676">
        <v>0</v>
      </c>
      <c r="M2202" t="str">
        <f>""</f>
        <v/>
      </c>
    </row>
    <row r="2203" spans="1:13" ht="15.75">
      <c r="A2203">
        <v>2011</v>
      </c>
      <c r="B2203" s="777">
        <v>40667</v>
      </c>
      <c r="C2203" s="730">
        <v>0.51388888888888884</v>
      </c>
      <c r="D2203" s="777">
        <v>40667</v>
      </c>
      <c r="E2203" s="730">
        <v>0.65277777777777779</v>
      </c>
      <c r="F2203" s="558" t="s">
        <v>1833</v>
      </c>
      <c r="G2203" s="558" t="s">
        <v>826</v>
      </c>
      <c r="H2203" s="558" t="s">
        <v>5873</v>
      </c>
      <c r="I2203" s="679" t="s">
        <v>2190</v>
      </c>
      <c r="J2203" s="676">
        <v>0</v>
      </c>
      <c r="K2203" s="676">
        <v>0</v>
      </c>
      <c r="M2203" t="str">
        <f>""</f>
        <v/>
      </c>
    </row>
    <row r="2204" spans="1:13" ht="15.75">
      <c r="A2204">
        <v>2011</v>
      </c>
      <c r="B2204" s="777">
        <v>40668</v>
      </c>
      <c r="C2204" s="730">
        <v>0.38541666666666669</v>
      </c>
      <c r="D2204" s="777">
        <v>40668</v>
      </c>
      <c r="E2204" s="730">
        <v>0.38541666666666669</v>
      </c>
      <c r="F2204" s="558" t="s">
        <v>1115</v>
      </c>
      <c r="G2204" s="558" t="s">
        <v>61</v>
      </c>
      <c r="H2204" s="558" t="s">
        <v>5873</v>
      </c>
      <c r="I2204" s="679" t="s">
        <v>100</v>
      </c>
      <c r="J2204" s="676">
        <v>0</v>
      </c>
      <c r="K2204" s="676">
        <v>0</v>
      </c>
      <c r="M2204" t="str">
        <f>""</f>
        <v/>
      </c>
    </row>
    <row r="2205" spans="1:13" ht="15.75">
      <c r="A2205">
        <v>2011</v>
      </c>
      <c r="B2205" s="777">
        <v>40669</v>
      </c>
      <c r="C2205" s="730">
        <v>0.28888888888888886</v>
      </c>
      <c r="D2205" s="777">
        <v>40669</v>
      </c>
      <c r="E2205" s="730">
        <v>0.4375</v>
      </c>
      <c r="F2205" s="558" t="s">
        <v>2191</v>
      </c>
      <c r="G2205" s="558" t="s">
        <v>124</v>
      </c>
      <c r="H2205" s="558" t="s">
        <v>5873</v>
      </c>
      <c r="I2205" s="679" t="s">
        <v>100</v>
      </c>
      <c r="J2205" s="676">
        <v>0</v>
      </c>
      <c r="K2205" s="676">
        <v>0</v>
      </c>
      <c r="M2205" t="str">
        <f>""</f>
        <v/>
      </c>
    </row>
    <row r="2206" spans="1:13" ht="15.75">
      <c r="A2206">
        <v>2011</v>
      </c>
      <c r="B2206" s="777">
        <v>40671</v>
      </c>
      <c r="C2206" s="730">
        <v>0.81597222222222221</v>
      </c>
      <c r="D2206" s="777">
        <v>40671</v>
      </c>
      <c r="E2206" s="730">
        <v>0.81597222222222221</v>
      </c>
      <c r="F2206" s="558" t="s">
        <v>30</v>
      </c>
      <c r="G2206" s="558" t="s">
        <v>61</v>
      </c>
      <c r="H2206" s="558" t="s">
        <v>5873</v>
      </c>
      <c r="I2206" s="679" t="s">
        <v>100</v>
      </c>
      <c r="J2206" s="676" t="s">
        <v>5873</v>
      </c>
      <c r="K2206" s="676">
        <v>0</v>
      </c>
      <c r="M2206" t="str">
        <f>""</f>
        <v/>
      </c>
    </row>
    <row r="2207" spans="1:13" ht="15.75">
      <c r="A2207">
        <v>2011</v>
      </c>
      <c r="B2207" s="777">
        <v>40672</v>
      </c>
      <c r="C2207" s="730">
        <v>0.5493055555555556</v>
      </c>
      <c r="D2207" s="777">
        <v>40672</v>
      </c>
      <c r="E2207" s="730">
        <v>0.5493055555555556</v>
      </c>
      <c r="F2207" s="558" t="s">
        <v>2192</v>
      </c>
      <c r="G2207" s="558" t="s">
        <v>61</v>
      </c>
      <c r="H2207" s="558" t="s">
        <v>5873</v>
      </c>
      <c r="I2207" s="679" t="s">
        <v>100</v>
      </c>
      <c r="J2207" s="676">
        <v>0</v>
      </c>
      <c r="K2207" s="676">
        <v>0</v>
      </c>
      <c r="M2207" t="str">
        <f>""</f>
        <v/>
      </c>
    </row>
    <row r="2208" spans="1:13" ht="15.75">
      <c r="A2208">
        <v>2011</v>
      </c>
      <c r="B2208" s="777">
        <v>40673</v>
      </c>
      <c r="C2208" s="730">
        <v>0.57291666666666663</v>
      </c>
      <c r="D2208" s="777">
        <v>40673</v>
      </c>
      <c r="E2208" s="730">
        <v>0.625</v>
      </c>
      <c r="F2208" s="558" t="s">
        <v>1115</v>
      </c>
      <c r="G2208" s="558" t="s">
        <v>61</v>
      </c>
      <c r="H2208" s="558" t="s">
        <v>5873</v>
      </c>
      <c r="I2208" s="679" t="s">
        <v>100</v>
      </c>
      <c r="J2208" s="676">
        <v>0</v>
      </c>
      <c r="K2208" s="676">
        <v>0</v>
      </c>
      <c r="M2208" t="str">
        <f>""</f>
        <v/>
      </c>
    </row>
    <row r="2209" spans="1:13" ht="15.75">
      <c r="A2209">
        <v>2011</v>
      </c>
      <c r="B2209" s="777">
        <v>40674</v>
      </c>
      <c r="C2209" s="730">
        <v>0.66319444444444442</v>
      </c>
      <c r="D2209" s="777">
        <v>40675</v>
      </c>
      <c r="E2209" s="730">
        <v>0.58125000000000004</v>
      </c>
      <c r="F2209" s="558" t="s">
        <v>2196</v>
      </c>
      <c r="G2209" s="558" t="s">
        <v>674</v>
      </c>
      <c r="H2209" s="558" t="s">
        <v>5873</v>
      </c>
      <c r="I2209" s="679" t="s">
        <v>100</v>
      </c>
      <c r="J2209" s="676">
        <v>0</v>
      </c>
      <c r="K2209" s="676">
        <v>0</v>
      </c>
      <c r="M2209" t="str">
        <f>""</f>
        <v/>
      </c>
    </row>
    <row r="2210" spans="1:13" ht="15.75">
      <c r="A2210">
        <v>2011</v>
      </c>
      <c r="B2210" s="777">
        <v>40674</v>
      </c>
      <c r="C2210" s="730">
        <v>0.56597222222222221</v>
      </c>
      <c r="D2210" s="777">
        <v>40674</v>
      </c>
      <c r="E2210" s="730">
        <v>0.56597222222222221</v>
      </c>
      <c r="F2210" s="558" t="s">
        <v>2197</v>
      </c>
      <c r="G2210" s="558" t="s">
        <v>124</v>
      </c>
      <c r="H2210" s="558" t="s">
        <v>5873</v>
      </c>
      <c r="I2210" s="679" t="s">
        <v>100</v>
      </c>
      <c r="J2210" s="676">
        <v>0</v>
      </c>
      <c r="K2210" s="676">
        <v>0</v>
      </c>
      <c r="M2210" t="str">
        <f>""</f>
        <v/>
      </c>
    </row>
    <row r="2211" spans="1:13" ht="15.75">
      <c r="A2211">
        <v>2011</v>
      </c>
      <c r="B2211" s="777">
        <v>40674</v>
      </c>
      <c r="C2211" s="730">
        <v>0.45833333333333331</v>
      </c>
      <c r="D2211" s="777">
        <v>40674</v>
      </c>
      <c r="E2211" s="730">
        <v>0.47916666666666669</v>
      </c>
      <c r="F2211" s="558" t="s">
        <v>2198</v>
      </c>
      <c r="G2211" s="558" t="s">
        <v>61</v>
      </c>
      <c r="H2211" s="558" t="s">
        <v>5873</v>
      </c>
      <c r="I2211" s="679" t="s">
        <v>100</v>
      </c>
      <c r="J2211" s="676">
        <v>0</v>
      </c>
      <c r="K2211" s="676">
        <v>0</v>
      </c>
      <c r="M2211" t="str">
        <f>""</f>
        <v/>
      </c>
    </row>
    <row r="2212" spans="1:13" ht="15.75">
      <c r="A2212">
        <v>2011</v>
      </c>
      <c r="B2212" s="777">
        <v>40676</v>
      </c>
      <c r="C2212" s="730">
        <v>0.25</v>
      </c>
      <c r="D2212" s="777">
        <v>40676</v>
      </c>
      <c r="E2212" s="730">
        <v>0.25</v>
      </c>
      <c r="F2212" s="558" t="s">
        <v>2200</v>
      </c>
      <c r="G2212" s="558" t="s">
        <v>124</v>
      </c>
      <c r="H2212" s="558" t="s">
        <v>5873</v>
      </c>
      <c r="I2212" s="679" t="s">
        <v>100</v>
      </c>
      <c r="J2212" s="676">
        <v>0</v>
      </c>
      <c r="K2212" s="676">
        <v>0</v>
      </c>
      <c r="M2212" t="str">
        <f>""</f>
        <v/>
      </c>
    </row>
    <row r="2213" spans="1:13" ht="15.75">
      <c r="A2213">
        <v>2011</v>
      </c>
      <c r="B2213" s="777">
        <v>40687</v>
      </c>
      <c r="C2213" s="730">
        <v>0.375</v>
      </c>
      <c r="D2213" s="777">
        <v>40688</v>
      </c>
      <c r="E2213" s="730">
        <v>0.38194444444444442</v>
      </c>
      <c r="F2213" s="558" t="s">
        <v>478</v>
      </c>
      <c r="G2213" s="558" t="s">
        <v>826</v>
      </c>
      <c r="H2213" s="558" t="s">
        <v>5873</v>
      </c>
      <c r="I2213" s="679" t="s">
        <v>2202</v>
      </c>
      <c r="J2213" s="676">
        <v>0</v>
      </c>
      <c r="K2213" s="676">
        <v>0</v>
      </c>
      <c r="M2213" t="str">
        <f>""</f>
        <v/>
      </c>
    </row>
    <row r="2214" spans="1:13" ht="15.75">
      <c r="A2214">
        <v>2011</v>
      </c>
      <c r="B2214" s="777">
        <v>40703</v>
      </c>
      <c r="C2214" s="730">
        <v>0.59375</v>
      </c>
      <c r="D2214" s="777">
        <v>40703</v>
      </c>
      <c r="E2214" s="730">
        <v>0.59375</v>
      </c>
      <c r="F2214" s="558" t="s">
        <v>2223</v>
      </c>
      <c r="G2214" s="558" t="s">
        <v>124</v>
      </c>
      <c r="H2214" s="558" t="s">
        <v>5873</v>
      </c>
      <c r="I2214" s="679" t="s">
        <v>2150</v>
      </c>
      <c r="J2214" s="676">
        <v>0</v>
      </c>
      <c r="K2214" s="676">
        <v>0</v>
      </c>
      <c r="M2214" t="str">
        <f>""</f>
        <v/>
      </c>
    </row>
    <row r="2215" spans="1:13" ht="15.75">
      <c r="A2215">
        <v>2011</v>
      </c>
      <c r="B2215" s="777">
        <v>40714</v>
      </c>
      <c r="C2215" s="730">
        <v>0.44166666666666665</v>
      </c>
      <c r="D2215" s="777">
        <v>40714</v>
      </c>
      <c r="E2215" s="730">
        <v>0.44166666666666665</v>
      </c>
      <c r="F2215" s="558" t="s">
        <v>2228</v>
      </c>
      <c r="G2215" s="558" t="s">
        <v>124</v>
      </c>
      <c r="H2215" s="558" t="s">
        <v>5873</v>
      </c>
      <c r="I2215" s="679" t="s">
        <v>100</v>
      </c>
      <c r="J2215" s="676">
        <v>0</v>
      </c>
      <c r="K2215" s="676">
        <v>0</v>
      </c>
      <c r="M2215" t="str">
        <f>""</f>
        <v/>
      </c>
    </row>
    <row r="2216" spans="1:13" ht="15.75">
      <c r="A2216">
        <v>2011</v>
      </c>
      <c r="B2216" s="777">
        <v>40716</v>
      </c>
      <c r="C2216" s="730">
        <v>0.84166666666666667</v>
      </c>
      <c r="D2216" s="777">
        <v>40716</v>
      </c>
      <c r="E2216" s="730">
        <v>0.84166666666666667</v>
      </c>
      <c r="F2216" s="558" t="s">
        <v>2232</v>
      </c>
      <c r="G2216" s="558" t="s">
        <v>124</v>
      </c>
      <c r="H2216" s="558" t="s">
        <v>5873</v>
      </c>
      <c r="I2216" s="679" t="s">
        <v>100</v>
      </c>
      <c r="J2216" s="676">
        <v>0</v>
      </c>
      <c r="K2216" s="676">
        <v>0</v>
      </c>
      <c r="M2216" t="str">
        <f>""</f>
        <v/>
      </c>
    </row>
    <row r="2217" spans="1:13" ht="15.75">
      <c r="A2217">
        <v>2011</v>
      </c>
      <c r="B2217" s="777">
        <v>40717</v>
      </c>
      <c r="C2217" s="730">
        <v>0.34027777777777779</v>
      </c>
      <c r="D2217" s="777">
        <v>40717</v>
      </c>
      <c r="E2217" s="730">
        <v>0.375</v>
      </c>
      <c r="F2217" s="558" t="s">
        <v>2233</v>
      </c>
      <c r="G2217" s="558" t="s">
        <v>61</v>
      </c>
      <c r="H2217" s="558" t="s">
        <v>5873</v>
      </c>
      <c r="I2217" s="679" t="s">
        <v>100</v>
      </c>
      <c r="J2217" s="676">
        <v>0</v>
      </c>
      <c r="K2217" s="676">
        <v>0</v>
      </c>
      <c r="M2217" t="str">
        <f>""</f>
        <v/>
      </c>
    </row>
    <row r="2218" spans="1:13" ht="15.75">
      <c r="A2218">
        <v>2011</v>
      </c>
      <c r="B2218" s="777">
        <v>40721</v>
      </c>
      <c r="C2218" s="730">
        <v>0.625</v>
      </c>
      <c r="D2218" s="777">
        <v>40721</v>
      </c>
      <c r="E2218" s="730">
        <v>0.79166666666666663</v>
      </c>
      <c r="F2218" s="558" t="s">
        <v>166</v>
      </c>
      <c r="G2218" s="558" t="s">
        <v>1352</v>
      </c>
      <c r="H2218" s="558" t="s">
        <v>5873</v>
      </c>
      <c r="I2218" s="679" t="s">
        <v>2221</v>
      </c>
      <c r="J2218" s="676">
        <v>0</v>
      </c>
      <c r="K2218" s="676">
        <v>0</v>
      </c>
      <c r="M2218" t="str">
        <f>""</f>
        <v/>
      </c>
    </row>
    <row r="2219" spans="1:13" ht="15.75">
      <c r="A2219">
        <v>2011</v>
      </c>
      <c r="B2219" s="777">
        <v>40723</v>
      </c>
      <c r="C2219" s="730">
        <v>0.47916666666666669</v>
      </c>
      <c r="D2219" s="777">
        <v>40723</v>
      </c>
      <c r="E2219" s="730">
        <v>0.75277777777777777</v>
      </c>
      <c r="F2219" s="558" t="s">
        <v>2238</v>
      </c>
      <c r="G2219" s="558" t="s">
        <v>58</v>
      </c>
      <c r="H2219" s="558" t="s">
        <v>5873</v>
      </c>
      <c r="I2219" s="679" t="s">
        <v>2221</v>
      </c>
      <c r="J2219" s="676">
        <v>0</v>
      </c>
      <c r="K2219" s="676">
        <v>0</v>
      </c>
      <c r="M2219" t="str">
        <f>""</f>
        <v/>
      </c>
    </row>
    <row r="2220" spans="1:13" ht="15.75">
      <c r="A2220">
        <v>2011</v>
      </c>
      <c r="B2220" s="777">
        <v>40724</v>
      </c>
      <c r="C2220" s="730">
        <v>0.93819444444444444</v>
      </c>
      <c r="D2220" s="777">
        <v>40724</v>
      </c>
      <c r="E2220" s="730">
        <v>0.93819444444444444</v>
      </c>
      <c r="F2220" s="558" t="s">
        <v>2237</v>
      </c>
      <c r="G2220" s="558" t="s">
        <v>124</v>
      </c>
      <c r="H2220" s="558" t="s">
        <v>5873</v>
      </c>
      <c r="I2220" s="679" t="s">
        <v>100</v>
      </c>
      <c r="J2220" s="676">
        <v>0</v>
      </c>
      <c r="K2220" s="676">
        <v>0</v>
      </c>
      <c r="M2220" t="str">
        <f>""</f>
        <v/>
      </c>
    </row>
    <row r="2221" spans="1:13" ht="15.75">
      <c r="A2221">
        <v>2011</v>
      </c>
      <c r="B2221" s="777">
        <v>40725</v>
      </c>
      <c r="C2221" s="730">
        <v>0.33333333333333331</v>
      </c>
      <c r="D2221" s="777">
        <v>40725</v>
      </c>
      <c r="E2221" s="730">
        <v>0.33402777777777776</v>
      </c>
      <c r="F2221" s="558" t="s">
        <v>2240</v>
      </c>
      <c r="G2221" s="558" t="s">
        <v>61</v>
      </c>
      <c r="H2221" s="558" t="s">
        <v>5873</v>
      </c>
      <c r="I2221" s="679" t="s">
        <v>100</v>
      </c>
      <c r="J2221" s="676">
        <v>0</v>
      </c>
      <c r="K2221" s="676">
        <v>0</v>
      </c>
      <c r="M2221" t="str">
        <f>""</f>
        <v/>
      </c>
    </row>
    <row r="2222" spans="1:13" ht="15.75">
      <c r="A2222">
        <v>2011</v>
      </c>
      <c r="B2222" s="777">
        <v>40725</v>
      </c>
      <c r="C2222" s="730">
        <v>0.69305555555555554</v>
      </c>
      <c r="D2222" s="777">
        <v>40725</v>
      </c>
      <c r="E2222" s="730">
        <v>0.94305555555555554</v>
      </c>
      <c r="F2222" s="558" t="s">
        <v>2241</v>
      </c>
      <c r="G2222" s="558" t="s">
        <v>826</v>
      </c>
      <c r="H2222" s="558" t="s">
        <v>5873</v>
      </c>
      <c r="I2222" s="679" t="s">
        <v>100</v>
      </c>
      <c r="J2222" s="676" t="s">
        <v>5873</v>
      </c>
      <c r="K2222" s="676">
        <v>0</v>
      </c>
      <c r="M2222" t="str">
        <f>""</f>
        <v/>
      </c>
    </row>
    <row r="2223" spans="1:13" ht="15.75">
      <c r="A2223">
        <v>2011</v>
      </c>
      <c r="B2223" s="777">
        <v>40729</v>
      </c>
      <c r="C2223" s="730">
        <v>0.44444444444444442</v>
      </c>
      <c r="D2223" s="777">
        <v>40729</v>
      </c>
      <c r="E2223" s="730">
        <v>0.48402777777777778</v>
      </c>
      <c r="F2223" s="558" t="s">
        <v>2244</v>
      </c>
      <c r="G2223" s="558" t="s">
        <v>124</v>
      </c>
      <c r="H2223" s="558" t="s">
        <v>5873</v>
      </c>
      <c r="I2223" s="679" t="s">
        <v>100</v>
      </c>
      <c r="J2223" s="676">
        <v>0</v>
      </c>
      <c r="K2223" s="676">
        <v>0</v>
      </c>
      <c r="M2223" t="str">
        <f>""</f>
        <v/>
      </c>
    </row>
    <row r="2224" spans="1:13" ht="15.75">
      <c r="A2224">
        <v>2011</v>
      </c>
      <c r="B2224" s="777">
        <v>40732</v>
      </c>
      <c r="C2224" s="730">
        <v>0.41666666666666669</v>
      </c>
      <c r="D2224" s="777">
        <v>40732</v>
      </c>
      <c r="E2224" s="730">
        <v>0.41666666666666669</v>
      </c>
      <c r="F2224" s="558" t="s">
        <v>2246</v>
      </c>
      <c r="G2224" s="558" t="s">
        <v>674</v>
      </c>
      <c r="H2224" s="558" t="s">
        <v>5873</v>
      </c>
      <c r="I2224" s="679" t="s">
        <v>100</v>
      </c>
      <c r="J2224" s="676">
        <v>0</v>
      </c>
      <c r="K2224" s="676">
        <v>0</v>
      </c>
      <c r="M2224" t="str">
        <f>""</f>
        <v/>
      </c>
    </row>
    <row r="2225" spans="1:13" ht="15.75">
      <c r="A2225">
        <v>2011</v>
      </c>
      <c r="B2225" s="777">
        <v>40735</v>
      </c>
      <c r="C2225" s="730">
        <v>0.55069444444444449</v>
      </c>
      <c r="D2225" s="777">
        <v>40735</v>
      </c>
      <c r="E2225" s="730">
        <v>0.55069444444444449</v>
      </c>
      <c r="F2225" s="558" t="s">
        <v>1472</v>
      </c>
      <c r="G2225" s="558" t="s">
        <v>826</v>
      </c>
      <c r="H2225" s="558" t="s">
        <v>5873</v>
      </c>
      <c r="I2225" s="679" t="s">
        <v>100</v>
      </c>
      <c r="J2225" s="676">
        <v>0</v>
      </c>
      <c r="K2225" s="676">
        <v>0</v>
      </c>
      <c r="M2225" t="str">
        <f>""</f>
        <v/>
      </c>
    </row>
    <row r="2226" spans="1:13" ht="15.75">
      <c r="A2226">
        <v>2011</v>
      </c>
      <c r="B2226" s="777">
        <v>40735</v>
      </c>
      <c r="C2226" s="730">
        <v>0.5625</v>
      </c>
      <c r="D2226" s="777">
        <v>40735</v>
      </c>
      <c r="E2226" s="730">
        <v>0.5625</v>
      </c>
      <c r="F2226" s="558" t="s">
        <v>2079</v>
      </c>
      <c r="G2226" s="558" t="s">
        <v>61</v>
      </c>
      <c r="H2226" s="558" t="s">
        <v>5873</v>
      </c>
      <c r="I2226" s="679" t="s">
        <v>100</v>
      </c>
      <c r="J2226" s="676" t="s">
        <v>5873</v>
      </c>
      <c r="K2226" s="676">
        <v>0</v>
      </c>
      <c r="M2226" t="str">
        <f>""</f>
        <v/>
      </c>
    </row>
    <row r="2227" spans="1:13" ht="15.75">
      <c r="A2227">
        <v>2011</v>
      </c>
      <c r="B2227" s="777">
        <v>40736</v>
      </c>
      <c r="C2227" s="730">
        <v>0.5</v>
      </c>
      <c r="D2227" s="777">
        <v>40736</v>
      </c>
      <c r="E2227" s="730">
        <v>0.5</v>
      </c>
      <c r="F2227" s="558" t="s">
        <v>2079</v>
      </c>
      <c r="G2227" s="558" t="s">
        <v>61</v>
      </c>
      <c r="H2227" s="558" t="s">
        <v>5873</v>
      </c>
      <c r="I2227" s="679" t="s">
        <v>100</v>
      </c>
      <c r="J2227" s="676" t="s">
        <v>5873</v>
      </c>
      <c r="K2227" s="676">
        <v>0</v>
      </c>
      <c r="M2227" t="str">
        <f>""</f>
        <v/>
      </c>
    </row>
    <row r="2228" spans="1:13" ht="15.75">
      <c r="A2228">
        <v>2011</v>
      </c>
      <c r="B2228" s="777">
        <v>40738</v>
      </c>
      <c r="C2228" s="730">
        <v>0.45833333333333331</v>
      </c>
      <c r="D2228" s="777">
        <v>40738</v>
      </c>
      <c r="E2228" s="730">
        <v>0.79166666666666663</v>
      </c>
      <c r="F2228" s="558" t="s">
        <v>166</v>
      </c>
      <c r="G2228" s="558" t="s">
        <v>1352</v>
      </c>
      <c r="H2228" s="558" t="s">
        <v>5873</v>
      </c>
      <c r="I2228" s="679" t="s">
        <v>2221</v>
      </c>
      <c r="J2228" s="676">
        <v>0</v>
      </c>
      <c r="K2228" s="676">
        <v>0</v>
      </c>
      <c r="M2228" t="str">
        <f>""</f>
        <v/>
      </c>
    </row>
    <row r="2229" spans="1:13" ht="15.75">
      <c r="A2229">
        <v>2011</v>
      </c>
      <c r="B2229" s="777">
        <v>40748</v>
      </c>
      <c r="C2229" s="730">
        <v>0.6069444444444444</v>
      </c>
      <c r="D2229" s="777">
        <v>40748</v>
      </c>
      <c r="E2229" s="730">
        <v>0.65763888888888888</v>
      </c>
      <c r="F2229" s="558" t="s">
        <v>2255</v>
      </c>
      <c r="G2229" s="558" t="s">
        <v>61</v>
      </c>
      <c r="H2229" s="558" t="s">
        <v>5873</v>
      </c>
      <c r="I2229" s="679" t="s">
        <v>100</v>
      </c>
      <c r="J2229" s="676">
        <v>0</v>
      </c>
      <c r="K2229" s="676">
        <v>0</v>
      </c>
      <c r="M2229" t="str">
        <f>""</f>
        <v/>
      </c>
    </row>
    <row r="2230" spans="1:13" ht="15.75">
      <c r="A2230">
        <v>2011</v>
      </c>
      <c r="B2230" s="777">
        <v>40750</v>
      </c>
      <c r="C2230" s="730">
        <v>0.50069444444444444</v>
      </c>
      <c r="D2230" s="777">
        <v>40750</v>
      </c>
      <c r="E2230" s="730">
        <v>0.50069444444444444</v>
      </c>
      <c r="F2230" s="558" t="s">
        <v>2256</v>
      </c>
      <c r="G2230" s="558" t="s">
        <v>58</v>
      </c>
      <c r="H2230" s="558" t="s">
        <v>5873</v>
      </c>
      <c r="I2230" s="679" t="s">
        <v>100</v>
      </c>
      <c r="J2230" s="676">
        <v>0</v>
      </c>
      <c r="K2230" s="676">
        <v>0</v>
      </c>
      <c r="M2230" t="str">
        <f>""</f>
        <v/>
      </c>
    </row>
    <row r="2231" spans="1:13" ht="15.75">
      <c r="A2231">
        <v>2011</v>
      </c>
      <c r="B2231" s="777">
        <v>40756</v>
      </c>
      <c r="C2231" s="730">
        <v>0.625</v>
      </c>
      <c r="D2231" s="777">
        <v>40760</v>
      </c>
      <c r="E2231" s="730">
        <v>0.79166666666666663</v>
      </c>
      <c r="F2231" s="558" t="s">
        <v>166</v>
      </c>
      <c r="G2231" s="558" t="s">
        <v>1352</v>
      </c>
      <c r="H2231" s="558" t="s">
        <v>5873</v>
      </c>
      <c r="I2231" s="679" t="s">
        <v>2221</v>
      </c>
      <c r="J2231" s="676">
        <v>0</v>
      </c>
      <c r="K2231" s="676">
        <v>0</v>
      </c>
      <c r="M2231" t="str">
        <f>""</f>
        <v/>
      </c>
    </row>
    <row r="2232" spans="1:13" ht="15.75">
      <c r="A2232">
        <v>2011</v>
      </c>
      <c r="B2232" s="777">
        <v>40758</v>
      </c>
      <c r="C2232" s="730">
        <v>0.6875</v>
      </c>
      <c r="D2232" s="777">
        <v>40758</v>
      </c>
      <c r="E2232" s="730">
        <v>0.875</v>
      </c>
      <c r="F2232" s="558" t="s">
        <v>2265</v>
      </c>
      <c r="G2232" s="558" t="s">
        <v>58</v>
      </c>
      <c r="H2232" s="558" t="s">
        <v>5873</v>
      </c>
      <c r="I2232" s="679" t="s">
        <v>2221</v>
      </c>
      <c r="J2232" s="676">
        <v>0</v>
      </c>
      <c r="K2232" s="676">
        <v>0</v>
      </c>
      <c r="M2232" t="str">
        <f>""</f>
        <v/>
      </c>
    </row>
    <row r="2233" spans="1:13" ht="15.75">
      <c r="A2233">
        <v>2011</v>
      </c>
      <c r="B2233" s="777">
        <v>40763</v>
      </c>
      <c r="C2233" s="730">
        <v>0.39583333333333331</v>
      </c>
      <c r="D2233" s="777">
        <v>40763</v>
      </c>
      <c r="E2233" s="730">
        <v>0.39583333333333331</v>
      </c>
      <c r="F2233" s="558" t="s">
        <v>2156</v>
      </c>
      <c r="G2233" s="558" t="s">
        <v>826</v>
      </c>
      <c r="H2233" s="558" t="s">
        <v>5873</v>
      </c>
      <c r="I2233" s="679" t="s">
        <v>2150</v>
      </c>
      <c r="J2233" s="676">
        <v>0</v>
      </c>
      <c r="K2233" s="676">
        <v>0</v>
      </c>
      <c r="M2233" t="str">
        <f>""</f>
        <v/>
      </c>
    </row>
    <row r="2234" spans="1:13" ht="15.75">
      <c r="A2234">
        <v>2011</v>
      </c>
      <c r="B2234" s="777">
        <v>40770</v>
      </c>
      <c r="C2234" s="730">
        <v>8.6805555555555552E-2</v>
      </c>
      <c r="D2234" s="777">
        <v>40770</v>
      </c>
      <c r="E2234" s="730">
        <v>0.15277777777777779</v>
      </c>
      <c r="F2234" s="558" t="s">
        <v>1320</v>
      </c>
      <c r="G2234" s="558" t="s">
        <v>124</v>
      </c>
      <c r="H2234" s="558" t="s">
        <v>5873</v>
      </c>
      <c r="I2234" s="679" t="s">
        <v>100</v>
      </c>
      <c r="J2234" s="676">
        <v>0</v>
      </c>
      <c r="K2234" s="676">
        <v>0</v>
      </c>
      <c r="M2234" t="str">
        <f>""</f>
        <v/>
      </c>
    </row>
    <row r="2235" spans="1:13" ht="15.75">
      <c r="A2235">
        <v>2011</v>
      </c>
      <c r="B2235" s="777">
        <v>40778</v>
      </c>
      <c r="C2235" s="730">
        <v>0.57708333333333328</v>
      </c>
      <c r="D2235" s="777">
        <v>40778</v>
      </c>
      <c r="E2235" s="730">
        <v>0.57708333333333328</v>
      </c>
      <c r="F2235" s="558" t="s">
        <v>2004</v>
      </c>
      <c r="G2235" s="558" t="s">
        <v>826</v>
      </c>
      <c r="H2235" s="558" t="s">
        <v>5873</v>
      </c>
      <c r="I2235" s="679" t="s">
        <v>313</v>
      </c>
      <c r="J2235" s="676">
        <v>0</v>
      </c>
      <c r="K2235" s="676">
        <v>0</v>
      </c>
      <c r="M2235" t="str">
        <f>""</f>
        <v/>
      </c>
    </row>
    <row r="2236" spans="1:13" ht="15.75">
      <c r="A2236">
        <v>2011</v>
      </c>
      <c r="B2236" s="777">
        <v>40778</v>
      </c>
      <c r="C2236" s="730">
        <v>0.4375</v>
      </c>
      <c r="D2236" s="777">
        <v>40778</v>
      </c>
      <c r="E2236" s="730">
        <v>0.70416666666666672</v>
      </c>
      <c r="F2236" s="558" t="s">
        <v>2272</v>
      </c>
      <c r="G2236" s="558" t="s">
        <v>58</v>
      </c>
      <c r="H2236" s="558" t="s">
        <v>5873</v>
      </c>
      <c r="I2236" s="679" t="s">
        <v>2221</v>
      </c>
      <c r="J2236" s="676">
        <v>0</v>
      </c>
      <c r="K2236" s="676">
        <v>0</v>
      </c>
      <c r="M2236" t="str">
        <f>""</f>
        <v/>
      </c>
    </row>
    <row r="2237" spans="1:13" ht="15.75">
      <c r="A2237">
        <v>2011</v>
      </c>
      <c r="B2237" s="777">
        <v>40778</v>
      </c>
      <c r="C2237" s="730">
        <v>0.65486111111111112</v>
      </c>
      <c r="D2237" s="777">
        <v>40778</v>
      </c>
      <c r="E2237" s="730">
        <v>0.79166666666666663</v>
      </c>
      <c r="F2237" s="558" t="s">
        <v>166</v>
      </c>
      <c r="G2237" s="558" t="s">
        <v>1352</v>
      </c>
      <c r="H2237" s="558" t="s">
        <v>5873</v>
      </c>
      <c r="I2237" s="679" t="s">
        <v>2221</v>
      </c>
      <c r="J2237" s="676">
        <v>0</v>
      </c>
      <c r="K2237" s="676">
        <v>0</v>
      </c>
      <c r="M2237" t="str">
        <f>""</f>
        <v/>
      </c>
    </row>
    <row r="2238" spans="1:13" ht="15.75">
      <c r="A2238">
        <v>2011</v>
      </c>
      <c r="B2238" s="777">
        <v>40779</v>
      </c>
      <c r="C2238" s="730">
        <v>0.55555555555555558</v>
      </c>
      <c r="D2238" s="777">
        <v>40784</v>
      </c>
      <c r="E2238" s="730">
        <v>0.79166666666666663</v>
      </c>
      <c r="F2238" s="558" t="s">
        <v>166</v>
      </c>
      <c r="G2238" s="558" t="s">
        <v>1352</v>
      </c>
      <c r="H2238" s="558" t="s">
        <v>5873</v>
      </c>
      <c r="I2238" s="679" t="s">
        <v>2221</v>
      </c>
      <c r="J2238" s="676">
        <v>0</v>
      </c>
      <c r="K2238" s="676">
        <v>0</v>
      </c>
      <c r="M2238" t="str">
        <f>""</f>
        <v/>
      </c>
    </row>
    <row r="2239" spans="1:13" ht="15.75">
      <c r="A2239">
        <v>2011</v>
      </c>
      <c r="B2239" s="777">
        <v>40780</v>
      </c>
      <c r="C2239" s="730">
        <v>6.9444444444444447E-4</v>
      </c>
      <c r="D2239" s="777">
        <v>40780</v>
      </c>
      <c r="E2239" s="730">
        <v>6.9444444444444447E-4</v>
      </c>
      <c r="F2239" s="558" t="s">
        <v>2079</v>
      </c>
      <c r="G2239" s="558" t="s">
        <v>61</v>
      </c>
      <c r="H2239" s="558" t="s">
        <v>5873</v>
      </c>
      <c r="I2239" s="679" t="s">
        <v>2150</v>
      </c>
      <c r="J2239" s="676">
        <v>0</v>
      </c>
      <c r="K2239" s="676">
        <v>0</v>
      </c>
      <c r="M2239" t="str">
        <f>""</f>
        <v/>
      </c>
    </row>
    <row r="2240" spans="1:13" ht="15.75">
      <c r="A2240">
        <v>2011</v>
      </c>
      <c r="B2240" s="777">
        <v>40783</v>
      </c>
      <c r="C2240" s="730">
        <v>0.87152777777777779</v>
      </c>
      <c r="D2240" s="777">
        <v>40783</v>
      </c>
      <c r="E2240" s="730">
        <v>0.98541666666666672</v>
      </c>
      <c r="F2240" s="558" t="s">
        <v>2289</v>
      </c>
      <c r="G2240" s="558" t="s">
        <v>124</v>
      </c>
      <c r="H2240" s="558" t="s">
        <v>5873</v>
      </c>
      <c r="I2240" s="679" t="s">
        <v>2150</v>
      </c>
      <c r="J2240" s="676">
        <v>0</v>
      </c>
      <c r="K2240" s="676">
        <v>0</v>
      </c>
      <c r="M2240" t="str">
        <f>""</f>
        <v/>
      </c>
    </row>
    <row r="2241" spans="1:13" ht="15.75">
      <c r="A2241">
        <v>2011</v>
      </c>
      <c r="B2241" s="777">
        <v>40786</v>
      </c>
      <c r="C2241" s="730">
        <v>0.53611111111111109</v>
      </c>
      <c r="D2241" s="777">
        <v>40786</v>
      </c>
      <c r="E2241" s="730">
        <v>0.53611111111111109</v>
      </c>
      <c r="F2241" s="558" t="s">
        <v>1472</v>
      </c>
      <c r="G2241" s="558" t="s">
        <v>826</v>
      </c>
      <c r="H2241" s="558" t="s">
        <v>5873</v>
      </c>
      <c r="I2241" s="679" t="s">
        <v>2150</v>
      </c>
      <c r="J2241" s="676">
        <v>0</v>
      </c>
      <c r="K2241" s="676">
        <v>0</v>
      </c>
      <c r="M2241" t="str">
        <f>""</f>
        <v/>
      </c>
    </row>
    <row r="2242" spans="1:13" ht="15.75">
      <c r="A2242">
        <v>2011</v>
      </c>
      <c r="B2242" s="777">
        <v>40793</v>
      </c>
      <c r="C2242" s="730">
        <v>5.5555555555555558E-3</v>
      </c>
      <c r="D2242" s="777">
        <v>40793</v>
      </c>
      <c r="E2242" s="730">
        <v>0.4513888888888889</v>
      </c>
      <c r="F2242" s="558" t="s">
        <v>2292</v>
      </c>
      <c r="G2242" s="558" t="s">
        <v>61</v>
      </c>
      <c r="H2242" s="558" t="s">
        <v>5873</v>
      </c>
      <c r="I2242" s="679" t="s">
        <v>2293</v>
      </c>
      <c r="J2242" s="676">
        <v>0</v>
      </c>
      <c r="K2242" s="676">
        <v>0</v>
      </c>
      <c r="M2242" t="str">
        <f>""</f>
        <v/>
      </c>
    </row>
    <row r="2243" spans="1:13" ht="15.75">
      <c r="A2243">
        <v>2011</v>
      </c>
      <c r="B2243" s="777">
        <v>40798</v>
      </c>
      <c r="C2243" s="730">
        <v>0.38541666666666669</v>
      </c>
      <c r="D2243" s="777">
        <v>40798</v>
      </c>
      <c r="E2243" s="730">
        <v>0.64583333333333337</v>
      </c>
      <c r="F2243" s="558" t="s">
        <v>2297</v>
      </c>
      <c r="G2243" s="558" t="s">
        <v>826</v>
      </c>
      <c r="H2243" s="558" t="s">
        <v>5873</v>
      </c>
      <c r="I2243" s="679" t="s">
        <v>100</v>
      </c>
      <c r="J2243" s="676">
        <v>0</v>
      </c>
      <c r="K2243" s="676">
        <v>0</v>
      </c>
      <c r="M2243" t="str">
        <f>""</f>
        <v/>
      </c>
    </row>
    <row r="2244" spans="1:13" ht="15.75">
      <c r="A2244">
        <v>2011</v>
      </c>
      <c r="B2244" s="777">
        <v>40799</v>
      </c>
      <c r="C2244" s="730">
        <v>0.5854166666666667</v>
      </c>
      <c r="D2244" s="777">
        <v>40799</v>
      </c>
      <c r="E2244" s="730">
        <v>0.76458333333333328</v>
      </c>
      <c r="F2244" s="558" t="s">
        <v>2299</v>
      </c>
      <c r="G2244" s="558" t="s">
        <v>61</v>
      </c>
      <c r="H2244" s="558" t="s">
        <v>5873</v>
      </c>
      <c r="I2244" s="679" t="s">
        <v>100</v>
      </c>
      <c r="J2244" s="676" t="s">
        <v>5873</v>
      </c>
      <c r="K2244" s="676">
        <v>0</v>
      </c>
      <c r="M2244" t="str">
        <f>""</f>
        <v/>
      </c>
    </row>
    <row r="2245" spans="1:13" ht="15.75">
      <c r="A2245">
        <v>2011</v>
      </c>
      <c r="B2245" s="777">
        <v>40800</v>
      </c>
      <c r="C2245" s="730">
        <v>0.375</v>
      </c>
      <c r="D2245" s="777">
        <v>40800</v>
      </c>
      <c r="E2245" s="730">
        <v>0.58333333333333337</v>
      </c>
      <c r="F2245" s="558" t="s">
        <v>2300</v>
      </c>
      <c r="G2245" s="558" t="s">
        <v>124</v>
      </c>
      <c r="H2245" s="558" t="s">
        <v>5873</v>
      </c>
      <c r="I2245" s="679" t="s">
        <v>100</v>
      </c>
      <c r="J2245" s="676">
        <v>0</v>
      </c>
      <c r="K2245" s="676">
        <v>0</v>
      </c>
      <c r="M2245" t="str">
        <f>""</f>
        <v/>
      </c>
    </row>
    <row r="2246" spans="1:13" ht="15.75">
      <c r="A2246">
        <v>2011</v>
      </c>
      <c r="B2246" s="777">
        <v>40807</v>
      </c>
      <c r="C2246" s="730">
        <v>0.4375</v>
      </c>
      <c r="D2246" s="777">
        <v>40807</v>
      </c>
      <c r="E2246" s="730">
        <v>0.4375</v>
      </c>
      <c r="F2246" s="558" t="s">
        <v>2124</v>
      </c>
      <c r="G2246" s="558" t="s">
        <v>826</v>
      </c>
      <c r="H2246" s="558" t="s">
        <v>5873</v>
      </c>
      <c r="I2246" s="679" t="s">
        <v>2150</v>
      </c>
      <c r="J2246" s="676">
        <v>0</v>
      </c>
      <c r="K2246" s="676">
        <v>0</v>
      </c>
      <c r="M2246" t="str">
        <f>""</f>
        <v/>
      </c>
    </row>
    <row r="2247" spans="1:13" ht="15.75">
      <c r="A2247">
        <v>2011</v>
      </c>
      <c r="B2247" s="777">
        <v>40808</v>
      </c>
      <c r="C2247" s="730">
        <v>0.61805555555555558</v>
      </c>
      <c r="D2247" s="777">
        <v>40808</v>
      </c>
      <c r="E2247" s="730">
        <v>0.61875000000000002</v>
      </c>
      <c r="F2247" s="558" t="s">
        <v>2303</v>
      </c>
      <c r="G2247" s="558" t="s">
        <v>826</v>
      </c>
      <c r="H2247" s="558" t="s">
        <v>5873</v>
      </c>
      <c r="I2247" s="679" t="s">
        <v>100</v>
      </c>
      <c r="J2247" s="676" t="s">
        <v>5873</v>
      </c>
      <c r="K2247" s="676">
        <v>0</v>
      </c>
      <c r="M2247" t="str">
        <f>""</f>
        <v/>
      </c>
    </row>
    <row r="2248" spans="1:13" ht="15.75">
      <c r="A2248">
        <v>2011</v>
      </c>
      <c r="B2248" s="777">
        <v>40809</v>
      </c>
      <c r="C2248" s="730">
        <v>0.37777777777777777</v>
      </c>
      <c r="D2248" s="777">
        <v>40809</v>
      </c>
      <c r="E2248" s="730">
        <v>0.37777777777777777</v>
      </c>
      <c r="F2248" s="558" t="s">
        <v>2304</v>
      </c>
      <c r="G2248" s="558" t="s">
        <v>61</v>
      </c>
      <c r="H2248" s="558" t="s">
        <v>5873</v>
      </c>
      <c r="I2248" s="679" t="s">
        <v>100</v>
      </c>
      <c r="J2248" s="676">
        <v>0</v>
      </c>
      <c r="K2248" s="676">
        <v>0</v>
      </c>
      <c r="M2248" t="str">
        <f>""</f>
        <v/>
      </c>
    </row>
    <row r="2249" spans="1:13" ht="15.75">
      <c r="A2249">
        <v>2011</v>
      </c>
      <c r="B2249" s="777">
        <v>40812</v>
      </c>
      <c r="C2249" s="730">
        <v>0.42708333333333331</v>
      </c>
      <c r="D2249" s="777">
        <v>40812</v>
      </c>
      <c r="E2249" s="730">
        <v>0.42708333333333331</v>
      </c>
      <c r="F2249" s="558" t="s">
        <v>2305</v>
      </c>
      <c r="G2249" s="558" t="s">
        <v>826</v>
      </c>
      <c r="H2249" s="558" t="s">
        <v>5873</v>
      </c>
      <c r="I2249" s="679" t="s">
        <v>100</v>
      </c>
      <c r="J2249" s="676">
        <v>0</v>
      </c>
      <c r="K2249" s="676">
        <v>0</v>
      </c>
      <c r="M2249" t="str">
        <f>""</f>
        <v/>
      </c>
    </row>
    <row r="2250" spans="1:13" ht="15.75">
      <c r="A2250">
        <v>2011</v>
      </c>
      <c r="B2250" s="777">
        <v>40814</v>
      </c>
      <c r="C2250" s="730">
        <v>0.62430555555555556</v>
      </c>
      <c r="D2250" s="777">
        <v>40814</v>
      </c>
      <c r="E2250" s="730">
        <v>0.62430555555555556</v>
      </c>
      <c r="F2250" s="558" t="s">
        <v>2308</v>
      </c>
      <c r="G2250" s="558" t="s">
        <v>826</v>
      </c>
      <c r="H2250" s="558" t="s">
        <v>5873</v>
      </c>
      <c r="I2250" s="679" t="s">
        <v>100</v>
      </c>
      <c r="J2250" s="676">
        <v>0</v>
      </c>
      <c r="K2250" s="676">
        <v>0</v>
      </c>
      <c r="M2250" t="str">
        <f>""</f>
        <v/>
      </c>
    </row>
    <row r="2251" spans="1:13" ht="15.75">
      <c r="A2251">
        <v>2011</v>
      </c>
      <c r="B2251" s="777">
        <v>40814</v>
      </c>
      <c r="C2251" s="730">
        <v>0.69513888888888886</v>
      </c>
      <c r="D2251" s="777">
        <v>40814</v>
      </c>
      <c r="E2251" s="730">
        <v>0.69513888888888886</v>
      </c>
      <c r="F2251" s="558" t="s">
        <v>2309</v>
      </c>
      <c r="G2251" s="558" t="s">
        <v>826</v>
      </c>
      <c r="H2251" s="558" t="s">
        <v>5873</v>
      </c>
      <c r="I2251" s="679" t="s">
        <v>2150</v>
      </c>
      <c r="J2251" s="676">
        <v>0</v>
      </c>
      <c r="K2251" s="676">
        <v>0</v>
      </c>
      <c r="M2251" t="str">
        <f>""</f>
        <v/>
      </c>
    </row>
    <row r="2252" spans="1:13" ht="15.75">
      <c r="A2252">
        <v>2011</v>
      </c>
      <c r="B2252" s="777">
        <v>40816</v>
      </c>
      <c r="C2252" s="730">
        <v>0.34861111111111109</v>
      </c>
      <c r="D2252" s="777">
        <v>40816</v>
      </c>
      <c r="E2252" s="730">
        <v>0.34861111111111109</v>
      </c>
      <c r="F2252" s="558" t="s">
        <v>2310</v>
      </c>
      <c r="G2252" s="558" t="s">
        <v>826</v>
      </c>
      <c r="H2252" s="558" t="s">
        <v>5873</v>
      </c>
      <c r="I2252" s="679" t="s">
        <v>2150</v>
      </c>
      <c r="J2252" s="676">
        <v>0</v>
      </c>
      <c r="K2252" s="676">
        <v>0</v>
      </c>
      <c r="M2252" t="str">
        <f>""</f>
        <v/>
      </c>
    </row>
    <row r="2253" spans="1:13" ht="15.75">
      <c r="A2253">
        <v>2011</v>
      </c>
      <c r="B2253" s="777">
        <v>40822</v>
      </c>
      <c r="C2253" s="730">
        <v>0.46319444444444446</v>
      </c>
      <c r="D2253" s="777">
        <v>40822</v>
      </c>
      <c r="E2253" s="730">
        <v>0.46319444444444446</v>
      </c>
      <c r="F2253" s="558" t="s">
        <v>2311</v>
      </c>
      <c r="G2253" s="558" t="s">
        <v>124</v>
      </c>
      <c r="H2253" s="558" t="s">
        <v>5873</v>
      </c>
      <c r="I2253" s="679" t="s">
        <v>100</v>
      </c>
      <c r="J2253" s="676">
        <v>0</v>
      </c>
      <c r="K2253" s="676">
        <v>0</v>
      </c>
      <c r="M2253" t="str">
        <f>""</f>
        <v/>
      </c>
    </row>
    <row r="2254" spans="1:13" ht="15.75">
      <c r="A2254">
        <v>2011</v>
      </c>
      <c r="B2254" s="777">
        <v>40830</v>
      </c>
      <c r="C2254" s="730">
        <v>0.59722222222222221</v>
      </c>
      <c r="D2254" s="777">
        <v>40830</v>
      </c>
      <c r="E2254" s="730">
        <v>0.59722222222222221</v>
      </c>
      <c r="F2254" s="558" t="s">
        <v>2297</v>
      </c>
      <c r="G2254" s="558" t="s">
        <v>826</v>
      </c>
      <c r="H2254" s="558" t="s">
        <v>5873</v>
      </c>
      <c r="I2254" s="679" t="s">
        <v>100</v>
      </c>
      <c r="J2254" s="676">
        <v>0</v>
      </c>
      <c r="K2254" s="676">
        <v>0</v>
      </c>
      <c r="M2254" t="str">
        <f>""</f>
        <v/>
      </c>
    </row>
    <row r="2255" spans="1:13" ht="15.75">
      <c r="A2255">
        <v>2011</v>
      </c>
      <c r="B2255" s="777">
        <v>40833</v>
      </c>
      <c r="C2255" s="730">
        <v>0.14861111111111111</v>
      </c>
      <c r="D2255" s="777">
        <v>40833</v>
      </c>
      <c r="E2255" s="730">
        <v>0.44583333333333336</v>
      </c>
      <c r="F2255" s="558" t="s">
        <v>2313</v>
      </c>
      <c r="G2255" s="558" t="s">
        <v>826</v>
      </c>
      <c r="H2255" s="558" t="s">
        <v>5873</v>
      </c>
      <c r="I2255" s="679" t="s">
        <v>100</v>
      </c>
      <c r="J2255" s="676">
        <v>0</v>
      </c>
      <c r="K2255" s="676">
        <v>0</v>
      </c>
      <c r="M2255" t="str">
        <f>""</f>
        <v/>
      </c>
    </row>
    <row r="2256" spans="1:13" ht="15.75">
      <c r="A2256">
        <v>2011</v>
      </c>
      <c r="B2256" s="777">
        <v>40834</v>
      </c>
      <c r="C2256" s="730">
        <v>0.15625</v>
      </c>
      <c r="D2256" s="777">
        <v>40834</v>
      </c>
      <c r="E2256" s="730">
        <v>0.22569444444444445</v>
      </c>
      <c r="F2256" s="558" t="s">
        <v>2314</v>
      </c>
      <c r="G2256" s="558" t="s">
        <v>826</v>
      </c>
      <c r="H2256" s="558" t="s">
        <v>5873</v>
      </c>
      <c r="I2256" s="679" t="s">
        <v>2150</v>
      </c>
      <c r="J2256" s="676">
        <v>0</v>
      </c>
      <c r="K2256" s="676">
        <v>0</v>
      </c>
      <c r="M2256" t="str">
        <f>""</f>
        <v/>
      </c>
    </row>
    <row r="2257" spans="1:13" ht="15.75">
      <c r="A2257">
        <v>2011</v>
      </c>
      <c r="B2257" s="777">
        <v>40836</v>
      </c>
      <c r="C2257" s="730">
        <v>0.30208333333333331</v>
      </c>
      <c r="D2257" s="777">
        <v>40836</v>
      </c>
      <c r="E2257" s="730">
        <v>0.30208333333333331</v>
      </c>
      <c r="F2257" s="558" t="s">
        <v>2315</v>
      </c>
      <c r="G2257" s="558" t="s">
        <v>826</v>
      </c>
      <c r="H2257" s="558" t="s">
        <v>5873</v>
      </c>
      <c r="I2257" s="679" t="s">
        <v>100</v>
      </c>
      <c r="J2257" s="676">
        <v>0</v>
      </c>
      <c r="K2257" s="676">
        <v>0</v>
      </c>
      <c r="M2257" t="str">
        <f>""</f>
        <v/>
      </c>
    </row>
    <row r="2258" spans="1:13" ht="15.75">
      <c r="A2258">
        <v>2011</v>
      </c>
      <c r="B2258" s="777">
        <v>40840</v>
      </c>
      <c r="C2258" s="730">
        <v>0.98402777777777772</v>
      </c>
      <c r="D2258" s="777">
        <v>40842</v>
      </c>
      <c r="E2258" s="730">
        <v>0.95833333333333337</v>
      </c>
      <c r="F2258" s="558" t="s">
        <v>2314</v>
      </c>
      <c r="G2258" s="558" t="s">
        <v>826</v>
      </c>
      <c r="H2258" s="558" t="s">
        <v>5873</v>
      </c>
      <c r="I2258" s="679" t="s">
        <v>2150</v>
      </c>
      <c r="J2258" s="676">
        <v>0</v>
      </c>
      <c r="K2258" s="676">
        <v>0</v>
      </c>
      <c r="M2258" t="str">
        <f>""</f>
        <v/>
      </c>
    </row>
    <row r="2259" spans="1:13" ht="15.75">
      <c r="A2259">
        <v>2011</v>
      </c>
      <c r="B2259" s="777">
        <v>40851</v>
      </c>
      <c r="C2259" s="730">
        <v>0.44861111111111113</v>
      </c>
      <c r="D2259" s="777">
        <v>40851</v>
      </c>
      <c r="E2259" s="730">
        <v>0.44861111111111113</v>
      </c>
      <c r="F2259" s="558" t="s">
        <v>2327</v>
      </c>
      <c r="G2259" s="558" t="s">
        <v>124</v>
      </c>
      <c r="H2259" s="558" t="s">
        <v>5873</v>
      </c>
      <c r="I2259" s="679" t="s">
        <v>100</v>
      </c>
      <c r="J2259" s="676">
        <v>0</v>
      </c>
      <c r="K2259" s="676">
        <v>0</v>
      </c>
      <c r="M2259" t="str">
        <f>""</f>
        <v/>
      </c>
    </row>
    <row r="2260" spans="1:13" ht="15.75">
      <c r="A2260">
        <v>2011</v>
      </c>
      <c r="B2260" s="777">
        <v>40860</v>
      </c>
      <c r="C2260" s="730">
        <v>0.47916666666666669</v>
      </c>
      <c r="D2260" s="777">
        <v>40860</v>
      </c>
      <c r="E2260" s="730">
        <v>0.5</v>
      </c>
      <c r="F2260" s="558" t="s">
        <v>2328</v>
      </c>
      <c r="G2260" s="558" t="s">
        <v>61</v>
      </c>
      <c r="H2260" s="558" t="s">
        <v>5873</v>
      </c>
      <c r="I2260" s="679" t="s">
        <v>100</v>
      </c>
      <c r="J2260" s="676">
        <v>0</v>
      </c>
      <c r="K2260" s="676">
        <v>0</v>
      </c>
      <c r="M2260" t="str">
        <f>""</f>
        <v/>
      </c>
    </row>
    <row r="2261" spans="1:13" ht="15.75">
      <c r="A2261">
        <v>2011</v>
      </c>
      <c r="B2261" s="777">
        <v>40861</v>
      </c>
      <c r="C2261" s="730">
        <v>0.6</v>
      </c>
      <c r="D2261" s="777">
        <v>40861</v>
      </c>
      <c r="E2261" s="730">
        <v>0.6</v>
      </c>
      <c r="F2261" s="558" t="s">
        <v>2315</v>
      </c>
      <c r="G2261" s="558" t="s">
        <v>826</v>
      </c>
      <c r="H2261" s="558" t="s">
        <v>5873</v>
      </c>
      <c r="I2261" s="679" t="s">
        <v>100</v>
      </c>
      <c r="J2261" s="676">
        <v>0</v>
      </c>
      <c r="K2261" s="676">
        <v>0</v>
      </c>
      <c r="M2261" t="str">
        <f>""</f>
        <v/>
      </c>
    </row>
    <row r="2262" spans="1:13" ht="15.75">
      <c r="A2262">
        <v>2011</v>
      </c>
      <c r="B2262" s="777">
        <v>40869</v>
      </c>
      <c r="C2262" s="730">
        <v>0.96944444444444444</v>
      </c>
      <c r="D2262" s="777">
        <v>40869</v>
      </c>
      <c r="E2262" s="730">
        <v>0.96944444444444444</v>
      </c>
      <c r="F2262" s="558" t="s">
        <v>1470</v>
      </c>
      <c r="G2262" s="558" t="s">
        <v>826</v>
      </c>
      <c r="H2262" s="558" t="s">
        <v>5873</v>
      </c>
      <c r="I2262" s="679" t="s">
        <v>2150</v>
      </c>
      <c r="J2262" s="676">
        <v>0</v>
      </c>
      <c r="K2262" s="676">
        <v>0</v>
      </c>
      <c r="M2262" t="str">
        <f>""</f>
        <v/>
      </c>
    </row>
    <row r="2263" spans="1:13" ht="15.75">
      <c r="A2263">
        <v>2011</v>
      </c>
      <c r="B2263" s="777">
        <v>40877</v>
      </c>
      <c r="C2263" s="730">
        <v>0.41666666666666669</v>
      </c>
      <c r="D2263" s="777">
        <v>40877</v>
      </c>
      <c r="E2263" s="730">
        <v>0.45833333333333331</v>
      </c>
      <c r="F2263" s="558" t="s">
        <v>2329</v>
      </c>
      <c r="G2263" s="558" t="s">
        <v>124</v>
      </c>
      <c r="H2263" s="558" t="s">
        <v>5873</v>
      </c>
      <c r="I2263" s="679" t="s">
        <v>100</v>
      </c>
      <c r="J2263" s="676">
        <v>0</v>
      </c>
      <c r="K2263" s="676">
        <v>0</v>
      </c>
      <c r="M2263" t="str">
        <f>""</f>
        <v/>
      </c>
    </row>
    <row r="2264" spans="1:13" ht="15.75">
      <c r="A2264">
        <v>2011</v>
      </c>
      <c r="B2264" s="777">
        <v>40883</v>
      </c>
      <c r="C2264" s="730">
        <v>0.73472222222222228</v>
      </c>
      <c r="D2264" s="777">
        <v>40884</v>
      </c>
      <c r="E2264" s="730">
        <v>0.46111111111111114</v>
      </c>
      <c r="F2264" s="558" t="s">
        <v>2334</v>
      </c>
      <c r="G2264" s="558" t="s">
        <v>826</v>
      </c>
      <c r="H2264" s="558" t="s">
        <v>5873</v>
      </c>
      <c r="I2264" s="679" t="s">
        <v>2150</v>
      </c>
      <c r="J2264" s="676">
        <v>0</v>
      </c>
      <c r="K2264" s="676">
        <v>0</v>
      </c>
      <c r="M2264" t="str">
        <f>""</f>
        <v/>
      </c>
    </row>
    <row r="2265" spans="1:13" ht="15.75">
      <c r="A2265">
        <v>2011</v>
      </c>
      <c r="B2265" s="777">
        <v>40890</v>
      </c>
      <c r="C2265" s="730">
        <v>0.13819444444444445</v>
      </c>
      <c r="D2265" s="777">
        <v>40891</v>
      </c>
      <c r="E2265" s="730">
        <v>0.13819444444444445</v>
      </c>
      <c r="F2265" s="558" t="s">
        <v>2335</v>
      </c>
      <c r="G2265" s="558" t="s">
        <v>826</v>
      </c>
      <c r="H2265" s="558" t="s">
        <v>5873</v>
      </c>
      <c r="I2265" s="679" t="s">
        <v>2150</v>
      </c>
      <c r="J2265" s="676" t="s">
        <v>5873</v>
      </c>
      <c r="K2265" s="676">
        <v>0</v>
      </c>
      <c r="M2265" t="str">
        <f>""</f>
        <v/>
      </c>
    </row>
    <row r="2266" spans="1:13" ht="15.75">
      <c r="A2266">
        <v>2011</v>
      </c>
      <c r="B2266" s="777">
        <v>40898</v>
      </c>
      <c r="C2266" s="730">
        <v>0.4375</v>
      </c>
      <c r="D2266" s="777">
        <v>40898</v>
      </c>
      <c r="E2266" s="730">
        <v>0.4375</v>
      </c>
      <c r="F2266" s="558" t="s">
        <v>2338</v>
      </c>
      <c r="G2266" s="558" t="s">
        <v>124</v>
      </c>
      <c r="H2266" s="558" t="s">
        <v>5873</v>
      </c>
      <c r="I2266" s="679" t="s">
        <v>2139</v>
      </c>
      <c r="J2266" s="676">
        <v>0</v>
      </c>
      <c r="K2266" s="676">
        <v>0</v>
      </c>
      <c r="M2266" t="str">
        <f>""</f>
        <v/>
      </c>
    </row>
    <row r="2267" spans="1:13" ht="15.75">
      <c r="A2267">
        <v>2012</v>
      </c>
      <c r="B2267" s="777">
        <v>40913</v>
      </c>
      <c r="C2267" s="730">
        <v>0.44097222222222221</v>
      </c>
      <c r="D2267" s="777">
        <v>40913</v>
      </c>
      <c r="E2267" s="730">
        <v>0.51736111111111116</v>
      </c>
      <c r="F2267" s="558" t="s">
        <v>2342</v>
      </c>
      <c r="G2267" s="558" t="s">
        <v>58</v>
      </c>
      <c r="H2267" s="558" t="s">
        <v>5873</v>
      </c>
      <c r="I2267" s="679" t="s">
        <v>2343</v>
      </c>
      <c r="J2267" s="676">
        <v>0</v>
      </c>
      <c r="K2267" s="676">
        <v>0</v>
      </c>
      <c r="M2267" t="str">
        <f>""</f>
        <v/>
      </c>
    </row>
    <row r="2268" spans="1:13" ht="15.75">
      <c r="A2268">
        <v>2012</v>
      </c>
      <c r="B2268" s="777">
        <v>40919</v>
      </c>
      <c r="C2268" s="730">
        <v>0.30486111111111114</v>
      </c>
      <c r="D2268" s="777">
        <v>40919</v>
      </c>
      <c r="E2268" s="730">
        <v>0.37986111111111109</v>
      </c>
      <c r="F2268" s="558" t="s">
        <v>2346</v>
      </c>
      <c r="G2268" s="558" t="s">
        <v>124</v>
      </c>
      <c r="H2268" s="558" t="s">
        <v>5873</v>
      </c>
      <c r="I2268" s="679" t="s">
        <v>2150</v>
      </c>
      <c r="J2268" s="676">
        <v>0</v>
      </c>
      <c r="K2268" s="676">
        <v>0</v>
      </c>
      <c r="M2268" t="str">
        <f>""</f>
        <v/>
      </c>
    </row>
    <row r="2269" spans="1:13" ht="15.75">
      <c r="A2269">
        <v>2012</v>
      </c>
      <c r="B2269" s="777">
        <v>40920</v>
      </c>
      <c r="C2269" s="730">
        <v>0.35138888888888886</v>
      </c>
      <c r="D2269" s="777">
        <v>40920</v>
      </c>
      <c r="E2269" s="730">
        <v>0.35138888888888886</v>
      </c>
      <c r="F2269" s="558" t="s">
        <v>2119</v>
      </c>
      <c r="G2269" s="558" t="s">
        <v>826</v>
      </c>
      <c r="H2269" s="558" t="s">
        <v>5873</v>
      </c>
      <c r="I2269" s="679" t="s">
        <v>2202</v>
      </c>
      <c r="J2269" s="676">
        <v>0</v>
      </c>
      <c r="K2269" s="676">
        <v>0</v>
      </c>
      <c r="M2269" t="str">
        <f>""</f>
        <v/>
      </c>
    </row>
    <row r="2270" spans="1:13" ht="15.75">
      <c r="A2270">
        <v>2012</v>
      </c>
      <c r="B2270" s="777">
        <v>40921</v>
      </c>
      <c r="C2270" s="730">
        <v>0.3888888888888889</v>
      </c>
      <c r="D2270" s="777">
        <v>40921</v>
      </c>
      <c r="E2270" s="730">
        <v>0.3888888888888889</v>
      </c>
      <c r="F2270" s="558" t="s">
        <v>2119</v>
      </c>
      <c r="G2270" s="558" t="s">
        <v>826</v>
      </c>
      <c r="H2270" s="558" t="s">
        <v>5873</v>
      </c>
      <c r="I2270" s="679" t="s">
        <v>2202</v>
      </c>
      <c r="J2270" s="676">
        <v>0</v>
      </c>
      <c r="K2270" s="676">
        <v>0</v>
      </c>
      <c r="M2270" t="str">
        <f>""</f>
        <v/>
      </c>
    </row>
    <row r="2271" spans="1:13" ht="15.75">
      <c r="A2271">
        <v>2012</v>
      </c>
      <c r="B2271" s="777">
        <v>40925</v>
      </c>
      <c r="C2271" s="730">
        <v>0.43819444444444444</v>
      </c>
      <c r="D2271" s="777">
        <v>40925</v>
      </c>
      <c r="E2271" s="730">
        <v>0.72291666666666665</v>
      </c>
      <c r="F2271" s="558" t="s">
        <v>2347</v>
      </c>
      <c r="G2271" s="558" t="s">
        <v>1352</v>
      </c>
      <c r="H2271" s="558" t="s">
        <v>5873</v>
      </c>
      <c r="I2271" s="679" t="s">
        <v>2139</v>
      </c>
      <c r="J2271" s="676" t="s">
        <v>5873</v>
      </c>
      <c r="K2271" s="676">
        <v>0</v>
      </c>
      <c r="M2271" t="str">
        <f>""</f>
        <v/>
      </c>
    </row>
    <row r="2272" spans="1:13" ht="15.75">
      <c r="A2272">
        <v>2012</v>
      </c>
      <c r="B2272" s="777">
        <v>40950</v>
      </c>
      <c r="C2272" s="730">
        <v>0.3659722222222222</v>
      </c>
      <c r="D2272" s="777">
        <v>40950</v>
      </c>
      <c r="E2272" s="730">
        <v>0.4375</v>
      </c>
      <c r="F2272" s="558" t="s">
        <v>2352</v>
      </c>
      <c r="G2272" s="558" t="s">
        <v>124</v>
      </c>
      <c r="H2272" s="558" t="s">
        <v>5873</v>
      </c>
      <c r="I2272" s="679" t="s">
        <v>2150</v>
      </c>
      <c r="J2272" s="676">
        <v>0</v>
      </c>
      <c r="K2272" s="676">
        <v>0</v>
      </c>
      <c r="M2272" t="str">
        <f>""</f>
        <v/>
      </c>
    </row>
    <row r="2273" spans="1:13" ht="15.75">
      <c r="A2273">
        <v>2012</v>
      </c>
      <c r="B2273" s="777">
        <v>40954</v>
      </c>
      <c r="C2273" s="730">
        <v>0.23125000000000001</v>
      </c>
      <c r="D2273" s="777">
        <v>40954</v>
      </c>
      <c r="E2273" s="730">
        <v>0.72916666666666663</v>
      </c>
      <c r="F2273" s="558" t="s">
        <v>2354</v>
      </c>
      <c r="G2273" s="558" t="s">
        <v>124</v>
      </c>
      <c r="H2273" s="558" t="s">
        <v>5873</v>
      </c>
      <c r="I2273" s="679" t="s">
        <v>2150</v>
      </c>
      <c r="J2273" s="676">
        <v>0</v>
      </c>
      <c r="K2273" s="676">
        <v>0</v>
      </c>
      <c r="M2273" t="str">
        <f>""</f>
        <v/>
      </c>
    </row>
    <row r="2274" spans="1:13" ht="15.75">
      <c r="A2274">
        <v>2012</v>
      </c>
      <c r="B2274" s="777">
        <v>40962</v>
      </c>
      <c r="C2274" s="730">
        <v>0.23958333333333334</v>
      </c>
      <c r="D2274" s="777">
        <v>40962</v>
      </c>
      <c r="E2274" s="730">
        <v>0.62638888888888888</v>
      </c>
      <c r="F2274" s="558" t="s">
        <v>2357</v>
      </c>
      <c r="G2274" s="558" t="s">
        <v>1352</v>
      </c>
      <c r="H2274" s="558" t="s">
        <v>5873</v>
      </c>
      <c r="I2274" s="679" t="s">
        <v>2150</v>
      </c>
      <c r="J2274" s="676">
        <v>0</v>
      </c>
      <c r="K2274" s="676">
        <v>0</v>
      </c>
      <c r="M2274" t="str">
        <f>""</f>
        <v/>
      </c>
    </row>
    <row r="2275" spans="1:13" ht="15.75">
      <c r="A2275">
        <v>2012</v>
      </c>
      <c r="B2275" s="777">
        <v>40962</v>
      </c>
      <c r="C2275" s="730">
        <v>0.96666666666666667</v>
      </c>
      <c r="D2275" s="777">
        <v>40963</v>
      </c>
      <c r="E2275" s="730">
        <v>4.1666666666666664E-2</v>
      </c>
      <c r="F2275" s="558" t="s">
        <v>2358</v>
      </c>
      <c r="G2275" s="558" t="s">
        <v>61</v>
      </c>
      <c r="H2275" s="558" t="s">
        <v>5873</v>
      </c>
      <c r="I2275" s="679" t="s">
        <v>2150</v>
      </c>
      <c r="J2275" s="676">
        <v>0</v>
      </c>
      <c r="K2275" s="676">
        <v>0</v>
      </c>
      <c r="M2275" t="str">
        <f>""</f>
        <v/>
      </c>
    </row>
    <row r="2276" spans="1:13" ht="15.75">
      <c r="A2276">
        <v>2012</v>
      </c>
      <c r="B2276" s="777">
        <v>40984</v>
      </c>
      <c r="C2276" s="730">
        <v>0.66666666666666663</v>
      </c>
      <c r="D2276" s="777">
        <v>40984</v>
      </c>
      <c r="E2276" s="730">
        <v>0.66666666666666663</v>
      </c>
      <c r="F2276" s="558" t="s">
        <v>2367</v>
      </c>
      <c r="G2276" s="558" t="s">
        <v>826</v>
      </c>
      <c r="H2276" s="558" t="s">
        <v>5873</v>
      </c>
      <c r="I2276" s="679" t="s">
        <v>2150</v>
      </c>
      <c r="J2276" s="676">
        <v>0</v>
      </c>
      <c r="K2276" s="676">
        <v>0</v>
      </c>
      <c r="M2276" t="str">
        <f>""</f>
        <v/>
      </c>
    </row>
    <row r="2277" spans="1:13" ht="15.75">
      <c r="A2277">
        <v>2012</v>
      </c>
      <c r="B2277" s="777">
        <v>40991</v>
      </c>
      <c r="C2277" s="730">
        <v>0.81527777777777777</v>
      </c>
      <c r="D2277" s="777">
        <v>40991</v>
      </c>
      <c r="E2277" s="730">
        <v>0.81527777777777777</v>
      </c>
      <c r="F2277" s="558" t="s">
        <v>2119</v>
      </c>
      <c r="G2277" s="558" t="s">
        <v>826</v>
      </c>
      <c r="H2277" s="558" t="s">
        <v>5873</v>
      </c>
      <c r="I2277" s="679" t="s">
        <v>2150</v>
      </c>
      <c r="J2277" s="676">
        <v>0</v>
      </c>
      <c r="K2277" s="676">
        <v>0</v>
      </c>
      <c r="M2277" t="str">
        <f>""</f>
        <v/>
      </c>
    </row>
    <row r="2278" spans="1:13" ht="15.75">
      <c r="A2278">
        <v>2012</v>
      </c>
      <c r="B2278" s="777">
        <v>40997</v>
      </c>
      <c r="C2278" s="730">
        <v>0.50069444444444444</v>
      </c>
      <c r="D2278" s="777">
        <v>40997</v>
      </c>
      <c r="E2278" s="730">
        <v>0.50138888888888888</v>
      </c>
      <c r="F2278" s="558" t="s">
        <v>2369</v>
      </c>
      <c r="G2278" s="558" t="s">
        <v>826</v>
      </c>
      <c r="H2278" s="558" t="s">
        <v>5873</v>
      </c>
      <c r="I2278" s="679" t="s">
        <v>2037</v>
      </c>
      <c r="J2278" s="676" t="s">
        <v>5873</v>
      </c>
      <c r="K2278" s="676">
        <v>0</v>
      </c>
      <c r="M2278" t="str">
        <f>""</f>
        <v/>
      </c>
    </row>
    <row r="2279" spans="1:13" ht="15.75">
      <c r="A2279">
        <v>2012</v>
      </c>
      <c r="B2279" s="777">
        <v>41000</v>
      </c>
      <c r="C2279" s="730">
        <v>0.8520833333333333</v>
      </c>
      <c r="D2279" s="777">
        <v>41002</v>
      </c>
      <c r="E2279" s="730">
        <v>0.3527777777777778</v>
      </c>
      <c r="F2279" s="558" t="s">
        <v>2370</v>
      </c>
      <c r="G2279" s="558" t="s">
        <v>674</v>
      </c>
      <c r="H2279" s="558" t="s">
        <v>5873</v>
      </c>
      <c r="I2279" s="679" t="s">
        <v>100</v>
      </c>
      <c r="J2279" s="676">
        <v>0</v>
      </c>
      <c r="K2279" s="676">
        <v>0</v>
      </c>
      <c r="M2279" t="str">
        <f>""</f>
        <v/>
      </c>
    </row>
    <row r="2280" spans="1:13" ht="15.75">
      <c r="A2280">
        <v>2012</v>
      </c>
      <c r="B2280" s="777">
        <v>41002</v>
      </c>
      <c r="C2280" s="730">
        <v>0.46527777777777779</v>
      </c>
      <c r="D2280" s="777">
        <v>41002</v>
      </c>
      <c r="E2280" s="730">
        <v>0.47569444444444442</v>
      </c>
      <c r="F2280" s="558" t="s">
        <v>2371</v>
      </c>
      <c r="G2280" s="558" t="s">
        <v>61</v>
      </c>
      <c r="H2280" s="558" t="s">
        <v>5873</v>
      </c>
      <c r="I2280" s="679" t="s">
        <v>100</v>
      </c>
      <c r="J2280" s="676">
        <v>0</v>
      </c>
      <c r="K2280" s="676">
        <v>0</v>
      </c>
      <c r="M2280" t="str">
        <f>""</f>
        <v/>
      </c>
    </row>
    <row r="2281" spans="1:13" ht="15.75">
      <c r="A2281">
        <v>2012</v>
      </c>
      <c r="B2281" s="777">
        <v>41002</v>
      </c>
      <c r="C2281" s="730">
        <v>0.6479166666666667</v>
      </c>
      <c r="D2281" s="777">
        <v>41002</v>
      </c>
      <c r="E2281" s="730">
        <v>0.85069444444444442</v>
      </c>
      <c r="F2281" s="558" t="s">
        <v>2372</v>
      </c>
      <c r="G2281" s="558" t="s">
        <v>124</v>
      </c>
      <c r="H2281" s="558" t="s">
        <v>5873</v>
      </c>
      <c r="I2281" s="679" t="s">
        <v>2202</v>
      </c>
      <c r="J2281" s="676">
        <v>0</v>
      </c>
      <c r="K2281" s="676">
        <v>0</v>
      </c>
      <c r="M2281" t="str">
        <f>""</f>
        <v/>
      </c>
    </row>
    <row r="2282" spans="1:13" ht="15.75">
      <c r="A2282">
        <v>2012</v>
      </c>
      <c r="B2282" s="777">
        <v>41006</v>
      </c>
      <c r="C2282" s="730">
        <v>0.60763888888888884</v>
      </c>
      <c r="D2282" s="777">
        <v>41006</v>
      </c>
      <c r="E2282" s="730">
        <v>0.60833333333333328</v>
      </c>
      <c r="F2282" s="558" t="s">
        <v>2119</v>
      </c>
      <c r="G2282" s="558" t="s">
        <v>826</v>
      </c>
      <c r="H2282" s="558" t="s">
        <v>5873</v>
      </c>
      <c r="I2282" s="679" t="s">
        <v>2202</v>
      </c>
      <c r="J2282" s="676">
        <v>0</v>
      </c>
      <c r="K2282" s="676">
        <v>0</v>
      </c>
      <c r="M2282" t="str">
        <f>""</f>
        <v/>
      </c>
    </row>
    <row r="2283" spans="1:13" ht="15.75">
      <c r="A2283">
        <v>2012</v>
      </c>
      <c r="B2283" s="777">
        <v>41006</v>
      </c>
      <c r="C2283" s="730">
        <v>0.51736111111111116</v>
      </c>
      <c r="D2283" s="777">
        <v>41006</v>
      </c>
      <c r="E2283" s="730">
        <v>0.5180555555555556</v>
      </c>
      <c r="F2283" s="558" t="s">
        <v>2119</v>
      </c>
      <c r="G2283" s="558" t="s">
        <v>826</v>
      </c>
      <c r="H2283" s="558" t="s">
        <v>5873</v>
      </c>
      <c r="I2283" s="679" t="s">
        <v>2202</v>
      </c>
      <c r="J2283" s="676">
        <v>0</v>
      </c>
      <c r="K2283" s="676">
        <v>0</v>
      </c>
      <c r="M2283" t="str">
        <f>""</f>
        <v/>
      </c>
    </row>
    <row r="2284" spans="1:13" ht="15.75">
      <c r="A2284">
        <v>2012</v>
      </c>
      <c r="B2284" s="777">
        <v>41006</v>
      </c>
      <c r="C2284" s="730">
        <v>0.39652777777777776</v>
      </c>
      <c r="D2284" s="777">
        <v>41006</v>
      </c>
      <c r="E2284" s="730">
        <v>0.3972222222222222</v>
      </c>
      <c r="F2284" s="558" t="s">
        <v>2119</v>
      </c>
      <c r="G2284" s="558" t="s">
        <v>826</v>
      </c>
      <c r="H2284" s="558" t="s">
        <v>5873</v>
      </c>
      <c r="I2284" s="679" t="s">
        <v>2202</v>
      </c>
      <c r="J2284" s="676">
        <v>0</v>
      </c>
      <c r="K2284" s="676">
        <v>0</v>
      </c>
      <c r="M2284" t="str">
        <f>""</f>
        <v/>
      </c>
    </row>
    <row r="2285" spans="1:13" ht="15.75">
      <c r="A2285">
        <v>2012</v>
      </c>
      <c r="B2285" s="777">
        <v>41010</v>
      </c>
      <c r="C2285" s="730">
        <v>0.375</v>
      </c>
      <c r="D2285" s="777">
        <v>41010</v>
      </c>
      <c r="E2285" s="730">
        <v>0.375</v>
      </c>
      <c r="F2285" s="558" t="s">
        <v>2374</v>
      </c>
      <c r="G2285" s="558" t="s">
        <v>61</v>
      </c>
      <c r="H2285" s="558" t="s">
        <v>5873</v>
      </c>
      <c r="I2285" s="679" t="s">
        <v>100</v>
      </c>
      <c r="J2285" s="676">
        <v>0</v>
      </c>
      <c r="K2285" s="676">
        <v>0</v>
      </c>
      <c r="M2285" t="str">
        <f>""</f>
        <v/>
      </c>
    </row>
    <row r="2286" spans="1:13" ht="15.75">
      <c r="A2286">
        <v>2012</v>
      </c>
      <c r="B2286" s="777">
        <v>41016</v>
      </c>
      <c r="C2286" s="730">
        <v>0.25763888888888886</v>
      </c>
      <c r="D2286" s="777">
        <v>41016</v>
      </c>
      <c r="E2286" s="730">
        <v>0.7416666666666667</v>
      </c>
      <c r="F2286" s="558" t="s">
        <v>253</v>
      </c>
      <c r="G2286" s="558" t="s">
        <v>124</v>
      </c>
      <c r="H2286" s="558" t="s">
        <v>5873</v>
      </c>
      <c r="I2286" s="679" t="s">
        <v>2150</v>
      </c>
      <c r="J2286" s="676">
        <v>0</v>
      </c>
      <c r="K2286" s="676">
        <v>0</v>
      </c>
      <c r="M2286" t="str">
        <f>""</f>
        <v/>
      </c>
    </row>
    <row r="2287" spans="1:13" ht="15.75">
      <c r="A2287">
        <v>2012</v>
      </c>
      <c r="B2287" s="777">
        <v>41036</v>
      </c>
      <c r="C2287" s="730">
        <v>0.53472222222222221</v>
      </c>
      <c r="D2287" s="777">
        <v>41036</v>
      </c>
      <c r="E2287" s="730">
        <v>0.58333333333333337</v>
      </c>
      <c r="F2287" s="558" t="s">
        <v>2379</v>
      </c>
      <c r="G2287" s="558" t="s">
        <v>61</v>
      </c>
      <c r="H2287" s="558" t="s">
        <v>5873</v>
      </c>
      <c r="I2287" s="679" t="s">
        <v>100</v>
      </c>
      <c r="J2287" s="676">
        <v>0</v>
      </c>
      <c r="K2287" s="676">
        <v>0</v>
      </c>
      <c r="M2287" t="str">
        <f>""</f>
        <v/>
      </c>
    </row>
    <row r="2288" spans="1:13" ht="15.75">
      <c r="A2288">
        <v>2012</v>
      </c>
      <c r="B2288" s="777">
        <v>41060</v>
      </c>
      <c r="C2288" s="730">
        <v>0.98958333333333337</v>
      </c>
      <c r="D2288" s="777">
        <v>41061</v>
      </c>
      <c r="E2288" s="730">
        <v>0.1875</v>
      </c>
      <c r="F2288" s="558" t="s">
        <v>2386</v>
      </c>
      <c r="G2288" s="558" t="s">
        <v>826</v>
      </c>
      <c r="H2288" s="558" t="s">
        <v>5873</v>
      </c>
      <c r="I2288" s="679" t="s">
        <v>2202</v>
      </c>
      <c r="J2288" s="676">
        <v>0</v>
      </c>
      <c r="K2288" s="676">
        <v>0</v>
      </c>
      <c r="M2288" t="str">
        <f>""</f>
        <v/>
      </c>
    </row>
    <row r="2289" spans="1:13" ht="15.75">
      <c r="A2289">
        <v>2012</v>
      </c>
      <c r="B2289" s="777">
        <v>41066</v>
      </c>
      <c r="C2289" s="730">
        <v>0.52569444444444446</v>
      </c>
      <c r="D2289" s="777">
        <v>41066</v>
      </c>
      <c r="E2289" s="730">
        <v>0.52569444444444446</v>
      </c>
      <c r="F2289" s="558" t="s">
        <v>2388</v>
      </c>
      <c r="G2289" s="558" t="s">
        <v>826</v>
      </c>
      <c r="H2289" s="558" t="s">
        <v>5873</v>
      </c>
      <c r="I2289" s="679" t="s">
        <v>100</v>
      </c>
      <c r="J2289" s="676">
        <v>0</v>
      </c>
      <c r="K2289" s="676">
        <v>0</v>
      </c>
      <c r="M2289" t="str">
        <f>""</f>
        <v/>
      </c>
    </row>
    <row r="2290" spans="1:13" ht="15.75">
      <c r="A2290">
        <v>2012</v>
      </c>
      <c r="B2290" s="777">
        <v>41073</v>
      </c>
      <c r="C2290" s="730">
        <v>0.70486111111111116</v>
      </c>
      <c r="D2290" s="777">
        <v>41073</v>
      </c>
      <c r="E2290" s="730">
        <v>0.92291666666666672</v>
      </c>
      <c r="F2290" s="558" t="s">
        <v>2391</v>
      </c>
      <c r="G2290" s="558" t="s">
        <v>124</v>
      </c>
      <c r="H2290" s="558" t="s">
        <v>5873</v>
      </c>
      <c r="I2290" s="679" t="s">
        <v>100</v>
      </c>
      <c r="J2290" s="676">
        <v>0</v>
      </c>
      <c r="K2290" s="676">
        <v>0</v>
      </c>
      <c r="M2290" t="str">
        <f>""</f>
        <v/>
      </c>
    </row>
    <row r="2291" spans="1:13" ht="15.75">
      <c r="A2291">
        <v>2012</v>
      </c>
      <c r="B2291" s="777">
        <v>41089</v>
      </c>
      <c r="C2291" s="730">
        <v>0.44791666666666669</v>
      </c>
      <c r="D2291" s="777">
        <v>41089</v>
      </c>
      <c r="E2291" s="730">
        <v>0.44791666666666669</v>
      </c>
      <c r="F2291" s="558" t="s">
        <v>2367</v>
      </c>
      <c r="G2291" s="558" t="s">
        <v>826</v>
      </c>
      <c r="H2291" s="558" t="s">
        <v>5873</v>
      </c>
      <c r="I2291" s="679" t="s">
        <v>2202</v>
      </c>
      <c r="J2291" s="676">
        <v>0</v>
      </c>
      <c r="K2291" s="676">
        <v>0</v>
      </c>
      <c r="M2291" t="str">
        <f>""</f>
        <v/>
      </c>
    </row>
    <row r="2292" spans="1:13" ht="15.75">
      <c r="A2292">
        <v>2012</v>
      </c>
      <c r="B2292" s="777">
        <v>41097.166666666664</v>
      </c>
      <c r="C2292" s="730">
        <v>41097.166666666664</v>
      </c>
      <c r="D2292" s="777">
        <v>41100.166666666664</v>
      </c>
      <c r="E2292" s="730">
        <v>41100.166666666664</v>
      </c>
      <c r="F2292" s="558" t="s">
        <v>2415</v>
      </c>
      <c r="G2292" s="558" t="s">
        <v>124</v>
      </c>
      <c r="H2292" s="558" t="s">
        <v>5873</v>
      </c>
      <c r="I2292" s="679" t="s">
        <v>2394</v>
      </c>
      <c r="J2292" s="676" t="s">
        <v>5873</v>
      </c>
      <c r="K2292" s="676">
        <v>0</v>
      </c>
      <c r="M2292" t="str">
        <f>""</f>
        <v/>
      </c>
    </row>
    <row r="2293" spans="1:13" ht="15.75">
      <c r="A2293">
        <v>2012</v>
      </c>
      <c r="B2293" s="777">
        <v>41137.550694444442</v>
      </c>
      <c r="C2293" s="730">
        <v>41137.550694444442</v>
      </c>
      <c r="D2293" s="777">
        <v>41137.551388888889</v>
      </c>
      <c r="E2293" s="730">
        <v>41137.550694444442</v>
      </c>
      <c r="F2293" s="558" t="s">
        <v>2426</v>
      </c>
      <c r="G2293" s="558" t="s">
        <v>826</v>
      </c>
      <c r="H2293" s="558" t="s">
        <v>5873</v>
      </c>
      <c r="I2293" s="679" t="s">
        <v>100</v>
      </c>
      <c r="J2293" s="676">
        <v>0</v>
      </c>
      <c r="K2293" s="676">
        <v>0</v>
      </c>
      <c r="M2293" t="str">
        <f>""</f>
        <v/>
      </c>
    </row>
    <row r="2294" spans="1:13" ht="15.75">
      <c r="A2294">
        <v>2012</v>
      </c>
      <c r="B2294" s="777">
        <v>41157.455555555556</v>
      </c>
      <c r="C2294" s="730">
        <v>41157.455555555556</v>
      </c>
      <c r="D2294" s="777">
        <v>41157.477083333331</v>
      </c>
      <c r="E2294" s="730">
        <v>41157.477083333331</v>
      </c>
      <c r="F2294" s="558" t="s">
        <v>2418</v>
      </c>
      <c r="G2294" s="558" t="s">
        <v>124</v>
      </c>
      <c r="H2294" s="558" t="s">
        <v>5873</v>
      </c>
      <c r="I2294" s="679" t="s">
        <v>2037</v>
      </c>
      <c r="J2294" s="676">
        <v>0</v>
      </c>
      <c r="K2294" s="676">
        <v>0</v>
      </c>
      <c r="M2294" t="str">
        <f>""</f>
        <v/>
      </c>
    </row>
    <row r="2295" spans="1:13" ht="15.75">
      <c r="A2295">
        <v>2012</v>
      </c>
      <c r="B2295" s="777">
        <v>41163.541666666664</v>
      </c>
      <c r="C2295" s="730">
        <v>41163.541666666664</v>
      </c>
      <c r="D2295" s="777">
        <v>41163.581944444442</v>
      </c>
      <c r="E2295" s="730">
        <v>41163.581944444442</v>
      </c>
      <c r="F2295" s="558" t="s">
        <v>2418</v>
      </c>
      <c r="G2295" s="558" t="s">
        <v>124</v>
      </c>
      <c r="H2295" s="558" t="s">
        <v>5873</v>
      </c>
      <c r="I2295" s="679" t="s">
        <v>2037</v>
      </c>
      <c r="J2295" s="676">
        <v>0</v>
      </c>
      <c r="K2295" s="676">
        <v>0</v>
      </c>
      <c r="M2295" t="str">
        <f>""</f>
        <v/>
      </c>
    </row>
    <row r="2296" spans="1:13" ht="15.75">
      <c r="A2296">
        <v>2012</v>
      </c>
      <c r="B2296" s="777">
        <v>41176</v>
      </c>
      <c r="C2296" s="730">
        <v>41176</v>
      </c>
      <c r="D2296" s="777">
        <v>41177</v>
      </c>
      <c r="E2296" s="730">
        <v>41177</v>
      </c>
      <c r="F2296" s="558" t="s">
        <v>2438</v>
      </c>
      <c r="G2296" s="558" t="s">
        <v>826</v>
      </c>
      <c r="H2296" s="558" t="s">
        <v>5873</v>
      </c>
      <c r="I2296" s="679" t="s">
        <v>2150</v>
      </c>
      <c r="J2296" s="676">
        <v>0</v>
      </c>
      <c r="K2296" s="676">
        <v>0</v>
      </c>
      <c r="M2296" t="str">
        <f>""</f>
        <v/>
      </c>
    </row>
    <row r="2297" spans="1:13" ht="15.75">
      <c r="A2297">
        <v>2012</v>
      </c>
      <c r="B2297" s="777">
        <v>41191</v>
      </c>
      <c r="C2297" s="730">
        <v>41191</v>
      </c>
      <c r="D2297" s="777">
        <v>41191.000694444447</v>
      </c>
      <c r="E2297" s="730">
        <v>41191.000694444447</v>
      </c>
      <c r="F2297" s="558" t="s">
        <v>2313</v>
      </c>
      <c r="G2297" s="558" t="s">
        <v>826</v>
      </c>
      <c r="H2297" s="558" t="s">
        <v>5873</v>
      </c>
      <c r="I2297" s="679" t="s">
        <v>2440</v>
      </c>
      <c r="J2297" s="676">
        <v>0</v>
      </c>
      <c r="K2297" s="676">
        <v>0</v>
      </c>
      <c r="M2297" t="str">
        <f>""</f>
        <v/>
      </c>
    </row>
    <row r="2298" spans="1:13" ht="15.75">
      <c r="A2298">
        <v>2012</v>
      </c>
      <c r="B2298" s="777">
        <v>41193</v>
      </c>
      <c r="C2298" s="730">
        <v>41193</v>
      </c>
      <c r="D2298" s="777">
        <v>41193.000694444447</v>
      </c>
      <c r="E2298" s="730">
        <v>41193.000694444447</v>
      </c>
      <c r="F2298" s="558" t="s">
        <v>2313</v>
      </c>
      <c r="G2298" s="558" t="s">
        <v>826</v>
      </c>
      <c r="H2298" s="558" t="s">
        <v>5873</v>
      </c>
      <c r="I2298" s="679" t="s">
        <v>2440</v>
      </c>
      <c r="J2298" s="676">
        <v>0</v>
      </c>
      <c r="K2298" s="676">
        <v>0</v>
      </c>
      <c r="M2298" t="str">
        <f>""</f>
        <v/>
      </c>
    </row>
    <row r="2299" spans="1:13" ht="15.75">
      <c r="A2299">
        <v>2012</v>
      </c>
      <c r="B2299" s="777">
        <v>41197.59375</v>
      </c>
      <c r="C2299" s="730">
        <v>41197.59375</v>
      </c>
      <c r="D2299" s="777">
        <v>41197.594444444447</v>
      </c>
      <c r="E2299" s="730">
        <v>41197.594444444447</v>
      </c>
      <c r="F2299" s="558" t="s">
        <v>2441</v>
      </c>
      <c r="G2299" s="558" t="s">
        <v>61</v>
      </c>
      <c r="H2299" s="558" t="s">
        <v>5873</v>
      </c>
      <c r="I2299" s="679" t="s">
        <v>2442</v>
      </c>
      <c r="J2299" s="676">
        <v>0</v>
      </c>
      <c r="K2299" s="676">
        <v>0</v>
      </c>
      <c r="M2299" t="str">
        <f>""</f>
        <v/>
      </c>
    </row>
    <row r="2300" spans="1:13" ht="15.75">
      <c r="A2300">
        <v>2012</v>
      </c>
      <c r="B2300" s="777">
        <v>41204</v>
      </c>
      <c r="C2300" s="730">
        <v>41204</v>
      </c>
      <c r="D2300" s="777">
        <v>41204.000694444447</v>
      </c>
      <c r="E2300" s="730">
        <v>41204.000694444447</v>
      </c>
      <c r="F2300" s="558" t="s">
        <v>2443</v>
      </c>
      <c r="G2300" s="558" t="s">
        <v>826</v>
      </c>
      <c r="H2300" s="558" t="s">
        <v>5873</v>
      </c>
      <c r="I2300" s="679" t="s">
        <v>2444</v>
      </c>
      <c r="J2300" s="676">
        <v>0</v>
      </c>
      <c r="K2300" s="676">
        <v>0</v>
      </c>
      <c r="M2300" t="str">
        <f>""</f>
        <v/>
      </c>
    </row>
    <row r="2301" spans="1:13" ht="15.75">
      <c r="A2301">
        <v>2012</v>
      </c>
      <c r="B2301" s="777">
        <v>41206</v>
      </c>
      <c r="C2301" s="730">
        <v>41206</v>
      </c>
      <c r="D2301" s="777">
        <v>41206.000694444447</v>
      </c>
      <c r="E2301" s="730">
        <v>41206.000694444447</v>
      </c>
      <c r="F2301" s="558" t="s">
        <v>2445</v>
      </c>
      <c r="G2301" s="558" t="s">
        <v>826</v>
      </c>
      <c r="H2301" s="558" t="s">
        <v>5873</v>
      </c>
      <c r="I2301" s="679" t="s">
        <v>2444</v>
      </c>
      <c r="J2301" s="676">
        <v>0</v>
      </c>
      <c r="K2301" s="676">
        <v>0</v>
      </c>
      <c r="M2301" t="str">
        <f>""</f>
        <v/>
      </c>
    </row>
    <row r="2302" spans="1:13" ht="15.75">
      <c r="A2302">
        <v>2012</v>
      </c>
      <c r="B2302" s="777">
        <v>41206</v>
      </c>
      <c r="C2302" s="730">
        <v>41206</v>
      </c>
      <c r="D2302" s="777">
        <v>41206.000694444447</v>
      </c>
      <c r="E2302" s="730">
        <v>41206.000694444447</v>
      </c>
      <c r="F2302" s="558" t="s">
        <v>2438</v>
      </c>
      <c r="G2302" s="558" t="s">
        <v>826</v>
      </c>
      <c r="H2302" s="558" t="s">
        <v>5873</v>
      </c>
      <c r="I2302" s="679" t="s">
        <v>2150</v>
      </c>
      <c r="J2302" s="676">
        <v>0</v>
      </c>
      <c r="K2302" s="676">
        <v>0</v>
      </c>
      <c r="M2302" t="str">
        <f>""</f>
        <v/>
      </c>
    </row>
    <row r="2303" spans="1:13" ht="15.75">
      <c r="A2303">
        <v>2012</v>
      </c>
      <c r="B2303" s="777">
        <v>41206.635416666664</v>
      </c>
      <c r="C2303" s="730">
        <v>41206.635416666664</v>
      </c>
      <c r="D2303" s="777">
        <v>41206.636111111111</v>
      </c>
      <c r="E2303" s="730">
        <v>41206.636111111111</v>
      </c>
      <c r="F2303" s="558" t="s">
        <v>2446</v>
      </c>
      <c r="G2303" s="558" t="s">
        <v>826</v>
      </c>
      <c r="H2303" s="558" t="s">
        <v>5873</v>
      </c>
      <c r="I2303" s="679" t="s">
        <v>2444</v>
      </c>
      <c r="J2303" s="676">
        <v>0</v>
      </c>
      <c r="K2303" s="676">
        <v>0</v>
      </c>
      <c r="M2303" t="str">
        <f>""</f>
        <v/>
      </c>
    </row>
    <row r="2304" spans="1:13" ht="15.75">
      <c r="A2304">
        <v>2012</v>
      </c>
      <c r="B2304" s="777">
        <v>41207.61041666667</v>
      </c>
      <c r="C2304" s="730">
        <v>41207.61041666667</v>
      </c>
      <c r="D2304" s="777">
        <v>41207.75</v>
      </c>
      <c r="E2304" s="730">
        <v>41207.75</v>
      </c>
      <c r="F2304" s="558" t="s">
        <v>2250</v>
      </c>
      <c r="G2304" s="558" t="s">
        <v>124</v>
      </c>
      <c r="H2304" s="558" t="s">
        <v>5873</v>
      </c>
      <c r="I2304" s="679" t="s">
        <v>2444</v>
      </c>
      <c r="J2304" s="676">
        <v>0</v>
      </c>
      <c r="K2304" s="676">
        <v>0</v>
      </c>
      <c r="M2304" t="str">
        <f>""</f>
        <v/>
      </c>
    </row>
    <row r="2305" spans="1:13" ht="15.75">
      <c r="A2305">
        <v>2012</v>
      </c>
      <c r="B2305" s="777">
        <v>41207.785416666666</v>
      </c>
      <c r="C2305" s="730">
        <v>41207.785416666666</v>
      </c>
      <c r="D2305" s="777">
        <v>41207.8125</v>
      </c>
      <c r="E2305" s="730">
        <v>41207.8125</v>
      </c>
      <c r="F2305" s="558" t="s">
        <v>2119</v>
      </c>
      <c r="G2305" s="558" t="s">
        <v>826</v>
      </c>
      <c r="H2305" s="558" t="s">
        <v>5873</v>
      </c>
      <c r="I2305" s="679" t="s">
        <v>2444</v>
      </c>
      <c r="J2305" s="676">
        <v>0</v>
      </c>
      <c r="K2305" s="676">
        <v>0</v>
      </c>
      <c r="M2305" t="str">
        <f>""</f>
        <v/>
      </c>
    </row>
    <row r="2306" spans="1:13" ht="15.75">
      <c r="A2306">
        <v>2012</v>
      </c>
      <c r="B2306" s="777">
        <v>41211.375</v>
      </c>
      <c r="C2306" s="730">
        <v>41211.375</v>
      </c>
      <c r="D2306" s="777">
        <v>41211.375</v>
      </c>
      <c r="E2306" s="730">
        <v>41211.375694444447</v>
      </c>
      <c r="F2306" s="558" t="s">
        <v>2143</v>
      </c>
      <c r="G2306" s="558" t="s">
        <v>124</v>
      </c>
      <c r="H2306" s="558" t="s">
        <v>5873</v>
      </c>
      <c r="I2306" s="679" t="s">
        <v>2444</v>
      </c>
      <c r="J2306" s="676">
        <v>0</v>
      </c>
      <c r="K2306" s="676">
        <v>0</v>
      </c>
      <c r="M2306" t="str">
        <f>""</f>
        <v/>
      </c>
    </row>
    <row r="2307" spans="1:13" ht="15.75">
      <c r="A2307">
        <v>2012</v>
      </c>
      <c r="B2307" s="777">
        <v>41212</v>
      </c>
      <c r="C2307" s="730">
        <v>41212</v>
      </c>
      <c r="D2307" s="777">
        <v>41212.001388888886</v>
      </c>
      <c r="E2307" s="730">
        <v>41212.001388888886</v>
      </c>
      <c r="F2307" s="558" t="s">
        <v>2465</v>
      </c>
      <c r="G2307" s="558" t="s">
        <v>826</v>
      </c>
      <c r="H2307" s="558" t="s">
        <v>5873</v>
      </c>
      <c r="I2307" s="679" t="s">
        <v>2444</v>
      </c>
      <c r="J2307" s="676">
        <v>0</v>
      </c>
      <c r="K2307" s="676">
        <v>0</v>
      </c>
      <c r="M2307" t="str">
        <f>""</f>
        <v/>
      </c>
    </row>
    <row r="2308" spans="1:13" ht="15.75">
      <c r="A2308">
        <v>2012</v>
      </c>
      <c r="B2308" s="777">
        <v>41212.555555555555</v>
      </c>
      <c r="C2308" s="730">
        <v>41212.555555555555</v>
      </c>
      <c r="D2308" s="777">
        <v>41212.559027777781</v>
      </c>
      <c r="E2308" s="730">
        <v>41212.559027777781</v>
      </c>
      <c r="F2308" s="558" t="s">
        <v>2467</v>
      </c>
      <c r="G2308" s="558" t="s">
        <v>61</v>
      </c>
      <c r="H2308" s="558" t="s">
        <v>5873</v>
      </c>
      <c r="I2308" s="679" t="s">
        <v>100</v>
      </c>
      <c r="J2308" s="676">
        <v>0</v>
      </c>
      <c r="K2308" s="676">
        <v>0</v>
      </c>
      <c r="M2308" t="str">
        <f>""</f>
        <v/>
      </c>
    </row>
    <row r="2309" spans="1:13" ht="15.75">
      <c r="A2309">
        <v>2012</v>
      </c>
      <c r="B2309" s="777">
        <v>41215</v>
      </c>
      <c r="C2309" s="730">
        <v>0.39583333333333331</v>
      </c>
      <c r="D2309" s="777">
        <v>41215</v>
      </c>
      <c r="E2309" s="730">
        <v>0.50694444444444442</v>
      </c>
      <c r="F2309" s="558" t="s">
        <v>2469</v>
      </c>
      <c r="G2309" s="558" t="s">
        <v>61</v>
      </c>
      <c r="H2309" s="558" t="s">
        <v>5873</v>
      </c>
      <c r="I2309" s="679" t="s">
        <v>2444</v>
      </c>
      <c r="J2309" s="676">
        <v>0</v>
      </c>
      <c r="K2309" s="676">
        <v>0</v>
      </c>
      <c r="M2309" t="str">
        <f>""</f>
        <v/>
      </c>
    </row>
    <row r="2310" spans="1:13" ht="15.75">
      <c r="A2310">
        <v>2012</v>
      </c>
      <c r="B2310" s="777">
        <v>41220</v>
      </c>
      <c r="C2310" s="730">
        <v>0.59791666666666665</v>
      </c>
      <c r="D2310" s="777">
        <v>41220</v>
      </c>
      <c r="E2310" s="730">
        <v>0.6166666666666667</v>
      </c>
      <c r="F2310" s="558" t="s">
        <v>1115</v>
      </c>
      <c r="G2310" s="558" t="s">
        <v>61</v>
      </c>
      <c r="H2310" s="558" t="s">
        <v>5873</v>
      </c>
      <c r="I2310" s="679" t="s">
        <v>2444</v>
      </c>
      <c r="J2310" s="676">
        <v>0</v>
      </c>
      <c r="K2310" s="676">
        <v>0</v>
      </c>
      <c r="M2310" t="str">
        <f>""</f>
        <v/>
      </c>
    </row>
    <row r="2311" spans="1:13" ht="15.75">
      <c r="A2311">
        <v>2012</v>
      </c>
      <c r="B2311" s="777">
        <v>41221</v>
      </c>
      <c r="C2311" s="730">
        <v>0.39861111111111114</v>
      </c>
      <c r="D2311" s="777">
        <v>41221</v>
      </c>
      <c r="E2311" s="730">
        <v>0.39930555555555558</v>
      </c>
      <c r="F2311" s="558" t="s">
        <v>2470</v>
      </c>
      <c r="G2311" s="558" t="s">
        <v>826</v>
      </c>
      <c r="H2311" s="558" t="s">
        <v>5873</v>
      </c>
      <c r="I2311" s="679" t="s">
        <v>2444</v>
      </c>
      <c r="J2311" s="676">
        <v>0</v>
      </c>
      <c r="K2311" s="676">
        <v>0</v>
      </c>
      <c r="M2311" t="str">
        <f>""</f>
        <v/>
      </c>
    </row>
    <row r="2312" spans="1:13" ht="15.75">
      <c r="A2312">
        <v>2012</v>
      </c>
      <c r="B2312" s="777">
        <v>41228</v>
      </c>
      <c r="C2312" s="730">
        <v>0.23472222222222222</v>
      </c>
      <c r="D2312" s="777">
        <v>41228</v>
      </c>
      <c r="E2312" s="730">
        <v>0.23541666666666666</v>
      </c>
      <c r="F2312" s="558" t="s">
        <v>2471</v>
      </c>
      <c r="G2312" s="558" t="s">
        <v>61</v>
      </c>
      <c r="H2312" s="558" t="s">
        <v>5873</v>
      </c>
      <c r="I2312" s="679" t="s">
        <v>2444</v>
      </c>
      <c r="J2312" s="676">
        <v>0</v>
      </c>
      <c r="K2312" s="676">
        <v>0</v>
      </c>
      <c r="M2312" t="str">
        <f>""</f>
        <v/>
      </c>
    </row>
    <row r="2313" spans="1:13" ht="15.75">
      <c r="A2313">
        <v>2012</v>
      </c>
      <c r="B2313" s="777">
        <v>41230</v>
      </c>
      <c r="C2313" s="730">
        <v>0.41666666666666669</v>
      </c>
      <c r="D2313" s="777">
        <v>41231</v>
      </c>
      <c r="E2313" s="730">
        <v>0.41666666666666669</v>
      </c>
      <c r="F2313" s="558" t="s">
        <v>2474</v>
      </c>
      <c r="G2313" s="558" t="s">
        <v>1352</v>
      </c>
      <c r="H2313" s="558" t="s">
        <v>5873</v>
      </c>
      <c r="I2313" s="679" t="s">
        <v>1138</v>
      </c>
      <c r="J2313" s="676">
        <v>1231</v>
      </c>
      <c r="K2313" s="676">
        <v>0</v>
      </c>
      <c r="M2313" t="str">
        <f>""</f>
        <v/>
      </c>
    </row>
    <row r="2314" spans="1:13" ht="15.75">
      <c r="A2314">
        <v>2012</v>
      </c>
      <c r="B2314" s="777">
        <v>41239</v>
      </c>
      <c r="C2314" s="730">
        <v>0.52569444444444446</v>
      </c>
      <c r="D2314" s="777">
        <v>41239</v>
      </c>
      <c r="E2314" s="730">
        <v>0.52638888888888891</v>
      </c>
      <c r="F2314" s="558" t="s">
        <v>2475</v>
      </c>
      <c r="G2314" s="558" t="s">
        <v>826</v>
      </c>
      <c r="H2314" s="558" t="s">
        <v>5873</v>
      </c>
      <c r="I2314" s="679" t="s">
        <v>2444</v>
      </c>
      <c r="J2314" s="676">
        <v>0</v>
      </c>
      <c r="K2314" s="676">
        <v>0</v>
      </c>
      <c r="M2314" t="str">
        <f>""</f>
        <v/>
      </c>
    </row>
    <row r="2315" spans="1:13" ht="15.75">
      <c r="A2315">
        <v>2012</v>
      </c>
      <c r="B2315" s="777">
        <v>41240</v>
      </c>
      <c r="C2315" s="730">
        <v>0.54652777777777772</v>
      </c>
      <c r="D2315" s="777">
        <v>41240</v>
      </c>
      <c r="E2315" s="730">
        <v>0.56944444444444442</v>
      </c>
      <c r="F2315" s="558" t="s">
        <v>1115</v>
      </c>
      <c r="G2315" s="558" t="s">
        <v>61</v>
      </c>
      <c r="H2315" s="558" t="s">
        <v>5873</v>
      </c>
      <c r="I2315" s="679" t="s">
        <v>2444</v>
      </c>
      <c r="J2315" s="676">
        <v>0</v>
      </c>
      <c r="K2315" s="676">
        <v>0</v>
      </c>
      <c r="M2315" t="str">
        <f>""</f>
        <v/>
      </c>
    </row>
    <row r="2316" spans="1:13" ht="15.75">
      <c r="A2316">
        <v>2012</v>
      </c>
      <c r="B2316" s="777">
        <v>41246</v>
      </c>
      <c r="C2316" s="730">
        <v>0.50138888888888888</v>
      </c>
      <c r="D2316" s="777">
        <v>41246</v>
      </c>
      <c r="E2316" s="730">
        <v>0.52083333333333337</v>
      </c>
      <c r="F2316" s="558" t="s">
        <v>2332</v>
      </c>
      <c r="G2316" s="558" t="s">
        <v>124</v>
      </c>
      <c r="H2316" s="558" t="s">
        <v>5873</v>
      </c>
      <c r="I2316" s="679" t="s">
        <v>2150</v>
      </c>
      <c r="J2316" s="676">
        <v>0</v>
      </c>
      <c r="K2316" s="676">
        <v>0</v>
      </c>
      <c r="M2316" t="str">
        <f>""</f>
        <v/>
      </c>
    </row>
    <row r="2317" spans="1:13" ht="15.75">
      <c r="A2317">
        <v>2012</v>
      </c>
      <c r="B2317" s="777">
        <v>41260</v>
      </c>
      <c r="C2317" s="730">
        <v>0.28819444444444442</v>
      </c>
      <c r="D2317" s="777">
        <v>41260</v>
      </c>
      <c r="E2317" s="730">
        <v>0.29166666666666669</v>
      </c>
      <c r="F2317" s="558" t="s">
        <v>2332</v>
      </c>
      <c r="G2317" s="558" t="s">
        <v>124</v>
      </c>
      <c r="H2317" s="558" t="s">
        <v>5873</v>
      </c>
      <c r="I2317" s="679" t="s">
        <v>2150</v>
      </c>
      <c r="J2317" s="676">
        <v>0</v>
      </c>
      <c r="K2317" s="676">
        <v>0</v>
      </c>
      <c r="M2317" t="str">
        <f>""</f>
        <v/>
      </c>
    </row>
    <row r="2318" spans="1:13" ht="15.75">
      <c r="A2318">
        <v>2013</v>
      </c>
      <c r="B2318" s="777">
        <v>41290</v>
      </c>
      <c r="C2318" s="730">
        <v>0.69791666666666663</v>
      </c>
      <c r="D2318" s="777">
        <v>41290</v>
      </c>
      <c r="E2318" s="730">
        <v>0.80972222222222223</v>
      </c>
      <c r="F2318" s="558" t="s">
        <v>2391</v>
      </c>
      <c r="G2318" s="558" t="s">
        <v>124</v>
      </c>
      <c r="H2318" s="558" t="s">
        <v>5873</v>
      </c>
      <c r="I2318" s="679" t="s">
        <v>2150</v>
      </c>
      <c r="J2318" s="676">
        <v>0</v>
      </c>
      <c r="K2318" s="676">
        <v>0</v>
      </c>
      <c r="M2318" t="str">
        <f>""</f>
        <v/>
      </c>
    </row>
    <row r="2319" spans="1:13" ht="15.75">
      <c r="A2319">
        <v>2013</v>
      </c>
      <c r="B2319" s="777">
        <v>41312</v>
      </c>
      <c r="C2319" s="730">
        <v>0.35555555555555557</v>
      </c>
      <c r="D2319" s="777">
        <v>41312</v>
      </c>
      <c r="E2319" s="730">
        <v>0.40763888888888888</v>
      </c>
      <c r="F2319" s="558" t="s">
        <v>72</v>
      </c>
      <c r="G2319" s="558" t="s">
        <v>826</v>
      </c>
      <c r="H2319" s="558" t="s">
        <v>5873</v>
      </c>
      <c r="I2319" s="679" t="s">
        <v>100</v>
      </c>
      <c r="J2319" s="676" t="s">
        <v>5873</v>
      </c>
      <c r="K2319" s="676">
        <v>0</v>
      </c>
      <c r="M2319" t="str">
        <f>""</f>
        <v/>
      </c>
    </row>
    <row r="2320" spans="1:13" ht="15.75">
      <c r="A2320">
        <v>2013</v>
      </c>
      <c r="B2320" s="777">
        <v>41351</v>
      </c>
      <c r="C2320" s="730">
        <v>0.74305555555555558</v>
      </c>
      <c r="D2320" s="777">
        <v>41351</v>
      </c>
      <c r="E2320" s="730">
        <v>0.75486111111111109</v>
      </c>
      <c r="F2320" s="558" t="s">
        <v>2514</v>
      </c>
      <c r="G2320" s="558" t="s">
        <v>301</v>
      </c>
      <c r="H2320" s="558" t="s">
        <v>5873</v>
      </c>
      <c r="I2320" s="679" t="s">
        <v>2150</v>
      </c>
      <c r="J2320" s="676">
        <v>0</v>
      </c>
      <c r="K2320" s="676">
        <v>0</v>
      </c>
      <c r="M2320" t="str">
        <f>""</f>
        <v/>
      </c>
    </row>
    <row r="2321" spans="1:13" ht="15.75">
      <c r="A2321">
        <v>2013</v>
      </c>
      <c r="B2321" s="777">
        <v>41367</v>
      </c>
      <c r="C2321" s="730">
        <v>0.46180555555555558</v>
      </c>
      <c r="D2321" s="777">
        <v>41367</v>
      </c>
      <c r="E2321" s="730">
        <v>0.58333333333333337</v>
      </c>
      <c r="F2321" s="558" t="s">
        <v>2518</v>
      </c>
      <c r="G2321" s="558" t="s">
        <v>124</v>
      </c>
      <c r="H2321" s="558" t="s">
        <v>5873</v>
      </c>
      <c r="I2321" s="679" t="s">
        <v>2519</v>
      </c>
      <c r="J2321" s="676">
        <v>0</v>
      </c>
      <c r="K2321" s="676">
        <v>0</v>
      </c>
      <c r="M2321" t="str">
        <f>""</f>
        <v/>
      </c>
    </row>
    <row r="2322" spans="1:13" ht="15.75">
      <c r="A2322">
        <v>2013</v>
      </c>
      <c r="B2322" s="777">
        <v>41380</v>
      </c>
      <c r="C2322" s="730">
        <v>7.4305555555555555E-2</v>
      </c>
      <c r="D2322" s="777">
        <v>41382</v>
      </c>
      <c r="E2322" s="730">
        <v>0.64236111111111116</v>
      </c>
      <c r="F2322" s="558" t="s">
        <v>18</v>
      </c>
      <c r="G2322" s="558" t="s">
        <v>124</v>
      </c>
      <c r="H2322" s="558" t="s">
        <v>5873</v>
      </c>
      <c r="I2322" s="679" t="s">
        <v>2521</v>
      </c>
      <c r="J2322" s="676" t="s">
        <v>5873</v>
      </c>
      <c r="K2322" s="676">
        <v>0</v>
      </c>
      <c r="M2322" t="str">
        <f>""</f>
        <v/>
      </c>
    </row>
    <row r="2323" spans="1:13" ht="15.75">
      <c r="A2323">
        <v>2013</v>
      </c>
      <c r="B2323" s="777">
        <v>41389</v>
      </c>
      <c r="C2323" s="730">
        <v>0.66666666666666663</v>
      </c>
      <c r="D2323" s="777">
        <v>41390</v>
      </c>
      <c r="E2323" s="730">
        <v>0.4548611111111111</v>
      </c>
      <c r="F2323" s="558" t="s">
        <v>2527</v>
      </c>
      <c r="G2323" s="558" t="s">
        <v>124</v>
      </c>
      <c r="H2323" s="558" t="s">
        <v>5873</v>
      </c>
      <c r="I2323" s="679" t="s">
        <v>100</v>
      </c>
      <c r="J2323" s="676">
        <v>0</v>
      </c>
      <c r="K2323" s="676">
        <v>0</v>
      </c>
      <c r="M2323" t="str">
        <f>""</f>
        <v/>
      </c>
    </row>
    <row r="2324" spans="1:13" ht="15.75">
      <c r="A2324">
        <v>2013</v>
      </c>
      <c r="B2324" s="777">
        <v>41458</v>
      </c>
      <c r="C2324" s="730">
        <v>0.39861111111111114</v>
      </c>
      <c r="D2324" s="777">
        <v>41458</v>
      </c>
      <c r="E2324" s="730">
        <v>0.45277777777777778</v>
      </c>
      <c r="F2324" s="558" t="s">
        <v>2570</v>
      </c>
      <c r="G2324" s="558" t="s">
        <v>124</v>
      </c>
      <c r="H2324" s="558" t="s">
        <v>5873</v>
      </c>
      <c r="I2324" s="679" t="s">
        <v>2150</v>
      </c>
      <c r="J2324" s="676">
        <v>0</v>
      </c>
      <c r="K2324" s="676">
        <v>0</v>
      </c>
      <c r="M2324" t="str">
        <f>""</f>
        <v/>
      </c>
    </row>
    <row r="2325" spans="1:13" ht="15.75">
      <c r="A2325">
        <v>2013</v>
      </c>
      <c r="B2325" s="777">
        <v>41465</v>
      </c>
      <c r="C2325" s="730">
        <v>0.60416666666666663</v>
      </c>
      <c r="D2325" s="777">
        <v>41465</v>
      </c>
      <c r="E2325" s="730">
        <v>0.61458333333333337</v>
      </c>
      <c r="F2325" s="558" t="s">
        <v>517</v>
      </c>
      <c r="G2325" s="558" t="s">
        <v>61</v>
      </c>
      <c r="H2325" s="558" t="s">
        <v>5873</v>
      </c>
      <c r="I2325" s="679" t="s">
        <v>2573</v>
      </c>
      <c r="J2325" s="676">
        <v>0</v>
      </c>
      <c r="K2325" s="676">
        <v>0</v>
      </c>
      <c r="M2325" t="str">
        <f>""</f>
        <v/>
      </c>
    </row>
    <row r="2326" spans="1:13" ht="15.75">
      <c r="A2326">
        <v>2013</v>
      </c>
      <c r="B2326" s="777">
        <v>41563</v>
      </c>
      <c r="C2326" s="730">
        <v>0.46875</v>
      </c>
      <c r="D2326" s="777">
        <v>41563</v>
      </c>
      <c r="E2326" s="730">
        <v>0.75</v>
      </c>
      <c r="F2326" s="558" t="s">
        <v>2609</v>
      </c>
      <c r="G2326" s="558" t="s">
        <v>63</v>
      </c>
      <c r="H2326" s="558" t="s">
        <v>5873</v>
      </c>
      <c r="I2326" s="679" t="s">
        <v>2610</v>
      </c>
      <c r="J2326" s="676">
        <v>0</v>
      </c>
      <c r="K2326" s="676">
        <v>0</v>
      </c>
      <c r="M2326" t="str">
        <f>""</f>
        <v/>
      </c>
    </row>
    <row r="2327" spans="1:13" ht="15.75">
      <c r="A2327">
        <v>2015</v>
      </c>
      <c r="B2327" s="777">
        <v>42031</v>
      </c>
      <c r="C2327" s="730">
        <v>0.4375</v>
      </c>
      <c r="D2327" s="777">
        <v>42031</v>
      </c>
      <c r="E2327" s="730">
        <v>0.43819444444444444</v>
      </c>
      <c r="F2327" s="558" t="s">
        <v>2747</v>
      </c>
      <c r="G2327" s="558" t="s">
        <v>63</v>
      </c>
      <c r="H2327" s="558" t="s">
        <v>2150</v>
      </c>
      <c r="I2327" s="679" t="s">
        <v>2343</v>
      </c>
      <c r="J2327" s="676">
        <v>0</v>
      </c>
      <c r="K2327" s="676">
        <v>0</v>
      </c>
      <c r="M2327" t="str">
        <f>""</f>
        <v/>
      </c>
    </row>
    <row r="2328" spans="1:13" ht="15.75">
      <c r="A2328">
        <v>2015</v>
      </c>
      <c r="B2328" s="777">
        <v>42085</v>
      </c>
      <c r="C2328" s="730">
        <v>0.68402777777777779</v>
      </c>
      <c r="D2328" s="777">
        <v>42085</v>
      </c>
      <c r="E2328" s="730">
        <v>0.68472222222222223</v>
      </c>
      <c r="F2328" s="558" t="s">
        <v>2402</v>
      </c>
      <c r="G2328" s="558" t="s">
        <v>826</v>
      </c>
      <c r="H2328" s="558" t="s">
        <v>2150</v>
      </c>
      <c r="I2328" s="679" t="s">
        <v>100</v>
      </c>
      <c r="J2328" s="676">
        <v>24</v>
      </c>
      <c r="K2328" s="676">
        <v>0</v>
      </c>
      <c r="M2328" t="str">
        <f>""</f>
        <v/>
      </c>
    </row>
    <row r="2329" spans="1:13" ht="15.75">
      <c r="A2329">
        <v>2015</v>
      </c>
      <c r="B2329" s="777">
        <v>42101</v>
      </c>
      <c r="C2329" s="730">
        <v>0.64861111111111114</v>
      </c>
      <c r="D2329" s="777">
        <v>42101</v>
      </c>
      <c r="E2329" s="730">
        <v>0.65694444444444444</v>
      </c>
      <c r="F2329" s="558" t="s">
        <v>18</v>
      </c>
      <c r="G2329" s="558" t="s">
        <v>124</v>
      </c>
      <c r="H2329" s="558" t="s">
        <v>2763</v>
      </c>
      <c r="I2329" s="679" t="s">
        <v>2764</v>
      </c>
      <c r="J2329" s="676">
        <v>0</v>
      </c>
      <c r="K2329" s="676">
        <v>0</v>
      </c>
      <c r="M2329" t="str">
        <f>""</f>
        <v/>
      </c>
    </row>
    <row r="2330" spans="1:13" ht="15.75">
      <c r="A2330">
        <v>2015</v>
      </c>
      <c r="B2330" s="777">
        <v>42135</v>
      </c>
      <c r="C2330" s="730">
        <v>0.35555555555555557</v>
      </c>
      <c r="D2330" s="777">
        <v>42135</v>
      </c>
      <c r="E2330" s="730">
        <v>0.35625000000000001</v>
      </c>
      <c r="F2330" s="558" t="s">
        <v>2774</v>
      </c>
      <c r="G2330" s="558" t="s">
        <v>124</v>
      </c>
      <c r="H2330" s="558" t="s">
        <v>2150</v>
      </c>
      <c r="I2330" s="679" t="s">
        <v>2343</v>
      </c>
      <c r="J2330" s="676">
        <v>0</v>
      </c>
      <c r="K2330" s="676">
        <v>0</v>
      </c>
      <c r="M2330" t="str">
        <f>""</f>
        <v/>
      </c>
    </row>
    <row r="2331" spans="1:13" ht="15.75">
      <c r="A2331">
        <v>2015</v>
      </c>
      <c r="B2331" s="777">
        <v>42136</v>
      </c>
      <c r="C2331" s="730">
        <v>2.7777777777777776E-2</v>
      </c>
      <c r="D2331" s="777">
        <v>42136</v>
      </c>
      <c r="E2331" s="730">
        <v>3.125E-2</v>
      </c>
      <c r="F2331" s="558" t="s">
        <v>2775</v>
      </c>
      <c r="G2331" s="558" t="s">
        <v>63</v>
      </c>
      <c r="H2331" s="558" t="s">
        <v>2150</v>
      </c>
      <c r="I2331" s="679" t="s">
        <v>2343</v>
      </c>
      <c r="J2331" s="676">
        <v>0</v>
      </c>
      <c r="K2331" s="676">
        <v>0</v>
      </c>
      <c r="M2331" t="str">
        <f>""</f>
        <v/>
      </c>
    </row>
    <row r="2332" spans="1:13" ht="15.75">
      <c r="A2332">
        <v>2015</v>
      </c>
      <c r="B2332" s="777">
        <v>42142</v>
      </c>
      <c r="C2332" s="730">
        <v>0.64444444444444449</v>
      </c>
      <c r="D2332" s="777">
        <v>42142</v>
      </c>
      <c r="E2332" s="730">
        <v>0.65763888888888888</v>
      </c>
      <c r="F2332" s="558" t="s">
        <v>2575</v>
      </c>
      <c r="G2332" s="558" t="s">
        <v>124</v>
      </c>
      <c r="H2332" s="558" t="s">
        <v>2763</v>
      </c>
      <c r="I2332" s="679" t="s">
        <v>22</v>
      </c>
      <c r="J2332" s="676">
        <v>275</v>
      </c>
      <c r="K2332" s="676">
        <v>0</v>
      </c>
      <c r="M2332" t="str">
        <f>""</f>
        <v/>
      </c>
    </row>
    <row r="2333" spans="1:13" ht="15.75">
      <c r="A2333">
        <v>2015</v>
      </c>
      <c r="B2333" s="777">
        <v>42175</v>
      </c>
      <c r="C2333" s="730">
        <v>0.57777777777777772</v>
      </c>
      <c r="D2333" s="777">
        <v>42175</v>
      </c>
      <c r="E2333" s="730">
        <v>0.64583333333333337</v>
      </c>
      <c r="F2333" s="558" t="s">
        <v>2781</v>
      </c>
      <c r="G2333" s="558" t="s">
        <v>124</v>
      </c>
      <c r="H2333" s="558" t="s">
        <v>2150</v>
      </c>
      <c r="I2333" s="679" t="s">
        <v>100</v>
      </c>
      <c r="J2333" s="676" t="s">
        <v>5873</v>
      </c>
      <c r="K2333" s="676">
        <v>0</v>
      </c>
      <c r="M2333" t="str">
        <f>""</f>
        <v/>
      </c>
    </row>
    <row r="2334" spans="1:13" ht="15.75">
      <c r="A2334">
        <v>2015</v>
      </c>
      <c r="B2334" s="777">
        <v>42184</v>
      </c>
      <c r="C2334" s="730">
        <v>0.80625000000000002</v>
      </c>
      <c r="D2334" s="777">
        <v>42184</v>
      </c>
      <c r="E2334" s="730">
        <v>0.8208333333333333</v>
      </c>
      <c r="F2334" s="558" t="s">
        <v>2575</v>
      </c>
      <c r="G2334" s="558" t="s">
        <v>124</v>
      </c>
      <c r="H2334" s="558" t="s">
        <v>2763</v>
      </c>
      <c r="I2334" s="679" t="s">
        <v>22</v>
      </c>
      <c r="J2334" s="676">
        <v>0</v>
      </c>
      <c r="K2334" s="676">
        <v>0</v>
      </c>
      <c r="M2334" t="str">
        <f>""</f>
        <v/>
      </c>
    </row>
    <row r="2335" spans="1:13" ht="15.75">
      <c r="A2335">
        <v>2015</v>
      </c>
      <c r="B2335" s="777">
        <v>42188</v>
      </c>
      <c r="C2335" s="730">
        <v>0.35416666666666669</v>
      </c>
      <c r="D2335" s="777">
        <v>42188</v>
      </c>
      <c r="E2335" s="730">
        <v>0.60416666666666663</v>
      </c>
      <c r="F2335" s="558" t="s">
        <v>2767</v>
      </c>
      <c r="G2335" s="558" t="s">
        <v>124</v>
      </c>
      <c r="H2335" s="558" t="s">
        <v>2150</v>
      </c>
      <c r="I2335" s="679" t="s">
        <v>2118</v>
      </c>
      <c r="J2335" s="676">
        <v>0</v>
      </c>
      <c r="K2335" s="676">
        <v>0</v>
      </c>
      <c r="M2335" t="str">
        <f>""</f>
        <v/>
      </c>
    </row>
    <row r="2336" spans="1:13" ht="15.75">
      <c r="A2336">
        <v>2015</v>
      </c>
      <c r="B2336" s="777">
        <v>42200</v>
      </c>
      <c r="C2336" s="730">
        <v>8.3333333333333329E-2</v>
      </c>
      <c r="D2336" s="777">
        <v>42200</v>
      </c>
      <c r="E2336" s="730">
        <v>0.12152777777777778</v>
      </c>
      <c r="F2336" s="558" t="s">
        <v>18</v>
      </c>
      <c r="G2336" s="558" t="s">
        <v>124</v>
      </c>
      <c r="H2336" s="558" t="s">
        <v>2769</v>
      </c>
      <c r="I2336" s="679" t="s">
        <v>2764</v>
      </c>
      <c r="J2336" s="676">
        <v>360</v>
      </c>
      <c r="K2336" s="676">
        <v>0</v>
      </c>
      <c r="M2336" t="str">
        <f>""</f>
        <v/>
      </c>
    </row>
    <row r="2337" spans="1:13" ht="15.75">
      <c r="A2337">
        <v>2015</v>
      </c>
      <c r="B2337" s="777">
        <v>42214</v>
      </c>
      <c r="C2337" s="730">
        <v>0.69791666666666663</v>
      </c>
      <c r="D2337" s="777">
        <v>42214</v>
      </c>
      <c r="E2337" s="730">
        <v>0.875</v>
      </c>
      <c r="F2337" s="558" t="s">
        <v>30</v>
      </c>
      <c r="G2337" s="558" t="s">
        <v>61</v>
      </c>
      <c r="H2337" s="558" t="s">
        <v>2780</v>
      </c>
      <c r="I2337" s="679" t="s">
        <v>2764</v>
      </c>
      <c r="J2337" s="676">
        <v>500</v>
      </c>
      <c r="K2337" s="676">
        <v>0</v>
      </c>
      <c r="M2337" t="str">
        <f>""</f>
        <v/>
      </c>
    </row>
    <row r="2338" spans="1:13" ht="15.75">
      <c r="A2338">
        <v>2015</v>
      </c>
      <c r="B2338" s="777">
        <v>42215</v>
      </c>
      <c r="C2338" s="730">
        <v>0.54166666666666663</v>
      </c>
      <c r="D2338" s="777" t="s">
        <v>5873</v>
      </c>
      <c r="E2338" s="730" t="s">
        <v>5873</v>
      </c>
      <c r="F2338" s="558" t="s">
        <v>2650</v>
      </c>
      <c r="G2338" s="558" t="s">
        <v>63</v>
      </c>
      <c r="H2338" s="558" t="s">
        <v>2150</v>
      </c>
      <c r="I2338" s="679" t="s">
        <v>100</v>
      </c>
      <c r="J2338" s="676">
        <v>0</v>
      </c>
      <c r="K2338" s="676">
        <v>0</v>
      </c>
      <c r="M2338" t="str">
        <f>""</f>
        <v/>
      </c>
    </row>
    <row r="2339" spans="1:13" ht="15.75">
      <c r="A2339">
        <v>2015</v>
      </c>
      <c r="B2339" s="777">
        <v>42216</v>
      </c>
      <c r="C2339" s="730">
        <v>0.4548611111111111</v>
      </c>
      <c r="D2339" s="777" t="s">
        <v>5873</v>
      </c>
      <c r="E2339" s="730" t="s">
        <v>5873</v>
      </c>
      <c r="F2339" s="558" t="s">
        <v>2575</v>
      </c>
      <c r="G2339" s="558" t="s">
        <v>124</v>
      </c>
      <c r="H2339" s="558" t="s">
        <v>2763</v>
      </c>
      <c r="I2339" s="679" t="s">
        <v>2764</v>
      </c>
      <c r="J2339" s="676">
        <v>9</v>
      </c>
      <c r="K2339" s="676">
        <v>0</v>
      </c>
      <c r="M2339" t="str">
        <f>""</f>
        <v/>
      </c>
    </row>
    <row r="2340" spans="1:13" ht="15.75">
      <c r="A2340">
        <v>2015</v>
      </c>
      <c r="B2340" s="777">
        <v>42260</v>
      </c>
      <c r="C2340" s="730">
        <v>0.74722222222222223</v>
      </c>
      <c r="D2340" s="777">
        <v>42260</v>
      </c>
      <c r="E2340" s="730">
        <v>0.85902777777777772</v>
      </c>
      <c r="F2340" s="558" t="s">
        <v>2802</v>
      </c>
      <c r="G2340" s="558" t="s">
        <v>61</v>
      </c>
      <c r="H2340" s="558" t="s">
        <v>2150</v>
      </c>
      <c r="I2340" s="679" t="s">
        <v>100</v>
      </c>
      <c r="J2340" s="676">
        <v>0</v>
      </c>
      <c r="K2340" s="676">
        <v>0</v>
      </c>
      <c r="M2340" t="str">
        <f>""</f>
        <v/>
      </c>
    </row>
    <row r="2341" spans="1:13" ht="15.75">
      <c r="A2341">
        <v>2015</v>
      </c>
      <c r="B2341" s="777">
        <v>42290</v>
      </c>
      <c r="C2341" s="730">
        <v>0.27083333333333331</v>
      </c>
      <c r="D2341" s="777">
        <v>42290</v>
      </c>
      <c r="E2341" s="730">
        <v>0.35416666666666669</v>
      </c>
      <c r="F2341" s="558" t="s">
        <v>2803</v>
      </c>
      <c r="G2341" s="558" t="s">
        <v>124</v>
      </c>
      <c r="H2341" s="558" t="s">
        <v>2150</v>
      </c>
      <c r="I2341" s="679" t="s">
        <v>100</v>
      </c>
      <c r="J2341" s="676">
        <v>0</v>
      </c>
      <c r="K2341" s="676">
        <v>0</v>
      </c>
      <c r="M2341" t="str">
        <f>""</f>
        <v/>
      </c>
    </row>
    <row r="2342" spans="1:13" ht="15.75">
      <c r="A2342">
        <v>2015</v>
      </c>
      <c r="B2342" s="777">
        <v>42293</v>
      </c>
      <c r="C2342" s="730">
        <v>0.51736111111111116</v>
      </c>
      <c r="D2342" s="777">
        <v>42293</v>
      </c>
      <c r="E2342" s="730">
        <v>0.53888888888888886</v>
      </c>
      <c r="F2342" s="558" t="s">
        <v>2804</v>
      </c>
      <c r="G2342" s="558" t="s">
        <v>124</v>
      </c>
      <c r="H2342" s="558" t="s">
        <v>2150</v>
      </c>
      <c r="I2342" s="679" t="s">
        <v>100</v>
      </c>
      <c r="J2342" s="676">
        <v>0</v>
      </c>
      <c r="K2342" s="676">
        <v>0</v>
      </c>
      <c r="M2342" t="str">
        <f>""</f>
        <v/>
      </c>
    </row>
    <row r="2343" spans="1:13" ht="15.75">
      <c r="A2343">
        <v>2015</v>
      </c>
      <c r="B2343" s="777">
        <v>42307</v>
      </c>
      <c r="C2343" s="730">
        <v>0.625</v>
      </c>
      <c r="D2343" s="777">
        <v>42307</v>
      </c>
      <c r="E2343" s="730">
        <v>0.66666666666666663</v>
      </c>
      <c r="F2343" s="558" t="s">
        <v>2808</v>
      </c>
      <c r="G2343" s="558" t="s">
        <v>124</v>
      </c>
      <c r="H2343" s="558" t="s">
        <v>2150</v>
      </c>
      <c r="I2343" s="679" t="s">
        <v>2798</v>
      </c>
      <c r="J2343" s="676">
        <v>0</v>
      </c>
      <c r="K2343" s="676">
        <v>0</v>
      </c>
      <c r="M2343" t="str">
        <f>""</f>
        <v/>
      </c>
    </row>
    <row r="2344" spans="1:13" ht="15.75">
      <c r="A2344">
        <v>2015</v>
      </c>
      <c r="B2344" s="777">
        <v>42309</v>
      </c>
      <c r="C2344" s="730">
        <v>0.49513888888888891</v>
      </c>
      <c r="D2344" s="777">
        <v>42309</v>
      </c>
      <c r="E2344" s="730">
        <v>0.5</v>
      </c>
      <c r="F2344" s="558" t="s">
        <v>2810</v>
      </c>
      <c r="G2344" s="558" t="s">
        <v>826</v>
      </c>
      <c r="H2344" s="558" t="s">
        <v>2150</v>
      </c>
      <c r="I2344" s="679" t="s">
        <v>100</v>
      </c>
      <c r="J2344" s="676">
        <v>0</v>
      </c>
      <c r="K2344" s="676">
        <v>0</v>
      </c>
      <c r="M2344" t="str">
        <f>""</f>
        <v/>
      </c>
    </row>
    <row r="2345" spans="1:13" ht="15.75">
      <c r="A2345">
        <v>2015</v>
      </c>
      <c r="B2345" s="777">
        <v>42310</v>
      </c>
      <c r="C2345" s="730">
        <v>0.73402777777777772</v>
      </c>
      <c r="D2345" s="777">
        <v>42312</v>
      </c>
      <c r="E2345" s="730">
        <v>0.375</v>
      </c>
      <c r="F2345" s="558" t="s">
        <v>2811</v>
      </c>
      <c r="G2345" s="558" t="s">
        <v>63</v>
      </c>
      <c r="H2345" s="558" t="s">
        <v>2150</v>
      </c>
      <c r="I2345" s="679" t="s">
        <v>2343</v>
      </c>
      <c r="J2345" s="676">
        <v>4</v>
      </c>
      <c r="K2345" s="676">
        <v>0</v>
      </c>
      <c r="M2345" t="str">
        <f>""</f>
        <v/>
      </c>
    </row>
    <row r="2346" spans="1:13" ht="15.75">
      <c r="A2346">
        <v>2015</v>
      </c>
      <c r="B2346" s="777">
        <v>42318</v>
      </c>
      <c r="C2346" s="730">
        <v>0.5</v>
      </c>
      <c r="D2346" s="777">
        <v>42318</v>
      </c>
      <c r="E2346" s="730">
        <v>0.58333333333333337</v>
      </c>
      <c r="F2346" s="558" t="s">
        <v>2812</v>
      </c>
      <c r="G2346" s="558" t="s">
        <v>826</v>
      </c>
      <c r="H2346" s="558" t="s">
        <v>2150</v>
      </c>
      <c r="I2346" s="679" t="s">
        <v>2343</v>
      </c>
      <c r="J2346" s="676">
        <v>0</v>
      </c>
      <c r="K2346" s="676">
        <v>0</v>
      </c>
      <c r="M2346" t="str">
        <f>""</f>
        <v/>
      </c>
    </row>
    <row r="2347" spans="1:13" ht="15.75">
      <c r="A2347">
        <v>2015</v>
      </c>
      <c r="B2347" s="777">
        <v>42337</v>
      </c>
      <c r="C2347" s="730">
        <v>0.7</v>
      </c>
      <c r="D2347" s="777">
        <v>42337</v>
      </c>
      <c r="E2347" s="730">
        <v>0.76388888888888884</v>
      </c>
      <c r="F2347" s="558" t="s">
        <v>2271</v>
      </c>
      <c r="G2347" s="558" t="s">
        <v>5873</v>
      </c>
      <c r="H2347" s="558" t="s">
        <v>2622</v>
      </c>
      <c r="I2347" s="679" t="s">
        <v>2764</v>
      </c>
      <c r="J2347" s="676">
        <v>0</v>
      </c>
      <c r="K2347" s="676">
        <v>0</v>
      </c>
      <c r="M2347" t="str">
        <f>""</f>
        <v/>
      </c>
    </row>
    <row r="2348" spans="1:13" ht="15.75">
      <c r="A2348">
        <v>2015</v>
      </c>
      <c r="B2348" s="777">
        <v>42340</v>
      </c>
      <c r="C2348" s="730">
        <v>0.54374999999999996</v>
      </c>
      <c r="D2348" s="777">
        <v>42341</v>
      </c>
      <c r="E2348" s="730">
        <v>0.52013888888888893</v>
      </c>
      <c r="F2348" s="558" t="s">
        <v>2815</v>
      </c>
      <c r="G2348" s="558" t="s">
        <v>58</v>
      </c>
      <c r="H2348" s="558" t="s">
        <v>2150</v>
      </c>
      <c r="I2348" s="679" t="s">
        <v>100</v>
      </c>
      <c r="J2348" s="676">
        <v>0</v>
      </c>
      <c r="K2348" s="676">
        <v>0</v>
      </c>
      <c r="M2348" t="str">
        <f>""</f>
        <v/>
      </c>
    </row>
    <row r="2349" spans="1:13" ht="15.75">
      <c r="A2349">
        <v>2015</v>
      </c>
      <c r="B2349" s="777">
        <v>42343</v>
      </c>
      <c r="C2349" s="730">
        <v>0.875</v>
      </c>
      <c r="D2349" s="777">
        <v>42343</v>
      </c>
      <c r="E2349" s="730">
        <v>0.9375</v>
      </c>
      <c r="F2349" s="558" t="s">
        <v>2787</v>
      </c>
      <c r="G2349" s="558" t="s">
        <v>58</v>
      </c>
      <c r="H2349" s="558" t="s">
        <v>2150</v>
      </c>
      <c r="I2349" s="679" t="s">
        <v>100</v>
      </c>
      <c r="J2349" s="676">
        <v>0</v>
      </c>
      <c r="K2349" s="676">
        <v>0</v>
      </c>
      <c r="M2349" t="str">
        <f>""</f>
        <v/>
      </c>
    </row>
    <row r="2350" spans="1:13" ht="15.75">
      <c r="A2350">
        <v>2015</v>
      </c>
      <c r="B2350" s="777">
        <v>42346</v>
      </c>
      <c r="C2350" s="730">
        <v>0.58333333333333337</v>
      </c>
      <c r="D2350" s="777">
        <v>42346</v>
      </c>
      <c r="E2350" s="730">
        <v>0.58402777777777781</v>
      </c>
      <c r="F2350" s="558" t="s">
        <v>2817</v>
      </c>
      <c r="G2350" s="558" t="s">
        <v>124</v>
      </c>
      <c r="H2350" s="558" t="s">
        <v>2150</v>
      </c>
      <c r="I2350" s="679" t="s">
        <v>2343</v>
      </c>
      <c r="J2350" s="676">
        <v>0</v>
      </c>
      <c r="K2350" s="676">
        <v>0</v>
      </c>
      <c r="M2350" t="str">
        <f>""</f>
        <v/>
      </c>
    </row>
    <row r="2351" spans="1:13" ht="15.75">
      <c r="A2351">
        <v>2015</v>
      </c>
      <c r="B2351" s="777">
        <v>42347</v>
      </c>
      <c r="C2351" s="730">
        <v>0.75416666666666665</v>
      </c>
      <c r="D2351" s="777">
        <v>42347</v>
      </c>
      <c r="E2351" s="730">
        <v>0.91111111111111109</v>
      </c>
      <c r="F2351" s="558" t="s">
        <v>2271</v>
      </c>
      <c r="G2351" s="558" t="s">
        <v>5873</v>
      </c>
      <c r="H2351" s="558" t="s">
        <v>2622</v>
      </c>
      <c r="I2351" s="679" t="s">
        <v>2764</v>
      </c>
      <c r="J2351" s="676">
        <v>0</v>
      </c>
      <c r="K2351" s="676">
        <v>0</v>
      </c>
      <c r="M2351" t="str">
        <f>""</f>
        <v/>
      </c>
    </row>
    <row r="2352" spans="1:13" ht="15.75">
      <c r="A2352">
        <v>2015</v>
      </c>
      <c r="B2352" s="777">
        <v>42367</v>
      </c>
      <c r="C2352" s="730">
        <v>0.35416666666666669</v>
      </c>
      <c r="D2352" s="777">
        <v>42367</v>
      </c>
      <c r="E2352" s="730">
        <v>0.35486111111111113</v>
      </c>
      <c r="F2352" s="558" t="s">
        <v>2079</v>
      </c>
      <c r="G2352" s="558" t="s">
        <v>61</v>
      </c>
      <c r="H2352" s="558" t="s">
        <v>2150</v>
      </c>
      <c r="I2352" s="679" t="s">
        <v>2343</v>
      </c>
      <c r="J2352" s="676">
        <v>0</v>
      </c>
      <c r="K2352" s="676">
        <v>0</v>
      </c>
      <c r="M2352" t="str">
        <f>""</f>
        <v/>
      </c>
    </row>
    <row r="2353" spans="1:13" ht="15.75">
      <c r="A2353">
        <v>2015</v>
      </c>
      <c r="B2353" s="777">
        <v>42369</v>
      </c>
      <c r="C2353" s="730">
        <v>0.45833333333333331</v>
      </c>
      <c r="D2353" s="777" t="s">
        <v>5873</v>
      </c>
      <c r="E2353" s="730" t="s">
        <v>5873</v>
      </c>
      <c r="F2353" s="558" t="s">
        <v>16</v>
      </c>
      <c r="G2353" s="558" t="s">
        <v>63</v>
      </c>
      <c r="H2353" s="558" t="s">
        <v>2150</v>
      </c>
      <c r="I2353" s="679" t="s">
        <v>2343</v>
      </c>
      <c r="J2353" s="676">
        <v>0</v>
      </c>
      <c r="K2353" s="676">
        <v>0</v>
      </c>
      <c r="M2353" t="str">
        <f>""</f>
        <v/>
      </c>
    </row>
    <row r="2354" spans="1:13" ht="15.75">
      <c r="A2354">
        <v>2016</v>
      </c>
      <c r="B2354" s="777">
        <v>42373</v>
      </c>
      <c r="C2354" s="730">
        <v>0.21875</v>
      </c>
      <c r="D2354" s="777">
        <v>42374</v>
      </c>
      <c r="E2354" s="730">
        <v>0.33333333333333331</v>
      </c>
      <c r="F2354" s="558" t="s">
        <v>2826</v>
      </c>
      <c r="G2354" s="558" t="s">
        <v>674</v>
      </c>
      <c r="H2354" s="558" t="s">
        <v>2150</v>
      </c>
      <c r="I2354" s="679" t="s">
        <v>2343</v>
      </c>
      <c r="J2354" s="676">
        <v>0</v>
      </c>
      <c r="K2354" s="676">
        <v>0</v>
      </c>
      <c r="M2354" t="str">
        <f>""</f>
        <v/>
      </c>
    </row>
    <row r="2355" spans="1:13" ht="15.75">
      <c r="A2355">
        <v>2016</v>
      </c>
      <c r="B2355" s="777">
        <v>42380</v>
      </c>
      <c r="C2355" s="730">
        <v>0.84444444444444444</v>
      </c>
      <c r="D2355" s="777">
        <v>42380</v>
      </c>
      <c r="E2355" s="730">
        <v>0.95833333333333337</v>
      </c>
      <c r="F2355" s="558" t="s">
        <v>2829</v>
      </c>
      <c r="G2355" s="558" t="s">
        <v>826</v>
      </c>
      <c r="H2355" s="558" t="s">
        <v>2150</v>
      </c>
      <c r="I2355" s="679" t="s">
        <v>100</v>
      </c>
      <c r="J2355" s="676">
        <v>0</v>
      </c>
      <c r="K2355" s="676">
        <v>0</v>
      </c>
      <c r="M2355" t="str">
        <f>""</f>
        <v/>
      </c>
    </row>
    <row r="2356" spans="1:13" ht="15.75">
      <c r="A2356">
        <v>2016</v>
      </c>
      <c r="B2356" s="777">
        <v>42383</v>
      </c>
      <c r="C2356" s="730">
        <v>0.35208333333333336</v>
      </c>
      <c r="D2356" s="777">
        <v>42383</v>
      </c>
      <c r="E2356" s="730">
        <v>0.5</v>
      </c>
      <c r="F2356" s="558" t="s">
        <v>2830</v>
      </c>
      <c r="G2356" s="558" t="s">
        <v>826</v>
      </c>
      <c r="H2356" s="558" t="s">
        <v>2150</v>
      </c>
      <c r="I2356" s="679" t="s">
        <v>100</v>
      </c>
      <c r="J2356" s="676">
        <v>0</v>
      </c>
      <c r="K2356" s="676">
        <v>0</v>
      </c>
      <c r="M2356" t="str">
        <f>""</f>
        <v/>
      </c>
    </row>
    <row r="2357" spans="1:13" ht="15.75">
      <c r="A2357">
        <v>2016</v>
      </c>
      <c r="B2357" s="777">
        <v>42386</v>
      </c>
      <c r="C2357" s="730">
        <v>0.5</v>
      </c>
      <c r="D2357" s="777">
        <v>42386</v>
      </c>
      <c r="E2357" s="730">
        <v>0.54166666666666663</v>
      </c>
      <c r="F2357" s="558" t="s">
        <v>2831</v>
      </c>
      <c r="G2357" s="558" t="s">
        <v>124</v>
      </c>
      <c r="H2357" s="558" t="s">
        <v>2150</v>
      </c>
      <c r="I2357" s="679" t="s">
        <v>2343</v>
      </c>
      <c r="J2357" s="676">
        <v>0</v>
      </c>
      <c r="K2357" s="676">
        <v>0</v>
      </c>
      <c r="M2357" t="str">
        <f>""</f>
        <v/>
      </c>
    </row>
    <row r="2358" spans="1:13" ht="15.75">
      <c r="A2358">
        <v>2016</v>
      </c>
      <c r="B2358" s="777">
        <v>42407</v>
      </c>
      <c r="C2358" s="730">
        <v>0.55625000000000002</v>
      </c>
      <c r="D2358" s="777">
        <v>42407</v>
      </c>
      <c r="E2358" s="730">
        <v>0.5708333333333333</v>
      </c>
      <c r="F2358" s="558" t="s">
        <v>2838</v>
      </c>
      <c r="G2358" s="558" t="s">
        <v>124</v>
      </c>
      <c r="H2358" s="558" t="s">
        <v>2150</v>
      </c>
      <c r="I2358" s="679" t="s">
        <v>100</v>
      </c>
      <c r="J2358" s="676">
        <v>0</v>
      </c>
      <c r="K2358" s="676">
        <v>0</v>
      </c>
      <c r="M2358" t="str">
        <f>""</f>
        <v/>
      </c>
    </row>
    <row r="2359" spans="1:13" ht="15.75">
      <c r="A2359">
        <v>2016</v>
      </c>
      <c r="B2359" s="777">
        <v>42421</v>
      </c>
      <c r="C2359" s="730">
        <v>0.66249999999999998</v>
      </c>
      <c r="D2359" s="777">
        <v>42421</v>
      </c>
      <c r="E2359" s="730">
        <v>0.71319444444444446</v>
      </c>
      <c r="F2359" s="558" t="s">
        <v>2837</v>
      </c>
      <c r="G2359" s="558" t="s">
        <v>124</v>
      </c>
      <c r="H2359" s="558" t="s">
        <v>2150</v>
      </c>
      <c r="I2359" s="679" t="s">
        <v>2343</v>
      </c>
      <c r="J2359" s="676">
        <v>0</v>
      </c>
      <c r="K2359" s="676">
        <v>0</v>
      </c>
      <c r="M2359" t="str">
        <f>""</f>
        <v/>
      </c>
    </row>
    <row r="2360" spans="1:13" ht="15.75">
      <c r="A2360">
        <v>2016</v>
      </c>
      <c r="B2360" s="777">
        <v>42424</v>
      </c>
      <c r="C2360" s="730">
        <v>0.38194444444444442</v>
      </c>
      <c r="D2360" s="777">
        <v>42424</v>
      </c>
      <c r="E2360" s="730">
        <v>0.42708333333333331</v>
      </c>
      <c r="F2360" s="558" t="s">
        <v>2646</v>
      </c>
      <c r="G2360" s="558" t="s">
        <v>826</v>
      </c>
      <c r="H2360" s="558" t="s">
        <v>2150</v>
      </c>
      <c r="I2360" s="679" t="s">
        <v>100</v>
      </c>
      <c r="J2360" s="676">
        <v>0</v>
      </c>
      <c r="K2360" s="676">
        <v>0</v>
      </c>
      <c r="M2360" t="str">
        <f>""</f>
        <v/>
      </c>
    </row>
    <row r="2361" spans="1:13" ht="15.75">
      <c r="A2361">
        <v>2016</v>
      </c>
      <c r="B2361" s="777">
        <v>42426</v>
      </c>
      <c r="C2361" s="730">
        <v>6.9444444444444447E-4</v>
      </c>
      <c r="D2361" s="777" t="s">
        <v>5873</v>
      </c>
      <c r="E2361" s="730" t="s">
        <v>5873</v>
      </c>
      <c r="F2361" s="558" t="s">
        <v>2846</v>
      </c>
      <c r="G2361" s="558" t="s">
        <v>124</v>
      </c>
      <c r="H2361" s="558" t="s">
        <v>2780</v>
      </c>
      <c r="I2361" s="679" t="s">
        <v>1138</v>
      </c>
      <c r="J2361" s="676">
        <v>0</v>
      </c>
      <c r="K2361" s="676">
        <v>0</v>
      </c>
      <c r="M2361" t="str">
        <f>""</f>
        <v/>
      </c>
    </row>
    <row r="2362" spans="1:13" ht="15.75">
      <c r="A2362">
        <v>2016</v>
      </c>
      <c r="B2362" s="777">
        <v>42430</v>
      </c>
      <c r="C2362" s="730">
        <v>0.56597222222222221</v>
      </c>
      <c r="D2362" s="777" t="s">
        <v>5873</v>
      </c>
      <c r="E2362" s="730" t="s">
        <v>5873</v>
      </c>
      <c r="F2362" s="558" t="s">
        <v>2847</v>
      </c>
      <c r="G2362" s="558" t="s">
        <v>124</v>
      </c>
      <c r="H2362" s="558" t="s">
        <v>2150</v>
      </c>
      <c r="I2362" s="679" t="s">
        <v>100</v>
      </c>
      <c r="J2362" s="676">
        <v>0</v>
      </c>
      <c r="K2362" s="676">
        <v>0</v>
      </c>
      <c r="M2362" t="str">
        <f>""</f>
        <v/>
      </c>
    </row>
    <row r="2363" spans="1:13" ht="15.75">
      <c r="A2363">
        <v>2016</v>
      </c>
      <c r="B2363" s="777">
        <v>42432</v>
      </c>
      <c r="C2363" s="730">
        <v>0.45833333333333331</v>
      </c>
      <c r="D2363" s="777">
        <v>42466</v>
      </c>
      <c r="E2363" s="730">
        <v>0.82430555555555551</v>
      </c>
      <c r="F2363" s="558" t="s">
        <v>2849</v>
      </c>
      <c r="G2363" s="558" t="s">
        <v>124</v>
      </c>
      <c r="H2363" s="558" t="s">
        <v>2780</v>
      </c>
      <c r="I2363" s="679" t="s">
        <v>1138</v>
      </c>
      <c r="J2363" s="676">
        <v>0</v>
      </c>
      <c r="K2363" s="676">
        <v>0</v>
      </c>
      <c r="M2363" t="str">
        <f>""</f>
        <v/>
      </c>
    </row>
    <row r="2364" spans="1:13" ht="15.75">
      <c r="A2364">
        <v>2016</v>
      </c>
      <c r="B2364" s="777">
        <v>42437</v>
      </c>
      <c r="C2364" s="730">
        <v>0</v>
      </c>
      <c r="D2364" s="777">
        <v>42437</v>
      </c>
      <c r="E2364" s="730">
        <v>0</v>
      </c>
      <c r="F2364" s="558" t="s">
        <v>2850</v>
      </c>
      <c r="G2364" s="558" t="s">
        <v>124</v>
      </c>
      <c r="H2364" s="558" t="s">
        <v>2150</v>
      </c>
      <c r="I2364" s="679" t="s">
        <v>2343</v>
      </c>
      <c r="J2364" s="676">
        <v>0</v>
      </c>
      <c r="K2364" s="676">
        <v>0</v>
      </c>
      <c r="M2364" t="str">
        <f>""</f>
        <v/>
      </c>
    </row>
    <row r="2365" spans="1:13" ht="15.75">
      <c r="A2365">
        <v>2016</v>
      </c>
      <c r="B2365" s="777">
        <v>42439</v>
      </c>
      <c r="C2365" s="730">
        <v>0.16666666666666666</v>
      </c>
      <c r="D2365" s="777">
        <v>42440</v>
      </c>
      <c r="E2365" s="730">
        <v>0.49930555555555556</v>
      </c>
      <c r="F2365" s="558" t="s">
        <v>2851</v>
      </c>
      <c r="G2365" s="558" t="s">
        <v>124</v>
      </c>
      <c r="H2365" s="558" t="s">
        <v>2150</v>
      </c>
      <c r="I2365" s="679" t="s">
        <v>2343</v>
      </c>
      <c r="J2365" s="676">
        <v>0</v>
      </c>
      <c r="K2365" s="676">
        <v>0</v>
      </c>
      <c r="M2365" t="str">
        <f>""</f>
        <v/>
      </c>
    </row>
    <row r="2366" spans="1:13" ht="15.75">
      <c r="A2366">
        <v>2016</v>
      </c>
      <c r="B2366" s="777">
        <v>42442</v>
      </c>
      <c r="C2366" s="730">
        <v>0.58333333333333337</v>
      </c>
      <c r="D2366" s="777" t="s">
        <v>5873</v>
      </c>
      <c r="E2366" s="730" t="s">
        <v>5873</v>
      </c>
      <c r="F2366" s="558" t="s">
        <v>2852</v>
      </c>
      <c r="G2366" s="558" t="s">
        <v>124</v>
      </c>
      <c r="H2366" s="558" t="s">
        <v>2150</v>
      </c>
      <c r="I2366" s="679" t="s">
        <v>2343</v>
      </c>
      <c r="J2366" s="676">
        <v>0</v>
      </c>
      <c r="K2366" s="676">
        <v>0</v>
      </c>
      <c r="M2366" t="str">
        <f>""</f>
        <v/>
      </c>
    </row>
    <row r="2367" spans="1:13" ht="15.75">
      <c r="A2367">
        <v>2016</v>
      </c>
      <c r="B2367" s="777">
        <v>42442</v>
      </c>
      <c r="C2367" s="730">
        <v>0.70486111111111116</v>
      </c>
      <c r="D2367" s="777" t="s">
        <v>5873</v>
      </c>
      <c r="E2367" s="730" t="s">
        <v>5873</v>
      </c>
      <c r="F2367" s="558" t="s">
        <v>2853</v>
      </c>
      <c r="G2367" s="558" t="s">
        <v>124</v>
      </c>
      <c r="H2367" s="558" t="s">
        <v>2150</v>
      </c>
      <c r="I2367" s="679" t="s">
        <v>100</v>
      </c>
      <c r="J2367" s="676">
        <v>0</v>
      </c>
      <c r="K2367" s="676">
        <v>0</v>
      </c>
      <c r="M2367" t="str">
        <f>""</f>
        <v/>
      </c>
    </row>
    <row r="2368" spans="1:13" ht="15.75">
      <c r="A2368">
        <v>2016</v>
      </c>
      <c r="B2368" s="777">
        <v>42452</v>
      </c>
      <c r="C2368" s="730">
        <v>0.20833333333333334</v>
      </c>
      <c r="D2368" s="777">
        <v>42454</v>
      </c>
      <c r="E2368" s="730">
        <v>0.99930555555555556</v>
      </c>
      <c r="F2368" s="558" t="s">
        <v>2854</v>
      </c>
      <c r="G2368" s="558" t="s">
        <v>124</v>
      </c>
      <c r="H2368" s="558" t="s">
        <v>2753</v>
      </c>
      <c r="I2368" s="679" t="s">
        <v>2828</v>
      </c>
      <c r="J2368" s="676">
        <v>0</v>
      </c>
      <c r="K2368" s="676">
        <v>0</v>
      </c>
      <c r="M2368" t="str">
        <f>""</f>
        <v/>
      </c>
    </row>
    <row r="2369" spans="1:13" ht="15.75">
      <c r="A2369">
        <v>2016</v>
      </c>
      <c r="B2369" s="777">
        <v>42461</v>
      </c>
      <c r="C2369" s="730">
        <v>0.69236111111111109</v>
      </c>
      <c r="D2369" s="777">
        <v>42461</v>
      </c>
      <c r="E2369" s="730">
        <v>0.75</v>
      </c>
      <c r="F2369" s="558" t="s">
        <v>2856</v>
      </c>
      <c r="G2369" s="558" t="s">
        <v>301</v>
      </c>
      <c r="H2369" s="558" t="s">
        <v>2150</v>
      </c>
      <c r="I2369" s="679" t="s">
        <v>2343</v>
      </c>
      <c r="J2369" s="676">
        <v>0</v>
      </c>
      <c r="K2369" s="676">
        <v>0</v>
      </c>
      <c r="M2369" t="str">
        <f>""</f>
        <v/>
      </c>
    </row>
    <row r="2370" spans="1:13" ht="15.75">
      <c r="A2370">
        <v>2016</v>
      </c>
      <c r="B2370" s="777">
        <v>42462</v>
      </c>
      <c r="C2370" s="730">
        <v>0.46388888888888891</v>
      </c>
      <c r="D2370" s="777">
        <v>42462</v>
      </c>
      <c r="E2370" s="730">
        <v>0.48125000000000001</v>
      </c>
      <c r="F2370" s="558" t="s">
        <v>18</v>
      </c>
      <c r="G2370" s="558" t="s">
        <v>124</v>
      </c>
      <c r="H2370" s="558" t="s">
        <v>2769</v>
      </c>
      <c r="I2370" s="679" t="s">
        <v>2764</v>
      </c>
      <c r="J2370" s="676">
        <v>360</v>
      </c>
      <c r="K2370" s="676">
        <v>0</v>
      </c>
      <c r="M2370" t="str">
        <f>""</f>
        <v/>
      </c>
    </row>
    <row r="2371" spans="1:13" ht="15.75">
      <c r="A2371">
        <v>2016</v>
      </c>
      <c r="B2371" s="777">
        <v>42472</v>
      </c>
      <c r="C2371" s="730">
        <v>0.47916666666666669</v>
      </c>
      <c r="D2371" s="777">
        <v>42472</v>
      </c>
      <c r="E2371" s="730">
        <v>0.69652777777777775</v>
      </c>
      <c r="F2371" s="558" t="s">
        <v>2857</v>
      </c>
      <c r="G2371" s="558" t="s">
        <v>124</v>
      </c>
      <c r="H2371" s="558" t="s">
        <v>2139</v>
      </c>
      <c r="I2371" s="679" t="s">
        <v>2836</v>
      </c>
      <c r="J2371" s="676">
        <v>0</v>
      </c>
      <c r="K2371" s="676">
        <v>0</v>
      </c>
      <c r="M2371" t="str">
        <f>""</f>
        <v/>
      </c>
    </row>
    <row r="2372" spans="1:13" ht="15.75">
      <c r="A2372">
        <v>2016</v>
      </c>
      <c r="B2372" s="777">
        <v>42474</v>
      </c>
      <c r="C2372" s="730">
        <v>0.7006944444444444</v>
      </c>
      <c r="D2372" s="777">
        <v>42475</v>
      </c>
      <c r="E2372" s="730">
        <v>0.86250000000000004</v>
      </c>
      <c r="F2372" s="558" t="s">
        <v>2858</v>
      </c>
      <c r="G2372" s="558" t="s">
        <v>826</v>
      </c>
      <c r="H2372" s="558" t="s">
        <v>2150</v>
      </c>
      <c r="I2372" s="679" t="s">
        <v>2343</v>
      </c>
      <c r="J2372" s="676">
        <v>0</v>
      </c>
      <c r="K2372" s="676">
        <v>0</v>
      </c>
      <c r="M2372" t="str">
        <f>""</f>
        <v/>
      </c>
    </row>
    <row r="2373" spans="1:13" ht="15.75">
      <c r="A2373">
        <v>2016</v>
      </c>
      <c r="B2373" s="777">
        <v>42475</v>
      </c>
      <c r="C2373" s="730">
        <v>0.41666666666666669</v>
      </c>
      <c r="D2373" s="777">
        <v>42475</v>
      </c>
      <c r="E2373" s="730">
        <v>0.45833333333333331</v>
      </c>
      <c r="F2373" s="558" t="s">
        <v>2859</v>
      </c>
      <c r="G2373" s="558" t="s">
        <v>124</v>
      </c>
      <c r="H2373" s="558" t="s">
        <v>2150</v>
      </c>
      <c r="I2373" s="679" t="s">
        <v>100</v>
      </c>
      <c r="J2373" s="676">
        <v>0</v>
      </c>
      <c r="K2373" s="676">
        <v>0</v>
      </c>
      <c r="M2373" t="str">
        <f>""</f>
        <v/>
      </c>
    </row>
    <row r="2374" spans="1:13" ht="15.75">
      <c r="A2374">
        <v>2016</v>
      </c>
      <c r="B2374" s="777">
        <v>42487</v>
      </c>
      <c r="C2374" s="730">
        <v>0.56666666666666665</v>
      </c>
      <c r="D2374" s="777" t="s">
        <v>5873</v>
      </c>
      <c r="E2374" s="730" t="s">
        <v>5873</v>
      </c>
      <c r="F2374" s="558" t="s">
        <v>2650</v>
      </c>
      <c r="G2374" s="558" t="s">
        <v>63</v>
      </c>
      <c r="H2374" s="558" t="s">
        <v>2150</v>
      </c>
      <c r="I2374" s="679" t="s">
        <v>100</v>
      </c>
      <c r="J2374" s="676">
        <v>0</v>
      </c>
      <c r="K2374" s="676">
        <v>0</v>
      </c>
      <c r="M2374" t="str">
        <f>""</f>
        <v/>
      </c>
    </row>
    <row r="2375" spans="1:13" ht="15.75">
      <c r="A2375">
        <v>2016</v>
      </c>
      <c r="B2375" s="777">
        <v>42487</v>
      </c>
      <c r="C2375" s="730">
        <v>0.75</v>
      </c>
      <c r="D2375" s="777">
        <v>42487</v>
      </c>
      <c r="E2375" s="730">
        <v>0.75347222222222221</v>
      </c>
      <c r="F2375" s="558" t="s">
        <v>2861</v>
      </c>
      <c r="G2375" s="558" t="s">
        <v>1352</v>
      </c>
      <c r="H2375" s="558" t="s">
        <v>2150</v>
      </c>
      <c r="I2375" s="679" t="s">
        <v>2343</v>
      </c>
      <c r="J2375" s="676">
        <v>0</v>
      </c>
      <c r="K2375" s="676">
        <v>0</v>
      </c>
      <c r="M2375" t="str">
        <f>""</f>
        <v/>
      </c>
    </row>
    <row r="2376" spans="1:13" ht="15.75">
      <c r="A2376">
        <v>2016</v>
      </c>
      <c r="B2376" s="777">
        <v>42497</v>
      </c>
      <c r="C2376" s="730">
        <v>0.32569444444444445</v>
      </c>
      <c r="D2376" s="777">
        <v>42497</v>
      </c>
      <c r="E2376" s="730">
        <v>0.37638888888888888</v>
      </c>
      <c r="F2376" s="558" t="s">
        <v>2802</v>
      </c>
      <c r="G2376" s="558" t="s">
        <v>61</v>
      </c>
      <c r="H2376" s="558" t="s">
        <v>2150</v>
      </c>
      <c r="I2376" s="679" t="s">
        <v>2343</v>
      </c>
      <c r="J2376" s="676">
        <v>0</v>
      </c>
      <c r="K2376" s="676">
        <v>0</v>
      </c>
      <c r="M2376" t="str">
        <f>""</f>
        <v/>
      </c>
    </row>
    <row r="2377" spans="1:13" ht="15.75">
      <c r="A2377">
        <v>2016</v>
      </c>
      <c r="B2377" s="777">
        <v>42504</v>
      </c>
      <c r="C2377" s="730">
        <v>0.89236111111111116</v>
      </c>
      <c r="D2377" s="777">
        <v>42505</v>
      </c>
      <c r="E2377" s="730">
        <v>0.72499999999999998</v>
      </c>
      <c r="F2377" s="558" t="s">
        <v>2864</v>
      </c>
      <c r="G2377" s="558" t="s">
        <v>63</v>
      </c>
      <c r="H2377" s="558" t="s">
        <v>2150</v>
      </c>
      <c r="I2377" s="679" t="s">
        <v>2343</v>
      </c>
      <c r="J2377" s="676">
        <v>0</v>
      </c>
      <c r="K2377" s="676">
        <v>0</v>
      </c>
      <c r="M2377" t="str">
        <f>""</f>
        <v/>
      </c>
    </row>
    <row r="2378" spans="1:13" ht="15.75">
      <c r="A2378">
        <v>2016</v>
      </c>
      <c r="B2378" s="777">
        <v>42514</v>
      </c>
      <c r="C2378" s="730">
        <v>0.33333333333333331</v>
      </c>
      <c r="D2378" s="777" t="s">
        <v>5877</v>
      </c>
      <c r="E2378" s="730" t="s">
        <v>5877</v>
      </c>
      <c r="F2378" s="558" t="s">
        <v>2864</v>
      </c>
      <c r="G2378" s="558" t="s">
        <v>63</v>
      </c>
      <c r="H2378" s="558" t="s">
        <v>2150</v>
      </c>
      <c r="I2378" s="679" t="s">
        <v>100</v>
      </c>
      <c r="J2378" s="676">
        <v>0</v>
      </c>
      <c r="K2378" s="676">
        <v>0</v>
      </c>
      <c r="M2378" t="str">
        <f>""</f>
        <v/>
      </c>
    </row>
    <row r="2379" spans="1:13" ht="15.75">
      <c r="A2379">
        <v>2016</v>
      </c>
      <c r="B2379" s="777">
        <v>42528</v>
      </c>
      <c r="C2379" s="730">
        <v>0.5</v>
      </c>
      <c r="D2379" s="777">
        <v>42528</v>
      </c>
      <c r="E2379" s="730">
        <v>0.51041666666666663</v>
      </c>
      <c r="F2379" s="558" t="s">
        <v>1320</v>
      </c>
      <c r="G2379" s="558" t="s">
        <v>124</v>
      </c>
      <c r="H2379" s="558" t="s">
        <v>2150</v>
      </c>
      <c r="I2379" s="679" t="s">
        <v>2343</v>
      </c>
      <c r="J2379" s="676">
        <v>0</v>
      </c>
      <c r="K2379" s="676">
        <v>0</v>
      </c>
      <c r="M2379" t="str">
        <f>""</f>
        <v/>
      </c>
    </row>
    <row r="2380" spans="1:13" ht="15.75">
      <c r="A2380">
        <v>2016</v>
      </c>
      <c r="B2380" s="777">
        <v>42535</v>
      </c>
      <c r="C2380" s="730">
        <v>0.33263888888888887</v>
      </c>
      <c r="D2380" s="777">
        <v>42535</v>
      </c>
      <c r="E2380" s="730">
        <v>0.33333333333333331</v>
      </c>
      <c r="F2380" s="558" t="s">
        <v>2288</v>
      </c>
      <c r="G2380" s="558" t="s">
        <v>826</v>
      </c>
      <c r="H2380" s="558" t="s">
        <v>2150</v>
      </c>
      <c r="I2380" s="679" t="s">
        <v>100</v>
      </c>
      <c r="J2380" s="676">
        <v>0</v>
      </c>
      <c r="K2380" s="676">
        <v>0</v>
      </c>
      <c r="M2380" t="str">
        <f>""</f>
        <v/>
      </c>
    </row>
    <row r="2381" spans="1:13" ht="15.75">
      <c r="A2381">
        <v>2016</v>
      </c>
      <c r="B2381" s="777">
        <v>42538</v>
      </c>
      <c r="C2381" s="730">
        <v>0.1875</v>
      </c>
      <c r="D2381" s="777">
        <v>42538</v>
      </c>
      <c r="E2381" s="730">
        <v>0.18819444444444444</v>
      </c>
      <c r="F2381" s="558" t="s">
        <v>2646</v>
      </c>
      <c r="G2381" s="558" t="s">
        <v>826</v>
      </c>
      <c r="H2381" s="558" t="s">
        <v>2150</v>
      </c>
      <c r="I2381" s="679" t="s">
        <v>100</v>
      </c>
      <c r="J2381" s="676">
        <v>0</v>
      </c>
      <c r="K2381" s="676">
        <v>0</v>
      </c>
      <c r="M2381" t="str">
        <f>""</f>
        <v/>
      </c>
    </row>
    <row r="2382" spans="1:13" ht="15.75">
      <c r="A2382">
        <v>2016</v>
      </c>
      <c r="B2382" s="777">
        <v>42553</v>
      </c>
      <c r="C2382" s="730">
        <v>0.16666666666666666</v>
      </c>
      <c r="D2382" s="777">
        <v>42555</v>
      </c>
      <c r="E2382" s="730">
        <v>2.7777777777777776E-2</v>
      </c>
      <c r="F2382" s="558" t="s">
        <v>2872</v>
      </c>
      <c r="G2382" s="558" t="s">
        <v>124</v>
      </c>
      <c r="H2382" s="558" t="s">
        <v>2150</v>
      </c>
      <c r="I2382" s="679" t="s">
        <v>2873</v>
      </c>
      <c r="J2382" s="676">
        <v>0</v>
      </c>
      <c r="K2382" s="676">
        <v>0</v>
      </c>
      <c r="M2382" t="str">
        <f>""</f>
        <v/>
      </c>
    </row>
    <row r="2383" spans="1:13" ht="15.75">
      <c r="A2383">
        <v>2016</v>
      </c>
      <c r="B2383" s="777">
        <v>42558</v>
      </c>
      <c r="C2383" s="730">
        <v>0.24513888888888888</v>
      </c>
      <c r="D2383" s="777">
        <v>42558</v>
      </c>
      <c r="E2383" s="730">
        <v>0.3611111111111111</v>
      </c>
      <c r="F2383" s="558" t="s">
        <v>2877</v>
      </c>
      <c r="G2383" s="558" t="s">
        <v>63</v>
      </c>
      <c r="H2383" s="558" t="s">
        <v>2293</v>
      </c>
      <c r="I2383" s="679" t="s">
        <v>100</v>
      </c>
      <c r="J2383" s="676">
        <v>0</v>
      </c>
      <c r="K2383" s="676">
        <v>0</v>
      </c>
      <c r="M2383" t="str">
        <f>""</f>
        <v/>
      </c>
    </row>
    <row r="2384" spans="1:13" ht="15.75">
      <c r="A2384">
        <v>2016</v>
      </c>
      <c r="B2384" s="777">
        <v>42564</v>
      </c>
      <c r="C2384" s="730">
        <v>0.54166666666666663</v>
      </c>
      <c r="D2384" s="777">
        <v>42564</v>
      </c>
      <c r="E2384" s="730">
        <v>0.54236111111111107</v>
      </c>
      <c r="F2384" s="558" t="s">
        <v>2575</v>
      </c>
      <c r="G2384" s="558" t="s">
        <v>124</v>
      </c>
      <c r="H2384" s="558" t="s">
        <v>2150</v>
      </c>
      <c r="I2384" s="679" t="s">
        <v>100</v>
      </c>
      <c r="J2384" s="676">
        <v>0</v>
      </c>
      <c r="K2384" s="676">
        <v>0</v>
      </c>
      <c r="M2384" t="str">
        <f>""</f>
        <v/>
      </c>
    </row>
    <row r="2385" spans="1:13" ht="15.75">
      <c r="A2385">
        <v>2016</v>
      </c>
      <c r="B2385" s="777">
        <v>42572</v>
      </c>
      <c r="C2385" s="730">
        <v>0.26250000000000001</v>
      </c>
      <c r="D2385" s="777">
        <v>42572</v>
      </c>
      <c r="E2385" s="730">
        <v>0.61458333333333337</v>
      </c>
      <c r="F2385" s="558" t="s">
        <v>2888</v>
      </c>
      <c r="G2385" s="558" t="s">
        <v>826</v>
      </c>
      <c r="H2385" s="558" t="s">
        <v>2150</v>
      </c>
      <c r="I2385" s="679" t="s">
        <v>2118</v>
      </c>
      <c r="J2385" s="676">
        <v>0</v>
      </c>
      <c r="K2385" s="676">
        <v>0</v>
      </c>
      <c r="M2385" t="str">
        <f>""</f>
        <v/>
      </c>
    </row>
    <row r="2386" spans="1:13" ht="15.75">
      <c r="A2386">
        <v>2016</v>
      </c>
      <c r="B2386" s="777">
        <v>42576</v>
      </c>
      <c r="C2386" s="730">
        <v>0.78541666666666665</v>
      </c>
      <c r="D2386" s="777">
        <v>42577</v>
      </c>
      <c r="E2386" s="730">
        <v>9.6527777777777782E-2</v>
      </c>
      <c r="F2386" s="558" t="s">
        <v>2271</v>
      </c>
      <c r="G2386" s="558" t="s">
        <v>472</v>
      </c>
      <c r="H2386" s="558" t="s">
        <v>619</v>
      </c>
      <c r="I2386" s="679" t="s">
        <v>2764</v>
      </c>
      <c r="J2386" s="676">
        <v>0</v>
      </c>
      <c r="K2386" s="676">
        <v>0</v>
      </c>
      <c r="M2386" t="str">
        <f>""</f>
        <v/>
      </c>
    </row>
    <row r="2387" spans="1:13" ht="15.75">
      <c r="A2387">
        <v>2016</v>
      </c>
      <c r="B2387" s="777">
        <v>42580</v>
      </c>
      <c r="C2387" s="730">
        <v>0.79791666666666672</v>
      </c>
      <c r="D2387" s="777">
        <v>42580</v>
      </c>
      <c r="E2387" s="730">
        <v>0.83125000000000004</v>
      </c>
      <c r="F2387" s="558" t="s">
        <v>2271</v>
      </c>
      <c r="G2387" s="558" t="s">
        <v>472</v>
      </c>
      <c r="H2387" s="558" t="s">
        <v>619</v>
      </c>
      <c r="I2387" s="679" t="s">
        <v>2764</v>
      </c>
      <c r="J2387" s="676">
        <v>0</v>
      </c>
      <c r="K2387" s="676">
        <v>0</v>
      </c>
      <c r="M2387" t="str">
        <f>""</f>
        <v/>
      </c>
    </row>
    <row r="2388" spans="1:13" ht="15.75">
      <c r="A2388">
        <v>2016</v>
      </c>
      <c r="B2388" s="777">
        <v>42586</v>
      </c>
      <c r="C2388" s="730">
        <v>0.59375</v>
      </c>
      <c r="D2388" s="777">
        <v>42586</v>
      </c>
      <c r="E2388" s="730">
        <v>0.59930555555555554</v>
      </c>
      <c r="F2388" s="558" t="s">
        <v>2892</v>
      </c>
      <c r="G2388" s="558" t="s">
        <v>826</v>
      </c>
      <c r="H2388" s="558" t="s">
        <v>2150</v>
      </c>
      <c r="I2388" s="679" t="s">
        <v>100</v>
      </c>
      <c r="J2388" s="676">
        <v>0</v>
      </c>
      <c r="K2388" s="676">
        <v>0</v>
      </c>
      <c r="M2388" t="str">
        <f>""</f>
        <v/>
      </c>
    </row>
    <row r="2389" spans="1:13" ht="15.75">
      <c r="A2389">
        <v>2016</v>
      </c>
      <c r="B2389" s="777">
        <v>42592</v>
      </c>
      <c r="C2389" s="730">
        <v>0.25</v>
      </c>
      <c r="D2389" s="777" t="s">
        <v>5873</v>
      </c>
      <c r="E2389" s="730" t="s">
        <v>5873</v>
      </c>
      <c r="F2389" s="558" t="s">
        <v>2894</v>
      </c>
      <c r="G2389" s="558" t="s">
        <v>124</v>
      </c>
      <c r="H2389" s="558" t="s">
        <v>2780</v>
      </c>
      <c r="I2389" s="679" t="s">
        <v>1138</v>
      </c>
      <c r="J2389" s="676">
        <v>0</v>
      </c>
      <c r="K2389" s="676">
        <v>0</v>
      </c>
      <c r="M2389" t="str">
        <f>""</f>
        <v/>
      </c>
    </row>
    <row r="2390" spans="1:13" ht="15.75">
      <c r="A2390">
        <v>2016</v>
      </c>
      <c r="B2390" s="777">
        <v>42595</v>
      </c>
      <c r="C2390" s="730">
        <v>0.48749999999999999</v>
      </c>
      <c r="D2390" s="777">
        <v>42595</v>
      </c>
      <c r="E2390" s="730">
        <v>0.58819444444444446</v>
      </c>
      <c r="F2390" s="558" t="s">
        <v>2896</v>
      </c>
      <c r="G2390" s="558" t="s">
        <v>63</v>
      </c>
      <c r="H2390" s="558" t="s">
        <v>2769</v>
      </c>
      <c r="I2390" s="679" t="s">
        <v>2764</v>
      </c>
      <c r="J2390" s="676">
        <v>506</v>
      </c>
      <c r="K2390" s="676">
        <v>0</v>
      </c>
      <c r="M2390" t="str">
        <f>""</f>
        <v/>
      </c>
    </row>
    <row r="2391" spans="1:13" ht="15.75">
      <c r="A2391">
        <v>2016</v>
      </c>
      <c r="B2391" s="777">
        <v>42607</v>
      </c>
      <c r="C2391" s="730">
        <v>0.77777777777777779</v>
      </c>
      <c r="D2391" s="777">
        <v>42608</v>
      </c>
      <c r="E2391" s="730">
        <v>0.7631944444444444</v>
      </c>
      <c r="F2391" s="558" t="s">
        <v>2898</v>
      </c>
      <c r="G2391" s="558" t="s">
        <v>124</v>
      </c>
      <c r="H2391" s="558" t="s">
        <v>2150</v>
      </c>
      <c r="I2391" s="679" t="s">
        <v>100</v>
      </c>
      <c r="J2391" s="676">
        <v>0</v>
      </c>
      <c r="K2391" s="676">
        <v>0</v>
      </c>
      <c r="M2391" t="str">
        <f>""</f>
        <v/>
      </c>
    </row>
    <row r="2392" spans="1:13" ht="15.75">
      <c r="A2392">
        <v>2016</v>
      </c>
      <c r="B2392" s="777">
        <v>42613</v>
      </c>
      <c r="C2392" s="730">
        <v>0.40625</v>
      </c>
      <c r="D2392" s="777">
        <v>42613</v>
      </c>
      <c r="E2392" s="730">
        <v>0.41319444444444442</v>
      </c>
      <c r="F2392" s="558" t="s">
        <v>2900</v>
      </c>
      <c r="G2392" s="558" t="s">
        <v>124</v>
      </c>
      <c r="H2392" s="558" t="s">
        <v>2839</v>
      </c>
      <c r="I2392" s="679" t="s">
        <v>2483</v>
      </c>
      <c r="J2392" s="676">
        <v>0</v>
      </c>
      <c r="K2392" s="676">
        <v>0</v>
      </c>
      <c r="M2392" t="str">
        <f>""</f>
        <v/>
      </c>
    </row>
    <row r="2393" spans="1:13" ht="15.75">
      <c r="A2393">
        <v>2016</v>
      </c>
      <c r="B2393" s="777">
        <v>42613</v>
      </c>
      <c r="C2393" s="730">
        <v>0.61944444444444446</v>
      </c>
      <c r="D2393" s="777" t="s">
        <v>5873</v>
      </c>
      <c r="E2393" s="730" t="s">
        <v>5873</v>
      </c>
      <c r="F2393" s="558" t="s">
        <v>2862</v>
      </c>
      <c r="G2393" s="558" t="s">
        <v>124</v>
      </c>
      <c r="H2393" s="558" t="s">
        <v>2839</v>
      </c>
      <c r="I2393" s="679" t="s">
        <v>2840</v>
      </c>
      <c r="J2393" s="676">
        <v>0</v>
      </c>
      <c r="K2393" s="676">
        <v>0</v>
      </c>
      <c r="M2393" t="str">
        <f>""</f>
        <v/>
      </c>
    </row>
    <row r="2394" spans="1:13" ht="15.75">
      <c r="A2394">
        <v>2016</v>
      </c>
      <c r="B2394" s="777">
        <v>42621</v>
      </c>
      <c r="C2394" s="730">
        <v>0.61736111111111114</v>
      </c>
      <c r="D2394" s="777">
        <v>42621</v>
      </c>
      <c r="E2394" s="730">
        <v>0.62708333333333333</v>
      </c>
      <c r="F2394" s="558" t="s">
        <v>2853</v>
      </c>
      <c r="G2394" s="558" t="s">
        <v>124</v>
      </c>
      <c r="H2394" s="558" t="s">
        <v>2839</v>
      </c>
      <c r="I2394" s="679" t="s">
        <v>2840</v>
      </c>
      <c r="J2394" s="676">
        <v>0</v>
      </c>
      <c r="K2394" s="676">
        <v>0</v>
      </c>
      <c r="M2394" t="str">
        <f>""</f>
        <v/>
      </c>
    </row>
    <row r="2395" spans="1:13" ht="15.75">
      <c r="A2395">
        <v>2016</v>
      </c>
      <c r="B2395" s="777">
        <v>42634</v>
      </c>
      <c r="C2395" s="730">
        <v>0.82222222222222219</v>
      </c>
      <c r="D2395" s="777">
        <v>42634</v>
      </c>
      <c r="E2395" s="730">
        <v>0.88680555555555551</v>
      </c>
      <c r="F2395" s="558" t="s">
        <v>2909</v>
      </c>
      <c r="G2395" s="558" t="s">
        <v>1352</v>
      </c>
      <c r="H2395" s="558" t="s">
        <v>2910</v>
      </c>
      <c r="I2395" s="679" t="s">
        <v>2873</v>
      </c>
      <c r="J2395" s="676">
        <v>0</v>
      </c>
      <c r="K2395" s="676">
        <v>0</v>
      </c>
      <c r="M2395" t="str">
        <f>""</f>
        <v/>
      </c>
    </row>
    <row r="2396" spans="1:13" ht="15.75">
      <c r="A2396">
        <v>2016</v>
      </c>
      <c r="B2396" s="777">
        <v>42644</v>
      </c>
      <c r="C2396" s="730">
        <v>0.51666666666666672</v>
      </c>
      <c r="D2396" s="777">
        <v>42645</v>
      </c>
      <c r="E2396" s="730">
        <v>8.611111111111111E-2</v>
      </c>
      <c r="F2396" s="558" t="s">
        <v>2914</v>
      </c>
      <c r="G2396" s="558" t="s">
        <v>124</v>
      </c>
      <c r="H2396" s="558" t="s">
        <v>2915</v>
      </c>
      <c r="I2396" s="679" t="s">
        <v>2873</v>
      </c>
      <c r="J2396" s="676">
        <v>0</v>
      </c>
      <c r="K2396" s="676">
        <v>0</v>
      </c>
      <c r="M2396" t="str">
        <f>""</f>
        <v/>
      </c>
    </row>
    <row r="2397" spans="1:13" ht="15.75">
      <c r="A2397">
        <v>2016</v>
      </c>
      <c r="B2397" s="777">
        <v>42648</v>
      </c>
      <c r="C2397" s="730">
        <v>0.66041666666666665</v>
      </c>
      <c r="D2397" s="777" t="s">
        <v>5873</v>
      </c>
      <c r="E2397" s="730" t="s">
        <v>5873</v>
      </c>
      <c r="F2397" s="558" t="s">
        <v>2920</v>
      </c>
      <c r="G2397" s="558" t="s">
        <v>124</v>
      </c>
      <c r="H2397" s="558" t="s">
        <v>2910</v>
      </c>
      <c r="I2397" s="679" t="s">
        <v>100</v>
      </c>
      <c r="J2397" s="676">
        <v>0</v>
      </c>
      <c r="K2397" s="676">
        <v>0</v>
      </c>
      <c r="M2397" t="str">
        <f>""</f>
        <v/>
      </c>
    </row>
    <row r="2398" spans="1:13" ht="15.75">
      <c r="A2398">
        <v>2016</v>
      </c>
      <c r="B2398" s="777">
        <v>42661</v>
      </c>
      <c r="C2398" s="730">
        <v>0.58750000000000002</v>
      </c>
      <c r="D2398" s="777">
        <v>42664</v>
      </c>
      <c r="E2398" s="730">
        <v>0.625</v>
      </c>
      <c r="F2398" s="558" t="s">
        <v>2931</v>
      </c>
      <c r="G2398" s="558" t="s">
        <v>124</v>
      </c>
      <c r="H2398" s="558" t="s">
        <v>2910</v>
      </c>
      <c r="I2398" s="679" t="s">
        <v>100</v>
      </c>
      <c r="J2398" s="676">
        <v>0</v>
      </c>
      <c r="K2398" s="676">
        <v>0</v>
      </c>
      <c r="M2398" t="str">
        <f>""</f>
        <v/>
      </c>
    </row>
    <row r="2399" spans="1:13" ht="15.75">
      <c r="A2399">
        <v>2016</v>
      </c>
      <c r="B2399" s="777">
        <v>42663</v>
      </c>
      <c r="C2399" s="730">
        <v>0.52083333333333337</v>
      </c>
      <c r="D2399" s="777">
        <v>42663</v>
      </c>
      <c r="E2399" s="730">
        <v>0.52152777777777781</v>
      </c>
      <c r="F2399" s="558" t="s">
        <v>2933</v>
      </c>
      <c r="G2399" s="558" t="s">
        <v>124</v>
      </c>
      <c r="H2399" s="558" t="s">
        <v>2910</v>
      </c>
      <c r="I2399" s="679" t="s">
        <v>100</v>
      </c>
      <c r="J2399" s="676">
        <v>0</v>
      </c>
      <c r="K2399" s="676">
        <v>0</v>
      </c>
      <c r="M2399" t="str">
        <f>""</f>
        <v/>
      </c>
    </row>
    <row r="2400" spans="1:13" ht="15.75">
      <c r="A2400">
        <v>2016</v>
      </c>
      <c r="B2400" s="777">
        <v>42668</v>
      </c>
      <c r="C2400" s="730">
        <v>0.31944444444444442</v>
      </c>
      <c r="D2400" s="777">
        <v>42670</v>
      </c>
      <c r="E2400" s="730">
        <v>0.31944444444444442</v>
      </c>
      <c r="F2400" s="558" t="s">
        <v>2935</v>
      </c>
      <c r="G2400" s="558" t="s">
        <v>63</v>
      </c>
      <c r="H2400" s="558" t="s">
        <v>2910</v>
      </c>
      <c r="I2400" s="679" t="s">
        <v>100</v>
      </c>
      <c r="J2400" s="676">
        <v>0</v>
      </c>
      <c r="K2400" s="676">
        <v>0</v>
      </c>
      <c r="M2400" t="str">
        <f>""</f>
        <v/>
      </c>
    </row>
    <row r="2401" spans="1:13" ht="15.75">
      <c r="A2401">
        <v>2016</v>
      </c>
      <c r="B2401" s="777">
        <v>42669</v>
      </c>
      <c r="C2401" s="730">
        <v>0.22638888888888889</v>
      </c>
      <c r="D2401" s="777">
        <v>42669</v>
      </c>
      <c r="E2401" s="730">
        <v>0.22708333333333333</v>
      </c>
      <c r="F2401" s="558" t="s">
        <v>2937</v>
      </c>
      <c r="G2401" s="558" t="s">
        <v>124</v>
      </c>
      <c r="H2401" s="558" t="s">
        <v>2910</v>
      </c>
      <c r="I2401" s="679" t="s">
        <v>100</v>
      </c>
      <c r="J2401" s="676">
        <v>0</v>
      </c>
      <c r="K2401" s="676">
        <v>0</v>
      </c>
      <c r="M2401" t="str">
        <f>""</f>
        <v/>
      </c>
    </row>
    <row r="2402" spans="1:13" ht="15.75">
      <c r="A2402">
        <v>2016</v>
      </c>
      <c r="B2402" s="777">
        <v>42674</v>
      </c>
      <c r="C2402" s="730">
        <v>0.33750000000000002</v>
      </c>
      <c r="D2402" s="777">
        <v>42674</v>
      </c>
      <c r="E2402" s="730">
        <v>0.66180555555555554</v>
      </c>
      <c r="F2402" s="558" t="s">
        <v>2941</v>
      </c>
      <c r="G2402" s="558" t="s">
        <v>63</v>
      </c>
      <c r="H2402" s="558" t="s">
        <v>2915</v>
      </c>
      <c r="I2402" s="679" t="s">
        <v>2873</v>
      </c>
      <c r="J2402" s="676">
        <v>0</v>
      </c>
      <c r="K2402" s="676">
        <v>0</v>
      </c>
      <c r="M2402" t="str">
        <f>""</f>
        <v/>
      </c>
    </row>
    <row r="2403" spans="1:13" ht="15.75">
      <c r="A2403">
        <v>2016</v>
      </c>
      <c r="B2403" s="777">
        <v>42683</v>
      </c>
      <c r="C2403" s="730">
        <v>0.49930555555555556</v>
      </c>
      <c r="D2403" s="777">
        <v>42683</v>
      </c>
      <c r="E2403" s="730">
        <v>0.76041666666666663</v>
      </c>
      <c r="F2403" s="558" t="s">
        <v>2943</v>
      </c>
      <c r="G2403" s="558" t="s">
        <v>124</v>
      </c>
      <c r="H2403" s="558" t="s">
        <v>2944</v>
      </c>
      <c r="I2403" s="679" t="s">
        <v>2836</v>
      </c>
      <c r="J2403" s="676">
        <v>0</v>
      </c>
      <c r="K2403" s="676">
        <v>0</v>
      </c>
      <c r="M2403" t="str">
        <f>""</f>
        <v/>
      </c>
    </row>
    <row r="2404" spans="1:13" ht="15.75">
      <c r="A2404">
        <v>2016</v>
      </c>
      <c r="B2404" s="777">
        <v>42683</v>
      </c>
      <c r="C2404" s="730">
        <v>0.28055555555555556</v>
      </c>
      <c r="D2404" s="777">
        <v>42683</v>
      </c>
      <c r="E2404" s="730">
        <v>0.32222222222222224</v>
      </c>
      <c r="F2404" s="558" t="s">
        <v>2945</v>
      </c>
      <c r="G2404" s="558" t="s">
        <v>124</v>
      </c>
      <c r="H2404" s="558" t="s">
        <v>2910</v>
      </c>
      <c r="I2404" s="679" t="s">
        <v>100</v>
      </c>
      <c r="J2404" s="676">
        <v>0</v>
      </c>
      <c r="K2404" s="676">
        <v>0</v>
      </c>
      <c r="M2404" t="str">
        <f>""</f>
        <v/>
      </c>
    </row>
    <row r="2405" spans="1:13" ht="15.75">
      <c r="A2405">
        <v>2016</v>
      </c>
      <c r="B2405" s="777">
        <v>42675</v>
      </c>
      <c r="C2405" s="730">
        <v>0.87152777777777779</v>
      </c>
      <c r="D2405" s="777" t="s">
        <v>5873</v>
      </c>
      <c r="E2405" s="730" t="s">
        <v>5873</v>
      </c>
      <c r="F2405" s="558" t="s">
        <v>2862</v>
      </c>
      <c r="G2405" s="558" t="s">
        <v>124</v>
      </c>
      <c r="H2405" s="558" t="s">
        <v>2839</v>
      </c>
      <c r="I2405" s="679" t="s">
        <v>2483</v>
      </c>
      <c r="J2405" s="676">
        <v>0</v>
      </c>
      <c r="K2405" s="676">
        <v>0</v>
      </c>
      <c r="M2405" t="str">
        <f>""</f>
        <v/>
      </c>
    </row>
    <row r="2406" spans="1:13" ht="15.75">
      <c r="A2406">
        <v>2016</v>
      </c>
      <c r="B2406" s="777">
        <v>42712</v>
      </c>
      <c r="C2406" s="730">
        <v>4.1666666666666664E-2</v>
      </c>
      <c r="D2406" s="777">
        <v>42712</v>
      </c>
      <c r="E2406" s="730">
        <v>0.10416666666666667</v>
      </c>
      <c r="F2406" s="558" t="s">
        <v>2947</v>
      </c>
      <c r="G2406" s="558" t="s">
        <v>124</v>
      </c>
      <c r="H2406" s="558" t="s">
        <v>2910</v>
      </c>
      <c r="I2406" s="679" t="s">
        <v>100</v>
      </c>
      <c r="J2406" s="676">
        <v>0</v>
      </c>
      <c r="K2406" s="676">
        <v>0</v>
      </c>
      <c r="M2406" t="str">
        <f>""</f>
        <v/>
      </c>
    </row>
    <row r="2407" spans="1:13" ht="15.75">
      <c r="A2407">
        <v>2016</v>
      </c>
      <c r="B2407" s="777">
        <v>42715</v>
      </c>
      <c r="C2407" s="730">
        <v>0.32291666666666669</v>
      </c>
      <c r="D2407" s="777">
        <v>42715</v>
      </c>
      <c r="E2407" s="730">
        <v>0.32361111111111113</v>
      </c>
      <c r="F2407" s="558" t="s">
        <v>2949</v>
      </c>
      <c r="G2407" s="558" t="s">
        <v>124</v>
      </c>
      <c r="H2407" s="558" t="s">
        <v>2910</v>
      </c>
      <c r="I2407" s="679" t="s">
        <v>100</v>
      </c>
      <c r="J2407" s="676">
        <v>0</v>
      </c>
      <c r="K2407" s="676">
        <v>0</v>
      </c>
      <c r="M2407" t="str">
        <f>""</f>
        <v/>
      </c>
    </row>
    <row r="2408" spans="1:13" ht="15.75">
      <c r="A2408">
        <v>2016</v>
      </c>
      <c r="B2408" s="777">
        <v>42717</v>
      </c>
      <c r="C2408" s="730">
        <v>0.58958333333333335</v>
      </c>
      <c r="D2408" s="777">
        <v>42717</v>
      </c>
      <c r="E2408" s="730">
        <v>0.60416666666666663</v>
      </c>
      <c r="F2408" s="558" t="s">
        <v>2951</v>
      </c>
      <c r="G2408" s="558" t="s">
        <v>124</v>
      </c>
      <c r="H2408" s="558" t="s">
        <v>2944</v>
      </c>
      <c r="I2408" s="679" t="s">
        <v>2952</v>
      </c>
      <c r="J2408" s="676">
        <v>0</v>
      </c>
      <c r="K2408" s="676">
        <v>0</v>
      </c>
      <c r="M2408" t="str">
        <f>""</f>
        <v/>
      </c>
    </row>
    <row r="2409" spans="1:13" ht="15.75">
      <c r="A2409">
        <v>2016</v>
      </c>
      <c r="B2409" s="777">
        <v>42720</v>
      </c>
      <c r="C2409" s="730">
        <v>0.32291666666666669</v>
      </c>
      <c r="D2409" s="777">
        <v>42720</v>
      </c>
      <c r="E2409" s="730">
        <v>0.36458333333333331</v>
      </c>
      <c r="F2409" s="558" t="s">
        <v>2947</v>
      </c>
      <c r="G2409" s="558" t="s">
        <v>124</v>
      </c>
      <c r="H2409" s="558" t="s">
        <v>2910</v>
      </c>
      <c r="I2409" s="679" t="s">
        <v>100</v>
      </c>
      <c r="J2409" s="676">
        <v>0</v>
      </c>
      <c r="K2409" s="676">
        <v>0</v>
      </c>
      <c r="M2409" t="str">
        <f>""</f>
        <v/>
      </c>
    </row>
    <row r="2410" spans="1:13" ht="15.75">
      <c r="A2410">
        <v>2016</v>
      </c>
      <c r="B2410" s="777">
        <v>42730</v>
      </c>
      <c r="C2410" s="730">
        <v>0.16666666666666666</v>
      </c>
      <c r="D2410" s="777">
        <v>42730</v>
      </c>
      <c r="E2410" s="730">
        <v>0.25</v>
      </c>
      <c r="F2410" s="558" t="s">
        <v>2853</v>
      </c>
      <c r="G2410" s="558" t="s">
        <v>124</v>
      </c>
      <c r="H2410" s="558" t="s">
        <v>2910</v>
      </c>
      <c r="I2410" s="679" t="s">
        <v>100</v>
      </c>
      <c r="J2410" s="676">
        <v>0</v>
      </c>
      <c r="K2410" s="676">
        <v>0</v>
      </c>
      <c r="M2410" t="str">
        <f>""</f>
        <v/>
      </c>
    </row>
    <row r="2411" spans="1:13" ht="15.75">
      <c r="A2411">
        <v>2016</v>
      </c>
      <c r="B2411" s="777">
        <v>42732</v>
      </c>
      <c r="C2411" s="730">
        <v>0.16875000000000001</v>
      </c>
      <c r="D2411" s="777">
        <v>42735</v>
      </c>
      <c r="E2411" s="730">
        <v>0.25</v>
      </c>
      <c r="F2411" s="558" t="s">
        <v>2945</v>
      </c>
      <c r="G2411" s="558" t="s">
        <v>124</v>
      </c>
      <c r="H2411" s="558" t="s">
        <v>2780</v>
      </c>
      <c r="I2411" s="679" t="s">
        <v>1138</v>
      </c>
      <c r="J2411" s="676">
        <v>0</v>
      </c>
      <c r="K2411" s="676">
        <v>0</v>
      </c>
      <c r="M2411" t="str">
        <f>""</f>
        <v/>
      </c>
    </row>
    <row r="2412" spans="1:13" ht="15.75">
      <c r="A2412">
        <v>2016</v>
      </c>
      <c r="B2412" s="777">
        <v>42734</v>
      </c>
      <c r="C2412" s="730">
        <v>0.37152777777777779</v>
      </c>
      <c r="D2412" s="777">
        <v>42734</v>
      </c>
      <c r="E2412" s="730">
        <v>0.37222222222222223</v>
      </c>
      <c r="F2412" s="558" t="s">
        <v>2958</v>
      </c>
      <c r="G2412" s="558" t="s">
        <v>61</v>
      </c>
      <c r="H2412" s="558" t="s">
        <v>2944</v>
      </c>
      <c r="I2412" s="679" t="s">
        <v>2798</v>
      </c>
      <c r="J2412" s="676">
        <v>0</v>
      </c>
      <c r="K2412" s="676">
        <v>0</v>
      </c>
      <c r="M2412" t="str">
        <f>""</f>
        <v/>
      </c>
    </row>
    <row r="2413" spans="1:13" ht="15.75">
      <c r="A2413">
        <v>2017</v>
      </c>
      <c r="B2413" s="777">
        <v>42740</v>
      </c>
      <c r="C2413" s="730">
        <v>0.7055555555555556</v>
      </c>
      <c r="D2413" s="777">
        <v>42740</v>
      </c>
      <c r="E2413" s="730">
        <v>0.70625000000000004</v>
      </c>
      <c r="F2413" s="558" t="s">
        <v>2964</v>
      </c>
      <c r="G2413" s="558" t="s">
        <v>301</v>
      </c>
      <c r="H2413" s="558" t="s">
        <v>2910</v>
      </c>
      <c r="I2413" s="679" t="s">
        <v>2150</v>
      </c>
      <c r="J2413" s="676">
        <v>0</v>
      </c>
      <c r="K2413" s="676">
        <v>0</v>
      </c>
      <c r="M2413" t="str">
        <f>""</f>
        <v/>
      </c>
    </row>
    <row r="2414" spans="1:13" ht="15.75">
      <c r="A2414">
        <v>2017</v>
      </c>
      <c r="B2414" s="777">
        <v>42743</v>
      </c>
      <c r="C2414" s="730">
        <v>0.99930555555555556</v>
      </c>
      <c r="D2414" s="777" t="s">
        <v>5873</v>
      </c>
      <c r="E2414" s="730" t="s">
        <v>5873</v>
      </c>
      <c r="F2414" s="558" t="s">
        <v>18</v>
      </c>
      <c r="G2414" s="558" t="s">
        <v>124</v>
      </c>
      <c r="H2414" s="558" t="s">
        <v>2780</v>
      </c>
      <c r="I2414" s="679" t="s">
        <v>1138</v>
      </c>
      <c r="J2414" s="676">
        <v>0</v>
      </c>
      <c r="K2414" s="676">
        <v>0</v>
      </c>
      <c r="M2414" t="str">
        <f>""</f>
        <v/>
      </c>
    </row>
    <row r="2415" spans="1:13" ht="15.75">
      <c r="A2415">
        <v>2017</v>
      </c>
      <c r="B2415" s="777">
        <v>42757</v>
      </c>
      <c r="C2415" s="730">
        <v>0.25</v>
      </c>
      <c r="D2415" s="777" t="s">
        <v>5873</v>
      </c>
      <c r="E2415" s="730" t="s">
        <v>5873</v>
      </c>
      <c r="F2415" s="558" t="s">
        <v>18</v>
      </c>
      <c r="G2415" s="558" t="s">
        <v>124</v>
      </c>
      <c r="H2415" s="558" t="s">
        <v>2780</v>
      </c>
      <c r="I2415" s="679" t="s">
        <v>1138</v>
      </c>
      <c r="J2415" s="676">
        <v>0</v>
      </c>
      <c r="K2415" s="676">
        <v>0</v>
      </c>
      <c r="M2415" t="str">
        <f>""</f>
        <v/>
      </c>
    </row>
    <row r="2416" spans="1:13" ht="15.75">
      <c r="A2416">
        <v>2017</v>
      </c>
      <c r="B2416" s="777">
        <v>42777</v>
      </c>
      <c r="C2416" s="730">
        <v>0.65694444444444444</v>
      </c>
      <c r="D2416" s="777">
        <v>42777</v>
      </c>
      <c r="E2416" s="730">
        <v>0.65972222222222221</v>
      </c>
      <c r="F2416" s="558" t="s">
        <v>1320</v>
      </c>
      <c r="G2416" s="558" t="s">
        <v>124</v>
      </c>
      <c r="H2416" s="558" t="s">
        <v>2910</v>
      </c>
      <c r="I2416" s="679" t="s">
        <v>2293</v>
      </c>
      <c r="J2416" s="676">
        <v>0</v>
      </c>
      <c r="K2416" s="676">
        <v>0</v>
      </c>
      <c r="M2416" t="str">
        <f>""</f>
        <v/>
      </c>
    </row>
    <row r="2417" spans="1:13" ht="15.75">
      <c r="A2417">
        <v>2017</v>
      </c>
      <c r="B2417" s="777">
        <v>42779</v>
      </c>
      <c r="C2417" s="730">
        <v>0.54166666666666663</v>
      </c>
      <c r="D2417" s="777">
        <v>42781</v>
      </c>
      <c r="E2417" s="730">
        <v>0.56597222222222221</v>
      </c>
      <c r="F2417" s="558" t="s">
        <v>2977</v>
      </c>
      <c r="G2417" s="558" t="s">
        <v>63</v>
      </c>
      <c r="H2417" s="558" t="s">
        <v>2910</v>
      </c>
      <c r="I2417" s="679" t="s">
        <v>100</v>
      </c>
      <c r="J2417" s="676">
        <v>0</v>
      </c>
      <c r="K2417" s="676">
        <v>0</v>
      </c>
      <c r="M2417" t="str">
        <f>""</f>
        <v/>
      </c>
    </row>
    <row r="2418" spans="1:13" ht="15.75">
      <c r="A2418">
        <v>2017</v>
      </c>
      <c r="B2418" s="777">
        <v>42783</v>
      </c>
      <c r="C2418" s="730">
        <v>0.54166666666666663</v>
      </c>
      <c r="D2418" s="777">
        <v>42783</v>
      </c>
      <c r="E2418" s="730">
        <v>0.55208333333333337</v>
      </c>
      <c r="F2418" s="558" t="s">
        <v>2817</v>
      </c>
      <c r="G2418" s="558" t="s">
        <v>124</v>
      </c>
      <c r="H2418" s="558" t="s">
        <v>2910</v>
      </c>
      <c r="I2418" s="679" t="s">
        <v>100</v>
      </c>
      <c r="J2418" s="676">
        <v>0</v>
      </c>
      <c r="K2418" s="676">
        <v>0</v>
      </c>
      <c r="M2418" t="str">
        <f>""</f>
        <v/>
      </c>
    </row>
    <row r="2419" spans="1:13" ht="15.75">
      <c r="A2419">
        <v>2017</v>
      </c>
      <c r="B2419" s="777">
        <v>42783</v>
      </c>
      <c r="C2419" s="730">
        <v>0.18888888888888888</v>
      </c>
      <c r="D2419" s="777">
        <v>42783</v>
      </c>
      <c r="E2419" s="730">
        <v>0.20972222222222223</v>
      </c>
      <c r="F2419" s="558" t="s">
        <v>2979</v>
      </c>
      <c r="G2419" s="558" t="s">
        <v>58</v>
      </c>
      <c r="H2419" s="558" t="s">
        <v>2944</v>
      </c>
      <c r="I2419" s="679" t="s">
        <v>2764</v>
      </c>
      <c r="J2419" s="676">
        <v>0</v>
      </c>
      <c r="K2419" s="676">
        <v>0</v>
      </c>
      <c r="M2419" t="str">
        <f>""</f>
        <v/>
      </c>
    </row>
    <row r="2420" spans="1:13" ht="15.75">
      <c r="A2420">
        <v>2017</v>
      </c>
      <c r="B2420" s="777">
        <v>42818</v>
      </c>
      <c r="C2420" s="730">
        <v>0.27013888888888887</v>
      </c>
      <c r="D2420" s="777">
        <v>42818</v>
      </c>
      <c r="E2420" s="730">
        <v>0.30069444444444443</v>
      </c>
      <c r="F2420" s="558" t="s">
        <v>2995</v>
      </c>
      <c r="G2420" s="558" t="s">
        <v>124</v>
      </c>
      <c r="H2420" s="558" t="s">
        <v>2910</v>
      </c>
      <c r="I2420" s="679" t="s">
        <v>2343</v>
      </c>
      <c r="J2420" s="676">
        <v>0</v>
      </c>
      <c r="K2420" s="676">
        <v>0</v>
      </c>
      <c r="M2420" t="str">
        <f>""</f>
        <v/>
      </c>
    </row>
    <row r="2421" spans="1:13" ht="15.75">
      <c r="A2421">
        <v>2017</v>
      </c>
      <c r="B2421" s="777">
        <v>42822</v>
      </c>
      <c r="C2421" s="730">
        <v>0.67152777777777772</v>
      </c>
      <c r="D2421" s="777">
        <v>42822</v>
      </c>
      <c r="E2421" s="730">
        <v>0.67222222222222228</v>
      </c>
      <c r="F2421" s="558" t="s">
        <v>2808</v>
      </c>
      <c r="G2421" s="558" t="s">
        <v>124</v>
      </c>
      <c r="H2421" s="558" t="s">
        <v>2910</v>
      </c>
      <c r="I2421" s="679" t="s">
        <v>2118</v>
      </c>
      <c r="J2421" s="676">
        <v>0</v>
      </c>
      <c r="K2421" s="676">
        <v>0</v>
      </c>
      <c r="M2421" t="str">
        <f>""</f>
        <v/>
      </c>
    </row>
    <row r="2422" spans="1:13" ht="15.75">
      <c r="A2422">
        <v>2017</v>
      </c>
      <c r="B2422" s="777">
        <v>42825</v>
      </c>
      <c r="C2422" s="730">
        <v>0.80208333333333337</v>
      </c>
      <c r="D2422" s="777">
        <v>42825</v>
      </c>
      <c r="E2422" s="730">
        <v>0.87986111111111109</v>
      </c>
      <c r="F2422" s="558" t="s">
        <v>2998</v>
      </c>
      <c r="G2422" s="558" t="s">
        <v>63</v>
      </c>
      <c r="H2422" s="558" t="s">
        <v>2910</v>
      </c>
      <c r="I2422" s="679" t="s">
        <v>100</v>
      </c>
      <c r="J2422" s="676">
        <v>0</v>
      </c>
      <c r="K2422" s="676">
        <v>0</v>
      </c>
      <c r="M2422" t="str">
        <f>""</f>
        <v/>
      </c>
    </row>
    <row r="2423" spans="1:13" ht="15.75">
      <c r="A2423">
        <v>2017</v>
      </c>
      <c r="B2423" s="777">
        <v>42832</v>
      </c>
      <c r="C2423" s="730">
        <v>0.17777777777777778</v>
      </c>
      <c r="D2423" s="777" t="s">
        <v>5873</v>
      </c>
      <c r="E2423" s="730" t="s">
        <v>5873</v>
      </c>
      <c r="F2423" s="558" t="s">
        <v>3002</v>
      </c>
      <c r="G2423" s="558" t="s">
        <v>124</v>
      </c>
      <c r="H2423" s="558" t="s">
        <v>2780</v>
      </c>
      <c r="I2423" s="679" t="s">
        <v>1138</v>
      </c>
      <c r="J2423" s="676">
        <v>0</v>
      </c>
      <c r="K2423" s="676">
        <v>0</v>
      </c>
      <c r="M2423" t="str">
        <f>""</f>
        <v/>
      </c>
    </row>
    <row r="2424" spans="1:13" ht="15.75">
      <c r="A2424">
        <v>2017</v>
      </c>
      <c r="B2424" s="777">
        <v>42842</v>
      </c>
      <c r="C2424" s="730">
        <v>0.3923611111111111</v>
      </c>
      <c r="D2424" s="777">
        <v>42842</v>
      </c>
      <c r="E2424" s="730">
        <v>0.39305555555555555</v>
      </c>
      <c r="F2424" s="558" t="s">
        <v>3008</v>
      </c>
      <c r="G2424" s="558" t="s">
        <v>124</v>
      </c>
      <c r="H2424" s="558" t="s">
        <v>2910</v>
      </c>
      <c r="I2424" s="679" t="s">
        <v>2343</v>
      </c>
      <c r="J2424" s="676">
        <v>0</v>
      </c>
      <c r="K2424" s="676">
        <v>0</v>
      </c>
      <c r="M2424" t="str">
        <f>""</f>
        <v/>
      </c>
    </row>
    <row r="2425" spans="1:13" ht="15.75">
      <c r="A2425">
        <v>2017</v>
      </c>
      <c r="B2425" s="777">
        <v>42845</v>
      </c>
      <c r="C2425" s="730">
        <v>0.66666666666666663</v>
      </c>
      <c r="D2425" s="777">
        <v>42845</v>
      </c>
      <c r="E2425" s="730">
        <v>0.75</v>
      </c>
      <c r="F2425" s="558" t="s">
        <v>3010</v>
      </c>
      <c r="G2425" s="558" t="s">
        <v>124</v>
      </c>
      <c r="H2425" s="558" t="s">
        <v>2910</v>
      </c>
      <c r="I2425" s="679" t="s">
        <v>100</v>
      </c>
      <c r="J2425" s="676">
        <v>0</v>
      </c>
      <c r="K2425" s="676">
        <v>0</v>
      </c>
      <c r="M2425" t="str">
        <f>""</f>
        <v/>
      </c>
    </row>
    <row r="2426" spans="1:13" ht="15.75">
      <c r="A2426">
        <v>2017</v>
      </c>
      <c r="B2426" s="777">
        <v>42846</v>
      </c>
      <c r="C2426" s="730">
        <v>0.44027777777777777</v>
      </c>
      <c r="D2426" s="777">
        <v>42846</v>
      </c>
      <c r="E2426" s="730">
        <v>0.66319444444444442</v>
      </c>
      <c r="F2426" s="558" t="s">
        <v>3013</v>
      </c>
      <c r="G2426" s="558" t="s">
        <v>63</v>
      </c>
      <c r="H2426" s="558" t="s">
        <v>2910</v>
      </c>
      <c r="I2426" s="679" t="s">
        <v>100</v>
      </c>
      <c r="J2426" s="676">
        <v>0</v>
      </c>
      <c r="K2426" s="676">
        <v>0</v>
      </c>
      <c r="M2426" t="str">
        <f>""</f>
        <v/>
      </c>
    </row>
    <row r="2427" spans="1:13" ht="15.75">
      <c r="A2427">
        <v>2017</v>
      </c>
      <c r="B2427" s="777">
        <v>42848</v>
      </c>
      <c r="C2427" s="730">
        <v>0.99652777777777779</v>
      </c>
      <c r="D2427" s="777">
        <v>42848</v>
      </c>
      <c r="E2427" s="730">
        <v>0.99722222222222223</v>
      </c>
      <c r="F2427" s="558" t="s">
        <v>2872</v>
      </c>
      <c r="G2427" s="558" t="s">
        <v>124</v>
      </c>
      <c r="H2427" s="558" t="s">
        <v>2910</v>
      </c>
      <c r="I2427" s="679" t="s">
        <v>100</v>
      </c>
      <c r="J2427" s="676">
        <v>0</v>
      </c>
      <c r="K2427" s="676">
        <v>0</v>
      </c>
      <c r="M2427" t="str">
        <f>""</f>
        <v/>
      </c>
    </row>
    <row r="2428" spans="1:13" ht="15.75">
      <c r="A2428">
        <v>2017</v>
      </c>
      <c r="B2428" s="777">
        <v>42858</v>
      </c>
      <c r="C2428" s="730">
        <v>0.79027777777777775</v>
      </c>
      <c r="D2428" s="777">
        <v>42858</v>
      </c>
      <c r="E2428" s="730">
        <v>0.88541666666666663</v>
      </c>
      <c r="F2428" s="558" t="s">
        <v>18</v>
      </c>
      <c r="G2428" s="558" t="s">
        <v>124</v>
      </c>
      <c r="H2428" s="558" t="s">
        <v>2791</v>
      </c>
      <c r="I2428" s="679" t="s">
        <v>2905</v>
      </c>
      <c r="J2428" s="676">
        <v>572</v>
      </c>
      <c r="K2428" s="676">
        <v>0</v>
      </c>
      <c r="M2428" t="str">
        <f>""</f>
        <v/>
      </c>
    </row>
    <row r="2429" spans="1:13" ht="15.75">
      <c r="A2429">
        <v>2017</v>
      </c>
      <c r="B2429" s="777">
        <v>42858</v>
      </c>
      <c r="C2429" s="730">
        <v>0.95833333333333337</v>
      </c>
      <c r="D2429" s="777" t="s">
        <v>5873</v>
      </c>
      <c r="E2429" s="730" t="s">
        <v>5873</v>
      </c>
      <c r="F2429" s="558" t="s">
        <v>3021</v>
      </c>
      <c r="G2429" s="558" t="s">
        <v>826</v>
      </c>
      <c r="H2429" s="558" t="s">
        <v>2910</v>
      </c>
      <c r="I2429" s="679" t="s">
        <v>100</v>
      </c>
      <c r="J2429" s="676">
        <v>0</v>
      </c>
      <c r="K2429" s="676">
        <v>0</v>
      </c>
      <c r="M2429" t="str">
        <f>""</f>
        <v/>
      </c>
    </row>
    <row r="2430" spans="1:13" ht="15.75">
      <c r="A2430">
        <v>2017</v>
      </c>
      <c r="B2430" s="777">
        <v>42862</v>
      </c>
      <c r="C2430" s="730">
        <v>0.97916666666666663</v>
      </c>
      <c r="D2430" s="777">
        <v>42863</v>
      </c>
      <c r="E2430" s="730">
        <v>0.20833333333333334</v>
      </c>
      <c r="F2430" s="558" t="s">
        <v>3025</v>
      </c>
      <c r="G2430" s="558" t="s">
        <v>63</v>
      </c>
      <c r="H2430" s="558" t="s">
        <v>2917</v>
      </c>
      <c r="I2430" s="679" t="s">
        <v>2905</v>
      </c>
      <c r="J2430" s="676">
        <v>80</v>
      </c>
      <c r="K2430" s="676">
        <v>0</v>
      </c>
      <c r="M2430" t="str">
        <f>""</f>
        <v/>
      </c>
    </row>
    <row r="2431" spans="1:13" ht="15.75">
      <c r="A2431">
        <v>2017</v>
      </c>
      <c r="B2431" s="777">
        <v>42862</v>
      </c>
      <c r="C2431" s="730">
        <v>0.21875</v>
      </c>
      <c r="D2431" s="777" t="s">
        <v>5873</v>
      </c>
      <c r="E2431" s="730" t="s">
        <v>5873</v>
      </c>
      <c r="F2431" s="558" t="s">
        <v>3002</v>
      </c>
      <c r="G2431" s="558" t="s">
        <v>124</v>
      </c>
      <c r="H2431" s="558" t="s">
        <v>2780</v>
      </c>
      <c r="I2431" s="679" t="s">
        <v>1138</v>
      </c>
      <c r="J2431" s="676">
        <v>0</v>
      </c>
      <c r="K2431" s="676">
        <v>0</v>
      </c>
      <c r="M2431" t="str">
        <f>""</f>
        <v/>
      </c>
    </row>
    <row r="2432" spans="1:13" ht="15.75">
      <c r="A2432">
        <v>2017</v>
      </c>
      <c r="B2432" s="777">
        <v>42866</v>
      </c>
      <c r="C2432" s="730">
        <v>0.46180555555555558</v>
      </c>
      <c r="D2432" s="777">
        <v>42866</v>
      </c>
      <c r="E2432" s="730">
        <v>0.54513888888888884</v>
      </c>
      <c r="F2432" s="558" t="s">
        <v>3027</v>
      </c>
      <c r="G2432" s="558" t="s">
        <v>124</v>
      </c>
      <c r="H2432" s="558" t="s">
        <v>2910</v>
      </c>
      <c r="I2432" s="679" t="s">
        <v>100</v>
      </c>
      <c r="J2432" s="676">
        <v>0</v>
      </c>
      <c r="K2432" s="676">
        <v>0</v>
      </c>
      <c r="M2432" t="str">
        <f>""</f>
        <v/>
      </c>
    </row>
    <row r="2433" spans="1:13" ht="15.75">
      <c r="A2433">
        <v>2017</v>
      </c>
      <c r="B2433" s="777">
        <v>42883</v>
      </c>
      <c r="C2433" s="730">
        <v>0.68541666666666667</v>
      </c>
      <c r="D2433" s="777">
        <v>42883</v>
      </c>
      <c r="E2433" s="730">
        <v>0.68611111111111112</v>
      </c>
      <c r="F2433" s="558" t="s">
        <v>3037</v>
      </c>
      <c r="G2433" s="558" t="s">
        <v>124</v>
      </c>
      <c r="H2433" s="558" t="s">
        <v>2910</v>
      </c>
      <c r="I2433" s="679" t="s">
        <v>100</v>
      </c>
      <c r="J2433" s="676">
        <v>0</v>
      </c>
      <c r="K2433" s="676">
        <v>0</v>
      </c>
      <c r="M2433" t="str">
        <f>""</f>
        <v/>
      </c>
    </row>
    <row r="2434" spans="1:13" ht="15.75">
      <c r="A2434">
        <v>2017</v>
      </c>
      <c r="B2434" s="777">
        <v>42893</v>
      </c>
      <c r="C2434" s="730">
        <v>0.55000000000000004</v>
      </c>
      <c r="D2434" s="777">
        <v>42893</v>
      </c>
      <c r="E2434" s="730">
        <v>0.55069444444444449</v>
      </c>
      <c r="F2434" s="558" t="s">
        <v>3027</v>
      </c>
      <c r="G2434" s="558" t="s">
        <v>124</v>
      </c>
      <c r="H2434" s="558" t="s">
        <v>2910</v>
      </c>
      <c r="I2434" s="679" t="s">
        <v>100</v>
      </c>
      <c r="J2434" s="676">
        <v>0</v>
      </c>
      <c r="K2434" s="676">
        <v>0</v>
      </c>
      <c r="M2434" t="str">
        <f>""</f>
        <v/>
      </c>
    </row>
    <row r="2435" spans="1:13" ht="15.75">
      <c r="A2435">
        <v>2017</v>
      </c>
      <c r="B2435" s="777">
        <v>42907</v>
      </c>
      <c r="C2435" s="730">
        <v>0</v>
      </c>
      <c r="D2435" s="777">
        <v>42907</v>
      </c>
      <c r="E2435" s="730">
        <v>4.1666666666666664E-2</v>
      </c>
      <c r="F2435" s="558" t="s">
        <v>3048</v>
      </c>
      <c r="G2435" s="558" t="s">
        <v>124</v>
      </c>
      <c r="H2435" s="558" t="s">
        <v>2910</v>
      </c>
      <c r="I2435" s="679" t="s">
        <v>2202</v>
      </c>
      <c r="J2435" s="676">
        <v>0</v>
      </c>
      <c r="K2435" s="676">
        <v>0</v>
      </c>
      <c r="M2435" t="str">
        <f>""</f>
        <v/>
      </c>
    </row>
    <row r="2436" spans="1:13" ht="15.75">
      <c r="A2436">
        <v>2017</v>
      </c>
      <c r="B2436" s="777">
        <v>42916</v>
      </c>
      <c r="C2436" s="730">
        <v>0.32291666666666669</v>
      </c>
      <c r="D2436" s="777">
        <v>42916</v>
      </c>
      <c r="E2436" s="730">
        <v>0.32361111111111113</v>
      </c>
      <c r="F2436" s="558" t="s">
        <v>3053</v>
      </c>
      <c r="G2436" s="558" t="s">
        <v>124</v>
      </c>
      <c r="H2436" s="558" t="s">
        <v>2910</v>
      </c>
      <c r="I2436" s="679" t="s">
        <v>100</v>
      </c>
      <c r="J2436" s="676">
        <v>0</v>
      </c>
      <c r="K2436" s="676">
        <v>0</v>
      </c>
      <c r="M2436" t="str">
        <f>""</f>
        <v/>
      </c>
    </row>
    <row r="2437" spans="1:13" ht="15.75">
      <c r="A2437">
        <v>2017</v>
      </c>
      <c r="B2437" s="777">
        <v>42922</v>
      </c>
      <c r="C2437" s="730">
        <v>0</v>
      </c>
      <c r="D2437" s="777" t="s">
        <v>5873</v>
      </c>
      <c r="E2437" s="730" t="s">
        <v>5873</v>
      </c>
      <c r="F2437" s="558" t="s">
        <v>3054</v>
      </c>
      <c r="G2437" s="558" t="s">
        <v>124</v>
      </c>
      <c r="H2437" s="558" t="s">
        <v>2910</v>
      </c>
      <c r="I2437" s="679" t="s">
        <v>100</v>
      </c>
      <c r="J2437" s="676">
        <v>0</v>
      </c>
      <c r="K2437" s="676">
        <v>0</v>
      </c>
      <c r="M2437" t="str">
        <f>""</f>
        <v/>
      </c>
    </row>
    <row r="2438" spans="1:13" ht="15.75">
      <c r="A2438">
        <v>2017</v>
      </c>
      <c r="B2438" s="777">
        <v>42927</v>
      </c>
      <c r="C2438" s="730">
        <v>0.41666666666666669</v>
      </c>
      <c r="D2438" s="777">
        <v>42927</v>
      </c>
      <c r="E2438" s="730">
        <v>0.5</v>
      </c>
      <c r="F2438" s="558" t="s">
        <v>675</v>
      </c>
      <c r="G2438" s="558" t="s">
        <v>674</v>
      </c>
      <c r="H2438" s="558" t="s">
        <v>2910</v>
      </c>
      <c r="I2438" s="679" t="s">
        <v>100</v>
      </c>
      <c r="J2438" s="676">
        <v>0</v>
      </c>
      <c r="K2438" s="676">
        <v>0</v>
      </c>
      <c r="M2438" t="str">
        <f>""</f>
        <v/>
      </c>
    </row>
    <row r="2439" spans="1:13" ht="15.75">
      <c r="A2439">
        <v>2017</v>
      </c>
      <c r="B2439" s="777">
        <v>42928</v>
      </c>
      <c r="C2439" s="730">
        <v>0.51736111111111116</v>
      </c>
      <c r="D2439" s="777">
        <v>42931</v>
      </c>
      <c r="E2439" s="730">
        <v>0.375</v>
      </c>
      <c r="F2439" s="558" t="s">
        <v>2650</v>
      </c>
      <c r="G2439" s="558" t="s">
        <v>63</v>
      </c>
      <c r="H2439" s="558" t="s">
        <v>2910</v>
      </c>
      <c r="I2439" s="679" t="s">
        <v>100</v>
      </c>
      <c r="J2439" s="676">
        <v>0</v>
      </c>
      <c r="K2439" s="676">
        <v>0</v>
      </c>
      <c r="M2439" t="str">
        <f>""</f>
        <v/>
      </c>
    </row>
    <row r="2440" spans="1:13" ht="15.75">
      <c r="A2440">
        <v>2017</v>
      </c>
      <c r="B2440" s="777">
        <v>42934</v>
      </c>
      <c r="C2440" s="730">
        <v>0.68263888888888891</v>
      </c>
      <c r="D2440" s="777">
        <v>42934</v>
      </c>
      <c r="E2440" s="730">
        <v>0.77708333333333335</v>
      </c>
      <c r="F2440" s="558" t="s">
        <v>2346</v>
      </c>
      <c r="G2440" s="558" t="s">
        <v>124</v>
      </c>
      <c r="H2440" s="558" t="s">
        <v>2769</v>
      </c>
      <c r="I2440" s="679" t="s">
        <v>22</v>
      </c>
      <c r="J2440" s="676">
        <v>0</v>
      </c>
      <c r="K2440" s="676">
        <v>0</v>
      </c>
      <c r="M2440" t="str">
        <f>""</f>
        <v/>
      </c>
    </row>
    <row r="2441" spans="1:13" ht="15.75">
      <c r="A2441">
        <v>2017</v>
      </c>
      <c r="B2441" s="777">
        <v>42936</v>
      </c>
      <c r="C2441" s="730">
        <v>4.1666666666666664E-2</v>
      </c>
      <c r="D2441" s="777">
        <v>42936</v>
      </c>
      <c r="E2441" s="730">
        <v>0.40694444444444444</v>
      </c>
      <c r="F2441" s="558" t="s">
        <v>3068</v>
      </c>
      <c r="G2441" s="558" t="s">
        <v>124</v>
      </c>
      <c r="H2441" s="558" t="s">
        <v>2910</v>
      </c>
      <c r="I2441" s="679" t="s">
        <v>100</v>
      </c>
      <c r="J2441" s="676">
        <v>0</v>
      </c>
      <c r="K2441" s="676">
        <v>0</v>
      </c>
      <c r="M2441" t="str">
        <f>""</f>
        <v/>
      </c>
    </row>
    <row r="2442" spans="1:13" ht="15.75">
      <c r="A2442">
        <v>2017</v>
      </c>
      <c r="B2442" s="777">
        <v>42943</v>
      </c>
      <c r="C2442" s="730">
        <v>0.25</v>
      </c>
      <c r="D2442" s="777">
        <v>42943</v>
      </c>
      <c r="E2442" s="730">
        <v>0.47847222222222224</v>
      </c>
      <c r="F2442" s="558" t="s">
        <v>3077</v>
      </c>
      <c r="G2442" s="558" t="s">
        <v>124</v>
      </c>
      <c r="H2442" s="558" t="s">
        <v>2780</v>
      </c>
      <c r="I2442" s="679" t="s">
        <v>1138</v>
      </c>
      <c r="J2442" s="676">
        <v>0</v>
      </c>
      <c r="K2442" s="676">
        <v>0</v>
      </c>
      <c r="M2442" t="str">
        <f>""</f>
        <v/>
      </c>
    </row>
    <row r="2443" spans="1:13" ht="15.75">
      <c r="A2443">
        <v>2017</v>
      </c>
      <c r="B2443" s="777">
        <v>42952</v>
      </c>
      <c r="C2443" s="730">
        <v>0.55555555555555558</v>
      </c>
      <c r="D2443" s="777">
        <v>42952</v>
      </c>
      <c r="E2443" s="730">
        <v>0.59722222222222221</v>
      </c>
      <c r="F2443" s="558" t="s">
        <v>3079</v>
      </c>
      <c r="G2443" s="558" t="s">
        <v>124</v>
      </c>
      <c r="H2443" s="558" t="s">
        <v>2910</v>
      </c>
      <c r="I2443" s="679" t="s">
        <v>100</v>
      </c>
      <c r="J2443" s="676">
        <v>0</v>
      </c>
      <c r="K2443" s="676">
        <v>0</v>
      </c>
      <c r="M2443" t="str">
        <f>""</f>
        <v/>
      </c>
    </row>
    <row r="2444" spans="1:13" ht="15.75">
      <c r="A2444">
        <v>2017</v>
      </c>
      <c r="B2444" s="777">
        <v>42978</v>
      </c>
      <c r="C2444" s="730">
        <v>0.61736111111111114</v>
      </c>
      <c r="D2444" s="777">
        <v>42978</v>
      </c>
      <c r="E2444" s="730">
        <v>0.71805555555555556</v>
      </c>
      <c r="F2444" s="558" t="s">
        <v>2967</v>
      </c>
      <c r="G2444" s="558" t="s">
        <v>124</v>
      </c>
      <c r="H2444" s="558" t="s">
        <v>2791</v>
      </c>
      <c r="I2444" s="679" t="s">
        <v>22</v>
      </c>
      <c r="J2444" s="676">
        <v>100</v>
      </c>
      <c r="K2444" s="676">
        <v>0</v>
      </c>
      <c r="M2444" t="str">
        <f>""</f>
        <v/>
      </c>
    </row>
    <row r="2445" spans="1:13" ht="15.75">
      <c r="A2445">
        <v>2017</v>
      </c>
      <c r="B2445" s="777">
        <v>42979</v>
      </c>
      <c r="C2445" s="730">
        <v>0.65347222222222223</v>
      </c>
      <c r="D2445" s="777">
        <v>42979</v>
      </c>
      <c r="E2445" s="730">
        <v>0.85416666666666663</v>
      </c>
      <c r="F2445" s="558" t="s">
        <v>2945</v>
      </c>
      <c r="G2445" s="558" t="s">
        <v>124</v>
      </c>
      <c r="H2445" s="558" t="s">
        <v>2791</v>
      </c>
      <c r="I2445" s="679" t="s">
        <v>22</v>
      </c>
      <c r="J2445" s="676">
        <v>337</v>
      </c>
      <c r="K2445" s="676">
        <v>0</v>
      </c>
      <c r="M2445" t="str">
        <f>""</f>
        <v/>
      </c>
    </row>
    <row r="2446" spans="1:13" ht="15.75">
      <c r="A2446">
        <v>2017</v>
      </c>
      <c r="B2446" s="777">
        <v>43012</v>
      </c>
      <c r="C2446" s="730">
        <v>0.10416666666666667</v>
      </c>
      <c r="D2446" s="777" t="s">
        <v>5873</v>
      </c>
      <c r="E2446" s="730" t="s">
        <v>5873</v>
      </c>
      <c r="F2446" s="558" t="s">
        <v>2935</v>
      </c>
      <c r="G2446" s="558" t="s">
        <v>63</v>
      </c>
      <c r="H2446" s="558" t="s">
        <v>2910</v>
      </c>
      <c r="I2446" s="679" t="s">
        <v>100</v>
      </c>
      <c r="J2446" s="676">
        <v>0</v>
      </c>
      <c r="K2446" s="676">
        <v>0</v>
      </c>
      <c r="M2446" t="str">
        <f>""</f>
        <v/>
      </c>
    </row>
    <row r="2447" spans="1:13" ht="15.75">
      <c r="A2447">
        <v>2017</v>
      </c>
      <c r="B2447" s="777">
        <v>43024</v>
      </c>
      <c r="C2447" s="730">
        <v>0.66319444444444442</v>
      </c>
      <c r="D2447" s="777">
        <v>43024</v>
      </c>
      <c r="E2447" s="730">
        <v>0.67361111111111116</v>
      </c>
      <c r="F2447" s="558" t="s">
        <v>2853</v>
      </c>
      <c r="G2447" s="558" t="s">
        <v>124</v>
      </c>
      <c r="H2447" s="558" t="s">
        <v>2839</v>
      </c>
      <c r="I2447" s="679" t="s">
        <v>2483</v>
      </c>
      <c r="J2447" s="676">
        <v>0</v>
      </c>
      <c r="K2447" s="676">
        <v>0</v>
      </c>
      <c r="M2447" t="str">
        <f>""</f>
        <v/>
      </c>
    </row>
    <row r="2448" spans="1:13" ht="15.75">
      <c r="A2448">
        <v>2017</v>
      </c>
      <c r="B2448" s="777">
        <v>43024</v>
      </c>
      <c r="C2448" s="730">
        <v>0.65625</v>
      </c>
      <c r="D2448" s="777">
        <v>43024</v>
      </c>
      <c r="E2448" s="730">
        <v>0.67291666666666672</v>
      </c>
      <c r="F2448" s="558" t="s">
        <v>3125</v>
      </c>
      <c r="G2448" s="558" t="s">
        <v>124</v>
      </c>
      <c r="H2448" s="558" t="s">
        <v>2839</v>
      </c>
      <c r="I2448" s="679" t="s">
        <v>2483</v>
      </c>
      <c r="J2448" s="676">
        <v>0</v>
      </c>
      <c r="K2448" s="676">
        <v>0</v>
      </c>
      <c r="M2448" t="str">
        <f>""</f>
        <v/>
      </c>
    </row>
    <row r="2449" spans="1:13" ht="15.75">
      <c r="A2449">
        <v>2017</v>
      </c>
      <c r="B2449" s="777">
        <v>43027</v>
      </c>
      <c r="C2449" s="730">
        <v>0.66736111111111107</v>
      </c>
      <c r="D2449" s="777">
        <v>43027</v>
      </c>
      <c r="E2449" s="730">
        <v>0.66805555555555551</v>
      </c>
      <c r="F2449" s="558" t="s">
        <v>2831</v>
      </c>
      <c r="G2449" s="558" t="s">
        <v>124</v>
      </c>
      <c r="H2449" s="558" t="s">
        <v>2910</v>
      </c>
      <c r="I2449" s="679" t="s">
        <v>2150</v>
      </c>
      <c r="J2449" s="676">
        <v>0</v>
      </c>
      <c r="K2449" s="676">
        <v>0</v>
      </c>
      <c r="M2449" t="str">
        <f>""</f>
        <v/>
      </c>
    </row>
    <row r="2450" spans="1:13" ht="15.75">
      <c r="A2450">
        <v>2017</v>
      </c>
      <c r="B2450" s="777">
        <v>43028</v>
      </c>
      <c r="C2450" s="730">
        <v>0.77083333333333337</v>
      </c>
      <c r="D2450" s="777">
        <v>43028</v>
      </c>
      <c r="E2450" s="730">
        <v>0.93194444444444446</v>
      </c>
      <c r="F2450" s="558" t="s">
        <v>2919</v>
      </c>
      <c r="G2450" s="558" t="s">
        <v>1352</v>
      </c>
      <c r="H2450" s="558" t="s">
        <v>2910</v>
      </c>
      <c r="I2450" s="679" t="s">
        <v>100</v>
      </c>
      <c r="J2450" s="676">
        <v>0</v>
      </c>
      <c r="K2450" s="676">
        <v>0</v>
      </c>
      <c r="M2450" t="str">
        <f>""</f>
        <v/>
      </c>
    </row>
    <row r="2451" spans="1:13" ht="15.75">
      <c r="A2451">
        <v>2017</v>
      </c>
      <c r="B2451" s="777">
        <v>43034</v>
      </c>
      <c r="C2451" s="730">
        <v>0.74305555555555558</v>
      </c>
      <c r="D2451" s="777" t="s">
        <v>5873</v>
      </c>
      <c r="E2451" s="730" t="s">
        <v>5873</v>
      </c>
      <c r="F2451" s="558" t="s">
        <v>3136</v>
      </c>
      <c r="G2451" s="558" t="s">
        <v>124</v>
      </c>
      <c r="H2451" s="558" t="s">
        <v>2910</v>
      </c>
      <c r="I2451" s="679" t="s">
        <v>2293</v>
      </c>
      <c r="J2451" s="676">
        <v>0</v>
      </c>
      <c r="K2451" s="676">
        <v>0</v>
      </c>
      <c r="M2451" t="str">
        <f>""</f>
        <v/>
      </c>
    </row>
    <row r="2452" spans="1:13" ht="15.75">
      <c r="A2452">
        <v>2017</v>
      </c>
      <c r="B2452" s="777">
        <v>43034</v>
      </c>
      <c r="C2452" s="730">
        <v>0.34513888888888888</v>
      </c>
      <c r="D2452" s="777">
        <v>43034</v>
      </c>
      <c r="E2452" s="730">
        <v>0.36180555555555555</v>
      </c>
      <c r="F2452" s="558" t="s">
        <v>3137</v>
      </c>
      <c r="G2452" s="558" t="s">
        <v>124</v>
      </c>
      <c r="H2452" s="558" t="s">
        <v>2839</v>
      </c>
      <c r="I2452" s="679" t="s">
        <v>2483</v>
      </c>
      <c r="J2452" s="676">
        <v>0</v>
      </c>
      <c r="K2452" s="676">
        <v>0</v>
      </c>
      <c r="M2452" t="str">
        <f>""</f>
        <v/>
      </c>
    </row>
    <row r="2453" spans="1:13" ht="15.75">
      <c r="A2453">
        <v>2017</v>
      </c>
      <c r="B2453" s="777">
        <v>43034</v>
      </c>
      <c r="C2453" s="730">
        <v>0.34513888888888888</v>
      </c>
      <c r="D2453" s="777">
        <v>43034</v>
      </c>
      <c r="E2453" s="730">
        <v>0.36180555555555555</v>
      </c>
      <c r="F2453" s="558" t="s">
        <v>2862</v>
      </c>
      <c r="G2453" s="558" t="s">
        <v>124</v>
      </c>
      <c r="H2453" s="558" t="s">
        <v>2839</v>
      </c>
      <c r="I2453" s="679" t="s">
        <v>2483</v>
      </c>
      <c r="J2453" s="676">
        <v>0</v>
      </c>
      <c r="K2453" s="676">
        <v>0</v>
      </c>
      <c r="M2453" t="str">
        <f>""</f>
        <v/>
      </c>
    </row>
    <row r="2454" spans="1:13" ht="15.75">
      <c r="A2454">
        <v>2017</v>
      </c>
      <c r="B2454" s="777">
        <v>43040</v>
      </c>
      <c r="C2454" s="730">
        <v>0.65277777777777779</v>
      </c>
      <c r="D2454" s="777">
        <v>43040</v>
      </c>
      <c r="E2454" s="730">
        <v>0.91666666666666663</v>
      </c>
      <c r="F2454" s="558" t="s">
        <v>3141</v>
      </c>
      <c r="G2454" s="558" t="s">
        <v>63</v>
      </c>
      <c r="H2454" s="558" t="s">
        <v>2917</v>
      </c>
      <c r="I2454" s="679" t="s">
        <v>2905</v>
      </c>
      <c r="J2454" s="676">
        <v>0</v>
      </c>
      <c r="K2454" s="676">
        <v>0</v>
      </c>
      <c r="M2454" t="str">
        <f>""</f>
        <v/>
      </c>
    </row>
    <row r="2455" spans="1:13" ht="15.75">
      <c r="A2455">
        <v>2017</v>
      </c>
      <c r="B2455" s="777">
        <v>43046</v>
      </c>
      <c r="C2455" s="730">
        <v>0.52013888888888893</v>
      </c>
      <c r="D2455" s="777" t="s">
        <v>5873</v>
      </c>
      <c r="E2455" s="730" t="s">
        <v>5873</v>
      </c>
      <c r="F2455" s="558" t="s">
        <v>2866</v>
      </c>
      <c r="G2455" s="558" t="s">
        <v>63</v>
      </c>
      <c r="H2455" s="558" t="s">
        <v>2910</v>
      </c>
      <c r="I2455" s="679" t="s">
        <v>2118</v>
      </c>
      <c r="J2455" s="676">
        <v>0</v>
      </c>
      <c r="K2455" s="676">
        <v>0</v>
      </c>
      <c r="M2455" t="str">
        <f>""</f>
        <v/>
      </c>
    </row>
    <row r="2456" spans="1:13" ht="15.75">
      <c r="A2456">
        <v>2017</v>
      </c>
      <c r="B2456" s="777">
        <v>43048</v>
      </c>
      <c r="C2456" s="730">
        <v>0.36458333333333331</v>
      </c>
      <c r="D2456" s="777">
        <v>43048</v>
      </c>
      <c r="E2456" s="730">
        <v>0.58333333333333337</v>
      </c>
      <c r="F2456" s="558" t="s">
        <v>3146</v>
      </c>
      <c r="G2456" s="558" t="s">
        <v>124</v>
      </c>
      <c r="H2456" s="558" t="s">
        <v>2944</v>
      </c>
      <c r="I2456" s="679" t="s">
        <v>2764</v>
      </c>
      <c r="J2456" s="676">
        <v>0</v>
      </c>
      <c r="K2456" s="676">
        <v>0</v>
      </c>
      <c r="M2456" t="str">
        <f>""</f>
        <v/>
      </c>
    </row>
    <row r="2457" spans="1:13" ht="15.75">
      <c r="A2457">
        <v>2017</v>
      </c>
      <c r="B2457" s="777">
        <v>43055</v>
      </c>
      <c r="C2457" s="730">
        <v>0.62847222222222221</v>
      </c>
      <c r="D2457" s="777">
        <v>43055</v>
      </c>
      <c r="E2457" s="730">
        <v>0.62916666666666665</v>
      </c>
      <c r="F2457" s="558" t="s">
        <v>3153</v>
      </c>
      <c r="G2457" s="558" t="s">
        <v>124</v>
      </c>
      <c r="H2457" s="558" t="s">
        <v>2910</v>
      </c>
      <c r="I2457" s="679" t="s">
        <v>100</v>
      </c>
      <c r="J2457" s="676">
        <v>0</v>
      </c>
      <c r="K2457" s="676">
        <v>0</v>
      </c>
      <c r="M2457" t="str">
        <f>""</f>
        <v/>
      </c>
    </row>
    <row r="2458" spans="1:13" ht="15.75">
      <c r="A2458">
        <v>2017</v>
      </c>
      <c r="B2458" s="777">
        <v>43063</v>
      </c>
      <c r="C2458" s="730">
        <v>0.71250000000000002</v>
      </c>
      <c r="D2458" s="777">
        <v>43065</v>
      </c>
      <c r="E2458" s="730">
        <v>0.72361111111111109</v>
      </c>
      <c r="F2458" s="558" t="s">
        <v>2817</v>
      </c>
      <c r="G2458" s="558" t="s">
        <v>124</v>
      </c>
      <c r="H2458" s="558" t="s">
        <v>2910</v>
      </c>
      <c r="I2458" s="679" t="s">
        <v>100</v>
      </c>
      <c r="J2458" s="676">
        <v>0</v>
      </c>
      <c r="K2458" s="676">
        <v>0</v>
      </c>
      <c r="M2458" t="str">
        <f>""</f>
        <v/>
      </c>
    </row>
    <row r="2459" spans="1:13" ht="15.75">
      <c r="A2459">
        <v>2017</v>
      </c>
      <c r="B2459" s="777">
        <v>43074</v>
      </c>
      <c r="C2459" s="730">
        <v>0.28472222222222221</v>
      </c>
      <c r="D2459" s="777">
        <v>43074</v>
      </c>
      <c r="E2459" s="730">
        <v>0.375</v>
      </c>
      <c r="F2459" s="558" t="s">
        <v>2866</v>
      </c>
      <c r="G2459" s="558" t="s">
        <v>63</v>
      </c>
      <c r="H2459" s="558" t="s">
        <v>2910</v>
      </c>
      <c r="I2459" s="679" t="s">
        <v>100</v>
      </c>
      <c r="J2459" s="676">
        <v>0</v>
      </c>
      <c r="K2459" s="676">
        <v>0</v>
      </c>
      <c r="M2459" t="str">
        <f>""</f>
        <v/>
      </c>
    </row>
    <row r="2460" spans="1:13" ht="15.75">
      <c r="A2460">
        <v>2017</v>
      </c>
      <c r="B2460" s="777">
        <v>43082</v>
      </c>
      <c r="C2460" s="730">
        <v>0.41319444444444442</v>
      </c>
      <c r="D2460" s="777">
        <v>43082</v>
      </c>
      <c r="E2460" s="730">
        <v>0.61458333333333337</v>
      </c>
      <c r="F2460" s="558" t="s">
        <v>3178</v>
      </c>
      <c r="G2460" s="558" t="s">
        <v>61</v>
      </c>
      <c r="H2460" s="558" t="s">
        <v>2780</v>
      </c>
      <c r="I2460" s="679" t="s">
        <v>1138</v>
      </c>
      <c r="J2460" s="676">
        <v>0</v>
      </c>
      <c r="K2460" s="676">
        <v>0</v>
      </c>
      <c r="M2460" t="str">
        <f>""</f>
        <v/>
      </c>
    </row>
    <row r="2461" spans="1:13" ht="15.75">
      <c r="A2461">
        <v>2017</v>
      </c>
      <c r="B2461" s="777">
        <v>43082</v>
      </c>
      <c r="C2461" s="730">
        <v>0.36805555555555558</v>
      </c>
      <c r="D2461" s="777" t="s">
        <v>5873</v>
      </c>
      <c r="E2461" s="730" t="s">
        <v>5873</v>
      </c>
      <c r="F2461" s="558" t="s">
        <v>3179</v>
      </c>
      <c r="G2461" s="558" t="s">
        <v>61</v>
      </c>
      <c r="H2461" s="558" t="s">
        <v>2910</v>
      </c>
      <c r="I2461" s="679" t="s">
        <v>2118</v>
      </c>
      <c r="J2461" s="676">
        <v>0</v>
      </c>
      <c r="K2461" s="676">
        <v>0</v>
      </c>
      <c r="M2461" t="str">
        <f>""</f>
        <v/>
      </c>
    </row>
    <row r="2462" spans="1:13" ht="15.75">
      <c r="A2462">
        <v>2017</v>
      </c>
      <c r="B2462" s="777">
        <v>43087</v>
      </c>
      <c r="C2462" s="730">
        <v>0.54166666666666663</v>
      </c>
      <c r="D2462" s="777">
        <v>43087</v>
      </c>
      <c r="E2462" s="730">
        <v>0.70833333333333337</v>
      </c>
      <c r="F2462" s="558" t="s">
        <v>3116</v>
      </c>
      <c r="G2462" s="558" t="s">
        <v>63</v>
      </c>
      <c r="H2462" s="558" t="s">
        <v>2910</v>
      </c>
      <c r="I2462" s="679" t="s">
        <v>100</v>
      </c>
      <c r="J2462" s="676">
        <v>0</v>
      </c>
      <c r="K2462" s="676">
        <v>0</v>
      </c>
      <c r="M2462" t="str">
        <f>""</f>
        <v/>
      </c>
    </row>
    <row r="2463" spans="1:13" ht="15.75">
      <c r="A2463">
        <v>2017</v>
      </c>
      <c r="B2463" s="777">
        <v>43088</v>
      </c>
      <c r="C2463" s="730">
        <v>0.3611111111111111</v>
      </c>
      <c r="D2463" s="777">
        <v>43088</v>
      </c>
      <c r="E2463" s="730">
        <v>0.44166666666666665</v>
      </c>
      <c r="F2463" s="558" t="s">
        <v>3182</v>
      </c>
      <c r="G2463" s="558" t="s">
        <v>301</v>
      </c>
      <c r="H2463" s="558" t="s">
        <v>2910</v>
      </c>
      <c r="I2463" s="679" t="s">
        <v>100</v>
      </c>
      <c r="J2463" s="676">
        <v>0</v>
      </c>
      <c r="K2463" s="676">
        <v>0</v>
      </c>
      <c r="M2463" t="str">
        <f>""</f>
        <v/>
      </c>
    </row>
    <row r="2464" spans="1:13" ht="15.75">
      <c r="A2464">
        <v>2017</v>
      </c>
      <c r="B2464" s="777">
        <v>43100</v>
      </c>
      <c r="C2464" s="730">
        <v>0.99583333333333335</v>
      </c>
      <c r="D2464" s="777">
        <v>43101</v>
      </c>
      <c r="E2464" s="730">
        <v>0.59305555555555556</v>
      </c>
      <c r="F2464" s="558" t="s">
        <v>2900</v>
      </c>
      <c r="G2464" s="558" t="s">
        <v>124</v>
      </c>
      <c r="H2464" s="558" t="s">
        <v>2910</v>
      </c>
      <c r="I2464" s="679" t="s">
        <v>100</v>
      </c>
      <c r="J2464" s="676">
        <v>0</v>
      </c>
      <c r="K2464" s="676">
        <v>0</v>
      </c>
      <c r="M2464" t="str">
        <f>""</f>
        <v/>
      </c>
    </row>
    <row r="2465" spans="1:13" ht="15.75">
      <c r="A2465">
        <v>2018</v>
      </c>
      <c r="B2465" s="777">
        <v>43135</v>
      </c>
      <c r="C2465" s="730">
        <v>0.5708333333333333</v>
      </c>
      <c r="D2465" s="777">
        <v>43135</v>
      </c>
      <c r="E2465" s="730">
        <v>0.64236111111111116</v>
      </c>
      <c r="F2465" s="558" t="s">
        <v>2945</v>
      </c>
      <c r="G2465" s="558" t="s">
        <v>124</v>
      </c>
      <c r="H2465" s="558" t="s">
        <v>2910</v>
      </c>
      <c r="I2465" s="679" t="s">
        <v>100</v>
      </c>
      <c r="J2465" s="676">
        <v>9760</v>
      </c>
      <c r="K2465" s="676">
        <v>0</v>
      </c>
      <c r="M2465" t="str">
        <f>""</f>
        <v/>
      </c>
    </row>
    <row r="2466" spans="1:13" ht="15.75">
      <c r="A2466">
        <v>2018</v>
      </c>
      <c r="B2466" s="777">
        <v>43148</v>
      </c>
      <c r="C2466" s="730">
        <v>0.68958333333333333</v>
      </c>
      <c r="D2466" s="777">
        <v>43149</v>
      </c>
      <c r="E2466" s="730">
        <v>0</v>
      </c>
      <c r="F2466" s="558" t="s">
        <v>3223</v>
      </c>
      <c r="G2466" s="558" t="s">
        <v>124</v>
      </c>
      <c r="H2466" s="558" t="s">
        <v>2915</v>
      </c>
      <c r="I2466" s="679" t="s">
        <v>100</v>
      </c>
      <c r="J2466" s="676">
        <v>2330</v>
      </c>
      <c r="K2466" s="676">
        <v>0</v>
      </c>
      <c r="M2466" t="str">
        <f>""</f>
        <v/>
      </c>
    </row>
    <row r="2467" spans="1:13" ht="15.75">
      <c r="A2467">
        <v>2018</v>
      </c>
      <c r="B2467" s="777">
        <v>43148</v>
      </c>
      <c r="C2467" s="730">
        <v>0.74722222222222223</v>
      </c>
      <c r="D2467" s="777">
        <v>43149</v>
      </c>
      <c r="E2467" s="730">
        <v>0.17430555555555555</v>
      </c>
      <c r="F2467" s="558" t="s">
        <v>3223</v>
      </c>
      <c r="G2467" s="558" t="s">
        <v>124</v>
      </c>
      <c r="H2467" s="558" t="s">
        <v>2915</v>
      </c>
      <c r="I2467" s="679" t="s">
        <v>100</v>
      </c>
      <c r="J2467" s="676">
        <v>2327</v>
      </c>
      <c r="K2467" s="676">
        <v>0</v>
      </c>
      <c r="M2467" t="str">
        <f>""</f>
        <v/>
      </c>
    </row>
    <row r="2468" spans="1:13" ht="15.75">
      <c r="A2468">
        <v>2018</v>
      </c>
      <c r="B2468" s="777">
        <v>43159</v>
      </c>
      <c r="C2468" s="730">
        <v>0.50555555555555554</v>
      </c>
      <c r="D2468" s="777">
        <v>43160</v>
      </c>
      <c r="E2468" s="730">
        <v>0.65625</v>
      </c>
      <c r="F2468" s="558" t="s">
        <v>2901</v>
      </c>
      <c r="G2468" s="558" t="s">
        <v>301</v>
      </c>
      <c r="H2468" s="558" t="s">
        <v>2944</v>
      </c>
      <c r="I2468" s="679" t="s">
        <v>2764</v>
      </c>
      <c r="J2468" s="676">
        <v>0</v>
      </c>
      <c r="K2468" s="676">
        <v>0</v>
      </c>
      <c r="M2468" t="str">
        <f>""</f>
        <v/>
      </c>
    </row>
    <row r="2469" spans="1:13" ht="15.75">
      <c r="A2469">
        <v>2018</v>
      </c>
      <c r="B2469" s="777">
        <v>43159</v>
      </c>
      <c r="C2469" s="730">
        <v>0.50555555555555554</v>
      </c>
      <c r="D2469" s="777">
        <v>43160</v>
      </c>
      <c r="E2469" s="730">
        <v>0.65625</v>
      </c>
      <c r="F2469" s="558" t="s">
        <v>2901</v>
      </c>
      <c r="G2469" s="558" t="s">
        <v>301</v>
      </c>
      <c r="H2469" s="558" t="s">
        <v>2944</v>
      </c>
      <c r="I2469" s="679" t="s">
        <v>2764</v>
      </c>
      <c r="J2469" s="676">
        <v>0</v>
      </c>
      <c r="K2469" s="676">
        <v>0</v>
      </c>
      <c r="M2469" t="str">
        <f>""</f>
        <v/>
      </c>
    </row>
    <row r="2470" spans="1:13" ht="15.75">
      <c r="A2470">
        <v>2018</v>
      </c>
      <c r="B2470" s="777">
        <v>43161</v>
      </c>
      <c r="C2470" s="730">
        <v>0.97013888888888888</v>
      </c>
      <c r="D2470" s="777">
        <v>43162</v>
      </c>
      <c r="E2470" s="730">
        <v>3.5416666666666666E-2</v>
      </c>
      <c r="F2470" s="558" t="s">
        <v>2862</v>
      </c>
      <c r="G2470" s="558" t="s">
        <v>124</v>
      </c>
      <c r="H2470" s="558" t="s">
        <v>2910</v>
      </c>
      <c r="I2470" s="679" t="s">
        <v>100</v>
      </c>
      <c r="J2470" s="676">
        <v>0</v>
      </c>
      <c r="K2470" s="676">
        <v>0</v>
      </c>
      <c r="M2470" t="str">
        <f>""</f>
        <v/>
      </c>
    </row>
    <row r="2471" spans="1:13" ht="15.75">
      <c r="A2471">
        <v>2018</v>
      </c>
      <c r="B2471" s="777">
        <v>43171</v>
      </c>
      <c r="C2471" s="730">
        <v>0</v>
      </c>
      <c r="D2471" s="777">
        <v>43196</v>
      </c>
      <c r="E2471" s="730">
        <v>0.45833333333333331</v>
      </c>
      <c r="F2471" s="558" t="s">
        <v>2802</v>
      </c>
      <c r="G2471" s="558" t="s">
        <v>61</v>
      </c>
      <c r="H2471" s="558" t="s">
        <v>2910</v>
      </c>
      <c r="I2471" s="679" t="s">
        <v>100</v>
      </c>
      <c r="J2471" s="676">
        <v>0</v>
      </c>
      <c r="K2471" s="676">
        <v>0</v>
      </c>
      <c r="M2471" t="str">
        <f>""</f>
        <v/>
      </c>
    </row>
    <row r="2472" spans="1:13" ht="15.75">
      <c r="A2472">
        <v>2018</v>
      </c>
      <c r="B2472" s="777">
        <v>43172</v>
      </c>
      <c r="C2472" s="730">
        <v>6.9444444444444441E-3</v>
      </c>
      <c r="D2472" s="777">
        <v>43172</v>
      </c>
      <c r="E2472" s="730">
        <v>2.361111111111111E-2</v>
      </c>
      <c r="F2472" s="558" t="s">
        <v>2900</v>
      </c>
      <c r="G2472" s="558" t="s">
        <v>124</v>
      </c>
      <c r="H2472" s="558" t="s">
        <v>2910</v>
      </c>
      <c r="I2472" s="679" t="s">
        <v>2118</v>
      </c>
      <c r="J2472" s="676">
        <v>0</v>
      </c>
      <c r="K2472" s="676">
        <v>0</v>
      </c>
      <c r="M2472" t="str">
        <f>""</f>
        <v/>
      </c>
    </row>
    <row r="2473" spans="1:13" ht="15.75">
      <c r="A2473">
        <v>2018</v>
      </c>
      <c r="B2473" s="777">
        <v>43185</v>
      </c>
      <c r="C2473" s="730">
        <v>0.12847222222222221</v>
      </c>
      <c r="D2473" s="777">
        <v>43185</v>
      </c>
      <c r="E2473" s="730">
        <v>0.14930555555555555</v>
      </c>
      <c r="F2473" s="558" t="s">
        <v>2945</v>
      </c>
      <c r="G2473" s="558" t="s">
        <v>124</v>
      </c>
      <c r="H2473" s="558" t="s">
        <v>2910</v>
      </c>
      <c r="I2473" s="679" t="s">
        <v>100</v>
      </c>
      <c r="J2473" s="676">
        <v>0</v>
      </c>
      <c r="K2473" s="676">
        <v>0</v>
      </c>
      <c r="M2473" t="str">
        <f>""</f>
        <v/>
      </c>
    </row>
    <row r="2474" spans="1:13" ht="15.75">
      <c r="A2474">
        <v>2018</v>
      </c>
      <c r="B2474" s="777">
        <v>43193</v>
      </c>
      <c r="C2474" s="730">
        <v>0.46875</v>
      </c>
      <c r="D2474" s="777">
        <v>43193</v>
      </c>
      <c r="E2474" s="730">
        <v>0.47916666666666669</v>
      </c>
      <c r="F2474" s="558" t="s">
        <v>2945</v>
      </c>
      <c r="G2474" s="558" t="s">
        <v>124</v>
      </c>
      <c r="H2474" s="558" t="s">
        <v>2910</v>
      </c>
      <c r="I2474" s="679" t="s">
        <v>100</v>
      </c>
      <c r="J2474" s="676">
        <v>0</v>
      </c>
      <c r="K2474" s="676">
        <v>0</v>
      </c>
      <c r="M2474" t="str">
        <f>""</f>
        <v/>
      </c>
    </row>
    <row r="2475" spans="1:13" ht="15.75">
      <c r="A2475">
        <v>2018</v>
      </c>
      <c r="B2475" s="777">
        <v>43199</v>
      </c>
      <c r="C2475" s="730">
        <v>0.42152777777777778</v>
      </c>
      <c r="D2475" s="777">
        <v>43199</v>
      </c>
      <c r="E2475" s="730">
        <v>0.66666666666666663</v>
      </c>
      <c r="F2475" s="558" t="s">
        <v>3284</v>
      </c>
      <c r="G2475" s="558" t="s">
        <v>124</v>
      </c>
      <c r="H2475" s="558" t="s">
        <v>2910</v>
      </c>
      <c r="I2475" s="679" t="s">
        <v>100</v>
      </c>
      <c r="J2475" s="676">
        <v>0</v>
      </c>
      <c r="K2475" s="676">
        <v>0</v>
      </c>
      <c r="M2475" t="str">
        <f>""</f>
        <v/>
      </c>
    </row>
    <row r="2476" spans="1:13" ht="15.75">
      <c r="A2476">
        <v>2018</v>
      </c>
      <c r="B2476" s="777">
        <v>43222</v>
      </c>
      <c r="C2476" s="730">
        <v>0.61944444444444446</v>
      </c>
      <c r="D2476" s="777">
        <v>43222</v>
      </c>
      <c r="E2476" s="730">
        <v>0.67638888888888893</v>
      </c>
      <c r="F2476" s="558" t="s">
        <v>2928</v>
      </c>
      <c r="G2476" s="558" t="s">
        <v>63</v>
      </c>
      <c r="H2476" s="558" t="s">
        <v>2910</v>
      </c>
      <c r="I2476" s="679" t="s">
        <v>100</v>
      </c>
      <c r="J2476" s="676">
        <v>0</v>
      </c>
      <c r="K2476" s="676">
        <v>0</v>
      </c>
      <c r="M2476" t="str">
        <f>""</f>
        <v/>
      </c>
    </row>
    <row r="2477" spans="1:13" ht="15.75">
      <c r="A2477">
        <v>2018</v>
      </c>
      <c r="B2477" s="777">
        <v>43227</v>
      </c>
      <c r="C2477" s="730">
        <v>0.4375</v>
      </c>
      <c r="D2477" s="777">
        <v>43227</v>
      </c>
      <c r="E2477" s="730">
        <v>0.44166666666666665</v>
      </c>
      <c r="F2477" s="558" t="s">
        <v>2869</v>
      </c>
      <c r="G2477" s="558" t="s">
        <v>61</v>
      </c>
      <c r="H2477" s="558" t="s">
        <v>2910</v>
      </c>
      <c r="I2477" s="679" t="s">
        <v>2150</v>
      </c>
      <c r="J2477" s="676">
        <v>0</v>
      </c>
      <c r="K2477" s="676">
        <v>0</v>
      </c>
      <c r="M2477" t="str">
        <f>""</f>
        <v/>
      </c>
    </row>
    <row r="2478" spans="1:13" ht="15.75">
      <c r="A2478">
        <v>2018</v>
      </c>
      <c r="B2478" s="777">
        <v>43228</v>
      </c>
      <c r="C2478" s="730">
        <v>0.66666666666666663</v>
      </c>
      <c r="D2478" s="777">
        <v>43228</v>
      </c>
      <c r="E2478" s="730">
        <v>0.66736111111111107</v>
      </c>
      <c r="F2478" s="558" t="s">
        <v>3323</v>
      </c>
      <c r="G2478" s="558" t="s">
        <v>124</v>
      </c>
      <c r="H2478" s="558" t="s">
        <v>2910</v>
      </c>
      <c r="I2478" s="679" t="s">
        <v>2293</v>
      </c>
      <c r="J2478" s="676">
        <v>0</v>
      </c>
      <c r="K2478" s="676">
        <v>0</v>
      </c>
      <c r="M2478" t="str">
        <f>""</f>
        <v/>
      </c>
    </row>
    <row r="2479" spans="1:13" ht="15.75">
      <c r="A2479">
        <v>2018</v>
      </c>
      <c r="B2479" s="777">
        <v>43235</v>
      </c>
      <c r="C2479" s="730">
        <v>0.625</v>
      </c>
      <c r="D2479" s="777">
        <v>43238</v>
      </c>
      <c r="E2479" s="730">
        <v>0.57499999999999996</v>
      </c>
      <c r="F2479" s="558" t="s">
        <v>3335</v>
      </c>
      <c r="G2479" s="558" t="s">
        <v>61</v>
      </c>
      <c r="H2479" s="558" t="s">
        <v>2910</v>
      </c>
      <c r="I2479" s="679" t="s">
        <v>100</v>
      </c>
      <c r="J2479" s="676">
        <v>0</v>
      </c>
      <c r="K2479" s="676">
        <v>0</v>
      </c>
      <c r="M2479" t="str">
        <f>""</f>
        <v/>
      </c>
    </row>
    <row r="2480" spans="1:13" ht="15.75">
      <c r="A2480">
        <v>2018</v>
      </c>
      <c r="B2480" s="777">
        <v>43255</v>
      </c>
      <c r="C2480" s="730">
        <v>0.36805555555555558</v>
      </c>
      <c r="D2480" s="777">
        <v>43255</v>
      </c>
      <c r="E2480" s="730">
        <v>0.58333333333333337</v>
      </c>
      <c r="F2480" s="558" t="s">
        <v>3182</v>
      </c>
      <c r="G2480" s="558" t="s">
        <v>301</v>
      </c>
      <c r="H2480" s="558" t="s">
        <v>2910</v>
      </c>
      <c r="I2480" s="679" t="s">
        <v>100</v>
      </c>
      <c r="J2480" s="676">
        <v>0</v>
      </c>
      <c r="K2480" s="676">
        <v>0</v>
      </c>
      <c r="M2480" t="str">
        <f>""</f>
        <v/>
      </c>
    </row>
    <row r="2481" spans="1:13" ht="15.75">
      <c r="A2481">
        <v>2018</v>
      </c>
      <c r="B2481" s="777">
        <v>43260</v>
      </c>
      <c r="C2481" s="730">
        <v>0.41249999999999998</v>
      </c>
      <c r="D2481" s="777">
        <v>43260</v>
      </c>
      <c r="E2481" s="730">
        <v>0.5083333333333333</v>
      </c>
      <c r="F2481" s="558" t="s">
        <v>2904</v>
      </c>
      <c r="G2481" s="558" t="s">
        <v>63</v>
      </c>
      <c r="H2481" s="558" t="s">
        <v>3351</v>
      </c>
      <c r="I2481" s="679" t="s">
        <v>2764</v>
      </c>
      <c r="J2481" s="676">
        <v>0</v>
      </c>
      <c r="K2481" s="676">
        <v>0</v>
      </c>
      <c r="M2481" t="str">
        <f>""</f>
        <v/>
      </c>
    </row>
    <row r="2482" spans="1:13" ht="15.75">
      <c r="A2482">
        <v>2018</v>
      </c>
      <c r="B2482" s="777">
        <v>43263</v>
      </c>
      <c r="C2482" s="730">
        <v>0.67708333333333337</v>
      </c>
      <c r="D2482" s="777" t="s">
        <v>5873</v>
      </c>
      <c r="E2482" s="730" t="s">
        <v>5873</v>
      </c>
      <c r="F2482" s="558" t="s">
        <v>2817</v>
      </c>
      <c r="G2482" s="558" t="s">
        <v>124</v>
      </c>
      <c r="H2482" s="558" t="s">
        <v>3356</v>
      </c>
      <c r="I2482" s="679" t="s">
        <v>100</v>
      </c>
      <c r="J2482" s="676">
        <v>0</v>
      </c>
      <c r="K2482" s="676">
        <v>0</v>
      </c>
      <c r="M2482" t="str">
        <f>""</f>
        <v/>
      </c>
    </row>
    <row r="2483" spans="1:13" ht="15.75">
      <c r="A2483">
        <v>2018</v>
      </c>
      <c r="B2483" s="777">
        <v>43263</v>
      </c>
      <c r="C2483" s="730">
        <v>0.625</v>
      </c>
      <c r="D2483" s="777">
        <v>43263</v>
      </c>
      <c r="E2483" s="730">
        <v>0.63541666666666663</v>
      </c>
      <c r="F2483" s="558" t="s">
        <v>3357</v>
      </c>
      <c r="G2483" s="558" t="s">
        <v>124</v>
      </c>
      <c r="H2483" s="558" t="s">
        <v>3356</v>
      </c>
      <c r="I2483" s="679" t="s">
        <v>100</v>
      </c>
      <c r="J2483" s="676">
        <v>0</v>
      </c>
      <c r="K2483" s="676">
        <v>0</v>
      </c>
      <c r="M2483" t="str">
        <f>""</f>
        <v/>
      </c>
    </row>
    <row r="2484" spans="1:13" ht="15.75">
      <c r="A2484">
        <v>2018</v>
      </c>
      <c r="B2484" s="777">
        <v>43278</v>
      </c>
      <c r="C2484" s="730">
        <v>0.60416666666666663</v>
      </c>
      <c r="D2484" s="777">
        <v>43278</v>
      </c>
      <c r="E2484" s="730">
        <v>0.60624999999999996</v>
      </c>
      <c r="F2484" s="558" t="s">
        <v>3370</v>
      </c>
      <c r="G2484" s="558" t="s">
        <v>61</v>
      </c>
      <c r="H2484" s="558" t="s">
        <v>3371</v>
      </c>
      <c r="I2484" s="679" t="s">
        <v>2118</v>
      </c>
      <c r="J2484" s="676">
        <v>0</v>
      </c>
      <c r="K2484" s="676">
        <v>0</v>
      </c>
      <c r="M2484" t="str">
        <f>""</f>
        <v/>
      </c>
    </row>
    <row r="2485" spans="1:13" ht="15.75">
      <c r="A2485">
        <v>2018</v>
      </c>
      <c r="B2485" s="777">
        <v>43281</v>
      </c>
      <c r="C2485" s="730">
        <v>0.52083333333333337</v>
      </c>
      <c r="D2485" s="777">
        <v>43281</v>
      </c>
      <c r="E2485" s="730">
        <v>0.52152777777777781</v>
      </c>
      <c r="F2485" s="558" t="s">
        <v>2967</v>
      </c>
      <c r="G2485" s="558" t="s">
        <v>124</v>
      </c>
      <c r="H2485" s="558" t="s">
        <v>3356</v>
      </c>
      <c r="I2485" s="679" t="s">
        <v>100</v>
      </c>
      <c r="J2485" s="676">
        <v>0</v>
      </c>
      <c r="K2485" s="676">
        <v>0</v>
      </c>
      <c r="M2485" t="str">
        <f>""</f>
        <v/>
      </c>
    </row>
    <row r="2486" spans="1:13" ht="15.75">
      <c r="A2486">
        <v>2018</v>
      </c>
      <c r="B2486" s="777">
        <v>43281</v>
      </c>
      <c r="C2486" s="730">
        <v>0.44791666666666669</v>
      </c>
      <c r="D2486" s="777">
        <v>43281</v>
      </c>
      <c r="E2486" s="730">
        <v>0.4777777777777778</v>
      </c>
      <c r="F2486" s="558" t="s">
        <v>3383</v>
      </c>
      <c r="G2486" s="558" t="s">
        <v>1352</v>
      </c>
      <c r="H2486" s="558" t="s">
        <v>3381</v>
      </c>
      <c r="I2486" s="679" t="s">
        <v>2764</v>
      </c>
      <c r="J2486" s="676">
        <v>0</v>
      </c>
      <c r="K2486" s="676">
        <v>0</v>
      </c>
      <c r="M2486" t="str">
        <f>""</f>
        <v/>
      </c>
    </row>
    <row r="2487" spans="1:13" ht="15.75">
      <c r="A2487">
        <v>2018</v>
      </c>
      <c r="B2487" s="777">
        <v>43285</v>
      </c>
      <c r="C2487" s="730">
        <v>0.74583333333333335</v>
      </c>
      <c r="D2487" s="777">
        <v>43285</v>
      </c>
      <c r="E2487" s="730">
        <v>0.80555555555555558</v>
      </c>
      <c r="F2487" s="558" t="s">
        <v>3189</v>
      </c>
      <c r="G2487" s="558" t="s">
        <v>63</v>
      </c>
      <c r="H2487" s="558" t="s">
        <v>3387</v>
      </c>
      <c r="I2487" s="679" t="s">
        <v>2764</v>
      </c>
      <c r="J2487" s="676">
        <v>0</v>
      </c>
      <c r="K2487" s="676">
        <v>0</v>
      </c>
      <c r="M2487" t="str">
        <f>""</f>
        <v/>
      </c>
    </row>
    <row r="2488" spans="1:13" ht="15.75">
      <c r="A2488">
        <v>2018</v>
      </c>
      <c r="B2488" s="777">
        <v>43290</v>
      </c>
      <c r="C2488" s="730">
        <v>0.54861111111111116</v>
      </c>
      <c r="D2488" s="777">
        <v>43290</v>
      </c>
      <c r="E2488" s="730">
        <v>0.61458333333333337</v>
      </c>
      <c r="F2488" s="558" t="s">
        <v>3389</v>
      </c>
      <c r="G2488" s="558" t="s">
        <v>124</v>
      </c>
      <c r="H2488" s="558" t="s">
        <v>3387</v>
      </c>
      <c r="I2488" s="679" t="s">
        <v>2764</v>
      </c>
      <c r="J2488" s="676">
        <v>0</v>
      </c>
      <c r="K2488" s="676">
        <v>0</v>
      </c>
      <c r="M2488" t="str">
        <f>""</f>
        <v/>
      </c>
    </row>
    <row r="2489" spans="1:13" ht="15.75">
      <c r="A2489">
        <v>2018</v>
      </c>
      <c r="B2489" s="777">
        <v>43292</v>
      </c>
      <c r="C2489" s="730">
        <v>4.027777777777778E-2</v>
      </c>
      <c r="D2489" s="777" t="s">
        <v>5873</v>
      </c>
      <c r="E2489" s="730" t="s">
        <v>5873</v>
      </c>
      <c r="F2489" s="558" t="s">
        <v>2945</v>
      </c>
      <c r="G2489" s="558" t="s">
        <v>124</v>
      </c>
      <c r="H2489" s="558" t="s">
        <v>2780</v>
      </c>
      <c r="I2489" s="679" t="s">
        <v>1138</v>
      </c>
      <c r="J2489" s="676">
        <v>0</v>
      </c>
      <c r="K2489" s="676">
        <v>0</v>
      </c>
      <c r="M2489" t="str">
        <f>""</f>
        <v/>
      </c>
    </row>
    <row r="2490" spans="1:13" ht="15.75">
      <c r="A2490">
        <v>2018</v>
      </c>
      <c r="B2490" s="777">
        <v>43297</v>
      </c>
      <c r="C2490" s="730">
        <v>0.21875</v>
      </c>
      <c r="D2490" s="777" t="s">
        <v>5873</v>
      </c>
      <c r="E2490" s="730" t="s">
        <v>5873</v>
      </c>
      <c r="F2490" s="558" t="s">
        <v>2953</v>
      </c>
      <c r="G2490" s="558" t="s">
        <v>124</v>
      </c>
      <c r="H2490" s="558" t="s">
        <v>2780</v>
      </c>
      <c r="I2490" s="679" t="s">
        <v>1138</v>
      </c>
      <c r="J2490" s="676">
        <v>0</v>
      </c>
      <c r="K2490" s="676">
        <v>0</v>
      </c>
      <c r="M2490" t="str">
        <f>""</f>
        <v/>
      </c>
    </row>
    <row r="2491" spans="1:13" ht="15.75">
      <c r="A2491">
        <v>2018</v>
      </c>
      <c r="B2491" s="777">
        <v>43299</v>
      </c>
      <c r="C2491" s="730">
        <v>0.16666666666666666</v>
      </c>
      <c r="D2491" s="777" t="s">
        <v>5873</v>
      </c>
      <c r="E2491" s="730" t="s">
        <v>5873</v>
      </c>
      <c r="F2491" s="558" t="s">
        <v>3397</v>
      </c>
      <c r="G2491" s="558" t="s">
        <v>124</v>
      </c>
      <c r="H2491" s="558" t="s">
        <v>2780</v>
      </c>
      <c r="I2491" s="679" t="s">
        <v>1138</v>
      </c>
      <c r="J2491" s="676">
        <v>0</v>
      </c>
      <c r="K2491" s="676">
        <v>0</v>
      </c>
      <c r="M2491" t="str">
        <f>""</f>
        <v/>
      </c>
    </row>
    <row r="2492" spans="1:13" ht="15.75">
      <c r="A2492">
        <v>2018</v>
      </c>
      <c r="B2492" s="777">
        <v>43300</v>
      </c>
      <c r="C2492" s="730">
        <v>0.52638888888888891</v>
      </c>
      <c r="D2492" s="777">
        <v>43300</v>
      </c>
      <c r="E2492" s="730">
        <v>0.55694444444444446</v>
      </c>
      <c r="F2492" s="558" t="s">
        <v>3399</v>
      </c>
      <c r="G2492" s="558" t="s">
        <v>63</v>
      </c>
      <c r="H2492" s="558" t="s">
        <v>3387</v>
      </c>
      <c r="I2492" s="679" t="s">
        <v>2764</v>
      </c>
      <c r="J2492" s="676">
        <v>0</v>
      </c>
      <c r="K2492" s="676">
        <v>0</v>
      </c>
      <c r="M2492" t="str">
        <f>""</f>
        <v/>
      </c>
    </row>
    <row r="2493" spans="1:13" ht="15.75">
      <c r="A2493">
        <v>2018</v>
      </c>
      <c r="B2493" s="777">
        <v>43301</v>
      </c>
      <c r="C2493" s="730">
        <v>0.53194444444444444</v>
      </c>
      <c r="D2493" s="777">
        <v>43301</v>
      </c>
      <c r="E2493" s="730">
        <v>0.5625</v>
      </c>
      <c r="F2493" s="558" t="s">
        <v>3401</v>
      </c>
      <c r="G2493" s="558" t="s">
        <v>61</v>
      </c>
      <c r="H2493" s="558" t="s">
        <v>3402</v>
      </c>
      <c r="I2493" s="679" t="s">
        <v>2764</v>
      </c>
      <c r="J2493" s="676">
        <v>0</v>
      </c>
      <c r="K2493" s="676">
        <v>0</v>
      </c>
      <c r="M2493" t="str">
        <f>""</f>
        <v/>
      </c>
    </row>
    <row r="2494" spans="1:13" ht="15.75">
      <c r="A2494">
        <v>2018</v>
      </c>
      <c r="B2494" s="777">
        <v>43308</v>
      </c>
      <c r="C2494" s="730">
        <v>0.68611111111111112</v>
      </c>
      <c r="D2494" s="777">
        <v>43308</v>
      </c>
      <c r="E2494" s="730">
        <v>0.68958333333333333</v>
      </c>
      <c r="F2494" s="558" t="s">
        <v>3370</v>
      </c>
      <c r="G2494" s="558" t="s">
        <v>61</v>
      </c>
      <c r="H2494" s="558" t="s">
        <v>3411</v>
      </c>
      <c r="I2494" s="679" t="s">
        <v>2990</v>
      </c>
      <c r="J2494" s="676">
        <v>0</v>
      </c>
      <c r="K2494" s="676">
        <v>0</v>
      </c>
      <c r="M2494" t="str">
        <f>""</f>
        <v/>
      </c>
    </row>
    <row r="2495" spans="1:13" ht="15.75">
      <c r="A2495">
        <v>2018</v>
      </c>
      <c r="B2495" s="777">
        <v>43309</v>
      </c>
      <c r="C2495" s="730">
        <v>0.96597222222222223</v>
      </c>
      <c r="D2495" s="777">
        <v>43310</v>
      </c>
      <c r="E2495" s="730">
        <v>7.7083333333333337E-2</v>
      </c>
      <c r="F2495" s="558" t="s">
        <v>3420</v>
      </c>
      <c r="G2495" s="558" t="s">
        <v>124</v>
      </c>
      <c r="H2495" s="558" t="s">
        <v>3387</v>
      </c>
      <c r="I2495" s="679" t="s">
        <v>2764</v>
      </c>
      <c r="J2495" s="676">
        <v>0</v>
      </c>
      <c r="K2495" s="676">
        <v>0</v>
      </c>
      <c r="M2495" t="str">
        <f>""</f>
        <v/>
      </c>
    </row>
    <row r="2496" spans="1:13" ht="15.75">
      <c r="A2496">
        <v>2018</v>
      </c>
      <c r="B2496" s="777">
        <v>43313</v>
      </c>
      <c r="C2496" s="730">
        <v>0.38263888888888886</v>
      </c>
      <c r="D2496" s="777">
        <v>43313</v>
      </c>
      <c r="E2496" s="730">
        <v>0.45555555555555555</v>
      </c>
      <c r="F2496" s="558" t="s">
        <v>3427</v>
      </c>
      <c r="G2496" s="558" t="s">
        <v>124</v>
      </c>
      <c r="H2496" s="558" t="s">
        <v>3428</v>
      </c>
      <c r="I2496" s="679" t="s">
        <v>100</v>
      </c>
      <c r="J2496" s="676">
        <v>0</v>
      </c>
      <c r="K2496" s="676">
        <v>0</v>
      </c>
      <c r="M2496" t="str">
        <f>""</f>
        <v/>
      </c>
    </row>
    <row r="2497" spans="1:13" ht="15.75">
      <c r="A2497">
        <v>2018</v>
      </c>
      <c r="B2497" s="777">
        <v>43326</v>
      </c>
      <c r="C2497" s="730">
        <v>0.875</v>
      </c>
      <c r="D2497" s="777">
        <v>43326</v>
      </c>
      <c r="E2497" s="730">
        <v>0.87569444444444444</v>
      </c>
      <c r="F2497" s="558" t="s">
        <v>3437</v>
      </c>
      <c r="G2497" s="558" t="s">
        <v>63</v>
      </c>
      <c r="H2497" s="558" t="s">
        <v>3402</v>
      </c>
      <c r="I2497" s="679" t="s">
        <v>2118</v>
      </c>
      <c r="J2497" s="676">
        <v>0</v>
      </c>
      <c r="K2497" s="676">
        <v>0</v>
      </c>
      <c r="M2497" t="str">
        <f>""</f>
        <v/>
      </c>
    </row>
    <row r="2498" spans="1:13" ht="15.75">
      <c r="A2498">
        <v>2018</v>
      </c>
      <c r="B2498" s="777">
        <v>43327</v>
      </c>
      <c r="C2498" s="730">
        <v>0</v>
      </c>
      <c r="D2498" s="777">
        <v>43327</v>
      </c>
      <c r="E2498" s="730">
        <v>4.1666666666666664E-2</v>
      </c>
      <c r="F2498" s="558" t="s">
        <v>3439</v>
      </c>
      <c r="G2498" s="558" t="s">
        <v>63</v>
      </c>
      <c r="H2498" s="558" t="s">
        <v>3356</v>
      </c>
      <c r="I2498" s="679" t="s">
        <v>100</v>
      </c>
      <c r="J2498" s="676">
        <v>0</v>
      </c>
      <c r="K2498" s="676">
        <v>0</v>
      </c>
      <c r="M2498" t="str">
        <f>""</f>
        <v/>
      </c>
    </row>
    <row r="2499" spans="1:13" ht="15.75">
      <c r="A2499">
        <v>2018</v>
      </c>
      <c r="B2499" s="777">
        <v>43329</v>
      </c>
      <c r="C2499" s="730">
        <v>0.54652777777777772</v>
      </c>
      <c r="D2499" s="777">
        <v>43329</v>
      </c>
      <c r="E2499" s="730">
        <v>0.56944444444444442</v>
      </c>
      <c r="F2499" s="558" t="s">
        <v>2945</v>
      </c>
      <c r="G2499" s="558" t="s">
        <v>124</v>
      </c>
      <c r="H2499" s="558" t="s">
        <v>3387</v>
      </c>
      <c r="I2499" s="679" t="s">
        <v>2764</v>
      </c>
      <c r="J2499" s="676">
        <v>0</v>
      </c>
      <c r="K2499" s="676">
        <v>0</v>
      </c>
      <c r="M2499" t="str">
        <f>""</f>
        <v/>
      </c>
    </row>
    <row r="2500" spans="1:13" ht="15.75">
      <c r="A2500">
        <v>2018</v>
      </c>
      <c r="B2500" s="777">
        <v>43331</v>
      </c>
      <c r="C2500" s="730">
        <v>0.63888888888888884</v>
      </c>
      <c r="D2500" s="777">
        <v>43331</v>
      </c>
      <c r="E2500" s="730">
        <v>0.63958333333333328</v>
      </c>
      <c r="F2500" s="558" t="s">
        <v>3442</v>
      </c>
      <c r="G2500" s="558" t="s">
        <v>124</v>
      </c>
      <c r="H2500" s="558" t="s">
        <v>3356</v>
      </c>
      <c r="I2500" s="679" t="s">
        <v>100</v>
      </c>
      <c r="J2500" s="676">
        <v>0</v>
      </c>
      <c r="K2500" s="676">
        <v>0</v>
      </c>
      <c r="M2500" t="str">
        <f>""</f>
        <v/>
      </c>
    </row>
    <row r="2501" spans="1:13" ht="15.75">
      <c r="A2501">
        <v>2018</v>
      </c>
      <c r="B2501" s="777">
        <v>43332</v>
      </c>
      <c r="C2501" s="730">
        <v>0.94861111111111107</v>
      </c>
      <c r="D2501" s="777">
        <v>43333</v>
      </c>
      <c r="E2501" s="730">
        <v>9.7222222222222224E-3</v>
      </c>
      <c r="F2501" s="558" t="s">
        <v>2866</v>
      </c>
      <c r="G2501" s="558" t="s">
        <v>63</v>
      </c>
      <c r="H2501" s="558" t="s">
        <v>3387</v>
      </c>
      <c r="I2501" s="679" t="s">
        <v>2764</v>
      </c>
      <c r="J2501" s="676">
        <v>0</v>
      </c>
      <c r="K2501" s="676">
        <v>0</v>
      </c>
      <c r="M2501" t="str">
        <f>""</f>
        <v/>
      </c>
    </row>
    <row r="2502" spans="1:13" ht="15.75">
      <c r="A2502">
        <v>2018</v>
      </c>
      <c r="B2502" s="777">
        <v>43336</v>
      </c>
      <c r="C2502" s="730">
        <v>0.51666666666666672</v>
      </c>
      <c r="D2502" s="777">
        <v>43336</v>
      </c>
      <c r="E2502" s="730">
        <v>0.54097222222222219</v>
      </c>
      <c r="F2502" s="558" t="s">
        <v>3446</v>
      </c>
      <c r="G2502" s="558" t="s">
        <v>63</v>
      </c>
      <c r="H2502" s="558" t="s">
        <v>3447</v>
      </c>
      <c r="I2502" s="679" t="s">
        <v>2764</v>
      </c>
      <c r="J2502" s="676">
        <v>0</v>
      </c>
      <c r="K2502" s="676">
        <v>0</v>
      </c>
      <c r="M2502" t="str">
        <f>""</f>
        <v/>
      </c>
    </row>
    <row r="2503" spans="1:13" ht="15.75">
      <c r="A2503">
        <v>2018</v>
      </c>
      <c r="B2503" s="777">
        <v>43340</v>
      </c>
      <c r="C2503" s="730">
        <v>0.9868055555555556</v>
      </c>
      <c r="D2503" s="777">
        <v>43341</v>
      </c>
      <c r="E2503" s="730">
        <v>9.0277777777777769E-3</v>
      </c>
      <c r="F2503" s="558" t="s">
        <v>3455</v>
      </c>
      <c r="G2503" s="558" t="s">
        <v>3143</v>
      </c>
      <c r="H2503" s="558" t="s">
        <v>3447</v>
      </c>
      <c r="I2503" s="679" t="s">
        <v>2764</v>
      </c>
      <c r="J2503" s="676">
        <v>0</v>
      </c>
      <c r="K2503" s="676">
        <v>0</v>
      </c>
      <c r="M2503" t="str">
        <f>""</f>
        <v/>
      </c>
    </row>
    <row r="2504" spans="1:13" ht="15.75">
      <c r="A2504">
        <v>2018</v>
      </c>
      <c r="B2504" s="777">
        <v>43341</v>
      </c>
      <c r="C2504" s="730">
        <v>0.14374999999999999</v>
      </c>
      <c r="D2504" s="777">
        <v>43341</v>
      </c>
      <c r="E2504" s="730">
        <v>0.16666666666666666</v>
      </c>
      <c r="F2504" s="558" t="s">
        <v>3459</v>
      </c>
      <c r="G2504" s="558" t="s">
        <v>3143</v>
      </c>
      <c r="H2504" s="558" t="s">
        <v>3460</v>
      </c>
      <c r="I2504" s="679" t="s">
        <v>2118</v>
      </c>
      <c r="J2504" s="676">
        <v>0</v>
      </c>
      <c r="K2504" s="676">
        <v>0</v>
      </c>
      <c r="M2504" t="str">
        <f>""</f>
        <v/>
      </c>
    </row>
    <row r="2505" spans="1:13" ht="15.75">
      <c r="A2505">
        <v>2018</v>
      </c>
      <c r="B2505" s="777">
        <v>43341</v>
      </c>
      <c r="C2505" s="730">
        <v>0.375</v>
      </c>
      <c r="D2505" s="777">
        <v>43341</v>
      </c>
      <c r="E2505" s="730">
        <v>0.37916666666666665</v>
      </c>
      <c r="F2505" s="558" t="s">
        <v>3405</v>
      </c>
      <c r="G2505" s="558" t="s">
        <v>63</v>
      </c>
      <c r="H2505" s="558" t="s">
        <v>3402</v>
      </c>
      <c r="I2505" s="679" t="s">
        <v>2118</v>
      </c>
      <c r="J2505" s="676">
        <v>0</v>
      </c>
      <c r="K2505" s="676">
        <v>0</v>
      </c>
      <c r="M2505" t="str">
        <f>""</f>
        <v/>
      </c>
    </row>
    <row r="2506" spans="1:13" ht="15.75">
      <c r="A2506">
        <v>2018</v>
      </c>
      <c r="B2506" s="777">
        <v>43342</v>
      </c>
      <c r="C2506" s="730">
        <v>0.5</v>
      </c>
      <c r="D2506" s="777">
        <v>43342</v>
      </c>
      <c r="E2506" s="730">
        <v>0.51388888888888884</v>
      </c>
      <c r="F2506" s="558" t="s">
        <v>2945</v>
      </c>
      <c r="G2506" s="558" t="s">
        <v>124</v>
      </c>
      <c r="H2506" s="558" t="s">
        <v>3463</v>
      </c>
      <c r="I2506" s="679" t="s">
        <v>100</v>
      </c>
      <c r="J2506" s="676">
        <v>0</v>
      </c>
      <c r="K2506" s="676">
        <v>0</v>
      </c>
      <c r="M2506" t="str">
        <f>""</f>
        <v/>
      </c>
    </row>
    <row r="2507" spans="1:13" ht="15.75">
      <c r="A2507">
        <v>2018</v>
      </c>
      <c r="B2507" s="777">
        <v>43343</v>
      </c>
      <c r="C2507" s="730">
        <v>0.77361111111111114</v>
      </c>
      <c r="D2507" s="777">
        <v>43343</v>
      </c>
      <c r="E2507" s="730">
        <v>0.77777777777777779</v>
      </c>
      <c r="F2507" s="558" t="s">
        <v>3241</v>
      </c>
      <c r="G2507" s="558" t="s">
        <v>61</v>
      </c>
      <c r="H2507" s="558" t="s">
        <v>3460</v>
      </c>
      <c r="I2507" s="679" t="s">
        <v>2118</v>
      </c>
      <c r="J2507" s="676">
        <v>0</v>
      </c>
      <c r="K2507" s="676">
        <v>0</v>
      </c>
      <c r="M2507" t="str">
        <f>""</f>
        <v/>
      </c>
    </row>
    <row r="2508" spans="1:13" ht="15.75">
      <c r="A2508">
        <v>2018</v>
      </c>
      <c r="B2508" s="777">
        <v>43344</v>
      </c>
      <c r="C2508" s="730">
        <v>0</v>
      </c>
      <c r="D2508" s="777">
        <v>43344</v>
      </c>
      <c r="E2508" s="730">
        <v>0.64027777777777772</v>
      </c>
      <c r="F2508" s="558" t="s">
        <v>3405</v>
      </c>
      <c r="G2508" s="558" t="s">
        <v>3347</v>
      </c>
      <c r="H2508" s="558" t="s">
        <v>3402</v>
      </c>
      <c r="I2508" s="679" t="s">
        <v>2118</v>
      </c>
      <c r="J2508" s="676">
        <v>0</v>
      </c>
      <c r="K2508" s="676">
        <v>0</v>
      </c>
      <c r="M2508" t="str">
        <f>""</f>
        <v/>
      </c>
    </row>
    <row r="2509" spans="1:13" ht="15.75">
      <c r="A2509">
        <v>2018</v>
      </c>
      <c r="B2509" s="777">
        <v>43349</v>
      </c>
      <c r="C2509" s="730">
        <v>0.10138888888888889</v>
      </c>
      <c r="D2509" s="777">
        <v>43349</v>
      </c>
      <c r="E2509" s="730">
        <v>0.10208333333333333</v>
      </c>
      <c r="F2509" s="558" t="s">
        <v>3470</v>
      </c>
      <c r="G2509" s="558" t="s">
        <v>301</v>
      </c>
      <c r="H2509" s="558" t="s">
        <v>3411</v>
      </c>
      <c r="I2509" s="679" t="s">
        <v>2483</v>
      </c>
      <c r="J2509" s="676">
        <v>0</v>
      </c>
      <c r="K2509" s="676">
        <v>0</v>
      </c>
      <c r="M2509" t="str">
        <f>""</f>
        <v/>
      </c>
    </row>
    <row r="2510" spans="1:13" ht="15.75">
      <c r="A2510">
        <v>2018</v>
      </c>
      <c r="B2510" s="777">
        <v>43355</v>
      </c>
      <c r="C2510" s="730">
        <v>0.91666666666666663</v>
      </c>
      <c r="D2510" s="777">
        <v>43355</v>
      </c>
      <c r="E2510" s="730">
        <v>0.92013888888888884</v>
      </c>
      <c r="F2510" s="558" t="s">
        <v>2919</v>
      </c>
      <c r="G2510" s="558" t="s">
        <v>1352</v>
      </c>
      <c r="H2510" s="558" t="s">
        <v>3402</v>
      </c>
      <c r="I2510" s="679" t="s">
        <v>2118</v>
      </c>
      <c r="J2510" s="676">
        <v>0</v>
      </c>
      <c r="K2510" s="676">
        <v>0</v>
      </c>
      <c r="M2510" t="str">
        <f>""</f>
        <v/>
      </c>
    </row>
    <row r="2511" spans="1:13" ht="15.75">
      <c r="A2511">
        <v>2018</v>
      </c>
      <c r="B2511" s="777">
        <v>43362</v>
      </c>
      <c r="C2511" s="730">
        <v>0.45833333333333331</v>
      </c>
      <c r="D2511" s="777">
        <v>43363</v>
      </c>
      <c r="E2511" s="730">
        <v>0.5</v>
      </c>
      <c r="F2511" s="558" t="s">
        <v>3485</v>
      </c>
      <c r="G2511" s="558" t="s">
        <v>3143</v>
      </c>
      <c r="H2511" s="558" t="s">
        <v>3387</v>
      </c>
      <c r="I2511" s="679" t="s">
        <v>2764</v>
      </c>
      <c r="J2511" s="676">
        <v>0</v>
      </c>
      <c r="K2511" s="676">
        <v>0</v>
      </c>
      <c r="M2511" t="str">
        <f>""</f>
        <v/>
      </c>
    </row>
    <row r="2512" spans="1:13" ht="15.75">
      <c r="A2512">
        <v>2018</v>
      </c>
      <c r="B2512" s="777">
        <v>43363</v>
      </c>
      <c r="C2512" s="730">
        <v>0.52708333333333335</v>
      </c>
      <c r="D2512" s="777" t="s">
        <v>5873</v>
      </c>
      <c r="E2512" s="730" t="s">
        <v>5873</v>
      </c>
      <c r="F2512" s="558" t="s">
        <v>2817</v>
      </c>
      <c r="G2512" s="558" t="s">
        <v>124</v>
      </c>
      <c r="H2512" s="558" t="s">
        <v>3356</v>
      </c>
      <c r="I2512" s="679" t="s">
        <v>100</v>
      </c>
      <c r="J2512" s="676">
        <v>0</v>
      </c>
      <c r="K2512" s="676">
        <v>0</v>
      </c>
      <c r="M2512" t="str">
        <f>""</f>
        <v/>
      </c>
    </row>
    <row r="2513" spans="1:13" ht="15.75">
      <c r="A2513">
        <v>2018</v>
      </c>
      <c r="B2513" s="777">
        <v>43368</v>
      </c>
      <c r="C2513" s="730">
        <v>2.2916666666666665E-2</v>
      </c>
      <c r="D2513" s="777">
        <v>43368</v>
      </c>
      <c r="E2513" s="730">
        <v>0.13194444444444445</v>
      </c>
      <c r="F2513" s="558" t="s">
        <v>3461</v>
      </c>
      <c r="G2513" s="558" t="s">
        <v>63</v>
      </c>
      <c r="H2513" s="558" t="s">
        <v>3387</v>
      </c>
      <c r="I2513" s="679" t="s">
        <v>2764</v>
      </c>
      <c r="J2513" s="676">
        <v>0</v>
      </c>
      <c r="K2513" s="676">
        <v>0</v>
      </c>
      <c r="M2513" t="str">
        <f>""</f>
        <v/>
      </c>
    </row>
    <row r="2514" spans="1:13" ht="15.75">
      <c r="A2514">
        <v>2018</v>
      </c>
      <c r="B2514" s="777">
        <v>43369</v>
      </c>
      <c r="C2514" s="730">
        <v>0.57916666666666672</v>
      </c>
      <c r="D2514" s="777">
        <v>43369</v>
      </c>
      <c r="E2514" s="730">
        <v>0.74861111111111112</v>
      </c>
      <c r="F2514" s="558" t="s">
        <v>2809</v>
      </c>
      <c r="G2514" s="558" t="s">
        <v>1352</v>
      </c>
      <c r="H2514" s="558" t="s">
        <v>3411</v>
      </c>
      <c r="I2514" s="679" t="s">
        <v>2483</v>
      </c>
      <c r="J2514" s="676">
        <v>0</v>
      </c>
      <c r="K2514" s="676">
        <v>0</v>
      </c>
      <c r="M2514" t="str">
        <f>""</f>
        <v/>
      </c>
    </row>
    <row r="2515" spans="1:13" ht="15.75">
      <c r="A2515">
        <v>2018</v>
      </c>
      <c r="B2515" s="777">
        <v>43371</v>
      </c>
      <c r="C2515" s="730">
        <v>0.79027777777777775</v>
      </c>
      <c r="D2515" s="777">
        <v>43371</v>
      </c>
      <c r="E2515" s="730">
        <v>0.81180555555555556</v>
      </c>
      <c r="F2515" s="558" t="s">
        <v>2895</v>
      </c>
      <c r="G2515" s="558" t="s">
        <v>3143</v>
      </c>
      <c r="H2515" s="558" t="s">
        <v>3387</v>
      </c>
      <c r="I2515" s="679" t="s">
        <v>2764</v>
      </c>
      <c r="J2515" s="676">
        <v>0</v>
      </c>
      <c r="K2515" s="676">
        <v>0</v>
      </c>
      <c r="M2515" t="str">
        <f>""</f>
        <v/>
      </c>
    </row>
    <row r="2516" spans="1:13" ht="15.75">
      <c r="A2516">
        <v>2018</v>
      </c>
      <c r="B2516" s="777">
        <v>43376</v>
      </c>
      <c r="C2516" s="730">
        <v>0.31805555555555554</v>
      </c>
      <c r="D2516" s="777">
        <v>43376</v>
      </c>
      <c r="E2516" s="730">
        <v>0.32500000000000001</v>
      </c>
      <c r="F2516" s="558" t="s">
        <v>3461</v>
      </c>
      <c r="G2516" s="558" t="s">
        <v>63</v>
      </c>
      <c r="H2516" s="558" t="s">
        <v>3387</v>
      </c>
      <c r="I2516" s="679" t="s">
        <v>2764</v>
      </c>
      <c r="J2516" s="676">
        <v>0</v>
      </c>
      <c r="K2516" s="676">
        <v>0</v>
      </c>
      <c r="M2516" t="str">
        <f>""</f>
        <v/>
      </c>
    </row>
    <row r="2517" spans="1:13" ht="15.75">
      <c r="A2517">
        <v>2018</v>
      </c>
      <c r="B2517" s="777">
        <v>43377</v>
      </c>
      <c r="C2517" s="730">
        <v>0.66736111111111107</v>
      </c>
      <c r="D2517" s="777">
        <v>43377</v>
      </c>
      <c r="E2517" s="730">
        <v>0.76736111111111116</v>
      </c>
      <c r="F2517" s="558" t="s">
        <v>2945</v>
      </c>
      <c r="G2517" s="558" t="s">
        <v>124</v>
      </c>
      <c r="H2517" s="558" t="s">
        <v>2910</v>
      </c>
      <c r="I2517" s="679" t="s">
        <v>2118</v>
      </c>
      <c r="J2517" s="676">
        <v>0</v>
      </c>
      <c r="K2517" s="676">
        <v>0</v>
      </c>
      <c r="M2517" t="str">
        <f>""</f>
        <v/>
      </c>
    </row>
    <row r="2518" spans="1:13" ht="15.75">
      <c r="A2518">
        <v>2018</v>
      </c>
      <c r="B2518" s="777">
        <v>43382</v>
      </c>
      <c r="C2518" s="730">
        <v>0.84166666666666667</v>
      </c>
      <c r="D2518" s="777">
        <v>43382</v>
      </c>
      <c r="E2518" s="730">
        <v>0.8833333333333333</v>
      </c>
      <c r="F2518" s="558" t="s">
        <v>3500</v>
      </c>
      <c r="G2518" s="558" t="s">
        <v>124</v>
      </c>
      <c r="H2518" s="558" t="s">
        <v>3501</v>
      </c>
      <c r="I2518" s="679" t="s">
        <v>2764</v>
      </c>
      <c r="J2518" s="676">
        <v>0</v>
      </c>
      <c r="K2518" s="676">
        <v>0</v>
      </c>
      <c r="M2518" t="str">
        <f>""</f>
        <v/>
      </c>
    </row>
    <row r="2519" spans="1:13" ht="15.75">
      <c r="A2519">
        <v>2018</v>
      </c>
      <c r="B2519" s="777">
        <v>43383</v>
      </c>
      <c r="C2519" s="730">
        <v>0.70833333333333337</v>
      </c>
      <c r="D2519" s="777">
        <v>43388</v>
      </c>
      <c r="E2519" s="730">
        <v>0.20833333333333334</v>
      </c>
      <c r="F2519" s="558" t="s">
        <v>2865</v>
      </c>
      <c r="G2519" s="558" t="s">
        <v>124</v>
      </c>
      <c r="H2519" s="558" t="s">
        <v>2910</v>
      </c>
      <c r="I2519" s="679" t="s">
        <v>100</v>
      </c>
      <c r="J2519" s="676">
        <v>0</v>
      </c>
      <c r="K2519" s="676">
        <v>0</v>
      </c>
      <c r="M2519" t="str">
        <f>""</f>
        <v/>
      </c>
    </row>
    <row r="2520" spans="1:13" ht="15.75">
      <c r="A2520">
        <v>2018</v>
      </c>
      <c r="B2520" s="777">
        <v>43383</v>
      </c>
      <c r="C2520" s="730">
        <v>0.23680555555555555</v>
      </c>
      <c r="D2520" s="777">
        <v>43383</v>
      </c>
      <c r="E2520" s="730">
        <v>0.32916666666666666</v>
      </c>
      <c r="F2520" s="558" t="s">
        <v>2959</v>
      </c>
      <c r="G2520" s="558" t="s">
        <v>61</v>
      </c>
      <c r="H2520" s="558" t="s">
        <v>3387</v>
      </c>
      <c r="I2520" s="679" t="s">
        <v>2764</v>
      </c>
      <c r="J2520" s="676">
        <v>0</v>
      </c>
      <c r="K2520" s="676">
        <v>0</v>
      </c>
      <c r="M2520" t="str">
        <f>""</f>
        <v/>
      </c>
    </row>
    <row r="2521" spans="1:13" ht="15.75">
      <c r="A2521">
        <v>2018</v>
      </c>
      <c r="B2521" s="777">
        <v>43385</v>
      </c>
      <c r="C2521" s="730">
        <v>0.15</v>
      </c>
      <c r="D2521" s="777">
        <v>43385</v>
      </c>
      <c r="E2521" s="730">
        <v>0.5805555555555556</v>
      </c>
      <c r="F2521" s="558" t="s">
        <v>3518</v>
      </c>
      <c r="G2521" s="558" t="s">
        <v>3143</v>
      </c>
      <c r="H2521" s="558" t="s">
        <v>3411</v>
      </c>
      <c r="I2521" s="679" t="s">
        <v>2483</v>
      </c>
      <c r="J2521" s="676">
        <v>0</v>
      </c>
      <c r="K2521" s="676">
        <v>0</v>
      </c>
      <c r="M2521" t="str">
        <f>""</f>
        <v/>
      </c>
    </row>
    <row r="2522" spans="1:13" ht="15.75">
      <c r="A2522">
        <v>2018</v>
      </c>
      <c r="B2522" s="777">
        <v>43395</v>
      </c>
      <c r="C2522" s="730">
        <v>0.43402777777777779</v>
      </c>
      <c r="D2522" s="777">
        <v>43395</v>
      </c>
      <c r="E2522" s="730">
        <v>0.43819444444444444</v>
      </c>
      <c r="F2522" s="558" t="s">
        <v>2831</v>
      </c>
      <c r="G2522" s="558" t="s">
        <v>124</v>
      </c>
      <c r="H2522" s="558" t="s">
        <v>3356</v>
      </c>
      <c r="I2522" s="679" t="s">
        <v>100</v>
      </c>
      <c r="J2522" s="676">
        <v>0</v>
      </c>
      <c r="K2522" s="676">
        <v>0</v>
      </c>
      <c r="M2522" t="str">
        <f>""</f>
        <v/>
      </c>
    </row>
    <row r="2523" spans="1:13" ht="15.75">
      <c r="A2523">
        <v>2018</v>
      </c>
      <c r="B2523" s="777">
        <v>43397</v>
      </c>
      <c r="C2523" s="730">
        <v>0.52222222222222225</v>
      </c>
      <c r="D2523" s="777">
        <v>43397</v>
      </c>
      <c r="E2523" s="730">
        <v>0.56458333333333333</v>
      </c>
      <c r="F2523" s="558" t="s">
        <v>3528</v>
      </c>
      <c r="G2523" s="558" t="s">
        <v>3143</v>
      </c>
      <c r="H2523" s="558" t="s">
        <v>3387</v>
      </c>
      <c r="I2523" s="679" t="s">
        <v>2764</v>
      </c>
      <c r="J2523" s="676">
        <v>0</v>
      </c>
      <c r="K2523" s="676">
        <v>0</v>
      </c>
      <c r="M2523" t="str">
        <f>""</f>
        <v/>
      </c>
    </row>
    <row r="2524" spans="1:13" ht="15.75">
      <c r="A2524">
        <v>2018</v>
      </c>
      <c r="B2524" s="777">
        <v>43402</v>
      </c>
      <c r="C2524" s="730">
        <v>0.20833333333333334</v>
      </c>
      <c r="D2524" s="777">
        <v>43411</v>
      </c>
      <c r="E2524" s="730">
        <v>0.29166666666666669</v>
      </c>
      <c r="F2524" s="558" t="s">
        <v>3414</v>
      </c>
      <c r="G2524" s="558" t="s">
        <v>124</v>
      </c>
      <c r="H2524" s="558" t="s">
        <v>2910</v>
      </c>
      <c r="I2524" s="679" t="s">
        <v>100</v>
      </c>
      <c r="J2524" s="676">
        <v>0</v>
      </c>
      <c r="K2524" s="676">
        <v>0</v>
      </c>
      <c r="M2524" t="str">
        <f>""</f>
        <v/>
      </c>
    </row>
    <row r="2525" spans="1:13" ht="15.75">
      <c r="A2525">
        <v>2018</v>
      </c>
      <c r="B2525" s="777">
        <v>43402</v>
      </c>
      <c r="C2525" s="730">
        <v>0.36041666666666666</v>
      </c>
      <c r="D2525" s="777" t="s">
        <v>5873</v>
      </c>
      <c r="E2525" s="730" t="s">
        <v>5873</v>
      </c>
      <c r="F2525" s="558" t="s">
        <v>3531</v>
      </c>
      <c r="G2525" s="558" t="s">
        <v>674</v>
      </c>
      <c r="H2525" s="558" t="s">
        <v>2910</v>
      </c>
      <c r="I2525" s="679" t="s">
        <v>100</v>
      </c>
      <c r="J2525" s="676">
        <v>0</v>
      </c>
      <c r="K2525" s="676">
        <v>0</v>
      </c>
      <c r="M2525" t="str">
        <f>""</f>
        <v/>
      </c>
    </row>
    <row r="2526" spans="1:13" ht="15.75">
      <c r="A2526">
        <v>2018</v>
      </c>
      <c r="B2526" s="777">
        <v>43403</v>
      </c>
      <c r="C2526" s="730">
        <v>0.58472222222222225</v>
      </c>
      <c r="D2526" s="777">
        <v>43403</v>
      </c>
      <c r="E2526" s="730">
        <v>0.61250000000000004</v>
      </c>
      <c r="F2526" s="558" t="s">
        <v>3533</v>
      </c>
      <c r="G2526" s="558" t="s">
        <v>3143</v>
      </c>
      <c r="H2526" s="558" t="s">
        <v>3387</v>
      </c>
      <c r="I2526" s="679" t="s">
        <v>2764</v>
      </c>
      <c r="J2526" s="676">
        <v>0</v>
      </c>
      <c r="K2526" s="676">
        <v>0</v>
      </c>
      <c r="M2526" t="str">
        <f>""</f>
        <v/>
      </c>
    </row>
    <row r="2527" spans="1:13" ht="15.75">
      <c r="A2527">
        <v>2018</v>
      </c>
      <c r="B2527" s="777">
        <v>43406</v>
      </c>
      <c r="C2527" s="730">
        <v>0.40972222222222221</v>
      </c>
      <c r="D2527" s="777" t="s">
        <v>5873</v>
      </c>
      <c r="E2527" s="730" t="s">
        <v>5873</v>
      </c>
      <c r="F2527" s="558" t="s">
        <v>3531</v>
      </c>
      <c r="G2527" s="558" t="s">
        <v>674</v>
      </c>
      <c r="H2527" s="558" t="s">
        <v>3463</v>
      </c>
      <c r="I2527" s="679" t="s">
        <v>100</v>
      </c>
      <c r="J2527" s="676">
        <v>0</v>
      </c>
      <c r="K2527" s="676">
        <v>0</v>
      </c>
      <c r="M2527" t="str">
        <f>""</f>
        <v/>
      </c>
    </row>
    <row r="2528" spans="1:13" ht="15.75">
      <c r="A2528">
        <v>2018</v>
      </c>
      <c r="B2528" s="777">
        <v>43407</v>
      </c>
      <c r="C2528" s="730">
        <v>0.24513888888888888</v>
      </c>
      <c r="D2528" s="777">
        <v>43407</v>
      </c>
      <c r="E2528" s="730">
        <v>0.24791666666666667</v>
      </c>
      <c r="F2528" s="558" t="s">
        <v>3461</v>
      </c>
      <c r="G2528" s="558" t="s">
        <v>63</v>
      </c>
      <c r="H2528" s="558" t="s">
        <v>3387</v>
      </c>
      <c r="I2528" s="679" t="s">
        <v>2764</v>
      </c>
      <c r="J2528" s="676">
        <v>0</v>
      </c>
      <c r="K2528" s="676">
        <v>0</v>
      </c>
      <c r="M2528" t="str">
        <f>""</f>
        <v/>
      </c>
    </row>
    <row r="2529" spans="1:13" ht="15.75">
      <c r="A2529">
        <v>2018</v>
      </c>
      <c r="B2529" s="777">
        <v>43412</v>
      </c>
      <c r="C2529" s="730">
        <v>0.66666666666666663</v>
      </c>
      <c r="D2529" s="777" t="s">
        <v>5873</v>
      </c>
      <c r="E2529" s="730" t="s">
        <v>5873</v>
      </c>
      <c r="F2529" s="558" t="s">
        <v>3550</v>
      </c>
      <c r="G2529" s="558" t="s">
        <v>124</v>
      </c>
      <c r="H2529" s="558" t="s">
        <v>3356</v>
      </c>
      <c r="I2529" s="679" t="s">
        <v>100</v>
      </c>
      <c r="J2529" s="676">
        <v>0</v>
      </c>
      <c r="K2529" s="676">
        <v>0</v>
      </c>
      <c r="M2529" t="str">
        <f>""</f>
        <v/>
      </c>
    </row>
    <row r="2530" spans="1:13" ht="15.75">
      <c r="A2530">
        <v>2018</v>
      </c>
      <c r="B2530" s="777">
        <v>43413</v>
      </c>
      <c r="C2530" s="730">
        <v>0.37638888888888888</v>
      </c>
      <c r="D2530" s="777">
        <v>43413</v>
      </c>
      <c r="E2530" s="730">
        <v>0.43263888888888891</v>
      </c>
      <c r="F2530" s="558" t="s">
        <v>3551</v>
      </c>
      <c r="G2530" s="558" t="s">
        <v>674</v>
      </c>
      <c r="H2530" s="558" t="s">
        <v>3387</v>
      </c>
      <c r="I2530" s="679" t="s">
        <v>2764</v>
      </c>
      <c r="J2530" s="676">
        <v>0</v>
      </c>
      <c r="K2530" s="676">
        <v>0</v>
      </c>
      <c r="M2530" t="str">
        <f>""</f>
        <v/>
      </c>
    </row>
    <row r="2531" spans="1:13" ht="15.75">
      <c r="A2531">
        <v>2018</v>
      </c>
      <c r="B2531" s="777">
        <v>43414</v>
      </c>
      <c r="C2531" s="730">
        <v>0.70972222222222225</v>
      </c>
      <c r="D2531" s="777">
        <v>43418</v>
      </c>
      <c r="E2531" s="730">
        <v>0.625</v>
      </c>
      <c r="F2531" s="558" t="s">
        <v>3554</v>
      </c>
      <c r="G2531" s="558" t="s">
        <v>674</v>
      </c>
      <c r="H2531" s="558" t="s">
        <v>2780</v>
      </c>
      <c r="I2531" s="679" t="s">
        <v>1138</v>
      </c>
      <c r="J2531" s="676">
        <v>0</v>
      </c>
      <c r="K2531" s="676">
        <v>0</v>
      </c>
      <c r="M2531" t="str">
        <f>""</f>
        <v/>
      </c>
    </row>
    <row r="2532" spans="1:13" ht="15.75">
      <c r="A2532">
        <v>2018</v>
      </c>
      <c r="B2532" s="777">
        <v>43417</v>
      </c>
      <c r="C2532" s="730">
        <v>0.7631944444444444</v>
      </c>
      <c r="D2532" s="777">
        <v>43417</v>
      </c>
      <c r="E2532" s="730">
        <v>0.81944444444444442</v>
      </c>
      <c r="F2532" s="558" t="s">
        <v>3556</v>
      </c>
      <c r="G2532" s="558" t="s">
        <v>3347</v>
      </c>
      <c r="H2532" s="558" t="s">
        <v>3387</v>
      </c>
      <c r="I2532" s="679" t="s">
        <v>2764</v>
      </c>
      <c r="J2532" s="676">
        <v>0</v>
      </c>
      <c r="K2532" s="676">
        <v>0</v>
      </c>
      <c r="M2532" t="str">
        <f>""</f>
        <v/>
      </c>
    </row>
    <row r="2533" spans="1:13" ht="15.75">
      <c r="A2533">
        <v>2018</v>
      </c>
      <c r="B2533" s="777">
        <v>43422</v>
      </c>
      <c r="C2533" s="730">
        <v>0.54861111111111116</v>
      </c>
      <c r="D2533" s="777" t="s">
        <v>5873</v>
      </c>
      <c r="E2533" s="730" t="s">
        <v>5873</v>
      </c>
      <c r="F2533" s="558" t="s">
        <v>3566</v>
      </c>
      <c r="G2533" s="558" t="s">
        <v>674</v>
      </c>
      <c r="H2533" s="558" t="s">
        <v>3356</v>
      </c>
      <c r="I2533" s="679" t="s">
        <v>100</v>
      </c>
      <c r="J2533" s="676">
        <v>2</v>
      </c>
      <c r="K2533" s="676">
        <v>0</v>
      </c>
      <c r="M2533" t="str">
        <f>""</f>
        <v/>
      </c>
    </row>
    <row r="2534" spans="1:13" ht="15.75">
      <c r="A2534">
        <v>2018</v>
      </c>
      <c r="B2534" s="777">
        <v>43435</v>
      </c>
      <c r="C2534" s="730">
        <v>0.40277777777777779</v>
      </c>
      <c r="D2534" s="777">
        <v>43438</v>
      </c>
      <c r="E2534" s="730">
        <v>0.72013888888888888</v>
      </c>
      <c r="F2534" s="558" t="s">
        <v>3245</v>
      </c>
      <c r="G2534" s="558" t="s">
        <v>3143</v>
      </c>
      <c r="H2534" s="558" t="s">
        <v>3356</v>
      </c>
      <c r="I2534" s="679" t="s">
        <v>100</v>
      </c>
      <c r="J2534" s="676">
        <v>0</v>
      </c>
      <c r="K2534" s="676">
        <v>0</v>
      </c>
      <c r="M2534" t="str">
        <f>""</f>
        <v/>
      </c>
    </row>
    <row r="2535" spans="1:13" ht="15.75">
      <c r="A2535">
        <v>2018</v>
      </c>
      <c r="B2535" s="777">
        <v>43435</v>
      </c>
      <c r="C2535" s="730">
        <v>0.68263888888888891</v>
      </c>
      <c r="D2535" s="777">
        <v>43435</v>
      </c>
      <c r="E2535" s="730">
        <v>0.71458333333333335</v>
      </c>
      <c r="F2535" s="558" t="s">
        <v>3575</v>
      </c>
      <c r="G2535" s="558" t="s">
        <v>301</v>
      </c>
      <c r="H2535" s="558" t="s">
        <v>3387</v>
      </c>
      <c r="I2535" s="679" t="s">
        <v>2764</v>
      </c>
      <c r="J2535" s="676">
        <v>0</v>
      </c>
      <c r="K2535" s="676">
        <v>0</v>
      </c>
      <c r="M2535" t="str">
        <f>""</f>
        <v/>
      </c>
    </row>
    <row r="2536" spans="1:13" ht="15.75">
      <c r="A2536">
        <v>2018</v>
      </c>
      <c r="B2536" s="777">
        <v>43436</v>
      </c>
      <c r="C2536" s="730">
        <v>0.67847222222222225</v>
      </c>
      <c r="D2536" s="777">
        <v>43436</v>
      </c>
      <c r="E2536" s="730">
        <v>0.85416666666666663</v>
      </c>
      <c r="F2536" s="558" t="s">
        <v>3252</v>
      </c>
      <c r="G2536" s="558" t="s">
        <v>3143</v>
      </c>
      <c r="H2536" s="558" t="s">
        <v>3387</v>
      </c>
      <c r="I2536" s="679" t="s">
        <v>2764</v>
      </c>
      <c r="J2536" s="676">
        <v>0</v>
      </c>
      <c r="K2536" s="676">
        <v>0</v>
      </c>
      <c r="M2536" t="str">
        <f>""</f>
        <v/>
      </c>
    </row>
    <row r="2537" spans="1:13" ht="15.75">
      <c r="A2537">
        <v>2018</v>
      </c>
      <c r="B2537" s="777">
        <v>43439</v>
      </c>
      <c r="C2537" s="730">
        <v>0.33333333333333331</v>
      </c>
      <c r="D2537" s="777">
        <v>43440</v>
      </c>
      <c r="E2537" s="730">
        <v>0.33333333333333331</v>
      </c>
      <c r="F2537" s="558" t="s">
        <v>3581</v>
      </c>
      <c r="G2537" s="558" t="s">
        <v>63</v>
      </c>
      <c r="H2537" s="558" t="s">
        <v>3356</v>
      </c>
      <c r="I2537" s="679" t="s">
        <v>100</v>
      </c>
      <c r="J2537" s="676">
        <v>0</v>
      </c>
      <c r="K2537" s="676">
        <v>0</v>
      </c>
      <c r="M2537" t="str">
        <f>""</f>
        <v/>
      </c>
    </row>
    <row r="2538" spans="1:13" ht="15.75">
      <c r="A2538">
        <v>2018</v>
      </c>
      <c r="B2538" s="777">
        <v>43439</v>
      </c>
      <c r="C2538" s="730">
        <v>0.53333333333333333</v>
      </c>
      <c r="D2538" s="777">
        <v>43439</v>
      </c>
      <c r="E2538" s="730">
        <v>0.53402777777777777</v>
      </c>
      <c r="F2538" s="558" t="s">
        <v>2967</v>
      </c>
      <c r="G2538" s="558" t="s">
        <v>124</v>
      </c>
      <c r="H2538" s="558" t="s">
        <v>3356</v>
      </c>
      <c r="I2538" s="679" t="s">
        <v>100</v>
      </c>
      <c r="J2538" s="676">
        <v>0</v>
      </c>
      <c r="K2538" s="676">
        <v>0</v>
      </c>
      <c r="M2538" t="str">
        <f>""</f>
        <v/>
      </c>
    </row>
    <row r="2539" spans="1:13" ht="15.75">
      <c r="A2539">
        <v>2018</v>
      </c>
      <c r="B2539" s="777">
        <v>43441</v>
      </c>
      <c r="C2539" s="730">
        <v>0.13194444444444445</v>
      </c>
      <c r="D2539" s="777">
        <v>43441</v>
      </c>
      <c r="E2539" s="730">
        <v>0.19097222222222221</v>
      </c>
      <c r="F2539" s="558" t="s">
        <v>3583</v>
      </c>
      <c r="G2539" s="558" t="s">
        <v>124</v>
      </c>
      <c r="H2539" s="558" t="s">
        <v>3463</v>
      </c>
      <c r="I2539" s="679" t="s">
        <v>2293</v>
      </c>
      <c r="J2539" s="676">
        <v>0</v>
      </c>
      <c r="K2539" s="676">
        <v>0</v>
      </c>
      <c r="M2539" t="str">
        <f>""</f>
        <v/>
      </c>
    </row>
    <row r="2540" spans="1:13" ht="15.75">
      <c r="A2540">
        <v>2018</v>
      </c>
      <c r="B2540" s="777">
        <v>43443</v>
      </c>
      <c r="C2540" s="730">
        <v>0.97777777777777775</v>
      </c>
      <c r="D2540" s="777">
        <v>43444</v>
      </c>
      <c r="E2540" s="730">
        <v>6.25E-2</v>
      </c>
      <c r="F2540" s="558" t="s">
        <v>3586</v>
      </c>
      <c r="G2540" s="558" t="s">
        <v>63</v>
      </c>
      <c r="H2540" s="558" t="s">
        <v>3356</v>
      </c>
      <c r="I2540" s="679" t="s">
        <v>100</v>
      </c>
      <c r="J2540" s="676">
        <v>0</v>
      </c>
      <c r="K2540" s="676">
        <v>0</v>
      </c>
      <c r="M2540" t="str">
        <f>""</f>
        <v/>
      </c>
    </row>
    <row r="2541" spans="1:13" ht="15.75">
      <c r="A2541">
        <v>2018</v>
      </c>
      <c r="B2541" s="777">
        <v>43445</v>
      </c>
      <c r="C2541" s="730">
        <v>0.29166666666666669</v>
      </c>
      <c r="D2541" s="777">
        <v>43447</v>
      </c>
      <c r="E2541" s="730">
        <v>0.58333333333333337</v>
      </c>
      <c r="F2541" s="558" t="s">
        <v>2808</v>
      </c>
      <c r="G2541" s="558" t="s">
        <v>124</v>
      </c>
      <c r="H2541" s="558" t="s">
        <v>3463</v>
      </c>
      <c r="I2541" s="679" t="s">
        <v>100</v>
      </c>
      <c r="J2541" s="676">
        <v>0</v>
      </c>
      <c r="K2541" s="676">
        <v>0</v>
      </c>
      <c r="M2541" t="str">
        <f>""</f>
        <v/>
      </c>
    </row>
    <row r="2542" spans="1:13" ht="15.75">
      <c r="A2542">
        <v>2018</v>
      </c>
      <c r="B2542" s="777">
        <v>43445</v>
      </c>
      <c r="C2542" s="730">
        <v>0.38194444444444442</v>
      </c>
      <c r="D2542" s="777">
        <v>43445</v>
      </c>
      <c r="E2542" s="730">
        <v>0.43472222222222223</v>
      </c>
      <c r="F2542" s="558" t="s">
        <v>3591</v>
      </c>
      <c r="G2542" s="558" t="s">
        <v>1352</v>
      </c>
      <c r="H2542" s="558" t="s">
        <v>3387</v>
      </c>
      <c r="I2542" s="679" t="s">
        <v>2764</v>
      </c>
      <c r="J2542" s="676">
        <v>0</v>
      </c>
      <c r="K2542" s="676">
        <v>0</v>
      </c>
      <c r="M2542" t="str">
        <f>""</f>
        <v/>
      </c>
    </row>
    <row r="2543" spans="1:13" ht="15.75">
      <c r="A2543">
        <v>2018</v>
      </c>
      <c r="B2543" s="777">
        <v>43446</v>
      </c>
      <c r="C2543" s="730">
        <v>0.41666666666666669</v>
      </c>
      <c r="D2543" s="777">
        <v>43446</v>
      </c>
      <c r="E2543" s="730">
        <v>0.43819444444444444</v>
      </c>
      <c r="F2543" s="558" t="s">
        <v>3593</v>
      </c>
      <c r="G2543" s="558" t="s">
        <v>124</v>
      </c>
      <c r="H2543" s="558" t="s">
        <v>3463</v>
      </c>
      <c r="I2543" s="679" t="s">
        <v>100</v>
      </c>
      <c r="J2543" s="676">
        <v>0</v>
      </c>
      <c r="K2543" s="676">
        <v>0</v>
      </c>
      <c r="M2543" t="str">
        <f>""</f>
        <v/>
      </c>
    </row>
    <row r="2544" spans="1:13" ht="15.75">
      <c r="A2544">
        <v>2018</v>
      </c>
      <c r="B2544" s="777">
        <v>43447</v>
      </c>
      <c r="C2544" s="730">
        <v>0.41666666666666669</v>
      </c>
      <c r="D2544" s="777" t="s">
        <v>5873</v>
      </c>
      <c r="E2544" s="730" t="s">
        <v>5873</v>
      </c>
      <c r="F2544" s="558" t="s">
        <v>3594</v>
      </c>
      <c r="G2544" s="558" t="s">
        <v>124</v>
      </c>
      <c r="H2544" s="558" t="s">
        <v>3402</v>
      </c>
      <c r="I2544" s="679" t="s">
        <v>2118</v>
      </c>
      <c r="J2544" s="676">
        <v>0</v>
      </c>
      <c r="K2544" s="676">
        <v>0</v>
      </c>
      <c r="M2544" t="str">
        <f>""</f>
        <v/>
      </c>
    </row>
    <row r="2545" spans="1:13" ht="15.75">
      <c r="A2545">
        <v>2018</v>
      </c>
      <c r="B2545" s="777">
        <v>43448</v>
      </c>
      <c r="C2545" s="730">
        <v>0.3611111111111111</v>
      </c>
      <c r="D2545" s="777">
        <v>43448</v>
      </c>
      <c r="E2545" s="730">
        <v>0.41666666666666669</v>
      </c>
      <c r="F2545" s="558" t="s">
        <v>3598</v>
      </c>
      <c r="G2545" s="558" t="s">
        <v>1352</v>
      </c>
      <c r="H2545" s="558" t="s">
        <v>3402</v>
      </c>
      <c r="I2545" s="679" t="s">
        <v>2118</v>
      </c>
      <c r="J2545" s="676">
        <v>0</v>
      </c>
      <c r="K2545" s="676">
        <v>0</v>
      </c>
      <c r="M2545" t="str">
        <f>""</f>
        <v/>
      </c>
    </row>
    <row r="2546" spans="1:13" ht="15.75">
      <c r="A2546">
        <v>2018</v>
      </c>
      <c r="B2546" s="777">
        <v>43452</v>
      </c>
      <c r="C2546" s="730">
        <v>0.3659722222222222</v>
      </c>
      <c r="D2546" s="777">
        <v>43452</v>
      </c>
      <c r="E2546" s="730">
        <v>0.36666666666666664</v>
      </c>
      <c r="F2546" s="558" t="s">
        <v>3600</v>
      </c>
      <c r="G2546" s="558" t="s">
        <v>124</v>
      </c>
      <c r="H2546" s="558" t="s">
        <v>3463</v>
      </c>
      <c r="I2546" s="679" t="s">
        <v>100</v>
      </c>
      <c r="J2546" s="676">
        <v>0</v>
      </c>
      <c r="K2546" s="676">
        <v>0</v>
      </c>
      <c r="M2546" t="str">
        <f>""</f>
        <v/>
      </c>
    </row>
    <row r="2547" spans="1:13" ht="15.75">
      <c r="A2547">
        <v>2018</v>
      </c>
      <c r="B2547" s="777">
        <v>43460</v>
      </c>
      <c r="C2547" s="730">
        <v>4.1666666666666664E-2</v>
      </c>
      <c r="D2547" s="777">
        <v>43468</v>
      </c>
      <c r="E2547" s="730">
        <v>0.43541666666666667</v>
      </c>
      <c r="F2547" s="558" t="s">
        <v>3357</v>
      </c>
      <c r="G2547" s="558" t="s">
        <v>124</v>
      </c>
      <c r="H2547" s="558" t="s">
        <v>3463</v>
      </c>
      <c r="I2547" s="679" t="s">
        <v>100</v>
      </c>
      <c r="J2547" s="676">
        <v>0</v>
      </c>
      <c r="K2547" s="676">
        <v>0</v>
      </c>
      <c r="M2547" t="str">
        <f>""</f>
        <v/>
      </c>
    </row>
    <row r="2548" spans="1:13" ht="15.75">
      <c r="A2548">
        <v>2018</v>
      </c>
      <c r="B2548" s="777">
        <v>43461</v>
      </c>
      <c r="C2548" s="730">
        <v>3.472222222222222E-3</v>
      </c>
      <c r="D2548" s="777">
        <v>43461</v>
      </c>
      <c r="E2548" s="730">
        <v>4.5138888888888888E-2</v>
      </c>
      <c r="F2548" s="558" t="s">
        <v>3607</v>
      </c>
      <c r="G2548" s="558" t="s">
        <v>3143</v>
      </c>
      <c r="H2548" s="558" t="s">
        <v>3387</v>
      </c>
      <c r="I2548" s="679" t="s">
        <v>2764</v>
      </c>
      <c r="J2548" s="676">
        <v>0</v>
      </c>
      <c r="K2548" s="676">
        <v>0</v>
      </c>
      <c r="M2548" t="str">
        <f>""</f>
        <v/>
      </c>
    </row>
    <row r="2549" spans="1:13" ht="15.75">
      <c r="A2549">
        <v>2018</v>
      </c>
      <c r="B2549" s="777">
        <v>43461</v>
      </c>
      <c r="C2549" s="730">
        <v>0.53472222222222221</v>
      </c>
      <c r="D2549" s="777">
        <v>43461</v>
      </c>
      <c r="E2549" s="730">
        <v>0.54166666666666663</v>
      </c>
      <c r="F2549" s="558" t="s">
        <v>3357</v>
      </c>
      <c r="G2549" s="558" t="s">
        <v>124</v>
      </c>
      <c r="H2549" s="558" t="s">
        <v>3356</v>
      </c>
      <c r="I2549" s="679" t="s">
        <v>100</v>
      </c>
      <c r="J2549" s="676">
        <v>0</v>
      </c>
      <c r="K2549" s="676">
        <v>0</v>
      </c>
      <c r="M2549" t="str">
        <f>""</f>
        <v/>
      </c>
    </row>
    <row r="2550" spans="1:13" ht="15.75">
      <c r="A2550">
        <v>2018</v>
      </c>
      <c r="B2550" s="777">
        <v>43464</v>
      </c>
      <c r="C2550" s="730">
        <v>0.48680555555555555</v>
      </c>
      <c r="D2550" s="777">
        <v>43464</v>
      </c>
      <c r="E2550" s="730">
        <v>0.55555555555555558</v>
      </c>
      <c r="F2550" s="558" t="s">
        <v>2801</v>
      </c>
      <c r="G2550" s="558" t="s">
        <v>124</v>
      </c>
      <c r="H2550" s="558" t="s">
        <v>3387</v>
      </c>
      <c r="I2550" s="679" t="s">
        <v>2764</v>
      </c>
      <c r="J2550" s="676">
        <v>0</v>
      </c>
      <c r="K2550" s="676">
        <v>0</v>
      </c>
      <c r="M2550" t="str">
        <f>""</f>
        <v/>
      </c>
    </row>
    <row r="2551" spans="1:13" ht="15.75">
      <c r="A2551">
        <v>2019</v>
      </c>
      <c r="B2551" s="777">
        <v>43472</v>
      </c>
      <c r="C2551" s="730">
        <v>0.87291666666666667</v>
      </c>
      <c r="D2551" s="777">
        <v>43472</v>
      </c>
      <c r="E2551" s="730">
        <v>0.89722222222222225</v>
      </c>
      <c r="F2551" s="558" t="s">
        <v>3307</v>
      </c>
      <c r="G2551" s="558" t="s">
        <v>3143</v>
      </c>
      <c r="H2551" s="558" t="s">
        <v>3387</v>
      </c>
      <c r="I2551" s="679" t="s">
        <v>2764</v>
      </c>
      <c r="J2551" s="676">
        <v>0</v>
      </c>
      <c r="K2551" s="676">
        <v>0</v>
      </c>
      <c r="M2551" t="str">
        <f>""</f>
        <v/>
      </c>
    </row>
    <row r="2552" spans="1:13" ht="15.75">
      <c r="A2552">
        <v>2019</v>
      </c>
      <c r="B2552" s="777">
        <v>43474</v>
      </c>
      <c r="C2552" s="730">
        <v>0.49652777777777779</v>
      </c>
      <c r="D2552" s="777">
        <v>43474</v>
      </c>
      <c r="E2552" s="730">
        <v>0.49722222222222223</v>
      </c>
      <c r="F2552" s="558" t="s">
        <v>3620</v>
      </c>
      <c r="G2552" s="558" t="s">
        <v>124</v>
      </c>
      <c r="H2552" s="558" t="s">
        <v>3402</v>
      </c>
      <c r="I2552" s="679" t="s">
        <v>2118</v>
      </c>
      <c r="J2552" s="676">
        <v>0</v>
      </c>
      <c r="K2552" s="676">
        <v>0</v>
      </c>
      <c r="M2552" t="str">
        <f>""</f>
        <v/>
      </c>
    </row>
    <row r="2553" spans="1:13" ht="15.75">
      <c r="A2553">
        <v>2019</v>
      </c>
      <c r="B2553" s="777">
        <v>43476</v>
      </c>
      <c r="C2553" s="730">
        <v>0.48333333333333334</v>
      </c>
      <c r="D2553" s="777">
        <v>43476</v>
      </c>
      <c r="E2553" s="730">
        <v>0.52986111111111112</v>
      </c>
      <c r="F2553" s="558" t="s">
        <v>2959</v>
      </c>
      <c r="G2553" s="558" t="s">
        <v>3143</v>
      </c>
      <c r="H2553" s="558" t="s">
        <v>3387</v>
      </c>
      <c r="I2553" s="679" t="s">
        <v>2764</v>
      </c>
      <c r="J2553" s="676">
        <v>0</v>
      </c>
      <c r="K2553" s="676">
        <v>0</v>
      </c>
      <c r="M2553" t="str">
        <f>""</f>
        <v/>
      </c>
    </row>
    <row r="2554" spans="1:13" ht="15.75">
      <c r="A2554">
        <v>2019</v>
      </c>
      <c r="B2554" s="777">
        <v>43477</v>
      </c>
      <c r="C2554" s="730">
        <v>0.80555555555555558</v>
      </c>
      <c r="D2554" s="777">
        <v>43477</v>
      </c>
      <c r="E2554" s="730">
        <v>0.90138888888888891</v>
      </c>
      <c r="F2554" s="558" t="s">
        <v>3631</v>
      </c>
      <c r="G2554" s="558" t="s">
        <v>61</v>
      </c>
      <c r="H2554" s="558" t="s">
        <v>3387</v>
      </c>
      <c r="I2554" s="679" t="s">
        <v>2764</v>
      </c>
      <c r="J2554" s="676">
        <v>0</v>
      </c>
      <c r="K2554" s="676">
        <v>0</v>
      </c>
      <c r="M2554" t="str">
        <f>""</f>
        <v/>
      </c>
    </row>
    <row r="2555" spans="1:13" ht="15.75">
      <c r="A2555">
        <v>2019</v>
      </c>
      <c r="B2555" s="777">
        <v>43480</v>
      </c>
      <c r="C2555" s="730">
        <v>0.33333333333333331</v>
      </c>
      <c r="D2555" s="777">
        <v>43480</v>
      </c>
      <c r="E2555" s="730">
        <v>0.3347222222222222</v>
      </c>
      <c r="F2555" s="558" t="s">
        <v>3245</v>
      </c>
      <c r="G2555" s="558" t="s">
        <v>3143</v>
      </c>
      <c r="H2555" s="558" t="s">
        <v>3463</v>
      </c>
      <c r="I2555" s="679" t="s">
        <v>100</v>
      </c>
      <c r="J2555" s="676">
        <v>0</v>
      </c>
      <c r="K2555" s="676">
        <v>0</v>
      </c>
      <c r="M2555" t="str">
        <f>""</f>
        <v/>
      </c>
    </row>
    <row r="2556" spans="1:13" ht="15.75">
      <c r="A2556">
        <v>2019</v>
      </c>
      <c r="B2556" s="777">
        <v>43481</v>
      </c>
      <c r="C2556" s="730">
        <v>0.22152777777777777</v>
      </c>
      <c r="D2556" s="777">
        <v>43481</v>
      </c>
      <c r="E2556" s="730">
        <v>0.30138888888888887</v>
      </c>
      <c r="F2556" s="558" t="s">
        <v>3639</v>
      </c>
      <c r="G2556" s="558" t="s">
        <v>1352</v>
      </c>
      <c r="H2556" s="558" t="s">
        <v>3387</v>
      </c>
      <c r="I2556" s="679" t="s">
        <v>2764</v>
      </c>
      <c r="J2556" s="676">
        <v>0</v>
      </c>
      <c r="K2556" s="676">
        <v>0</v>
      </c>
      <c r="M2556" t="str">
        <f>""</f>
        <v/>
      </c>
    </row>
    <row r="2557" spans="1:13" ht="15.75">
      <c r="A2557">
        <v>2019</v>
      </c>
      <c r="B2557" s="777">
        <v>43488</v>
      </c>
      <c r="C2557" s="730">
        <v>0.30972222222222223</v>
      </c>
      <c r="D2557" s="777">
        <v>43488</v>
      </c>
      <c r="E2557" s="730">
        <v>0.71180555555555558</v>
      </c>
      <c r="F2557" s="558" t="s">
        <v>3645</v>
      </c>
      <c r="G2557" s="558" t="s">
        <v>124</v>
      </c>
      <c r="H2557" s="558" t="s">
        <v>3411</v>
      </c>
      <c r="I2557" s="679" t="s">
        <v>2764</v>
      </c>
      <c r="J2557" s="676">
        <v>0</v>
      </c>
      <c r="K2557" s="676">
        <v>0</v>
      </c>
      <c r="M2557" t="str">
        <f>""</f>
        <v/>
      </c>
    </row>
    <row r="2558" spans="1:13" ht="15.75">
      <c r="A2558">
        <v>2019</v>
      </c>
      <c r="B2558" s="777">
        <v>43489</v>
      </c>
      <c r="C2558" s="730">
        <v>0.19375000000000001</v>
      </c>
      <c r="D2558" s="777">
        <v>43489</v>
      </c>
      <c r="E2558" s="730">
        <v>0.21944444444444444</v>
      </c>
      <c r="F2558" s="558" t="s">
        <v>2895</v>
      </c>
      <c r="G2558" s="558" t="s">
        <v>3143</v>
      </c>
      <c r="H2558" s="558" t="s">
        <v>3387</v>
      </c>
      <c r="I2558" s="679" t="s">
        <v>2764</v>
      </c>
      <c r="J2558" s="676">
        <v>0</v>
      </c>
      <c r="K2558" s="676">
        <v>0</v>
      </c>
      <c r="M2558" t="str">
        <f>""</f>
        <v/>
      </c>
    </row>
    <row r="2559" spans="1:13" ht="15.75">
      <c r="A2559">
        <v>2019</v>
      </c>
      <c r="B2559" s="777">
        <v>43493</v>
      </c>
      <c r="C2559" s="730">
        <v>0.56597222222222221</v>
      </c>
      <c r="D2559" s="777">
        <v>43493</v>
      </c>
      <c r="E2559" s="730">
        <v>0.56944444444444442</v>
      </c>
      <c r="F2559" s="558" t="s">
        <v>3648</v>
      </c>
      <c r="G2559" s="558" t="s">
        <v>124</v>
      </c>
      <c r="H2559" s="558" t="s">
        <v>3356</v>
      </c>
      <c r="I2559" s="679" t="s">
        <v>2293</v>
      </c>
      <c r="J2559" s="676">
        <v>0</v>
      </c>
      <c r="K2559" s="676">
        <v>0</v>
      </c>
      <c r="M2559" t="str">
        <f>""</f>
        <v/>
      </c>
    </row>
    <row r="2560" spans="1:13" ht="15.75">
      <c r="A2560">
        <v>2019</v>
      </c>
      <c r="B2560" s="777">
        <v>43495</v>
      </c>
      <c r="C2560" s="730">
        <v>0.6875</v>
      </c>
      <c r="D2560" s="777" t="s">
        <v>5873</v>
      </c>
      <c r="E2560" s="730" t="s">
        <v>5873</v>
      </c>
      <c r="F2560" s="558" t="s">
        <v>2853</v>
      </c>
      <c r="G2560" s="558" t="s">
        <v>124</v>
      </c>
      <c r="H2560" s="558" t="s">
        <v>3463</v>
      </c>
      <c r="I2560" s="679" t="s">
        <v>100</v>
      </c>
      <c r="J2560" s="676">
        <v>0</v>
      </c>
      <c r="K2560" s="676">
        <v>0</v>
      </c>
      <c r="M2560" t="str">
        <f>""</f>
        <v/>
      </c>
    </row>
    <row r="2561" spans="1:13" ht="15.75">
      <c r="A2561">
        <v>2019</v>
      </c>
      <c r="B2561" s="777">
        <v>43496</v>
      </c>
      <c r="C2561" s="730">
        <v>0.8979166666666667</v>
      </c>
      <c r="D2561" s="777">
        <v>43496</v>
      </c>
      <c r="E2561" s="730">
        <v>0.89861111111111114</v>
      </c>
      <c r="F2561" s="558" t="s">
        <v>2945</v>
      </c>
      <c r="G2561" s="558" t="s">
        <v>124</v>
      </c>
      <c r="H2561" s="558" t="s">
        <v>3356</v>
      </c>
      <c r="I2561" s="679" t="s">
        <v>100</v>
      </c>
      <c r="J2561" s="676">
        <v>0</v>
      </c>
      <c r="K2561" s="676">
        <v>0</v>
      </c>
      <c r="M2561" t="str">
        <f>""</f>
        <v/>
      </c>
    </row>
    <row r="2562" spans="1:13" ht="15.75">
      <c r="A2562">
        <v>2019</v>
      </c>
      <c r="B2562" s="777">
        <v>43497</v>
      </c>
      <c r="C2562" s="730">
        <v>0.2326388888888889</v>
      </c>
      <c r="D2562" s="777">
        <v>43497</v>
      </c>
      <c r="E2562" s="730">
        <v>0.25694444444444442</v>
      </c>
      <c r="F2562" s="558" t="s">
        <v>2113</v>
      </c>
      <c r="G2562" s="558" t="s">
        <v>61</v>
      </c>
      <c r="H2562" s="558" t="s">
        <v>3387</v>
      </c>
      <c r="I2562" s="679" t="s">
        <v>2764</v>
      </c>
      <c r="J2562" s="676">
        <v>0</v>
      </c>
      <c r="K2562" s="676">
        <v>0</v>
      </c>
      <c r="M2562" t="str">
        <f>""</f>
        <v/>
      </c>
    </row>
    <row r="2563" spans="1:13" ht="15.75">
      <c r="A2563">
        <v>2019</v>
      </c>
      <c r="B2563" s="777">
        <v>43498</v>
      </c>
      <c r="C2563" s="730">
        <v>0.43611111111111112</v>
      </c>
      <c r="D2563" s="777">
        <v>43498</v>
      </c>
      <c r="E2563" s="730">
        <v>0.43680555555555556</v>
      </c>
      <c r="F2563" s="558" t="s">
        <v>18</v>
      </c>
      <c r="G2563" s="558" t="s">
        <v>124</v>
      </c>
      <c r="H2563" s="558" t="s">
        <v>3463</v>
      </c>
      <c r="I2563" s="679" t="s">
        <v>100</v>
      </c>
      <c r="J2563" s="676">
        <v>0</v>
      </c>
      <c r="K2563" s="676">
        <v>0</v>
      </c>
      <c r="M2563" t="str">
        <f>""</f>
        <v/>
      </c>
    </row>
    <row r="2564" spans="1:13" ht="15.75">
      <c r="A2564">
        <v>2019</v>
      </c>
      <c r="B2564" s="777">
        <v>43504</v>
      </c>
      <c r="C2564" s="730">
        <v>0.41666666666666669</v>
      </c>
      <c r="D2564" s="777">
        <v>43504</v>
      </c>
      <c r="E2564" s="730">
        <v>0.4375</v>
      </c>
      <c r="F2564" s="558" t="s">
        <v>171</v>
      </c>
      <c r="G2564" s="558" t="s">
        <v>3143</v>
      </c>
      <c r="H2564" s="558" t="s">
        <v>3402</v>
      </c>
      <c r="I2564" s="679" t="s">
        <v>100</v>
      </c>
      <c r="J2564" s="676">
        <v>0</v>
      </c>
      <c r="K2564" s="676">
        <v>0</v>
      </c>
      <c r="M2564" t="str">
        <f>""</f>
        <v/>
      </c>
    </row>
    <row r="2565" spans="1:13" ht="15.75">
      <c r="A2565">
        <v>2019</v>
      </c>
      <c r="B2565" s="777">
        <v>43510</v>
      </c>
      <c r="C2565" s="730">
        <v>0.36805555555555558</v>
      </c>
      <c r="D2565" s="777">
        <v>43510</v>
      </c>
      <c r="E2565" s="730">
        <v>0.50694444444444442</v>
      </c>
      <c r="F2565" s="558" t="s">
        <v>2288</v>
      </c>
      <c r="G2565" s="558" t="s">
        <v>3143</v>
      </c>
      <c r="H2565" s="558" t="s">
        <v>3402</v>
      </c>
      <c r="I2565" s="679" t="s">
        <v>100</v>
      </c>
      <c r="J2565" s="676">
        <v>0</v>
      </c>
      <c r="K2565" s="676">
        <v>0</v>
      </c>
      <c r="M2565" t="str">
        <f>""</f>
        <v/>
      </c>
    </row>
    <row r="2566" spans="1:13" ht="15.75">
      <c r="A2566">
        <v>2019</v>
      </c>
      <c r="B2566" s="777">
        <v>43510</v>
      </c>
      <c r="C2566" s="730">
        <v>0.51041666666666663</v>
      </c>
      <c r="D2566" s="777">
        <v>43510</v>
      </c>
      <c r="E2566" s="730">
        <v>0.51111111111111107</v>
      </c>
      <c r="F2566" s="558" t="s">
        <v>1320</v>
      </c>
      <c r="G2566" s="558" t="s">
        <v>124</v>
      </c>
      <c r="H2566" s="558" t="s">
        <v>3463</v>
      </c>
      <c r="I2566" s="679" t="s">
        <v>100</v>
      </c>
      <c r="J2566" s="676">
        <v>0</v>
      </c>
      <c r="K2566" s="676">
        <v>0</v>
      </c>
      <c r="M2566" t="str">
        <f>""</f>
        <v/>
      </c>
    </row>
    <row r="2567" spans="1:13" ht="15.75">
      <c r="A2567">
        <v>2019</v>
      </c>
      <c r="B2567" s="777">
        <v>43515</v>
      </c>
      <c r="C2567" s="730">
        <v>0.40625</v>
      </c>
      <c r="D2567" s="777" t="s">
        <v>5873</v>
      </c>
      <c r="E2567" s="730" t="s">
        <v>5873</v>
      </c>
      <c r="F2567" s="558" t="s">
        <v>166</v>
      </c>
      <c r="G2567" s="558" t="s">
        <v>1352</v>
      </c>
      <c r="H2567" s="558" t="s">
        <v>3356</v>
      </c>
      <c r="I2567" s="679" t="s">
        <v>100</v>
      </c>
      <c r="J2567" s="676">
        <v>0</v>
      </c>
      <c r="K2567" s="676">
        <v>0</v>
      </c>
      <c r="M2567" t="str">
        <f>""</f>
        <v/>
      </c>
    </row>
    <row r="2568" spans="1:13" ht="15.75">
      <c r="A2568">
        <v>2019</v>
      </c>
      <c r="B2568" s="777">
        <v>43516</v>
      </c>
      <c r="C2568" s="730">
        <v>0.53472222222222221</v>
      </c>
      <c r="D2568" s="777">
        <v>43516</v>
      </c>
      <c r="E2568" s="730">
        <v>0.56388888888888888</v>
      </c>
      <c r="F2568" s="558" t="s">
        <v>3674</v>
      </c>
      <c r="G2568" s="558" t="s">
        <v>674</v>
      </c>
      <c r="H2568" s="558" t="s">
        <v>3387</v>
      </c>
      <c r="I2568" s="679" t="s">
        <v>2764</v>
      </c>
      <c r="J2568" s="676">
        <v>740</v>
      </c>
      <c r="K2568" s="676">
        <v>0</v>
      </c>
      <c r="M2568" t="str">
        <f>""</f>
        <v/>
      </c>
    </row>
    <row r="2569" spans="1:13" ht="15.75">
      <c r="A2569">
        <v>2019</v>
      </c>
      <c r="B2569" s="777">
        <v>43521</v>
      </c>
      <c r="C2569" s="730">
        <v>0.32291666666666669</v>
      </c>
      <c r="D2569" s="777">
        <v>43521</v>
      </c>
      <c r="E2569" s="730">
        <v>0.77777777777777779</v>
      </c>
      <c r="F2569" s="558" t="s">
        <v>2113</v>
      </c>
      <c r="G2569" s="558" t="s">
        <v>61</v>
      </c>
      <c r="H2569" s="558" t="s">
        <v>3411</v>
      </c>
      <c r="I2569" s="679" t="s">
        <v>2483</v>
      </c>
      <c r="J2569" s="676">
        <v>0</v>
      </c>
      <c r="K2569" s="676">
        <v>0</v>
      </c>
      <c r="M2569" t="str">
        <f>""</f>
        <v/>
      </c>
    </row>
    <row r="2570" spans="1:13" ht="15.75">
      <c r="A2570">
        <v>2019</v>
      </c>
      <c r="B2570" s="777">
        <v>43523</v>
      </c>
      <c r="C2570" s="730">
        <v>0.47569444444444442</v>
      </c>
      <c r="D2570" s="777">
        <v>43523</v>
      </c>
      <c r="E2570" s="730">
        <v>0.73541666666666672</v>
      </c>
      <c r="F2570" s="558" t="s">
        <v>2678</v>
      </c>
      <c r="G2570" s="558" t="s">
        <v>674</v>
      </c>
      <c r="H2570" s="558" t="s">
        <v>3411</v>
      </c>
      <c r="I2570" s="679" t="s">
        <v>2483</v>
      </c>
      <c r="J2570" s="676">
        <v>0</v>
      </c>
      <c r="K2570" s="676">
        <v>0</v>
      </c>
      <c r="M2570" t="str">
        <f>""</f>
        <v/>
      </c>
    </row>
    <row r="2571" spans="1:13" ht="15.75">
      <c r="A2571">
        <v>2019</v>
      </c>
      <c r="B2571" s="777">
        <v>43523</v>
      </c>
      <c r="C2571" s="730">
        <v>0.89930555555555558</v>
      </c>
      <c r="D2571" s="777">
        <v>43523</v>
      </c>
      <c r="E2571" s="730">
        <v>0.90625</v>
      </c>
      <c r="F2571" s="558" t="s">
        <v>108</v>
      </c>
      <c r="G2571" s="558" t="s">
        <v>63</v>
      </c>
      <c r="H2571" s="558" t="s">
        <v>3402</v>
      </c>
      <c r="I2571" s="679" t="s">
        <v>2118</v>
      </c>
      <c r="J2571" s="676">
        <v>0</v>
      </c>
      <c r="K2571" s="676">
        <v>0</v>
      </c>
      <c r="M2571" t="str">
        <f>""</f>
        <v/>
      </c>
    </row>
    <row r="2572" spans="1:13" ht="15.75">
      <c r="A2572">
        <v>2019</v>
      </c>
      <c r="B2572" s="777">
        <v>43524</v>
      </c>
      <c r="C2572" s="730">
        <v>0.29305555555555557</v>
      </c>
      <c r="D2572" s="777">
        <v>43524</v>
      </c>
      <c r="E2572" s="730">
        <v>0.31458333333333333</v>
      </c>
      <c r="F2572" s="558" t="s">
        <v>3690</v>
      </c>
      <c r="G2572" s="558" t="s">
        <v>3347</v>
      </c>
      <c r="H2572" s="558" t="s">
        <v>3387</v>
      </c>
      <c r="I2572" s="679" t="s">
        <v>2764</v>
      </c>
      <c r="J2572" s="676">
        <v>0</v>
      </c>
      <c r="K2572" s="676">
        <v>0</v>
      </c>
      <c r="M2572" t="str">
        <f>""</f>
        <v/>
      </c>
    </row>
    <row r="2573" spans="1:13" ht="15.75">
      <c r="A2573">
        <v>2019</v>
      </c>
      <c r="B2573" s="777">
        <v>43528</v>
      </c>
      <c r="C2573" s="730">
        <v>0.48541666666666666</v>
      </c>
      <c r="D2573" s="777">
        <v>43532</v>
      </c>
      <c r="E2573" s="730">
        <v>0.70277777777777772</v>
      </c>
      <c r="F2573" s="558" t="s">
        <v>3693</v>
      </c>
      <c r="G2573" s="558" t="s">
        <v>3347</v>
      </c>
      <c r="H2573" s="558" t="s">
        <v>3356</v>
      </c>
      <c r="I2573" s="679" t="s">
        <v>100</v>
      </c>
      <c r="J2573" s="676">
        <v>0</v>
      </c>
      <c r="K2573" s="676">
        <v>0</v>
      </c>
      <c r="M2573" t="str">
        <f>""</f>
        <v/>
      </c>
    </row>
    <row r="2574" spans="1:13" ht="15.75">
      <c r="A2574">
        <v>2019</v>
      </c>
      <c r="B2574" s="777">
        <v>43529</v>
      </c>
      <c r="C2574" s="730">
        <v>0.38333333333333336</v>
      </c>
      <c r="D2574" s="777">
        <v>43529</v>
      </c>
      <c r="E2574" s="730">
        <v>0.7895833333333333</v>
      </c>
      <c r="F2574" s="558" t="s">
        <v>3695</v>
      </c>
      <c r="G2574" s="558" t="s">
        <v>124</v>
      </c>
      <c r="H2574" s="558" t="s">
        <v>3696</v>
      </c>
      <c r="I2574" s="679" t="s">
        <v>2764</v>
      </c>
      <c r="J2574" s="676">
        <v>0</v>
      </c>
      <c r="K2574" s="676">
        <v>0</v>
      </c>
      <c r="M2574" t="str">
        <f>""</f>
        <v/>
      </c>
    </row>
    <row r="2575" spans="1:13" ht="15.75">
      <c r="A2575">
        <v>2019</v>
      </c>
      <c r="B2575" s="777">
        <v>43537</v>
      </c>
      <c r="C2575" s="730">
        <v>0.25833333333333336</v>
      </c>
      <c r="D2575" s="777">
        <v>43537</v>
      </c>
      <c r="E2575" s="730">
        <v>0.2590277777777778</v>
      </c>
      <c r="F2575" s="558" t="s">
        <v>2967</v>
      </c>
      <c r="G2575" s="558" t="s">
        <v>124</v>
      </c>
      <c r="H2575" s="558" t="s">
        <v>3356</v>
      </c>
      <c r="I2575" s="679" t="s">
        <v>100</v>
      </c>
      <c r="J2575" s="676">
        <v>0</v>
      </c>
      <c r="K2575" s="676">
        <v>0</v>
      </c>
      <c r="M2575" t="str">
        <f>""</f>
        <v/>
      </c>
    </row>
    <row r="2576" spans="1:13" ht="15.75">
      <c r="A2576">
        <v>2019</v>
      </c>
      <c r="B2576" s="777">
        <v>43543</v>
      </c>
      <c r="C2576" s="730">
        <v>0.95347222222222228</v>
      </c>
      <c r="D2576" s="777">
        <v>43543</v>
      </c>
      <c r="E2576" s="730">
        <v>0.95416666666666672</v>
      </c>
      <c r="F2576" s="558" t="s">
        <v>3693</v>
      </c>
      <c r="G2576" s="558" t="s">
        <v>3347</v>
      </c>
      <c r="H2576" s="558" t="s">
        <v>3356</v>
      </c>
      <c r="I2576" s="679" t="s">
        <v>100</v>
      </c>
      <c r="J2576" s="676">
        <v>0</v>
      </c>
      <c r="K2576" s="676">
        <v>0</v>
      </c>
      <c r="M2576" t="str">
        <f>""</f>
        <v/>
      </c>
    </row>
    <row r="2577" spans="1:13" ht="15.75">
      <c r="A2577">
        <v>2019</v>
      </c>
      <c r="B2577" s="777">
        <v>43545</v>
      </c>
      <c r="C2577" s="730">
        <v>0.41666666666666669</v>
      </c>
      <c r="D2577" s="777">
        <v>43545</v>
      </c>
      <c r="E2577" s="730">
        <v>0.4201388888888889</v>
      </c>
      <c r="F2577" s="558" t="s">
        <v>2831</v>
      </c>
      <c r="G2577" s="558" t="s">
        <v>124</v>
      </c>
      <c r="H2577" s="558" t="s">
        <v>3463</v>
      </c>
      <c r="I2577" s="679" t="s">
        <v>100</v>
      </c>
      <c r="J2577" s="676">
        <v>0</v>
      </c>
      <c r="K2577" s="676">
        <v>0</v>
      </c>
      <c r="M2577" t="str">
        <f>""</f>
        <v/>
      </c>
    </row>
    <row r="2578" spans="1:13" ht="15.75">
      <c r="A2578">
        <v>2019</v>
      </c>
      <c r="B2578" s="777">
        <v>43553</v>
      </c>
      <c r="C2578" s="730">
        <v>0.98333333333333328</v>
      </c>
      <c r="D2578" s="777">
        <v>43554</v>
      </c>
      <c r="E2578" s="730">
        <v>8.3333333333333329E-2</v>
      </c>
      <c r="F2578" s="558" t="s">
        <v>3715</v>
      </c>
      <c r="G2578" s="558" t="s">
        <v>124</v>
      </c>
      <c r="H2578" s="558" t="s">
        <v>3463</v>
      </c>
      <c r="I2578" s="679" t="s">
        <v>2118</v>
      </c>
      <c r="J2578" s="676">
        <v>0</v>
      </c>
      <c r="K2578" s="676">
        <v>0</v>
      </c>
      <c r="M2578" t="str">
        <f>""</f>
        <v/>
      </c>
    </row>
    <row r="2579" spans="1:13" ht="15.75">
      <c r="A2579">
        <v>2019</v>
      </c>
      <c r="B2579" s="777">
        <v>43556</v>
      </c>
      <c r="C2579" s="730">
        <v>0.59375</v>
      </c>
      <c r="D2579" s="777">
        <v>43561</v>
      </c>
      <c r="E2579" s="730">
        <v>0.72222222222222221</v>
      </c>
      <c r="F2579" s="558" t="s">
        <v>3718</v>
      </c>
      <c r="G2579" s="558" t="s">
        <v>124</v>
      </c>
      <c r="H2579" s="558" t="s">
        <v>3356</v>
      </c>
      <c r="I2579" s="679" t="s">
        <v>2293</v>
      </c>
      <c r="J2579" s="676">
        <v>0</v>
      </c>
      <c r="K2579" s="676">
        <v>0</v>
      </c>
      <c r="M2579" t="str">
        <f>""</f>
        <v/>
      </c>
    </row>
    <row r="2580" spans="1:13" ht="15.75">
      <c r="A2580">
        <v>2019</v>
      </c>
      <c r="B2580" s="777">
        <v>43556</v>
      </c>
      <c r="C2580" s="730">
        <v>0.28541666666666665</v>
      </c>
      <c r="D2580" s="777">
        <v>43556</v>
      </c>
      <c r="E2580" s="730">
        <v>0.32847222222222222</v>
      </c>
      <c r="F2580" s="558" t="s">
        <v>3719</v>
      </c>
      <c r="G2580" s="558" t="s">
        <v>61</v>
      </c>
      <c r="H2580" s="558" t="s">
        <v>3387</v>
      </c>
      <c r="I2580" s="679" t="s">
        <v>2764</v>
      </c>
      <c r="J2580" s="676">
        <v>0</v>
      </c>
      <c r="K2580" s="676">
        <v>0</v>
      </c>
      <c r="M2580" t="str">
        <f>""</f>
        <v/>
      </c>
    </row>
    <row r="2581" spans="1:13" ht="15.75">
      <c r="A2581">
        <v>2019</v>
      </c>
      <c r="B2581" s="777">
        <v>43556</v>
      </c>
      <c r="C2581" s="730">
        <v>0.28541666666666665</v>
      </c>
      <c r="D2581" s="777">
        <v>43556</v>
      </c>
      <c r="E2581" s="730">
        <v>0.32847222222222222</v>
      </c>
      <c r="F2581" s="558" t="s">
        <v>3720</v>
      </c>
      <c r="G2581" s="558" t="s">
        <v>61</v>
      </c>
      <c r="H2581" s="558" t="s">
        <v>3387</v>
      </c>
      <c r="I2581" s="679" t="s">
        <v>2764</v>
      </c>
      <c r="J2581" s="676">
        <v>0</v>
      </c>
      <c r="K2581" s="676">
        <v>0</v>
      </c>
      <c r="M2581" t="str">
        <f>""</f>
        <v/>
      </c>
    </row>
    <row r="2582" spans="1:13" ht="15.75">
      <c r="A2582">
        <v>2019</v>
      </c>
      <c r="B2582" s="777">
        <v>43557</v>
      </c>
      <c r="C2582" s="730">
        <v>0.35625000000000001</v>
      </c>
      <c r="D2582" s="777">
        <v>43557</v>
      </c>
      <c r="E2582" s="730">
        <v>0.375</v>
      </c>
      <c r="F2582" s="558" t="s">
        <v>3357</v>
      </c>
      <c r="G2582" s="558" t="s">
        <v>124</v>
      </c>
      <c r="H2582" s="558" t="s">
        <v>3356</v>
      </c>
      <c r="I2582" s="679" t="s">
        <v>100</v>
      </c>
      <c r="J2582" s="676">
        <v>0</v>
      </c>
      <c r="K2582" s="676">
        <v>0</v>
      </c>
      <c r="M2582" t="str">
        <f>""</f>
        <v/>
      </c>
    </row>
    <row r="2583" spans="1:13" ht="15.75">
      <c r="A2583">
        <v>2019</v>
      </c>
      <c r="B2583" s="777">
        <v>43557</v>
      </c>
      <c r="C2583" s="730">
        <v>0.42708333333333331</v>
      </c>
      <c r="D2583" s="777">
        <v>43557</v>
      </c>
      <c r="E2583" s="730">
        <v>0.42777777777777776</v>
      </c>
      <c r="F2583" s="558" t="s">
        <v>2831</v>
      </c>
      <c r="G2583" s="558" t="s">
        <v>124</v>
      </c>
      <c r="H2583" s="558" t="s">
        <v>3463</v>
      </c>
      <c r="I2583" s="679" t="s">
        <v>100</v>
      </c>
      <c r="J2583" s="676">
        <v>0</v>
      </c>
      <c r="K2583" s="676">
        <v>0</v>
      </c>
      <c r="M2583" t="str">
        <f>""</f>
        <v/>
      </c>
    </row>
    <row r="2584" spans="1:13" ht="15.75">
      <c r="A2584">
        <v>2019</v>
      </c>
      <c r="B2584" s="777">
        <v>43558</v>
      </c>
      <c r="C2584" s="730">
        <v>0.21875</v>
      </c>
      <c r="D2584" s="777">
        <v>43558</v>
      </c>
      <c r="E2584" s="730">
        <v>0.52708333333333335</v>
      </c>
      <c r="F2584" s="558" t="s">
        <v>3397</v>
      </c>
      <c r="G2584" s="558" t="s">
        <v>124</v>
      </c>
      <c r="H2584" s="558" t="s">
        <v>3654</v>
      </c>
      <c r="I2584" s="679" t="s">
        <v>1138</v>
      </c>
      <c r="J2584" s="676">
        <v>0</v>
      </c>
      <c r="K2584" s="676">
        <v>0</v>
      </c>
      <c r="M2584" t="str">
        <f>""</f>
        <v/>
      </c>
    </row>
    <row r="2585" spans="1:13" ht="15.75">
      <c r="A2585">
        <v>2019</v>
      </c>
      <c r="B2585" s="777">
        <v>43559</v>
      </c>
      <c r="C2585" s="730">
        <v>0.42569444444444443</v>
      </c>
      <c r="D2585" s="777">
        <v>43559</v>
      </c>
      <c r="E2585" s="730">
        <v>0.50555555555555554</v>
      </c>
      <c r="F2585" s="558" t="s">
        <v>3427</v>
      </c>
      <c r="G2585" s="558" t="s">
        <v>124</v>
      </c>
      <c r="H2585" s="558" t="s">
        <v>3411</v>
      </c>
      <c r="I2585" s="679" t="s">
        <v>2483</v>
      </c>
      <c r="J2585" s="676">
        <v>0</v>
      </c>
      <c r="K2585" s="676">
        <v>0</v>
      </c>
      <c r="M2585" t="str">
        <f>""</f>
        <v/>
      </c>
    </row>
    <row r="2586" spans="1:13" ht="15.75">
      <c r="A2586">
        <v>2019</v>
      </c>
      <c r="B2586" s="777">
        <v>43565</v>
      </c>
      <c r="C2586" s="730">
        <v>0.49930555555555556</v>
      </c>
      <c r="D2586" s="777">
        <v>43565</v>
      </c>
      <c r="E2586" s="730">
        <v>0.5</v>
      </c>
      <c r="F2586" s="558" t="s">
        <v>3325</v>
      </c>
      <c r="G2586" s="558" t="s">
        <v>63</v>
      </c>
      <c r="H2586" s="558" t="s">
        <v>3402</v>
      </c>
      <c r="I2586" s="679" t="s">
        <v>2118</v>
      </c>
      <c r="J2586" s="676">
        <v>0</v>
      </c>
      <c r="K2586" s="676">
        <v>0</v>
      </c>
      <c r="M2586" t="str">
        <f>""</f>
        <v/>
      </c>
    </row>
    <row r="2587" spans="1:13" ht="15.75">
      <c r="A2587">
        <v>2019</v>
      </c>
      <c r="B2587" s="777">
        <v>43566</v>
      </c>
      <c r="C2587" s="730">
        <v>0.82499999999999996</v>
      </c>
      <c r="D2587" s="777">
        <v>43566</v>
      </c>
      <c r="E2587" s="730">
        <v>0.83333333333333337</v>
      </c>
      <c r="F2587" s="558" t="s">
        <v>3730</v>
      </c>
      <c r="G2587" s="558" t="s">
        <v>124</v>
      </c>
      <c r="H2587" s="558" t="s">
        <v>3411</v>
      </c>
      <c r="I2587" s="679" t="s">
        <v>2483</v>
      </c>
      <c r="J2587" s="676">
        <v>0</v>
      </c>
      <c r="K2587" s="676">
        <v>0</v>
      </c>
      <c r="M2587" t="str">
        <f>""</f>
        <v/>
      </c>
    </row>
    <row r="2588" spans="1:13" ht="15.75">
      <c r="A2588">
        <v>2019</v>
      </c>
      <c r="B2588" s="777">
        <v>43567</v>
      </c>
      <c r="C2588" s="730">
        <v>0.47222222222222221</v>
      </c>
      <c r="D2588" s="777">
        <v>43567</v>
      </c>
      <c r="E2588" s="730">
        <v>0.53194444444444444</v>
      </c>
      <c r="F2588" s="558" t="s">
        <v>3732</v>
      </c>
      <c r="G2588" s="558" t="s">
        <v>674</v>
      </c>
      <c r="H2588" s="558" t="s">
        <v>3411</v>
      </c>
      <c r="I2588" s="679" t="s">
        <v>2483</v>
      </c>
      <c r="J2588" s="676">
        <v>0</v>
      </c>
      <c r="K2588" s="676">
        <v>0</v>
      </c>
      <c r="M2588" t="str">
        <f>""</f>
        <v/>
      </c>
    </row>
    <row r="2589" spans="1:13" ht="15.75">
      <c r="A2589">
        <v>2019</v>
      </c>
      <c r="B2589" s="777">
        <v>43570</v>
      </c>
      <c r="C2589" s="730">
        <v>0.41666666666666669</v>
      </c>
      <c r="D2589" s="777">
        <v>43570</v>
      </c>
      <c r="E2589" s="730">
        <v>0.58333333333333337</v>
      </c>
      <c r="F2589" s="558" t="s">
        <v>3738</v>
      </c>
      <c r="G2589" s="558" t="s">
        <v>674</v>
      </c>
      <c r="H2589" s="558" t="s">
        <v>3356</v>
      </c>
      <c r="I2589" s="679" t="s">
        <v>100</v>
      </c>
      <c r="J2589" s="676">
        <v>0</v>
      </c>
      <c r="K2589" s="676">
        <v>0</v>
      </c>
      <c r="M2589" t="str">
        <f>""</f>
        <v/>
      </c>
    </row>
    <row r="2590" spans="1:13" ht="15.75">
      <c r="A2590">
        <v>2019</v>
      </c>
      <c r="B2590" s="777">
        <v>43571</v>
      </c>
      <c r="C2590" s="730">
        <v>0.4375</v>
      </c>
      <c r="D2590" s="777">
        <v>43571</v>
      </c>
      <c r="E2590" s="730">
        <v>0.45833333333333331</v>
      </c>
      <c r="F2590" s="558" t="s">
        <v>3357</v>
      </c>
      <c r="G2590" s="558" t="s">
        <v>124</v>
      </c>
      <c r="H2590" s="558" t="s">
        <v>3356</v>
      </c>
      <c r="I2590" s="679" t="s">
        <v>100</v>
      </c>
      <c r="J2590" s="676">
        <v>0</v>
      </c>
      <c r="K2590" s="676">
        <v>0</v>
      </c>
      <c r="M2590" t="str">
        <f>""</f>
        <v/>
      </c>
    </row>
    <row r="2591" spans="1:13" ht="15.75">
      <c r="A2591">
        <v>2019</v>
      </c>
      <c r="B2591" s="777">
        <v>43572</v>
      </c>
      <c r="C2591" s="730">
        <v>0.81805555555555554</v>
      </c>
      <c r="D2591" s="777">
        <v>43572</v>
      </c>
      <c r="E2591" s="730">
        <v>0.99444444444444446</v>
      </c>
      <c r="F2591" s="558" t="s">
        <v>3741</v>
      </c>
      <c r="G2591" s="558" t="s">
        <v>124</v>
      </c>
      <c r="H2591" s="558" t="s">
        <v>3387</v>
      </c>
      <c r="I2591" s="679" t="s">
        <v>2764</v>
      </c>
      <c r="J2591" s="676">
        <v>0</v>
      </c>
      <c r="K2591" s="676">
        <v>0</v>
      </c>
      <c r="M2591" t="str">
        <f>""</f>
        <v/>
      </c>
    </row>
    <row r="2592" spans="1:13" ht="15.75">
      <c r="A2592">
        <v>2019</v>
      </c>
      <c r="B2592" s="777">
        <v>43573</v>
      </c>
      <c r="C2592" s="730">
        <v>0.83888888888888891</v>
      </c>
      <c r="D2592" s="777">
        <v>43574</v>
      </c>
      <c r="E2592" s="730">
        <v>0.45833333333333331</v>
      </c>
      <c r="F2592" s="558" t="s">
        <v>3744</v>
      </c>
      <c r="G2592" s="558" t="s">
        <v>124</v>
      </c>
      <c r="H2592" s="558" t="s">
        <v>3411</v>
      </c>
      <c r="I2592" s="679" t="s">
        <v>2483</v>
      </c>
      <c r="J2592" s="676">
        <v>0</v>
      </c>
      <c r="K2592" s="676">
        <v>0</v>
      </c>
      <c r="M2592" t="str">
        <f>""</f>
        <v/>
      </c>
    </row>
    <row r="2593" spans="1:13" ht="15.75">
      <c r="A2593">
        <v>2019</v>
      </c>
      <c r="B2593" s="777">
        <v>43576</v>
      </c>
      <c r="C2593" s="730">
        <v>0.44444444444444442</v>
      </c>
      <c r="D2593" s="777">
        <v>43576</v>
      </c>
      <c r="E2593" s="730">
        <v>0.44791666666666669</v>
      </c>
      <c r="F2593" s="558" t="s">
        <v>2831</v>
      </c>
      <c r="G2593" s="558" t="s">
        <v>124</v>
      </c>
      <c r="H2593" s="558" t="s">
        <v>3356</v>
      </c>
      <c r="I2593" s="679" t="s">
        <v>100</v>
      </c>
      <c r="J2593" s="676">
        <v>0</v>
      </c>
      <c r="K2593" s="676">
        <v>0</v>
      </c>
      <c r="M2593" t="str">
        <f>""</f>
        <v/>
      </c>
    </row>
    <row r="2594" spans="1:13" ht="15.75">
      <c r="A2594">
        <v>2019</v>
      </c>
      <c r="B2594" s="777">
        <v>43581</v>
      </c>
      <c r="C2594" s="730">
        <v>0.63611111111111107</v>
      </c>
      <c r="D2594" s="777">
        <v>43581</v>
      </c>
      <c r="E2594" s="730">
        <v>0.63680555555555551</v>
      </c>
      <c r="F2594" s="558" t="s">
        <v>3758</v>
      </c>
      <c r="G2594" s="558" t="s">
        <v>61</v>
      </c>
      <c r="H2594" s="558" t="s">
        <v>3411</v>
      </c>
      <c r="I2594" s="679" t="s">
        <v>2990</v>
      </c>
      <c r="J2594" s="676">
        <v>0</v>
      </c>
      <c r="K2594" s="676">
        <v>0</v>
      </c>
      <c r="M2594" t="str">
        <f>""</f>
        <v/>
      </c>
    </row>
    <row r="2595" spans="1:13" ht="15.75">
      <c r="A2595">
        <v>2019</v>
      </c>
      <c r="B2595" s="777">
        <v>43583</v>
      </c>
      <c r="C2595" s="730">
        <v>0.56944444444444442</v>
      </c>
      <c r="D2595" s="777">
        <v>43583</v>
      </c>
      <c r="E2595" s="730">
        <v>0.61736111111111114</v>
      </c>
      <c r="F2595" s="558" t="s">
        <v>2896</v>
      </c>
      <c r="G2595" s="558" t="s">
        <v>63</v>
      </c>
      <c r="H2595" s="558" t="s">
        <v>3387</v>
      </c>
      <c r="I2595" s="679" t="s">
        <v>2764</v>
      </c>
      <c r="J2595" s="676">
        <v>0</v>
      </c>
      <c r="K2595" s="676">
        <v>0</v>
      </c>
      <c r="M2595" t="str">
        <f>""</f>
        <v/>
      </c>
    </row>
    <row r="2596" spans="1:13" ht="15.75">
      <c r="A2596">
        <v>2019</v>
      </c>
      <c r="B2596" s="777">
        <v>43583</v>
      </c>
      <c r="C2596" s="730">
        <v>0.4465277777777778</v>
      </c>
      <c r="D2596" s="777">
        <v>43584</v>
      </c>
      <c r="E2596" s="730">
        <v>8.7499999999999994E-2</v>
      </c>
      <c r="F2596" s="558" t="s">
        <v>2895</v>
      </c>
      <c r="G2596" s="558" t="s">
        <v>3143</v>
      </c>
      <c r="H2596" s="558" t="s">
        <v>3411</v>
      </c>
      <c r="I2596" s="679" t="s">
        <v>2483</v>
      </c>
      <c r="J2596" s="676">
        <v>0</v>
      </c>
      <c r="K2596" s="676">
        <v>0</v>
      </c>
      <c r="M2596" t="str">
        <f>""</f>
        <v/>
      </c>
    </row>
    <row r="2597" spans="1:13" ht="15.75">
      <c r="A2597">
        <v>2019</v>
      </c>
      <c r="B2597" s="777">
        <v>43584</v>
      </c>
      <c r="C2597" s="730">
        <v>0.72013888888888888</v>
      </c>
      <c r="D2597" s="777">
        <v>43585</v>
      </c>
      <c r="E2597" s="730">
        <v>0.39027777777777778</v>
      </c>
      <c r="F2597" s="558" t="s">
        <v>3762</v>
      </c>
      <c r="G2597" s="558" t="s">
        <v>63</v>
      </c>
      <c r="H2597" s="558" t="s">
        <v>3356</v>
      </c>
      <c r="I2597" s="679" t="s">
        <v>100</v>
      </c>
      <c r="J2597" s="676">
        <v>0</v>
      </c>
      <c r="K2597" s="676">
        <v>0</v>
      </c>
      <c r="M2597" t="str">
        <f>""</f>
        <v/>
      </c>
    </row>
    <row r="2598" spans="1:13" ht="15.75">
      <c r="A2598">
        <v>2019</v>
      </c>
      <c r="B2598" s="777">
        <v>43585</v>
      </c>
      <c r="C2598" s="730">
        <v>0.51736111111111116</v>
      </c>
      <c r="D2598" s="777">
        <v>43585</v>
      </c>
      <c r="E2598" s="730">
        <v>0.5493055555555556</v>
      </c>
      <c r="F2598" s="558" t="s">
        <v>3561</v>
      </c>
      <c r="G2598" s="558" t="s">
        <v>3143</v>
      </c>
      <c r="H2598" s="558" t="s">
        <v>3387</v>
      </c>
      <c r="I2598" s="679" t="s">
        <v>2764</v>
      </c>
      <c r="J2598" s="676">
        <v>0</v>
      </c>
      <c r="K2598" s="676">
        <v>0</v>
      </c>
      <c r="M2598" t="str">
        <f>""</f>
        <v/>
      </c>
    </row>
    <row r="2599" spans="1:13" ht="15.75">
      <c r="A2599">
        <v>2019</v>
      </c>
      <c r="B2599" s="777">
        <v>43594</v>
      </c>
      <c r="C2599" s="730">
        <v>0.79583333333333328</v>
      </c>
      <c r="D2599" s="777">
        <v>43595</v>
      </c>
      <c r="E2599" s="730">
        <v>0.12291666666666666</v>
      </c>
      <c r="F2599" s="558" t="s">
        <v>2809</v>
      </c>
      <c r="G2599" s="558" t="s">
        <v>1352</v>
      </c>
      <c r="H2599" s="558" t="s">
        <v>3411</v>
      </c>
      <c r="I2599" s="679" t="s">
        <v>2990</v>
      </c>
      <c r="J2599" s="676">
        <v>0</v>
      </c>
      <c r="K2599" s="676">
        <v>0</v>
      </c>
      <c r="M2599" t="str">
        <f>""</f>
        <v/>
      </c>
    </row>
    <row r="2600" spans="1:13" ht="15.75">
      <c r="A2600">
        <v>2019</v>
      </c>
      <c r="B2600" s="777">
        <v>43596</v>
      </c>
      <c r="C2600" s="730">
        <v>0.58888888888888891</v>
      </c>
      <c r="D2600" s="777">
        <v>43596</v>
      </c>
      <c r="E2600" s="730">
        <v>0.625</v>
      </c>
      <c r="F2600" s="558" t="s">
        <v>3357</v>
      </c>
      <c r="G2600" s="558" t="s">
        <v>124</v>
      </c>
      <c r="H2600" s="558" t="s">
        <v>3356</v>
      </c>
      <c r="I2600" s="679" t="s">
        <v>100</v>
      </c>
      <c r="J2600" s="676">
        <v>0</v>
      </c>
      <c r="K2600" s="676">
        <v>0</v>
      </c>
      <c r="M2600" t="str">
        <f>""</f>
        <v/>
      </c>
    </row>
    <row r="2601" spans="1:13" ht="15.75">
      <c r="A2601">
        <v>2019</v>
      </c>
      <c r="B2601" s="777">
        <v>43603</v>
      </c>
      <c r="C2601" s="730">
        <v>7.9861111111111105E-2</v>
      </c>
      <c r="D2601" s="777">
        <v>43603</v>
      </c>
      <c r="E2601" s="730">
        <v>0.62916666666666665</v>
      </c>
      <c r="F2601" s="558" t="s">
        <v>3781</v>
      </c>
      <c r="G2601" s="558" t="s">
        <v>124</v>
      </c>
      <c r="H2601" s="558" t="s">
        <v>3463</v>
      </c>
      <c r="I2601" s="679" t="s">
        <v>100</v>
      </c>
      <c r="J2601" s="676">
        <v>30</v>
      </c>
      <c r="K2601" s="676">
        <v>0</v>
      </c>
      <c r="M2601" t="str">
        <f>""</f>
        <v/>
      </c>
    </row>
    <row r="2602" spans="1:13" ht="15.75">
      <c r="A2602">
        <v>2019</v>
      </c>
      <c r="B2602" s="777">
        <v>43608</v>
      </c>
      <c r="C2602" s="730">
        <v>4.9305555555555554E-2</v>
      </c>
      <c r="D2602" s="777">
        <v>43608</v>
      </c>
      <c r="E2602" s="730">
        <v>0.5</v>
      </c>
      <c r="F2602" s="558" t="s">
        <v>3561</v>
      </c>
      <c r="G2602" s="558" t="s">
        <v>3143</v>
      </c>
      <c r="H2602" s="558" t="s">
        <v>3411</v>
      </c>
      <c r="I2602" s="679" t="s">
        <v>2990</v>
      </c>
      <c r="J2602" s="676">
        <v>0</v>
      </c>
      <c r="K2602" s="676">
        <v>0</v>
      </c>
      <c r="M2602" t="str">
        <f>""</f>
        <v/>
      </c>
    </row>
    <row r="2603" spans="1:13" ht="15.75">
      <c r="A2603">
        <v>2019</v>
      </c>
      <c r="B2603" s="777">
        <v>43609</v>
      </c>
      <c r="C2603" s="730">
        <v>0.31111111111111112</v>
      </c>
      <c r="D2603" s="777">
        <v>43609</v>
      </c>
      <c r="E2603" s="730">
        <v>0.35416666666666669</v>
      </c>
      <c r="F2603" s="558" t="s">
        <v>3784</v>
      </c>
      <c r="G2603" s="558" t="s">
        <v>63</v>
      </c>
      <c r="H2603" s="558" t="s">
        <v>3387</v>
      </c>
      <c r="I2603" s="679" t="s">
        <v>2764</v>
      </c>
      <c r="J2603" s="676">
        <v>0</v>
      </c>
      <c r="K2603" s="676">
        <v>0</v>
      </c>
      <c r="M2603" t="str">
        <f>""</f>
        <v/>
      </c>
    </row>
    <row r="2604" spans="1:13" ht="15.75">
      <c r="A2604">
        <v>2019</v>
      </c>
      <c r="B2604" s="777">
        <v>43609</v>
      </c>
      <c r="C2604" s="730">
        <v>0.83958333333333335</v>
      </c>
      <c r="D2604" s="777">
        <v>43610</v>
      </c>
      <c r="E2604" s="730">
        <v>0.59930555555555554</v>
      </c>
      <c r="F2604" s="558" t="s">
        <v>3786</v>
      </c>
      <c r="G2604" s="558" t="s">
        <v>674</v>
      </c>
      <c r="H2604" s="558" t="s">
        <v>3387</v>
      </c>
      <c r="I2604" s="679" t="s">
        <v>2764</v>
      </c>
      <c r="J2604" s="676">
        <v>0</v>
      </c>
      <c r="K2604" s="676">
        <v>0</v>
      </c>
      <c r="M2604" t="str">
        <f>""</f>
        <v/>
      </c>
    </row>
    <row r="2605" spans="1:13" ht="15.75">
      <c r="A2605">
        <v>2019</v>
      </c>
      <c r="B2605" s="777">
        <v>43620</v>
      </c>
      <c r="C2605" s="730">
        <v>0.42708333333333331</v>
      </c>
      <c r="D2605" s="777">
        <v>43620</v>
      </c>
      <c r="E2605" s="730">
        <v>0.55208333333333337</v>
      </c>
      <c r="F2605" s="558" t="s">
        <v>3795</v>
      </c>
      <c r="G2605" s="558" t="s">
        <v>124</v>
      </c>
      <c r="H2605" s="558" t="s">
        <v>3402</v>
      </c>
      <c r="I2605" s="679" t="s">
        <v>2118</v>
      </c>
      <c r="J2605" s="676">
        <v>0</v>
      </c>
      <c r="K2605" s="676">
        <v>0</v>
      </c>
      <c r="M2605" t="str">
        <f>""</f>
        <v/>
      </c>
    </row>
    <row r="2606" spans="1:13" ht="15.75">
      <c r="A2606">
        <v>2019</v>
      </c>
      <c r="B2606" s="777">
        <v>43621</v>
      </c>
      <c r="C2606" s="730">
        <v>0.35902777777777778</v>
      </c>
      <c r="D2606" s="777">
        <v>43621</v>
      </c>
      <c r="E2606" s="730">
        <v>0.3611111111111111</v>
      </c>
      <c r="F2606" s="558" t="s">
        <v>2850</v>
      </c>
      <c r="G2606" s="558" t="s">
        <v>124</v>
      </c>
      <c r="H2606" s="558" t="s">
        <v>3402</v>
      </c>
      <c r="I2606" s="679" t="s">
        <v>100</v>
      </c>
      <c r="J2606" s="676">
        <v>0</v>
      </c>
      <c r="K2606" s="676">
        <v>0</v>
      </c>
      <c r="M2606" t="str">
        <f>""</f>
        <v/>
      </c>
    </row>
    <row r="2607" spans="1:13" ht="15.75">
      <c r="A2607">
        <v>2019</v>
      </c>
      <c r="B2607" s="777">
        <v>43621</v>
      </c>
      <c r="C2607" s="730">
        <v>0.42777777777777776</v>
      </c>
      <c r="D2607" s="777">
        <v>43621</v>
      </c>
      <c r="E2607" s="730">
        <v>0.4284722222222222</v>
      </c>
      <c r="F2607" s="558" t="s">
        <v>3797</v>
      </c>
      <c r="G2607" s="558" t="s">
        <v>674</v>
      </c>
      <c r="H2607" s="558" t="s">
        <v>3356</v>
      </c>
      <c r="I2607" s="679" t="s">
        <v>100</v>
      </c>
      <c r="J2607" s="676">
        <v>0</v>
      </c>
      <c r="K2607" s="676">
        <v>0</v>
      </c>
      <c r="M2607" t="str">
        <f>""</f>
        <v/>
      </c>
    </row>
    <row r="2608" spans="1:13" ht="15.75">
      <c r="A2608">
        <v>2019</v>
      </c>
      <c r="B2608" s="777">
        <v>43621</v>
      </c>
      <c r="C2608" s="730">
        <v>0.40694444444444444</v>
      </c>
      <c r="D2608" s="777">
        <v>43621</v>
      </c>
      <c r="E2608" s="730">
        <v>0.5</v>
      </c>
      <c r="F2608" s="558" t="s">
        <v>3357</v>
      </c>
      <c r="G2608" s="558" t="s">
        <v>124</v>
      </c>
      <c r="H2608" s="558" t="s">
        <v>3356</v>
      </c>
      <c r="I2608" s="679" t="s">
        <v>100</v>
      </c>
      <c r="J2608" s="676">
        <v>0</v>
      </c>
      <c r="K2608" s="676">
        <v>0</v>
      </c>
      <c r="M2608" t="str">
        <f>""</f>
        <v/>
      </c>
    </row>
    <row r="2609" spans="1:13" ht="15.75">
      <c r="A2609">
        <v>2019</v>
      </c>
      <c r="B2609" s="777">
        <v>43624</v>
      </c>
      <c r="C2609" s="730">
        <v>0.65972222222222221</v>
      </c>
      <c r="D2609" s="777">
        <v>43624</v>
      </c>
      <c r="E2609" s="730">
        <v>0.81944444444444442</v>
      </c>
      <c r="F2609" s="558" t="s">
        <v>3803</v>
      </c>
      <c r="G2609" s="558" t="s">
        <v>1352</v>
      </c>
      <c r="H2609" s="558" t="s">
        <v>3411</v>
      </c>
      <c r="I2609" s="679" t="s">
        <v>2483</v>
      </c>
      <c r="J2609" s="676">
        <v>0</v>
      </c>
      <c r="K2609" s="676">
        <v>0</v>
      </c>
      <c r="M2609" t="str">
        <f>""</f>
        <v/>
      </c>
    </row>
    <row r="2610" spans="1:13" ht="15.75">
      <c r="A2610">
        <v>2019</v>
      </c>
      <c r="B2610" s="777">
        <v>43627</v>
      </c>
      <c r="C2610" s="730">
        <v>0.63263888888888886</v>
      </c>
      <c r="D2610" s="777">
        <v>43627</v>
      </c>
      <c r="E2610" s="730">
        <v>0.70833333333333337</v>
      </c>
      <c r="F2610" s="558" t="s">
        <v>3809</v>
      </c>
      <c r="G2610" s="558" t="s">
        <v>674</v>
      </c>
      <c r="H2610" s="558" t="s">
        <v>3356</v>
      </c>
      <c r="I2610" s="679" t="s">
        <v>100</v>
      </c>
      <c r="J2610" s="676">
        <v>0</v>
      </c>
      <c r="K2610" s="676">
        <v>0</v>
      </c>
      <c r="M2610" t="str">
        <f>""</f>
        <v/>
      </c>
    </row>
    <row r="2611" spans="1:13" ht="15.75">
      <c r="A2611">
        <v>2019</v>
      </c>
      <c r="B2611" s="777">
        <v>43627</v>
      </c>
      <c r="C2611" s="730">
        <v>0.32777777777777778</v>
      </c>
      <c r="D2611" s="777">
        <v>43627</v>
      </c>
      <c r="E2611" s="730">
        <v>0.32847222222222222</v>
      </c>
      <c r="F2611" s="558" t="s">
        <v>2865</v>
      </c>
      <c r="G2611" s="558" t="s">
        <v>124</v>
      </c>
      <c r="H2611" s="558" t="s">
        <v>3463</v>
      </c>
      <c r="I2611" s="679" t="s">
        <v>100</v>
      </c>
      <c r="J2611" s="676">
        <v>0</v>
      </c>
      <c r="K2611" s="676">
        <v>0</v>
      </c>
      <c r="M2611" t="str">
        <f>""</f>
        <v/>
      </c>
    </row>
    <row r="2612" spans="1:13" ht="15.75">
      <c r="A2612">
        <v>2019</v>
      </c>
      <c r="B2612" s="777">
        <v>43634</v>
      </c>
      <c r="C2612" s="730">
        <v>0.26458333333333334</v>
      </c>
      <c r="D2612" s="777">
        <v>43634</v>
      </c>
      <c r="E2612" s="730">
        <v>0.27777777777777779</v>
      </c>
      <c r="F2612" s="558" t="s">
        <v>3819</v>
      </c>
      <c r="G2612" s="558" t="s">
        <v>124</v>
      </c>
      <c r="H2612" s="558" t="s">
        <v>3402</v>
      </c>
      <c r="I2612" s="679" t="s">
        <v>2118</v>
      </c>
      <c r="J2612" s="676">
        <v>0</v>
      </c>
      <c r="K2612" s="676">
        <v>0</v>
      </c>
      <c r="M2612" t="str">
        <f>""</f>
        <v/>
      </c>
    </row>
    <row r="2613" spans="1:13" ht="15.75">
      <c r="A2613">
        <v>2019</v>
      </c>
      <c r="B2613" s="777">
        <v>43635</v>
      </c>
      <c r="C2613" s="730">
        <v>0.45833333333333331</v>
      </c>
      <c r="D2613" s="777">
        <v>43635</v>
      </c>
      <c r="E2613" s="730">
        <v>0.45902777777777776</v>
      </c>
      <c r="F2613" s="558" t="s">
        <v>3693</v>
      </c>
      <c r="G2613" s="558" t="s">
        <v>3347</v>
      </c>
      <c r="H2613" s="558" t="s">
        <v>3356</v>
      </c>
      <c r="I2613" s="679" t="s">
        <v>100</v>
      </c>
      <c r="J2613" s="676">
        <v>0</v>
      </c>
      <c r="K2613" s="676">
        <v>0</v>
      </c>
      <c r="M2613" t="str">
        <f>""</f>
        <v/>
      </c>
    </row>
    <row r="2614" spans="1:13" ht="15.75">
      <c r="A2614">
        <v>2019</v>
      </c>
      <c r="B2614" s="777">
        <v>43635</v>
      </c>
      <c r="C2614" s="730">
        <v>0.625</v>
      </c>
      <c r="D2614" s="777" t="s">
        <v>5873</v>
      </c>
      <c r="E2614" s="730" t="s">
        <v>5873</v>
      </c>
      <c r="F2614" s="558" t="s">
        <v>2817</v>
      </c>
      <c r="G2614" s="558" t="s">
        <v>124</v>
      </c>
      <c r="H2614" s="558" t="s">
        <v>3356</v>
      </c>
      <c r="I2614" s="679" t="s">
        <v>100</v>
      </c>
      <c r="J2614" s="676">
        <v>0</v>
      </c>
      <c r="K2614" s="676">
        <v>0</v>
      </c>
      <c r="M2614" t="str">
        <f>""</f>
        <v/>
      </c>
    </row>
    <row r="2615" spans="1:13" ht="15.75">
      <c r="A2615">
        <v>2019</v>
      </c>
      <c r="B2615" s="777">
        <v>43637</v>
      </c>
      <c r="C2615" s="730">
        <v>0.77500000000000002</v>
      </c>
      <c r="D2615" s="777">
        <v>43637</v>
      </c>
      <c r="E2615" s="730">
        <v>0.81041666666666667</v>
      </c>
      <c r="F2615" s="558" t="s">
        <v>2959</v>
      </c>
      <c r="G2615" s="558" t="s">
        <v>61</v>
      </c>
      <c r="H2615" s="558" t="s">
        <v>3387</v>
      </c>
      <c r="I2615" s="679" t="s">
        <v>2764</v>
      </c>
      <c r="J2615" s="676">
        <v>0</v>
      </c>
      <c r="K2615" s="676">
        <v>0</v>
      </c>
      <c r="M2615" t="str">
        <f>""</f>
        <v/>
      </c>
    </row>
    <row r="2616" spans="1:13" ht="15.75">
      <c r="A2616">
        <v>2019</v>
      </c>
      <c r="B2616" s="777">
        <v>43637</v>
      </c>
      <c r="C2616" s="730">
        <v>0.41666666666666669</v>
      </c>
      <c r="D2616" s="777">
        <v>43637</v>
      </c>
      <c r="E2616" s="730">
        <v>0.45833333333333331</v>
      </c>
      <c r="F2616" s="558" t="s">
        <v>3357</v>
      </c>
      <c r="G2616" s="558" t="s">
        <v>124</v>
      </c>
      <c r="H2616" s="558" t="s">
        <v>3356</v>
      </c>
      <c r="I2616" s="679" t="s">
        <v>100</v>
      </c>
      <c r="J2616" s="676">
        <v>0</v>
      </c>
      <c r="K2616" s="676">
        <v>0</v>
      </c>
      <c r="M2616" t="str">
        <f>""</f>
        <v/>
      </c>
    </row>
    <row r="2617" spans="1:13" ht="15.75">
      <c r="A2617">
        <v>2019</v>
      </c>
      <c r="B2617" s="777">
        <v>43640</v>
      </c>
      <c r="C2617" s="730">
        <v>0.40277777777777779</v>
      </c>
      <c r="D2617" s="777">
        <v>43640</v>
      </c>
      <c r="E2617" s="730">
        <v>0.63680555555555551</v>
      </c>
      <c r="F2617" s="558" t="s">
        <v>3835</v>
      </c>
      <c r="G2617" s="558" t="s">
        <v>3347</v>
      </c>
      <c r="H2617" s="558" t="s">
        <v>3447</v>
      </c>
      <c r="I2617" s="679" t="s">
        <v>2764</v>
      </c>
      <c r="J2617" s="676">
        <v>0</v>
      </c>
      <c r="K2617" s="676">
        <v>0</v>
      </c>
      <c r="M2617" t="str">
        <f>""</f>
        <v/>
      </c>
    </row>
    <row r="2618" spans="1:13" ht="15.75">
      <c r="A2618">
        <v>2019</v>
      </c>
      <c r="B2618" s="777">
        <v>43642</v>
      </c>
      <c r="C2618" s="730">
        <v>0.58194444444444449</v>
      </c>
      <c r="D2618" s="777">
        <v>43642</v>
      </c>
      <c r="E2618" s="730">
        <v>0.5854166666666667</v>
      </c>
      <c r="F2618" s="558" t="s">
        <v>3838</v>
      </c>
      <c r="G2618" s="558" t="s">
        <v>674</v>
      </c>
      <c r="H2618" s="558" t="s">
        <v>3411</v>
      </c>
      <c r="I2618" s="679" t="s">
        <v>2483</v>
      </c>
      <c r="J2618" s="676">
        <v>53</v>
      </c>
      <c r="K2618" s="676">
        <v>0</v>
      </c>
      <c r="M2618" t="str">
        <f>""</f>
        <v/>
      </c>
    </row>
    <row r="2619" spans="1:13" ht="15.75">
      <c r="A2619">
        <v>2019</v>
      </c>
      <c r="B2619" s="777">
        <v>43644</v>
      </c>
      <c r="C2619" s="730">
        <v>0.60069444444444442</v>
      </c>
      <c r="D2619" s="777" t="s">
        <v>5873</v>
      </c>
      <c r="E2619" s="730" t="s">
        <v>5873</v>
      </c>
      <c r="F2619" s="558" t="s">
        <v>3841</v>
      </c>
      <c r="G2619" s="558" t="s">
        <v>124</v>
      </c>
      <c r="H2619" s="558" t="s">
        <v>3411</v>
      </c>
      <c r="I2619" s="679" t="s">
        <v>2483</v>
      </c>
      <c r="J2619" s="676">
        <v>0</v>
      </c>
      <c r="K2619" s="676">
        <v>0</v>
      </c>
      <c r="M2619" t="str">
        <f>""</f>
        <v/>
      </c>
    </row>
    <row r="2620" spans="1:13" ht="15.75">
      <c r="A2620">
        <v>2019</v>
      </c>
      <c r="B2620" s="777">
        <v>43648</v>
      </c>
      <c r="C2620" s="730">
        <v>0.54166666666666663</v>
      </c>
      <c r="D2620" s="777">
        <v>43648</v>
      </c>
      <c r="E2620" s="730">
        <v>0.55694444444444446</v>
      </c>
      <c r="F2620" s="558" t="s">
        <v>2847</v>
      </c>
      <c r="G2620" s="558" t="s">
        <v>124</v>
      </c>
      <c r="H2620" s="558" t="s">
        <v>3356</v>
      </c>
      <c r="I2620" s="679" t="s">
        <v>100</v>
      </c>
      <c r="J2620" s="676">
        <v>0</v>
      </c>
      <c r="K2620" s="676">
        <v>0</v>
      </c>
      <c r="M2620" t="str">
        <f>""</f>
        <v/>
      </c>
    </row>
    <row r="2621" spans="1:13" ht="15.75">
      <c r="A2621">
        <v>2019</v>
      </c>
      <c r="B2621" s="777">
        <v>43655</v>
      </c>
      <c r="C2621" s="730">
        <v>8.2638888888888887E-2</v>
      </c>
      <c r="D2621" s="777">
        <v>43655</v>
      </c>
      <c r="E2621" s="730">
        <v>0.65972222222222221</v>
      </c>
      <c r="F2621" s="558" t="s">
        <v>3853</v>
      </c>
      <c r="G2621" s="558" t="s">
        <v>3347</v>
      </c>
      <c r="H2621" s="558" t="s">
        <v>3356</v>
      </c>
      <c r="I2621" s="679" t="s">
        <v>100</v>
      </c>
      <c r="J2621" s="676">
        <v>0</v>
      </c>
      <c r="K2621" s="676">
        <v>0</v>
      </c>
      <c r="M2621" t="str">
        <f>""</f>
        <v/>
      </c>
    </row>
    <row r="2622" spans="1:13" ht="15.75">
      <c r="A2622">
        <v>2019</v>
      </c>
      <c r="B2622" s="777">
        <v>43656</v>
      </c>
      <c r="C2622" s="730">
        <v>0.5</v>
      </c>
      <c r="D2622" s="777">
        <v>43656</v>
      </c>
      <c r="E2622" s="730">
        <v>0.51041666666666663</v>
      </c>
      <c r="F2622" s="558" t="s">
        <v>2831</v>
      </c>
      <c r="G2622" s="558" t="s">
        <v>124</v>
      </c>
      <c r="H2622" s="558" t="s">
        <v>3356</v>
      </c>
      <c r="I2622" s="679" t="s">
        <v>100</v>
      </c>
      <c r="J2622" s="676">
        <v>0</v>
      </c>
      <c r="K2622" s="676">
        <v>0</v>
      </c>
      <c r="M2622" t="str">
        <f>""</f>
        <v/>
      </c>
    </row>
    <row r="2623" spans="1:13" ht="15.75">
      <c r="A2623">
        <v>2019</v>
      </c>
      <c r="B2623" s="777">
        <v>43663</v>
      </c>
      <c r="C2623" s="730">
        <v>0.59166666666666667</v>
      </c>
      <c r="D2623" s="777">
        <v>43663</v>
      </c>
      <c r="E2623" s="730">
        <v>0.60416666666666663</v>
      </c>
      <c r="F2623" s="558" t="s">
        <v>3835</v>
      </c>
      <c r="G2623" s="558" t="s">
        <v>3347</v>
      </c>
      <c r="H2623" s="558" t="s">
        <v>3402</v>
      </c>
      <c r="I2623" s="679" t="s">
        <v>2118</v>
      </c>
      <c r="J2623" s="676">
        <v>0</v>
      </c>
      <c r="K2623" s="676">
        <v>0</v>
      </c>
      <c r="M2623" t="str">
        <f>""</f>
        <v/>
      </c>
    </row>
    <row r="2624" spans="1:13" ht="15.75">
      <c r="A2624">
        <v>2019</v>
      </c>
      <c r="B2624" s="777">
        <v>43666</v>
      </c>
      <c r="C2624" s="730">
        <v>0.31736111111111109</v>
      </c>
      <c r="D2624" s="777">
        <v>43666</v>
      </c>
      <c r="E2624" s="730">
        <v>0.3888888888888889</v>
      </c>
      <c r="F2624" s="558" t="s">
        <v>3439</v>
      </c>
      <c r="G2624" s="558" t="s">
        <v>63</v>
      </c>
      <c r="H2624" s="558" t="s">
        <v>3874</v>
      </c>
      <c r="I2624" s="679" t="s">
        <v>2118</v>
      </c>
      <c r="J2624" s="676">
        <v>0</v>
      </c>
      <c r="K2624" s="676">
        <v>0</v>
      </c>
      <c r="M2624" t="str">
        <f>""</f>
        <v/>
      </c>
    </row>
    <row r="2625" spans="1:13" ht="15.75">
      <c r="A2625">
        <v>2019</v>
      </c>
      <c r="B2625" s="777">
        <v>43669</v>
      </c>
      <c r="C2625" s="730">
        <v>0.99652777777777779</v>
      </c>
      <c r="D2625" s="777">
        <v>43669</v>
      </c>
      <c r="E2625" s="730">
        <v>0.99722222222222223</v>
      </c>
      <c r="F2625" s="558" t="s">
        <v>3642</v>
      </c>
      <c r="G2625" s="558" t="s">
        <v>674</v>
      </c>
      <c r="H2625" s="558" t="s">
        <v>3411</v>
      </c>
      <c r="I2625" s="679" t="s">
        <v>2483</v>
      </c>
      <c r="J2625" s="676">
        <v>0</v>
      </c>
      <c r="K2625" s="676">
        <v>0</v>
      </c>
      <c r="M2625" t="str">
        <f>""</f>
        <v/>
      </c>
    </row>
    <row r="2626" spans="1:13" ht="15.75">
      <c r="A2626">
        <v>2019</v>
      </c>
      <c r="B2626" s="777">
        <v>43669</v>
      </c>
      <c r="C2626" s="730">
        <v>0.99652777777777779</v>
      </c>
      <c r="D2626" s="777">
        <v>43670</v>
      </c>
      <c r="E2626" s="730">
        <v>0.22361111111111112</v>
      </c>
      <c r="F2626" s="558" t="s">
        <v>3890</v>
      </c>
      <c r="G2626" s="558" t="s">
        <v>674</v>
      </c>
      <c r="H2626" s="558" t="s">
        <v>3411</v>
      </c>
      <c r="I2626" s="679" t="s">
        <v>2483</v>
      </c>
      <c r="J2626" s="676">
        <v>0</v>
      </c>
      <c r="K2626" s="676">
        <v>0</v>
      </c>
      <c r="M2626" t="str">
        <f>""</f>
        <v/>
      </c>
    </row>
    <row r="2627" spans="1:13" ht="15.75">
      <c r="A2627">
        <v>2019</v>
      </c>
      <c r="B2627" s="777">
        <v>43670</v>
      </c>
      <c r="C2627" s="730">
        <v>0.33402777777777776</v>
      </c>
      <c r="D2627" s="777">
        <v>43670</v>
      </c>
      <c r="E2627" s="730">
        <v>0.53402777777777777</v>
      </c>
      <c r="F2627" s="558" t="s">
        <v>2959</v>
      </c>
      <c r="G2627" s="558" t="s">
        <v>61</v>
      </c>
      <c r="H2627" s="558" t="s">
        <v>3387</v>
      </c>
      <c r="I2627" s="679" t="s">
        <v>2764</v>
      </c>
      <c r="J2627" s="676">
        <v>0</v>
      </c>
      <c r="K2627" s="676">
        <v>0</v>
      </c>
      <c r="M2627" t="str">
        <f>""</f>
        <v/>
      </c>
    </row>
    <row r="2628" spans="1:13" ht="15.75">
      <c r="A2628">
        <v>2019</v>
      </c>
      <c r="B2628" s="777">
        <v>43674</v>
      </c>
      <c r="C2628" s="730">
        <v>0.78333333333333333</v>
      </c>
      <c r="D2628" s="777">
        <v>43674</v>
      </c>
      <c r="E2628" s="730">
        <v>0.8041666666666667</v>
      </c>
      <c r="F2628" s="558" t="s">
        <v>3307</v>
      </c>
      <c r="G2628" s="558" t="s">
        <v>3143</v>
      </c>
      <c r="H2628" s="558" t="s">
        <v>3387</v>
      </c>
      <c r="I2628" s="679" t="s">
        <v>2764</v>
      </c>
      <c r="J2628" s="676">
        <v>0</v>
      </c>
      <c r="K2628" s="676">
        <v>0</v>
      </c>
      <c r="M2628" t="str">
        <f>""</f>
        <v/>
      </c>
    </row>
    <row r="2629" spans="1:13" ht="15.75">
      <c r="A2629">
        <v>2019</v>
      </c>
      <c r="B2629" s="777">
        <v>43679</v>
      </c>
      <c r="C2629" s="730">
        <v>0.76666666666666672</v>
      </c>
      <c r="D2629" s="777">
        <v>43679</v>
      </c>
      <c r="E2629" s="730">
        <v>0.81111111111111112</v>
      </c>
      <c r="F2629" s="558" t="s">
        <v>2862</v>
      </c>
      <c r="G2629" s="558" t="s">
        <v>124</v>
      </c>
      <c r="H2629" s="558" t="s">
        <v>3447</v>
      </c>
      <c r="I2629" s="679" t="s">
        <v>2764</v>
      </c>
      <c r="J2629" s="676">
        <v>0</v>
      </c>
      <c r="K2629" s="676">
        <v>0</v>
      </c>
      <c r="M2629" t="str">
        <f>""</f>
        <v/>
      </c>
    </row>
    <row r="2630" spans="1:13" ht="15.75">
      <c r="A2630">
        <v>2019</v>
      </c>
      <c r="B2630" s="777">
        <v>43679</v>
      </c>
      <c r="C2630" s="730">
        <v>7.5694444444444439E-2</v>
      </c>
      <c r="D2630" s="777">
        <v>43679</v>
      </c>
      <c r="E2630" s="730">
        <v>7.9861111111111105E-2</v>
      </c>
      <c r="F2630" s="558" t="s">
        <v>3897</v>
      </c>
      <c r="G2630" s="558" t="s">
        <v>674</v>
      </c>
      <c r="H2630" s="558" t="s">
        <v>3411</v>
      </c>
      <c r="I2630" s="679" t="s">
        <v>2483</v>
      </c>
      <c r="J2630" s="676">
        <v>0</v>
      </c>
      <c r="K2630" s="676">
        <v>0</v>
      </c>
      <c r="M2630" t="str">
        <f>""</f>
        <v/>
      </c>
    </row>
    <row r="2631" spans="1:13" ht="15.75">
      <c r="A2631">
        <v>2019</v>
      </c>
      <c r="B2631" s="777">
        <v>43684</v>
      </c>
      <c r="C2631" s="730">
        <v>0.625</v>
      </c>
      <c r="D2631" s="777">
        <v>43684</v>
      </c>
      <c r="E2631" s="730">
        <v>0.64583333333333337</v>
      </c>
      <c r="F2631" s="558" t="s">
        <v>3357</v>
      </c>
      <c r="G2631" s="558" t="s">
        <v>124</v>
      </c>
      <c r="H2631" s="558" t="s">
        <v>3356</v>
      </c>
      <c r="I2631" s="679" t="s">
        <v>100</v>
      </c>
      <c r="J2631" s="676">
        <v>0</v>
      </c>
      <c r="K2631" s="676">
        <v>0</v>
      </c>
      <c r="M2631" t="str">
        <f>""</f>
        <v/>
      </c>
    </row>
    <row r="2632" spans="1:13" ht="15.75">
      <c r="A2632">
        <v>2019</v>
      </c>
      <c r="B2632" s="777">
        <v>43684</v>
      </c>
      <c r="C2632" s="730">
        <v>0.3611111111111111</v>
      </c>
      <c r="D2632" s="777" t="s">
        <v>5873</v>
      </c>
      <c r="E2632" s="730" t="s">
        <v>5873</v>
      </c>
      <c r="F2632" s="558" t="s">
        <v>3903</v>
      </c>
      <c r="G2632" s="558" t="s">
        <v>124</v>
      </c>
      <c r="H2632" s="558" t="s">
        <v>3402</v>
      </c>
      <c r="I2632" s="679" t="s">
        <v>100</v>
      </c>
      <c r="J2632" s="676">
        <v>0</v>
      </c>
      <c r="K2632" s="676">
        <v>0</v>
      </c>
      <c r="M2632" t="str">
        <f>""</f>
        <v/>
      </c>
    </row>
    <row r="2633" spans="1:13" ht="15.75">
      <c r="A2633">
        <v>2019</v>
      </c>
      <c r="B2633" s="777">
        <v>43684</v>
      </c>
      <c r="C2633" s="730">
        <v>0.39583333333333331</v>
      </c>
      <c r="D2633" s="777">
        <v>43684</v>
      </c>
      <c r="E2633" s="730">
        <v>0.46875</v>
      </c>
      <c r="F2633" s="558" t="s">
        <v>2959</v>
      </c>
      <c r="G2633" s="558" t="s">
        <v>61</v>
      </c>
      <c r="H2633" s="558" t="s">
        <v>3387</v>
      </c>
      <c r="I2633" s="679" t="s">
        <v>2764</v>
      </c>
      <c r="J2633" s="676">
        <v>0</v>
      </c>
      <c r="K2633" s="676">
        <v>0</v>
      </c>
      <c r="M2633" t="str">
        <f>""</f>
        <v/>
      </c>
    </row>
    <row r="2634" spans="1:13" ht="15.75">
      <c r="A2634">
        <v>2019</v>
      </c>
      <c r="B2634" s="777">
        <v>43686</v>
      </c>
      <c r="C2634" s="730">
        <v>0.41180555555555554</v>
      </c>
      <c r="D2634" s="777">
        <v>43686</v>
      </c>
      <c r="E2634" s="730">
        <v>0.44861111111111113</v>
      </c>
      <c r="F2634" s="558" t="s">
        <v>3591</v>
      </c>
      <c r="G2634" s="558" t="s">
        <v>1352</v>
      </c>
      <c r="H2634" s="558" t="s">
        <v>3402</v>
      </c>
      <c r="I2634" s="679" t="s">
        <v>2118</v>
      </c>
      <c r="J2634" s="676">
        <v>0</v>
      </c>
      <c r="K2634" s="676">
        <v>0</v>
      </c>
      <c r="M2634" t="str">
        <f>""</f>
        <v/>
      </c>
    </row>
    <row r="2635" spans="1:13" ht="15.75">
      <c r="A2635">
        <v>2019</v>
      </c>
      <c r="B2635" s="777">
        <v>43687</v>
      </c>
      <c r="C2635" s="730">
        <v>0.6743055555555556</v>
      </c>
      <c r="D2635" s="777">
        <v>43687</v>
      </c>
      <c r="E2635" s="730">
        <v>0.69861111111111107</v>
      </c>
      <c r="F2635" s="558" t="s">
        <v>3307</v>
      </c>
      <c r="G2635" s="558" t="s">
        <v>3143</v>
      </c>
      <c r="H2635" s="558" t="s">
        <v>3387</v>
      </c>
      <c r="I2635" s="679" t="s">
        <v>2764</v>
      </c>
      <c r="J2635" s="676">
        <v>0</v>
      </c>
      <c r="K2635" s="676">
        <v>0</v>
      </c>
      <c r="M2635" t="str">
        <f>""</f>
        <v/>
      </c>
    </row>
    <row r="2636" spans="1:13" ht="15.75">
      <c r="A2636">
        <v>2019</v>
      </c>
      <c r="B2636" s="777">
        <v>43687</v>
      </c>
      <c r="C2636" s="730">
        <v>0.83263888888888893</v>
      </c>
      <c r="D2636" s="777">
        <v>43687</v>
      </c>
      <c r="E2636" s="730">
        <v>0.87777777777777777</v>
      </c>
      <c r="F2636" s="558" t="s">
        <v>3307</v>
      </c>
      <c r="G2636" s="558" t="s">
        <v>3143</v>
      </c>
      <c r="H2636" s="558" t="s">
        <v>3387</v>
      </c>
      <c r="I2636" s="679" t="s">
        <v>2764</v>
      </c>
      <c r="J2636" s="676">
        <v>0</v>
      </c>
      <c r="K2636" s="676">
        <v>0</v>
      </c>
      <c r="M2636" t="str">
        <f>""</f>
        <v/>
      </c>
    </row>
    <row r="2637" spans="1:13" ht="15.75">
      <c r="A2637">
        <v>2019</v>
      </c>
      <c r="B2637" s="777">
        <v>43690</v>
      </c>
      <c r="C2637" s="730">
        <v>0.41666666666666669</v>
      </c>
      <c r="D2637" s="777">
        <v>43690</v>
      </c>
      <c r="E2637" s="730">
        <v>0.45833333333333331</v>
      </c>
      <c r="F2637" s="558" t="s">
        <v>3909</v>
      </c>
      <c r="G2637" s="558" t="s">
        <v>124</v>
      </c>
      <c r="H2637" s="558" t="s">
        <v>3910</v>
      </c>
      <c r="I2637" s="679" t="s">
        <v>100</v>
      </c>
      <c r="J2637" s="676">
        <v>0</v>
      </c>
      <c r="K2637" s="676">
        <v>0</v>
      </c>
      <c r="M2637" t="str">
        <f>""</f>
        <v/>
      </c>
    </row>
    <row r="2638" spans="1:13" ht="15.75">
      <c r="A2638">
        <v>2019</v>
      </c>
      <c r="B2638" s="777">
        <v>43692</v>
      </c>
      <c r="C2638" s="730">
        <v>0.45833333333333331</v>
      </c>
      <c r="D2638" s="777">
        <v>43692</v>
      </c>
      <c r="E2638" s="730">
        <v>0.64583333333333337</v>
      </c>
      <c r="F2638" s="558" t="s">
        <v>3916</v>
      </c>
      <c r="G2638" s="558" t="s">
        <v>63</v>
      </c>
      <c r="H2638" s="558" t="s">
        <v>3356</v>
      </c>
      <c r="I2638" s="679" t="s">
        <v>100</v>
      </c>
      <c r="J2638" s="676">
        <v>0</v>
      </c>
      <c r="K2638" s="676">
        <v>0</v>
      </c>
      <c r="M2638" t="str">
        <f>""</f>
        <v/>
      </c>
    </row>
    <row r="2639" spans="1:13" ht="15.75">
      <c r="A2639">
        <v>2019</v>
      </c>
      <c r="B2639" s="777">
        <v>43692</v>
      </c>
      <c r="C2639" s="730">
        <v>0.12986111111111112</v>
      </c>
      <c r="D2639" s="777">
        <v>43692</v>
      </c>
      <c r="E2639" s="730">
        <v>0.16388888888888889</v>
      </c>
      <c r="F2639" s="558" t="s">
        <v>3917</v>
      </c>
      <c r="G2639" s="558" t="s">
        <v>3143</v>
      </c>
      <c r="H2639" s="558" t="s">
        <v>3387</v>
      </c>
      <c r="I2639" s="679" t="s">
        <v>2764</v>
      </c>
      <c r="J2639" s="676">
        <v>0</v>
      </c>
      <c r="K2639" s="676">
        <v>0</v>
      </c>
      <c r="M2639" t="str">
        <f>""</f>
        <v/>
      </c>
    </row>
    <row r="2640" spans="1:13" ht="15.75">
      <c r="A2640">
        <v>2019</v>
      </c>
      <c r="B2640" s="777">
        <v>43698</v>
      </c>
      <c r="C2640" s="730">
        <v>0.64583333333333337</v>
      </c>
      <c r="D2640" s="777" t="s">
        <v>5873</v>
      </c>
      <c r="E2640" s="730" t="s">
        <v>5873</v>
      </c>
      <c r="F2640" s="558" t="s">
        <v>2855</v>
      </c>
      <c r="G2640" s="558" t="s">
        <v>61</v>
      </c>
      <c r="H2640" s="558" t="s">
        <v>3463</v>
      </c>
      <c r="I2640" s="679" t="s">
        <v>100</v>
      </c>
      <c r="J2640" s="676">
        <v>0</v>
      </c>
      <c r="K2640" s="676">
        <v>0</v>
      </c>
      <c r="M2640" t="str">
        <f>""</f>
        <v/>
      </c>
    </row>
    <row r="2641" spans="1:13" ht="15.75">
      <c r="A2641">
        <v>2019</v>
      </c>
      <c r="B2641" s="777">
        <v>43701</v>
      </c>
      <c r="C2641" s="730">
        <v>0.67361111111111116</v>
      </c>
      <c r="D2641" s="777">
        <v>43701</v>
      </c>
      <c r="E2641" s="730">
        <v>0.81111111111111112</v>
      </c>
      <c r="F2641" s="558" t="s">
        <v>2853</v>
      </c>
      <c r="G2641" s="558" t="s">
        <v>124</v>
      </c>
      <c r="H2641" s="558" t="s">
        <v>3928</v>
      </c>
      <c r="I2641" s="679" t="s">
        <v>2118</v>
      </c>
      <c r="J2641" s="676">
        <v>0</v>
      </c>
      <c r="K2641" s="676">
        <v>0</v>
      </c>
      <c r="M2641" t="str">
        <f>""</f>
        <v/>
      </c>
    </row>
    <row r="2642" spans="1:13" ht="15.75">
      <c r="A2642">
        <v>2019</v>
      </c>
      <c r="B2642" s="777">
        <v>43702</v>
      </c>
      <c r="C2642" s="730">
        <v>7.2222222222222215E-2</v>
      </c>
      <c r="D2642" s="777">
        <v>43702</v>
      </c>
      <c r="E2642" s="730">
        <v>9.7222222222222224E-2</v>
      </c>
      <c r="F2642" s="558" t="s">
        <v>2801</v>
      </c>
      <c r="G2642" s="558" t="s">
        <v>124</v>
      </c>
      <c r="H2642" s="558" t="s">
        <v>3402</v>
      </c>
      <c r="I2642" s="679" t="s">
        <v>2118</v>
      </c>
      <c r="J2642" s="676">
        <v>0</v>
      </c>
      <c r="K2642" s="676">
        <v>0</v>
      </c>
      <c r="M2642" t="str">
        <f>""</f>
        <v/>
      </c>
    </row>
    <row r="2643" spans="1:13" ht="15.75">
      <c r="A2643">
        <v>2019</v>
      </c>
      <c r="B2643" s="777">
        <v>43703</v>
      </c>
      <c r="C2643" s="730">
        <v>0.38124999999999998</v>
      </c>
      <c r="D2643" s="777">
        <v>43703</v>
      </c>
      <c r="E2643" s="730">
        <v>0.56527777777777777</v>
      </c>
      <c r="F2643" s="558" t="s">
        <v>3931</v>
      </c>
      <c r="G2643" s="558" t="s">
        <v>674</v>
      </c>
      <c r="H2643" s="558" t="s">
        <v>3411</v>
      </c>
      <c r="I2643" s="679" t="s">
        <v>2483</v>
      </c>
      <c r="J2643" s="676">
        <v>0</v>
      </c>
      <c r="K2643" s="676">
        <v>0</v>
      </c>
      <c r="M2643" t="str">
        <f>""</f>
        <v/>
      </c>
    </row>
    <row r="2644" spans="1:13" ht="15.75">
      <c r="A2644">
        <v>2019</v>
      </c>
      <c r="B2644" s="777">
        <v>43706</v>
      </c>
      <c r="C2644" s="730">
        <v>0.97916666666666663</v>
      </c>
      <c r="D2644" s="777">
        <v>43707</v>
      </c>
      <c r="E2644" s="730">
        <v>0.72916666666666663</v>
      </c>
      <c r="F2644" s="558" t="s">
        <v>3307</v>
      </c>
      <c r="G2644" s="558" t="s">
        <v>3143</v>
      </c>
      <c r="H2644" s="558" t="s">
        <v>3387</v>
      </c>
      <c r="I2644" s="679" t="s">
        <v>2764</v>
      </c>
      <c r="J2644" s="676">
        <v>0</v>
      </c>
      <c r="K2644" s="676">
        <v>0</v>
      </c>
      <c r="M2644" t="str">
        <f>""</f>
        <v/>
      </c>
    </row>
    <row r="2645" spans="1:13" ht="15.75">
      <c r="A2645">
        <v>2019</v>
      </c>
      <c r="B2645" s="777">
        <v>43708</v>
      </c>
      <c r="C2645" s="730">
        <v>0.62847222222222221</v>
      </c>
      <c r="D2645" s="777">
        <v>43708</v>
      </c>
      <c r="E2645" s="730">
        <v>0.65694444444444444</v>
      </c>
      <c r="F2645" s="558" t="s">
        <v>3937</v>
      </c>
      <c r="G2645" s="558" t="s">
        <v>3143</v>
      </c>
      <c r="H2645" s="558" t="s">
        <v>3387</v>
      </c>
      <c r="I2645" s="679" t="s">
        <v>2764</v>
      </c>
      <c r="J2645" s="676">
        <v>0</v>
      </c>
      <c r="K2645" s="676">
        <v>0</v>
      </c>
      <c r="M2645" t="str">
        <f>""</f>
        <v/>
      </c>
    </row>
    <row r="2646" spans="1:13" ht="15.75">
      <c r="A2646">
        <v>2019</v>
      </c>
      <c r="B2646" s="777">
        <v>43708</v>
      </c>
      <c r="C2646" s="730">
        <v>0.66666666666666663</v>
      </c>
      <c r="D2646" s="777">
        <v>43710</v>
      </c>
      <c r="E2646" s="730">
        <v>0.25</v>
      </c>
      <c r="F2646" s="558" t="s">
        <v>3939</v>
      </c>
      <c r="G2646" s="558" t="s">
        <v>124</v>
      </c>
      <c r="H2646" s="558" t="s">
        <v>3356</v>
      </c>
      <c r="I2646" s="679" t="s">
        <v>100</v>
      </c>
      <c r="J2646" s="676">
        <v>0</v>
      </c>
      <c r="K2646" s="676">
        <v>0</v>
      </c>
      <c r="M2646" t="str">
        <f>""</f>
        <v/>
      </c>
    </row>
    <row r="2647" spans="1:13" ht="15.75">
      <c r="A2647">
        <v>2019</v>
      </c>
      <c r="B2647" s="777">
        <v>43712</v>
      </c>
      <c r="C2647" s="730">
        <v>0.46736111111111112</v>
      </c>
      <c r="D2647" s="777">
        <v>43712</v>
      </c>
      <c r="E2647" s="730">
        <v>0.49791666666666667</v>
      </c>
      <c r="F2647" s="558" t="s">
        <v>3942</v>
      </c>
      <c r="G2647" s="558" t="s">
        <v>3143</v>
      </c>
      <c r="H2647" s="558" t="s">
        <v>3387</v>
      </c>
      <c r="I2647" s="679" t="s">
        <v>2764</v>
      </c>
      <c r="J2647" s="676">
        <v>0</v>
      </c>
      <c r="K2647" s="676">
        <v>0</v>
      </c>
      <c r="M2647" t="str">
        <f>""</f>
        <v/>
      </c>
    </row>
    <row r="2648" spans="1:13" ht="15.75">
      <c r="A2648">
        <v>2019</v>
      </c>
      <c r="B2648" s="777">
        <v>43713</v>
      </c>
      <c r="C2648" s="730">
        <v>0.42222222222222222</v>
      </c>
      <c r="D2648" s="777">
        <v>43713</v>
      </c>
      <c r="E2648" s="730">
        <v>0.50555555555555554</v>
      </c>
      <c r="F2648" s="558" t="s">
        <v>2959</v>
      </c>
      <c r="G2648" s="558" t="s">
        <v>61</v>
      </c>
      <c r="H2648" s="558" t="s">
        <v>3387</v>
      </c>
      <c r="I2648" s="679" t="s">
        <v>2764</v>
      </c>
      <c r="J2648" s="676">
        <v>0</v>
      </c>
      <c r="K2648" s="676">
        <v>0</v>
      </c>
      <c r="M2648" t="str">
        <f>""</f>
        <v/>
      </c>
    </row>
    <row r="2649" spans="1:13" ht="15.75">
      <c r="A2649">
        <v>2019</v>
      </c>
      <c r="B2649" s="777">
        <v>43718</v>
      </c>
      <c r="C2649" s="730">
        <v>0.89027777777777772</v>
      </c>
      <c r="D2649" s="777">
        <v>43718</v>
      </c>
      <c r="E2649" s="730">
        <v>0.89097222222222228</v>
      </c>
      <c r="F2649" s="558" t="s">
        <v>2937</v>
      </c>
      <c r="G2649" s="558" t="s">
        <v>124</v>
      </c>
      <c r="H2649" s="558" t="s">
        <v>3411</v>
      </c>
      <c r="I2649" s="679" t="s">
        <v>2483</v>
      </c>
      <c r="J2649" s="676">
        <v>885</v>
      </c>
      <c r="K2649" s="676">
        <v>0</v>
      </c>
      <c r="M2649" t="str">
        <f>""</f>
        <v/>
      </c>
    </row>
    <row r="2650" spans="1:13" ht="15.75">
      <c r="A2650">
        <v>2019</v>
      </c>
      <c r="B2650" s="777">
        <v>43721</v>
      </c>
      <c r="C2650" s="730">
        <v>0.10486111111111111</v>
      </c>
      <c r="D2650" s="777">
        <v>43724</v>
      </c>
      <c r="E2650" s="730">
        <v>0.70833333333333337</v>
      </c>
      <c r="F2650" s="558" t="s">
        <v>3189</v>
      </c>
      <c r="G2650" s="558" t="s">
        <v>63</v>
      </c>
      <c r="H2650" s="558" t="s">
        <v>3447</v>
      </c>
      <c r="I2650" s="679" t="s">
        <v>2764</v>
      </c>
      <c r="J2650" s="676">
        <v>0</v>
      </c>
      <c r="K2650" s="676">
        <v>0</v>
      </c>
      <c r="M2650" t="str">
        <f>""</f>
        <v/>
      </c>
    </row>
    <row r="2651" spans="1:13" ht="15.75">
      <c r="A2651">
        <v>2019</v>
      </c>
      <c r="B2651" s="777">
        <v>43727</v>
      </c>
      <c r="C2651" s="730">
        <v>0.77777777777777779</v>
      </c>
      <c r="D2651" s="777">
        <v>43727</v>
      </c>
      <c r="E2651" s="730">
        <v>0.78194444444444444</v>
      </c>
      <c r="F2651" s="558" t="s">
        <v>3956</v>
      </c>
      <c r="G2651" s="558" t="s">
        <v>674</v>
      </c>
      <c r="H2651" s="558" t="s">
        <v>3402</v>
      </c>
      <c r="I2651" s="679" t="s">
        <v>100</v>
      </c>
      <c r="J2651" s="676">
        <v>0</v>
      </c>
      <c r="K2651" s="676">
        <v>0</v>
      </c>
      <c r="M2651" t="str">
        <f>""</f>
        <v/>
      </c>
    </row>
    <row r="2652" spans="1:13" ht="15.75">
      <c r="A2652">
        <v>2019</v>
      </c>
      <c r="B2652" s="777">
        <v>43727</v>
      </c>
      <c r="C2652" s="730">
        <v>0.24652777777777779</v>
      </c>
      <c r="D2652" s="777">
        <v>43727</v>
      </c>
      <c r="E2652" s="730">
        <v>0.60416666666666663</v>
      </c>
      <c r="F2652" s="558" t="s">
        <v>3957</v>
      </c>
      <c r="G2652" s="558" t="s">
        <v>124</v>
      </c>
      <c r="H2652" s="558" t="s">
        <v>3654</v>
      </c>
      <c r="I2652" s="679" t="s">
        <v>1138</v>
      </c>
      <c r="J2652" s="676">
        <v>0</v>
      </c>
      <c r="K2652" s="676">
        <v>0</v>
      </c>
      <c r="M2652" t="str">
        <f>""</f>
        <v/>
      </c>
    </row>
    <row r="2653" spans="1:13" ht="15.75">
      <c r="A2653">
        <v>2019</v>
      </c>
      <c r="B2653" s="777">
        <v>43728</v>
      </c>
      <c r="C2653" s="730">
        <v>1.4583333333333334E-2</v>
      </c>
      <c r="D2653" s="777">
        <v>43728</v>
      </c>
      <c r="E2653" s="730">
        <v>0.50277777777777777</v>
      </c>
      <c r="F2653" s="558" t="s">
        <v>3835</v>
      </c>
      <c r="G2653" s="558" t="s">
        <v>3347</v>
      </c>
      <c r="H2653" s="558" t="s">
        <v>3447</v>
      </c>
      <c r="I2653" s="679" t="s">
        <v>2764</v>
      </c>
      <c r="J2653" s="676">
        <v>0</v>
      </c>
      <c r="K2653" s="676">
        <v>0</v>
      </c>
      <c r="M2653" t="str">
        <f>""</f>
        <v/>
      </c>
    </row>
    <row r="2654" spans="1:13" ht="15.75">
      <c r="A2654">
        <v>2019</v>
      </c>
      <c r="B2654" s="777">
        <v>43732</v>
      </c>
      <c r="C2654" s="730">
        <v>0.66388888888888886</v>
      </c>
      <c r="D2654" s="777">
        <v>43734</v>
      </c>
      <c r="E2654" s="730">
        <v>0.80902777777777779</v>
      </c>
      <c r="F2654" s="558" t="s">
        <v>2801</v>
      </c>
      <c r="G2654" s="558" t="s">
        <v>124</v>
      </c>
      <c r="H2654" s="558" t="s">
        <v>3356</v>
      </c>
      <c r="I2654" s="679" t="s">
        <v>100</v>
      </c>
      <c r="J2654" s="676">
        <v>0</v>
      </c>
      <c r="K2654" s="676">
        <v>0</v>
      </c>
      <c r="M2654" t="str">
        <f>""</f>
        <v/>
      </c>
    </row>
    <row r="2655" spans="1:13" ht="15.75">
      <c r="A2655">
        <v>2019</v>
      </c>
      <c r="B2655" s="777">
        <v>43733</v>
      </c>
      <c r="C2655" s="730">
        <v>0.72569444444444442</v>
      </c>
      <c r="D2655" s="777">
        <v>43733</v>
      </c>
      <c r="E2655" s="730">
        <v>0.76111111111111107</v>
      </c>
      <c r="F2655" s="558" t="s">
        <v>3962</v>
      </c>
      <c r="G2655" s="558" t="s">
        <v>674</v>
      </c>
      <c r="H2655" s="558" t="s">
        <v>3402</v>
      </c>
      <c r="I2655" s="679" t="s">
        <v>2118</v>
      </c>
      <c r="J2655" s="676">
        <v>0</v>
      </c>
      <c r="K2655" s="676">
        <v>0</v>
      </c>
      <c r="M2655" t="str">
        <f>""</f>
        <v/>
      </c>
    </row>
    <row r="2656" spans="1:13" ht="15.75">
      <c r="A2656">
        <v>2019</v>
      </c>
      <c r="B2656" s="777">
        <v>43734</v>
      </c>
      <c r="C2656" s="730">
        <v>0.60486111111111107</v>
      </c>
      <c r="D2656" s="777">
        <v>43734</v>
      </c>
      <c r="E2656" s="730">
        <v>0.63472222222222219</v>
      </c>
      <c r="F2656" s="558" t="s">
        <v>3965</v>
      </c>
      <c r="G2656" s="558" t="s">
        <v>3143</v>
      </c>
      <c r="H2656" s="558" t="s">
        <v>3387</v>
      </c>
      <c r="I2656" s="679" t="s">
        <v>2764</v>
      </c>
      <c r="J2656" s="676">
        <v>0</v>
      </c>
      <c r="K2656" s="676">
        <v>0</v>
      </c>
      <c r="M2656" t="str">
        <f>""</f>
        <v/>
      </c>
    </row>
    <row r="2657" spans="1:13" ht="15.75">
      <c r="A2657">
        <v>2019</v>
      </c>
      <c r="B2657" s="777">
        <v>43738</v>
      </c>
      <c r="C2657" s="730">
        <v>0.2326388888888889</v>
      </c>
      <c r="D2657" s="777">
        <v>43738</v>
      </c>
      <c r="E2657" s="730">
        <v>0.34027777777777779</v>
      </c>
      <c r="F2657" s="558" t="s">
        <v>2801</v>
      </c>
      <c r="G2657" s="558" t="s">
        <v>124</v>
      </c>
      <c r="H2657" s="558" t="s">
        <v>3447</v>
      </c>
      <c r="I2657" s="679" t="s">
        <v>2764</v>
      </c>
      <c r="J2657" s="676">
        <v>0</v>
      </c>
      <c r="K2657" s="676">
        <v>0</v>
      </c>
      <c r="M2657" t="str">
        <f>""</f>
        <v/>
      </c>
    </row>
    <row r="2658" spans="1:13" ht="15.75">
      <c r="A2658">
        <v>2019</v>
      </c>
      <c r="B2658" s="777">
        <v>43738</v>
      </c>
      <c r="C2658" s="730">
        <v>0.51180555555555551</v>
      </c>
      <c r="D2658" s="777">
        <v>43738</v>
      </c>
      <c r="E2658" s="730">
        <v>0.54027777777777775</v>
      </c>
      <c r="F2658" s="558" t="s">
        <v>2817</v>
      </c>
      <c r="G2658" s="558" t="s">
        <v>124</v>
      </c>
      <c r="H2658" s="558" t="s">
        <v>3463</v>
      </c>
      <c r="I2658" s="679" t="s">
        <v>2293</v>
      </c>
      <c r="J2658" s="676">
        <v>3736</v>
      </c>
      <c r="K2658" s="676">
        <v>0</v>
      </c>
      <c r="M2658" t="str">
        <f>""</f>
        <v/>
      </c>
    </row>
    <row r="2659" spans="1:13" ht="15.75">
      <c r="A2659">
        <v>2019</v>
      </c>
      <c r="B2659" s="777">
        <v>43738</v>
      </c>
      <c r="C2659" s="730">
        <v>0.45347222222222222</v>
      </c>
      <c r="D2659" s="777">
        <v>43738</v>
      </c>
      <c r="E2659" s="730">
        <v>0.45416666666666666</v>
      </c>
      <c r="F2659" s="558" t="s">
        <v>3971</v>
      </c>
      <c r="G2659" s="558" t="s">
        <v>124</v>
      </c>
      <c r="H2659" s="558" t="s">
        <v>3356</v>
      </c>
      <c r="I2659" s="679" t="s">
        <v>100</v>
      </c>
      <c r="J2659" s="676">
        <v>0</v>
      </c>
      <c r="K2659" s="676">
        <v>0</v>
      </c>
      <c r="M2659" t="str">
        <f>""</f>
        <v/>
      </c>
    </row>
    <row r="2660" spans="1:13" ht="15.75">
      <c r="A2660">
        <v>2019</v>
      </c>
      <c r="B2660" s="777">
        <v>43741</v>
      </c>
      <c r="C2660" s="730">
        <v>9.0277777777777769E-3</v>
      </c>
      <c r="D2660" s="777">
        <v>43741</v>
      </c>
      <c r="E2660" s="730">
        <v>0.16666666666666666</v>
      </c>
      <c r="F2660" s="558" t="s">
        <v>3973</v>
      </c>
      <c r="G2660" s="558" t="s">
        <v>63</v>
      </c>
      <c r="H2660" s="558" t="s">
        <v>3356</v>
      </c>
      <c r="I2660" s="679" t="s">
        <v>100</v>
      </c>
      <c r="J2660" s="676">
        <v>0</v>
      </c>
      <c r="K2660" s="676">
        <v>0</v>
      </c>
      <c r="M2660" t="str">
        <f>""</f>
        <v/>
      </c>
    </row>
    <row r="2661" spans="1:13" ht="15.75">
      <c r="A2661">
        <v>2019</v>
      </c>
      <c r="B2661" s="777">
        <v>43742</v>
      </c>
      <c r="C2661" s="730">
        <v>0.21875</v>
      </c>
      <c r="D2661" s="777" t="s">
        <v>5873</v>
      </c>
      <c r="E2661" s="730" t="s">
        <v>5873</v>
      </c>
      <c r="F2661" s="558" t="s">
        <v>2945</v>
      </c>
      <c r="G2661" s="558" t="s">
        <v>124</v>
      </c>
      <c r="H2661" s="558" t="s">
        <v>3654</v>
      </c>
      <c r="I2661" s="679" t="s">
        <v>1138</v>
      </c>
      <c r="J2661" s="676">
        <v>0</v>
      </c>
      <c r="K2661" s="676">
        <v>0</v>
      </c>
      <c r="M2661" t="str">
        <f>""</f>
        <v/>
      </c>
    </row>
    <row r="2662" spans="1:13" ht="15.75">
      <c r="A2662">
        <v>2019</v>
      </c>
      <c r="B2662" s="777">
        <v>43744</v>
      </c>
      <c r="C2662" s="730">
        <v>0.21875</v>
      </c>
      <c r="D2662" s="777" t="s">
        <v>5873</v>
      </c>
      <c r="E2662" s="730" t="s">
        <v>5873</v>
      </c>
      <c r="F2662" s="558" t="s">
        <v>2945</v>
      </c>
      <c r="G2662" s="558" t="s">
        <v>124</v>
      </c>
      <c r="H2662" s="558" t="s">
        <v>3654</v>
      </c>
      <c r="I2662" s="679" t="s">
        <v>1138</v>
      </c>
      <c r="J2662" s="676">
        <v>0</v>
      </c>
      <c r="K2662" s="676">
        <v>0</v>
      </c>
      <c r="M2662" t="str">
        <f>""</f>
        <v/>
      </c>
    </row>
    <row r="2663" spans="1:13" ht="15.75">
      <c r="A2663">
        <v>2019</v>
      </c>
      <c r="B2663" s="777">
        <v>43748</v>
      </c>
      <c r="C2663" s="730">
        <v>8.7499999999999994E-2</v>
      </c>
      <c r="D2663" s="777">
        <v>43748</v>
      </c>
      <c r="E2663" s="730">
        <v>0.21180555555555555</v>
      </c>
      <c r="F2663" s="558" t="s">
        <v>2959</v>
      </c>
      <c r="G2663" s="558" t="s">
        <v>61</v>
      </c>
      <c r="H2663" s="558" t="s">
        <v>3387</v>
      </c>
      <c r="I2663" s="679" t="s">
        <v>2764</v>
      </c>
      <c r="J2663" s="676">
        <v>0</v>
      </c>
      <c r="K2663" s="676">
        <v>0</v>
      </c>
      <c r="M2663" t="str">
        <f>""</f>
        <v/>
      </c>
    </row>
    <row r="2664" spans="1:13" ht="15.75">
      <c r="A2664">
        <v>2019</v>
      </c>
      <c r="B2664" s="777">
        <v>43748</v>
      </c>
      <c r="C2664" s="730">
        <v>1.5277777777777777E-2</v>
      </c>
      <c r="D2664" s="777">
        <v>43748</v>
      </c>
      <c r="E2664" s="730">
        <v>9.166666666666666E-2</v>
      </c>
      <c r="F2664" s="558" t="s">
        <v>3701</v>
      </c>
      <c r="G2664" s="558" t="s">
        <v>124</v>
      </c>
      <c r="H2664" s="558" t="s">
        <v>3447</v>
      </c>
      <c r="I2664" s="679" t="s">
        <v>2764</v>
      </c>
      <c r="J2664" s="676">
        <v>0</v>
      </c>
      <c r="K2664" s="676">
        <v>0</v>
      </c>
      <c r="M2664" t="str">
        <f>""</f>
        <v/>
      </c>
    </row>
    <row r="2665" spans="1:13" ht="15.75">
      <c r="A2665">
        <v>2019</v>
      </c>
      <c r="B2665" s="777">
        <v>43749</v>
      </c>
      <c r="C2665" s="730">
        <v>0.45555555555555555</v>
      </c>
      <c r="D2665" s="777">
        <v>43749</v>
      </c>
      <c r="E2665" s="730">
        <v>0.49027777777777776</v>
      </c>
      <c r="F2665" s="558" t="s">
        <v>3528</v>
      </c>
      <c r="G2665" s="558" t="s">
        <v>3143</v>
      </c>
      <c r="H2665" s="558" t="s">
        <v>3387</v>
      </c>
      <c r="I2665" s="679" t="s">
        <v>2764</v>
      </c>
      <c r="J2665" s="676">
        <v>0</v>
      </c>
      <c r="K2665" s="676">
        <v>0</v>
      </c>
      <c r="M2665" t="str">
        <f>""</f>
        <v/>
      </c>
    </row>
    <row r="2666" spans="1:13" ht="15.75">
      <c r="A2666">
        <v>2019</v>
      </c>
      <c r="B2666" s="777">
        <v>43750</v>
      </c>
      <c r="C2666" s="730">
        <v>0.625</v>
      </c>
      <c r="D2666" s="777">
        <v>43750</v>
      </c>
      <c r="E2666" s="730">
        <v>0.68125000000000002</v>
      </c>
      <c r="F2666" s="558" t="s">
        <v>2919</v>
      </c>
      <c r="G2666" s="558" t="s">
        <v>1352</v>
      </c>
      <c r="H2666" s="558" t="s">
        <v>3411</v>
      </c>
      <c r="I2666" s="679" t="s">
        <v>2483</v>
      </c>
      <c r="J2666" s="676">
        <v>0</v>
      </c>
      <c r="K2666" s="676">
        <v>0</v>
      </c>
      <c r="M2666" t="str">
        <f>""</f>
        <v/>
      </c>
    </row>
    <row r="2667" spans="1:13" ht="15.75">
      <c r="A2667">
        <v>2019</v>
      </c>
      <c r="B2667" s="777">
        <v>43753</v>
      </c>
      <c r="C2667" s="730">
        <v>0.13819444444444445</v>
      </c>
      <c r="D2667" s="777">
        <v>43753</v>
      </c>
      <c r="E2667" s="730">
        <v>0.27638888888888891</v>
      </c>
      <c r="F2667" s="558" t="s">
        <v>2895</v>
      </c>
      <c r="G2667" s="558" t="s">
        <v>3143</v>
      </c>
      <c r="H2667" s="558" t="s">
        <v>3411</v>
      </c>
      <c r="I2667" s="679" t="s">
        <v>2483</v>
      </c>
      <c r="J2667" s="676">
        <v>0</v>
      </c>
      <c r="K2667" s="676">
        <v>0</v>
      </c>
      <c r="M2667" t="str">
        <f>""</f>
        <v/>
      </c>
    </row>
    <row r="2668" spans="1:13" ht="15.75">
      <c r="A2668">
        <v>2019</v>
      </c>
      <c r="B2668" s="777">
        <v>43753</v>
      </c>
      <c r="C2668" s="730">
        <v>0.83125000000000004</v>
      </c>
      <c r="D2668" s="777">
        <v>43753</v>
      </c>
      <c r="E2668" s="730">
        <v>0.86388888888888893</v>
      </c>
      <c r="F2668" s="558" t="s">
        <v>3984</v>
      </c>
      <c r="G2668" s="558" t="s">
        <v>3347</v>
      </c>
      <c r="H2668" s="558" t="s">
        <v>3447</v>
      </c>
      <c r="I2668" s="679" t="s">
        <v>2764</v>
      </c>
      <c r="J2668" s="676">
        <v>0</v>
      </c>
      <c r="K2668" s="676">
        <v>0</v>
      </c>
      <c r="M2668" t="str">
        <f>""</f>
        <v/>
      </c>
    </row>
    <row r="2669" spans="1:13" ht="15.75">
      <c r="A2669">
        <v>2019</v>
      </c>
      <c r="B2669" s="777">
        <v>43754</v>
      </c>
      <c r="C2669" s="730">
        <v>0.29166666666666669</v>
      </c>
      <c r="D2669" s="777" t="s">
        <v>5873</v>
      </c>
      <c r="E2669" s="730" t="s">
        <v>5873</v>
      </c>
      <c r="F2669" s="558" t="s">
        <v>3853</v>
      </c>
      <c r="G2669" s="558" t="s">
        <v>3347</v>
      </c>
      <c r="H2669" s="558" t="s">
        <v>3356</v>
      </c>
      <c r="I2669" s="679" t="s">
        <v>100</v>
      </c>
      <c r="J2669" s="676">
        <v>0</v>
      </c>
      <c r="K2669" s="676">
        <v>0</v>
      </c>
      <c r="M2669" t="str">
        <f>""</f>
        <v/>
      </c>
    </row>
    <row r="2670" spans="1:13" ht="15.75">
      <c r="A2670">
        <v>2019</v>
      </c>
      <c r="B2670" s="777">
        <v>43757</v>
      </c>
      <c r="C2670" s="730">
        <v>0.24791666666666667</v>
      </c>
      <c r="D2670" s="777">
        <v>43757</v>
      </c>
      <c r="E2670" s="730">
        <v>0.58194444444444449</v>
      </c>
      <c r="F2670" s="558" t="s">
        <v>3989</v>
      </c>
      <c r="G2670" s="558" t="s">
        <v>674</v>
      </c>
      <c r="H2670" s="558" t="s">
        <v>3411</v>
      </c>
      <c r="I2670" s="679" t="s">
        <v>2483</v>
      </c>
      <c r="J2670" s="676">
        <v>0</v>
      </c>
      <c r="K2670" s="676">
        <v>0</v>
      </c>
      <c r="M2670" t="str">
        <f>""</f>
        <v/>
      </c>
    </row>
    <row r="2671" spans="1:13" ht="15.75">
      <c r="A2671">
        <v>2019</v>
      </c>
      <c r="B2671" s="777">
        <v>43757</v>
      </c>
      <c r="C2671" s="730">
        <v>0.58333333333333337</v>
      </c>
      <c r="D2671" s="777">
        <v>43757</v>
      </c>
      <c r="E2671" s="730">
        <v>0.87986111111111109</v>
      </c>
      <c r="F2671" s="558" t="s">
        <v>2920</v>
      </c>
      <c r="G2671" s="558" t="s">
        <v>124</v>
      </c>
      <c r="H2671" s="558" t="s">
        <v>3447</v>
      </c>
      <c r="I2671" s="679" t="s">
        <v>2764</v>
      </c>
      <c r="J2671" s="676">
        <v>0</v>
      </c>
      <c r="K2671" s="676">
        <v>0</v>
      </c>
      <c r="M2671" t="str">
        <f>""</f>
        <v/>
      </c>
    </row>
    <row r="2672" spans="1:13" ht="15.75">
      <c r="A2672">
        <v>2019</v>
      </c>
      <c r="B2672" s="777">
        <v>43761</v>
      </c>
      <c r="C2672" s="730">
        <v>3.4027777777777775E-2</v>
      </c>
      <c r="D2672" s="777">
        <v>43761</v>
      </c>
      <c r="E2672" s="730">
        <v>0.1701388888888889</v>
      </c>
      <c r="F2672" s="558" t="s">
        <v>3720</v>
      </c>
      <c r="G2672" s="558" t="s">
        <v>61</v>
      </c>
      <c r="H2672" s="558" t="s">
        <v>3387</v>
      </c>
      <c r="I2672" s="679" t="s">
        <v>2764</v>
      </c>
      <c r="J2672" s="676">
        <v>0</v>
      </c>
      <c r="K2672" s="676">
        <v>0</v>
      </c>
      <c r="M2672" t="str">
        <f>""</f>
        <v/>
      </c>
    </row>
    <row r="2673" spans="1:13" ht="15.75">
      <c r="A2673">
        <v>2019</v>
      </c>
      <c r="B2673" s="777">
        <v>43761</v>
      </c>
      <c r="C2673" s="730">
        <v>3.4027777777777775E-2</v>
      </c>
      <c r="D2673" s="777">
        <v>43761</v>
      </c>
      <c r="E2673" s="730">
        <v>0.1701388888888889</v>
      </c>
      <c r="F2673" s="558" t="s">
        <v>3719</v>
      </c>
      <c r="G2673" s="558" t="s">
        <v>61</v>
      </c>
      <c r="H2673" s="558" t="s">
        <v>3387</v>
      </c>
      <c r="I2673" s="679" t="s">
        <v>2764</v>
      </c>
      <c r="J2673" s="676">
        <v>0</v>
      </c>
      <c r="K2673" s="676">
        <v>0</v>
      </c>
      <c r="M2673" t="str">
        <f>""</f>
        <v/>
      </c>
    </row>
    <row r="2674" spans="1:13" ht="15.75">
      <c r="A2674">
        <v>2019</v>
      </c>
      <c r="B2674" s="777">
        <v>43762</v>
      </c>
      <c r="C2674" s="730">
        <v>0.70972222222222225</v>
      </c>
      <c r="D2674" s="777">
        <v>43762</v>
      </c>
      <c r="E2674" s="730">
        <v>0.71458333333333335</v>
      </c>
      <c r="F2674" s="558" t="s">
        <v>3995</v>
      </c>
      <c r="G2674" s="558" t="s">
        <v>3143</v>
      </c>
      <c r="H2674" s="558" t="s">
        <v>3411</v>
      </c>
      <c r="I2674" s="679" t="s">
        <v>2483</v>
      </c>
      <c r="J2674" s="676">
        <v>0</v>
      </c>
      <c r="K2674" s="676">
        <v>0</v>
      </c>
      <c r="M2674" t="str">
        <f>""</f>
        <v/>
      </c>
    </row>
    <row r="2675" spans="1:13" ht="15.75">
      <c r="A2675">
        <v>2019</v>
      </c>
      <c r="B2675" s="777">
        <v>43762</v>
      </c>
      <c r="C2675" s="730">
        <v>0.21875</v>
      </c>
      <c r="D2675" s="777" t="s">
        <v>5873</v>
      </c>
      <c r="E2675" s="730" t="s">
        <v>5873</v>
      </c>
      <c r="F2675" s="558" t="s">
        <v>2945</v>
      </c>
      <c r="G2675" s="558" t="s">
        <v>124</v>
      </c>
      <c r="H2675" s="558" t="s">
        <v>3654</v>
      </c>
      <c r="I2675" s="679" t="s">
        <v>1138</v>
      </c>
      <c r="J2675" s="676">
        <v>0</v>
      </c>
      <c r="K2675" s="676">
        <v>0</v>
      </c>
      <c r="M2675" t="str">
        <f>""</f>
        <v/>
      </c>
    </row>
    <row r="2676" spans="1:13" ht="15.75">
      <c r="A2676">
        <v>2019</v>
      </c>
      <c r="B2676" s="777">
        <v>43763</v>
      </c>
      <c r="C2676" s="730">
        <v>0.12013888888888889</v>
      </c>
      <c r="D2676" s="777">
        <v>43763</v>
      </c>
      <c r="E2676" s="730">
        <v>0.19236111111111112</v>
      </c>
      <c r="F2676" s="558" t="s">
        <v>3996</v>
      </c>
      <c r="G2676" s="558" t="s">
        <v>63</v>
      </c>
      <c r="H2676" s="558" t="s">
        <v>3402</v>
      </c>
      <c r="I2676" s="679" t="s">
        <v>2118</v>
      </c>
      <c r="J2676" s="676">
        <v>0</v>
      </c>
      <c r="K2676" s="676">
        <v>0</v>
      </c>
      <c r="M2676" t="str">
        <f>""</f>
        <v/>
      </c>
    </row>
    <row r="2677" spans="1:13" ht="15.75">
      <c r="A2677">
        <v>2019</v>
      </c>
      <c r="B2677" s="777">
        <v>43764</v>
      </c>
      <c r="C2677" s="730">
        <v>0.33819444444444446</v>
      </c>
      <c r="D2677" s="777">
        <v>43764</v>
      </c>
      <c r="E2677" s="730">
        <v>0.36458333333333331</v>
      </c>
      <c r="F2677" s="558" t="s">
        <v>2959</v>
      </c>
      <c r="G2677" s="558" t="s">
        <v>61</v>
      </c>
      <c r="H2677" s="558" t="s">
        <v>3387</v>
      </c>
      <c r="I2677" s="679" t="s">
        <v>2764</v>
      </c>
      <c r="J2677" s="676">
        <v>0</v>
      </c>
      <c r="K2677" s="676">
        <v>0</v>
      </c>
      <c r="M2677" t="str">
        <f>""</f>
        <v/>
      </c>
    </row>
    <row r="2678" spans="1:13" ht="15.75">
      <c r="A2678">
        <v>2019</v>
      </c>
      <c r="B2678" s="777">
        <v>43767</v>
      </c>
      <c r="C2678" s="730">
        <v>0.57361111111111107</v>
      </c>
      <c r="D2678" s="777">
        <v>43767</v>
      </c>
      <c r="E2678" s="730">
        <v>0.61736111111111114</v>
      </c>
      <c r="F2678" s="558" t="s">
        <v>4003</v>
      </c>
      <c r="G2678" s="558" t="s">
        <v>674</v>
      </c>
      <c r="H2678" s="558" t="s">
        <v>3387</v>
      </c>
      <c r="I2678" s="679" t="s">
        <v>2764</v>
      </c>
      <c r="J2678" s="676">
        <v>0</v>
      </c>
      <c r="K2678" s="676">
        <v>0</v>
      </c>
      <c r="M2678" t="str">
        <f>""</f>
        <v/>
      </c>
    </row>
    <row r="2679" spans="1:13" ht="15.75">
      <c r="A2679">
        <v>2019</v>
      </c>
      <c r="B2679" s="777">
        <v>43770</v>
      </c>
      <c r="C2679" s="730">
        <v>0.98958333333333337</v>
      </c>
      <c r="D2679" s="777">
        <v>43771</v>
      </c>
      <c r="E2679" s="730">
        <v>3.3333333333333333E-2</v>
      </c>
      <c r="F2679" s="558" t="s">
        <v>3719</v>
      </c>
      <c r="G2679" s="558" t="s">
        <v>61</v>
      </c>
      <c r="H2679" s="558" t="s">
        <v>3387</v>
      </c>
      <c r="I2679" s="679" t="s">
        <v>2764</v>
      </c>
      <c r="J2679" s="676">
        <v>0</v>
      </c>
      <c r="K2679" s="676">
        <v>0</v>
      </c>
      <c r="M2679" t="str">
        <f>""</f>
        <v/>
      </c>
    </row>
    <row r="2680" spans="1:13" ht="15.75">
      <c r="A2680">
        <v>2019</v>
      </c>
      <c r="B2680" s="777">
        <v>43770</v>
      </c>
      <c r="C2680" s="730">
        <v>0.98958333333333337</v>
      </c>
      <c r="D2680" s="777">
        <v>43771</v>
      </c>
      <c r="E2680" s="730">
        <v>3.3333333333333333E-2</v>
      </c>
      <c r="F2680" s="558" t="s">
        <v>3720</v>
      </c>
      <c r="G2680" s="558" t="s">
        <v>61</v>
      </c>
      <c r="H2680" s="558" t="s">
        <v>3387</v>
      </c>
      <c r="I2680" s="679" t="s">
        <v>2764</v>
      </c>
      <c r="J2680" s="676">
        <v>0</v>
      </c>
      <c r="K2680" s="676">
        <v>0</v>
      </c>
      <c r="M2680" t="str">
        <f>""</f>
        <v/>
      </c>
    </row>
    <row r="2681" spans="1:13" ht="15.75">
      <c r="A2681">
        <v>2019</v>
      </c>
      <c r="B2681" s="777">
        <v>43772</v>
      </c>
      <c r="C2681" s="730">
        <v>0.92847222222222225</v>
      </c>
      <c r="D2681" s="777">
        <v>43773</v>
      </c>
      <c r="E2681" s="730">
        <v>0.46527777777777779</v>
      </c>
      <c r="F2681" s="558" t="s">
        <v>4017</v>
      </c>
      <c r="G2681" s="558" t="s">
        <v>674</v>
      </c>
      <c r="H2681" s="558" t="s">
        <v>3411</v>
      </c>
      <c r="I2681" s="679" t="s">
        <v>2483</v>
      </c>
      <c r="J2681" s="676">
        <v>0</v>
      </c>
      <c r="K2681" s="676">
        <v>0</v>
      </c>
      <c r="M2681" t="str">
        <f>""</f>
        <v/>
      </c>
    </row>
    <row r="2682" spans="1:13" ht="15.75">
      <c r="A2682">
        <v>2019</v>
      </c>
      <c r="B2682" s="777">
        <v>43774</v>
      </c>
      <c r="C2682" s="730">
        <v>0.35416666666666669</v>
      </c>
      <c r="D2682" s="777">
        <v>43774</v>
      </c>
      <c r="E2682" s="730">
        <v>0.67777777777777781</v>
      </c>
      <c r="F2682" s="558" t="s">
        <v>3561</v>
      </c>
      <c r="G2682" s="558" t="s">
        <v>3143</v>
      </c>
      <c r="H2682" s="558" t="s">
        <v>3356</v>
      </c>
      <c r="I2682" s="679" t="s">
        <v>100</v>
      </c>
      <c r="J2682" s="676">
        <v>0</v>
      </c>
      <c r="K2682" s="676">
        <v>0</v>
      </c>
      <c r="M2682" t="str">
        <f>""</f>
        <v/>
      </c>
    </row>
    <row r="2683" spans="1:13" ht="15.75">
      <c r="A2683">
        <v>2019</v>
      </c>
      <c r="B2683" s="777">
        <v>43785</v>
      </c>
      <c r="C2683" s="730">
        <v>0.6743055555555556</v>
      </c>
      <c r="D2683" s="777">
        <v>43785</v>
      </c>
      <c r="E2683" s="730">
        <v>0.70902777777777781</v>
      </c>
      <c r="F2683" s="558" t="s">
        <v>3712</v>
      </c>
      <c r="G2683" s="558" t="s">
        <v>124</v>
      </c>
      <c r="H2683" s="558" t="s">
        <v>3356</v>
      </c>
      <c r="I2683" s="679" t="s">
        <v>100</v>
      </c>
      <c r="J2683" s="676">
        <v>0</v>
      </c>
      <c r="K2683" s="676">
        <v>0</v>
      </c>
      <c r="M2683" t="str">
        <f>""</f>
        <v/>
      </c>
    </row>
    <row r="2684" spans="1:13" ht="15.75">
      <c r="A2684">
        <v>2019</v>
      </c>
      <c r="B2684" s="777">
        <v>43785</v>
      </c>
      <c r="C2684" s="730">
        <v>0.25</v>
      </c>
      <c r="D2684" s="777">
        <v>43785</v>
      </c>
      <c r="E2684" s="730">
        <v>0.73958333333333337</v>
      </c>
      <c r="F2684" s="558" t="s">
        <v>4027</v>
      </c>
      <c r="G2684" s="558" t="s">
        <v>1352</v>
      </c>
      <c r="H2684" s="558" t="s">
        <v>3402</v>
      </c>
      <c r="I2684" s="679" t="s">
        <v>2118</v>
      </c>
      <c r="J2684" s="676">
        <v>0</v>
      </c>
      <c r="K2684" s="676">
        <v>0</v>
      </c>
      <c r="M2684" t="str">
        <f>""</f>
        <v/>
      </c>
    </row>
    <row r="2685" spans="1:13" ht="15.75">
      <c r="A2685">
        <v>2019</v>
      </c>
      <c r="B2685" s="777">
        <v>43789</v>
      </c>
      <c r="C2685" s="730">
        <v>0.70486111111111116</v>
      </c>
      <c r="D2685" s="777">
        <v>43789</v>
      </c>
      <c r="E2685" s="730">
        <v>0.73402777777777772</v>
      </c>
      <c r="F2685" s="558" t="s">
        <v>2920</v>
      </c>
      <c r="G2685" s="558" t="s">
        <v>124</v>
      </c>
      <c r="H2685" s="558" t="s">
        <v>3447</v>
      </c>
      <c r="I2685" s="679" t="s">
        <v>2764</v>
      </c>
      <c r="J2685" s="676">
        <v>0</v>
      </c>
      <c r="K2685" s="676">
        <v>0</v>
      </c>
      <c r="M2685" t="str">
        <f>""</f>
        <v/>
      </c>
    </row>
    <row r="2686" spans="1:13" ht="15.75">
      <c r="A2686">
        <v>2019</v>
      </c>
      <c r="B2686" s="777">
        <v>43791</v>
      </c>
      <c r="C2686" s="730">
        <v>0</v>
      </c>
      <c r="D2686" s="777">
        <v>43791</v>
      </c>
      <c r="E2686" s="730">
        <v>4.8611111111111112E-2</v>
      </c>
      <c r="F2686" s="558" t="s">
        <v>3719</v>
      </c>
      <c r="G2686" s="558" t="s">
        <v>61</v>
      </c>
      <c r="H2686" s="558" t="s">
        <v>3387</v>
      </c>
      <c r="I2686" s="679" t="s">
        <v>2764</v>
      </c>
      <c r="J2686" s="676">
        <v>0</v>
      </c>
      <c r="K2686" s="676">
        <v>0</v>
      </c>
      <c r="M2686" t="str">
        <f>""</f>
        <v/>
      </c>
    </row>
    <row r="2687" spans="1:13" ht="15.75">
      <c r="A2687">
        <v>2019</v>
      </c>
      <c r="B2687" s="777">
        <v>43791</v>
      </c>
      <c r="C2687" s="730">
        <v>0</v>
      </c>
      <c r="D2687" s="777">
        <v>43791</v>
      </c>
      <c r="E2687" s="730">
        <v>4.8611111111111112E-2</v>
      </c>
      <c r="F2687" s="558" t="s">
        <v>3720</v>
      </c>
      <c r="G2687" s="558" t="s">
        <v>61</v>
      </c>
      <c r="H2687" s="558" t="s">
        <v>3387</v>
      </c>
      <c r="I2687" s="679" t="s">
        <v>2764</v>
      </c>
      <c r="J2687" s="676">
        <v>0</v>
      </c>
      <c r="K2687" s="676">
        <v>0</v>
      </c>
      <c r="M2687" t="str">
        <f>""</f>
        <v/>
      </c>
    </row>
    <row r="2688" spans="1:13" ht="15.75">
      <c r="A2688">
        <v>2019</v>
      </c>
      <c r="B2688" s="777">
        <v>43798</v>
      </c>
      <c r="C2688" s="730">
        <v>0</v>
      </c>
      <c r="D2688" s="777">
        <v>43800</v>
      </c>
      <c r="E2688" s="730">
        <v>0</v>
      </c>
      <c r="F2688" s="558" t="s">
        <v>4042</v>
      </c>
      <c r="G2688" s="558" t="s">
        <v>1352</v>
      </c>
      <c r="H2688" s="558" t="s">
        <v>4043</v>
      </c>
      <c r="I2688" s="679" t="s">
        <v>2293</v>
      </c>
      <c r="J2688" s="676">
        <v>0</v>
      </c>
      <c r="K2688" s="676">
        <v>0</v>
      </c>
      <c r="M2688" t="str">
        <f>""</f>
        <v/>
      </c>
    </row>
    <row r="2689" spans="1:13" ht="15.75">
      <c r="A2689">
        <v>2019</v>
      </c>
      <c r="B2689" s="777">
        <v>43802</v>
      </c>
      <c r="C2689" s="730">
        <v>0.80277777777777781</v>
      </c>
      <c r="D2689" s="777">
        <v>43802</v>
      </c>
      <c r="E2689" s="730">
        <v>0.8256944444444444</v>
      </c>
      <c r="F2689" s="558" t="s">
        <v>4045</v>
      </c>
      <c r="G2689" s="558" t="s">
        <v>63</v>
      </c>
      <c r="H2689" s="558" t="s">
        <v>3387</v>
      </c>
      <c r="I2689" s="679" t="s">
        <v>2764</v>
      </c>
      <c r="J2689" s="676">
        <v>0</v>
      </c>
      <c r="K2689" s="676">
        <v>0</v>
      </c>
      <c r="M2689" t="str">
        <f>""</f>
        <v/>
      </c>
    </row>
    <row r="2690" spans="1:13" ht="15.75">
      <c r="A2690">
        <v>2019</v>
      </c>
      <c r="B2690" s="777">
        <v>43804</v>
      </c>
      <c r="C2690" s="730">
        <v>0.7</v>
      </c>
      <c r="D2690" s="777">
        <v>43808</v>
      </c>
      <c r="E2690" s="730">
        <v>0.21944444444444444</v>
      </c>
      <c r="F2690" s="558" t="s">
        <v>4048</v>
      </c>
      <c r="G2690" s="558" t="s">
        <v>3143</v>
      </c>
      <c r="H2690" s="558" t="s">
        <v>3447</v>
      </c>
      <c r="I2690" s="679" t="s">
        <v>2764</v>
      </c>
      <c r="J2690" s="676">
        <v>0</v>
      </c>
      <c r="K2690" s="676">
        <v>0</v>
      </c>
      <c r="M2690" t="str">
        <f>""</f>
        <v/>
      </c>
    </row>
    <row r="2691" spans="1:13" ht="15.75">
      <c r="A2691">
        <v>2019</v>
      </c>
      <c r="B2691" s="777">
        <v>43807</v>
      </c>
      <c r="C2691" s="730">
        <v>0.56944444444444442</v>
      </c>
      <c r="D2691" s="777">
        <v>43807</v>
      </c>
      <c r="E2691" s="730">
        <v>0.57013888888888886</v>
      </c>
      <c r="F2691" s="558" t="s">
        <v>4054</v>
      </c>
      <c r="G2691" s="558" t="s">
        <v>1352</v>
      </c>
      <c r="H2691" s="558" t="s">
        <v>3356</v>
      </c>
      <c r="I2691" s="679" t="s">
        <v>100</v>
      </c>
      <c r="J2691" s="676">
        <v>0</v>
      </c>
      <c r="K2691" s="676">
        <v>0</v>
      </c>
      <c r="M2691" t="str">
        <f>""</f>
        <v/>
      </c>
    </row>
    <row r="2692" spans="1:13" ht="15.75">
      <c r="A2692">
        <v>2019</v>
      </c>
      <c r="B2692" s="777">
        <v>43810</v>
      </c>
      <c r="C2692" s="730">
        <v>0.55694444444444446</v>
      </c>
      <c r="D2692" s="777">
        <v>43810</v>
      </c>
      <c r="E2692" s="730">
        <v>0.68611111111111112</v>
      </c>
      <c r="F2692" s="558" t="s">
        <v>2959</v>
      </c>
      <c r="G2692" s="558" t="s">
        <v>61</v>
      </c>
      <c r="H2692" s="558" t="s">
        <v>3387</v>
      </c>
      <c r="I2692" s="679" t="s">
        <v>2764</v>
      </c>
      <c r="J2692" s="676">
        <v>0</v>
      </c>
      <c r="K2692" s="676">
        <v>0</v>
      </c>
      <c r="M2692" t="str">
        <f>""</f>
        <v/>
      </c>
    </row>
    <row r="2693" spans="1:13" ht="15.75">
      <c r="A2693">
        <v>2019</v>
      </c>
      <c r="B2693" s="777">
        <v>43815</v>
      </c>
      <c r="C2693" s="730">
        <v>0.99652777777777779</v>
      </c>
      <c r="D2693" s="777">
        <v>43816</v>
      </c>
      <c r="E2693" s="730">
        <v>7.4305555555555555E-2</v>
      </c>
      <c r="F2693" s="558" t="s">
        <v>2919</v>
      </c>
      <c r="G2693" s="558" t="s">
        <v>1352</v>
      </c>
      <c r="H2693" s="558" t="s">
        <v>3411</v>
      </c>
      <c r="I2693" s="679" t="s">
        <v>2483</v>
      </c>
      <c r="J2693" s="676">
        <v>0</v>
      </c>
      <c r="K2693" s="676">
        <v>0</v>
      </c>
      <c r="M2693" t="str">
        <f>""</f>
        <v/>
      </c>
    </row>
    <row r="2694" spans="1:13" ht="15.75">
      <c r="A2694">
        <v>2019</v>
      </c>
      <c r="B2694" s="777">
        <v>43817</v>
      </c>
      <c r="C2694" s="730">
        <v>0.60416666666666663</v>
      </c>
      <c r="D2694" s="777">
        <v>43817</v>
      </c>
      <c r="E2694" s="730">
        <v>0.64236111111111116</v>
      </c>
      <c r="F2694" s="558" t="s">
        <v>3639</v>
      </c>
      <c r="G2694" s="558" t="s">
        <v>1352</v>
      </c>
      <c r="H2694" s="558" t="s">
        <v>3447</v>
      </c>
      <c r="I2694" s="679" t="s">
        <v>2764</v>
      </c>
      <c r="J2694" s="676">
        <v>0</v>
      </c>
      <c r="K2694" s="676">
        <v>0</v>
      </c>
      <c r="M2694" t="str">
        <f>""</f>
        <v/>
      </c>
    </row>
    <row r="2695" spans="1:13" ht="15.75">
      <c r="A2695">
        <v>2019</v>
      </c>
      <c r="B2695" s="777">
        <v>43818</v>
      </c>
      <c r="C2695" s="730">
        <v>0.12361111111111112</v>
      </c>
      <c r="D2695" s="777">
        <v>43818</v>
      </c>
      <c r="E2695" s="730">
        <v>0.15694444444444444</v>
      </c>
      <c r="F2695" s="558" t="s">
        <v>3642</v>
      </c>
      <c r="G2695" s="558" t="s">
        <v>674</v>
      </c>
      <c r="H2695" s="558" t="s">
        <v>3387</v>
      </c>
      <c r="I2695" s="679" t="s">
        <v>2764</v>
      </c>
      <c r="J2695" s="676">
        <v>0</v>
      </c>
      <c r="K2695" s="676">
        <v>0</v>
      </c>
      <c r="M2695" t="str">
        <f>""</f>
        <v/>
      </c>
    </row>
    <row r="2696" spans="1:13" ht="15.75">
      <c r="A2696">
        <v>2019</v>
      </c>
      <c r="B2696" s="777">
        <v>43823</v>
      </c>
      <c r="C2696" s="730">
        <v>0.64583333333333337</v>
      </c>
      <c r="D2696" s="777">
        <v>43823</v>
      </c>
      <c r="E2696" s="730">
        <v>0.81527777777777777</v>
      </c>
      <c r="F2696" s="558" t="s">
        <v>3461</v>
      </c>
      <c r="G2696" s="558" t="s">
        <v>63</v>
      </c>
      <c r="H2696" s="558" t="s">
        <v>3402</v>
      </c>
      <c r="I2696" s="679" t="s">
        <v>2118</v>
      </c>
      <c r="J2696" s="676">
        <v>0</v>
      </c>
      <c r="K2696" s="676">
        <v>0</v>
      </c>
      <c r="M2696" t="str">
        <f>""</f>
        <v/>
      </c>
    </row>
    <row r="2697" spans="1:13" ht="15.75">
      <c r="A2697">
        <v>2019</v>
      </c>
      <c r="B2697" s="777">
        <v>43830</v>
      </c>
      <c r="C2697" s="730">
        <v>0.5</v>
      </c>
      <c r="D2697" s="777">
        <v>43830</v>
      </c>
      <c r="E2697" s="730">
        <v>0.54166666666666663</v>
      </c>
      <c r="F2697" s="558" t="s">
        <v>2853</v>
      </c>
      <c r="G2697" s="558" t="s">
        <v>124</v>
      </c>
      <c r="H2697" s="558" t="s">
        <v>3463</v>
      </c>
      <c r="I2697" s="679" t="s">
        <v>100</v>
      </c>
      <c r="J2697" s="676">
        <v>0</v>
      </c>
      <c r="K2697" s="676">
        <v>0</v>
      </c>
      <c r="M2697" t="str">
        <f>""</f>
        <v/>
      </c>
    </row>
    <row r="2698" spans="1:13" ht="15.75">
      <c r="A2698">
        <v>2019</v>
      </c>
      <c r="B2698" s="777">
        <v>43830</v>
      </c>
      <c r="C2698" s="730">
        <v>0.46041666666666664</v>
      </c>
      <c r="D2698" s="777">
        <v>43831</v>
      </c>
      <c r="E2698" s="730">
        <v>0.45763888888888887</v>
      </c>
      <c r="F2698" s="558" t="s">
        <v>3639</v>
      </c>
      <c r="G2698" s="558" t="s">
        <v>1352</v>
      </c>
      <c r="H2698" s="558" t="s">
        <v>3431</v>
      </c>
      <c r="I2698" s="679" t="s">
        <v>2483</v>
      </c>
      <c r="J2698" s="676">
        <v>25</v>
      </c>
      <c r="K2698" s="676">
        <v>0</v>
      </c>
      <c r="M2698" t="str">
        <f>""</f>
        <v/>
      </c>
    </row>
    <row r="2699" spans="1:13" ht="15.75">
      <c r="A2699">
        <v>2020</v>
      </c>
      <c r="B2699" s="777">
        <v>43839</v>
      </c>
      <c r="C2699" s="730">
        <v>0.96319444444444446</v>
      </c>
      <c r="D2699" s="777">
        <v>43839</v>
      </c>
      <c r="E2699" s="730">
        <v>0.97152777777777777</v>
      </c>
      <c r="F2699" s="558" t="s">
        <v>4068</v>
      </c>
      <c r="G2699" s="558" t="s">
        <v>3347</v>
      </c>
      <c r="H2699" s="558" t="s">
        <v>3411</v>
      </c>
      <c r="I2699" s="679" t="s">
        <v>2990</v>
      </c>
      <c r="J2699" s="676">
        <v>0</v>
      </c>
      <c r="K2699" s="676">
        <v>0</v>
      </c>
      <c r="M2699" t="str">
        <f>""</f>
        <v/>
      </c>
    </row>
    <row r="2700" spans="1:13" ht="15.75">
      <c r="A2700">
        <v>2020</v>
      </c>
      <c r="B2700" s="777">
        <v>43839</v>
      </c>
      <c r="C2700" s="730">
        <v>0.86458333333333337</v>
      </c>
      <c r="D2700" s="777">
        <v>43840</v>
      </c>
      <c r="E2700" s="730">
        <v>0.89097222222222228</v>
      </c>
      <c r="F2700" s="558" t="s">
        <v>2801</v>
      </c>
      <c r="G2700" s="558" t="s">
        <v>124</v>
      </c>
      <c r="H2700" s="558" t="s">
        <v>3928</v>
      </c>
      <c r="I2700" s="679" t="s">
        <v>2118</v>
      </c>
      <c r="J2700" s="676">
        <v>0</v>
      </c>
      <c r="K2700" s="676">
        <v>0</v>
      </c>
      <c r="M2700" t="str">
        <f>""</f>
        <v/>
      </c>
    </row>
    <row r="2701" spans="1:13" ht="15.75">
      <c r="A2701">
        <v>2020</v>
      </c>
      <c r="B2701" s="777">
        <v>43839</v>
      </c>
      <c r="C2701" s="730">
        <v>0.31944444444444442</v>
      </c>
      <c r="D2701" s="777">
        <v>43839</v>
      </c>
      <c r="E2701" s="730">
        <v>0.36666666666666664</v>
      </c>
      <c r="F2701" s="558" t="s">
        <v>4070</v>
      </c>
      <c r="G2701" s="558" t="s">
        <v>674</v>
      </c>
      <c r="H2701" s="558" t="s">
        <v>3387</v>
      </c>
      <c r="I2701" s="679" t="s">
        <v>2764</v>
      </c>
      <c r="J2701" s="676">
        <v>0</v>
      </c>
      <c r="K2701" s="676">
        <v>0</v>
      </c>
      <c r="M2701" t="str">
        <f>""</f>
        <v/>
      </c>
    </row>
    <row r="2702" spans="1:13" ht="15.75">
      <c r="A2702">
        <v>2020</v>
      </c>
      <c r="B2702" s="777">
        <v>43842</v>
      </c>
      <c r="C2702" s="730">
        <v>0.46875</v>
      </c>
      <c r="D2702" s="777">
        <v>43842</v>
      </c>
      <c r="E2702" s="730">
        <v>0.47083333333333333</v>
      </c>
      <c r="F2702" s="558" t="s">
        <v>4083</v>
      </c>
      <c r="G2702" s="558" t="s">
        <v>1352</v>
      </c>
      <c r="H2702" s="558" t="s">
        <v>3402</v>
      </c>
      <c r="I2702" s="679" t="s">
        <v>2118</v>
      </c>
      <c r="J2702" s="676">
        <v>0</v>
      </c>
      <c r="K2702" s="676">
        <v>0</v>
      </c>
      <c r="M2702" t="str">
        <f>""</f>
        <v/>
      </c>
    </row>
    <row r="2703" spans="1:13" ht="15.75">
      <c r="A2703">
        <v>2020</v>
      </c>
      <c r="B2703" s="777">
        <v>43844</v>
      </c>
      <c r="C2703" s="730">
        <v>0</v>
      </c>
      <c r="D2703" s="777">
        <v>43844</v>
      </c>
      <c r="E2703" s="730">
        <v>4.1666666666666664E-2</v>
      </c>
      <c r="F2703" s="558" t="s">
        <v>3182</v>
      </c>
      <c r="G2703" s="558" t="s">
        <v>301</v>
      </c>
      <c r="H2703" s="558" t="s">
        <v>3402</v>
      </c>
      <c r="I2703" s="679" t="s">
        <v>2118</v>
      </c>
      <c r="J2703" s="676">
        <v>0</v>
      </c>
      <c r="K2703" s="676">
        <v>0</v>
      </c>
      <c r="M2703" t="str">
        <f>""</f>
        <v/>
      </c>
    </row>
    <row r="2704" spans="1:13" ht="15.75">
      <c r="A2704">
        <v>2020</v>
      </c>
      <c r="B2704" s="777">
        <v>43846</v>
      </c>
      <c r="C2704" s="730">
        <v>0.46250000000000002</v>
      </c>
      <c r="D2704" s="777">
        <v>43846</v>
      </c>
      <c r="E2704" s="730">
        <v>0.48333333333333334</v>
      </c>
      <c r="F2704" s="558" t="s">
        <v>2809</v>
      </c>
      <c r="G2704" s="558" t="s">
        <v>1352</v>
      </c>
      <c r="H2704" s="558" t="s">
        <v>3447</v>
      </c>
      <c r="I2704" s="679" t="s">
        <v>2764</v>
      </c>
      <c r="J2704" s="676">
        <v>0</v>
      </c>
      <c r="K2704" s="676">
        <v>0</v>
      </c>
      <c r="M2704" t="str">
        <f>""</f>
        <v/>
      </c>
    </row>
    <row r="2705" spans="1:13" ht="15.75">
      <c r="A2705">
        <v>2020</v>
      </c>
      <c r="B2705" s="777">
        <v>43850</v>
      </c>
      <c r="C2705" s="730">
        <v>0.27083333333333331</v>
      </c>
      <c r="D2705" s="777">
        <v>43850</v>
      </c>
      <c r="E2705" s="730">
        <v>0.27152777777777776</v>
      </c>
      <c r="F2705" s="558" t="s">
        <v>2967</v>
      </c>
      <c r="G2705" s="558" t="s">
        <v>124</v>
      </c>
      <c r="H2705" s="558" t="s">
        <v>3463</v>
      </c>
      <c r="I2705" s="679" t="s">
        <v>100</v>
      </c>
      <c r="J2705" s="676">
        <v>0</v>
      </c>
      <c r="K2705" s="676">
        <v>0</v>
      </c>
      <c r="M2705" t="str">
        <f>""</f>
        <v/>
      </c>
    </row>
    <row r="2706" spans="1:13" ht="15.75">
      <c r="A2706">
        <v>2020</v>
      </c>
      <c r="B2706" s="777">
        <v>43853</v>
      </c>
      <c r="C2706" s="730">
        <v>0.97916666666666663</v>
      </c>
      <c r="D2706" s="777">
        <v>43854</v>
      </c>
      <c r="E2706" s="730">
        <v>2.7083333333333334E-2</v>
      </c>
      <c r="F2706" s="558" t="s">
        <v>4095</v>
      </c>
      <c r="G2706" s="558" t="s">
        <v>301</v>
      </c>
      <c r="H2706" s="558" t="s">
        <v>3402</v>
      </c>
      <c r="I2706" s="679" t="s">
        <v>100</v>
      </c>
      <c r="J2706" s="676">
        <v>0</v>
      </c>
      <c r="K2706" s="676">
        <v>0</v>
      </c>
      <c r="M2706" t="str">
        <f>""</f>
        <v/>
      </c>
    </row>
    <row r="2707" spans="1:13" ht="15.75">
      <c r="A2707">
        <v>2020</v>
      </c>
      <c r="B2707" s="777">
        <v>43854</v>
      </c>
      <c r="C2707" s="730">
        <v>0.19027777777777777</v>
      </c>
      <c r="D2707" s="777" t="s">
        <v>5873</v>
      </c>
      <c r="E2707" s="730" t="s">
        <v>5873</v>
      </c>
      <c r="F2707" s="558" t="s">
        <v>2945</v>
      </c>
      <c r="G2707" s="558" t="s">
        <v>124</v>
      </c>
      <c r="H2707" s="558" t="s">
        <v>3654</v>
      </c>
      <c r="I2707" s="679" t="s">
        <v>1138</v>
      </c>
      <c r="J2707" s="676">
        <v>0</v>
      </c>
      <c r="K2707" s="676">
        <v>0</v>
      </c>
      <c r="M2707" t="str">
        <f>""</f>
        <v/>
      </c>
    </row>
    <row r="2708" spans="1:13" ht="15.75">
      <c r="A2708">
        <v>2020</v>
      </c>
      <c r="B2708" s="777">
        <v>43860</v>
      </c>
      <c r="C2708" s="730">
        <v>0.12569444444444444</v>
      </c>
      <c r="D2708" s="777">
        <v>43860</v>
      </c>
      <c r="E2708" s="730">
        <v>0.19166666666666668</v>
      </c>
      <c r="F2708" s="558" t="s">
        <v>4057</v>
      </c>
      <c r="G2708" s="558" t="s">
        <v>674</v>
      </c>
      <c r="H2708" s="558" t="s">
        <v>3411</v>
      </c>
      <c r="I2708" s="679" t="s">
        <v>2483</v>
      </c>
      <c r="J2708" s="676">
        <v>75</v>
      </c>
      <c r="K2708" s="676">
        <v>0</v>
      </c>
      <c r="M2708" t="str">
        <f>""</f>
        <v/>
      </c>
    </row>
    <row r="2709" spans="1:13" ht="15.75">
      <c r="A2709">
        <v>2020</v>
      </c>
      <c r="B2709" s="777">
        <v>43861</v>
      </c>
      <c r="C2709" s="730">
        <v>0.40972222222222221</v>
      </c>
      <c r="D2709" s="777">
        <v>43864</v>
      </c>
      <c r="E2709" s="730">
        <v>0.41666666666666669</v>
      </c>
      <c r="F2709" s="558" t="s">
        <v>2945</v>
      </c>
      <c r="G2709" s="558" t="s">
        <v>124</v>
      </c>
      <c r="H2709" s="558" t="s">
        <v>3928</v>
      </c>
      <c r="I2709" s="679" t="s">
        <v>2118</v>
      </c>
      <c r="J2709" s="676">
        <v>0</v>
      </c>
      <c r="K2709" s="676">
        <v>0</v>
      </c>
      <c r="M2709" t="str">
        <f>""</f>
        <v/>
      </c>
    </row>
    <row r="2710" spans="1:13" ht="15.75">
      <c r="A2710">
        <v>2020</v>
      </c>
      <c r="B2710" s="777">
        <v>43869</v>
      </c>
      <c r="C2710" s="730">
        <v>0.5805555555555556</v>
      </c>
      <c r="D2710" s="777">
        <v>43869</v>
      </c>
      <c r="E2710" s="730">
        <v>0.62777777777777777</v>
      </c>
      <c r="F2710" s="558" t="s">
        <v>2945</v>
      </c>
      <c r="G2710" s="558" t="s">
        <v>124</v>
      </c>
      <c r="H2710" s="558" t="s">
        <v>3356</v>
      </c>
      <c r="I2710" s="679" t="s">
        <v>100</v>
      </c>
      <c r="J2710" s="676">
        <v>0</v>
      </c>
      <c r="K2710" s="676">
        <v>0</v>
      </c>
      <c r="M2710" t="str">
        <f>""</f>
        <v/>
      </c>
    </row>
    <row r="2711" spans="1:13" ht="15.75">
      <c r="A2711">
        <v>2020</v>
      </c>
      <c r="B2711" s="777">
        <v>43872</v>
      </c>
      <c r="C2711" s="730">
        <v>0.12013888888888889</v>
      </c>
      <c r="D2711" s="777">
        <v>43872</v>
      </c>
      <c r="E2711" s="730">
        <v>0.5625</v>
      </c>
      <c r="F2711" s="558" t="s">
        <v>4118</v>
      </c>
      <c r="G2711" s="558" t="s">
        <v>1352</v>
      </c>
      <c r="H2711" s="558" t="s">
        <v>3928</v>
      </c>
      <c r="I2711" s="679" t="s">
        <v>2764</v>
      </c>
      <c r="J2711" s="676">
        <v>0</v>
      </c>
      <c r="K2711" s="676">
        <v>0</v>
      </c>
      <c r="M2711" t="str">
        <f>""</f>
        <v/>
      </c>
    </row>
    <row r="2712" spans="1:13" ht="15.75">
      <c r="A2712">
        <v>2020</v>
      </c>
      <c r="B2712" s="777">
        <v>43872</v>
      </c>
      <c r="C2712" s="730">
        <v>0.30069444444444443</v>
      </c>
      <c r="D2712" s="777">
        <v>43872</v>
      </c>
      <c r="E2712" s="730">
        <v>0.66666666666666663</v>
      </c>
      <c r="F2712" s="558" t="s">
        <v>4119</v>
      </c>
      <c r="G2712" s="558" t="s">
        <v>124</v>
      </c>
      <c r="H2712" s="558" t="s">
        <v>3411</v>
      </c>
      <c r="I2712" s="679" t="s">
        <v>2483</v>
      </c>
      <c r="J2712" s="676" t="s">
        <v>5873</v>
      </c>
      <c r="K2712" s="676">
        <v>0</v>
      </c>
      <c r="M2712" t="str">
        <f>""</f>
        <v/>
      </c>
    </row>
    <row r="2713" spans="1:13" ht="15.75">
      <c r="A2713">
        <v>2020</v>
      </c>
      <c r="B2713" s="777">
        <v>43873</v>
      </c>
      <c r="C2713" s="730">
        <v>0.31666666666666665</v>
      </c>
      <c r="D2713" s="777">
        <v>43873</v>
      </c>
      <c r="E2713" s="730">
        <v>0.37013888888888891</v>
      </c>
      <c r="F2713" s="558" t="s">
        <v>2959</v>
      </c>
      <c r="G2713" s="558" t="s">
        <v>61</v>
      </c>
      <c r="H2713" s="558" t="s">
        <v>3387</v>
      </c>
      <c r="I2713" s="679" t="s">
        <v>2764</v>
      </c>
      <c r="J2713" s="676">
        <v>0</v>
      </c>
      <c r="K2713" s="676">
        <v>0</v>
      </c>
      <c r="M2713" t="str">
        <f>""</f>
        <v/>
      </c>
    </row>
    <row r="2714" spans="1:13" ht="15.75">
      <c r="A2714">
        <v>2020</v>
      </c>
      <c r="B2714" s="777">
        <v>43874</v>
      </c>
      <c r="C2714" s="730">
        <v>0.33402777777777776</v>
      </c>
      <c r="D2714" s="777">
        <v>43874</v>
      </c>
      <c r="E2714" s="730">
        <v>0.60972222222222228</v>
      </c>
      <c r="F2714" s="558" t="s">
        <v>2933</v>
      </c>
      <c r="G2714" s="558" t="s">
        <v>124</v>
      </c>
      <c r="H2714" s="558" t="s">
        <v>3356</v>
      </c>
      <c r="I2714" s="679" t="s">
        <v>100</v>
      </c>
      <c r="J2714" s="676">
        <v>0</v>
      </c>
      <c r="K2714" s="676">
        <v>0</v>
      </c>
      <c r="M2714" t="str">
        <f>""</f>
        <v/>
      </c>
    </row>
    <row r="2715" spans="1:13" ht="15.75">
      <c r="A2715">
        <v>2020</v>
      </c>
      <c r="B2715" s="777">
        <v>43878</v>
      </c>
      <c r="C2715" s="730">
        <v>0.5541666666666667</v>
      </c>
      <c r="D2715" s="777">
        <v>43881</v>
      </c>
      <c r="E2715" s="730">
        <v>0.41041666666666665</v>
      </c>
      <c r="F2715" s="558" t="s">
        <v>4125</v>
      </c>
      <c r="G2715" s="558" t="s">
        <v>3143</v>
      </c>
      <c r="H2715" s="558" t="s">
        <v>3463</v>
      </c>
      <c r="I2715" s="679" t="s">
        <v>100</v>
      </c>
      <c r="J2715" s="676">
        <v>0</v>
      </c>
      <c r="K2715" s="676">
        <v>0</v>
      </c>
      <c r="M2715" t="str">
        <f>""</f>
        <v/>
      </c>
    </row>
    <row r="2716" spans="1:13" ht="15.75">
      <c r="A2716">
        <v>2020</v>
      </c>
      <c r="B2716" s="777">
        <v>43879</v>
      </c>
      <c r="C2716" s="730">
        <v>0.54166666666666663</v>
      </c>
      <c r="D2716" s="777">
        <v>43879</v>
      </c>
      <c r="E2716" s="730">
        <v>0.58333333333333337</v>
      </c>
      <c r="F2716" s="558" t="s">
        <v>3357</v>
      </c>
      <c r="G2716" s="558" t="s">
        <v>124</v>
      </c>
      <c r="H2716" s="558" t="s">
        <v>3463</v>
      </c>
      <c r="I2716" s="679" t="s">
        <v>100</v>
      </c>
      <c r="J2716" s="676">
        <v>0</v>
      </c>
      <c r="K2716" s="676">
        <v>0</v>
      </c>
      <c r="M2716" t="str">
        <f>""</f>
        <v/>
      </c>
    </row>
    <row r="2717" spans="1:13" ht="15.75">
      <c r="A2717">
        <v>2020</v>
      </c>
      <c r="B2717" s="777">
        <v>43886</v>
      </c>
      <c r="C2717" s="730">
        <v>0.48958333333333331</v>
      </c>
      <c r="D2717" s="777">
        <v>43886</v>
      </c>
      <c r="E2717" s="730">
        <v>0.54166666666666663</v>
      </c>
      <c r="F2717" s="558" t="s">
        <v>2967</v>
      </c>
      <c r="G2717" s="558" t="s">
        <v>124</v>
      </c>
      <c r="H2717" s="558" t="s">
        <v>3356</v>
      </c>
      <c r="I2717" s="679" t="s">
        <v>100</v>
      </c>
      <c r="J2717" s="676">
        <v>0</v>
      </c>
      <c r="K2717" s="676">
        <v>0</v>
      </c>
      <c r="M2717" t="str">
        <f>""</f>
        <v/>
      </c>
    </row>
    <row r="2718" spans="1:13" ht="15.75">
      <c r="A2718">
        <v>2020</v>
      </c>
      <c r="B2718" s="777">
        <v>43887</v>
      </c>
      <c r="C2718" s="730">
        <v>0.6875</v>
      </c>
      <c r="D2718" s="777">
        <v>43887</v>
      </c>
      <c r="E2718" s="730">
        <v>0.70972222222222225</v>
      </c>
      <c r="F2718" s="558" t="s">
        <v>3693</v>
      </c>
      <c r="G2718" s="558" t="s">
        <v>3347</v>
      </c>
      <c r="H2718" s="558" t="s">
        <v>3387</v>
      </c>
      <c r="I2718" s="679" t="s">
        <v>2764</v>
      </c>
      <c r="J2718" s="676">
        <v>0</v>
      </c>
      <c r="K2718" s="676">
        <v>0</v>
      </c>
      <c r="M2718" t="str">
        <f>""</f>
        <v/>
      </c>
    </row>
    <row r="2719" spans="1:13" ht="15.75">
      <c r="A2719">
        <v>2020</v>
      </c>
      <c r="B2719" s="777">
        <v>43887</v>
      </c>
      <c r="C2719" s="730">
        <v>0.70833333333333337</v>
      </c>
      <c r="D2719" s="777">
        <v>43887</v>
      </c>
      <c r="E2719" s="730">
        <v>0.75347222222222221</v>
      </c>
      <c r="F2719" s="558" t="s">
        <v>2959</v>
      </c>
      <c r="G2719" s="558" t="s">
        <v>61</v>
      </c>
      <c r="H2719" s="558" t="s">
        <v>3387</v>
      </c>
      <c r="I2719" s="679" t="s">
        <v>2764</v>
      </c>
      <c r="J2719" s="676">
        <v>0</v>
      </c>
      <c r="K2719" s="676">
        <v>0</v>
      </c>
      <c r="M2719" t="str">
        <f>""</f>
        <v/>
      </c>
    </row>
    <row r="2720" spans="1:13" ht="15.75">
      <c r="A2720">
        <v>2020</v>
      </c>
      <c r="B2720" s="777">
        <v>43887</v>
      </c>
      <c r="C2720" s="730">
        <v>0.47847222222222224</v>
      </c>
      <c r="D2720" s="777">
        <v>43887</v>
      </c>
      <c r="E2720" s="730">
        <v>0.50972222222222219</v>
      </c>
      <c r="F2720" s="558" t="s">
        <v>4131</v>
      </c>
      <c r="G2720" s="558" t="s">
        <v>674</v>
      </c>
      <c r="H2720" s="558" t="s">
        <v>3387</v>
      </c>
      <c r="I2720" s="679" t="s">
        <v>2764</v>
      </c>
      <c r="J2720" s="676">
        <v>0</v>
      </c>
      <c r="K2720" s="676">
        <v>0</v>
      </c>
      <c r="M2720" t="str">
        <f>""</f>
        <v/>
      </c>
    </row>
    <row r="2721" spans="1:13" ht="15.75">
      <c r="A2721">
        <v>2020</v>
      </c>
      <c r="B2721" s="777">
        <v>43890</v>
      </c>
      <c r="C2721" s="730">
        <v>7.2916666666666671E-2</v>
      </c>
      <c r="D2721" s="777">
        <v>43890</v>
      </c>
      <c r="E2721" s="730">
        <v>0.10416666666666667</v>
      </c>
      <c r="F2721" s="558" t="s">
        <v>4133</v>
      </c>
      <c r="G2721" s="558" t="s">
        <v>124</v>
      </c>
      <c r="H2721" s="558" t="s">
        <v>3387</v>
      </c>
      <c r="I2721" s="679" t="s">
        <v>2764</v>
      </c>
      <c r="J2721" s="676">
        <v>0</v>
      </c>
      <c r="K2721" s="676">
        <v>0</v>
      </c>
      <c r="M2721" t="str">
        <f>""</f>
        <v/>
      </c>
    </row>
    <row r="2722" spans="1:13" ht="15.75">
      <c r="A2722">
        <v>2020</v>
      </c>
      <c r="B2722" s="777">
        <v>43891</v>
      </c>
      <c r="C2722" s="730">
        <v>0.92708333333333337</v>
      </c>
      <c r="D2722" s="777" t="s">
        <v>5873</v>
      </c>
      <c r="E2722" s="730" t="s">
        <v>5873</v>
      </c>
      <c r="F2722" s="558" t="s">
        <v>2868</v>
      </c>
      <c r="G2722" s="558" t="s">
        <v>61</v>
      </c>
      <c r="H2722" s="558" t="s">
        <v>3356</v>
      </c>
      <c r="I2722" s="679" t="s">
        <v>100</v>
      </c>
      <c r="J2722" s="676">
        <v>0</v>
      </c>
      <c r="K2722" s="676">
        <v>0</v>
      </c>
      <c r="M2722" t="str">
        <f>""</f>
        <v/>
      </c>
    </row>
    <row r="2723" spans="1:13" ht="15.75">
      <c r="A2723">
        <v>2020</v>
      </c>
      <c r="B2723" s="777">
        <v>43892</v>
      </c>
      <c r="C2723" s="730">
        <v>7.1527777777777773E-2</v>
      </c>
      <c r="D2723" s="777">
        <v>43892</v>
      </c>
      <c r="E2723" s="730">
        <v>0.11319444444444444</v>
      </c>
      <c r="F2723" s="558" t="s">
        <v>4133</v>
      </c>
      <c r="G2723" s="558" t="s">
        <v>124</v>
      </c>
      <c r="H2723" s="558" t="s">
        <v>3387</v>
      </c>
      <c r="I2723" s="679" t="s">
        <v>2764</v>
      </c>
      <c r="J2723" s="676">
        <v>0</v>
      </c>
      <c r="K2723" s="676">
        <v>0</v>
      </c>
      <c r="M2723" t="str">
        <f>""</f>
        <v/>
      </c>
    </row>
    <row r="2724" spans="1:13" ht="15.75">
      <c r="A2724">
        <v>2020</v>
      </c>
      <c r="B2724" s="777">
        <v>43893</v>
      </c>
      <c r="C2724" s="730">
        <v>0.60416666666666663</v>
      </c>
      <c r="D2724" s="777">
        <v>43893</v>
      </c>
      <c r="E2724" s="730">
        <v>0.60486111111111107</v>
      </c>
      <c r="F2724" s="558" t="s">
        <v>4141</v>
      </c>
      <c r="G2724" s="558" t="s">
        <v>63</v>
      </c>
      <c r="H2724" s="558" t="s">
        <v>3356</v>
      </c>
      <c r="I2724" s="679" t="s">
        <v>100</v>
      </c>
      <c r="J2724" s="676">
        <v>0</v>
      </c>
      <c r="K2724" s="676">
        <v>0</v>
      </c>
      <c r="M2724" t="str">
        <f>""</f>
        <v/>
      </c>
    </row>
    <row r="2725" spans="1:13" ht="15.75">
      <c r="A2725">
        <v>2020</v>
      </c>
      <c r="B2725" s="777">
        <v>43898</v>
      </c>
      <c r="C2725" s="730">
        <v>0.92361111111111116</v>
      </c>
      <c r="D2725" s="777">
        <v>43899</v>
      </c>
      <c r="E2725" s="730">
        <v>4.3055555555555555E-2</v>
      </c>
      <c r="F2725" s="558" t="s">
        <v>4144</v>
      </c>
      <c r="G2725" s="558" t="s">
        <v>1352</v>
      </c>
      <c r="H2725" s="558" t="s">
        <v>3402</v>
      </c>
      <c r="I2725" s="679" t="s">
        <v>2118</v>
      </c>
      <c r="J2725" s="676">
        <v>0</v>
      </c>
      <c r="K2725" s="676">
        <v>0</v>
      </c>
      <c r="M2725" t="str">
        <f>""</f>
        <v/>
      </c>
    </row>
    <row r="2726" spans="1:13" ht="15.75">
      <c r="A2726">
        <v>2020</v>
      </c>
      <c r="B2726" s="777">
        <v>43906</v>
      </c>
      <c r="C2726" s="730">
        <v>0.33333333333333331</v>
      </c>
      <c r="D2726" s="777">
        <v>43906</v>
      </c>
      <c r="E2726" s="730">
        <v>0.33402777777777776</v>
      </c>
      <c r="F2726" s="558" t="s">
        <v>2967</v>
      </c>
      <c r="G2726" s="558" t="s">
        <v>124</v>
      </c>
      <c r="H2726" s="558" t="s">
        <v>3463</v>
      </c>
      <c r="I2726" s="679" t="s">
        <v>100</v>
      </c>
      <c r="J2726" s="676">
        <v>0</v>
      </c>
      <c r="K2726" s="676">
        <v>0</v>
      </c>
      <c r="M2726" t="str">
        <f>""</f>
        <v/>
      </c>
    </row>
    <row r="2727" spans="1:13" ht="15.75">
      <c r="A2727">
        <v>2020</v>
      </c>
      <c r="B2727" s="777">
        <v>43906</v>
      </c>
      <c r="C2727" s="730">
        <v>0.33333333333333331</v>
      </c>
      <c r="D2727" s="777">
        <v>43906</v>
      </c>
      <c r="E2727" s="730">
        <v>0.33402777777777776</v>
      </c>
      <c r="F2727" s="558" t="s">
        <v>2967</v>
      </c>
      <c r="G2727" s="558" t="s">
        <v>124</v>
      </c>
      <c r="H2727" s="558" t="s">
        <v>3463</v>
      </c>
      <c r="I2727" s="679" t="s">
        <v>100</v>
      </c>
      <c r="J2727" s="676">
        <v>0</v>
      </c>
      <c r="K2727" s="676">
        <v>0</v>
      </c>
      <c r="M2727" t="str">
        <f>""</f>
        <v/>
      </c>
    </row>
    <row r="2728" spans="1:13" ht="15.75">
      <c r="A2728">
        <v>2020</v>
      </c>
      <c r="B2728" s="777">
        <v>43907</v>
      </c>
      <c r="C2728" s="730">
        <v>0.4375</v>
      </c>
      <c r="D2728" s="777">
        <v>43907</v>
      </c>
      <c r="E2728" s="730">
        <v>0.48680555555555555</v>
      </c>
      <c r="F2728" s="558" t="s">
        <v>4151</v>
      </c>
      <c r="G2728" s="558" t="s">
        <v>3143</v>
      </c>
      <c r="H2728" s="558" t="s">
        <v>3387</v>
      </c>
      <c r="I2728" s="679" t="s">
        <v>2764</v>
      </c>
      <c r="J2728" s="676">
        <v>6062</v>
      </c>
      <c r="K2728" s="676">
        <v>0</v>
      </c>
      <c r="M2728" t="str">
        <f>""</f>
        <v/>
      </c>
    </row>
    <row r="2729" spans="1:13" ht="15.75">
      <c r="A2729">
        <v>2020</v>
      </c>
      <c r="B2729" s="777">
        <v>43909</v>
      </c>
      <c r="C2729" s="730">
        <v>0.71180555555555558</v>
      </c>
      <c r="D2729" s="777">
        <v>43909</v>
      </c>
      <c r="E2729" s="730">
        <v>0.73819444444444449</v>
      </c>
      <c r="F2729" s="558" t="s">
        <v>3378</v>
      </c>
      <c r="G2729" s="558" t="s">
        <v>674</v>
      </c>
      <c r="H2729" s="558" t="s">
        <v>3387</v>
      </c>
      <c r="I2729" s="679" t="s">
        <v>2764</v>
      </c>
      <c r="J2729" s="676">
        <v>0</v>
      </c>
      <c r="K2729" s="676">
        <v>0</v>
      </c>
      <c r="M2729" t="str">
        <f>""</f>
        <v/>
      </c>
    </row>
    <row r="2730" spans="1:13" ht="15.75">
      <c r="A2730">
        <v>2020</v>
      </c>
      <c r="B2730" s="777">
        <v>43910</v>
      </c>
      <c r="C2730" s="730">
        <v>0.93055555555555558</v>
      </c>
      <c r="D2730" s="777">
        <v>43910</v>
      </c>
      <c r="E2730" s="730">
        <v>0.97916666666666663</v>
      </c>
      <c r="F2730" s="558" t="s">
        <v>4158</v>
      </c>
      <c r="G2730" s="558" t="s">
        <v>61</v>
      </c>
      <c r="H2730" s="558" t="s">
        <v>3387</v>
      </c>
      <c r="I2730" s="679" t="s">
        <v>2764</v>
      </c>
      <c r="J2730" s="676">
        <v>0</v>
      </c>
      <c r="K2730" s="676">
        <v>0</v>
      </c>
      <c r="M2730" t="str">
        <f>""</f>
        <v/>
      </c>
    </row>
    <row r="2731" spans="1:13" ht="15.75">
      <c r="A2731">
        <v>2020</v>
      </c>
      <c r="B2731" s="777">
        <v>43910</v>
      </c>
      <c r="C2731" s="730">
        <v>0.98472222222222228</v>
      </c>
      <c r="D2731" s="777">
        <v>43910</v>
      </c>
      <c r="E2731" s="730">
        <v>0.99930555555555556</v>
      </c>
      <c r="F2731" s="558" t="s">
        <v>2959</v>
      </c>
      <c r="G2731" s="558" t="s">
        <v>61</v>
      </c>
      <c r="H2731" s="558" t="s">
        <v>3387</v>
      </c>
      <c r="I2731" s="679" t="s">
        <v>2764</v>
      </c>
      <c r="J2731" s="676">
        <v>0</v>
      </c>
      <c r="K2731" s="676">
        <v>0</v>
      </c>
      <c r="M2731" t="str">
        <f>""</f>
        <v/>
      </c>
    </row>
    <row r="2732" spans="1:13" ht="15.75">
      <c r="A2732">
        <v>2020</v>
      </c>
      <c r="B2732" s="777">
        <v>43910</v>
      </c>
      <c r="C2732" s="730">
        <v>0.98958333333333337</v>
      </c>
      <c r="D2732" s="777">
        <v>43911</v>
      </c>
      <c r="E2732" s="730">
        <v>2.0833333333333332E-2</v>
      </c>
      <c r="F2732" s="558" t="s">
        <v>4160</v>
      </c>
      <c r="G2732" s="558" t="s">
        <v>61</v>
      </c>
      <c r="H2732" s="558" t="s">
        <v>3447</v>
      </c>
      <c r="I2732" s="679" t="s">
        <v>2764</v>
      </c>
      <c r="J2732" s="676">
        <v>0</v>
      </c>
      <c r="K2732" s="676">
        <v>0</v>
      </c>
      <c r="M2732" t="str">
        <f>""</f>
        <v/>
      </c>
    </row>
    <row r="2733" spans="1:13" ht="15.75">
      <c r="A2733">
        <v>2020</v>
      </c>
      <c r="B2733" s="777">
        <v>43913</v>
      </c>
      <c r="C2733" s="730">
        <v>1.0416666666666666E-2</v>
      </c>
      <c r="D2733" s="777">
        <v>43915</v>
      </c>
      <c r="E2733" s="730">
        <v>0.71597222222222223</v>
      </c>
      <c r="F2733" s="558" t="s">
        <v>4163</v>
      </c>
      <c r="G2733" s="558" t="s">
        <v>674</v>
      </c>
      <c r="H2733" s="558" t="s">
        <v>3356</v>
      </c>
      <c r="I2733" s="679" t="s">
        <v>100</v>
      </c>
      <c r="J2733" s="676">
        <v>0</v>
      </c>
      <c r="K2733" s="676">
        <v>0</v>
      </c>
      <c r="M2733" t="str">
        <f>""</f>
        <v/>
      </c>
    </row>
    <row r="2734" spans="1:13" ht="15.75">
      <c r="A2734">
        <v>2020</v>
      </c>
      <c r="B2734" s="777">
        <v>43914</v>
      </c>
      <c r="C2734" s="730">
        <v>0.53125</v>
      </c>
      <c r="D2734" s="777">
        <v>43914</v>
      </c>
      <c r="E2734" s="730">
        <v>0.58333333333333337</v>
      </c>
      <c r="F2734" s="558" t="s">
        <v>4166</v>
      </c>
      <c r="G2734" s="558" t="s">
        <v>124</v>
      </c>
      <c r="H2734" s="558" t="s">
        <v>3402</v>
      </c>
      <c r="I2734" s="679" t="s">
        <v>2118</v>
      </c>
      <c r="J2734" s="676">
        <v>0</v>
      </c>
      <c r="K2734" s="676">
        <v>0</v>
      </c>
      <c r="M2734" t="str">
        <f>""</f>
        <v/>
      </c>
    </row>
    <row r="2735" spans="1:13" ht="15.75">
      <c r="A2735">
        <v>2020</v>
      </c>
      <c r="B2735" s="777">
        <v>43915</v>
      </c>
      <c r="C2735" s="730">
        <v>0.43819444444444444</v>
      </c>
      <c r="D2735" s="777" t="s">
        <v>5873</v>
      </c>
      <c r="E2735" s="730" t="s">
        <v>5873</v>
      </c>
      <c r="F2735" s="558" t="s">
        <v>2817</v>
      </c>
      <c r="G2735" s="558" t="s">
        <v>124</v>
      </c>
      <c r="H2735" s="558" t="s">
        <v>3356</v>
      </c>
      <c r="I2735" s="679" t="s">
        <v>100</v>
      </c>
      <c r="J2735" s="676">
        <v>0</v>
      </c>
      <c r="K2735" s="676">
        <v>0</v>
      </c>
      <c r="M2735" t="str">
        <f>""</f>
        <v/>
      </c>
    </row>
    <row r="2736" spans="1:13" ht="15.75">
      <c r="A2736">
        <v>2020</v>
      </c>
      <c r="B2736" s="777">
        <v>43917</v>
      </c>
      <c r="C2736" s="730">
        <v>0.54583333333333328</v>
      </c>
      <c r="D2736" s="777">
        <v>43917</v>
      </c>
      <c r="E2736" s="730">
        <v>0.58194444444444449</v>
      </c>
      <c r="F2736" s="558" t="s">
        <v>4171</v>
      </c>
      <c r="G2736" s="558" t="s">
        <v>3143</v>
      </c>
      <c r="H2736" s="558" t="s">
        <v>3387</v>
      </c>
      <c r="I2736" s="679" t="s">
        <v>2764</v>
      </c>
      <c r="J2736" s="676">
        <v>0</v>
      </c>
      <c r="K2736" s="676">
        <v>0</v>
      </c>
      <c r="M2736" t="str">
        <f>""</f>
        <v/>
      </c>
    </row>
    <row r="2737" spans="1:13" ht="15.75">
      <c r="A2737">
        <v>2020</v>
      </c>
      <c r="B2737" s="777">
        <v>43917</v>
      </c>
      <c r="C2737" s="730">
        <v>0.54583333333333328</v>
      </c>
      <c r="D2737" s="777">
        <v>43917</v>
      </c>
      <c r="E2737" s="730">
        <v>0.58194444444444449</v>
      </c>
      <c r="F2737" s="558" t="s">
        <v>4172</v>
      </c>
      <c r="G2737" s="558" t="s">
        <v>3143</v>
      </c>
      <c r="H2737" s="558" t="s">
        <v>3387</v>
      </c>
      <c r="I2737" s="679" t="s">
        <v>2764</v>
      </c>
      <c r="J2737" s="676">
        <v>0</v>
      </c>
      <c r="K2737" s="676">
        <v>0</v>
      </c>
      <c r="M2737" t="str">
        <f>""</f>
        <v/>
      </c>
    </row>
    <row r="2738" spans="1:13" ht="15.75">
      <c r="A2738">
        <v>2020</v>
      </c>
      <c r="B2738" s="777">
        <v>43922</v>
      </c>
      <c r="C2738" s="730">
        <v>0.90486111111111112</v>
      </c>
      <c r="D2738" s="777">
        <v>43922</v>
      </c>
      <c r="E2738" s="730">
        <v>0.9291666666666667</v>
      </c>
      <c r="F2738" s="558" t="s">
        <v>4179</v>
      </c>
      <c r="G2738" s="558" t="s">
        <v>63</v>
      </c>
      <c r="H2738" s="558" t="s">
        <v>3387</v>
      </c>
      <c r="I2738" s="679" t="s">
        <v>2764</v>
      </c>
      <c r="J2738" s="676">
        <v>0</v>
      </c>
      <c r="K2738" s="676">
        <v>0</v>
      </c>
      <c r="M2738" t="str">
        <f>""</f>
        <v/>
      </c>
    </row>
    <row r="2739" spans="1:13" ht="15.75">
      <c r="A2739">
        <v>2020</v>
      </c>
      <c r="B2739" s="777">
        <v>43923</v>
      </c>
      <c r="C2739" s="730">
        <v>0.77847222222222223</v>
      </c>
      <c r="D2739" s="777">
        <v>43923</v>
      </c>
      <c r="E2739" s="730">
        <v>0.80763888888888891</v>
      </c>
      <c r="F2739" s="558" t="s">
        <v>3591</v>
      </c>
      <c r="G2739" s="558" t="s">
        <v>1352</v>
      </c>
      <c r="H2739" s="558" t="s">
        <v>3387</v>
      </c>
      <c r="I2739" s="679" t="s">
        <v>2764</v>
      </c>
      <c r="J2739" s="676">
        <v>0</v>
      </c>
      <c r="K2739" s="676">
        <v>0</v>
      </c>
      <c r="M2739" t="str">
        <f>""</f>
        <v/>
      </c>
    </row>
    <row r="2740" spans="1:13" ht="15.75">
      <c r="A2740">
        <v>2020</v>
      </c>
      <c r="B2740" s="777">
        <v>43924</v>
      </c>
      <c r="C2740" s="730">
        <v>0.3840277777777778</v>
      </c>
      <c r="D2740" s="777" t="s">
        <v>5873</v>
      </c>
      <c r="E2740" s="730" t="s">
        <v>5873</v>
      </c>
      <c r="F2740" s="558" t="s">
        <v>2817</v>
      </c>
      <c r="G2740" s="558" t="s">
        <v>124</v>
      </c>
      <c r="H2740" s="558" t="s">
        <v>3356</v>
      </c>
      <c r="I2740" s="679" t="s">
        <v>100</v>
      </c>
      <c r="J2740" s="676">
        <v>0</v>
      </c>
      <c r="K2740" s="676">
        <v>0</v>
      </c>
      <c r="M2740" t="str">
        <f>""</f>
        <v/>
      </c>
    </row>
    <row r="2741" spans="1:13" ht="15.75">
      <c r="A2741">
        <v>2020</v>
      </c>
      <c r="B2741" s="777">
        <v>43926</v>
      </c>
      <c r="C2741" s="730">
        <v>0.10416666666666667</v>
      </c>
      <c r="D2741" s="777">
        <v>43926</v>
      </c>
      <c r="E2741" s="730">
        <v>0.12569444444444444</v>
      </c>
      <c r="F2741" s="558" t="s">
        <v>4185</v>
      </c>
      <c r="G2741" s="558" t="s">
        <v>1352</v>
      </c>
      <c r="H2741" s="558" t="s">
        <v>3402</v>
      </c>
      <c r="I2741" s="679" t="s">
        <v>2118</v>
      </c>
      <c r="J2741" s="676">
        <v>0</v>
      </c>
      <c r="K2741" s="676">
        <v>0</v>
      </c>
      <c r="M2741" t="str">
        <f>""</f>
        <v/>
      </c>
    </row>
    <row r="2742" spans="1:13" ht="15.75">
      <c r="A2742">
        <v>2020</v>
      </c>
      <c r="B2742" s="777">
        <v>43928</v>
      </c>
      <c r="C2742" s="730">
        <v>0.98541666666666672</v>
      </c>
      <c r="D2742" s="777">
        <v>43928</v>
      </c>
      <c r="E2742" s="730">
        <v>0.99027777777777781</v>
      </c>
      <c r="F2742" s="558" t="s">
        <v>2853</v>
      </c>
      <c r="G2742" s="558" t="s">
        <v>124</v>
      </c>
      <c r="H2742" s="558" t="s">
        <v>3411</v>
      </c>
      <c r="I2742" s="679" t="s">
        <v>2483</v>
      </c>
      <c r="J2742" s="676">
        <v>0</v>
      </c>
      <c r="K2742" s="676">
        <v>0</v>
      </c>
      <c r="M2742" t="str">
        <f>""</f>
        <v/>
      </c>
    </row>
    <row r="2743" spans="1:13" ht="15.75">
      <c r="A2743">
        <v>2020</v>
      </c>
      <c r="B2743" s="777">
        <v>43930</v>
      </c>
      <c r="C2743" s="730">
        <v>0.31527777777777777</v>
      </c>
      <c r="D2743" s="777">
        <v>43930</v>
      </c>
      <c r="E2743" s="730">
        <v>0.73611111111111116</v>
      </c>
      <c r="F2743" s="558" t="s">
        <v>3872</v>
      </c>
      <c r="G2743" s="558" t="s">
        <v>3143</v>
      </c>
      <c r="H2743" s="558" t="s">
        <v>3447</v>
      </c>
      <c r="I2743" s="679" t="s">
        <v>2764</v>
      </c>
      <c r="J2743" s="676">
        <v>0</v>
      </c>
      <c r="K2743" s="676">
        <v>0</v>
      </c>
      <c r="M2743" t="str">
        <f>""</f>
        <v/>
      </c>
    </row>
    <row r="2744" spans="1:13" ht="15.75">
      <c r="A2744">
        <v>2020</v>
      </c>
      <c r="B2744" s="777">
        <v>43931</v>
      </c>
      <c r="C2744" s="730">
        <v>0.41666666666666669</v>
      </c>
      <c r="D2744" s="777">
        <v>43931</v>
      </c>
      <c r="E2744" s="730">
        <v>0.67986111111111114</v>
      </c>
      <c r="F2744" s="558" t="s">
        <v>2959</v>
      </c>
      <c r="G2744" s="558" t="s">
        <v>61</v>
      </c>
      <c r="H2744" s="558" t="s">
        <v>3387</v>
      </c>
      <c r="I2744" s="679" t="s">
        <v>2764</v>
      </c>
      <c r="J2744" s="676">
        <v>0</v>
      </c>
      <c r="K2744" s="676">
        <v>0</v>
      </c>
      <c r="M2744" t="str">
        <f>""</f>
        <v/>
      </c>
    </row>
    <row r="2745" spans="1:13" ht="15.75">
      <c r="A2745">
        <v>2020</v>
      </c>
      <c r="B2745" s="777">
        <v>43931</v>
      </c>
      <c r="C2745" s="730">
        <v>0.66666666666666663</v>
      </c>
      <c r="D2745" s="777" t="s">
        <v>5873</v>
      </c>
      <c r="E2745" s="730" t="s">
        <v>5873</v>
      </c>
      <c r="F2745" s="558" t="s">
        <v>4194</v>
      </c>
      <c r="G2745" s="558" t="s">
        <v>124</v>
      </c>
      <c r="H2745" s="558" t="s">
        <v>3356</v>
      </c>
      <c r="I2745" s="679" t="s">
        <v>100</v>
      </c>
      <c r="J2745" s="676">
        <v>0</v>
      </c>
      <c r="K2745" s="676">
        <v>0</v>
      </c>
      <c r="M2745" t="str">
        <f>""</f>
        <v/>
      </c>
    </row>
    <row r="2746" spans="1:13" ht="15.75">
      <c r="A2746">
        <v>2020</v>
      </c>
      <c r="B2746" s="777">
        <v>43932</v>
      </c>
      <c r="C2746" s="730">
        <v>0.47499999999999998</v>
      </c>
      <c r="D2746" s="777">
        <v>43932</v>
      </c>
      <c r="E2746" s="730">
        <v>0.48749999999999999</v>
      </c>
      <c r="F2746" s="558" t="s">
        <v>4195</v>
      </c>
      <c r="G2746" s="558" t="s">
        <v>124</v>
      </c>
      <c r="H2746" s="558" t="s">
        <v>3411</v>
      </c>
      <c r="I2746" s="679" t="s">
        <v>2483</v>
      </c>
      <c r="J2746" s="676">
        <v>0</v>
      </c>
      <c r="K2746" s="676">
        <v>0</v>
      </c>
      <c r="M2746" t="str">
        <f>""</f>
        <v/>
      </c>
    </row>
    <row r="2747" spans="1:13" ht="15.75">
      <c r="A2747">
        <v>2020</v>
      </c>
      <c r="B2747" s="777">
        <v>43937</v>
      </c>
      <c r="C2747" s="730">
        <v>0.47916666666666669</v>
      </c>
      <c r="D2747" s="777">
        <v>43937</v>
      </c>
      <c r="E2747" s="730">
        <v>0.65625</v>
      </c>
      <c r="F2747" s="558" t="s">
        <v>2904</v>
      </c>
      <c r="G2747" s="558" t="s">
        <v>63</v>
      </c>
      <c r="H2747" s="558" t="s">
        <v>3356</v>
      </c>
      <c r="I2747" s="679" t="s">
        <v>100</v>
      </c>
      <c r="J2747" s="676">
        <v>0</v>
      </c>
      <c r="K2747" s="676">
        <v>0</v>
      </c>
      <c r="M2747" t="str">
        <f>""</f>
        <v/>
      </c>
    </row>
    <row r="2748" spans="1:13" ht="15.75">
      <c r="A2748">
        <v>2020</v>
      </c>
      <c r="B2748" s="777">
        <v>43939</v>
      </c>
      <c r="C2748" s="730">
        <v>0.81805555555555554</v>
      </c>
      <c r="D2748" s="777" t="s">
        <v>5873</v>
      </c>
      <c r="E2748" s="730" t="s">
        <v>5873</v>
      </c>
      <c r="F2748" s="558" t="s">
        <v>3795</v>
      </c>
      <c r="G2748" s="558" t="s">
        <v>124</v>
      </c>
      <c r="H2748" s="558" t="s">
        <v>3356</v>
      </c>
      <c r="I2748" s="679" t="s">
        <v>100</v>
      </c>
      <c r="J2748" s="676">
        <v>0</v>
      </c>
      <c r="K2748" s="676">
        <v>0</v>
      </c>
      <c r="M2748" t="str">
        <f>""</f>
        <v/>
      </c>
    </row>
    <row r="2749" spans="1:13" ht="15.75">
      <c r="A2749">
        <v>2020</v>
      </c>
      <c r="B2749" s="777">
        <v>43940</v>
      </c>
      <c r="C2749" s="730">
        <v>5.1388888888888887E-2</v>
      </c>
      <c r="D2749" s="777">
        <v>43941</v>
      </c>
      <c r="E2749" s="730">
        <v>0.48749999999999999</v>
      </c>
      <c r="F2749" s="558" t="s">
        <v>4057</v>
      </c>
      <c r="G2749" s="558" t="s">
        <v>674</v>
      </c>
      <c r="H2749" s="558" t="s">
        <v>3402</v>
      </c>
      <c r="I2749" s="679" t="s">
        <v>2118</v>
      </c>
      <c r="J2749" s="676">
        <v>0</v>
      </c>
      <c r="K2749" s="676">
        <v>0</v>
      </c>
      <c r="M2749" t="str">
        <f>""</f>
        <v/>
      </c>
    </row>
    <row r="2750" spans="1:13" ht="15.75">
      <c r="A2750">
        <v>2020</v>
      </c>
      <c r="B2750" s="777">
        <v>43941</v>
      </c>
      <c r="C2750" s="730">
        <v>0.52916666666666667</v>
      </c>
      <c r="D2750" s="777">
        <v>43941</v>
      </c>
      <c r="E2750" s="730">
        <v>0.56041666666666667</v>
      </c>
      <c r="F2750" s="558" t="s">
        <v>4217</v>
      </c>
      <c r="G2750" s="558" t="s">
        <v>674</v>
      </c>
      <c r="H2750" s="558" t="s">
        <v>3356</v>
      </c>
      <c r="I2750" s="679" t="s">
        <v>100</v>
      </c>
      <c r="J2750" s="676">
        <v>0</v>
      </c>
      <c r="K2750" s="676">
        <v>0</v>
      </c>
      <c r="M2750" t="str">
        <f>""</f>
        <v/>
      </c>
    </row>
    <row r="2751" spans="1:13" ht="15.75">
      <c r="A2751">
        <v>2020</v>
      </c>
      <c r="B2751" s="777">
        <v>43945</v>
      </c>
      <c r="C2751" s="730">
        <v>0.91666666666666663</v>
      </c>
      <c r="D2751" s="777" t="s">
        <v>5873</v>
      </c>
      <c r="E2751" s="730" t="s">
        <v>5873</v>
      </c>
      <c r="F2751" s="558" t="s">
        <v>4194</v>
      </c>
      <c r="G2751" s="558" t="s">
        <v>124</v>
      </c>
      <c r="H2751" s="558" t="s">
        <v>3356</v>
      </c>
      <c r="I2751" s="679" t="s">
        <v>100</v>
      </c>
      <c r="J2751" s="676">
        <v>0</v>
      </c>
      <c r="K2751" s="676">
        <v>0</v>
      </c>
      <c r="M2751" t="str">
        <f>""</f>
        <v/>
      </c>
    </row>
    <row r="2752" spans="1:13" ht="15.75">
      <c r="A2752">
        <v>2020</v>
      </c>
      <c r="B2752" s="777">
        <v>43946</v>
      </c>
      <c r="C2752" s="730">
        <v>0.89236111111111116</v>
      </c>
      <c r="D2752" s="777">
        <v>43946</v>
      </c>
      <c r="E2752" s="730">
        <v>0.91388888888888886</v>
      </c>
      <c r="F2752" s="558" t="s">
        <v>2947</v>
      </c>
      <c r="G2752" s="558" t="s">
        <v>124</v>
      </c>
      <c r="H2752" s="558" t="s">
        <v>3356</v>
      </c>
      <c r="I2752" s="679" t="s">
        <v>100</v>
      </c>
      <c r="J2752" s="676">
        <v>0</v>
      </c>
      <c r="K2752" s="676">
        <v>0</v>
      </c>
      <c r="M2752" t="str">
        <f>""</f>
        <v/>
      </c>
    </row>
    <row r="2753" spans="1:13" ht="15.75">
      <c r="A2753">
        <v>2020</v>
      </c>
      <c r="B2753" s="777">
        <v>43959</v>
      </c>
      <c r="C2753" s="730">
        <v>0.57291666666666663</v>
      </c>
      <c r="D2753" s="777">
        <v>43959</v>
      </c>
      <c r="E2753" s="730">
        <v>0.57361111111111107</v>
      </c>
      <c r="F2753" s="558" t="s">
        <v>3420</v>
      </c>
      <c r="G2753" s="558" t="s">
        <v>124</v>
      </c>
      <c r="H2753" s="558" t="s">
        <v>3356</v>
      </c>
      <c r="I2753" s="679" t="s">
        <v>100</v>
      </c>
      <c r="J2753" s="676">
        <v>0</v>
      </c>
      <c r="K2753" s="676">
        <v>0</v>
      </c>
      <c r="M2753" t="str">
        <f>""</f>
        <v/>
      </c>
    </row>
    <row r="2754" spans="1:13" ht="15.75">
      <c r="A2754">
        <v>2020</v>
      </c>
      <c r="B2754" s="777">
        <v>43964</v>
      </c>
      <c r="C2754" s="730">
        <v>0.96944444444444444</v>
      </c>
      <c r="D2754" s="777">
        <v>43965</v>
      </c>
      <c r="E2754" s="730">
        <v>0.57777777777777772</v>
      </c>
      <c r="F2754" s="558" t="s">
        <v>4245</v>
      </c>
      <c r="G2754" s="558" t="s">
        <v>3143</v>
      </c>
      <c r="H2754" s="558" t="s">
        <v>3447</v>
      </c>
      <c r="I2754" s="679" t="s">
        <v>2764</v>
      </c>
      <c r="J2754" s="676">
        <v>0</v>
      </c>
      <c r="K2754" s="676">
        <v>0</v>
      </c>
      <c r="M2754" t="str">
        <f>""</f>
        <v/>
      </c>
    </row>
    <row r="2755" spans="1:13" ht="15.75">
      <c r="A2755">
        <v>2020</v>
      </c>
      <c r="B2755" s="777">
        <v>43964</v>
      </c>
      <c r="C2755" s="730">
        <v>0.21666666666666667</v>
      </c>
      <c r="D2755" s="777">
        <v>43964</v>
      </c>
      <c r="E2755" s="730">
        <v>0.58819444444444446</v>
      </c>
      <c r="F2755" s="558" t="s">
        <v>2853</v>
      </c>
      <c r="G2755" s="558" t="s">
        <v>124</v>
      </c>
      <c r="H2755" s="558" t="s">
        <v>3411</v>
      </c>
      <c r="I2755" s="679" t="s">
        <v>2483</v>
      </c>
      <c r="J2755" s="676">
        <v>0</v>
      </c>
      <c r="K2755" s="676">
        <v>0</v>
      </c>
      <c r="M2755" t="str">
        <f>""</f>
        <v/>
      </c>
    </row>
    <row r="2756" spans="1:13" ht="15.75">
      <c r="A2756">
        <v>2020</v>
      </c>
      <c r="B2756" s="777">
        <v>43965</v>
      </c>
      <c r="C2756" s="730">
        <v>0.47430555555555554</v>
      </c>
      <c r="D2756" s="777">
        <v>43965</v>
      </c>
      <c r="E2756" s="730">
        <v>0.47569444444444442</v>
      </c>
      <c r="F2756" s="558" t="s">
        <v>4246</v>
      </c>
      <c r="G2756" s="558" t="s">
        <v>124</v>
      </c>
      <c r="H2756" s="558" t="s">
        <v>3463</v>
      </c>
      <c r="I2756" s="679" t="s">
        <v>100</v>
      </c>
      <c r="J2756" s="676">
        <v>0</v>
      </c>
      <c r="K2756" s="676">
        <v>0</v>
      </c>
      <c r="M2756" t="str">
        <f>""</f>
        <v/>
      </c>
    </row>
    <row r="2757" spans="1:13" ht="15.75">
      <c r="A2757">
        <v>2020</v>
      </c>
      <c r="B2757" s="777">
        <v>43967</v>
      </c>
      <c r="C2757" s="730">
        <v>0</v>
      </c>
      <c r="D2757" s="777">
        <v>43967</v>
      </c>
      <c r="E2757" s="730">
        <v>2.0833333333333332E-2</v>
      </c>
      <c r="F2757" s="558" t="s">
        <v>4185</v>
      </c>
      <c r="G2757" s="558" t="s">
        <v>1352</v>
      </c>
      <c r="H2757" s="558" t="s">
        <v>3402</v>
      </c>
      <c r="I2757" s="679" t="s">
        <v>2118</v>
      </c>
      <c r="J2757" s="676">
        <v>0</v>
      </c>
      <c r="K2757" s="676">
        <v>0</v>
      </c>
      <c r="M2757" t="str">
        <f>""</f>
        <v/>
      </c>
    </row>
    <row r="2758" spans="1:13" ht="15.75">
      <c r="A2758">
        <v>2020</v>
      </c>
      <c r="B2758" s="777">
        <v>43969</v>
      </c>
      <c r="C2758" s="730">
        <v>0.99375000000000002</v>
      </c>
      <c r="D2758" s="777">
        <v>43970</v>
      </c>
      <c r="E2758" s="730">
        <v>0.19236111111111112</v>
      </c>
      <c r="F2758" s="558" t="s">
        <v>2896</v>
      </c>
      <c r="G2758" s="558" t="s">
        <v>63</v>
      </c>
      <c r="H2758" s="558" t="s">
        <v>3387</v>
      </c>
      <c r="I2758" s="679" t="s">
        <v>2764</v>
      </c>
      <c r="J2758" s="676">
        <v>0</v>
      </c>
      <c r="K2758" s="676">
        <v>0</v>
      </c>
      <c r="M2758" t="str">
        <f>""</f>
        <v/>
      </c>
    </row>
    <row r="2759" spans="1:13" ht="15.75">
      <c r="A2759">
        <v>2020</v>
      </c>
      <c r="B2759" s="777">
        <v>43969</v>
      </c>
      <c r="C2759" s="730">
        <v>0.39374999999999999</v>
      </c>
      <c r="D2759" s="777">
        <v>43969</v>
      </c>
      <c r="E2759" s="730">
        <v>0.42708333333333331</v>
      </c>
      <c r="F2759" s="558" t="s">
        <v>4119</v>
      </c>
      <c r="G2759" s="558" t="s">
        <v>124</v>
      </c>
      <c r="H2759" s="558" t="s">
        <v>3447</v>
      </c>
      <c r="I2759" s="679" t="s">
        <v>2764</v>
      </c>
      <c r="J2759" s="676">
        <v>0</v>
      </c>
      <c r="K2759" s="676">
        <v>0</v>
      </c>
      <c r="M2759" t="str">
        <f>""</f>
        <v/>
      </c>
    </row>
    <row r="2760" spans="1:13" ht="15.75">
      <c r="A2760">
        <v>2020</v>
      </c>
      <c r="B2760" s="777">
        <v>43970</v>
      </c>
      <c r="C2760" s="730">
        <v>0.34513888888888888</v>
      </c>
      <c r="D2760" s="777">
        <v>43970</v>
      </c>
      <c r="E2760" s="730">
        <v>0.34583333333333333</v>
      </c>
      <c r="F2760" s="558" t="s">
        <v>3971</v>
      </c>
      <c r="G2760" s="558" t="s">
        <v>124</v>
      </c>
      <c r="H2760" s="558" t="s">
        <v>3356</v>
      </c>
      <c r="I2760" s="679" t="s">
        <v>100</v>
      </c>
      <c r="J2760" s="676">
        <v>0</v>
      </c>
      <c r="K2760" s="676">
        <v>0</v>
      </c>
      <c r="M2760" t="str">
        <f>""</f>
        <v/>
      </c>
    </row>
    <row r="2761" spans="1:13" ht="15.75">
      <c r="A2761">
        <v>2020</v>
      </c>
      <c r="B2761" s="777">
        <v>43970</v>
      </c>
      <c r="C2761" s="730">
        <v>0.57291666666666663</v>
      </c>
      <c r="D2761" s="777">
        <v>43970</v>
      </c>
      <c r="E2761" s="730">
        <v>0.57361111111111107</v>
      </c>
      <c r="F2761" s="558" t="s">
        <v>3405</v>
      </c>
      <c r="G2761" s="558" t="s">
        <v>3347</v>
      </c>
      <c r="H2761" s="558" t="s">
        <v>3402</v>
      </c>
      <c r="I2761" s="679" t="s">
        <v>2118</v>
      </c>
      <c r="J2761" s="676">
        <v>0</v>
      </c>
      <c r="K2761" s="676">
        <v>0</v>
      </c>
      <c r="M2761" t="str">
        <f>""</f>
        <v/>
      </c>
    </row>
    <row r="2762" spans="1:13" ht="15.75">
      <c r="A2762">
        <v>2020</v>
      </c>
      <c r="B2762" s="777">
        <v>43971</v>
      </c>
      <c r="C2762" s="730">
        <v>0.48680555555555555</v>
      </c>
      <c r="D2762" s="777" t="s">
        <v>5873</v>
      </c>
      <c r="E2762" s="730" t="s">
        <v>5873</v>
      </c>
      <c r="F2762" s="558" t="s">
        <v>2817</v>
      </c>
      <c r="G2762" s="558" t="s">
        <v>124</v>
      </c>
      <c r="H2762" s="558" t="s">
        <v>3356</v>
      </c>
      <c r="I2762" s="679" t="s">
        <v>100</v>
      </c>
      <c r="J2762" s="676">
        <v>0</v>
      </c>
      <c r="K2762" s="676">
        <v>0</v>
      </c>
      <c r="M2762" t="str">
        <f>""</f>
        <v/>
      </c>
    </row>
    <row r="2763" spans="1:13" ht="15.75">
      <c r="A2763">
        <v>2020</v>
      </c>
      <c r="B2763" s="777">
        <v>43980</v>
      </c>
      <c r="C2763" s="730">
        <v>0.70902777777777781</v>
      </c>
      <c r="D2763" s="777">
        <v>43980</v>
      </c>
      <c r="E2763" s="730">
        <v>0.7895833333333333</v>
      </c>
      <c r="F2763" s="558" t="s">
        <v>4267</v>
      </c>
      <c r="G2763" s="558" t="s">
        <v>3143</v>
      </c>
      <c r="H2763" s="558" t="s">
        <v>3411</v>
      </c>
      <c r="I2763" s="679" t="s">
        <v>2483</v>
      </c>
      <c r="J2763" s="676">
        <v>0</v>
      </c>
      <c r="K2763" s="676">
        <v>0</v>
      </c>
      <c r="M2763" t="str">
        <f>""</f>
        <v/>
      </c>
    </row>
    <row r="2764" spans="1:13" ht="15.75">
      <c r="A2764">
        <v>2020</v>
      </c>
      <c r="B2764" s="777">
        <v>43980</v>
      </c>
      <c r="C2764" s="730">
        <v>0.72916666666666663</v>
      </c>
      <c r="D2764" s="777">
        <v>43982</v>
      </c>
      <c r="E2764" s="730">
        <v>0.75</v>
      </c>
      <c r="F2764" s="558" t="s">
        <v>4269</v>
      </c>
      <c r="G2764" s="558" t="s">
        <v>674</v>
      </c>
      <c r="H2764" s="558" t="s">
        <v>3874</v>
      </c>
      <c r="I2764" s="679" t="s">
        <v>2764</v>
      </c>
      <c r="J2764" s="676">
        <v>0</v>
      </c>
      <c r="K2764" s="676">
        <v>0</v>
      </c>
      <c r="M2764" t="str">
        <f>""</f>
        <v/>
      </c>
    </row>
    <row r="2765" spans="1:13" ht="15.75">
      <c r="A2765">
        <v>2020</v>
      </c>
      <c r="B2765" s="777">
        <v>43980</v>
      </c>
      <c r="C2765" s="730">
        <v>0.90069444444444446</v>
      </c>
      <c r="D2765" s="777">
        <v>43981</v>
      </c>
      <c r="E2765" s="730">
        <v>0.18680555555555556</v>
      </c>
      <c r="F2765" s="558" t="s">
        <v>4271</v>
      </c>
      <c r="G2765" s="558" t="s">
        <v>3143</v>
      </c>
      <c r="H2765" s="558" t="s">
        <v>3356</v>
      </c>
      <c r="I2765" s="679" t="s">
        <v>100</v>
      </c>
      <c r="J2765" s="676">
        <v>0</v>
      </c>
      <c r="K2765" s="676">
        <v>0</v>
      </c>
      <c r="M2765" t="str">
        <f>""</f>
        <v/>
      </c>
    </row>
    <row r="2766" spans="1:13" ht="15.75">
      <c r="A2766">
        <v>2020</v>
      </c>
      <c r="B2766" s="777">
        <v>43981</v>
      </c>
      <c r="C2766" s="730">
        <v>0.93055555555555558</v>
      </c>
      <c r="D2766" s="777">
        <v>43981</v>
      </c>
      <c r="E2766" s="730">
        <v>0.95833333333333337</v>
      </c>
      <c r="F2766" s="558" t="s">
        <v>3162</v>
      </c>
      <c r="G2766" s="558" t="s">
        <v>1352</v>
      </c>
      <c r="H2766" s="558" t="s">
        <v>3447</v>
      </c>
      <c r="I2766" s="679" t="s">
        <v>2764</v>
      </c>
      <c r="J2766" s="676">
        <v>0</v>
      </c>
      <c r="K2766" s="676">
        <v>0</v>
      </c>
      <c r="M2766" t="str">
        <f>""</f>
        <v/>
      </c>
    </row>
    <row r="2767" spans="1:13" ht="15.75">
      <c r="A2767">
        <v>2020</v>
      </c>
      <c r="B2767" s="777">
        <v>43982</v>
      </c>
      <c r="C2767" s="730">
        <v>0.89583333333333337</v>
      </c>
      <c r="D2767" s="777">
        <v>43983</v>
      </c>
      <c r="E2767" s="730">
        <v>4.1666666666666664E-2</v>
      </c>
      <c r="F2767" s="558" t="s">
        <v>4253</v>
      </c>
      <c r="G2767" s="558" t="s">
        <v>63</v>
      </c>
      <c r="H2767" s="558" t="s">
        <v>3356</v>
      </c>
      <c r="I2767" s="679" t="s">
        <v>100</v>
      </c>
      <c r="J2767" s="676">
        <v>0</v>
      </c>
      <c r="K2767" s="676">
        <v>0</v>
      </c>
      <c r="M2767" t="str">
        <f>""</f>
        <v/>
      </c>
    </row>
    <row r="2768" spans="1:13" ht="15.75">
      <c r="A2768">
        <v>2020</v>
      </c>
      <c r="B2768" s="777">
        <v>43982</v>
      </c>
      <c r="C2768" s="730">
        <v>1.0416666666666666E-2</v>
      </c>
      <c r="D2768" s="777" t="s">
        <v>5873</v>
      </c>
      <c r="E2768" s="730" t="s">
        <v>5873</v>
      </c>
      <c r="F2768" s="558" t="s">
        <v>3245</v>
      </c>
      <c r="G2768" s="558" t="s">
        <v>3143</v>
      </c>
      <c r="H2768" s="558" t="s">
        <v>3874</v>
      </c>
      <c r="I2768" s="679" t="s">
        <v>100</v>
      </c>
      <c r="J2768" s="676">
        <v>0</v>
      </c>
      <c r="K2768" s="676">
        <v>0</v>
      </c>
      <c r="M2768" t="str">
        <f>""</f>
        <v/>
      </c>
    </row>
    <row r="2769" spans="1:13" ht="15.75">
      <c r="A2769">
        <v>2020</v>
      </c>
      <c r="B2769" s="777">
        <v>43984</v>
      </c>
      <c r="C2769" s="730">
        <v>0.60833333333333328</v>
      </c>
      <c r="D2769" s="777">
        <v>43984</v>
      </c>
      <c r="E2769" s="730">
        <v>0.60902777777777772</v>
      </c>
      <c r="F2769" s="558" t="s">
        <v>4274</v>
      </c>
      <c r="G2769" s="558" t="s">
        <v>124</v>
      </c>
      <c r="H2769" s="558" t="s">
        <v>3356</v>
      </c>
      <c r="I2769" s="679" t="s">
        <v>100</v>
      </c>
      <c r="J2769" s="676" t="s">
        <v>5873</v>
      </c>
      <c r="K2769" s="676">
        <v>0</v>
      </c>
      <c r="M2769" t="str">
        <f>""</f>
        <v/>
      </c>
    </row>
    <row r="2770" spans="1:13" ht="15.75">
      <c r="A2770">
        <v>2020</v>
      </c>
      <c r="B2770" s="777">
        <v>43985</v>
      </c>
      <c r="C2770" s="730">
        <v>0.70625000000000004</v>
      </c>
      <c r="D2770" s="777">
        <v>43985</v>
      </c>
      <c r="E2770" s="730">
        <v>0.72847222222222219</v>
      </c>
      <c r="F2770" s="558" t="s">
        <v>3786</v>
      </c>
      <c r="G2770" s="558" t="s">
        <v>674</v>
      </c>
      <c r="H2770" s="558" t="s">
        <v>3387</v>
      </c>
      <c r="I2770" s="679" t="s">
        <v>2764</v>
      </c>
      <c r="J2770" s="676">
        <v>0</v>
      </c>
      <c r="K2770" s="676">
        <v>0</v>
      </c>
      <c r="M2770" t="str">
        <f>""</f>
        <v/>
      </c>
    </row>
    <row r="2771" spans="1:13" ht="15.75">
      <c r="A2771">
        <v>2020</v>
      </c>
      <c r="B2771" s="777">
        <v>43991</v>
      </c>
      <c r="C2771" s="730">
        <v>0.47291666666666665</v>
      </c>
      <c r="D2771" s="777">
        <v>43991</v>
      </c>
      <c r="E2771" s="730">
        <v>0.50069444444444444</v>
      </c>
      <c r="F2771" s="558" t="s">
        <v>2853</v>
      </c>
      <c r="G2771" s="558" t="s">
        <v>124</v>
      </c>
      <c r="H2771" s="558" t="s">
        <v>3411</v>
      </c>
      <c r="I2771" s="679" t="s">
        <v>2483</v>
      </c>
      <c r="J2771" s="676">
        <v>0</v>
      </c>
      <c r="K2771" s="676">
        <v>0</v>
      </c>
      <c r="M2771" t="str">
        <f>""</f>
        <v/>
      </c>
    </row>
    <row r="2772" spans="1:13" ht="15.75">
      <c r="A2772">
        <v>2020</v>
      </c>
      <c r="B2772" s="777">
        <v>43994</v>
      </c>
      <c r="C2772" s="730">
        <v>0.34791666666666665</v>
      </c>
      <c r="D2772" s="777">
        <v>43994</v>
      </c>
      <c r="E2772" s="730">
        <v>0.34861111111111109</v>
      </c>
      <c r="F2772" s="558" t="s">
        <v>4289</v>
      </c>
      <c r="G2772" s="558" t="s">
        <v>3143</v>
      </c>
      <c r="H2772" s="558" t="s">
        <v>3463</v>
      </c>
      <c r="I2772" s="679" t="s">
        <v>100</v>
      </c>
      <c r="J2772" s="676">
        <v>0</v>
      </c>
      <c r="K2772" s="676">
        <v>0</v>
      </c>
      <c r="M2772" t="str">
        <f>""</f>
        <v/>
      </c>
    </row>
    <row r="2773" spans="1:13" ht="15.75">
      <c r="A2773">
        <v>2020</v>
      </c>
      <c r="B2773" s="777">
        <v>44000</v>
      </c>
      <c r="C2773" s="730">
        <v>0.50763888888888886</v>
      </c>
      <c r="D2773" s="777">
        <v>44004</v>
      </c>
      <c r="E2773" s="730">
        <v>0.34097222222222223</v>
      </c>
      <c r="F2773" s="558" t="s">
        <v>3500</v>
      </c>
      <c r="G2773" s="558" t="s">
        <v>124</v>
      </c>
      <c r="H2773" s="558" t="s">
        <v>3402</v>
      </c>
      <c r="I2773" s="679" t="s">
        <v>2293</v>
      </c>
      <c r="J2773" s="676">
        <v>0</v>
      </c>
      <c r="K2773" s="676">
        <v>0</v>
      </c>
      <c r="M2773" t="str">
        <f>""</f>
        <v/>
      </c>
    </row>
    <row r="2774" spans="1:13" ht="15.75">
      <c r="A2774">
        <v>2020</v>
      </c>
      <c r="B2774" s="777">
        <v>44000</v>
      </c>
      <c r="C2774" s="730">
        <v>0.85555555555555551</v>
      </c>
      <c r="D2774" s="777">
        <v>44000</v>
      </c>
      <c r="E2774" s="730">
        <v>0.85763888888888884</v>
      </c>
      <c r="F2774" s="558" t="s">
        <v>4292</v>
      </c>
      <c r="G2774" s="558" t="s">
        <v>63</v>
      </c>
      <c r="H2774" s="558" t="s">
        <v>3356</v>
      </c>
      <c r="I2774" s="679" t="s">
        <v>2293</v>
      </c>
      <c r="J2774" s="676">
        <v>0</v>
      </c>
      <c r="K2774" s="676">
        <v>0</v>
      </c>
      <c r="M2774" t="str">
        <f>""</f>
        <v/>
      </c>
    </row>
    <row r="2775" spans="1:13" ht="15.75">
      <c r="A2775">
        <v>2020</v>
      </c>
      <c r="B2775" s="777">
        <v>44003</v>
      </c>
      <c r="C2775" s="730">
        <v>5.2777777777777778E-2</v>
      </c>
      <c r="D2775" s="777">
        <v>44003</v>
      </c>
      <c r="E2775" s="730">
        <v>0.78125</v>
      </c>
      <c r="F2775" s="558" t="s">
        <v>2892</v>
      </c>
      <c r="G2775" s="558" t="s">
        <v>3143</v>
      </c>
      <c r="H2775" s="558" t="s">
        <v>3356</v>
      </c>
      <c r="I2775" s="679" t="s">
        <v>100</v>
      </c>
      <c r="J2775" s="676">
        <v>0</v>
      </c>
      <c r="K2775" s="676">
        <v>0</v>
      </c>
      <c r="M2775" t="str">
        <f>""</f>
        <v/>
      </c>
    </row>
    <row r="2776" spans="1:13" ht="15.75">
      <c r="A2776">
        <v>2020</v>
      </c>
      <c r="B2776" s="777">
        <v>44004</v>
      </c>
      <c r="C2776" s="730">
        <v>0.48888888888888887</v>
      </c>
      <c r="D2776" s="777">
        <v>44004</v>
      </c>
      <c r="E2776" s="730">
        <v>0.52916666666666667</v>
      </c>
      <c r="F2776" s="558" t="s">
        <v>4294</v>
      </c>
      <c r="G2776" s="558" t="s">
        <v>3143</v>
      </c>
      <c r="H2776" s="558" t="s">
        <v>3387</v>
      </c>
      <c r="I2776" s="679" t="s">
        <v>2764</v>
      </c>
      <c r="J2776" s="676">
        <v>0</v>
      </c>
      <c r="K2776" s="676">
        <v>0</v>
      </c>
      <c r="M2776" t="str">
        <f>""</f>
        <v/>
      </c>
    </row>
    <row r="2777" spans="1:13" ht="15.75">
      <c r="A2777">
        <v>2020</v>
      </c>
      <c r="B2777" s="777">
        <v>44007</v>
      </c>
      <c r="C2777" s="730">
        <v>0.40277777777777779</v>
      </c>
      <c r="D2777" s="777">
        <v>44007</v>
      </c>
      <c r="E2777" s="730">
        <v>0.45833333333333331</v>
      </c>
      <c r="F2777" s="558" t="s">
        <v>4296</v>
      </c>
      <c r="G2777" s="558" t="s">
        <v>63</v>
      </c>
      <c r="H2777" s="558" t="s">
        <v>3402</v>
      </c>
      <c r="I2777" s="679" t="s">
        <v>2118</v>
      </c>
      <c r="J2777" s="676" t="s">
        <v>5873</v>
      </c>
      <c r="K2777" s="676">
        <v>0</v>
      </c>
      <c r="M2777" t="str">
        <f>""</f>
        <v/>
      </c>
    </row>
    <row r="2778" spans="1:13" ht="15.75">
      <c r="A2778">
        <v>2020</v>
      </c>
      <c r="B2778" s="777">
        <v>44008</v>
      </c>
      <c r="C2778" s="730">
        <v>0.68055555555555558</v>
      </c>
      <c r="D2778" s="777">
        <v>44011</v>
      </c>
      <c r="E2778" s="730">
        <v>0.625</v>
      </c>
      <c r="F2778" s="558" t="s">
        <v>4299</v>
      </c>
      <c r="G2778" s="558" t="s">
        <v>674</v>
      </c>
      <c r="H2778" s="558" t="s">
        <v>3356</v>
      </c>
      <c r="I2778" s="679" t="s">
        <v>100</v>
      </c>
      <c r="J2778" s="676">
        <v>0</v>
      </c>
      <c r="K2778" s="676">
        <v>0</v>
      </c>
      <c r="M2778" t="str">
        <f>""</f>
        <v/>
      </c>
    </row>
    <row r="2779" spans="1:13" ht="15.75">
      <c r="A2779">
        <v>2020</v>
      </c>
      <c r="B2779" s="777">
        <v>44008</v>
      </c>
      <c r="C2779" s="730">
        <v>0.53263888888888888</v>
      </c>
      <c r="D2779" s="777">
        <v>44008</v>
      </c>
      <c r="E2779" s="730">
        <v>0.57847222222222228</v>
      </c>
      <c r="F2779" s="558" t="s">
        <v>3591</v>
      </c>
      <c r="G2779" s="558" t="s">
        <v>1352</v>
      </c>
      <c r="H2779" s="558" t="s">
        <v>3387</v>
      </c>
      <c r="I2779" s="679" t="s">
        <v>2764</v>
      </c>
      <c r="J2779" s="676">
        <v>0</v>
      </c>
      <c r="K2779" s="676">
        <v>0</v>
      </c>
      <c r="M2779" t="str">
        <f>""</f>
        <v/>
      </c>
    </row>
    <row r="2780" spans="1:13" ht="15.75">
      <c r="A2780">
        <v>2020</v>
      </c>
      <c r="B2780" s="777">
        <v>44011</v>
      </c>
      <c r="C2780" s="730">
        <v>0.60555555555555551</v>
      </c>
      <c r="D2780" s="777">
        <v>44011</v>
      </c>
      <c r="E2780" s="730">
        <v>0.69097222222222221</v>
      </c>
      <c r="F2780" s="558" t="s">
        <v>4304</v>
      </c>
      <c r="G2780" s="558" t="s">
        <v>3347</v>
      </c>
      <c r="H2780" s="558" t="s">
        <v>3411</v>
      </c>
      <c r="I2780" s="679" t="s">
        <v>2483</v>
      </c>
      <c r="J2780" s="676">
        <v>0</v>
      </c>
      <c r="K2780" s="676">
        <v>0</v>
      </c>
      <c r="M2780" t="str">
        <f>""</f>
        <v/>
      </c>
    </row>
    <row r="2781" spans="1:13" ht="15.75">
      <c r="A2781">
        <v>2020</v>
      </c>
      <c r="B2781" s="777">
        <v>44012</v>
      </c>
      <c r="C2781" s="730">
        <v>0.43611111111111112</v>
      </c>
      <c r="D2781" s="777">
        <v>44012</v>
      </c>
      <c r="E2781" s="730">
        <v>0.43680555555555556</v>
      </c>
      <c r="F2781" s="558" t="s">
        <v>2933</v>
      </c>
      <c r="G2781" s="558" t="s">
        <v>124</v>
      </c>
      <c r="H2781" s="558" t="s">
        <v>3402</v>
      </c>
      <c r="I2781" s="679" t="s">
        <v>100</v>
      </c>
      <c r="J2781" s="676">
        <v>0</v>
      </c>
      <c r="K2781" s="676">
        <v>0</v>
      </c>
      <c r="M2781" t="str">
        <f>""</f>
        <v/>
      </c>
    </row>
    <row r="2782" spans="1:13" ht="15.75">
      <c r="A2782">
        <v>2020</v>
      </c>
      <c r="B2782" s="777">
        <v>44014</v>
      </c>
      <c r="C2782" s="730">
        <v>0.85416666666666663</v>
      </c>
      <c r="D2782" s="777" t="s">
        <v>5873</v>
      </c>
      <c r="E2782" s="730" t="s">
        <v>5873</v>
      </c>
      <c r="F2782" s="558" t="s">
        <v>2894</v>
      </c>
      <c r="G2782" s="558" t="s">
        <v>124</v>
      </c>
      <c r="H2782" s="558" t="s">
        <v>3654</v>
      </c>
      <c r="I2782" s="679" t="s">
        <v>1138</v>
      </c>
      <c r="J2782" s="676">
        <v>0</v>
      </c>
      <c r="K2782" s="676">
        <v>0</v>
      </c>
      <c r="M2782" t="str">
        <f>""</f>
        <v/>
      </c>
    </row>
    <row r="2783" spans="1:13" ht="15.75">
      <c r="A2783">
        <v>2020</v>
      </c>
      <c r="B2783" s="777">
        <v>44018</v>
      </c>
      <c r="C2783" s="730">
        <v>0.5180555555555556</v>
      </c>
      <c r="D2783" s="777" t="s">
        <v>5873</v>
      </c>
      <c r="E2783" s="730" t="s">
        <v>5873</v>
      </c>
      <c r="F2783" s="558" t="s">
        <v>4310</v>
      </c>
      <c r="G2783" s="558" t="s">
        <v>61</v>
      </c>
      <c r="H2783" s="558" t="s">
        <v>3402</v>
      </c>
      <c r="I2783" s="679" t="s">
        <v>2118</v>
      </c>
      <c r="J2783" s="676">
        <v>0</v>
      </c>
      <c r="K2783" s="676">
        <v>0</v>
      </c>
      <c r="M2783" t="str">
        <f>""</f>
        <v/>
      </c>
    </row>
    <row r="2784" spans="1:13" ht="15.75">
      <c r="A2784">
        <v>2020</v>
      </c>
      <c r="B2784" s="777">
        <v>44018</v>
      </c>
      <c r="C2784" s="730">
        <v>0.78125</v>
      </c>
      <c r="D2784" s="777">
        <v>44018</v>
      </c>
      <c r="E2784" s="730">
        <v>0.8208333333333333</v>
      </c>
      <c r="F2784" s="558" t="s">
        <v>3917</v>
      </c>
      <c r="G2784" s="558" t="s">
        <v>3143</v>
      </c>
      <c r="H2784" s="558" t="s">
        <v>3387</v>
      </c>
      <c r="I2784" s="679" t="s">
        <v>2764</v>
      </c>
      <c r="J2784" s="676">
        <v>0</v>
      </c>
      <c r="K2784" s="676">
        <v>0</v>
      </c>
      <c r="M2784" t="str">
        <f>""</f>
        <v/>
      </c>
    </row>
    <row r="2785" spans="1:13" ht="15.75">
      <c r="A2785">
        <v>2020</v>
      </c>
      <c r="B2785" s="777">
        <v>44019</v>
      </c>
      <c r="C2785" s="730">
        <v>0.48472222222222222</v>
      </c>
      <c r="D2785" s="777">
        <v>44019</v>
      </c>
      <c r="E2785" s="730">
        <v>0.76666666666666672</v>
      </c>
      <c r="F2785" s="558" t="s">
        <v>2967</v>
      </c>
      <c r="G2785" s="558" t="s">
        <v>124</v>
      </c>
      <c r="H2785" s="558" t="s">
        <v>3411</v>
      </c>
      <c r="I2785" s="679" t="s">
        <v>2483</v>
      </c>
      <c r="J2785" s="676">
        <v>0</v>
      </c>
      <c r="K2785" s="676">
        <v>0</v>
      </c>
      <c r="M2785" t="str">
        <f>""</f>
        <v/>
      </c>
    </row>
    <row r="2786" spans="1:13" ht="15.75">
      <c r="A2786">
        <v>2020</v>
      </c>
      <c r="B2786" s="777">
        <v>44019</v>
      </c>
      <c r="C2786" s="730">
        <v>0.54791666666666672</v>
      </c>
      <c r="D2786" s="777">
        <v>44020</v>
      </c>
      <c r="E2786" s="730">
        <v>0.34513888888888888</v>
      </c>
      <c r="F2786" s="558" t="s">
        <v>2900</v>
      </c>
      <c r="G2786" s="558" t="s">
        <v>124</v>
      </c>
      <c r="H2786" s="558" t="s">
        <v>3411</v>
      </c>
      <c r="I2786" s="679" t="s">
        <v>2483</v>
      </c>
      <c r="J2786" s="676">
        <v>0</v>
      </c>
      <c r="K2786" s="676">
        <v>0</v>
      </c>
      <c r="M2786" t="str">
        <f>""</f>
        <v/>
      </c>
    </row>
    <row r="2787" spans="1:13" ht="15.75">
      <c r="A2787">
        <v>2020</v>
      </c>
      <c r="B2787" s="777">
        <v>44020</v>
      </c>
      <c r="C2787" s="730">
        <v>0.9194444444444444</v>
      </c>
      <c r="D2787" s="777" t="s">
        <v>5873</v>
      </c>
      <c r="E2787" s="730" t="s">
        <v>5873</v>
      </c>
      <c r="F2787" s="558" t="s">
        <v>2919</v>
      </c>
      <c r="G2787" s="558" t="s">
        <v>1352</v>
      </c>
      <c r="H2787" s="558" t="s">
        <v>3402</v>
      </c>
      <c r="I2787" s="679" t="s">
        <v>2293</v>
      </c>
      <c r="J2787" s="676">
        <v>0</v>
      </c>
      <c r="K2787" s="676">
        <v>0</v>
      </c>
      <c r="M2787" t="str">
        <f>""</f>
        <v/>
      </c>
    </row>
    <row r="2788" spans="1:13" ht="15.75">
      <c r="A2788">
        <v>2020</v>
      </c>
      <c r="B2788" s="777">
        <v>44020</v>
      </c>
      <c r="C2788" s="730">
        <v>0.78125</v>
      </c>
      <c r="D2788" s="777" t="s">
        <v>5873</v>
      </c>
      <c r="E2788" s="730" t="s">
        <v>5873</v>
      </c>
      <c r="F2788" s="558" t="s">
        <v>2945</v>
      </c>
      <c r="G2788" s="558" t="s">
        <v>124</v>
      </c>
      <c r="H2788" s="558" t="s">
        <v>3654</v>
      </c>
      <c r="I2788" s="679" t="s">
        <v>1138</v>
      </c>
      <c r="J2788" s="676">
        <v>0</v>
      </c>
      <c r="K2788" s="676">
        <v>0</v>
      </c>
      <c r="M2788" t="str">
        <f>""</f>
        <v/>
      </c>
    </row>
    <row r="2789" spans="1:13" ht="15.75">
      <c r="A2789">
        <v>2020</v>
      </c>
      <c r="B2789" s="777">
        <v>44021</v>
      </c>
      <c r="C2789" s="730">
        <v>0.63124999999999998</v>
      </c>
      <c r="D2789" s="777" t="s">
        <v>5873</v>
      </c>
      <c r="E2789" s="730" t="s">
        <v>5873</v>
      </c>
      <c r="F2789" s="558" t="s">
        <v>4315</v>
      </c>
      <c r="G2789" s="558" t="s">
        <v>124</v>
      </c>
      <c r="H2789" s="558" t="s">
        <v>3402</v>
      </c>
      <c r="I2789" s="679" t="s">
        <v>2118</v>
      </c>
      <c r="J2789" s="676">
        <v>0</v>
      </c>
      <c r="K2789" s="676">
        <v>0</v>
      </c>
      <c r="M2789" t="str">
        <f>""</f>
        <v/>
      </c>
    </row>
    <row r="2790" spans="1:13" ht="15.75">
      <c r="A2790">
        <v>2020</v>
      </c>
      <c r="B2790" s="777">
        <v>44023</v>
      </c>
      <c r="C2790" s="730">
        <v>0.2048611111111111</v>
      </c>
      <c r="D2790" s="777" t="s">
        <v>5873</v>
      </c>
      <c r="E2790" s="730" t="s">
        <v>5873</v>
      </c>
      <c r="F2790" s="558" t="s">
        <v>2945</v>
      </c>
      <c r="G2790" s="558" t="s">
        <v>124</v>
      </c>
      <c r="H2790" s="558" t="s">
        <v>3654</v>
      </c>
      <c r="I2790" s="679" t="s">
        <v>1138</v>
      </c>
      <c r="J2790" s="676">
        <v>0</v>
      </c>
      <c r="K2790" s="676">
        <v>0</v>
      </c>
      <c r="M2790" t="str">
        <f>""</f>
        <v/>
      </c>
    </row>
    <row r="2791" spans="1:13" ht="15.75">
      <c r="A2791">
        <v>2020</v>
      </c>
      <c r="B2791" s="777">
        <v>44025</v>
      </c>
      <c r="C2791" s="730">
        <v>0.6875</v>
      </c>
      <c r="D2791" s="777">
        <v>44025</v>
      </c>
      <c r="E2791" s="730">
        <v>0.68819444444444444</v>
      </c>
      <c r="F2791" s="558" t="s">
        <v>4296</v>
      </c>
      <c r="G2791" s="558" t="s">
        <v>63</v>
      </c>
      <c r="H2791" s="558" t="s">
        <v>3402</v>
      </c>
      <c r="I2791" s="679" t="s">
        <v>2118</v>
      </c>
      <c r="J2791" s="676">
        <v>0</v>
      </c>
      <c r="K2791" s="676">
        <v>0</v>
      </c>
      <c r="M2791" t="str">
        <f>""</f>
        <v/>
      </c>
    </row>
    <row r="2792" spans="1:13" ht="15.75">
      <c r="A2792">
        <v>2020</v>
      </c>
      <c r="B2792" s="777">
        <v>44026</v>
      </c>
      <c r="C2792" s="730">
        <v>0.59444444444444444</v>
      </c>
      <c r="D2792" s="777">
        <v>44026</v>
      </c>
      <c r="E2792" s="730">
        <v>0.62013888888888891</v>
      </c>
      <c r="F2792" s="558" t="s">
        <v>2945</v>
      </c>
      <c r="G2792" s="558" t="s">
        <v>124</v>
      </c>
      <c r="H2792" s="558" t="s">
        <v>3387</v>
      </c>
      <c r="I2792" s="679" t="s">
        <v>2764</v>
      </c>
      <c r="J2792" s="676">
        <v>0</v>
      </c>
      <c r="K2792" s="676">
        <v>0</v>
      </c>
      <c r="M2792" t="str">
        <f>""</f>
        <v/>
      </c>
    </row>
    <row r="2793" spans="1:13" ht="15.75">
      <c r="A2793">
        <v>2020</v>
      </c>
      <c r="B2793" s="777">
        <v>44027</v>
      </c>
      <c r="C2793" s="730">
        <v>0.45833333333333331</v>
      </c>
      <c r="D2793" s="777">
        <v>44027</v>
      </c>
      <c r="E2793" s="730">
        <v>0.47222222222222221</v>
      </c>
      <c r="F2793" s="558" t="s">
        <v>4296</v>
      </c>
      <c r="G2793" s="558" t="s">
        <v>63</v>
      </c>
      <c r="H2793" s="558" t="s">
        <v>3402</v>
      </c>
      <c r="I2793" s="679" t="s">
        <v>2118</v>
      </c>
      <c r="J2793" s="676" t="s">
        <v>5873</v>
      </c>
      <c r="K2793" s="676">
        <v>0</v>
      </c>
      <c r="M2793" t="str">
        <f>""</f>
        <v/>
      </c>
    </row>
    <row r="2794" spans="1:13" ht="15.75">
      <c r="A2794">
        <v>2020</v>
      </c>
      <c r="B2794" s="777">
        <v>44028</v>
      </c>
      <c r="C2794" s="730">
        <v>0.36736111111111114</v>
      </c>
      <c r="D2794" s="777">
        <v>44028</v>
      </c>
      <c r="E2794" s="730">
        <v>0.46250000000000002</v>
      </c>
      <c r="F2794" s="558" t="s">
        <v>3786</v>
      </c>
      <c r="G2794" s="558" t="s">
        <v>674</v>
      </c>
      <c r="H2794" s="558" t="s">
        <v>3387</v>
      </c>
      <c r="I2794" s="679" t="s">
        <v>2764</v>
      </c>
      <c r="J2794" s="676">
        <v>475</v>
      </c>
      <c r="K2794" s="676">
        <v>0</v>
      </c>
      <c r="M2794" t="str">
        <f>""</f>
        <v/>
      </c>
    </row>
    <row r="2795" spans="1:13" ht="15.75">
      <c r="A2795">
        <v>2020</v>
      </c>
      <c r="B2795" s="777">
        <v>44029</v>
      </c>
      <c r="C2795" s="730">
        <v>0.95833333333333337</v>
      </c>
      <c r="D2795" s="777">
        <v>44029</v>
      </c>
      <c r="E2795" s="730">
        <v>0.97916666666666663</v>
      </c>
      <c r="F2795" s="558" t="s">
        <v>3693</v>
      </c>
      <c r="G2795" s="558" t="s">
        <v>3347</v>
      </c>
      <c r="H2795" s="558" t="s">
        <v>3356</v>
      </c>
      <c r="I2795" s="679" t="s">
        <v>100</v>
      </c>
      <c r="J2795" s="676">
        <v>0</v>
      </c>
      <c r="K2795" s="676">
        <v>0</v>
      </c>
      <c r="M2795" t="str">
        <f>""</f>
        <v/>
      </c>
    </row>
    <row r="2796" spans="1:13" ht="15.75">
      <c r="A2796">
        <v>2020</v>
      </c>
      <c r="B2796" s="777">
        <v>44029</v>
      </c>
      <c r="C2796" s="730">
        <v>0.80833333333333335</v>
      </c>
      <c r="D2796" s="777" t="s">
        <v>5873</v>
      </c>
      <c r="E2796" s="730" t="s">
        <v>5873</v>
      </c>
      <c r="F2796" s="558" t="s">
        <v>2868</v>
      </c>
      <c r="G2796" s="558" t="s">
        <v>61</v>
      </c>
      <c r="H2796" s="558" t="s">
        <v>3402</v>
      </c>
      <c r="I2796" s="679" t="s">
        <v>2118</v>
      </c>
      <c r="J2796" s="676">
        <v>0</v>
      </c>
      <c r="K2796" s="676">
        <v>0</v>
      </c>
      <c r="M2796" t="str">
        <f>""</f>
        <v/>
      </c>
    </row>
    <row r="2797" spans="1:13" ht="15.75">
      <c r="A2797">
        <v>2020</v>
      </c>
      <c r="B2797" s="777">
        <v>44034</v>
      </c>
      <c r="C2797" s="730">
        <v>0.47916666666666669</v>
      </c>
      <c r="D2797" s="777">
        <v>44034</v>
      </c>
      <c r="E2797" s="730">
        <v>0.59652777777777777</v>
      </c>
      <c r="F2797" s="558" t="s">
        <v>4338</v>
      </c>
      <c r="G2797" s="558" t="s">
        <v>3143</v>
      </c>
      <c r="H2797" s="558" t="s">
        <v>3411</v>
      </c>
      <c r="I2797" s="679" t="s">
        <v>2483</v>
      </c>
      <c r="J2797" s="676">
        <v>0</v>
      </c>
      <c r="K2797" s="676">
        <v>0</v>
      </c>
      <c r="M2797" t="str">
        <f>""</f>
        <v/>
      </c>
    </row>
    <row r="2798" spans="1:13" ht="15.75">
      <c r="A2798">
        <v>2020</v>
      </c>
      <c r="B2798" s="777">
        <v>44036</v>
      </c>
      <c r="C2798" s="730">
        <v>0.35069444444444442</v>
      </c>
      <c r="D2798" s="777" t="s">
        <v>5873</v>
      </c>
      <c r="E2798" s="730" t="s">
        <v>5873</v>
      </c>
      <c r="F2798" s="558" t="s">
        <v>4340</v>
      </c>
      <c r="G2798" s="558" t="s">
        <v>61</v>
      </c>
      <c r="H2798" s="558" t="s">
        <v>3402</v>
      </c>
      <c r="I2798" s="679" t="s">
        <v>2118</v>
      </c>
      <c r="J2798" s="676">
        <v>0</v>
      </c>
      <c r="K2798" s="676">
        <v>0</v>
      </c>
      <c r="M2798" t="str">
        <f>""</f>
        <v/>
      </c>
    </row>
    <row r="2799" spans="1:13" ht="15.75">
      <c r="A2799">
        <v>2020</v>
      </c>
      <c r="B2799" s="777">
        <v>44040</v>
      </c>
      <c r="C2799" s="730">
        <v>0.625</v>
      </c>
      <c r="D2799" s="777">
        <v>44040</v>
      </c>
      <c r="E2799" s="730">
        <v>0.95833333333333337</v>
      </c>
      <c r="F2799" s="558" t="s">
        <v>4350</v>
      </c>
      <c r="G2799" s="558" t="s">
        <v>3143</v>
      </c>
      <c r="H2799" s="558" t="s">
        <v>3447</v>
      </c>
      <c r="I2799" s="679" t="s">
        <v>2764</v>
      </c>
      <c r="J2799" s="676">
        <v>0</v>
      </c>
      <c r="K2799" s="676">
        <v>0</v>
      </c>
      <c r="M2799" t="str">
        <f>""</f>
        <v/>
      </c>
    </row>
    <row r="2800" spans="1:13" ht="15.75">
      <c r="A2800">
        <v>2020</v>
      </c>
      <c r="B2800" s="777">
        <v>44042</v>
      </c>
      <c r="C2800" s="730">
        <v>0.74583333333333335</v>
      </c>
      <c r="D2800" s="777">
        <v>44042</v>
      </c>
      <c r="E2800" s="730">
        <v>0.84583333333333333</v>
      </c>
      <c r="F2800" s="558" t="s">
        <v>3890</v>
      </c>
      <c r="G2800" s="558" t="s">
        <v>674</v>
      </c>
      <c r="H2800" s="558" t="s">
        <v>3411</v>
      </c>
      <c r="I2800" s="679" t="s">
        <v>2483</v>
      </c>
      <c r="J2800" s="676">
        <v>0</v>
      </c>
      <c r="K2800" s="676">
        <v>0</v>
      </c>
      <c r="M2800" t="str">
        <f>""</f>
        <v/>
      </c>
    </row>
    <row r="2801" spans="1:13" ht="15.75">
      <c r="A2801">
        <v>2020</v>
      </c>
      <c r="B2801" s="777">
        <v>44044</v>
      </c>
      <c r="C2801" s="730">
        <v>0.34444444444444444</v>
      </c>
      <c r="D2801" s="777">
        <v>44044</v>
      </c>
      <c r="E2801" s="730">
        <v>0.38541666666666669</v>
      </c>
      <c r="F2801" s="558" t="s">
        <v>4355</v>
      </c>
      <c r="G2801" s="558" t="s">
        <v>124</v>
      </c>
      <c r="H2801" s="558" t="s">
        <v>3387</v>
      </c>
      <c r="I2801" s="679" t="s">
        <v>2764</v>
      </c>
      <c r="J2801" s="676">
        <v>0</v>
      </c>
      <c r="K2801" s="676">
        <v>0</v>
      </c>
      <c r="M2801" t="str">
        <f>""</f>
        <v/>
      </c>
    </row>
    <row r="2802" spans="1:13" ht="15.75">
      <c r="A2802">
        <v>2020</v>
      </c>
      <c r="B2802" s="777">
        <v>44045</v>
      </c>
      <c r="C2802" s="730">
        <v>0.82152777777777775</v>
      </c>
      <c r="D2802" s="777">
        <v>44045</v>
      </c>
      <c r="E2802" s="730">
        <v>0.93541666666666667</v>
      </c>
      <c r="F2802" s="558" t="s">
        <v>4358</v>
      </c>
      <c r="G2802" s="558" t="s">
        <v>63</v>
      </c>
      <c r="H2802" s="558" t="s">
        <v>3411</v>
      </c>
      <c r="I2802" s="679" t="s">
        <v>2483</v>
      </c>
      <c r="J2802" s="676">
        <v>0</v>
      </c>
      <c r="K2802" s="676">
        <v>0</v>
      </c>
      <c r="M2802" t="str">
        <f>""</f>
        <v/>
      </c>
    </row>
    <row r="2803" spans="1:13" ht="15.75">
      <c r="A2803">
        <v>2020</v>
      </c>
      <c r="B2803" s="777">
        <v>44046</v>
      </c>
      <c r="C2803" s="730">
        <v>0.33333333333333331</v>
      </c>
      <c r="D2803" s="777">
        <v>44046</v>
      </c>
      <c r="E2803" s="730">
        <v>0.54166666666666663</v>
      </c>
      <c r="F2803" s="558" t="s">
        <v>4360</v>
      </c>
      <c r="G2803" s="558" t="s">
        <v>1352</v>
      </c>
      <c r="H2803" s="558" t="s">
        <v>3356</v>
      </c>
      <c r="I2803" s="679" t="s">
        <v>100</v>
      </c>
      <c r="J2803" s="676">
        <v>0</v>
      </c>
      <c r="K2803" s="676">
        <v>0</v>
      </c>
      <c r="M2803" t="str">
        <f>""</f>
        <v/>
      </c>
    </row>
    <row r="2804" spans="1:13" ht="15.75">
      <c r="A2804">
        <v>2020</v>
      </c>
      <c r="B2804" s="777">
        <v>44053</v>
      </c>
      <c r="C2804" s="730">
        <v>0.93402777777777779</v>
      </c>
      <c r="D2804" s="777">
        <v>44053</v>
      </c>
      <c r="E2804" s="730">
        <v>0.95972222222222225</v>
      </c>
      <c r="F2804" s="558" t="s">
        <v>4398</v>
      </c>
      <c r="G2804" s="558" t="s">
        <v>61</v>
      </c>
      <c r="H2804" s="558" t="s">
        <v>3387</v>
      </c>
      <c r="I2804" s="679" t="s">
        <v>2764</v>
      </c>
      <c r="J2804" s="676">
        <v>0</v>
      </c>
      <c r="K2804" s="676">
        <v>0</v>
      </c>
      <c r="M2804" t="str">
        <f>""</f>
        <v/>
      </c>
    </row>
    <row r="2805" spans="1:13" ht="15.75">
      <c r="A2805">
        <v>2020</v>
      </c>
      <c r="B2805" s="777">
        <v>44058</v>
      </c>
      <c r="C2805" s="730">
        <v>0.7368055555555556</v>
      </c>
      <c r="D2805" s="777">
        <v>44058</v>
      </c>
      <c r="E2805" s="730">
        <v>0.78333333333333333</v>
      </c>
      <c r="F2805" s="558" t="s">
        <v>3179</v>
      </c>
      <c r="G2805" s="558" t="s">
        <v>61</v>
      </c>
      <c r="H2805" s="558" t="s">
        <v>3402</v>
      </c>
      <c r="I2805" s="679" t="s">
        <v>2118</v>
      </c>
      <c r="J2805" s="676">
        <v>0</v>
      </c>
      <c r="K2805" s="676">
        <v>0</v>
      </c>
      <c r="M2805" t="str">
        <f>""</f>
        <v/>
      </c>
    </row>
    <row r="2806" spans="1:13" ht="15.75">
      <c r="A2806">
        <v>2020</v>
      </c>
      <c r="B2806" s="777">
        <v>44061</v>
      </c>
      <c r="C2806" s="730">
        <v>0.79166666666666663</v>
      </c>
      <c r="D2806" s="777">
        <v>44061</v>
      </c>
      <c r="E2806" s="730">
        <v>0.8125</v>
      </c>
      <c r="F2806" s="558" t="s">
        <v>4428</v>
      </c>
      <c r="G2806" s="558" t="s">
        <v>124</v>
      </c>
      <c r="H2806" s="558" t="s">
        <v>3874</v>
      </c>
      <c r="I2806" s="679" t="s">
        <v>4429</v>
      </c>
      <c r="J2806" s="676">
        <v>0</v>
      </c>
      <c r="K2806" s="676">
        <v>0</v>
      </c>
      <c r="M2806" t="str">
        <f>""</f>
        <v/>
      </c>
    </row>
    <row r="2807" spans="1:13" ht="15.75">
      <c r="A2807">
        <v>2020</v>
      </c>
      <c r="B2807" s="777">
        <v>44061</v>
      </c>
      <c r="C2807" s="730">
        <v>0.91319444444444442</v>
      </c>
      <c r="D2807" s="777">
        <v>44061</v>
      </c>
      <c r="E2807" s="730">
        <v>0.92361111111111116</v>
      </c>
      <c r="F2807" s="558" t="s">
        <v>2920</v>
      </c>
      <c r="G2807" s="558" t="s">
        <v>124</v>
      </c>
      <c r="H2807" s="558" t="s">
        <v>3447</v>
      </c>
      <c r="I2807" s="679" t="s">
        <v>2764</v>
      </c>
      <c r="J2807" s="676">
        <v>0</v>
      </c>
      <c r="K2807" s="676">
        <v>0</v>
      </c>
      <c r="M2807" t="str">
        <f>""</f>
        <v/>
      </c>
    </row>
    <row r="2808" spans="1:13" ht="15.75">
      <c r="A2808">
        <v>2020</v>
      </c>
      <c r="B2808" s="777">
        <v>44062</v>
      </c>
      <c r="C2808" s="730">
        <v>0.58333333333333337</v>
      </c>
      <c r="D2808" s="777">
        <v>44062</v>
      </c>
      <c r="E2808" s="730">
        <v>0.875</v>
      </c>
      <c r="F2808" s="558" t="s">
        <v>3424</v>
      </c>
      <c r="G2808" s="558" t="s">
        <v>124</v>
      </c>
      <c r="H2808" s="558" t="s">
        <v>3478</v>
      </c>
      <c r="I2808" s="679" t="s">
        <v>22</v>
      </c>
      <c r="J2808" s="676">
        <v>1200</v>
      </c>
      <c r="K2808" s="676">
        <v>0</v>
      </c>
      <c r="M2808" t="str">
        <f>""</f>
        <v/>
      </c>
    </row>
    <row r="2809" spans="1:13" ht="15.75">
      <c r="A2809">
        <v>2020</v>
      </c>
      <c r="B2809" s="777">
        <v>44063</v>
      </c>
      <c r="C2809" s="730">
        <v>2.0833333333333333E-3</v>
      </c>
      <c r="D2809" s="777">
        <v>44063</v>
      </c>
      <c r="E2809" s="730">
        <v>0.58680555555555558</v>
      </c>
      <c r="F2809" s="558" t="s">
        <v>2959</v>
      </c>
      <c r="G2809" s="558" t="s">
        <v>61</v>
      </c>
      <c r="H2809" s="558" t="s">
        <v>3387</v>
      </c>
      <c r="I2809" s="679" t="s">
        <v>2764</v>
      </c>
      <c r="J2809" s="676">
        <v>0</v>
      </c>
      <c r="K2809" s="676">
        <v>0</v>
      </c>
      <c r="M2809" t="str">
        <f>""</f>
        <v/>
      </c>
    </row>
    <row r="2810" spans="1:13" ht="15.75">
      <c r="A2810">
        <v>2020</v>
      </c>
      <c r="B2810" s="777">
        <v>44063</v>
      </c>
      <c r="C2810" s="730">
        <v>0.38680555555555557</v>
      </c>
      <c r="D2810" s="777">
        <v>44063</v>
      </c>
      <c r="E2810" s="730">
        <v>0.5708333333333333</v>
      </c>
      <c r="F2810" s="558" t="s">
        <v>4442</v>
      </c>
      <c r="G2810" s="558" t="s">
        <v>63</v>
      </c>
      <c r="H2810" s="558" t="s">
        <v>3356</v>
      </c>
      <c r="I2810" s="679" t="s">
        <v>100</v>
      </c>
      <c r="J2810" s="676">
        <v>0</v>
      </c>
      <c r="K2810" s="676">
        <v>0</v>
      </c>
      <c r="M2810" t="str">
        <f>""</f>
        <v/>
      </c>
    </row>
    <row r="2811" spans="1:13" ht="15.75">
      <c r="A2811">
        <v>2020</v>
      </c>
      <c r="B2811" s="777">
        <v>44066</v>
      </c>
      <c r="C2811" s="730">
        <v>0.92500000000000004</v>
      </c>
      <c r="D2811" s="777">
        <v>44066</v>
      </c>
      <c r="E2811" s="730">
        <v>0.92708333333333337</v>
      </c>
      <c r="F2811" s="558" t="s">
        <v>4445</v>
      </c>
      <c r="G2811" s="558" t="s">
        <v>3143</v>
      </c>
      <c r="H2811" s="558" t="s">
        <v>3356</v>
      </c>
      <c r="I2811" s="679" t="s">
        <v>2118</v>
      </c>
      <c r="J2811" s="676">
        <v>0</v>
      </c>
      <c r="K2811" s="676">
        <v>0</v>
      </c>
      <c r="M2811" t="str">
        <f>""</f>
        <v/>
      </c>
    </row>
    <row r="2812" spans="1:13" ht="15.75">
      <c r="A2812">
        <v>2020</v>
      </c>
      <c r="B2812" s="777">
        <v>44067</v>
      </c>
      <c r="C2812" s="730">
        <v>0.95833333333333337</v>
      </c>
      <c r="D2812" s="777">
        <v>44067</v>
      </c>
      <c r="E2812" s="730">
        <v>0.99930555555555556</v>
      </c>
      <c r="F2812" s="558" t="s">
        <v>4448</v>
      </c>
      <c r="G2812" s="558" t="s">
        <v>1352</v>
      </c>
      <c r="H2812" s="558" t="s">
        <v>3402</v>
      </c>
      <c r="I2812" s="679" t="s">
        <v>4429</v>
      </c>
      <c r="J2812" s="676">
        <v>0</v>
      </c>
      <c r="K2812" s="676">
        <v>0</v>
      </c>
      <c r="M2812" t="str">
        <f>""</f>
        <v/>
      </c>
    </row>
    <row r="2813" spans="1:13" ht="15.75">
      <c r="A2813">
        <v>2020</v>
      </c>
      <c r="B2813" s="777">
        <v>44068</v>
      </c>
      <c r="C2813" s="730">
        <v>0.11319444444444444</v>
      </c>
      <c r="D2813" s="777">
        <v>44068</v>
      </c>
      <c r="E2813" s="730">
        <v>0.3215277777777778</v>
      </c>
      <c r="F2813" s="558" t="s">
        <v>3701</v>
      </c>
      <c r="G2813" s="558" t="s">
        <v>124</v>
      </c>
      <c r="H2813" s="558" t="s">
        <v>3874</v>
      </c>
      <c r="I2813" s="679" t="s">
        <v>100</v>
      </c>
      <c r="J2813" s="676">
        <v>0</v>
      </c>
      <c r="K2813" s="676">
        <v>0</v>
      </c>
      <c r="M2813" t="str">
        <f>""</f>
        <v/>
      </c>
    </row>
    <row r="2814" spans="1:13" ht="15.75">
      <c r="A2814">
        <v>2020</v>
      </c>
      <c r="B2814" s="777">
        <v>44070</v>
      </c>
      <c r="C2814" s="730">
        <v>0.52013888888888893</v>
      </c>
      <c r="D2814" s="777">
        <v>44070</v>
      </c>
      <c r="E2814" s="730">
        <v>0.54097222222222219</v>
      </c>
      <c r="F2814" s="558" t="s">
        <v>4461</v>
      </c>
      <c r="G2814" s="558" t="s">
        <v>674</v>
      </c>
      <c r="H2814" s="558" t="s">
        <v>3387</v>
      </c>
      <c r="I2814" s="679" t="s">
        <v>2764</v>
      </c>
      <c r="J2814" s="676">
        <v>0</v>
      </c>
      <c r="K2814" s="676">
        <v>0</v>
      </c>
      <c r="M2814" t="str">
        <f>""</f>
        <v/>
      </c>
    </row>
    <row r="2815" spans="1:13" ht="15.75">
      <c r="A2815">
        <v>2020</v>
      </c>
      <c r="B2815" s="777">
        <v>44071</v>
      </c>
      <c r="C2815" s="730">
        <v>0.68541666666666667</v>
      </c>
      <c r="D2815" s="777">
        <v>44071</v>
      </c>
      <c r="E2815" s="730">
        <v>0.80972222222222223</v>
      </c>
      <c r="F2815" s="558" t="s">
        <v>4468</v>
      </c>
      <c r="G2815" s="558" t="s">
        <v>124</v>
      </c>
      <c r="H2815" s="558" t="s">
        <v>3396</v>
      </c>
      <c r="I2815" s="679" t="s">
        <v>22</v>
      </c>
      <c r="J2815" s="676">
        <v>0</v>
      </c>
      <c r="K2815" s="676">
        <v>0</v>
      </c>
      <c r="M2815" t="str">
        <f>""</f>
        <v/>
      </c>
    </row>
    <row r="2816" spans="1:13" ht="15.75">
      <c r="A2816">
        <v>2020</v>
      </c>
      <c r="B2816" s="777">
        <v>44071</v>
      </c>
      <c r="C2816" s="730">
        <v>1.7361111111111112E-2</v>
      </c>
      <c r="D2816" s="777">
        <v>44071</v>
      </c>
      <c r="E2816" s="730">
        <v>4.1666666666666664E-2</v>
      </c>
      <c r="F2816" s="558" t="s">
        <v>2959</v>
      </c>
      <c r="G2816" s="558" t="s">
        <v>61</v>
      </c>
      <c r="H2816" s="558" t="s">
        <v>3387</v>
      </c>
      <c r="I2816" s="679" t="s">
        <v>2764</v>
      </c>
      <c r="J2816" s="676">
        <v>0</v>
      </c>
      <c r="K2816" s="676">
        <v>0</v>
      </c>
      <c r="M2816" t="str">
        <f>""</f>
        <v/>
      </c>
    </row>
    <row r="2817" spans="1:13" ht="15.75">
      <c r="A2817">
        <v>2020</v>
      </c>
      <c r="B2817" s="777">
        <v>44074</v>
      </c>
      <c r="C2817" s="730">
        <v>0.375</v>
      </c>
      <c r="D2817" s="777">
        <v>44074</v>
      </c>
      <c r="E2817" s="730">
        <v>0.66180555555555554</v>
      </c>
      <c r="F2817" s="558" t="s">
        <v>2853</v>
      </c>
      <c r="G2817" s="558" t="s">
        <v>124</v>
      </c>
      <c r="H2817" s="558" t="s">
        <v>3356</v>
      </c>
      <c r="I2817" s="679" t="s">
        <v>100</v>
      </c>
      <c r="J2817" s="676">
        <v>0</v>
      </c>
      <c r="K2817" s="676">
        <v>0</v>
      </c>
      <c r="M2817" t="str">
        <f>""</f>
        <v/>
      </c>
    </row>
    <row r="2818" spans="1:13" ht="15.75">
      <c r="A2818">
        <v>2020</v>
      </c>
      <c r="B2818" s="777">
        <v>44075</v>
      </c>
      <c r="C2818" s="730">
        <v>0.5444444444444444</v>
      </c>
      <c r="D2818" s="777">
        <v>44075</v>
      </c>
      <c r="E2818" s="730">
        <v>0.54513888888888884</v>
      </c>
      <c r="F2818" s="558" t="s">
        <v>2967</v>
      </c>
      <c r="G2818" s="558" t="s">
        <v>124</v>
      </c>
      <c r="H2818" s="558" t="s">
        <v>3402</v>
      </c>
      <c r="I2818" s="679" t="s">
        <v>2118</v>
      </c>
      <c r="J2818" s="676">
        <v>0</v>
      </c>
      <c r="K2818" s="676">
        <v>0</v>
      </c>
      <c r="M2818" t="str">
        <f>""</f>
        <v/>
      </c>
    </row>
    <row r="2819" spans="1:13" ht="15.75">
      <c r="A2819">
        <v>2020</v>
      </c>
      <c r="B2819" s="777">
        <v>44078</v>
      </c>
      <c r="C2819" s="730">
        <v>4.6527777777777779E-2</v>
      </c>
      <c r="D2819" s="777">
        <v>44078</v>
      </c>
      <c r="E2819" s="730">
        <v>6.7361111111111108E-2</v>
      </c>
      <c r="F2819" s="558" t="s">
        <v>3410</v>
      </c>
      <c r="G2819" s="558" t="s">
        <v>301</v>
      </c>
      <c r="H2819" s="558" t="s">
        <v>3447</v>
      </c>
      <c r="I2819" s="679" t="s">
        <v>2764</v>
      </c>
      <c r="J2819" s="676">
        <v>0</v>
      </c>
      <c r="K2819" s="676">
        <v>0</v>
      </c>
      <c r="M2819" t="str">
        <f>""</f>
        <v/>
      </c>
    </row>
    <row r="2820" spans="1:13" ht="15.75">
      <c r="A2820">
        <v>2020</v>
      </c>
      <c r="B2820" s="777">
        <v>44080</v>
      </c>
      <c r="C2820" s="730">
        <v>0.73333333333333328</v>
      </c>
      <c r="D2820" s="777">
        <v>44080</v>
      </c>
      <c r="E2820" s="730">
        <v>0.81041666666666667</v>
      </c>
      <c r="F2820" s="558" t="s">
        <v>4477</v>
      </c>
      <c r="G2820" s="558" t="s">
        <v>124</v>
      </c>
      <c r="H2820" s="558" t="s">
        <v>3396</v>
      </c>
      <c r="I2820" s="679" t="s">
        <v>2764</v>
      </c>
      <c r="J2820" s="676">
        <v>0</v>
      </c>
      <c r="K2820" s="676">
        <v>0</v>
      </c>
      <c r="M2820" t="str">
        <f>""</f>
        <v/>
      </c>
    </row>
    <row r="2821" spans="1:13" ht="15.75">
      <c r="A2821">
        <v>2020</v>
      </c>
      <c r="B2821" s="777">
        <v>44082</v>
      </c>
      <c r="C2821" s="730">
        <v>0.40972222222222221</v>
      </c>
      <c r="D2821" s="777">
        <v>44082</v>
      </c>
      <c r="E2821" s="730">
        <v>0.45555555555555555</v>
      </c>
      <c r="F2821" s="558" t="s">
        <v>4489</v>
      </c>
      <c r="G2821" s="558" t="s">
        <v>3143</v>
      </c>
      <c r="H2821" s="558" t="s">
        <v>3387</v>
      </c>
      <c r="I2821" s="679" t="s">
        <v>2764</v>
      </c>
      <c r="J2821" s="676">
        <v>265</v>
      </c>
      <c r="K2821" s="676">
        <v>0</v>
      </c>
      <c r="M2821" t="str">
        <f>""</f>
        <v/>
      </c>
    </row>
    <row r="2822" spans="1:13" ht="15.75">
      <c r="A2822">
        <v>2020</v>
      </c>
      <c r="B2822" s="777">
        <v>44083</v>
      </c>
      <c r="C2822" s="730">
        <v>0.92777777777777781</v>
      </c>
      <c r="D2822" s="777">
        <v>44085</v>
      </c>
      <c r="E2822" s="730">
        <v>0.34513888888888888</v>
      </c>
      <c r="F2822" s="558" t="s">
        <v>4017</v>
      </c>
      <c r="G2822" s="558" t="s">
        <v>674</v>
      </c>
      <c r="H2822" s="558" t="s">
        <v>3402</v>
      </c>
      <c r="I2822" s="679" t="s">
        <v>2118</v>
      </c>
      <c r="J2822" s="676">
        <v>0</v>
      </c>
      <c r="K2822" s="676">
        <v>0</v>
      </c>
      <c r="M2822" t="str">
        <f>""</f>
        <v/>
      </c>
    </row>
    <row r="2823" spans="1:13" ht="15.75">
      <c r="A2823">
        <v>2020</v>
      </c>
      <c r="B2823" s="777">
        <v>44083</v>
      </c>
      <c r="C2823" s="730">
        <v>0.47361111111111109</v>
      </c>
      <c r="D2823" s="777">
        <v>44083</v>
      </c>
      <c r="E2823" s="730">
        <v>0.5444444444444444</v>
      </c>
      <c r="F2823" s="558" t="s">
        <v>4492</v>
      </c>
      <c r="G2823" s="558" t="s">
        <v>124</v>
      </c>
      <c r="H2823" s="558" t="s">
        <v>3411</v>
      </c>
      <c r="I2823" s="679" t="s">
        <v>3416</v>
      </c>
      <c r="J2823" s="676">
        <v>0</v>
      </c>
      <c r="K2823" s="676">
        <v>0</v>
      </c>
      <c r="M2823" t="str">
        <f>""</f>
        <v/>
      </c>
    </row>
    <row r="2824" spans="1:13" ht="15.75">
      <c r="A2824">
        <v>2020</v>
      </c>
      <c r="B2824" s="777">
        <v>44089</v>
      </c>
      <c r="C2824" s="730">
        <v>0.62777777777777777</v>
      </c>
      <c r="D2824" s="777">
        <v>44089</v>
      </c>
      <c r="E2824" s="730">
        <v>0.65069444444444446</v>
      </c>
      <c r="F2824" s="558" t="s">
        <v>4097</v>
      </c>
      <c r="G2824" s="558" t="s">
        <v>674</v>
      </c>
      <c r="H2824" s="558" t="s">
        <v>3387</v>
      </c>
      <c r="I2824" s="679" t="s">
        <v>2764</v>
      </c>
      <c r="J2824" s="676">
        <v>0</v>
      </c>
      <c r="K2824" s="676">
        <v>0</v>
      </c>
      <c r="M2824" t="str">
        <f>""</f>
        <v/>
      </c>
    </row>
    <row r="2825" spans="1:13" ht="15.75">
      <c r="A2825">
        <v>2020</v>
      </c>
      <c r="B2825" s="777">
        <v>44090</v>
      </c>
      <c r="C2825" s="730">
        <v>0.29166666666666669</v>
      </c>
      <c r="D2825" s="777">
        <v>44092</v>
      </c>
      <c r="E2825" s="730">
        <v>0.25</v>
      </c>
      <c r="F2825" s="558" t="s">
        <v>4500</v>
      </c>
      <c r="G2825" s="558" t="s">
        <v>301</v>
      </c>
      <c r="H2825" s="558" t="s">
        <v>3447</v>
      </c>
      <c r="I2825" s="679" t="s">
        <v>2764</v>
      </c>
      <c r="J2825" s="676">
        <v>0</v>
      </c>
      <c r="K2825" s="676">
        <v>0</v>
      </c>
      <c r="M2825" t="str">
        <f>""</f>
        <v/>
      </c>
    </row>
    <row r="2826" spans="1:13" ht="15.75">
      <c r="A2826">
        <v>2020</v>
      </c>
      <c r="B2826" s="777">
        <v>44090</v>
      </c>
      <c r="C2826" s="730">
        <v>8.9583333333333334E-2</v>
      </c>
      <c r="D2826" s="777">
        <v>44090</v>
      </c>
      <c r="E2826" s="730">
        <v>9.7222222222222224E-2</v>
      </c>
      <c r="F2826" s="558" t="s">
        <v>4504</v>
      </c>
      <c r="G2826" s="558" t="s">
        <v>61</v>
      </c>
      <c r="H2826" s="558" t="s">
        <v>3356</v>
      </c>
      <c r="I2826" s="679" t="s">
        <v>100</v>
      </c>
      <c r="J2826" s="676">
        <v>0</v>
      </c>
      <c r="K2826" s="676">
        <v>0</v>
      </c>
      <c r="M2826" t="str">
        <f>""</f>
        <v/>
      </c>
    </row>
    <row r="2827" spans="1:13" ht="15.75">
      <c r="A2827">
        <v>2020</v>
      </c>
      <c r="B2827" s="777">
        <v>44097</v>
      </c>
      <c r="C2827" s="730">
        <v>0.5</v>
      </c>
      <c r="D2827" s="777">
        <v>44097</v>
      </c>
      <c r="E2827" s="730">
        <v>0.54166666666666663</v>
      </c>
      <c r="F2827" s="558" t="s">
        <v>2833</v>
      </c>
      <c r="G2827" s="558" t="s">
        <v>3143</v>
      </c>
      <c r="H2827" s="558" t="s">
        <v>3356</v>
      </c>
      <c r="I2827" s="679" t="s">
        <v>100</v>
      </c>
      <c r="J2827" s="676">
        <v>0</v>
      </c>
      <c r="K2827" s="676">
        <v>0</v>
      </c>
      <c r="M2827" t="str">
        <f>""</f>
        <v/>
      </c>
    </row>
    <row r="2828" spans="1:13" ht="15.75">
      <c r="A2828">
        <v>2020</v>
      </c>
      <c r="B2828" s="777">
        <v>44106</v>
      </c>
      <c r="C2828" s="730">
        <v>0.8125</v>
      </c>
      <c r="D2828" s="777">
        <v>44108</v>
      </c>
      <c r="E2828" s="730">
        <v>0.27083333333333331</v>
      </c>
      <c r="F2828" s="558" t="s">
        <v>3437</v>
      </c>
      <c r="G2828" s="558" t="s">
        <v>63</v>
      </c>
      <c r="H2828" s="558" t="s">
        <v>3402</v>
      </c>
      <c r="I2828" s="679" t="s">
        <v>2118</v>
      </c>
      <c r="J2828" s="676">
        <v>0</v>
      </c>
      <c r="K2828" s="676">
        <v>0</v>
      </c>
      <c r="M2828" t="str">
        <f>""</f>
        <v/>
      </c>
    </row>
    <row r="2829" spans="1:13" ht="15.75">
      <c r="A2829">
        <v>2020</v>
      </c>
      <c r="B2829" s="777">
        <v>44113</v>
      </c>
      <c r="C2829" s="730">
        <v>0.44722222222222224</v>
      </c>
      <c r="D2829" s="777">
        <v>44113</v>
      </c>
      <c r="E2829" s="730">
        <v>0.93402777777777779</v>
      </c>
      <c r="F2829" s="558" t="s">
        <v>2900</v>
      </c>
      <c r="G2829" s="558" t="s">
        <v>124</v>
      </c>
      <c r="H2829" s="558" t="s">
        <v>3411</v>
      </c>
      <c r="I2829" s="679" t="s">
        <v>2483</v>
      </c>
      <c r="J2829" s="676">
        <v>0</v>
      </c>
      <c r="K2829" s="676">
        <v>0</v>
      </c>
      <c r="M2829" t="str">
        <f>""</f>
        <v/>
      </c>
    </row>
    <row r="2830" spans="1:13" ht="15.75">
      <c r="A2830">
        <v>2020</v>
      </c>
      <c r="B2830" s="777">
        <v>44114</v>
      </c>
      <c r="C2830" s="730">
        <v>0.96527777777777779</v>
      </c>
      <c r="D2830" s="777">
        <v>44114</v>
      </c>
      <c r="E2830" s="730">
        <v>0.96875</v>
      </c>
      <c r="F2830" s="558" t="s">
        <v>4468</v>
      </c>
      <c r="G2830" s="558" t="s">
        <v>124</v>
      </c>
      <c r="H2830" s="558" t="s">
        <v>3411</v>
      </c>
      <c r="I2830" s="679" t="s">
        <v>2483</v>
      </c>
      <c r="J2830" s="676">
        <v>0</v>
      </c>
      <c r="K2830" s="676">
        <v>0</v>
      </c>
      <c r="M2830" t="str">
        <f>""</f>
        <v/>
      </c>
    </row>
    <row r="2831" spans="1:13" ht="15.75">
      <c r="A2831">
        <v>2020</v>
      </c>
      <c r="B2831" s="777">
        <v>44114</v>
      </c>
      <c r="C2831" s="730">
        <v>0.33680555555555558</v>
      </c>
      <c r="D2831" s="777">
        <v>44114</v>
      </c>
      <c r="E2831" s="730">
        <v>0.5</v>
      </c>
      <c r="F2831" s="558" t="s">
        <v>4119</v>
      </c>
      <c r="G2831" s="558" t="s">
        <v>124</v>
      </c>
      <c r="H2831" s="558" t="s">
        <v>3447</v>
      </c>
      <c r="I2831" s="679" t="s">
        <v>2764</v>
      </c>
      <c r="J2831" s="676">
        <v>0</v>
      </c>
      <c r="K2831" s="676">
        <v>0</v>
      </c>
      <c r="M2831" t="str">
        <f>""</f>
        <v/>
      </c>
    </row>
    <row r="2832" spans="1:13" ht="15.75">
      <c r="A2832">
        <v>2020</v>
      </c>
      <c r="B2832" s="777">
        <v>44116</v>
      </c>
      <c r="C2832" s="730">
        <v>0.17083333333333334</v>
      </c>
      <c r="D2832" s="777">
        <v>44116</v>
      </c>
      <c r="E2832" s="730">
        <v>0.17152777777777778</v>
      </c>
      <c r="F2832" s="558" t="s">
        <v>4534</v>
      </c>
      <c r="G2832" s="558" t="s">
        <v>301</v>
      </c>
      <c r="H2832" s="558" t="s">
        <v>3411</v>
      </c>
      <c r="I2832" s="679" t="s">
        <v>2483</v>
      </c>
      <c r="J2832" s="676">
        <v>0</v>
      </c>
      <c r="K2832" s="676">
        <v>0</v>
      </c>
      <c r="M2832" t="str">
        <f>""</f>
        <v/>
      </c>
    </row>
    <row r="2833" spans="1:13" ht="15.75">
      <c r="A2833">
        <v>2020</v>
      </c>
      <c r="B2833" s="777">
        <v>44119</v>
      </c>
      <c r="C2833" s="730">
        <v>0.98819444444444449</v>
      </c>
      <c r="D2833" s="777" t="s">
        <v>5873</v>
      </c>
      <c r="E2833" s="730" t="s">
        <v>5873</v>
      </c>
      <c r="F2833" s="558" t="s">
        <v>3284</v>
      </c>
      <c r="G2833" s="558" t="s">
        <v>124</v>
      </c>
      <c r="H2833" s="558" t="s">
        <v>3356</v>
      </c>
      <c r="I2833" s="679" t="s">
        <v>100</v>
      </c>
      <c r="J2833" s="676">
        <v>0</v>
      </c>
      <c r="K2833" s="676">
        <v>0</v>
      </c>
      <c r="M2833" t="str">
        <f>""</f>
        <v/>
      </c>
    </row>
    <row r="2834" spans="1:13" ht="15.75">
      <c r="A2834">
        <v>2020</v>
      </c>
      <c r="B2834" s="777">
        <v>44119</v>
      </c>
      <c r="C2834" s="730">
        <v>0.70138888888888884</v>
      </c>
      <c r="D2834" s="777" t="s">
        <v>5873</v>
      </c>
      <c r="E2834" s="730" t="s">
        <v>5873</v>
      </c>
      <c r="F2834" s="558" t="s">
        <v>3307</v>
      </c>
      <c r="G2834" s="558" t="s">
        <v>3143</v>
      </c>
      <c r="H2834" s="558" t="s">
        <v>3447</v>
      </c>
      <c r="I2834" s="679" t="s">
        <v>2764</v>
      </c>
      <c r="J2834" s="676">
        <v>0</v>
      </c>
      <c r="K2834" s="676">
        <v>0</v>
      </c>
      <c r="M2834" t="str">
        <f>""</f>
        <v/>
      </c>
    </row>
    <row r="2835" spans="1:13" ht="15.75">
      <c r="A2835">
        <v>2020</v>
      </c>
      <c r="B2835" s="777">
        <v>44120</v>
      </c>
      <c r="C2835" s="730">
        <v>0.58333333333333337</v>
      </c>
      <c r="D2835" s="777">
        <v>44120</v>
      </c>
      <c r="E2835" s="730">
        <v>0.66666666666666663</v>
      </c>
      <c r="F2835" s="558" t="s">
        <v>3354</v>
      </c>
      <c r="G2835" s="558" t="s">
        <v>63</v>
      </c>
      <c r="H2835" s="558" t="s">
        <v>3356</v>
      </c>
      <c r="I2835" s="679" t="s">
        <v>100</v>
      </c>
      <c r="J2835" s="676">
        <v>62</v>
      </c>
      <c r="K2835" s="676">
        <v>0</v>
      </c>
      <c r="M2835" t="str">
        <f>""</f>
        <v/>
      </c>
    </row>
    <row r="2836" spans="1:13" ht="15.75">
      <c r="A2836">
        <v>2020</v>
      </c>
      <c r="B2836" s="777">
        <v>44124</v>
      </c>
      <c r="C2836" s="730">
        <v>0.78333333333333333</v>
      </c>
      <c r="D2836" s="777">
        <v>44124</v>
      </c>
      <c r="E2836" s="730">
        <v>0.78402777777777777</v>
      </c>
      <c r="F2836" s="558" t="s">
        <v>4542</v>
      </c>
      <c r="G2836" s="558" t="s">
        <v>63</v>
      </c>
      <c r="H2836" s="558" t="s">
        <v>3411</v>
      </c>
      <c r="I2836" s="679" t="s">
        <v>2483</v>
      </c>
      <c r="J2836" s="676">
        <v>0</v>
      </c>
      <c r="K2836" s="676">
        <v>0</v>
      </c>
      <c r="M2836" t="str">
        <f>""</f>
        <v/>
      </c>
    </row>
    <row r="2837" spans="1:13" ht="15.75">
      <c r="A2837">
        <v>2020</v>
      </c>
      <c r="B2837" s="777">
        <v>44126</v>
      </c>
      <c r="C2837" s="730">
        <v>0.33333333333333331</v>
      </c>
      <c r="D2837" s="777">
        <v>44126</v>
      </c>
      <c r="E2837" s="730">
        <v>0.33402777777777776</v>
      </c>
      <c r="F2837" s="558" t="s">
        <v>4492</v>
      </c>
      <c r="G2837" s="558" t="s">
        <v>124</v>
      </c>
      <c r="H2837" s="558" t="s">
        <v>3402</v>
      </c>
      <c r="I2837" s="679" t="s">
        <v>2118</v>
      </c>
      <c r="J2837" s="676">
        <v>0</v>
      </c>
      <c r="K2837" s="676">
        <v>0</v>
      </c>
      <c r="M2837" t="str">
        <f>""</f>
        <v/>
      </c>
    </row>
    <row r="2838" spans="1:13" ht="15.75">
      <c r="A2838">
        <v>2020</v>
      </c>
      <c r="B2838" s="777">
        <v>44126</v>
      </c>
      <c r="C2838" s="730">
        <v>0.95</v>
      </c>
      <c r="D2838" s="777">
        <v>44126</v>
      </c>
      <c r="E2838" s="730">
        <v>0.9819444444444444</v>
      </c>
      <c r="F2838" s="558" t="s">
        <v>3410</v>
      </c>
      <c r="G2838" s="558" t="s">
        <v>301</v>
      </c>
      <c r="H2838" s="558" t="s">
        <v>3447</v>
      </c>
      <c r="I2838" s="679" t="s">
        <v>2764</v>
      </c>
      <c r="J2838" s="676">
        <v>0</v>
      </c>
      <c r="K2838" s="676">
        <v>0</v>
      </c>
      <c r="M2838" t="str">
        <f>""</f>
        <v/>
      </c>
    </row>
    <row r="2839" spans="1:13" ht="15.75">
      <c r="A2839">
        <v>2020</v>
      </c>
      <c r="B2839" s="777">
        <v>44129</v>
      </c>
      <c r="C2839" s="730">
        <v>0.1423611111111111</v>
      </c>
      <c r="D2839" s="777">
        <v>44129</v>
      </c>
      <c r="E2839" s="730">
        <v>0.15625</v>
      </c>
      <c r="F2839" s="558" t="s">
        <v>4551</v>
      </c>
      <c r="G2839" s="558" t="s">
        <v>674</v>
      </c>
      <c r="H2839" s="558" t="s">
        <v>3356</v>
      </c>
      <c r="I2839" s="679" t="s">
        <v>2118</v>
      </c>
      <c r="J2839" s="676">
        <v>0</v>
      </c>
      <c r="K2839" s="676">
        <v>0</v>
      </c>
      <c r="M2839" t="str">
        <f>""</f>
        <v/>
      </c>
    </row>
    <row r="2840" spans="1:13" ht="15.75">
      <c r="A2840">
        <v>2020</v>
      </c>
      <c r="B2840" s="777">
        <v>44130</v>
      </c>
      <c r="C2840" s="730">
        <v>0.41666666666666669</v>
      </c>
      <c r="D2840" s="777">
        <v>44130</v>
      </c>
      <c r="E2840" s="730">
        <v>0.42708333333333331</v>
      </c>
      <c r="F2840" s="558" t="s">
        <v>3354</v>
      </c>
      <c r="G2840" s="558" t="s">
        <v>63</v>
      </c>
      <c r="H2840" s="558" t="s">
        <v>3356</v>
      </c>
      <c r="I2840" s="679" t="s">
        <v>100</v>
      </c>
      <c r="J2840" s="676">
        <v>64</v>
      </c>
      <c r="K2840" s="676">
        <v>0</v>
      </c>
      <c r="M2840" t="str">
        <f>""</f>
        <v/>
      </c>
    </row>
    <row r="2841" spans="1:13" ht="15.75">
      <c r="A2841">
        <v>2020</v>
      </c>
      <c r="B2841" s="777">
        <v>44133</v>
      </c>
      <c r="C2841" s="730">
        <v>0.49861111111111112</v>
      </c>
      <c r="D2841" s="777">
        <v>44133</v>
      </c>
      <c r="E2841" s="730">
        <v>0.54861111111111116</v>
      </c>
      <c r="F2841" s="558" t="s">
        <v>2959</v>
      </c>
      <c r="G2841" s="558" t="s">
        <v>61</v>
      </c>
      <c r="H2841" s="558" t="s">
        <v>3387</v>
      </c>
      <c r="I2841" s="679" t="s">
        <v>2764</v>
      </c>
      <c r="J2841" s="676">
        <v>0</v>
      </c>
      <c r="K2841" s="676">
        <v>0</v>
      </c>
      <c r="M2841" t="str">
        <f>""</f>
        <v/>
      </c>
    </row>
    <row r="2842" spans="1:13" ht="15.75">
      <c r="A2842">
        <v>2020</v>
      </c>
      <c r="B2842" s="777">
        <v>44136</v>
      </c>
      <c r="C2842" s="730">
        <v>0.52152777777777781</v>
      </c>
      <c r="D2842" s="777">
        <v>44136</v>
      </c>
      <c r="E2842" s="730">
        <v>0.52430555555555558</v>
      </c>
      <c r="F2842" s="558" t="s">
        <v>3909</v>
      </c>
      <c r="G2842" s="558" t="s">
        <v>124</v>
      </c>
      <c r="H2842" s="558" t="s">
        <v>3402</v>
      </c>
      <c r="I2842" s="679" t="s">
        <v>2118</v>
      </c>
      <c r="J2842" s="676">
        <v>0</v>
      </c>
      <c r="K2842" s="676">
        <v>0</v>
      </c>
      <c r="M2842" t="str">
        <f>""</f>
        <v/>
      </c>
    </row>
    <row r="2843" spans="1:13" ht="15.75">
      <c r="A2843">
        <v>2020</v>
      </c>
      <c r="B2843" s="777">
        <v>44137</v>
      </c>
      <c r="C2843" s="730">
        <v>0.46666666666666667</v>
      </c>
      <c r="D2843" s="777">
        <v>44137</v>
      </c>
      <c r="E2843" s="730">
        <v>0.47291666666666665</v>
      </c>
      <c r="F2843" s="558" t="s">
        <v>2901</v>
      </c>
      <c r="G2843" s="558" t="s">
        <v>301</v>
      </c>
      <c r="H2843" s="558" t="s">
        <v>3402</v>
      </c>
      <c r="I2843" s="679" t="s">
        <v>2118</v>
      </c>
      <c r="J2843" s="676">
        <v>0</v>
      </c>
      <c r="K2843" s="676">
        <v>0</v>
      </c>
      <c r="M2843" t="str">
        <f>""</f>
        <v/>
      </c>
    </row>
    <row r="2844" spans="1:13" ht="15.75">
      <c r="A2844">
        <v>2020</v>
      </c>
      <c r="B2844" s="777">
        <v>44142</v>
      </c>
      <c r="C2844" s="730">
        <v>0.73611111111111116</v>
      </c>
      <c r="D2844" s="777">
        <v>44142</v>
      </c>
      <c r="E2844" s="730">
        <v>0.92361111111111116</v>
      </c>
      <c r="F2844" s="558" t="s">
        <v>2900</v>
      </c>
      <c r="G2844" s="558" t="s">
        <v>124</v>
      </c>
      <c r="H2844" s="558" t="s">
        <v>3411</v>
      </c>
      <c r="I2844" s="679" t="s">
        <v>2483</v>
      </c>
      <c r="J2844" s="676">
        <v>0</v>
      </c>
      <c r="K2844" s="676">
        <v>0</v>
      </c>
      <c r="M2844" t="str">
        <f>""</f>
        <v/>
      </c>
    </row>
    <row r="2845" spans="1:13" ht="15.75">
      <c r="A2845">
        <v>2020</v>
      </c>
      <c r="B2845" s="777">
        <v>44144</v>
      </c>
      <c r="C2845" s="730">
        <v>0.5</v>
      </c>
      <c r="D2845" s="777">
        <v>44145</v>
      </c>
      <c r="E2845" s="730">
        <v>0.40625</v>
      </c>
      <c r="F2845" s="558" t="s">
        <v>4576</v>
      </c>
      <c r="G2845" s="558" t="s">
        <v>61</v>
      </c>
      <c r="H2845" s="558" t="s">
        <v>3356</v>
      </c>
      <c r="I2845" s="679" t="s">
        <v>100</v>
      </c>
      <c r="J2845" s="676">
        <v>0</v>
      </c>
      <c r="K2845" s="676">
        <v>0</v>
      </c>
      <c r="M2845" t="str">
        <f>""</f>
        <v/>
      </c>
    </row>
    <row r="2846" spans="1:13" ht="15.75">
      <c r="A2846">
        <v>2020</v>
      </c>
      <c r="B2846" s="777">
        <v>44145</v>
      </c>
      <c r="C2846" s="730">
        <v>0.44583333333333336</v>
      </c>
      <c r="D2846" s="777">
        <v>44145</v>
      </c>
      <c r="E2846" s="730">
        <v>0.53125</v>
      </c>
      <c r="F2846" s="558" t="s">
        <v>3424</v>
      </c>
      <c r="G2846" s="558" t="s">
        <v>124</v>
      </c>
      <c r="H2846" s="558" t="s">
        <v>3387</v>
      </c>
      <c r="I2846" s="679" t="s">
        <v>2764</v>
      </c>
      <c r="J2846" s="676">
        <v>0</v>
      </c>
      <c r="K2846" s="676">
        <v>0</v>
      </c>
      <c r="M2846" t="str">
        <f>""</f>
        <v/>
      </c>
    </row>
    <row r="2847" spans="1:13" ht="15.75">
      <c r="A2847">
        <v>2020</v>
      </c>
      <c r="B2847" s="777">
        <v>44148</v>
      </c>
      <c r="C2847" s="730">
        <v>1.3888888888888888E-2</v>
      </c>
      <c r="D2847" s="777">
        <v>44148</v>
      </c>
      <c r="E2847" s="730">
        <v>0.33333333333333331</v>
      </c>
      <c r="F2847" s="558" t="s">
        <v>2813</v>
      </c>
      <c r="G2847" s="558" t="s">
        <v>124</v>
      </c>
      <c r="H2847" s="558" t="s">
        <v>3928</v>
      </c>
      <c r="I2847" s="679" t="s">
        <v>2764</v>
      </c>
      <c r="J2847" s="676">
        <v>0</v>
      </c>
      <c r="K2847" s="676">
        <v>0</v>
      </c>
      <c r="M2847" t="str">
        <f>""</f>
        <v/>
      </c>
    </row>
    <row r="2848" spans="1:13" ht="15.75">
      <c r="A2848">
        <v>2020</v>
      </c>
      <c r="B2848" s="777">
        <v>44149</v>
      </c>
      <c r="C2848" s="730">
        <v>0.31944444444444442</v>
      </c>
      <c r="D2848" s="777" t="s">
        <v>5873</v>
      </c>
      <c r="E2848" s="730" t="s">
        <v>5873</v>
      </c>
      <c r="F2848" s="558" t="s">
        <v>2849</v>
      </c>
      <c r="G2848" s="558" t="s">
        <v>124</v>
      </c>
      <c r="H2848" s="558" t="s">
        <v>3654</v>
      </c>
      <c r="I2848" s="679" t="s">
        <v>1138</v>
      </c>
      <c r="J2848" s="676">
        <v>0</v>
      </c>
      <c r="K2848" s="676">
        <v>0</v>
      </c>
      <c r="M2848" t="str">
        <f>""</f>
        <v/>
      </c>
    </row>
    <row r="2849" spans="1:13" ht="15.75">
      <c r="A2849">
        <v>2020</v>
      </c>
      <c r="B2849" s="777">
        <v>44153</v>
      </c>
      <c r="C2849" s="730">
        <v>0.35416666666666669</v>
      </c>
      <c r="D2849" s="777">
        <v>44153</v>
      </c>
      <c r="E2849" s="730">
        <v>0.4513888888888889</v>
      </c>
      <c r="F2849" s="558" t="s">
        <v>4590</v>
      </c>
      <c r="G2849" s="558" t="s">
        <v>63</v>
      </c>
      <c r="H2849" s="558" t="s">
        <v>3387</v>
      </c>
      <c r="I2849" s="679" t="s">
        <v>2764</v>
      </c>
      <c r="J2849" s="676">
        <v>0</v>
      </c>
      <c r="K2849" s="676">
        <v>0</v>
      </c>
      <c r="M2849" t="str">
        <f>""</f>
        <v/>
      </c>
    </row>
    <row r="2850" spans="1:13" ht="15.75">
      <c r="A2850">
        <v>2020</v>
      </c>
      <c r="B2850" s="777">
        <v>44153</v>
      </c>
      <c r="C2850" s="730">
        <v>0.43055555555555558</v>
      </c>
      <c r="D2850" s="777">
        <v>44153</v>
      </c>
      <c r="E2850" s="730">
        <v>0.47083333333333333</v>
      </c>
      <c r="F2850" s="558" t="s">
        <v>2959</v>
      </c>
      <c r="G2850" s="558" t="s">
        <v>61</v>
      </c>
      <c r="H2850" s="558" t="s">
        <v>3387</v>
      </c>
      <c r="I2850" s="679" t="s">
        <v>2764</v>
      </c>
      <c r="J2850" s="676">
        <v>0</v>
      </c>
      <c r="K2850" s="676">
        <v>0</v>
      </c>
      <c r="M2850" t="str">
        <f>""</f>
        <v/>
      </c>
    </row>
    <row r="2851" spans="1:13" ht="15.75">
      <c r="A2851">
        <v>2020</v>
      </c>
      <c r="B2851" s="777">
        <v>44158</v>
      </c>
      <c r="C2851" s="730">
        <v>0.24305555555555555</v>
      </c>
      <c r="D2851" s="777">
        <v>44158</v>
      </c>
      <c r="E2851" s="730">
        <v>0.31041666666666667</v>
      </c>
      <c r="F2851" s="558" t="s">
        <v>3872</v>
      </c>
      <c r="G2851" s="558" t="s">
        <v>674</v>
      </c>
      <c r="H2851" s="558" t="s">
        <v>3387</v>
      </c>
      <c r="I2851" s="679" t="s">
        <v>2764</v>
      </c>
      <c r="J2851" s="676">
        <v>0</v>
      </c>
      <c r="K2851" s="676">
        <v>0</v>
      </c>
      <c r="M2851" t="str">
        <f>""</f>
        <v/>
      </c>
    </row>
    <row r="2852" spans="1:13" ht="15.75">
      <c r="A2852">
        <v>2020</v>
      </c>
      <c r="B2852" s="777">
        <v>44165</v>
      </c>
      <c r="C2852" s="730">
        <v>0.60624999999999996</v>
      </c>
      <c r="D2852" s="777">
        <v>44165</v>
      </c>
      <c r="E2852" s="730">
        <v>0.72222222222222221</v>
      </c>
      <c r="F2852" s="558" t="s">
        <v>4402</v>
      </c>
      <c r="G2852" s="558" t="s">
        <v>1352</v>
      </c>
      <c r="H2852" s="558" t="s">
        <v>3411</v>
      </c>
      <c r="I2852" s="679" t="s">
        <v>2483</v>
      </c>
      <c r="J2852" s="676">
        <v>0</v>
      </c>
      <c r="K2852" s="676">
        <v>0</v>
      </c>
      <c r="M2852" t="str">
        <f>""</f>
        <v/>
      </c>
    </row>
    <row r="2853" spans="1:13" ht="15.75">
      <c r="A2853">
        <v>2020</v>
      </c>
      <c r="B2853" s="777">
        <v>44168</v>
      </c>
      <c r="C2853" s="730">
        <v>0.37569444444444444</v>
      </c>
      <c r="D2853" s="777">
        <v>44168</v>
      </c>
      <c r="E2853" s="730">
        <v>0.37708333333333333</v>
      </c>
      <c r="F2853" s="558" t="s">
        <v>2900</v>
      </c>
      <c r="G2853" s="558" t="s">
        <v>124</v>
      </c>
      <c r="H2853" s="558" t="s">
        <v>3411</v>
      </c>
      <c r="I2853" s="679" t="s">
        <v>2483</v>
      </c>
      <c r="J2853" s="676">
        <v>89</v>
      </c>
      <c r="K2853" s="676">
        <v>0</v>
      </c>
      <c r="M2853" t="str">
        <f>""</f>
        <v/>
      </c>
    </row>
    <row r="2854" spans="1:13" ht="15.75">
      <c r="A2854">
        <v>2020</v>
      </c>
      <c r="B2854" s="777">
        <v>44171</v>
      </c>
      <c r="C2854" s="730">
        <v>0.40625</v>
      </c>
      <c r="D2854" s="777">
        <v>44171</v>
      </c>
      <c r="E2854" s="730">
        <v>0.70833333333333337</v>
      </c>
      <c r="F2854" s="558" t="s">
        <v>3245</v>
      </c>
      <c r="G2854" s="558" t="s">
        <v>3143</v>
      </c>
      <c r="H2854" s="558" t="s">
        <v>3447</v>
      </c>
      <c r="I2854" s="679" t="s">
        <v>2764</v>
      </c>
      <c r="J2854" s="676">
        <v>0</v>
      </c>
      <c r="K2854" s="676">
        <v>0</v>
      </c>
      <c r="M2854" t="str">
        <f>""</f>
        <v/>
      </c>
    </row>
    <row r="2855" spans="1:13" ht="15.75">
      <c r="A2855">
        <v>2020</v>
      </c>
      <c r="B2855" s="777">
        <v>44173</v>
      </c>
      <c r="C2855" s="730">
        <v>0.40486111111111112</v>
      </c>
      <c r="D2855" s="777">
        <v>44173</v>
      </c>
      <c r="E2855" s="730">
        <v>0.43958333333333333</v>
      </c>
      <c r="F2855" s="558" t="s">
        <v>3528</v>
      </c>
      <c r="G2855" s="558" t="s">
        <v>3143</v>
      </c>
      <c r="H2855" s="558" t="s">
        <v>3387</v>
      </c>
      <c r="I2855" s="679" t="s">
        <v>2764</v>
      </c>
      <c r="J2855" s="676">
        <v>0</v>
      </c>
      <c r="K2855" s="676">
        <v>0</v>
      </c>
      <c r="M2855" t="str">
        <f>""</f>
        <v/>
      </c>
    </row>
    <row r="2856" spans="1:13" ht="15.75">
      <c r="A2856">
        <v>2020</v>
      </c>
      <c r="B2856" s="777">
        <v>44174</v>
      </c>
      <c r="C2856" s="730">
        <v>0.55555555555555558</v>
      </c>
      <c r="D2856" s="777">
        <v>44174</v>
      </c>
      <c r="E2856" s="730">
        <v>0.60416666666666663</v>
      </c>
      <c r="F2856" s="558" t="s">
        <v>4614</v>
      </c>
      <c r="G2856" s="558" t="s">
        <v>674</v>
      </c>
      <c r="H2856" s="558" t="s">
        <v>3387</v>
      </c>
      <c r="I2856" s="679" t="s">
        <v>2764</v>
      </c>
      <c r="J2856" s="676">
        <v>0</v>
      </c>
      <c r="K2856" s="676">
        <v>0</v>
      </c>
      <c r="M2856" t="str">
        <f>""</f>
        <v/>
      </c>
    </row>
    <row r="2857" spans="1:13" ht="15.75">
      <c r="A2857">
        <v>2020</v>
      </c>
      <c r="B2857" s="777">
        <v>44175</v>
      </c>
      <c r="C2857" s="730">
        <v>0.6875</v>
      </c>
      <c r="D2857" s="777">
        <v>44177</v>
      </c>
      <c r="E2857" s="730">
        <v>0.20833333333333334</v>
      </c>
      <c r="F2857" s="558" t="s">
        <v>2801</v>
      </c>
      <c r="G2857" s="558" t="s">
        <v>124</v>
      </c>
      <c r="H2857" s="558" t="s">
        <v>3447</v>
      </c>
      <c r="I2857" s="679" t="s">
        <v>2764</v>
      </c>
      <c r="J2857" s="676">
        <v>0</v>
      </c>
      <c r="K2857" s="676">
        <v>0</v>
      </c>
      <c r="M2857" t="str">
        <f>""</f>
        <v/>
      </c>
    </row>
    <row r="2858" spans="1:13" ht="15.75">
      <c r="A2858">
        <v>2020</v>
      </c>
      <c r="B2858" s="777">
        <v>44176</v>
      </c>
      <c r="C2858" s="730">
        <v>0.95208333333333328</v>
      </c>
      <c r="D2858" s="777">
        <v>44176</v>
      </c>
      <c r="E2858" s="730">
        <v>0.99791666666666667</v>
      </c>
      <c r="F2858" s="558" t="s">
        <v>2809</v>
      </c>
      <c r="G2858" s="558" t="s">
        <v>1352</v>
      </c>
      <c r="H2858" s="558" t="s">
        <v>3387</v>
      </c>
      <c r="I2858" s="679" t="s">
        <v>2764</v>
      </c>
      <c r="J2858" s="676">
        <v>0</v>
      </c>
      <c r="K2858" s="676">
        <v>0</v>
      </c>
      <c r="M2858" t="str">
        <f>""</f>
        <v/>
      </c>
    </row>
    <row r="2859" spans="1:13" ht="15.75">
      <c r="A2859">
        <v>2020</v>
      </c>
      <c r="B2859" s="777">
        <v>44179</v>
      </c>
      <c r="C2859" s="730">
        <v>0.45833333333333331</v>
      </c>
      <c r="D2859" s="777" t="s">
        <v>5873</v>
      </c>
      <c r="E2859" s="730" t="s">
        <v>5873</v>
      </c>
      <c r="F2859" s="558" t="s">
        <v>4622</v>
      </c>
      <c r="G2859" s="558" t="s">
        <v>124</v>
      </c>
      <c r="H2859" s="558" t="s">
        <v>3928</v>
      </c>
      <c r="I2859" s="679" t="s">
        <v>2952</v>
      </c>
      <c r="J2859" s="676">
        <v>0</v>
      </c>
      <c r="K2859" s="676">
        <v>0</v>
      </c>
      <c r="M2859" t="str">
        <f>""</f>
        <v/>
      </c>
    </row>
    <row r="2860" spans="1:13" ht="15.75">
      <c r="A2860">
        <v>2020</v>
      </c>
      <c r="B2860" s="777">
        <v>44179</v>
      </c>
      <c r="C2860" s="730">
        <v>0.70902777777777781</v>
      </c>
      <c r="D2860" s="777">
        <v>44179</v>
      </c>
      <c r="E2860" s="730">
        <v>0.7319444444444444</v>
      </c>
      <c r="F2860" s="558" t="s">
        <v>2945</v>
      </c>
      <c r="G2860" s="558" t="s">
        <v>124</v>
      </c>
      <c r="H2860" s="558" t="s">
        <v>3387</v>
      </c>
      <c r="I2860" s="679" t="s">
        <v>2764</v>
      </c>
      <c r="J2860" s="676">
        <v>0</v>
      </c>
      <c r="K2860" s="676">
        <v>0</v>
      </c>
      <c r="M2860" t="str">
        <f>""</f>
        <v/>
      </c>
    </row>
    <row r="2861" spans="1:13" ht="15.75">
      <c r="A2861">
        <v>2020</v>
      </c>
      <c r="B2861" s="777">
        <v>44179</v>
      </c>
      <c r="C2861" s="730">
        <v>6.25E-2</v>
      </c>
      <c r="D2861" s="777" t="s">
        <v>5873</v>
      </c>
      <c r="E2861" s="730" t="s">
        <v>5873</v>
      </c>
      <c r="F2861" s="558" t="s">
        <v>4623</v>
      </c>
      <c r="G2861" s="558" t="s">
        <v>3143</v>
      </c>
      <c r="H2861" s="558" t="s">
        <v>3928</v>
      </c>
      <c r="I2861" s="679" t="s">
        <v>2952</v>
      </c>
      <c r="J2861" s="676">
        <v>0</v>
      </c>
      <c r="K2861" s="676">
        <v>0</v>
      </c>
      <c r="M2861" t="str">
        <f>""</f>
        <v/>
      </c>
    </row>
    <row r="2862" spans="1:13" ht="15.75">
      <c r="A2862">
        <v>2020</v>
      </c>
      <c r="B2862" s="777">
        <v>44182</v>
      </c>
      <c r="C2862" s="730">
        <v>0.67986111111111114</v>
      </c>
      <c r="D2862" s="777">
        <v>44182</v>
      </c>
      <c r="E2862" s="730">
        <v>0.70625000000000004</v>
      </c>
      <c r="F2862" s="558" t="s">
        <v>3528</v>
      </c>
      <c r="G2862" s="558" t="s">
        <v>3143</v>
      </c>
      <c r="H2862" s="558" t="s">
        <v>3387</v>
      </c>
      <c r="I2862" s="679" t="s">
        <v>2764</v>
      </c>
      <c r="J2862" s="676">
        <v>0</v>
      </c>
      <c r="K2862" s="676">
        <v>0</v>
      </c>
      <c r="M2862" t="str">
        <f>""</f>
        <v/>
      </c>
    </row>
    <row r="2863" spans="1:13" ht="15.75">
      <c r="A2863">
        <v>2020</v>
      </c>
      <c r="B2863" s="777">
        <v>44183</v>
      </c>
      <c r="C2863" s="730">
        <v>0.27361111111111114</v>
      </c>
      <c r="D2863" s="777">
        <v>44183</v>
      </c>
      <c r="E2863" s="730">
        <v>0.41041666666666665</v>
      </c>
      <c r="F2863" s="558" t="s">
        <v>4119</v>
      </c>
      <c r="G2863" s="558" t="s">
        <v>124</v>
      </c>
      <c r="H2863" s="558" t="s">
        <v>3402</v>
      </c>
      <c r="I2863" s="679" t="s">
        <v>2118</v>
      </c>
      <c r="J2863" s="676">
        <v>0</v>
      </c>
      <c r="K2863" s="676">
        <v>0</v>
      </c>
      <c r="M2863" t="str">
        <f>""</f>
        <v/>
      </c>
    </row>
    <row r="2864" spans="1:13" ht="15.75">
      <c r="A2864">
        <v>2020</v>
      </c>
      <c r="B2864" s="777">
        <v>44185</v>
      </c>
      <c r="C2864" s="730">
        <v>0.21249999999999999</v>
      </c>
      <c r="D2864" s="777">
        <v>44185</v>
      </c>
      <c r="E2864" s="730">
        <v>0.22361111111111112</v>
      </c>
      <c r="F2864" s="558" t="s">
        <v>2967</v>
      </c>
      <c r="G2864" s="558" t="s">
        <v>124</v>
      </c>
      <c r="H2864" s="558" t="s">
        <v>3928</v>
      </c>
      <c r="I2864" s="679" t="s">
        <v>2952</v>
      </c>
      <c r="J2864" s="676">
        <v>0</v>
      </c>
      <c r="K2864" s="676">
        <v>0</v>
      </c>
      <c r="M2864" t="str">
        <f>""</f>
        <v/>
      </c>
    </row>
    <row r="2865" spans="1:13" ht="15.75">
      <c r="A2865">
        <v>2020</v>
      </c>
      <c r="B2865" s="777">
        <v>44190</v>
      </c>
      <c r="C2865" s="730">
        <v>0.16041666666666668</v>
      </c>
      <c r="D2865" s="777">
        <v>44190</v>
      </c>
      <c r="E2865" s="730">
        <v>0.16111111111111112</v>
      </c>
      <c r="F2865" s="558" t="s">
        <v>2945</v>
      </c>
      <c r="G2865" s="558" t="s">
        <v>124</v>
      </c>
      <c r="H2865" s="558" t="s">
        <v>3356</v>
      </c>
      <c r="I2865" s="679" t="s">
        <v>100</v>
      </c>
      <c r="J2865" s="676">
        <v>0</v>
      </c>
      <c r="K2865" s="676">
        <v>0</v>
      </c>
      <c r="M2865" t="str">
        <f>""</f>
        <v/>
      </c>
    </row>
    <row r="2866" spans="1:13" ht="15.75">
      <c r="A2866">
        <v>2020</v>
      </c>
      <c r="B2866" s="777">
        <v>44190</v>
      </c>
      <c r="C2866" s="730">
        <v>0.78541666666666665</v>
      </c>
      <c r="D2866" s="777">
        <v>44190</v>
      </c>
      <c r="E2866" s="730">
        <v>0.80833333333333335</v>
      </c>
      <c r="F2866" s="558" t="s">
        <v>4048</v>
      </c>
      <c r="G2866" s="558" t="s">
        <v>3143</v>
      </c>
      <c r="H2866" s="558" t="s">
        <v>3402</v>
      </c>
      <c r="I2866" s="679" t="s">
        <v>2118</v>
      </c>
      <c r="J2866" s="676">
        <v>0</v>
      </c>
      <c r="K2866" s="676">
        <v>0</v>
      </c>
      <c r="M2866" t="str">
        <f>""</f>
        <v/>
      </c>
    </row>
    <row r="2867" spans="1:13" ht="15.75">
      <c r="A2867">
        <v>2020</v>
      </c>
      <c r="B2867" s="777">
        <v>44193</v>
      </c>
      <c r="C2867" s="730">
        <v>0.72986111111111107</v>
      </c>
      <c r="D2867" s="777">
        <v>44194</v>
      </c>
      <c r="E2867" s="730">
        <v>0.56319444444444444</v>
      </c>
      <c r="F2867" s="558" t="s">
        <v>3325</v>
      </c>
      <c r="G2867" s="558" t="s">
        <v>63</v>
      </c>
      <c r="H2867" s="558" t="s">
        <v>3356</v>
      </c>
      <c r="I2867" s="679" t="s">
        <v>100</v>
      </c>
      <c r="J2867" s="676">
        <v>0</v>
      </c>
      <c r="K2867" s="676">
        <v>0</v>
      </c>
      <c r="M2867" t="str">
        <f>""</f>
        <v/>
      </c>
    </row>
    <row r="2868" spans="1:13" ht="15.75">
      <c r="A2868">
        <v>2021</v>
      </c>
      <c r="B2868" s="777">
        <v>44197</v>
      </c>
      <c r="C2868" s="730">
        <v>0.29444444444444445</v>
      </c>
      <c r="D2868" s="777">
        <v>44197</v>
      </c>
      <c r="E2868" s="730">
        <v>0.2951388888888889</v>
      </c>
      <c r="F2868" s="558" t="s">
        <v>3967</v>
      </c>
      <c r="G2868" s="558" t="s">
        <v>124</v>
      </c>
      <c r="H2868" s="558" t="s">
        <v>3463</v>
      </c>
      <c r="I2868" s="679" t="s">
        <v>100</v>
      </c>
      <c r="J2868" s="676">
        <v>0</v>
      </c>
      <c r="K2868" s="676">
        <v>0</v>
      </c>
      <c r="M2868" t="str">
        <f>""</f>
        <v/>
      </c>
    </row>
    <row r="2869" spans="1:13" ht="15.75">
      <c r="A2869">
        <v>2021</v>
      </c>
      <c r="B2869" s="777">
        <v>44209</v>
      </c>
      <c r="C2869" s="730">
        <v>0.54513888888888884</v>
      </c>
      <c r="D2869" s="777">
        <v>44209</v>
      </c>
      <c r="E2869" s="730">
        <v>0.54583333333333328</v>
      </c>
      <c r="F2869" s="558" t="s">
        <v>4662</v>
      </c>
      <c r="G2869" s="558" t="s">
        <v>63</v>
      </c>
      <c r="H2869" s="558" t="s">
        <v>3356</v>
      </c>
      <c r="I2869" s="679" t="s">
        <v>100</v>
      </c>
      <c r="J2869" s="676">
        <v>0</v>
      </c>
      <c r="K2869" s="676">
        <v>0</v>
      </c>
      <c r="M2869" t="str">
        <f>""</f>
        <v/>
      </c>
    </row>
    <row r="2870" spans="1:13" ht="15.75">
      <c r="A2870">
        <v>2021</v>
      </c>
      <c r="B2870" s="777">
        <v>44211</v>
      </c>
      <c r="C2870" s="730">
        <v>0.7416666666666667</v>
      </c>
      <c r="D2870" s="777">
        <v>44211</v>
      </c>
      <c r="E2870" s="730">
        <v>0.78819444444444442</v>
      </c>
      <c r="F2870" s="558" t="s">
        <v>2864</v>
      </c>
      <c r="G2870" s="558" t="s">
        <v>63</v>
      </c>
      <c r="H2870" s="558" t="s">
        <v>3387</v>
      </c>
      <c r="I2870" s="679" t="s">
        <v>2764</v>
      </c>
      <c r="J2870" s="676">
        <v>0</v>
      </c>
      <c r="K2870" s="676">
        <v>0</v>
      </c>
      <c r="M2870" t="str">
        <f>""</f>
        <v/>
      </c>
    </row>
    <row r="2871" spans="1:13" ht="15.75">
      <c r="A2871">
        <v>2021</v>
      </c>
      <c r="B2871" s="777">
        <v>44214</v>
      </c>
      <c r="C2871" s="730">
        <v>0.58819444444444446</v>
      </c>
      <c r="D2871" s="777">
        <v>44214</v>
      </c>
      <c r="E2871" s="730">
        <v>0.61250000000000004</v>
      </c>
      <c r="F2871" s="558" t="s">
        <v>4664</v>
      </c>
      <c r="G2871" s="558" t="s">
        <v>61</v>
      </c>
      <c r="H2871" s="558" t="s">
        <v>3387</v>
      </c>
      <c r="I2871" s="679" t="s">
        <v>2764</v>
      </c>
      <c r="J2871" s="676">
        <v>0</v>
      </c>
      <c r="K2871" s="676">
        <v>0</v>
      </c>
      <c r="M2871" t="str">
        <f>""</f>
        <v/>
      </c>
    </row>
    <row r="2872" spans="1:13" ht="15.75">
      <c r="A2872">
        <v>2021</v>
      </c>
      <c r="B2872" s="777">
        <v>44217</v>
      </c>
      <c r="C2872" s="730">
        <v>0</v>
      </c>
      <c r="D2872" s="777">
        <v>44230</v>
      </c>
      <c r="E2872" s="730">
        <v>0.70486111111111116</v>
      </c>
      <c r="F2872" s="558" t="s">
        <v>4673</v>
      </c>
      <c r="G2872" s="558" t="s">
        <v>1352</v>
      </c>
      <c r="H2872" s="558" t="s">
        <v>3356</v>
      </c>
      <c r="I2872" s="679" t="s">
        <v>100</v>
      </c>
      <c r="J2872" s="676">
        <v>0</v>
      </c>
      <c r="K2872" s="676">
        <v>0</v>
      </c>
      <c r="M2872" t="str">
        <f>""</f>
        <v/>
      </c>
    </row>
    <row r="2873" spans="1:13" ht="15.75">
      <c r="A2873">
        <v>2021</v>
      </c>
      <c r="B2873" s="777">
        <v>44219</v>
      </c>
      <c r="C2873" s="730">
        <v>0.32291666666666669</v>
      </c>
      <c r="D2873" s="777">
        <v>44219</v>
      </c>
      <c r="E2873" s="730">
        <v>0.33333333333333331</v>
      </c>
      <c r="F2873" s="558" t="s">
        <v>4226</v>
      </c>
      <c r="G2873" s="558" t="s">
        <v>124</v>
      </c>
      <c r="H2873" s="558" t="s">
        <v>3402</v>
      </c>
      <c r="I2873" s="679" t="s">
        <v>2118</v>
      </c>
      <c r="J2873" s="676">
        <v>45</v>
      </c>
      <c r="K2873" s="676">
        <v>0</v>
      </c>
      <c r="M2873" t="str">
        <f>""</f>
        <v/>
      </c>
    </row>
    <row r="2874" spans="1:13" ht="15.75">
      <c r="A2874">
        <v>2021</v>
      </c>
      <c r="B2874" s="777">
        <v>44223</v>
      </c>
      <c r="C2874" s="730">
        <v>0.52083333333333337</v>
      </c>
      <c r="D2874" s="777">
        <v>44223</v>
      </c>
      <c r="E2874" s="730">
        <v>0.6791666666666667</v>
      </c>
      <c r="F2874" s="558" t="s">
        <v>4682</v>
      </c>
      <c r="G2874" s="558" t="s">
        <v>61</v>
      </c>
      <c r="H2874" s="558" t="s">
        <v>3356</v>
      </c>
      <c r="I2874" s="679" t="s">
        <v>100</v>
      </c>
      <c r="J2874" s="676">
        <v>0</v>
      </c>
      <c r="K2874" s="676">
        <v>0</v>
      </c>
      <c r="M2874" t="str">
        <f>""</f>
        <v/>
      </c>
    </row>
    <row r="2875" spans="1:13" ht="15.75">
      <c r="A2875">
        <v>2021</v>
      </c>
      <c r="B2875" s="777">
        <v>44224</v>
      </c>
      <c r="C2875" s="730">
        <v>0.42708333333333331</v>
      </c>
      <c r="D2875" s="777">
        <v>44224</v>
      </c>
      <c r="E2875" s="730">
        <v>0.69861111111111107</v>
      </c>
      <c r="F2875" s="558" t="s">
        <v>4682</v>
      </c>
      <c r="G2875" s="558" t="s">
        <v>61</v>
      </c>
      <c r="H2875" s="558" t="s">
        <v>3356</v>
      </c>
      <c r="I2875" s="679" t="s">
        <v>100</v>
      </c>
      <c r="J2875" s="676">
        <v>0</v>
      </c>
      <c r="K2875" s="676">
        <v>0</v>
      </c>
      <c r="M2875" t="str">
        <f>""</f>
        <v/>
      </c>
    </row>
    <row r="2876" spans="1:13" ht="15.75">
      <c r="A2876">
        <v>2021</v>
      </c>
      <c r="B2876" s="777">
        <v>44232</v>
      </c>
      <c r="C2876" s="730">
        <v>0.40486111111111112</v>
      </c>
      <c r="D2876" s="777">
        <v>44232</v>
      </c>
      <c r="E2876" s="730">
        <v>0.47152777777777777</v>
      </c>
      <c r="F2876" s="558" t="s">
        <v>4692</v>
      </c>
      <c r="G2876" s="558" t="s">
        <v>63</v>
      </c>
      <c r="H2876" s="558" t="s">
        <v>3356</v>
      </c>
      <c r="I2876" s="679" t="s">
        <v>100</v>
      </c>
      <c r="J2876" s="676">
        <v>0</v>
      </c>
      <c r="K2876" s="676">
        <v>0</v>
      </c>
      <c r="M2876" t="str">
        <f>""</f>
        <v/>
      </c>
    </row>
    <row r="2877" spans="1:13" ht="15.75">
      <c r="A2877">
        <v>2021</v>
      </c>
      <c r="B2877" s="777">
        <v>44233</v>
      </c>
      <c r="C2877" s="730">
        <v>0.28472222222222221</v>
      </c>
      <c r="D2877" s="777">
        <v>44233</v>
      </c>
      <c r="E2877" s="730">
        <v>0.61319444444444449</v>
      </c>
      <c r="F2877" s="558" t="s">
        <v>4048</v>
      </c>
      <c r="G2877" s="558" t="s">
        <v>3143</v>
      </c>
      <c r="H2877" s="558" t="s">
        <v>3411</v>
      </c>
      <c r="I2877" s="679" t="s">
        <v>2483</v>
      </c>
      <c r="J2877" s="676">
        <v>0</v>
      </c>
      <c r="K2877" s="676">
        <v>0</v>
      </c>
      <c r="M2877" t="str">
        <f>""</f>
        <v/>
      </c>
    </row>
    <row r="2878" spans="1:13" ht="15.75">
      <c r="A2878">
        <v>2021</v>
      </c>
      <c r="B2878" s="777">
        <v>44234</v>
      </c>
      <c r="C2878" s="730">
        <v>0.28958333333333336</v>
      </c>
      <c r="D2878" s="777">
        <v>44234</v>
      </c>
      <c r="E2878" s="730">
        <v>0.31527777777777777</v>
      </c>
      <c r="F2878" s="558" t="s">
        <v>4185</v>
      </c>
      <c r="G2878" s="558" t="s">
        <v>1352</v>
      </c>
      <c r="H2878" s="558" t="s">
        <v>3402</v>
      </c>
      <c r="I2878" s="679" t="s">
        <v>2118</v>
      </c>
      <c r="J2878" s="676">
        <v>0</v>
      </c>
      <c r="K2878" s="676">
        <v>0</v>
      </c>
      <c r="M2878" t="str">
        <f>""</f>
        <v/>
      </c>
    </row>
    <row r="2879" spans="1:13" ht="15.75">
      <c r="A2879">
        <v>2021</v>
      </c>
      <c r="B2879" s="777">
        <v>44235</v>
      </c>
      <c r="C2879" s="730">
        <v>0.29444444444444445</v>
      </c>
      <c r="D2879" s="777">
        <v>44235</v>
      </c>
      <c r="E2879" s="730">
        <v>0.59027777777777779</v>
      </c>
      <c r="F2879" s="558" t="s">
        <v>3378</v>
      </c>
      <c r="G2879" s="558" t="s">
        <v>674</v>
      </c>
      <c r="H2879" s="558" t="s">
        <v>3411</v>
      </c>
      <c r="I2879" s="679" t="s">
        <v>2483</v>
      </c>
      <c r="J2879" s="676">
        <v>0</v>
      </c>
      <c r="K2879" s="676">
        <v>0</v>
      </c>
      <c r="M2879" t="str">
        <f>""</f>
        <v/>
      </c>
    </row>
    <row r="2880" spans="1:13" ht="15.75">
      <c r="A2880">
        <v>2021</v>
      </c>
      <c r="B2880" s="777">
        <v>44235</v>
      </c>
      <c r="C2880" s="730">
        <v>0.7631944444444444</v>
      </c>
      <c r="D2880" s="777">
        <v>44235</v>
      </c>
      <c r="E2880" s="730">
        <v>0.77013888888888893</v>
      </c>
      <c r="F2880" s="558" t="s">
        <v>4682</v>
      </c>
      <c r="G2880" s="558" t="s">
        <v>61</v>
      </c>
      <c r="H2880" s="558" t="s">
        <v>3447</v>
      </c>
      <c r="I2880" s="679" t="s">
        <v>2764</v>
      </c>
      <c r="J2880" s="676">
        <v>0</v>
      </c>
      <c r="K2880" s="676">
        <v>0</v>
      </c>
      <c r="M2880" t="str">
        <f>""</f>
        <v/>
      </c>
    </row>
    <row r="2881" spans="1:13" ht="15.75">
      <c r="A2881">
        <v>2021</v>
      </c>
      <c r="B2881" s="777">
        <v>44236</v>
      </c>
      <c r="C2881" s="730">
        <v>0.54166666666666663</v>
      </c>
      <c r="D2881" s="777">
        <v>44237</v>
      </c>
      <c r="E2881" s="730">
        <v>0.59791666666666665</v>
      </c>
      <c r="F2881" s="558" t="s">
        <v>3153</v>
      </c>
      <c r="G2881" s="558" t="s">
        <v>124</v>
      </c>
      <c r="H2881" s="558" t="s">
        <v>3356</v>
      </c>
      <c r="I2881" s="679" t="s">
        <v>100</v>
      </c>
      <c r="J2881" s="676">
        <v>0</v>
      </c>
      <c r="K2881" s="676">
        <v>0</v>
      </c>
      <c r="M2881" t="str">
        <f>""</f>
        <v/>
      </c>
    </row>
    <row r="2882" spans="1:13" ht="15.75">
      <c r="A2882">
        <v>2021</v>
      </c>
      <c r="B2882" s="777">
        <v>44236</v>
      </c>
      <c r="C2882" s="730">
        <v>0.45208333333333334</v>
      </c>
      <c r="D2882" s="777" t="s">
        <v>5873</v>
      </c>
      <c r="E2882" s="730" t="s">
        <v>5873</v>
      </c>
      <c r="F2882" s="558" t="s">
        <v>2928</v>
      </c>
      <c r="G2882" s="558" t="s">
        <v>63</v>
      </c>
      <c r="H2882" s="558" t="s">
        <v>3411</v>
      </c>
      <c r="I2882" s="679" t="s">
        <v>2483</v>
      </c>
      <c r="J2882" s="676">
        <v>0</v>
      </c>
      <c r="K2882" s="676">
        <v>0</v>
      </c>
      <c r="M2882" t="str">
        <f>""</f>
        <v/>
      </c>
    </row>
    <row r="2883" spans="1:13" ht="15.75">
      <c r="A2883">
        <v>2021</v>
      </c>
      <c r="B2883" s="777">
        <v>44238</v>
      </c>
      <c r="C2883" s="730">
        <v>0.80625000000000002</v>
      </c>
      <c r="D2883" s="777">
        <v>44238</v>
      </c>
      <c r="E2883" s="730">
        <v>0.88888888888888884</v>
      </c>
      <c r="F2883" s="558" t="s">
        <v>4702</v>
      </c>
      <c r="G2883" s="558" t="s">
        <v>124</v>
      </c>
      <c r="H2883" s="558" t="s">
        <v>3411</v>
      </c>
      <c r="I2883" s="679" t="s">
        <v>2483</v>
      </c>
      <c r="J2883" s="676">
        <v>0</v>
      </c>
      <c r="K2883" s="676">
        <v>0</v>
      </c>
      <c r="M2883" t="str">
        <f>""</f>
        <v/>
      </c>
    </row>
    <row r="2884" spans="1:13" ht="15.75">
      <c r="A2884">
        <v>2021</v>
      </c>
      <c r="B2884" s="777">
        <v>44238</v>
      </c>
      <c r="C2884" s="730">
        <v>0.54166666666666663</v>
      </c>
      <c r="D2884" s="777" t="s">
        <v>5873</v>
      </c>
      <c r="E2884" s="730" t="s">
        <v>5873</v>
      </c>
      <c r="F2884" s="558" t="s">
        <v>4703</v>
      </c>
      <c r="G2884" s="558" t="s">
        <v>674</v>
      </c>
      <c r="H2884" s="558" t="s">
        <v>3654</v>
      </c>
      <c r="I2884" s="679" t="s">
        <v>1138</v>
      </c>
      <c r="J2884" s="676">
        <v>0</v>
      </c>
      <c r="K2884" s="676">
        <v>0</v>
      </c>
      <c r="M2884" t="str">
        <f>""</f>
        <v/>
      </c>
    </row>
    <row r="2885" spans="1:13" ht="15.75">
      <c r="A2885">
        <v>2021</v>
      </c>
      <c r="B2885" s="777">
        <v>44241</v>
      </c>
      <c r="C2885" s="730">
        <v>0.85555555555555551</v>
      </c>
      <c r="D2885" s="777" t="s">
        <v>5873</v>
      </c>
      <c r="E2885" s="730" t="s">
        <v>5873</v>
      </c>
      <c r="F2885" s="558" t="s">
        <v>4724</v>
      </c>
      <c r="G2885" s="558" t="s">
        <v>674</v>
      </c>
      <c r="H2885" s="558" t="s">
        <v>3478</v>
      </c>
      <c r="I2885" s="679" t="s">
        <v>22</v>
      </c>
      <c r="J2885" s="676">
        <v>0</v>
      </c>
      <c r="K2885" s="676">
        <v>0</v>
      </c>
      <c r="M2885" t="str">
        <f>""</f>
        <v/>
      </c>
    </row>
    <row r="2886" spans="1:13" ht="15.75">
      <c r="A2886">
        <v>2021</v>
      </c>
      <c r="B2886" s="777">
        <v>44241</v>
      </c>
      <c r="C2886" s="730">
        <v>0.75</v>
      </c>
      <c r="D2886" s="777">
        <v>44243</v>
      </c>
      <c r="E2886" s="730">
        <v>0.91666666666666663</v>
      </c>
      <c r="F2886" s="558" t="s">
        <v>4726</v>
      </c>
      <c r="G2886" s="558" t="s">
        <v>63</v>
      </c>
      <c r="H2886" s="558" t="s">
        <v>3478</v>
      </c>
      <c r="I2886" s="679" t="s">
        <v>22</v>
      </c>
      <c r="J2886" s="676">
        <v>0</v>
      </c>
      <c r="K2886" s="676">
        <v>0</v>
      </c>
      <c r="M2886" t="str">
        <f>""</f>
        <v/>
      </c>
    </row>
    <row r="2887" spans="1:13" ht="15.75">
      <c r="A2887">
        <v>2021</v>
      </c>
      <c r="B2887" s="777">
        <v>44242</v>
      </c>
      <c r="C2887" s="730">
        <v>0.66666666666666663</v>
      </c>
      <c r="D2887" s="777">
        <v>44242</v>
      </c>
      <c r="E2887" s="730">
        <v>0.77361111111111114</v>
      </c>
      <c r="F2887" s="558" t="s">
        <v>3591</v>
      </c>
      <c r="G2887" s="558" t="s">
        <v>1352</v>
      </c>
      <c r="H2887" s="558" t="s">
        <v>3387</v>
      </c>
      <c r="I2887" s="679" t="s">
        <v>2764</v>
      </c>
      <c r="J2887" s="676">
        <v>0</v>
      </c>
      <c r="K2887" s="676">
        <v>0</v>
      </c>
      <c r="M2887" t="str">
        <f>""</f>
        <v/>
      </c>
    </row>
    <row r="2888" spans="1:13" ht="15.75">
      <c r="A2888">
        <v>2021</v>
      </c>
      <c r="B2888" s="777">
        <v>44242</v>
      </c>
      <c r="C2888" s="730">
        <v>0.29166666666666669</v>
      </c>
      <c r="D2888" s="777">
        <v>44245</v>
      </c>
      <c r="E2888" s="730">
        <v>0.375</v>
      </c>
      <c r="F2888" s="558" t="s">
        <v>3693</v>
      </c>
      <c r="G2888" s="558" t="s">
        <v>674</v>
      </c>
      <c r="H2888" s="558" t="s">
        <v>3654</v>
      </c>
      <c r="I2888" s="679" t="s">
        <v>1138</v>
      </c>
      <c r="J2888" s="676">
        <v>0</v>
      </c>
      <c r="K2888" s="676">
        <v>0</v>
      </c>
      <c r="M2888" t="str">
        <f>""</f>
        <v/>
      </c>
    </row>
    <row r="2889" spans="1:13" ht="15.75">
      <c r="A2889">
        <v>2021</v>
      </c>
      <c r="B2889" s="777">
        <v>44242</v>
      </c>
      <c r="C2889" s="730">
        <v>0.38194444444444442</v>
      </c>
      <c r="D2889" s="777" t="s">
        <v>5873</v>
      </c>
      <c r="E2889" s="730" t="s">
        <v>5873</v>
      </c>
      <c r="F2889" s="558" t="s">
        <v>4747</v>
      </c>
      <c r="G2889" s="558" t="s">
        <v>1352</v>
      </c>
      <c r="H2889" s="558" t="s">
        <v>3478</v>
      </c>
      <c r="I2889" s="679" t="s">
        <v>22</v>
      </c>
      <c r="J2889" s="676">
        <v>0</v>
      </c>
      <c r="K2889" s="676">
        <v>0</v>
      </c>
      <c r="M2889" t="str">
        <f>""</f>
        <v/>
      </c>
    </row>
    <row r="2890" spans="1:13" ht="15.75">
      <c r="A2890">
        <v>2021</v>
      </c>
      <c r="B2890" s="777">
        <v>44243</v>
      </c>
      <c r="C2890" s="730">
        <v>0.73958333333333337</v>
      </c>
      <c r="D2890" s="777">
        <v>44243</v>
      </c>
      <c r="E2890" s="730">
        <v>0.80208333333333337</v>
      </c>
      <c r="F2890" s="558" t="s">
        <v>3591</v>
      </c>
      <c r="G2890" s="558" t="s">
        <v>1352</v>
      </c>
      <c r="H2890" s="558" t="s">
        <v>3447</v>
      </c>
      <c r="I2890" s="679" t="s">
        <v>2764</v>
      </c>
      <c r="J2890" s="676">
        <v>0</v>
      </c>
      <c r="K2890" s="676">
        <v>0</v>
      </c>
      <c r="M2890" t="str">
        <f>""</f>
        <v/>
      </c>
    </row>
    <row r="2891" spans="1:13" ht="15.75">
      <c r="A2891">
        <v>2021</v>
      </c>
      <c r="B2891" s="777">
        <v>44243</v>
      </c>
      <c r="C2891" s="730">
        <v>0.97777777777777775</v>
      </c>
      <c r="D2891" s="777" t="s">
        <v>5873</v>
      </c>
      <c r="E2891" s="730" t="s">
        <v>5873</v>
      </c>
      <c r="F2891" s="558" t="s">
        <v>2919</v>
      </c>
      <c r="G2891" s="558" t="s">
        <v>1352</v>
      </c>
      <c r="H2891" s="558" t="s">
        <v>3447</v>
      </c>
      <c r="I2891" s="679" t="s">
        <v>2764</v>
      </c>
      <c r="J2891" s="676">
        <v>0</v>
      </c>
      <c r="K2891" s="676">
        <v>0</v>
      </c>
      <c r="M2891" t="str">
        <f>""</f>
        <v/>
      </c>
    </row>
    <row r="2892" spans="1:13" ht="15.75">
      <c r="A2892">
        <v>2021</v>
      </c>
      <c r="B2892" s="777">
        <v>44243</v>
      </c>
      <c r="C2892" s="730">
        <v>0.43055555555555558</v>
      </c>
      <c r="D2892" s="777">
        <v>44243</v>
      </c>
      <c r="E2892" s="730">
        <v>0.55555555555555558</v>
      </c>
      <c r="F2892" s="558" t="s">
        <v>2947</v>
      </c>
      <c r="G2892" s="558" t="s">
        <v>124</v>
      </c>
      <c r="H2892" s="558" t="s">
        <v>3447</v>
      </c>
      <c r="I2892" s="679" t="s">
        <v>2764</v>
      </c>
      <c r="J2892" s="676">
        <v>0</v>
      </c>
      <c r="K2892" s="676">
        <v>0</v>
      </c>
      <c r="M2892" t="str">
        <f>""</f>
        <v/>
      </c>
    </row>
    <row r="2893" spans="1:13" ht="15.75">
      <c r="A2893">
        <v>2021</v>
      </c>
      <c r="B2893" s="777">
        <v>44243</v>
      </c>
      <c r="C2893" s="730">
        <v>0.29166666666666669</v>
      </c>
      <c r="D2893" s="777" t="s">
        <v>5873</v>
      </c>
      <c r="E2893" s="730" t="s">
        <v>5873</v>
      </c>
      <c r="F2893" s="558" t="s">
        <v>4762</v>
      </c>
      <c r="G2893" s="558" t="s">
        <v>3143</v>
      </c>
      <c r="H2893" s="558" t="s">
        <v>3928</v>
      </c>
      <c r="I2893" s="679" t="s">
        <v>2952</v>
      </c>
      <c r="J2893" s="676" t="s">
        <v>5873</v>
      </c>
      <c r="K2893" s="676">
        <v>0</v>
      </c>
      <c r="M2893" t="str">
        <f>""</f>
        <v/>
      </c>
    </row>
    <row r="2894" spans="1:13" ht="15.75">
      <c r="A2894">
        <v>2021</v>
      </c>
      <c r="B2894" s="777">
        <v>44244</v>
      </c>
      <c r="C2894" s="730">
        <v>0.4375</v>
      </c>
      <c r="D2894" s="777">
        <v>44244</v>
      </c>
      <c r="E2894" s="730">
        <v>0.75277777777777777</v>
      </c>
      <c r="F2894" s="558" t="s">
        <v>2928</v>
      </c>
      <c r="G2894" s="558" t="s">
        <v>63</v>
      </c>
      <c r="H2894" s="558" t="s">
        <v>3411</v>
      </c>
      <c r="I2894" s="679" t="s">
        <v>2483</v>
      </c>
      <c r="J2894" s="676">
        <v>0</v>
      </c>
      <c r="K2894" s="676">
        <v>0</v>
      </c>
      <c r="M2894" t="str">
        <f>""</f>
        <v/>
      </c>
    </row>
    <row r="2895" spans="1:13" ht="15.75">
      <c r="A2895">
        <v>2021</v>
      </c>
      <c r="B2895" s="777">
        <v>44244</v>
      </c>
      <c r="C2895" s="730">
        <v>0.27638888888888891</v>
      </c>
      <c r="D2895" s="777">
        <v>44244</v>
      </c>
      <c r="E2895" s="730">
        <v>0.35902777777777778</v>
      </c>
      <c r="F2895" s="558" t="s">
        <v>3591</v>
      </c>
      <c r="G2895" s="558" t="s">
        <v>1352</v>
      </c>
      <c r="H2895" s="558" t="s">
        <v>3387</v>
      </c>
      <c r="I2895" s="679" t="s">
        <v>2764</v>
      </c>
      <c r="J2895" s="676">
        <v>0</v>
      </c>
      <c r="K2895" s="676">
        <v>0</v>
      </c>
      <c r="M2895" t="str">
        <f>""</f>
        <v/>
      </c>
    </row>
    <row r="2896" spans="1:13" ht="15.75">
      <c r="A2896">
        <v>2021</v>
      </c>
      <c r="B2896" s="777">
        <v>44246</v>
      </c>
      <c r="C2896" s="730">
        <v>0.875</v>
      </c>
      <c r="D2896" s="777">
        <v>44247</v>
      </c>
      <c r="E2896" s="730">
        <v>0.54166666666666663</v>
      </c>
      <c r="F2896" s="558" t="s">
        <v>2919</v>
      </c>
      <c r="G2896" s="558" t="s">
        <v>1352</v>
      </c>
      <c r="H2896" s="558" t="s">
        <v>3696</v>
      </c>
      <c r="I2896" s="679" t="s">
        <v>2952</v>
      </c>
      <c r="J2896" s="676" t="s">
        <v>5873</v>
      </c>
      <c r="K2896" s="676">
        <v>0</v>
      </c>
      <c r="M2896" t="str">
        <f>""</f>
        <v/>
      </c>
    </row>
    <row r="2897" spans="1:13" ht="15.75">
      <c r="A2897">
        <v>2021</v>
      </c>
      <c r="B2897" s="777">
        <v>44246</v>
      </c>
      <c r="C2897" s="730">
        <v>0.50069444444444444</v>
      </c>
      <c r="D2897" s="777">
        <v>44246</v>
      </c>
      <c r="E2897" s="730">
        <v>0.52847222222222223</v>
      </c>
      <c r="F2897" s="558" t="s">
        <v>3719</v>
      </c>
      <c r="G2897" s="558" t="s">
        <v>61</v>
      </c>
      <c r="H2897" s="558" t="s">
        <v>3387</v>
      </c>
      <c r="I2897" s="679" t="s">
        <v>2764</v>
      </c>
      <c r="J2897" s="676">
        <v>0</v>
      </c>
      <c r="K2897" s="676">
        <v>0</v>
      </c>
      <c r="M2897" t="str">
        <f>""</f>
        <v/>
      </c>
    </row>
    <row r="2898" spans="1:13" ht="15.75">
      <c r="A2898">
        <v>2021</v>
      </c>
      <c r="B2898" s="777">
        <v>44254</v>
      </c>
      <c r="C2898" s="730">
        <v>0.25138888888888888</v>
      </c>
      <c r="D2898" s="777">
        <v>44254</v>
      </c>
      <c r="E2898" s="730">
        <v>0.41041666666666665</v>
      </c>
      <c r="F2898" s="558" t="s">
        <v>4766</v>
      </c>
      <c r="G2898" s="558" t="s">
        <v>124</v>
      </c>
      <c r="H2898" s="558" t="s">
        <v>3447</v>
      </c>
      <c r="I2898" s="679" t="s">
        <v>2764</v>
      </c>
      <c r="J2898" s="676" t="s">
        <v>5873</v>
      </c>
      <c r="K2898" s="676">
        <v>0</v>
      </c>
      <c r="M2898" t="str">
        <f>""</f>
        <v/>
      </c>
    </row>
    <row r="2899" spans="1:13" ht="15.75">
      <c r="A2899">
        <v>2021</v>
      </c>
      <c r="B2899" s="777">
        <v>44255</v>
      </c>
      <c r="C2899" s="730">
        <v>0.52916666666666667</v>
      </c>
      <c r="D2899" s="777">
        <v>44255</v>
      </c>
      <c r="E2899" s="730">
        <v>0.55694444444444446</v>
      </c>
      <c r="F2899" s="558" t="s">
        <v>2919</v>
      </c>
      <c r="G2899" s="558" t="s">
        <v>1352</v>
      </c>
      <c r="H2899" s="558" t="s">
        <v>3387</v>
      </c>
      <c r="I2899" s="679" t="s">
        <v>2764</v>
      </c>
      <c r="J2899" s="676">
        <v>0</v>
      </c>
      <c r="K2899" s="676">
        <v>0</v>
      </c>
      <c r="M2899" t="str">
        <f>""</f>
        <v/>
      </c>
    </row>
    <row r="2900" spans="1:13" ht="15.75">
      <c r="A2900">
        <v>2021</v>
      </c>
      <c r="B2900" s="777">
        <v>44256</v>
      </c>
      <c r="C2900" s="730">
        <v>0.42083333333333334</v>
      </c>
      <c r="D2900" s="777">
        <v>44264</v>
      </c>
      <c r="E2900" s="730">
        <v>0.5</v>
      </c>
      <c r="F2900" s="558" t="s">
        <v>4770</v>
      </c>
      <c r="G2900" s="558" t="s">
        <v>61</v>
      </c>
      <c r="H2900" s="558" t="s">
        <v>3928</v>
      </c>
      <c r="I2900" s="679" t="s">
        <v>2952</v>
      </c>
      <c r="J2900" s="676">
        <v>0</v>
      </c>
      <c r="K2900" s="676">
        <v>0</v>
      </c>
      <c r="M2900" t="str">
        <f>""</f>
        <v/>
      </c>
    </row>
    <row r="2901" spans="1:13" ht="15.75">
      <c r="A2901">
        <v>2021</v>
      </c>
      <c r="B2901" s="777">
        <v>44256</v>
      </c>
      <c r="C2901" s="730">
        <v>0.54583333333333328</v>
      </c>
      <c r="D2901" s="777">
        <v>44256</v>
      </c>
      <c r="E2901" s="730">
        <v>0.54652777777777772</v>
      </c>
      <c r="F2901" s="558" t="s">
        <v>3639</v>
      </c>
      <c r="G2901" s="558" t="s">
        <v>1352</v>
      </c>
      <c r="H2901" s="558" t="s">
        <v>3356</v>
      </c>
      <c r="I2901" s="679" t="s">
        <v>100</v>
      </c>
      <c r="J2901" s="676">
        <v>0</v>
      </c>
      <c r="K2901" s="676">
        <v>0</v>
      </c>
      <c r="M2901" t="str">
        <f>""</f>
        <v/>
      </c>
    </row>
    <row r="2902" spans="1:13" ht="15.75">
      <c r="A2902">
        <v>2021</v>
      </c>
      <c r="B2902" s="777">
        <v>44257</v>
      </c>
      <c r="C2902" s="730">
        <v>0.54374999999999996</v>
      </c>
      <c r="D2902" s="777">
        <v>44257</v>
      </c>
      <c r="E2902" s="730">
        <v>0.56805555555555554</v>
      </c>
      <c r="F2902" s="558" t="s">
        <v>3354</v>
      </c>
      <c r="G2902" s="558" t="s">
        <v>63</v>
      </c>
      <c r="H2902" s="558" t="s">
        <v>3387</v>
      </c>
      <c r="I2902" s="679" t="s">
        <v>2764</v>
      </c>
      <c r="J2902" s="676">
        <v>0</v>
      </c>
      <c r="K2902" s="676">
        <v>0</v>
      </c>
      <c r="M2902" t="str">
        <f>""</f>
        <v/>
      </c>
    </row>
    <row r="2903" spans="1:13" ht="15.75">
      <c r="A2903">
        <v>2021</v>
      </c>
      <c r="B2903" s="777">
        <v>44260</v>
      </c>
      <c r="C2903" s="730">
        <v>0.60416666666666663</v>
      </c>
      <c r="D2903" s="777">
        <v>44260</v>
      </c>
      <c r="E2903" s="730">
        <v>0.625</v>
      </c>
      <c r="F2903" s="558" t="s">
        <v>4774</v>
      </c>
      <c r="G2903" s="558" t="s">
        <v>3143</v>
      </c>
      <c r="H2903" s="558" t="s">
        <v>3387</v>
      </c>
      <c r="I2903" s="679" t="s">
        <v>2764</v>
      </c>
      <c r="J2903" s="676">
        <v>0</v>
      </c>
      <c r="K2903" s="676">
        <v>0</v>
      </c>
      <c r="M2903" t="str">
        <f>""</f>
        <v/>
      </c>
    </row>
    <row r="2904" spans="1:13" ht="15.75">
      <c r="A2904">
        <v>2021</v>
      </c>
      <c r="B2904" s="777">
        <v>44263</v>
      </c>
      <c r="C2904" s="730">
        <v>0.19166666666666668</v>
      </c>
      <c r="D2904" s="777">
        <v>44263</v>
      </c>
      <c r="E2904" s="730">
        <v>0.19236111111111112</v>
      </c>
      <c r="F2904" s="558" t="s">
        <v>4779</v>
      </c>
      <c r="G2904" s="558" t="s">
        <v>124</v>
      </c>
      <c r="H2904" s="558" t="s">
        <v>3356</v>
      </c>
      <c r="I2904" s="679" t="s">
        <v>100</v>
      </c>
      <c r="J2904" s="676">
        <v>0</v>
      </c>
      <c r="K2904" s="676">
        <v>0</v>
      </c>
      <c r="M2904" t="str">
        <f>""</f>
        <v/>
      </c>
    </row>
    <row r="2905" spans="1:13" ht="15.75">
      <c r="A2905">
        <v>2021</v>
      </c>
      <c r="B2905" s="777">
        <v>44263</v>
      </c>
      <c r="C2905" s="730">
        <v>0.37083333333333335</v>
      </c>
      <c r="D2905" s="777">
        <v>44263</v>
      </c>
      <c r="E2905" s="730">
        <v>0.37152777777777779</v>
      </c>
      <c r="F2905" s="558" t="s">
        <v>2947</v>
      </c>
      <c r="G2905" s="558" t="s">
        <v>124</v>
      </c>
      <c r="H2905" s="558" t="s">
        <v>3402</v>
      </c>
      <c r="I2905" s="679" t="s">
        <v>2118</v>
      </c>
      <c r="J2905" s="676">
        <v>0</v>
      </c>
      <c r="K2905" s="676">
        <v>0</v>
      </c>
      <c r="M2905" t="str">
        <f>""</f>
        <v/>
      </c>
    </row>
    <row r="2906" spans="1:13" ht="15.75">
      <c r="A2906">
        <v>2021</v>
      </c>
      <c r="B2906" s="777">
        <v>44266</v>
      </c>
      <c r="C2906" s="730">
        <v>0.34027777777777779</v>
      </c>
      <c r="D2906" s="777">
        <v>44266</v>
      </c>
      <c r="E2906" s="730">
        <v>0.54166666666666663</v>
      </c>
      <c r="F2906" s="558" t="s">
        <v>2853</v>
      </c>
      <c r="G2906" s="558" t="s">
        <v>124</v>
      </c>
      <c r="H2906" s="558" t="s">
        <v>3356</v>
      </c>
      <c r="I2906" s="679" t="s">
        <v>100</v>
      </c>
      <c r="J2906" s="676">
        <v>0</v>
      </c>
      <c r="K2906" s="676">
        <v>0</v>
      </c>
      <c r="M2906" t="str">
        <f>""</f>
        <v/>
      </c>
    </row>
    <row r="2907" spans="1:13" ht="15.75">
      <c r="A2907">
        <v>2021</v>
      </c>
      <c r="B2907" s="777">
        <v>44274</v>
      </c>
      <c r="C2907" s="730">
        <v>0.37430555555555556</v>
      </c>
      <c r="D2907" s="777">
        <v>44274</v>
      </c>
      <c r="E2907" s="730">
        <v>0.41944444444444445</v>
      </c>
      <c r="F2907" s="558" t="s">
        <v>2959</v>
      </c>
      <c r="G2907" s="558" t="s">
        <v>61</v>
      </c>
      <c r="H2907" s="558" t="s">
        <v>3387</v>
      </c>
      <c r="I2907" s="679" t="s">
        <v>2764</v>
      </c>
      <c r="J2907" s="676">
        <v>0</v>
      </c>
      <c r="K2907" s="676">
        <v>0</v>
      </c>
      <c r="M2907" t="str">
        <f>""</f>
        <v/>
      </c>
    </row>
    <row r="2908" spans="1:13" ht="15.75">
      <c r="A2908">
        <v>2021</v>
      </c>
      <c r="B2908" s="777">
        <v>44276</v>
      </c>
      <c r="C2908" s="730">
        <v>0.1673611111111111</v>
      </c>
      <c r="D2908" s="777">
        <v>44277</v>
      </c>
      <c r="E2908" s="730">
        <v>0.40069444444444446</v>
      </c>
      <c r="F2908" s="558" t="s">
        <v>4269</v>
      </c>
      <c r="G2908" s="558" t="s">
        <v>674</v>
      </c>
      <c r="H2908" s="558" t="s">
        <v>3402</v>
      </c>
      <c r="I2908" s="679" t="s">
        <v>2118</v>
      </c>
      <c r="J2908" s="676">
        <v>0</v>
      </c>
      <c r="K2908" s="676">
        <v>0</v>
      </c>
      <c r="M2908" t="str">
        <f>""</f>
        <v/>
      </c>
    </row>
    <row r="2909" spans="1:13" ht="15.75">
      <c r="A2909">
        <v>2021</v>
      </c>
      <c r="B2909" s="777">
        <v>44284</v>
      </c>
      <c r="C2909" s="730">
        <v>0.4375</v>
      </c>
      <c r="D2909" s="777" t="s">
        <v>5873</v>
      </c>
      <c r="E2909" s="730" t="s">
        <v>5873</v>
      </c>
      <c r="F2909" s="558" t="s">
        <v>4796</v>
      </c>
      <c r="G2909" s="558" t="s">
        <v>124</v>
      </c>
      <c r="H2909" s="558" t="s">
        <v>3356</v>
      </c>
      <c r="I2909" s="679" t="s">
        <v>100</v>
      </c>
      <c r="J2909" s="676" t="s">
        <v>5873</v>
      </c>
      <c r="K2909" s="676">
        <v>0</v>
      </c>
      <c r="M2909" t="str">
        <f>""</f>
        <v/>
      </c>
    </row>
    <row r="2910" spans="1:13" ht="15.75">
      <c r="A2910">
        <v>2021</v>
      </c>
      <c r="B2910" s="777">
        <v>44285</v>
      </c>
      <c r="C2910" s="730">
        <v>0.6791666666666667</v>
      </c>
      <c r="D2910" s="777">
        <v>44285</v>
      </c>
      <c r="E2910" s="730">
        <v>0.84791666666666665</v>
      </c>
      <c r="F2910" s="558" t="s">
        <v>4798</v>
      </c>
      <c r="G2910" s="558" t="s">
        <v>1352</v>
      </c>
      <c r="H2910" s="558" t="s">
        <v>3411</v>
      </c>
      <c r="I2910" s="679" t="s">
        <v>2483</v>
      </c>
      <c r="J2910" s="676">
        <v>0</v>
      </c>
      <c r="K2910" s="676">
        <v>0</v>
      </c>
      <c r="M2910" t="str">
        <f>""</f>
        <v/>
      </c>
    </row>
    <row r="2911" spans="1:13" ht="15.75">
      <c r="A2911">
        <v>2021</v>
      </c>
      <c r="B2911" s="777">
        <v>44292</v>
      </c>
      <c r="C2911" s="730">
        <v>0.36736111111111114</v>
      </c>
      <c r="D2911" s="777">
        <v>44292</v>
      </c>
      <c r="E2911" s="730">
        <v>0.36805555555555558</v>
      </c>
      <c r="F2911" s="558" t="s">
        <v>3182</v>
      </c>
      <c r="G2911" s="558" t="s">
        <v>63</v>
      </c>
      <c r="H2911" s="558" t="s">
        <v>3463</v>
      </c>
      <c r="I2911" s="679" t="s">
        <v>100</v>
      </c>
      <c r="J2911" s="676">
        <v>0</v>
      </c>
      <c r="K2911" s="676">
        <v>0</v>
      </c>
      <c r="M2911" t="str">
        <f>""</f>
        <v/>
      </c>
    </row>
    <row r="2912" spans="1:13" ht="15.75">
      <c r="A2912">
        <v>2021</v>
      </c>
      <c r="B2912" s="777">
        <v>44293</v>
      </c>
      <c r="C2912" s="730">
        <v>0.73750000000000004</v>
      </c>
      <c r="D2912" s="777">
        <v>44293</v>
      </c>
      <c r="E2912" s="730">
        <v>0.92291666666666672</v>
      </c>
      <c r="F2912" s="558" t="s">
        <v>4801</v>
      </c>
      <c r="G2912" s="558" t="s">
        <v>3143</v>
      </c>
      <c r="H2912" s="558" t="s">
        <v>3402</v>
      </c>
      <c r="I2912" s="679" t="s">
        <v>2118</v>
      </c>
      <c r="J2912" s="676">
        <v>0</v>
      </c>
      <c r="K2912" s="676">
        <v>0</v>
      </c>
      <c r="M2912" t="str">
        <f>""</f>
        <v/>
      </c>
    </row>
    <row r="2913" spans="1:13" ht="15.75">
      <c r="A2913">
        <v>2021</v>
      </c>
      <c r="B2913" s="777">
        <v>44293</v>
      </c>
      <c r="C2913" s="730">
        <v>0.42916666666666664</v>
      </c>
      <c r="D2913" s="777">
        <v>44293</v>
      </c>
      <c r="E2913" s="730">
        <v>0.47222222222222221</v>
      </c>
      <c r="F2913" s="558" t="s">
        <v>2919</v>
      </c>
      <c r="G2913" s="558" t="s">
        <v>1352</v>
      </c>
      <c r="H2913" s="558" t="s">
        <v>3387</v>
      </c>
      <c r="I2913" s="679" t="s">
        <v>2764</v>
      </c>
      <c r="J2913" s="676">
        <v>0</v>
      </c>
      <c r="K2913" s="676">
        <v>0</v>
      </c>
      <c r="M2913" t="str">
        <f>""</f>
        <v/>
      </c>
    </row>
    <row r="2914" spans="1:13" ht="15.75">
      <c r="A2914">
        <v>2021</v>
      </c>
      <c r="B2914" s="777">
        <v>44294</v>
      </c>
      <c r="C2914" s="730">
        <v>0.20208333333333334</v>
      </c>
      <c r="D2914" s="777">
        <v>44296</v>
      </c>
      <c r="E2914" s="730">
        <v>0.83333333333333337</v>
      </c>
      <c r="F2914" s="558" t="s">
        <v>2945</v>
      </c>
      <c r="G2914" s="558" t="s">
        <v>124</v>
      </c>
      <c r="H2914" s="558" t="s">
        <v>3402</v>
      </c>
      <c r="I2914" s="679" t="s">
        <v>2118</v>
      </c>
      <c r="J2914" s="676">
        <v>0</v>
      </c>
      <c r="K2914" s="676">
        <v>0</v>
      </c>
      <c r="M2914" t="str">
        <f>""</f>
        <v/>
      </c>
    </row>
    <row r="2915" spans="1:13" ht="15.75">
      <c r="A2915">
        <v>2021</v>
      </c>
      <c r="B2915" s="777">
        <v>44295</v>
      </c>
      <c r="C2915" s="730">
        <v>0.55555555555555558</v>
      </c>
      <c r="D2915" s="777">
        <v>44296</v>
      </c>
      <c r="E2915" s="730">
        <v>2.7777777777777776E-2</v>
      </c>
      <c r="F2915" s="558" t="s">
        <v>4448</v>
      </c>
      <c r="G2915" s="558" t="s">
        <v>1352</v>
      </c>
      <c r="H2915" s="558" t="s">
        <v>3356</v>
      </c>
      <c r="I2915" s="679" t="s">
        <v>100</v>
      </c>
      <c r="J2915" s="676">
        <v>0</v>
      </c>
      <c r="K2915" s="676">
        <v>0</v>
      </c>
      <c r="M2915" t="str">
        <f>""</f>
        <v/>
      </c>
    </row>
    <row r="2916" spans="1:13" ht="15.75">
      <c r="A2916">
        <v>2021</v>
      </c>
      <c r="B2916" s="777">
        <v>44298</v>
      </c>
      <c r="C2916" s="730">
        <v>3.0555555555555555E-2</v>
      </c>
      <c r="D2916" s="777">
        <v>44298</v>
      </c>
      <c r="E2916" s="730">
        <v>0.73958333333333337</v>
      </c>
      <c r="F2916" s="558" t="s">
        <v>3645</v>
      </c>
      <c r="G2916" s="558" t="s">
        <v>124</v>
      </c>
      <c r="H2916" s="558" t="s">
        <v>3356</v>
      </c>
      <c r="I2916" s="679" t="s">
        <v>2293</v>
      </c>
      <c r="J2916" s="676">
        <v>0</v>
      </c>
      <c r="K2916" s="676">
        <v>0</v>
      </c>
      <c r="M2916" t="str">
        <f>""</f>
        <v/>
      </c>
    </row>
    <row r="2917" spans="1:13" ht="15.75">
      <c r="A2917">
        <v>2021</v>
      </c>
      <c r="B2917" s="777">
        <v>44299</v>
      </c>
      <c r="C2917" s="730">
        <v>0.375</v>
      </c>
      <c r="D2917" s="777">
        <v>44299</v>
      </c>
      <c r="E2917" s="730">
        <v>0.41666666666666669</v>
      </c>
      <c r="F2917" s="558" t="s">
        <v>4185</v>
      </c>
      <c r="G2917" s="558" t="s">
        <v>1352</v>
      </c>
      <c r="H2917" s="558" t="s">
        <v>3402</v>
      </c>
      <c r="I2917" s="679" t="s">
        <v>2118</v>
      </c>
      <c r="J2917" s="676">
        <v>0</v>
      </c>
      <c r="K2917" s="676">
        <v>0</v>
      </c>
      <c r="M2917" t="str">
        <f>""</f>
        <v/>
      </c>
    </row>
    <row r="2918" spans="1:13" ht="15.75">
      <c r="A2918">
        <v>2021</v>
      </c>
      <c r="B2918" s="777">
        <v>44299</v>
      </c>
      <c r="C2918" s="730">
        <v>0.7006944444444444</v>
      </c>
      <c r="D2918" s="777">
        <v>44299</v>
      </c>
      <c r="E2918" s="730">
        <v>0.85416666666666663</v>
      </c>
      <c r="F2918" s="558" t="s">
        <v>2919</v>
      </c>
      <c r="G2918" s="558" t="s">
        <v>1352</v>
      </c>
      <c r="H2918" s="558" t="s">
        <v>3478</v>
      </c>
      <c r="I2918" s="679" t="s">
        <v>22</v>
      </c>
      <c r="J2918" s="676">
        <v>0</v>
      </c>
      <c r="K2918" s="676">
        <v>0</v>
      </c>
      <c r="M2918" t="str">
        <f>""</f>
        <v/>
      </c>
    </row>
    <row r="2919" spans="1:13" ht="15.75">
      <c r="A2919">
        <v>2021</v>
      </c>
      <c r="B2919" s="777">
        <v>44299</v>
      </c>
      <c r="C2919" s="730">
        <v>2.5694444444444443E-2</v>
      </c>
      <c r="D2919" s="777">
        <v>44299</v>
      </c>
      <c r="E2919" s="730">
        <v>0.17986111111111111</v>
      </c>
      <c r="F2919" s="558" t="s">
        <v>4807</v>
      </c>
      <c r="G2919" s="558" t="s">
        <v>674</v>
      </c>
      <c r="H2919" s="558" t="s">
        <v>3387</v>
      </c>
      <c r="I2919" s="679" t="s">
        <v>2764</v>
      </c>
      <c r="J2919" s="676">
        <v>0</v>
      </c>
      <c r="K2919" s="676">
        <v>0</v>
      </c>
      <c r="M2919" t="str">
        <f>""</f>
        <v/>
      </c>
    </row>
    <row r="2920" spans="1:13" ht="15.75">
      <c r="A2920">
        <v>2021</v>
      </c>
      <c r="B2920" s="777">
        <v>44300</v>
      </c>
      <c r="C2920" s="730">
        <v>0.42986111111111114</v>
      </c>
      <c r="D2920" s="777">
        <v>44300</v>
      </c>
      <c r="E2920" s="730">
        <v>0.48541666666666666</v>
      </c>
      <c r="F2920" s="558" t="s">
        <v>4809</v>
      </c>
      <c r="G2920" s="558" t="s">
        <v>3143</v>
      </c>
      <c r="H2920" s="558" t="s">
        <v>3387</v>
      </c>
      <c r="I2920" s="679" t="s">
        <v>2764</v>
      </c>
      <c r="J2920" s="676">
        <v>0</v>
      </c>
      <c r="K2920" s="676">
        <v>0</v>
      </c>
      <c r="M2920" t="str">
        <f>""</f>
        <v/>
      </c>
    </row>
    <row r="2921" spans="1:13" ht="15.75">
      <c r="A2921">
        <v>2021</v>
      </c>
      <c r="B2921" s="777">
        <v>44307</v>
      </c>
      <c r="C2921" s="730">
        <v>0.85486111111111107</v>
      </c>
      <c r="D2921" s="777">
        <v>44307</v>
      </c>
      <c r="E2921" s="730">
        <v>0.89930555555555558</v>
      </c>
      <c r="F2921" s="558" t="s">
        <v>4811</v>
      </c>
      <c r="G2921" s="558" t="s">
        <v>674</v>
      </c>
      <c r="H2921" s="558" t="s">
        <v>3411</v>
      </c>
      <c r="I2921" s="679" t="s">
        <v>2483</v>
      </c>
      <c r="J2921" s="676">
        <v>0</v>
      </c>
      <c r="K2921" s="676">
        <v>0</v>
      </c>
      <c r="M2921" t="str">
        <f>""</f>
        <v/>
      </c>
    </row>
    <row r="2922" spans="1:13" ht="15.75">
      <c r="A2922">
        <v>2021</v>
      </c>
      <c r="B2922" s="777">
        <v>44307</v>
      </c>
      <c r="C2922" s="730">
        <v>0.55069444444444449</v>
      </c>
      <c r="D2922" s="777">
        <v>44307</v>
      </c>
      <c r="E2922" s="730">
        <v>0.59027777777777779</v>
      </c>
      <c r="F2922" s="558" t="s">
        <v>3591</v>
      </c>
      <c r="G2922" s="558" t="s">
        <v>1352</v>
      </c>
      <c r="H2922" s="558" t="s">
        <v>3387</v>
      </c>
      <c r="I2922" s="679" t="s">
        <v>2764</v>
      </c>
      <c r="J2922" s="676">
        <v>0</v>
      </c>
      <c r="K2922" s="676">
        <v>0</v>
      </c>
      <c r="M2922" t="str">
        <f>""</f>
        <v/>
      </c>
    </row>
    <row r="2923" spans="1:13" ht="15.75">
      <c r="A2923">
        <v>2021</v>
      </c>
      <c r="B2923" s="777">
        <v>44308</v>
      </c>
      <c r="C2923" s="730">
        <v>0.69652777777777775</v>
      </c>
      <c r="D2923" s="777">
        <v>44308</v>
      </c>
      <c r="E2923" s="730">
        <v>0.71805555555555556</v>
      </c>
      <c r="F2923" s="558" t="s">
        <v>3872</v>
      </c>
      <c r="G2923" s="558" t="s">
        <v>674</v>
      </c>
      <c r="H2923" s="558" t="s">
        <v>3387</v>
      </c>
      <c r="I2923" s="679" t="s">
        <v>2764</v>
      </c>
      <c r="J2923" s="676">
        <v>0</v>
      </c>
      <c r="K2923" s="676">
        <v>0</v>
      </c>
      <c r="M2923" t="str">
        <f>""</f>
        <v/>
      </c>
    </row>
    <row r="2924" spans="1:13" ht="15.75">
      <c r="A2924">
        <v>2021</v>
      </c>
      <c r="B2924" s="777">
        <v>44308</v>
      </c>
      <c r="C2924" s="730">
        <v>0.21875</v>
      </c>
      <c r="D2924" s="777" t="s">
        <v>5873</v>
      </c>
      <c r="E2924" s="730" t="s">
        <v>5873</v>
      </c>
      <c r="F2924" s="558" t="s">
        <v>2945</v>
      </c>
      <c r="G2924" s="558" t="s">
        <v>124</v>
      </c>
      <c r="H2924" s="558" t="s">
        <v>3654</v>
      </c>
      <c r="I2924" s="679" t="s">
        <v>1138</v>
      </c>
      <c r="J2924" s="676">
        <v>0</v>
      </c>
      <c r="K2924" s="676">
        <v>0</v>
      </c>
      <c r="M2924" t="str">
        <f>""</f>
        <v/>
      </c>
    </row>
    <row r="2925" spans="1:13" ht="15.75">
      <c r="A2925">
        <v>2021</v>
      </c>
      <c r="B2925" s="777">
        <v>44310</v>
      </c>
      <c r="C2925" s="730">
        <v>0.92222222222222228</v>
      </c>
      <c r="D2925" s="777">
        <v>44310</v>
      </c>
      <c r="E2925" s="730">
        <v>0.9868055555555556</v>
      </c>
      <c r="F2925" s="558" t="s">
        <v>4185</v>
      </c>
      <c r="G2925" s="558" t="s">
        <v>1352</v>
      </c>
      <c r="H2925" s="558" t="s">
        <v>3402</v>
      </c>
      <c r="I2925" s="679" t="s">
        <v>2118</v>
      </c>
      <c r="J2925" s="676">
        <v>0</v>
      </c>
      <c r="K2925" s="676">
        <v>0</v>
      </c>
      <c r="M2925" t="str">
        <f>""</f>
        <v/>
      </c>
    </row>
    <row r="2926" spans="1:13" ht="15.75">
      <c r="A2926">
        <v>2021</v>
      </c>
      <c r="B2926" s="777">
        <v>44311</v>
      </c>
      <c r="C2926" s="730">
        <v>0.34722222222222221</v>
      </c>
      <c r="D2926" s="777" t="s">
        <v>5873</v>
      </c>
      <c r="E2926" s="730" t="s">
        <v>5873</v>
      </c>
      <c r="F2926" s="558" t="s">
        <v>4241</v>
      </c>
      <c r="G2926" s="558" t="s">
        <v>63</v>
      </c>
      <c r="H2926" s="558" t="s">
        <v>3356</v>
      </c>
      <c r="I2926" s="679" t="s">
        <v>100</v>
      </c>
      <c r="J2926" s="676">
        <v>0</v>
      </c>
      <c r="K2926" s="676">
        <v>0</v>
      </c>
      <c r="M2926" t="str">
        <f>""</f>
        <v/>
      </c>
    </row>
    <row r="2927" spans="1:13" ht="15.75">
      <c r="A2927">
        <v>2021</v>
      </c>
      <c r="B2927" s="777">
        <v>44312</v>
      </c>
      <c r="C2927" s="730">
        <v>0.47083333333333333</v>
      </c>
      <c r="D2927" s="777">
        <v>44312</v>
      </c>
      <c r="E2927" s="730">
        <v>0.54166666666666663</v>
      </c>
      <c r="F2927" s="558" t="s">
        <v>4818</v>
      </c>
      <c r="G2927" s="558" t="s">
        <v>61</v>
      </c>
      <c r="H2927" s="558" t="s">
        <v>3387</v>
      </c>
      <c r="I2927" s="679" t="s">
        <v>2764</v>
      </c>
      <c r="J2927" s="676">
        <v>0</v>
      </c>
      <c r="K2927" s="676">
        <v>0</v>
      </c>
      <c r="M2927" t="str">
        <f>""</f>
        <v/>
      </c>
    </row>
    <row r="2928" spans="1:13" ht="15.75">
      <c r="A2928">
        <v>2021</v>
      </c>
      <c r="B2928" s="777">
        <v>44318</v>
      </c>
      <c r="C2928" s="730">
        <v>0.83194444444444449</v>
      </c>
      <c r="D2928" s="777">
        <v>44318</v>
      </c>
      <c r="E2928" s="730">
        <v>0.84861111111111109</v>
      </c>
      <c r="F2928" s="558" t="s">
        <v>4682</v>
      </c>
      <c r="G2928" s="558" t="s">
        <v>61</v>
      </c>
      <c r="H2928" s="558" t="s">
        <v>3447</v>
      </c>
      <c r="I2928" s="679" t="s">
        <v>2764</v>
      </c>
      <c r="J2928" s="676">
        <v>0</v>
      </c>
      <c r="K2928" s="676">
        <v>0</v>
      </c>
      <c r="M2928" t="str">
        <f>""</f>
        <v/>
      </c>
    </row>
    <row r="2929" spans="1:13" ht="15.75">
      <c r="A2929">
        <v>2021</v>
      </c>
      <c r="B2929" s="777">
        <v>44319</v>
      </c>
      <c r="C2929" s="730">
        <v>0.47291666666666665</v>
      </c>
      <c r="D2929" s="777">
        <v>44319</v>
      </c>
      <c r="E2929" s="730">
        <v>0.49513888888888891</v>
      </c>
      <c r="F2929" s="558" t="s">
        <v>3835</v>
      </c>
      <c r="G2929" s="558" t="s">
        <v>674</v>
      </c>
      <c r="H2929" s="558" t="s">
        <v>5881</v>
      </c>
      <c r="I2929" s="679" t="s">
        <v>2764</v>
      </c>
      <c r="J2929" s="676">
        <v>0</v>
      </c>
      <c r="K2929" s="676">
        <v>0</v>
      </c>
      <c r="M2929" t="str">
        <f>""</f>
        <v/>
      </c>
    </row>
    <row r="2930" spans="1:13" ht="15.75">
      <c r="A2930">
        <v>2021</v>
      </c>
      <c r="B2930" s="777">
        <v>44319</v>
      </c>
      <c r="C2930" s="730">
        <v>0.32777777777777778</v>
      </c>
      <c r="D2930" s="777">
        <v>44319</v>
      </c>
      <c r="E2930" s="730">
        <v>0.32847222222222222</v>
      </c>
      <c r="F2930" s="558" t="s">
        <v>3996</v>
      </c>
      <c r="G2930" s="558" t="s">
        <v>63</v>
      </c>
      <c r="H2930" s="558" t="s">
        <v>3402</v>
      </c>
      <c r="I2930" s="679" t="s">
        <v>2118</v>
      </c>
      <c r="J2930" s="676">
        <v>0</v>
      </c>
      <c r="K2930" s="676">
        <v>0</v>
      </c>
      <c r="M2930" t="str">
        <f>""</f>
        <v/>
      </c>
    </row>
    <row r="2931" spans="1:13" ht="15.75">
      <c r="A2931">
        <v>2021</v>
      </c>
      <c r="B2931" s="777">
        <v>44321</v>
      </c>
      <c r="C2931" s="730">
        <v>0.49305555555555558</v>
      </c>
      <c r="D2931" s="777">
        <v>44324</v>
      </c>
      <c r="E2931" s="730">
        <v>0.49305555555555558</v>
      </c>
      <c r="F2931" s="558" t="s">
        <v>4829</v>
      </c>
      <c r="G2931" s="558" t="s">
        <v>3143</v>
      </c>
      <c r="H2931" s="558" t="s">
        <v>3463</v>
      </c>
      <c r="I2931" s="679" t="s">
        <v>100</v>
      </c>
      <c r="J2931" s="676">
        <v>0</v>
      </c>
      <c r="K2931" s="676">
        <v>0</v>
      </c>
      <c r="M2931" t="str">
        <f>""</f>
        <v/>
      </c>
    </row>
    <row r="2932" spans="1:13" ht="15.75">
      <c r="A2932">
        <v>2021</v>
      </c>
      <c r="B2932" s="777">
        <v>44322</v>
      </c>
      <c r="C2932" s="730">
        <v>0.70833333333333337</v>
      </c>
      <c r="D2932" s="777">
        <v>44322</v>
      </c>
      <c r="E2932" s="730">
        <v>0.71875</v>
      </c>
      <c r="F2932" s="558" t="s">
        <v>4726</v>
      </c>
      <c r="G2932" s="558" t="s">
        <v>63</v>
      </c>
      <c r="H2932" s="558" t="s">
        <v>3478</v>
      </c>
      <c r="I2932" s="679" t="s">
        <v>2764</v>
      </c>
      <c r="J2932" s="676">
        <v>0</v>
      </c>
      <c r="K2932" s="676">
        <v>0</v>
      </c>
      <c r="M2932" t="str">
        <f>""</f>
        <v/>
      </c>
    </row>
    <row r="2933" spans="1:13" ht="15.75">
      <c r="A2933">
        <v>2021</v>
      </c>
      <c r="B2933" s="777">
        <v>44326</v>
      </c>
      <c r="C2933" s="730">
        <v>0.10277777777777777</v>
      </c>
      <c r="D2933" s="777">
        <v>44326</v>
      </c>
      <c r="E2933" s="730">
        <v>0.13958333333333334</v>
      </c>
      <c r="F2933" s="558" t="s">
        <v>3245</v>
      </c>
      <c r="G2933" s="558" t="s">
        <v>3143</v>
      </c>
      <c r="H2933" s="558" t="s">
        <v>5881</v>
      </c>
      <c r="I2933" s="679" t="s">
        <v>2764</v>
      </c>
      <c r="J2933" s="676">
        <v>0</v>
      </c>
      <c r="K2933" s="676">
        <v>0</v>
      </c>
      <c r="M2933" t="str">
        <f>""</f>
        <v/>
      </c>
    </row>
    <row r="2934" spans="1:13" ht="15.75">
      <c r="A2934">
        <v>2021</v>
      </c>
      <c r="B2934" s="777">
        <v>44326</v>
      </c>
      <c r="C2934" s="730">
        <v>0.51180555555555551</v>
      </c>
      <c r="D2934" s="777">
        <v>44326</v>
      </c>
      <c r="E2934" s="730">
        <v>0.53749999999999998</v>
      </c>
      <c r="F2934" s="558" t="s">
        <v>4832</v>
      </c>
      <c r="G2934" s="558" t="s">
        <v>3143</v>
      </c>
      <c r="H2934" s="558" t="s">
        <v>5881</v>
      </c>
      <c r="I2934" s="679" t="s">
        <v>2764</v>
      </c>
      <c r="J2934" s="676">
        <v>0</v>
      </c>
      <c r="K2934" s="676">
        <v>0</v>
      </c>
      <c r="M2934" t="str">
        <f>""</f>
        <v/>
      </c>
    </row>
    <row r="2935" spans="1:13" ht="15.75">
      <c r="A2935">
        <v>2021</v>
      </c>
      <c r="B2935" s="777">
        <v>44327</v>
      </c>
      <c r="C2935" s="730">
        <v>0.95902777777777781</v>
      </c>
      <c r="D2935" s="777">
        <v>44328</v>
      </c>
      <c r="E2935" s="730">
        <v>0.35347222222222224</v>
      </c>
      <c r="F2935" s="558" t="s">
        <v>4835</v>
      </c>
      <c r="G2935" s="558" t="s">
        <v>1352</v>
      </c>
      <c r="H2935" s="558" t="s">
        <v>3463</v>
      </c>
      <c r="I2935" s="679" t="s">
        <v>100</v>
      </c>
      <c r="J2935" s="676">
        <v>0</v>
      </c>
      <c r="K2935" s="676">
        <v>0</v>
      </c>
      <c r="M2935" t="str">
        <f>""</f>
        <v/>
      </c>
    </row>
    <row r="2936" spans="1:13" ht="15.75">
      <c r="A2936">
        <v>2021</v>
      </c>
      <c r="B2936" s="777">
        <v>44327</v>
      </c>
      <c r="C2936" s="730">
        <v>0.3972222222222222</v>
      </c>
      <c r="D2936" s="777">
        <v>44327</v>
      </c>
      <c r="E2936" s="730">
        <v>0.44305555555555554</v>
      </c>
      <c r="F2936" s="558" t="s">
        <v>4836</v>
      </c>
      <c r="G2936" s="558" t="s">
        <v>674</v>
      </c>
      <c r="H2936" s="558" t="s">
        <v>5881</v>
      </c>
      <c r="I2936" s="679" t="s">
        <v>2764</v>
      </c>
      <c r="J2936" s="676">
        <v>0</v>
      </c>
      <c r="K2936" s="676">
        <v>0</v>
      </c>
      <c r="M2936" t="str">
        <f>""</f>
        <v/>
      </c>
    </row>
    <row r="2937" spans="1:13" ht="15.75">
      <c r="A2937">
        <v>2021</v>
      </c>
      <c r="B2937" s="777">
        <v>44330</v>
      </c>
      <c r="C2937" s="730">
        <v>0.91666666666666663</v>
      </c>
      <c r="D2937" s="777">
        <v>44333</v>
      </c>
      <c r="E2937" s="730">
        <v>0.25</v>
      </c>
      <c r="F2937" s="558" t="s">
        <v>4492</v>
      </c>
      <c r="G2937" s="558" t="s">
        <v>124</v>
      </c>
      <c r="H2937" s="558" t="s">
        <v>3356</v>
      </c>
      <c r="I2937" s="679" t="s">
        <v>100</v>
      </c>
      <c r="J2937" s="676">
        <v>0</v>
      </c>
      <c r="K2937" s="676">
        <v>0</v>
      </c>
      <c r="M2937" t="str">
        <f>""</f>
        <v/>
      </c>
    </row>
    <row r="2938" spans="1:13" ht="15.75">
      <c r="A2938">
        <v>2021</v>
      </c>
      <c r="B2938" s="777">
        <v>44330</v>
      </c>
      <c r="C2938" s="730">
        <v>0.35416666666666669</v>
      </c>
      <c r="D2938" s="777">
        <v>44330</v>
      </c>
      <c r="E2938" s="730">
        <v>0.66666666666666663</v>
      </c>
      <c r="F2938" s="558" t="s">
        <v>3215</v>
      </c>
      <c r="G2938" s="558" t="s">
        <v>3143</v>
      </c>
      <c r="H2938" s="558" t="s">
        <v>3402</v>
      </c>
      <c r="I2938" s="679" t="s">
        <v>2118</v>
      </c>
      <c r="J2938" s="676">
        <v>0</v>
      </c>
      <c r="K2938" s="676">
        <v>0</v>
      </c>
      <c r="M2938" t="str">
        <f>""</f>
        <v/>
      </c>
    </row>
    <row r="2939" spans="1:13" ht="15.75">
      <c r="A2939">
        <v>2021</v>
      </c>
      <c r="B2939" s="777">
        <v>44334</v>
      </c>
      <c r="C2939" s="730">
        <v>0.51041666666666663</v>
      </c>
      <c r="D2939" s="777">
        <v>44334</v>
      </c>
      <c r="E2939" s="730">
        <v>0.84583333333333333</v>
      </c>
      <c r="F2939" s="558" t="s">
        <v>2892</v>
      </c>
      <c r="G2939" s="558" t="s">
        <v>3143</v>
      </c>
      <c r="H2939" s="558" t="s">
        <v>3356</v>
      </c>
      <c r="I2939" s="679" t="s">
        <v>100</v>
      </c>
      <c r="J2939" s="676">
        <v>0</v>
      </c>
      <c r="K2939" s="676">
        <v>0</v>
      </c>
      <c r="M2939" t="str">
        <f>""</f>
        <v/>
      </c>
    </row>
    <row r="2940" spans="1:13" ht="15.75">
      <c r="A2940">
        <v>2021</v>
      </c>
      <c r="B2940" s="777">
        <v>44336</v>
      </c>
      <c r="C2940" s="730">
        <v>0.30902777777777779</v>
      </c>
      <c r="D2940" s="777">
        <v>44336</v>
      </c>
      <c r="E2940" s="730">
        <v>0.30972222222222223</v>
      </c>
      <c r="F2940" s="558" t="s">
        <v>2920</v>
      </c>
      <c r="G2940" s="558" t="s">
        <v>124</v>
      </c>
      <c r="H2940" s="558" t="s">
        <v>3463</v>
      </c>
      <c r="I2940" s="679" t="s">
        <v>100</v>
      </c>
      <c r="J2940" s="676">
        <v>0</v>
      </c>
      <c r="K2940" s="676">
        <v>0</v>
      </c>
      <c r="M2940" t="str">
        <f>""</f>
        <v/>
      </c>
    </row>
    <row r="2941" spans="1:13" ht="15.75">
      <c r="A2941">
        <v>2021</v>
      </c>
      <c r="B2941" s="777">
        <v>44340</v>
      </c>
      <c r="C2941" s="730">
        <v>0.55138888888888893</v>
      </c>
      <c r="D2941" s="777">
        <v>44340</v>
      </c>
      <c r="E2941" s="730">
        <v>0.55208333333333337</v>
      </c>
      <c r="F2941" s="558" t="s">
        <v>4846</v>
      </c>
      <c r="G2941" s="558" t="s">
        <v>124</v>
      </c>
      <c r="H2941" s="558" t="s">
        <v>3463</v>
      </c>
      <c r="I2941" s="679" t="s">
        <v>100</v>
      </c>
      <c r="J2941" s="676">
        <v>0</v>
      </c>
      <c r="K2941" s="676">
        <v>0</v>
      </c>
      <c r="M2941" t="str">
        <f>""</f>
        <v/>
      </c>
    </row>
    <row r="2942" spans="1:13" ht="15.75">
      <c r="A2942">
        <v>2021</v>
      </c>
      <c r="B2942" s="777">
        <v>44341</v>
      </c>
      <c r="C2942" s="730">
        <v>0.53888888888888886</v>
      </c>
      <c r="D2942" s="777">
        <v>44341</v>
      </c>
      <c r="E2942" s="730">
        <v>0.57013888888888886</v>
      </c>
      <c r="F2942" s="558" t="s">
        <v>2895</v>
      </c>
      <c r="G2942" s="558" t="s">
        <v>3143</v>
      </c>
      <c r="H2942" s="558" t="s">
        <v>3447</v>
      </c>
      <c r="I2942" s="679" t="s">
        <v>2764</v>
      </c>
      <c r="J2942" s="676">
        <v>0</v>
      </c>
      <c r="K2942" s="676">
        <v>0</v>
      </c>
      <c r="M2942" t="str">
        <f>""</f>
        <v/>
      </c>
    </row>
    <row r="2943" spans="1:13" ht="15.75">
      <c r="A2943">
        <v>2021</v>
      </c>
      <c r="B2943" s="777">
        <v>44343</v>
      </c>
      <c r="C2943" s="730">
        <v>0.78541666666666665</v>
      </c>
      <c r="D2943" s="777">
        <v>44344</v>
      </c>
      <c r="E2943" s="730">
        <v>0.66388888888888886</v>
      </c>
      <c r="F2943" s="558" t="s">
        <v>4850</v>
      </c>
      <c r="G2943" s="558" t="s">
        <v>124</v>
      </c>
      <c r="H2943" s="558" t="s">
        <v>3411</v>
      </c>
      <c r="I2943" s="679" t="s">
        <v>2483</v>
      </c>
      <c r="J2943" s="676">
        <v>0</v>
      </c>
      <c r="K2943" s="676">
        <v>0</v>
      </c>
      <c r="M2943" t="str">
        <f>""</f>
        <v/>
      </c>
    </row>
    <row r="2944" spans="1:13" ht="15.75">
      <c r="A2944">
        <v>2021</v>
      </c>
      <c r="B2944" s="777">
        <v>44343</v>
      </c>
      <c r="C2944" s="730">
        <v>3.472222222222222E-3</v>
      </c>
      <c r="D2944" s="777">
        <v>44343</v>
      </c>
      <c r="E2944" s="730">
        <v>3.125E-2</v>
      </c>
      <c r="F2944" s="558" t="s">
        <v>2947</v>
      </c>
      <c r="G2944" s="558" t="s">
        <v>124</v>
      </c>
      <c r="H2944" s="558" t="s">
        <v>3447</v>
      </c>
      <c r="I2944" s="679" t="s">
        <v>2764</v>
      </c>
      <c r="J2944" s="676">
        <v>0</v>
      </c>
      <c r="K2944" s="676">
        <v>0</v>
      </c>
      <c r="M2944" t="str">
        <f>""</f>
        <v/>
      </c>
    </row>
    <row r="2945" spans="1:13" ht="15.75">
      <c r="A2945">
        <v>2021</v>
      </c>
      <c r="B2945" s="777">
        <v>44344</v>
      </c>
      <c r="C2945" s="730">
        <v>0.92569444444444449</v>
      </c>
      <c r="D2945" s="777">
        <v>44344</v>
      </c>
      <c r="E2945" s="730">
        <v>0.9819444444444444</v>
      </c>
      <c r="F2945" s="558" t="s">
        <v>3378</v>
      </c>
      <c r="G2945" s="558" t="s">
        <v>674</v>
      </c>
      <c r="H2945" s="558" t="s">
        <v>3447</v>
      </c>
      <c r="I2945" s="679" t="s">
        <v>2764</v>
      </c>
      <c r="J2945" s="676">
        <v>0</v>
      </c>
      <c r="K2945" s="676">
        <v>0</v>
      </c>
      <c r="M2945" t="str">
        <f>""</f>
        <v/>
      </c>
    </row>
    <row r="2946" spans="1:13" ht="15.75">
      <c r="A2946">
        <v>2021</v>
      </c>
      <c r="B2946" s="777">
        <v>44353</v>
      </c>
      <c r="C2946" s="730">
        <v>0.62291666666666667</v>
      </c>
      <c r="D2946" s="777">
        <v>44353</v>
      </c>
      <c r="E2946" s="730">
        <v>0.66666666666666663</v>
      </c>
      <c r="F2946" s="558" t="s">
        <v>4854</v>
      </c>
      <c r="G2946" s="558" t="s">
        <v>3143</v>
      </c>
      <c r="H2946" s="558" t="s">
        <v>3411</v>
      </c>
      <c r="I2946" s="679" t="s">
        <v>2483</v>
      </c>
      <c r="J2946" s="676" t="s">
        <v>5873</v>
      </c>
      <c r="K2946" s="676">
        <v>0</v>
      </c>
      <c r="M2946" t="str">
        <f>""</f>
        <v/>
      </c>
    </row>
    <row r="2947" spans="1:13" ht="15.75">
      <c r="A2947">
        <v>2021</v>
      </c>
      <c r="B2947" s="777">
        <v>44354</v>
      </c>
      <c r="C2947" s="730">
        <v>0.55972222222222223</v>
      </c>
      <c r="D2947" s="777">
        <v>44354</v>
      </c>
      <c r="E2947" s="730">
        <v>0.56041666666666667</v>
      </c>
      <c r="F2947" s="558" t="s">
        <v>4859</v>
      </c>
      <c r="G2947" s="558" t="s">
        <v>1352</v>
      </c>
      <c r="H2947" s="558" t="s">
        <v>3396</v>
      </c>
      <c r="I2947" s="679" t="s">
        <v>2905</v>
      </c>
      <c r="J2947" s="676">
        <v>1435</v>
      </c>
      <c r="K2947" s="676">
        <v>0</v>
      </c>
      <c r="M2947" t="str">
        <f>""</f>
        <v/>
      </c>
    </row>
    <row r="2948" spans="1:13" ht="15.75">
      <c r="A2948">
        <v>2021</v>
      </c>
      <c r="B2948" s="777">
        <v>44354</v>
      </c>
      <c r="C2948" s="730">
        <v>0.6381944444444444</v>
      </c>
      <c r="D2948" s="777">
        <v>44354</v>
      </c>
      <c r="E2948" s="730">
        <v>0.76527777777777772</v>
      </c>
      <c r="F2948" s="558" t="s">
        <v>3620</v>
      </c>
      <c r="G2948" s="558" t="s">
        <v>124</v>
      </c>
      <c r="H2948" s="558" t="s">
        <v>3387</v>
      </c>
      <c r="I2948" s="679" t="s">
        <v>2764</v>
      </c>
      <c r="J2948" s="676">
        <v>0</v>
      </c>
      <c r="K2948" s="676">
        <v>0</v>
      </c>
      <c r="M2948" t="str">
        <f>""</f>
        <v/>
      </c>
    </row>
    <row r="2949" spans="1:13" ht="15.75">
      <c r="A2949">
        <v>2021</v>
      </c>
      <c r="B2949" s="777">
        <v>44355</v>
      </c>
      <c r="C2949" s="730">
        <v>0.625</v>
      </c>
      <c r="D2949" s="777">
        <v>44355</v>
      </c>
      <c r="E2949" s="730">
        <v>0.62569444444444444</v>
      </c>
      <c r="F2949" s="558" t="s">
        <v>4861</v>
      </c>
      <c r="G2949" s="558" t="s">
        <v>1352</v>
      </c>
      <c r="H2949" s="558" t="s">
        <v>3356</v>
      </c>
      <c r="I2949" s="679" t="s">
        <v>100</v>
      </c>
      <c r="J2949" s="676">
        <v>0</v>
      </c>
      <c r="K2949" s="676">
        <v>0</v>
      </c>
      <c r="M2949" t="str">
        <f>""</f>
        <v/>
      </c>
    </row>
    <row r="2950" spans="1:13" ht="15.75">
      <c r="A2950">
        <v>2021</v>
      </c>
      <c r="B2950" s="777">
        <v>44356</v>
      </c>
      <c r="C2950" s="730">
        <v>0.79791666666666672</v>
      </c>
      <c r="D2950" s="777">
        <v>44356</v>
      </c>
      <c r="E2950" s="730">
        <v>0.86805555555555558</v>
      </c>
      <c r="F2950" s="558" t="s">
        <v>3620</v>
      </c>
      <c r="G2950" s="558" t="s">
        <v>124</v>
      </c>
      <c r="H2950" s="558" t="s">
        <v>3387</v>
      </c>
      <c r="I2950" s="679" t="s">
        <v>2764</v>
      </c>
      <c r="J2950" s="676">
        <v>0</v>
      </c>
      <c r="K2950" s="676">
        <v>0</v>
      </c>
      <c r="M2950" t="str">
        <f>""</f>
        <v/>
      </c>
    </row>
    <row r="2951" spans="1:13" ht="15.75">
      <c r="A2951">
        <v>2021</v>
      </c>
      <c r="B2951" s="777">
        <v>44358</v>
      </c>
      <c r="C2951" s="730">
        <v>0.14305555555555555</v>
      </c>
      <c r="D2951" s="777">
        <v>44358</v>
      </c>
      <c r="E2951" s="730">
        <v>0.15833333333333333</v>
      </c>
      <c r="F2951" s="558" t="s">
        <v>4868</v>
      </c>
      <c r="G2951" s="558" t="s">
        <v>674</v>
      </c>
      <c r="H2951" s="558" t="s">
        <v>3411</v>
      </c>
      <c r="I2951" s="679" t="s">
        <v>2990</v>
      </c>
      <c r="J2951" s="676">
        <v>0</v>
      </c>
      <c r="K2951" s="676">
        <v>0</v>
      </c>
      <c r="M2951" t="str">
        <f>""</f>
        <v/>
      </c>
    </row>
    <row r="2952" spans="1:13" ht="15.75">
      <c r="A2952">
        <v>2021</v>
      </c>
      <c r="B2952" s="777">
        <v>44361</v>
      </c>
      <c r="C2952" s="730">
        <v>9.0277777777777776E-2</v>
      </c>
      <c r="D2952" s="777">
        <v>44361</v>
      </c>
      <c r="E2952" s="730">
        <v>9.0972222222222218E-2</v>
      </c>
      <c r="F2952" s="558" t="s">
        <v>2831</v>
      </c>
      <c r="G2952" s="558" t="s">
        <v>124</v>
      </c>
      <c r="H2952" s="558" t="s">
        <v>3402</v>
      </c>
      <c r="I2952" s="679" t="s">
        <v>2118</v>
      </c>
      <c r="J2952" s="676">
        <v>0</v>
      </c>
      <c r="K2952" s="676">
        <v>0</v>
      </c>
      <c r="M2952" t="str">
        <f>""</f>
        <v/>
      </c>
    </row>
    <row r="2953" spans="1:13" ht="15.75">
      <c r="A2953">
        <v>2021</v>
      </c>
      <c r="B2953" s="777">
        <v>44362</v>
      </c>
      <c r="C2953" s="730">
        <v>0.47916666666666669</v>
      </c>
      <c r="D2953" s="777">
        <v>44362</v>
      </c>
      <c r="E2953" s="730">
        <v>0.56597222222222221</v>
      </c>
      <c r="F2953" s="558" t="s">
        <v>4864</v>
      </c>
      <c r="G2953" s="558" t="s">
        <v>674</v>
      </c>
      <c r="H2953" s="558" t="s">
        <v>3387</v>
      </c>
      <c r="I2953" s="679" t="s">
        <v>2764</v>
      </c>
      <c r="J2953" s="676">
        <v>0</v>
      </c>
      <c r="K2953" s="676">
        <v>0</v>
      </c>
      <c r="M2953" t="str">
        <f>""</f>
        <v/>
      </c>
    </row>
    <row r="2954" spans="1:13" ht="15.75">
      <c r="A2954">
        <v>2021</v>
      </c>
      <c r="B2954" s="777">
        <v>44363</v>
      </c>
      <c r="C2954" s="730">
        <v>0.1736111111111111</v>
      </c>
      <c r="D2954" s="777">
        <v>44363</v>
      </c>
      <c r="E2954" s="730">
        <v>0.27708333333333335</v>
      </c>
      <c r="F2954" s="558" t="s">
        <v>2959</v>
      </c>
      <c r="G2954" s="558" t="s">
        <v>61</v>
      </c>
      <c r="H2954" s="558" t="s">
        <v>3387</v>
      </c>
      <c r="I2954" s="679" t="s">
        <v>2764</v>
      </c>
      <c r="J2954" s="676">
        <v>0</v>
      </c>
      <c r="K2954" s="676">
        <v>0</v>
      </c>
      <c r="M2954" t="str">
        <f>""</f>
        <v/>
      </c>
    </row>
    <row r="2955" spans="1:13" ht="15.75">
      <c r="A2955">
        <v>2021</v>
      </c>
      <c r="B2955" s="777">
        <v>44363</v>
      </c>
      <c r="C2955" s="730">
        <v>0.43402777777777779</v>
      </c>
      <c r="D2955" s="777">
        <v>44363</v>
      </c>
      <c r="E2955" s="730">
        <v>0.63611111111111107</v>
      </c>
      <c r="F2955" s="558" t="s">
        <v>3182</v>
      </c>
      <c r="G2955" s="558" t="s">
        <v>63</v>
      </c>
      <c r="H2955" s="558" t="s">
        <v>3463</v>
      </c>
      <c r="I2955" s="679" t="s">
        <v>100</v>
      </c>
      <c r="J2955" s="676">
        <v>0</v>
      </c>
      <c r="K2955" s="676">
        <v>0</v>
      </c>
      <c r="M2955" t="str">
        <f>""</f>
        <v/>
      </c>
    </row>
    <row r="2956" spans="1:13" ht="15.75">
      <c r="A2956">
        <v>2021</v>
      </c>
      <c r="B2956" s="777">
        <v>44368</v>
      </c>
      <c r="C2956" s="730">
        <v>0.65972222222222221</v>
      </c>
      <c r="D2956" s="777">
        <v>44368</v>
      </c>
      <c r="E2956" s="730">
        <v>0.70138888888888884</v>
      </c>
      <c r="F2956" s="558" t="s">
        <v>4878</v>
      </c>
      <c r="G2956" s="558" t="s">
        <v>63</v>
      </c>
      <c r="H2956" s="558" t="s">
        <v>3402</v>
      </c>
      <c r="I2956" s="679" t="s">
        <v>2118</v>
      </c>
      <c r="J2956" s="676">
        <v>0</v>
      </c>
      <c r="K2956" s="676">
        <v>0</v>
      </c>
      <c r="M2956" t="str">
        <f>""</f>
        <v/>
      </c>
    </row>
    <row r="2957" spans="1:13" ht="15.75">
      <c r="A2957">
        <v>2021</v>
      </c>
      <c r="B2957" s="777">
        <v>44370</v>
      </c>
      <c r="C2957" s="730">
        <v>0.65763888888888888</v>
      </c>
      <c r="D2957" s="777">
        <v>44370</v>
      </c>
      <c r="E2957" s="730">
        <v>0.69722222222222219</v>
      </c>
      <c r="F2957" s="558" t="s">
        <v>3439</v>
      </c>
      <c r="G2957" s="558" t="s">
        <v>63</v>
      </c>
      <c r="H2957" s="558" t="s">
        <v>3387</v>
      </c>
      <c r="I2957" s="679" t="s">
        <v>2764</v>
      </c>
      <c r="J2957" s="676">
        <v>0</v>
      </c>
      <c r="K2957" s="676">
        <v>0</v>
      </c>
      <c r="M2957" t="str">
        <f>""</f>
        <v/>
      </c>
    </row>
    <row r="2958" spans="1:13" ht="15.75">
      <c r="A2958">
        <v>2021</v>
      </c>
      <c r="B2958" s="777">
        <v>44371</v>
      </c>
      <c r="C2958" s="730">
        <v>0.29652777777777778</v>
      </c>
      <c r="D2958" s="777">
        <v>44371</v>
      </c>
      <c r="E2958" s="730">
        <v>0.57499999999999996</v>
      </c>
      <c r="F2958" s="558" t="s">
        <v>4884</v>
      </c>
      <c r="G2958" s="558" t="s">
        <v>63</v>
      </c>
      <c r="H2958" s="558" t="s">
        <v>3356</v>
      </c>
      <c r="I2958" s="679" t="s">
        <v>100</v>
      </c>
      <c r="J2958" s="676">
        <v>0</v>
      </c>
      <c r="K2958" s="676">
        <v>0</v>
      </c>
      <c r="M2958" t="str">
        <f>""</f>
        <v/>
      </c>
    </row>
    <row r="2959" spans="1:13" ht="15.75">
      <c r="A2959">
        <v>2021</v>
      </c>
      <c r="B2959" s="777">
        <v>44375</v>
      </c>
      <c r="C2959" s="730">
        <v>0.47361111111111109</v>
      </c>
      <c r="D2959" s="777" t="s">
        <v>5873</v>
      </c>
      <c r="E2959" s="730" t="s">
        <v>5873</v>
      </c>
      <c r="F2959" s="558" t="s">
        <v>2928</v>
      </c>
      <c r="G2959" s="558" t="s">
        <v>63</v>
      </c>
      <c r="H2959" s="558" t="s">
        <v>3411</v>
      </c>
      <c r="I2959" s="679" t="s">
        <v>2483</v>
      </c>
      <c r="J2959" s="676">
        <v>0</v>
      </c>
      <c r="K2959" s="676">
        <v>0</v>
      </c>
      <c r="M2959" t="str">
        <f>""</f>
        <v/>
      </c>
    </row>
    <row r="2960" spans="1:13" ht="15.75">
      <c r="A2960">
        <v>2021</v>
      </c>
      <c r="B2960" s="777">
        <v>44381</v>
      </c>
      <c r="C2960" s="730">
        <v>0.6479166666666667</v>
      </c>
      <c r="D2960" s="777">
        <v>44381</v>
      </c>
      <c r="E2960" s="730">
        <v>0.85555555555555551</v>
      </c>
      <c r="F2960" s="558" t="s">
        <v>4049</v>
      </c>
      <c r="G2960" s="558" t="s">
        <v>124</v>
      </c>
      <c r="H2960" s="558" t="s">
        <v>3411</v>
      </c>
      <c r="I2960" s="679" t="s">
        <v>3416</v>
      </c>
      <c r="J2960" s="676">
        <v>0</v>
      </c>
      <c r="K2960" s="676">
        <v>0</v>
      </c>
      <c r="M2960" t="str">
        <f>""</f>
        <v/>
      </c>
    </row>
    <row r="2961" spans="1:13" ht="15.75">
      <c r="A2961">
        <v>2021</v>
      </c>
      <c r="B2961" s="777">
        <v>44382</v>
      </c>
      <c r="C2961" s="730">
        <v>0.23055555555555557</v>
      </c>
      <c r="D2961" s="777">
        <v>44382</v>
      </c>
      <c r="E2961" s="730">
        <v>0.37361111111111112</v>
      </c>
      <c r="F2961" s="558" t="s">
        <v>2868</v>
      </c>
      <c r="G2961" s="558" t="s">
        <v>61</v>
      </c>
      <c r="H2961" s="558" t="s">
        <v>3411</v>
      </c>
      <c r="I2961" s="679" t="s">
        <v>2483</v>
      </c>
      <c r="J2961" s="676">
        <v>0</v>
      </c>
      <c r="K2961" s="676">
        <v>0</v>
      </c>
      <c r="M2961" t="str">
        <f>""</f>
        <v/>
      </c>
    </row>
    <row r="2962" spans="1:13" ht="15.75">
      <c r="A2962">
        <v>2021</v>
      </c>
      <c r="B2962" s="777">
        <v>44382</v>
      </c>
      <c r="C2962" s="730">
        <v>0.58611111111111114</v>
      </c>
      <c r="D2962" s="777">
        <v>44382</v>
      </c>
      <c r="E2962" s="730">
        <v>0.6118055555555556</v>
      </c>
      <c r="F2962" s="558" t="s">
        <v>4048</v>
      </c>
      <c r="G2962" s="558" t="s">
        <v>4903</v>
      </c>
      <c r="H2962" s="558" t="s">
        <v>3447</v>
      </c>
      <c r="I2962" s="679" t="s">
        <v>2483</v>
      </c>
      <c r="J2962" s="676">
        <v>0</v>
      </c>
      <c r="K2962" s="676">
        <v>0</v>
      </c>
      <c r="M2962" t="str">
        <f>""</f>
        <v/>
      </c>
    </row>
    <row r="2963" spans="1:13" ht="15.75">
      <c r="A2963">
        <v>2021</v>
      </c>
      <c r="B2963" s="777">
        <v>44384</v>
      </c>
      <c r="C2963" s="730">
        <v>1.3888888888888889E-3</v>
      </c>
      <c r="D2963" s="777">
        <v>44384</v>
      </c>
      <c r="E2963" s="730">
        <v>1.3888888888888888E-2</v>
      </c>
      <c r="F2963" s="558" t="s">
        <v>4534</v>
      </c>
      <c r="G2963" s="558" t="s">
        <v>63</v>
      </c>
      <c r="H2963" s="558" t="s">
        <v>3411</v>
      </c>
      <c r="I2963" s="679" t="s">
        <v>2483</v>
      </c>
      <c r="J2963" s="676">
        <v>450</v>
      </c>
      <c r="K2963" s="676">
        <v>0</v>
      </c>
      <c r="M2963" t="str">
        <f>""</f>
        <v/>
      </c>
    </row>
    <row r="2964" spans="1:13" ht="15.75">
      <c r="A2964">
        <v>2021</v>
      </c>
      <c r="B2964" s="777">
        <v>44385</v>
      </c>
      <c r="C2964" s="730">
        <v>0.70902777777777781</v>
      </c>
      <c r="D2964" s="777">
        <v>44385</v>
      </c>
      <c r="E2964" s="730">
        <v>0.72499999999999998</v>
      </c>
      <c r="F2964" s="558" t="s">
        <v>2868</v>
      </c>
      <c r="G2964" s="558" t="s">
        <v>61</v>
      </c>
      <c r="H2964" s="558" t="s">
        <v>3411</v>
      </c>
      <c r="I2964" s="679" t="s">
        <v>4905</v>
      </c>
      <c r="J2964" s="676">
        <v>0</v>
      </c>
      <c r="K2964" s="676">
        <v>0</v>
      </c>
      <c r="M2964" t="str">
        <f>""</f>
        <v/>
      </c>
    </row>
    <row r="2965" spans="1:13" ht="15.75">
      <c r="A2965">
        <v>2021</v>
      </c>
      <c r="B2965" s="777">
        <v>44385</v>
      </c>
      <c r="C2965" s="730">
        <v>0.85347222222222219</v>
      </c>
      <c r="D2965" s="777">
        <v>44385</v>
      </c>
      <c r="E2965" s="730">
        <v>0.85624999999999996</v>
      </c>
      <c r="F2965" s="558" t="s">
        <v>4911</v>
      </c>
      <c r="G2965" s="558" t="s">
        <v>674</v>
      </c>
      <c r="H2965" s="558" t="s">
        <v>3411</v>
      </c>
      <c r="I2965" s="679" t="s">
        <v>4905</v>
      </c>
      <c r="J2965" s="676">
        <v>88</v>
      </c>
      <c r="K2965" s="676">
        <v>0</v>
      </c>
      <c r="M2965" t="str">
        <f>""</f>
        <v/>
      </c>
    </row>
    <row r="2966" spans="1:13" ht="15.75">
      <c r="A2966">
        <v>2021</v>
      </c>
      <c r="B2966" s="777">
        <v>44389</v>
      </c>
      <c r="C2966" s="730">
        <v>0.66041666666666665</v>
      </c>
      <c r="D2966" s="777">
        <v>44390</v>
      </c>
      <c r="E2966" s="730">
        <v>0.70833333333333337</v>
      </c>
      <c r="F2966" s="558" t="s">
        <v>3385</v>
      </c>
      <c r="G2966" s="558" t="s">
        <v>124</v>
      </c>
      <c r="H2966" s="558" t="s">
        <v>3356</v>
      </c>
      <c r="I2966" s="679" t="s">
        <v>2343</v>
      </c>
      <c r="J2966" s="676">
        <v>0</v>
      </c>
      <c r="K2966" s="676">
        <v>0</v>
      </c>
      <c r="M2966" t="str">
        <f>""</f>
        <v/>
      </c>
    </row>
    <row r="2967" spans="1:13" ht="15.75">
      <c r="A2967">
        <v>2021</v>
      </c>
      <c r="B2967" s="777">
        <v>44395</v>
      </c>
      <c r="C2967" s="730">
        <v>0.16666666666666666</v>
      </c>
      <c r="D2967" s="777">
        <v>44395</v>
      </c>
      <c r="E2967" s="730">
        <v>0.40694444444444444</v>
      </c>
      <c r="F2967" s="558" t="s">
        <v>4928</v>
      </c>
      <c r="G2967" s="558" t="s">
        <v>3143</v>
      </c>
      <c r="H2967" s="558" t="s">
        <v>3411</v>
      </c>
      <c r="I2967" s="679" t="s">
        <v>2483</v>
      </c>
      <c r="J2967" s="676">
        <v>0</v>
      </c>
      <c r="K2967" s="676">
        <v>0</v>
      </c>
      <c r="M2967" t="str">
        <f>""</f>
        <v/>
      </c>
    </row>
    <row r="2968" spans="1:13" ht="15.75">
      <c r="A2968">
        <v>2021</v>
      </c>
      <c r="B2968" s="777">
        <v>44397</v>
      </c>
      <c r="C2968" s="730">
        <v>0.68125000000000002</v>
      </c>
      <c r="D2968" s="777">
        <v>44397</v>
      </c>
      <c r="E2968" s="730">
        <v>0.70833333333333337</v>
      </c>
      <c r="F2968" s="558" t="s">
        <v>2895</v>
      </c>
      <c r="G2968" s="558" t="s">
        <v>3143</v>
      </c>
      <c r="H2968" s="558" t="s">
        <v>3387</v>
      </c>
      <c r="I2968" s="679" t="s">
        <v>2764</v>
      </c>
      <c r="J2968" s="676">
        <v>0</v>
      </c>
      <c r="K2968" s="676">
        <v>0</v>
      </c>
      <c r="M2968" t="str">
        <f>""</f>
        <v/>
      </c>
    </row>
    <row r="2969" spans="1:13" ht="15.75">
      <c r="A2969">
        <v>2021</v>
      </c>
      <c r="B2969" s="777">
        <v>44399</v>
      </c>
      <c r="C2969" s="730">
        <v>0.58333333333333337</v>
      </c>
      <c r="D2969" s="777">
        <v>44399</v>
      </c>
      <c r="E2969" s="730">
        <v>0.61111111111111116</v>
      </c>
      <c r="F2969" s="558" t="s">
        <v>3414</v>
      </c>
      <c r="G2969" s="558" t="s">
        <v>124</v>
      </c>
      <c r="H2969" s="558" t="s">
        <v>3387</v>
      </c>
      <c r="I2969" s="679" t="s">
        <v>2764</v>
      </c>
      <c r="J2969" s="676">
        <v>220</v>
      </c>
      <c r="K2969" s="676">
        <v>0</v>
      </c>
      <c r="M2969" t="str">
        <f>""</f>
        <v/>
      </c>
    </row>
    <row r="2970" spans="1:13" ht="15.75">
      <c r="A2970">
        <v>2021</v>
      </c>
      <c r="B2970" s="777">
        <v>44400</v>
      </c>
      <c r="C2970" s="730">
        <v>0.34722222222222221</v>
      </c>
      <c r="D2970" s="777">
        <v>44400</v>
      </c>
      <c r="E2970" s="730">
        <v>0.44791666666666669</v>
      </c>
      <c r="F2970" s="558" t="s">
        <v>3256</v>
      </c>
      <c r="G2970" s="558" t="s">
        <v>4903</v>
      </c>
      <c r="H2970" s="558" t="s">
        <v>3387</v>
      </c>
      <c r="I2970" s="679" t="s">
        <v>2764</v>
      </c>
      <c r="J2970" s="676">
        <v>0</v>
      </c>
      <c r="K2970" s="676">
        <v>0</v>
      </c>
      <c r="M2970" t="str">
        <f>""</f>
        <v/>
      </c>
    </row>
    <row r="2971" spans="1:13" ht="15.75">
      <c r="A2971">
        <v>2021</v>
      </c>
      <c r="B2971" s="777">
        <v>44403</v>
      </c>
      <c r="C2971" s="730">
        <v>0.32916666666666666</v>
      </c>
      <c r="D2971" s="777" t="s">
        <v>5873</v>
      </c>
      <c r="E2971" s="730" t="s">
        <v>5873</v>
      </c>
      <c r="F2971" s="558" t="s">
        <v>2817</v>
      </c>
      <c r="G2971" s="558" t="s">
        <v>124</v>
      </c>
      <c r="H2971" s="558" t="s">
        <v>3356</v>
      </c>
      <c r="I2971" s="679" t="s">
        <v>100</v>
      </c>
      <c r="J2971" s="676">
        <v>0</v>
      </c>
      <c r="K2971" s="676">
        <v>0</v>
      </c>
      <c r="M2971" t="str">
        <f>""</f>
        <v/>
      </c>
    </row>
    <row r="2972" spans="1:13" ht="15.75">
      <c r="A2972">
        <v>2021</v>
      </c>
      <c r="B2972" s="777">
        <v>44405</v>
      </c>
      <c r="C2972" s="730">
        <v>0.53749999999999998</v>
      </c>
      <c r="D2972" s="777">
        <v>44405</v>
      </c>
      <c r="E2972" s="730">
        <v>0.65416666666666667</v>
      </c>
      <c r="F2972" s="558" t="s">
        <v>2959</v>
      </c>
      <c r="G2972" s="558" t="s">
        <v>61</v>
      </c>
      <c r="H2972" s="558" t="s">
        <v>3387</v>
      </c>
      <c r="I2972" s="679" t="s">
        <v>2764</v>
      </c>
      <c r="J2972" s="676">
        <v>0</v>
      </c>
      <c r="K2972" s="676">
        <v>0</v>
      </c>
      <c r="M2972" t="str">
        <f>""</f>
        <v/>
      </c>
    </row>
    <row r="2973" spans="1:13" ht="15.75">
      <c r="A2973">
        <v>2021</v>
      </c>
      <c r="B2973" s="777">
        <v>44407</v>
      </c>
      <c r="C2973" s="730">
        <v>0.3347222222222222</v>
      </c>
      <c r="D2973" s="777">
        <v>44407</v>
      </c>
      <c r="E2973" s="730">
        <v>0.39861111111111114</v>
      </c>
      <c r="F2973" s="558" t="s">
        <v>3554</v>
      </c>
      <c r="G2973" s="558" t="s">
        <v>674</v>
      </c>
      <c r="H2973" s="558" t="s">
        <v>3387</v>
      </c>
      <c r="I2973" s="679" t="s">
        <v>2952</v>
      </c>
      <c r="J2973" s="676">
        <v>0</v>
      </c>
      <c r="K2973" s="676">
        <v>0</v>
      </c>
      <c r="M2973" t="str">
        <f>""</f>
        <v/>
      </c>
    </row>
    <row r="2974" spans="1:13" ht="15.75">
      <c r="A2974">
        <v>2021</v>
      </c>
      <c r="B2974" s="777">
        <v>44409</v>
      </c>
      <c r="C2974" s="730">
        <v>0.375</v>
      </c>
      <c r="D2974" s="777">
        <v>44412</v>
      </c>
      <c r="E2974" s="730">
        <v>0.375</v>
      </c>
      <c r="F2974" s="558" t="s">
        <v>2817</v>
      </c>
      <c r="G2974" s="558" t="s">
        <v>124</v>
      </c>
      <c r="H2974" s="558" t="s">
        <v>2910</v>
      </c>
      <c r="I2974" s="679" t="s">
        <v>100</v>
      </c>
      <c r="J2974" s="676">
        <v>0</v>
      </c>
      <c r="K2974" s="676">
        <v>0</v>
      </c>
      <c r="M2974" t="str">
        <f>""</f>
        <v/>
      </c>
    </row>
    <row r="2975" spans="1:13" ht="15.75">
      <c r="A2975">
        <v>2021</v>
      </c>
      <c r="B2975" s="777">
        <v>44411</v>
      </c>
      <c r="C2975" s="730">
        <v>0.2951388888888889</v>
      </c>
      <c r="D2975" s="777">
        <v>44411</v>
      </c>
      <c r="E2975" s="730">
        <v>0.31388888888888888</v>
      </c>
      <c r="F2975" s="558" t="s">
        <v>4185</v>
      </c>
      <c r="G2975" s="558" t="s">
        <v>1352</v>
      </c>
      <c r="H2975" s="558" t="s">
        <v>3402</v>
      </c>
      <c r="I2975" s="679" t="s">
        <v>2118</v>
      </c>
      <c r="J2975" s="676">
        <v>0</v>
      </c>
      <c r="K2975" s="676">
        <v>0</v>
      </c>
      <c r="M2975" t="str">
        <f>""</f>
        <v/>
      </c>
    </row>
    <row r="2976" spans="1:13" ht="15.75">
      <c r="A2976">
        <v>2021</v>
      </c>
      <c r="B2976" s="777">
        <v>44420</v>
      </c>
      <c r="C2976" s="730">
        <v>0.91874999999999996</v>
      </c>
      <c r="D2976" s="777">
        <v>44420</v>
      </c>
      <c r="E2976" s="730">
        <v>0.94722222222222219</v>
      </c>
      <c r="F2976" s="558" t="s">
        <v>3335</v>
      </c>
      <c r="G2976" s="558" t="s">
        <v>61</v>
      </c>
      <c r="H2976" s="558" t="s">
        <v>3447</v>
      </c>
      <c r="I2976" s="679" t="s">
        <v>2764</v>
      </c>
      <c r="J2976" s="676">
        <v>0</v>
      </c>
      <c r="K2976" s="676">
        <v>0</v>
      </c>
      <c r="M2976" t="str">
        <f>""</f>
        <v/>
      </c>
    </row>
    <row r="2977" spans="1:13" ht="15.75">
      <c r="A2977">
        <v>2021</v>
      </c>
      <c r="B2977" s="777">
        <v>44423</v>
      </c>
      <c r="C2977" s="730">
        <v>0.72013888888888888</v>
      </c>
      <c r="D2977" s="777">
        <v>44424</v>
      </c>
      <c r="E2977" s="730">
        <v>0.14583333333333334</v>
      </c>
      <c r="F2977" s="558" t="s">
        <v>4969</v>
      </c>
      <c r="G2977" s="558" t="s">
        <v>124</v>
      </c>
      <c r="H2977" s="558" t="s">
        <v>2910</v>
      </c>
      <c r="I2977" s="679" t="s">
        <v>2293</v>
      </c>
      <c r="J2977" s="676">
        <v>0</v>
      </c>
      <c r="K2977" s="676">
        <v>0</v>
      </c>
      <c r="M2977" t="str">
        <f>""</f>
        <v/>
      </c>
    </row>
    <row r="2978" spans="1:13" ht="15.75">
      <c r="A2978">
        <v>2021</v>
      </c>
      <c r="B2978" s="777">
        <v>44424</v>
      </c>
      <c r="C2978" s="730">
        <v>0.6743055555555556</v>
      </c>
      <c r="D2978" s="777">
        <v>44424</v>
      </c>
      <c r="E2978" s="730">
        <v>0.68819444444444444</v>
      </c>
      <c r="F2978" s="558" t="s">
        <v>4970</v>
      </c>
      <c r="G2978" s="558" t="s">
        <v>124</v>
      </c>
      <c r="H2978" s="558" t="s">
        <v>3356</v>
      </c>
      <c r="I2978" s="679" t="s">
        <v>100</v>
      </c>
      <c r="J2978" s="676">
        <v>0</v>
      </c>
      <c r="K2978" s="676">
        <v>0</v>
      </c>
      <c r="M2978" t="str">
        <f>""</f>
        <v/>
      </c>
    </row>
    <row r="2979" spans="1:13" ht="15.75">
      <c r="A2979">
        <v>2021</v>
      </c>
      <c r="B2979" s="777">
        <v>44425</v>
      </c>
      <c r="C2979" s="730">
        <v>0.58333333333333337</v>
      </c>
      <c r="D2979" s="777">
        <v>44426</v>
      </c>
      <c r="E2979" s="730">
        <v>0.58333333333333337</v>
      </c>
      <c r="F2979" s="558" t="s">
        <v>3357</v>
      </c>
      <c r="G2979" s="558" t="s">
        <v>124</v>
      </c>
      <c r="H2979" s="558" t="s">
        <v>3356</v>
      </c>
      <c r="I2979" s="679" t="s">
        <v>100</v>
      </c>
      <c r="J2979" s="676" t="s">
        <v>5873</v>
      </c>
      <c r="K2979" s="676">
        <v>0</v>
      </c>
      <c r="M2979" t="str">
        <f>""</f>
        <v/>
      </c>
    </row>
    <row r="2980" spans="1:13" ht="15.75">
      <c r="A2980">
        <v>2021</v>
      </c>
      <c r="B2980" s="777">
        <v>44426</v>
      </c>
      <c r="C2980" s="730">
        <v>0.4861111111111111</v>
      </c>
      <c r="D2980" s="777">
        <v>44426</v>
      </c>
      <c r="E2980" s="730">
        <v>0.50902777777777775</v>
      </c>
      <c r="F2980" s="558" t="s">
        <v>2919</v>
      </c>
      <c r="G2980" s="558" t="s">
        <v>1352</v>
      </c>
      <c r="H2980" s="558" t="s">
        <v>3387</v>
      </c>
      <c r="I2980" s="679" t="s">
        <v>2764</v>
      </c>
      <c r="J2980" s="676">
        <v>0</v>
      </c>
      <c r="K2980" s="676">
        <v>0</v>
      </c>
      <c r="M2980" t="str">
        <f>""</f>
        <v/>
      </c>
    </row>
    <row r="2981" spans="1:13" ht="15.75">
      <c r="A2981">
        <v>2021</v>
      </c>
      <c r="B2981" s="777">
        <v>44428</v>
      </c>
      <c r="C2981" s="730">
        <v>0.64930555555555558</v>
      </c>
      <c r="D2981" s="777">
        <v>44428</v>
      </c>
      <c r="E2981" s="730">
        <v>0.69097222222222221</v>
      </c>
      <c r="F2981" s="558" t="s">
        <v>4166</v>
      </c>
      <c r="G2981" s="558" t="s">
        <v>124</v>
      </c>
      <c r="H2981" s="558" t="s">
        <v>3356</v>
      </c>
      <c r="I2981" s="679" t="s">
        <v>100</v>
      </c>
      <c r="J2981" s="676">
        <v>0</v>
      </c>
      <c r="K2981" s="676">
        <v>0</v>
      </c>
      <c r="M2981" t="str">
        <f>""</f>
        <v/>
      </c>
    </row>
    <row r="2982" spans="1:13" ht="15.75">
      <c r="A2982">
        <v>2021</v>
      </c>
      <c r="B2982" s="777">
        <v>44428</v>
      </c>
      <c r="C2982" s="730">
        <v>8.3333333333333329E-2</v>
      </c>
      <c r="D2982" s="777">
        <v>44428</v>
      </c>
      <c r="E2982" s="730">
        <v>0.125</v>
      </c>
      <c r="F2982" s="558" t="s">
        <v>4977</v>
      </c>
      <c r="G2982" s="558" t="s">
        <v>124</v>
      </c>
      <c r="H2982" s="558" t="s">
        <v>3402</v>
      </c>
      <c r="I2982" s="679" t="s">
        <v>100</v>
      </c>
      <c r="J2982" s="676">
        <v>0</v>
      </c>
      <c r="K2982" s="676">
        <v>0</v>
      </c>
      <c r="M2982" t="str">
        <f>""</f>
        <v/>
      </c>
    </row>
    <row r="2983" spans="1:13" ht="15.75">
      <c r="A2983">
        <v>2021</v>
      </c>
      <c r="B2983" s="777">
        <v>44435</v>
      </c>
      <c r="C2983" s="730">
        <v>0.26111111111111113</v>
      </c>
      <c r="D2983" s="777">
        <v>44435</v>
      </c>
      <c r="E2983" s="730">
        <v>0.42638888888888887</v>
      </c>
      <c r="F2983" s="558" t="s">
        <v>4740</v>
      </c>
      <c r="G2983" s="558" t="s">
        <v>63</v>
      </c>
      <c r="H2983" s="558" t="s">
        <v>3402</v>
      </c>
      <c r="I2983" s="679" t="s">
        <v>2118</v>
      </c>
      <c r="J2983" s="676">
        <v>0</v>
      </c>
      <c r="K2983" s="676">
        <v>0</v>
      </c>
      <c r="M2983" t="str">
        <f>""</f>
        <v/>
      </c>
    </row>
    <row r="2984" spans="1:13" ht="15.75">
      <c r="A2984">
        <v>2021</v>
      </c>
      <c r="B2984" s="777">
        <v>44437</v>
      </c>
      <c r="C2984" s="730">
        <v>0.85069444444444442</v>
      </c>
      <c r="D2984" s="777" t="s">
        <v>5873</v>
      </c>
      <c r="E2984" s="730" t="s">
        <v>5873</v>
      </c>
      <c r="F2984" s="558" t="s">
        <v>2868</v>
      </c>
      <c r="G2984" s="558" t="s">
        <v>61</v>
      </c>
      <c r="H2984" s="558" t="s">
        <v>3411</v>
      </c>
      <c r="I2984" s="679" t="s">
        <v>2483</v>
      </c>
      <c r="J2984" s="676">
        <v>796</v>
      </c>
      <c r="K2984" s="676">
        <v>0</v>
      </c>
      <c r="M2984" t="str">
        <f>""</f>
        <v/>
      </c>
    </row>
    <row r="2985" spans="1:13" ht="15.75">
      <c r="A2985">
        <v>2021</v>
      </c>
      <c r="B2985" s="777">
        <v>44438</v>
      </c>
      <c r="C2985" s="730">
        <v>0.88680555555555551</v>
      </c>
      <c r="D2985" s="777">
        <v>44440</v>
      </c>
      <c r="E2985" s="730">
        <v>0.6381944444444444</v>
      </c>
      <c r="F2985" s="558" t="s">
        <v>3575</v>
      </c>
      <c r="G2985" s="558" t="s">
        <v>63</v>
      </c>
      <c r="H2985" s="558" t="s">
        <v>3356</v>
      </c>
      <c r="I2985" s="679" t="s">
        <v>2293</v>
      </c>
      <c r="J2985" s="676">
        <v>0</v>
      </c>
      <c r="K2985" s="676">
        <v>0</v>
      </c>
      <c r="M2985" t="str">
        <f>""</f>
        <v/>
      </c>
    </row>
    <row r="2986" spans="1:13" ht="15.75">
      <c r="A2986">
        <v>2021</v>
      </c>
      <c r="B2986" s="777">
        <v>44440</v>
      </c>
      <c r="C2986" s="730">
        <v>0.26527777777777778</v>
      </c>
      <c r="D2986" s="777">
        <v>44440</v>
      </c>
      <c r="E2986" s="730">
        <v>0.66388888888888886</v>
      </c>
      <c r="F2986" s="558" t="s">
        <v>4035</v>
      </c>
      <c r="G2986" s="558" t="s">
        <v>124</v>
      </c>
      <c r="H2986" s="558" t="s">
        <v>2910</v>
      </c>
      <c r="I2986" s="679" t="s">
        <v>100</v>
      </c>
      <c r="J2986" s="676">
        <v>0</v>
      </c>
      <c r="K2986" s="676">
        <v>0</v>
      </c>
      <c r="M2986" t="str">
        <f>""</f>
        <v/>
      </c>
    </row>
    <row r="2987" spans="1:13" ht="15.75">
      <c r="A2987">
        <v>2021</v>
      </c>
      <c r="B2987" s="777">
        <v>44441</v>
      </c>
      <c r="C2987" s="730">
        <v>0.58819444444444446</v>
      </c>
      <c r="D2987" s="777">
        <v>44441</v>
      </c>
      <c r="E2987" s="730">
        <v>0.59027777777777779</v>
      </c>
      <c r="F2987" s="558" t="s">
        <v>2797</v>
      </c>
      <c r="G2987" s="558" t="s">
        <v>1352</v>
      </c>
      <c r="H2987" s="558" t="s">
        <v>3402</v>
      </c>
      <c r="I2987" s="679" t="s">
        <v>2118</v>
      </c>
      <c r="J2987" s="676">
        <v>0</v>
      </c>
      <c r="K2987" s="676">
        <v>0</v>
      </c>
      <c r="M2987" t="str">
        <f>""</f>
        <v/>
      </c>
    </row>
    <row r="2988" spans="1:13" ht="15.75">
      <c r="A2988">
        <v>2021</v>
      </c>
      <c r="B2988" s="777">
        <v>44448</v>
      </c>
      <c r="C2988" s="730">
        <v>0.66666666666666663</v>
      </c>
      <c r="D2988" s="777">
        <v>44448</v>
      </c>
      <c r="E2988" s="730">
        <v>0.72916666666666663</v>
      </c>
      <c r="F2988" s="558" t="s">
        <v>2945</v>
      </c>
      <c r="G2988" s="558" t="s">
        <v>124</v>
      </c>
      <c r="H2988" s="558" t="s">
        <v>3356</v>
      </c>
      <c r="I2988" s="679" t="s">
        <v>100</v>
      </c>
      <c r="J2988" s="676">
        <v>0</v>
      </c>
      <c r="K2988" s="676">
        <v>0</v>
      </c>
      <c r="M2988" t="str">
        <f>""</f>
        <v/>
      </c>
    </row>
    <row r="2989" spans="1:13" ht="15.75">
      <c r="A2989">
        <v>2021</v>
      </c>
      <c r="B2989" s="777">
        <v>44449</v>
      </c>
      <c r="C2989" s="730">
        <v>0.58680555555555558</v>
      </c>
      <c r="D2989" s="777" t="s">
        <v>5873</v>
      </c>
      <c r="E2989" s="730" t="s">
        <v>5873</v>
      </c>
      <c r="F2989" s="558" t="s">
        <v>5010</v>
      </c>
      <c r="G2989" s="558" t="s">
        <v>674</v>
      </c>
      <c r="H2989" s="558" t="s">
        <v>3356</v>
      </c>
      <c r="I2989" s="679" t="s">
        <v>100</v>
      </c>
      <c r="J2989" s="676">
        <v>0</v>
      </c>
      <c r="K2989" s="676">
        <v>0</v>
      </c>
      <c r="M2989" t="str">
        <f>""</f>
        <v/>
      </c>
    </row>
    <row r="2990" spans="1:13" ht="15.75">
      <c r="A2990">
        <v>2021</v>
      </c>
      <c r="B2990" s="777">
        <v>44450</v>
      </c>
      <c r="C2990" s="730">
        <v>0.35555555555555557</v>
      </c>
      <c r="D2990" s="777" t="s">
        <v>5873</v>
      </c>
      <c r="E2990" s="730" t="s">
        <v>5873</v>
      </c>
      <c r="F2990" s="558" t="s">
        <v>5014</v>
      </c>
      <c r="G2990" s="558" t="s">
        <v>5015</v>
      </c>
      <c r="H2990" s="558" t="s">
        <v>2910</v>
      </c>
      <c r="I2990" s="679" t="s">
        <v>2293</v>
      </c>
      <c r="J2990" s="676">
        <v>0</v>
      </c>
      <c r="K2990" s="676">
        <v>0</v>
      </c>
      <c r="M2990" t="str">
        <f>""</f>
        <v/>
      </c>
    </row>
    <row r="2991" spans="1:13" ht="15.75">
      <c r="A2991">
        <v>2021</v>
      </c>
      <c r="B2991" s="777">
        <v>44452</v>
      </c>
      <c r="C2991" s="730">
        <v>0.51249999999999996</v>
      </c>
      <c r="D2991" s="777">
        <v>44452</v>
      </c>
      <c r="E2991" s="730">
        <v>0.55208333333333337</v>
      </c>
      <c r="F2991" s="558" t="s">
        <v>5017</v>
      </c>
      <c r="G2991" s="558" t="s">
        <v>124</v>
      </c>
      <c r="H2991" s="558" t="s">
        <v>3411</v>
      </c>
      <c r="I2991" s="679" t="s">
        <v>2483</v>
      </c>
      <c r="J2991" s="676">
        <v>0</v>
      </c>
      <c r="K2991" s="676">
        <v>0</v>
      </c>
      <c r="M2991" t="str">
        <f>""</f>
        <v/>
      </c>
    </row>
    <row r="2992" spans="1:13" ht="15.75">
      <c r="A2992">
        <v>2021</v>
      </c>
      <c r="B2992" s="777">
        <v>44452</v>
      </c>
      <c r="C2992" s="730">
        <v>0.54861111111111116</v>
      </c>
      <c r="D2992" s="777" t="s">
        <v>5873</v>
      </c>
      <c r="E2992" s="730" t="s">
        <v>5873</v>
      </c>
      <c r="F2992" s="558" t="s">
        <v>3197</v>
      </c>
      <c r="G2992" s="558" t="s">
        <v>1352</v>
      </c>
      <c r="H2992" s="558" t="s">
        <v>3356</v>
      </c>
      <c r="I2992" s="679" t="s">
        <v>2483</v>
      </c>
      <c r="J2992" s="676">
        <v>0</v>
      </c>
      <c r="K2992" s="676">
        <v>0</v>
      </c>
      <c r="M2992" t="str">
        <f>""</f>
        <v/>
      </c>
    </row>
    <row r="2993" spans="1:13" ht="15.75">
      <c r="A2993">
        <v>2021</v>
      </c>
      <c r="B2993" s="777">
        <v>44454</v>
      </c>
      <c r="C2993" s="730">
        <v>0.9458333333333333</v>
      </c>
      <c r="D2993" s="777">
        <v>44455</v>
      </c>
      <c r="E2993" s="730">
        <v>2.5694444444444443E-2</v>
      </c>
      <c r="F2993" s="558" t="s">
        <v>4592</v>
      </c>
      <c r="G2993" s="558" t="s">
        <v>5026</v>
      </c>
      <c r="H2993" s="558" t="s">
        <v>3447</v>
      </c>
      <c r="I2993" s="679" t="s">
        <v>2764</v>
      </c>
      <c r="J2993" s="676">
        <v>0</v>
      </c>
      <c r="K2993" s="676">
        <v>0</v>
      </c>
      <c r="M2993" t="str">
        <f>""</f>
        <v/>
      </c>
    </row>
    <row r="2994" spans="1:13" ht="15.75">
      <c r="A2994">
        <v>2021</v>
      </c>
      <c r="B2994" s="777">
        <v>44456</v>
      </c>
      <c r="C2994" s="730">
        <v>0.15972222222222221</v>
      </c>
      <c r="D2994" s="777">
        <v>44457</v>
      </c>
      <c r="E2994" s="730">
        <v>0.17222222222222222</v>
      </c>
      <c r="F2994" s="558" t="s">
        <v>3561</v>
      </c>
      <c r="G2994" s="558" t="s">
        <v>3143</v>
      </c>
      <c r="H2994" s="558" t="s">
        <v>3402</v>
      </c>
      <c r="I2994" s="679" t="s">
        <v>2118</v>
      </c>
      <c r="J2994" s="676">
        <v>0</v>
      </c>
      <c r="K2994" s="676">
        <v>0</v>
      </c>
      <c r="M2994" t="str">
        <f>""</f>
        <v/>
      </c>
    </row>
    <row r="2995" spans="1:13" ht="15.75">
      <c r="A2995">
        <v>2021</v>
      </c>
      <c r="B2995" s="777">
        <v>44457</v>
      </c>
      <c r="C2995" s="730">
        <v>0.1875</v>
      </c>
      <c r="D2995" s="777">
        <v>44457</v>
      </c>
      <c r="E2995" s="730">
        <v>0.25</v>
      </c>
      <c r="F2995" s="558" t="s">
        <v>4774</v>
      </c>
      <c r="G2995" s="558" t="s">
        <v>3143</v>
      </c>
      <c r="H2995" s="558" t="s">
        <v>3402</v>
      </c>
      <c r="I2995" s="679" t="s">
        <v>2118</v>
      </c>
      <c r="J2995" s="676">
        <v>0</v>
      </c>
      <c r="K2995" s="676">
        <v>0</v>
      </c>
      <c r="M2995" t="str">
        <f>""</f>
        <v/>
      </c>
    </row>
    <row r="2996" spans="1:13" ht="15.75">
      <c r="A2996">
        <v>2021</v>
      </c>
      <c r="B2996" s="777">
        <v>44461</v>
      </c>
      <c r="C2996" s="730">
        <v>0.4</v>
      </c>
      <c r="D2996" s="777">
        <v>44462</v>
      </c>
      <c r="E2996" s="730">
        <v>0.48958333333333331</v>
      </c>
      <c r="F2996" s="558" t="s">
        <v>2967</v>
      </c>
      <c r="G2996" s="558" t="s">
        <v>124</v>
      </c>
      <c r="H2996" s="558" t="s">
        <v>3356</v>
      </c>
      <c r="I2996" s="679" t="s">
        <v>100</v>
      </c>
      <c r="J2996" s="676">
        <v>1</v>
      </c>
      <c r="K2996" s="676">
        <v>0</v>
      </c>
      <c r="M2996" t="str">
        <f>""</f>
        <v/>
      </c>
    </row>
    <row r="2997" spans="1:13" ht="15.75">
      <c r="A2997">
        <v>2021</v>
      </c>
      <c r="B2997" s="777">
        <v>44468</v>
      </c>
      <c r="C2997" s="730">
        <v>0.49166666666666664</v>
      </c>
      <c r="D2997" s="777">
        <v>44468</v>
      </c>
      <c r="E2997" s="730">
        <v>0.51458333333333328</v>
      </c>
      <c r="F2997" s="558" t="s">
        <v>4590</v>
      </c>
      <c r="G2997" s="558" t="s">
        <v>4918</v>
      </c>
      <c r="H2997" s="558" t="s">
        <v>3387</v>
      </c>
      <c r="I2997" s="679" t="s">
        <v>2764</v>
      </c>
      <c r="J2997" s="676">
        <v>150</v>
      </c>
      <c r="K2997" s="676">
        <v>0</v>
      </c>
      <c r="M2997" t="str">
        <f>""</f>
        <v/>
      </c>
    </row>
    <row r="2998" spans="1:13" ht="15.75">
      <c r="A2998">
        <v>2021</v>
      </c>
      <c r="B2998" s="777">
        <v>44472</v>
      </c>
      <c r="C2998" s="730">
        <v>0.44444444444444442</v>
      </c>
      <c r="D2998" s="777">
        <v>44472</v>
      </c>
      <c r="E2998" s="730">
        <v>0.49583333333333335</v>
      </c>
      <c r="F2998" s="558" t="s">
        <v>4185</v>
      </c>
      <c r="G2998" s="558" t="s">
        <v>1352</v>
      </c>
      <c r="H2998" s="558" t="s">
        <v>3402</v>
      </c>
      <c r="I2998" s="679" t="s">
        <v>2118</v>
      </c>
      <c r="J2998" s="676">
        <v>0</v>
      </c>
      <c r="K2998" s="676">
        <v>0</v>
      </c>
      <c r="M2998" t="str">
        <f>""</f>
        <v/>
      </c>
    </row>
    <row r="2999" spans="1:13" ht="15.75">
      <c r="A2999">
        <v>2021</v>
      </c>
      <c r="B2999" s="777">
        <v>44473</v>
      </c>
      <c r="C2999" s="730">
        <v>0.29166666666666669</v>
      </c>
      <c r="D2999" s="777">
        <v>44473</v>
      </c>
      <c r="E2999" s="730">
        <v>0.33333333333333331</v>
      </c>
      <c r="F2999" s="558" t="s">
        <v>5041</v>
      </c>
      <c r="G2999" s="558" t="s">
        <v>124</v>
      </c>
      <c r="H2999" s="558" t="s">
        <v>3356</v>
      </c>
      <c r="I2999" s="679" t="s">
        <v>100</v>
      </c>
      <c r="J2999" s="676" t="s">
        <v>5873</v>
      </c>
      <c r="K2999" s="676">
        <v>0</v>
      </c>
      <c r="M2999" t="str">
        <f>""</f>
        <v/>
      </c>
    </row>
    <row r="3000" spans="1:13" ht="15.75">
      <c r="A3000">
        <v>2021</v>
      </c>
      <c r="B3000" s="777">
        <v>44474</v>
      </c>
      <c r="C3000" s="730">
        <v>0.47986111111111113</v>
      </c>
      <c r="D3000" s="777">
        <v>44474</v>
      </c>
      <c r="E3000" s="730">
        <v>0.48055555555555557</v>
      </c>
      <c r="F3000" s="558" t="s">
        <v>4035</v>
      </c>
      <c r="G3000" s="558" t="s">
        <v>124</v>
      </c>
      <c r="H3000" s="558" t="s">
        <v>2910</v>
      </c>
      <c r="I3000" s="679" t="s">
        <v>100</v>
      </c>
      <c r="J3000" s="676">
        <v>0</v>
      </c>
      <c r="K3000" s="676">
        <v>0</v>
      </c>
      <c r="M3000" t="str">
        <f>""</f>
        <v/>
      </c>
    </row>
    <row r="3001" spans="1:13" ht="15.75">
      <c r="A3001">
        <v>2021</v>
      </c>
      <c r="B3001" s="777">
        <v>44474</v>
      </c>
      <c r="C3001" s="730">
        <v>0.47986111111111113</v>
      </c>
      <c r="D3001" s="777">
        <v>44474</v>
      </c>
      <c r="E3001" s="730">
        <v>0.48055555555555557</v>
      </c>
      <c r="F3001" s="558" t="s">
        <v>4035</v>
      </c>
      <c r="G3001" s="558" t="s">
        <v>124</v>
      </c>
      <c r="H3001" s="558" t="s">
        <v>2910</v>
      </c>
      <c r="I3001" s="679" t="s">
        <v>100</v>
      </c>
      <c r="J3001" s="676">
        <v>0</v>
      </c>
      <c r="K3001" s="676">
        <v>0</v>
      </c>
      <c r="M3001" t="str">
        <f>""</f>
        <v/>
      </c>
    </row>
    <row r="3002" spans="1:13" ht="15.75">
      <c r="A3002">
        <v>2021</v>
      </c>
      <c r="B3002" s="777">
        <v>44476</v>
      </c>
      <c r="C3002" s="730">
        <v>0.71875</v>
      </c>
      <c r="D3002" s="777">
        <v>44478</v>
      </c>
      <c r="E3002" s="730">
        <v>0.76041666666666663</v>
      </c>
      <c r="F3002" s="558" t="s">
        <v>3965</v>
      </c>
      <c r="G3002" s="558" t="s">
        <v>3143</v>
      </c>
      <c r="H3002" s="558" t="s">
        <v>3356</v>
      </c>
      <c r="I3002" s="679" t="s">
        <v>100</v>
      </c>
      <c r="J3002" s="676">
        <v>0</v>
      </c>
      <c r="K3002" s="676">
        <v>0</v>
      </c>
      <c r="M3002" t="str">
        <f>""</f>
        <v/>
      </c>
    </row>
    <row r="3003" spans="1:13" ht="15.75">
      <c r="A3003">
        <v>2021</v>
      </c>
      <c r="B3003" s="777">
        <v>44477</v>
      </c>
      <c r="C3003" s="730">
        <v>0.27083333333333331</v>
      </c>
      <c r="D3003" s="777">
        <v>44477</v>
      </c>
      <c r="E3003" s="730">
        <v>0.41666666666666669</v>
      </c>
      <c r="F3003" s="558" t="s">
        <v>3338</v>
      </c>
      <c r="G3003" s="558" t="s">
        <v>124</v>
      </c>
      <c r="H3003" s="558" t="s">
        <v>3356</v>
      </c>
      <c r="I3003" s="679" t="s">
        <v>100</v>
      </c>
      <c r="J3003" s="676">
        <v>0</v>
      </c>
      <c r="K3003" s="676">
        <v>0</v>
      </c>
      <c r="M3003" t="str">
        <f>""</f>
        <v/>
      </c>
    </row>
    <row r="3004" spans="1:13" ht="15.75">
      <c r="A3004">
        <v>2021</v>
      </c>
      <c r="B3004" s="777">
        <v>44477</v>
      </c>
      <c r="C3004" s="730">
        <v>0.60416666666666663</v>
      </c>
      <c r="D3004" s="777">
        <v>44477</v>
      </c>
      <c r="E3004" s="730">
        <v>0.77222222222222225</v>
      </c>
      <c r="F3004" s="558" t="s">
        <v>5046</v>
      </c>
      <c r="G3004" s="558" t="s">
        <v>3143</v>
      </c>
      <c r="H3004" s="558" t="s">
        <v>3387</v>
      </c>
      <c r="I3004" s="679" t="s">
        <v>2764</v>
      </c>
      <c r="J3004" s="676">
        <v>210</v>
      </c>
      <c r="K3004" s="676">
        <v>0</v>
      </c>
      <c r="M3004" t="str">
        <f>""</f>
        <v/>
      </c>
    </row>
    <row r="3005" spans="1:13" ht="15.75">
      <c r="A3005">
        <v>2021</v>
      </c>
      <c r="B3005" s="777">
        <v>44478</v>
      </c>
      <c r="C3005" s="730">
        <v>0.70902777777777781</v>
      </c>
      <c r="D3005" s="777">
        <v>44479</v>
      </c>
      <c r="E3005" s="730">
        <v>0.27083333333333331</v>
      </c>
      <c r="F3005" s="558" t="s">
        <v>2928</v>
      </c>
      <c r="G3005" s="558" t="s">
        <v>63</v>
      </c>
      <c r="H3005" s="558" t="s">
        <v>3447</v>
      </c>
      <c r="I3005" s="679" t="s">
        <v>2764</v>
      </c>
      <c r="J3005" s="676">
        <v>0</v>
      </c>
      <c r="K3005" s="676">
        <v>0</v>
      </c>
      <c r="M3005" t="str">
        <f>""</f>
        <v/>
      </c>
    </row>
    <row r="3006" spans="1:13" ht="15.75">
      <c r="A3006">
        <v>2021</v>
      </c>
      <c r="B3006" s="777">
        <v>44481</v>
      </c>
      <c r="C3006" s="730">
        <v>0.83888888888888891</v>
      </c>
      <c r="D3006" s="777">
        <v>44481</v>
      </c>
      <c r="E3006" s="730">
        <v>0.83958333333333335</v>
      </c>
      <c r="F3006" s="558" t="s">
        <v>4928</v>
      </c>
      <c r="G3006" s="558" t="s">
        <v>3143</v>
      </c>
      <c r="H3006" s="558" t="s">
        <v>3402</v>
      </c>
      <c r="I3006" s="679" t="s">
        <v>2118</v>
      </c>
      <c r="J3006" s="676">
        <v>0</v>
      </c>
      <c r="K3006" s="676">
        <v>0</v>
      </c>
      <c r="M3006" t="str">
        <f>""</f>
        <v/>
      </c>
    </row>
    <row r="3007" spans="1:13" ht="15.75">
      <c r="A3007">
        <v>2021</v>
      </c>
      <c r="B3007" s="777">
        <v>44487</v>
      </c>
      <c r="C3007" s="730">
        <v>0.9291666666666667</v>
      </c>
      <c r="D3007" s="777">
        <v>44487</v>
      </c>
      <c r="E3007" s="730">
        <v>0.97916666666666663</v>
      </c>
      <c r="F3007" s="558" t="s">
        <v>3245</v>
      </c>
      <c r="G3007" s="558" t="s">
        <v>3143</v>
      </c>
      <c r="H3007" s="558" t="s">
        <v>3387</v>
      </c>
      <c r="I3007" s="679" t="s">
        <v>2764</v>
      </c>
      <c r="J3007" s="676">
        <v>0</v>
      </c>
      <c r="K3007" s="676">
        <v>0</v>
      </c>
      <c r="M3007" t="str">
        <f>""</f>
        <v/>
      </c>
    </row>
    <row r="3008" spans="1:13" ht="15.75">
      <c r="A3008">
        <v>2021</v>
      </c>
      <c r="B3008" s="777">
        <v>44487</v>
      </c>
      <c r="C3008" s="730">
        <v>0.97638888888888886</v>
      </c>
      <c r="D3008" s="777">
        <v>44488</v>
      </c>
      <c r="E3008" s="730">
        <v>0.625</v>
      </c>
      <c r="F3008" s="558" t="s">
        <v>3215</v>
      </c>
      <c r="G3008" s="558" t="s">
        <v>3143</v>
      </c>
      <c r="H3008" s="558" t="s">
        <v>3874</v>
      </c>
      <c r="I3008" s="679" t="s">
        <v>2118</v>
      </c>
      <c r="J3008" s="676">
        <v>0</v>
      </c>
      <c r="K3008" s="676">
        <v>0</v>
      </c>
      <c r="M3008" t="str">
        <f>""</f>
        <v/>
      </c>
    </row>
    <row r="3009" spans="1:13" ht="15.75">
      <c r="A3009">
        <v>2021</v>
      </c>
      <c r="B3009" s="777">
        <v>44487</v>
      </c>
      <c r="C3009" s="730">
        <v>0.9770833333333333</v>
      </c>
      <c r="D3009" s="777">
        <v>44488</v>
      </c>
      <c r="E3009" s="730">
        <v>0.4201388888888889</v>
      </c>
      <c r="F3009" s="558" t="s">
        <v>5054</v>
      </c>
      <c r="G3009" s="558" t="s">
        <v>63</v>
      </c>
      <c r="H3009" s="558" t="s">
        <v>3874</v>
      </c>
      <c r="I3009" s="679" t="s">
        <v>2118</v>
      </c>
      <c r="J3009" s="676">
        <v>0</v>
      </c>
      <c r="K3009" s="676">
        <v>0</v>
      </c>
      <c r="M3009" t="str">
        <f>""</f>
        <v/>
      </c>
    </row>
    <row r="3010" spans="1:13" ht="15.75">
      <c r="A3010">
        <v>2021</v>
      </c>
      <c r="B3010" s="777">
        <v>44487</v>
      </c>
      <c r="C3010" s="730">
        <v>0.93472222222222223</v>
      </c>
      <c r="D3010" s="777">
        <v>44488</v>
      </c>
      <c r="E3010" s="730">
        <v>0.34652777777777777</v>
      </c>
      <c r="F3010" s="558" t="s">
        <v>3439</v>
      </c>
      <c r="G3010" s="558" t="s">
        <v>5055</v>
      </c>
      <c r="H3010" s="558" t="s">
        <v>3402</v>
      </c>
      <c r="I3010" s="679" t="s">
        <v>2118</v>
      </c>
      <c r="J3010" s="676">
        <v>0</v>
      </c>
      <c r="K3010" s="676">
        <v>0</v>
      </c>
      <c r="M3010" t="str">
        <f>""</f>
        <v/>
      </c>
    </row>
    <row r="3011" spans="1:13" ht="15.75">
      <c r="A3011">
        <v>2021</v>
      </c>
      <c r="B3011" s="777">
        <v>44487</v>
      </c>
      <c r="C3011" s="730">
        <v>0.4909722222222222</v>
      </c>
      <c r="D3011" s="777">
        <v>44487</v>
      </c>
      <c r="E3011" s="730">
        <v>0.49166666666666664</v>
      </c>
      <c r="F3011" s="558" t="s">
        <v>5056</v>
      </c>
      <c r="G3011" s="558" t="s">
        <v>63</v>
      </c>
      <c r="H3011" s="558" t="s">
        <v>3356</v>
      </c>
      <c r="I3011" s="679" t="s">
        <v>100</v>
      </c>
      <c r="J3011" s="676">
        <v>0</v>
      </c>
      <c r="K3011" s="676">
        <v>0</v>
      </c>
      <c r="M3011" t="str">
        <f>""</f>
        <v/>
      </c>
    </row>
    <row r="3012" spans="1:13" ht="15.75">
      <c r="A3012">
        <v>2021</v>
      </c>
      <c r="B3012" s="777">
        <v>44489</v>
      </c>
      <c r="C3012" s="730">
        <v>0.95833333333333337</v>
      </c>
      <c r="D3012" s="777">
        <v>44490</v>
      </c>
      <c r="E3012" s="730">
        <v>5.5555555555555552E-2</v>
      </c>
      <c r="F3012" s="558" t="s">
        <v>4807</v>
      </c>
      <c r="G3012" s="558" t="s">
        <v>4935</v>
      </c>
      <c r="H3012" s="558" t="s">
        <v>3387</v>
      </c>
      <c r="I3012" s="679" t="s">
        <v>2764</v>
      </c>
      <c r="J3012" s="676">
        <v>0</v>
      </c>
      <c r="K3012" s="676">
        <v>0</v>
      </c>
      <c r="M3012" t="str">
        <f>""</f>
        <v/>
      </c>
    </row>
    <row r="3013" spans="1:13" ht="15.75">
      <c r="A3013">
        <v>2021</v>
      </c>
      <c r="B3013" s="777">
        <v>44491</v>
      </c>
      <c r="C3013" s="730">
        <v>0.82986111111111116</v>
      </c>
      <c r="D3013" s="777">
        <v>44492</v>
      </c>
      <c r="E3013" s="730">
        <v>0.24652777777777779</v>
      </c>
      <c r="F3013" s="558" t="s">
        <v>4532</v>
      </c>
      <c r="G3013" s="558" t="s">
        <v>63</v>
      </c>
      <c r="H3013" s="558" t="s">
        <v>3387</v>
      </c>
      <c r="I3013" s="679" t="s">
        <v>2764</v>
      </c>
      <c r="J3013" s="676">
        <v>132</v>
      </c>
      <c r="K3013" s="676">
        <v>0</v>
      </c>
      <c r="M3013" t="str">
        <f>""</f>
        <v/>
      </c>
    </row>
    <row r="3014" spans="1:13" ht="15.75">
      <c r="A3014">
        <v>2021</v>
      </c>
      <c r="B3014" s="777">
        <v>44496</v>
      </c>
      <c r="C3014" s="730">
        <v>0.74791666666666667</v>
      </c>
      <c r="D3014" s="777">
        <v>44497</v>
      </c>
      <c r="E3014" s="730">
        <v>0.7006944444444444</v>
      </c>
      <c r="F3014" s="558" t="s">
        <v>5069</v>
      </c>
      <c r="G3014" s="558" t="s">
        <v>63</v>
      </c>
      <c r="H3014" s="558" t="s">
        <v>3411</v>
      </c>
      <c r="I3014" s="679" t="s">
        <v>2764</v>
      </c>
      <c r="J3014" s="676">
        <v>0</v>
      </c>
      <c r="K3014" s="676">
        <v>0</v>
      </c>
      <c r="M3014" t="str">
        <f>""</f>
        <v/>
      </c>
    </row>
    <row r="3015" spans="1:13" ht="15.75">
      <c r="A3015">
        <v>2021</v>
      </c>
      <c r="B3015" s="777">
        <v>44497</v>
      </c>
      <c r="C3015" s="730">
        <v>0.53263888888888888</v>
      </c>
      <c r="D3015" s="777">
        <v>44497</v>
      </c>
      <c r="E3015" s="730">
        <v>0.54513888888888884</v>
      </c>
      <c r="F3015" s="558" t="s">
        <v>3622</v>
      </c>
      <c r="G3015" s="558" t="s">
        <v>124</v>
      </c>
      <c r="H3015" s="558" t="s">
        <v>3411</v>
      </c>
      <c r="I3015" s="679" t="s">
        <v>2764</v>
      </c>
      <c r="J3015" s="676">
        <v>20</v>
      </c>
      <c r="K3015" s="676">
        <v>0</v>
      </c>
      <c r="M3015" t="str">
        <f>""</f>
        <v/>
      </c>
    </row>
    <row r="3016" spans="1:13" ht="15.75">
      <c r="A3016">
        <v>2021</v>
      </c>
      <c r="B3016" s="777">
        <v>44498</v>
      </c>
      <c r="C3016" s="730">
        <v>0.59722222222222221</v>
      </c>
      <c r="D3016" s="777">
        <v>44498</v>
      </c>
      <c r="E3016" s="730">
        <v>0.625</v>
      </c>
      <c r="F3016" s="558" t="s">
        <v>5076</v>
      </c>
      <c r="G3016" s="558" t="s">
        <v>61</v>
      </c>
      <c r="H3016" s="558" t="s">
        <v>3402</v>
      </c>
      <c r="I3016" s="679" t="s">
        <v>2118</v>
      </c>
      <c r="J3016" s="676">
        <v>0</v>
      </c>
      <c r="K3016" s="676">
        <v>0</v>
      </c>
      <c r="M3016" t="str">
        <f>""</f>
        <v/>
      </c>
    </row>
    <row r="3017" spans="1:13" ht="15.75">
      <c r="A3017">
        <v>2021</v>
      </c>
      <c r="B3017" s="777">
        <v>44500</v>
      </c>
      <c r="C3017" s="730">
        <v>0.32569444444444445</v>
      </c>
      <c r="D3017" s="777">
        <v>44500</v>
      </c>
      <c r="E3017" s="730">
        <v>0.3972222222222222</v>
      </c>
      <c r="F3017" s="558" t="s">
        <v>3967</v>
      </c>
      <c r="G3017" s="558" t="s">
        <v>124</v>
      </c>
      <c r="H3017" s="558" t="s">
        <v>2910</v>
      </c>
      <c r="I3017" s="679" t="s">
        <v>100</v>
      </c>
      <c r="J3017" s="676">
        <v>0</v>
      </c>
      <c r="K3017" s="676">
        <v>0</v>
      </c>
      <c r="M3017" t="str">
        <f>""</f>
        <v/>
      </c>
    </row>
    <row r="3018" spans="1:13" ht="15.75">
      <c r="A3018">
        <v>2021</v>
      </c>
      <c r="B3018" s="777">
        <v>44506</v>
      </c>
      <c r="C3018" s="730">
        <v>0.28125</v>
      </c>
      <c r="D3018" s="777">
        <v>44506</v>
      </c>
      <c r="E3018" s="730">
        <v>0.29166666666666669</v>
      </c>
      <c r="F3018" s="558" t="s">
        <v>5081</v>
      </c>
      <c r="G3018" s="558" t="s">
        <v>3143</v>
      </c>
      <c r="H3018" s="558" t="s">
        <v>3402</v>
      </c>
      <c r="I3018" s="679" t="s">
        <v>2118</v>
      </c>
      <c r="J3018" s="676">
        <v>0</v>
      </c>
      <c r="K3018" s="676">
        <v>0</v>
      </c>
      <c r="M3018" t="str">
        <f>""</f>
        <v/>
      </c>
    </row>
    <row r="3019" spans="1:13" ht="15.75">
      <c r="A3019">
        <v>2021</v>
      </c>
      <c r="B3019" s="777">
        <v>44509</v>
      </c>
      <c r="C3019" s="730">
        <v>0.36805555555555558</v>
      </c>
      <c r="D3019" s="777">
        <v>44509</v>
      </c>
      <c r="E3019" s="730">
        <v>0.66666666666666663</v>
      </c>
      <c r="F3019" s="558" t="s">
        <v>5086</v>
      </c>
      <c r="G3019" s="558" t="s">
        <v>3143</v>
      </c>
      <c r="H3019" s="558" t="s">
        <v>3356</v>
      </c>
      <c r="I3019" s="679" t="s">
        <v>100</v>
      </c>
      <c r="J3019" s="676">
        <v>0</v>
      </c>
      <c r="K3019" s="676">
        <v>0</v>
      </c>
      <c r="M3019" t="str">
        <f>""</f>
        <v/>
      </c>
    </row>
    <row r="3020" spans="1:13" ht="15.75">
      <c r="A3020">
        <v>2021</v>
      </c>
      <c r="B3020" s="777">
        <v>44510</v>
      </c>
      <c r="C3020" s="730">
        <v>0.8881944444444444</v>
      </c>
      <c r="D3020" s="777">
        <v>44511</v>
      </c>
      <c r="E3020" s="730">
        <v>5.486111111111111E-2</v>
      </c>
      <c r="F3020" s="558" t="s">
        <v>4083</v>
      </c>
      <c r="G3020" s="558" t="s">
        <v>1352</v>
      </c>
      <c r="H3020" s="558" t="s">
        <v>3411</v>
      </c>
      <c r="I3020" s="679" t="s">
        <v>2483</v>
      </c>
      <c r="J3020" s="676">
        <v>0</v>
      </c>
      <c r="K3020" s="676">
        <v>0</v>
      </c>
      <c r="M3020" t="str">
        <f>""</f>
        <v/>
      </c>
    </row>
    <row r="3021" spans="1:13" ht="15.75">
      <c r="A3021">
        <v>2021</v>
      </c>
      <c r="B3021" s="777">
        <v>44510</v>
      </c>
      <c r="C3021" s="730">
        <v>0.40902777777777777</v>
      </c>
      <c r="D3021" s="777">
        <v>44510</v>
      </c>
      <c r="E3021" s="730">
        <v>0.4201388888888889</v>
      </c>
      <c r="F3021" s="558" t="s">
        <v>2868</v>
      </c>
      <c r="G3021" s="558" t="s">
        <v>61</v>
      </c>
      <c r="H3021" s="558" t="s">
        <v>3411</v>
      </c>
      <c r="I3021" s="679" t="s">
        <v>2483</v>
      </c>
      <c r="J3021" s="676">
        <v>0</v>
      </c>
      <c r="K3021" s="676">
        <v>0</v>
      </c>
      <c r="M3021" t="str">
        <f>""</f>
        <v/>
      </c>
    </row>
    <row r="3022" spans="1:13" ht="15.75">
      <c r="A3022">
        <v>2021</v>
      </c>
      <c r="B3022" s="777">
        <v>44512</v>
      </c>
      <c r="C3022" s="730">
        <v>0.29166666666666669</v>
      </c>
      <c r="D3022" s="777">
        <v>44512</v>
      </c>
      <c r="E3022" s="730">
        <v>0.30138888888888887</v>
      </c>
      <c r="F3022" s="558" t="s">
        <v>5092</v>
      </c>
      <c r="G3022" s="558" t="s">
        <v>124</v>
      </c>
      <c r="H3022" s="558" t="s">
        <v>3356</v>
      </c>
      <c r="I3022" s="679" t="s">
        <v>100</v>
      </c>
      <c r="J3022" s="676">
        <v>0</v>
      </c>
      <c r="K3022" s="676">
        <v>0</v>
      </c>
      <c r="M3022" t="str">
        <f>""</f>
        <v/>
      </c>
    </row>
    <row r="3023" spans="1:13" ht="15.75">
      <c r="A3023">
        <v>2021</v>
      </c>
      <c r="B3023" s="777">
        <v>44515</v>
      </c>
      <c r="C3023" s="730">
        <v>0.4909722222222222</v>
      </c>
      <c r="D3023" s="777" t="s">
        <v>5873</v>
      </c>
      <c r="E3023" s="730" t="s">
        <v>5873</v>
      </c>
      <c r="F3023" s="558" t="s">
        <v>3645</v>
      </c>
      <c r="G3023" s="558" t="s">
        <v>124</v>
      </c>
      <c r="H3023" s="558" t="s">
        <v>2910</v>
      </c>
      <c r="I3023" s="679" t="s">
        <v>2118</v>
      </c>
      <c r="J3023" s="676">
        <v>0</v>
      </c>
      <c r="K3023" s="676">
        <v>0</v>
      </c>
      <c r="M3023" t="str">
        <f>""</f>
        <v/>
      </c>
    </row>
    <row r="3024" spans="1:13" ht="15.75">
      <c r="A3024">
        <v>2021</v>
      </c>
      <c r="B3024" s="777">
        <v>44516</v>
      </c>
      <c r="C3024" s="730">
        <v>2.9166666666666667E-2</v>
      </c>
      <c r="D3024" s="777">
        <v>44516</v>
      </c>
      <c r="E3024" s="730">
        <v>0.31597222222222221</v>
      </c>
      <c r="F3024" s="558" t="s">
        <v>2967</v>
      </c>
      <c r="G3024" s="558" t="s">
        <v>124</v>
      </c>
      <c r="H3024" s="558" t="s">
        <v>4043</v>
      </c>
      <c r="I3024" s="679" t="s">
        <v>2118</v>
      </c>
      <c r="J3024" s="676">
        <v>0</v>
      </c>
      <c r="K3024" s="676">
        <v>0</v>
      </c>
      <c r="M3024" t="str">
        <f>""</f>
        <v/>
      </c>
    </row>
    <row r="3025" spans="1:13" ht="15.75">
      <c r="A3025">
        <v>2021</v>
      </c>
      <c r="B3025" s="777">
        <v>44516</v>
      </c>
      <c r="C3025" s="730">
        <v>0.73402777777777772</v>
      </c>
      <c r="D3025" s="777">
        <v>44516</v>
      </c>
      <c r="E3025" s="730">
        <v>0.76458333333333328</v>
      </c>
      <c r="F3025" s="558" t="s">
        <v>3965</v>
      </c>
      <c r="G3025" s="558" t="s">
        <v>3143</v>
      </c>
      <c r="H3025" s="558" t="s">
        <v>3447</v>
      </c>
      <c r="I3025" s="679" t="s">
        <v>2764</v>
      </c>
      <c r="J3025" s="676">
        <v>0</v>
      </c>
      <c r="K3025" s="676">
        <v>0</v>
      </c>
      <c r="M3025" t="str">
        <f>""</f>
        <v/>
      </c>
    </row>
    <row r="3026" spans="1:13" ht="15.75">
      <c r="A3026">
        <v>2021</v>
      </c>
      <c r="B3026" s="777">
        <v>44517</v>
      </c>
      <c r="C3026" s="730">
        <v>0.52986111111111112</v>
      </c>
      <c r="D3026" s="777">
        <v>44517</v>
      </c>
      <c r="E3026" s="730">
        <v>0.55902777777777779</v>
      </c>
      <c r="F3026" s="558" t="s">
        <v>5097</v>
      </c>
      <c r="G3026" s="558" t="s">
        <v>3143</v>
      </c>
      <c r="H3026" s="558" t="s">
        <v>3387</v>
      </c>
      <c r="I3026" s="679" t="s">
        <v>2764</v>
      </c>
      <c r="J3026" s="676">
        <v>0</v>
      </c>
      <c r="K3026" s="676">
        <v>0</v>
      </c>
      <c r="M3026" t="str">
        <f>""</f>
        <v/>
      </c>
    </row>
    <row r="3027" spans="1:13" ht="15.75">
      <c r="A3027">
        <v>2021</v>
      </c>
      <c r="B3027" s="777">
        <v>44517</v>
      </c>
      <c r="C3027" s="730">
        <v>0.55000000000000004</v>
      </c>
      <c r="D3027" s="777" t="s">
        <v>5873</v>
      </c>
      <c r="E3027" s="730" t="s">
        <v>5873</v>
      </c>
      <c r="F3027" s="558" t="s">
        <v>3645</v>
      </c>
      <c r="G3027" s="558" t="s">
        <v>124</v>
      </c>
      <c r="H3027" s="558" t="s">
        <v>2910</v>
      </c>
      <c r="I3027" s="679" t="s">
        <v>100</v>
      </c>
      <c r="J3027" s="676">
        <v>0</v>
      </c>
      <c r="K3027" s="676">
        <v>0</v>
      </c>
      <c r="M3027" t="str">
        <f>""</f>
        <v/>
      </c>
    </row>
    <row r="3028" spans="1:13" ht="15.75">
      <c r="A3028">
        <v>2021</v>
      </c>
      <c r="B3028" s="777">
        <v>44521</v>
      </c>
      <c r="C3028" s="730">
        <v>0.41666666666666669</v>
      </c>
      <c r="D3028" s="777">
        <v>44521</v>
      </c>
      <c r="E3028" s="730">
        <v>0.41736111111111113</v>
      </c>
      <c r="F3028" s="558" t="s">
        <v>3554</v>
      </c>
      <c r="G3028" s="558" t="s">
        <v>4935</v>
      </c>
      <c r="H3028" s="558" t="s">
        <v>5099</v>
      </c>
      <c r="I3028" s="679" t="s">
        <v>2952</v>
      </c>
      <c r="J3028" s="676">
        <v>0</v>
      </c>
      <c r="K3028" s="676">
        <v>0</v>
      </c>
      <c r="M3028" t="str">
        <f>""</f>
        <v/>
      </c>
    </row>
    <row r="3029" spans="1:13" ht="15.75">
      <c r="A3029">
        <v>2021</v>
      </c>
      <c r="B3029" s="777">
        <v>44530</v>
      </c>
      <c r="C3029" s="730">
        <v>0.28194444444444444</v>
      </c>
      <c r="D3029" s="777">
        <v>44530</v>
      </c>
      <c r="E3029" s="730">
        <v>0.28263888888888888</v>
      </c>
      <c r="F3029" s="558" t="s">
        <v>2832</v>
      </c>
      <c r="G3029" s="558" t="s">
        <v>63</v>
      </c>
      <c r="H3029" s="558" t="s">
        <v>3411</v>
      </c>
      <c r="I3029" s="679" t="s">
        <v>2764</v>
      </c>
      <c r="J3029" s="676">
        <v>0</v>
      </c>
      <c r="K3029" s="676">
        <v>0</v>
      </c>
      <c r="M3029" t="str">
        <f>""</f>
        <v/>
      </c>
    </row>
    <row r="3030" spans="1:13" ht="15.75">
      <c r="A3030">
        <v>2021</v>
      </c>
      <c r="B3030" s="777">
        <v>44530</v>
      </c>
      <c r="C3030" s="730">
        <v>0.28611111111111109</v>
      </c>
      <c r="D3030" s="777">
        <v>44530</v>
      </c>
      <c r="E3030" s="730">
        <v>0.30902777777777779</v>
      </c>
      <c r="F3030" s="558" t="s">
        <v>4185</v>
      </c>
      <c r="G3030" s="558" t="s">
        <v>1352</v>
      </c>
      <c r="H3030" s="558" t="s">
        <v>3402</v>
      </c>
      <c r="I3030" s="679" t="s">
        <v>2118</v>
      </c>
      <c r="J3030" s="676">
        <v>0</v>
      </c>
      <c r="K3030" s="676">
        <v>0</v>
      </c>
      <c r="M3030" t="str">
        <f>""</f>
        <v/>
      </c>
    </row>
    <row r="3031" spans="1:13" ht="15.75">
      <c r="A3031">
        <v>2021</v>
      </c>
      <c r="B3031" s="777">
        <v>44530</v>
      </c>
      <c r="C3031" s="730">
        <v>0.20833333333333334</v>
      </c>
      <c r="D3031" s="777">
        <v>44530</v>
      </c>
      <c r="E3031" s="730">
        <v>0.20902777777777778</v>
      </c>
      <c r="F3031" s="558" t="s">
        <v>5092</v>
      </c>
      <c r="G3031" s="558" t="s">
        <v>124</v>
      </c>
      <c r="H3031" s="558" t="s">
        <v>3356</v>
      </c>
      <c r="I3031" s="679" t="s">
        <v>100</v>
      </c>
      <c r="J3031" s="676">
        <v>0</v>
      </c>
      <c r="K3031" s="676">
        <v>0</v>
      </c>
      <c r="M3031" t="str">
        <f>""</f>
        <v/>
      </c>
    </row>
    <row r="3032" spans="1:13" ht="15.75">
      <c r="A3032">
        <v>2021</v>
      </c>
      <c r="B3032" s="777">
        <v>44531</v>
      </c>
      <c r="C3032" s="730">
        <v>0.41944444444444445</v>
      </c>
      <c r="D3032" s="777">
        <v>44531</v>
      </c>
      <c r="E3032" s="730">
        <v>0.54722222222222228</v>
      </c>
      <c r="F3032" s="558" t="s">
        <v>4807</v>
      </c>
      <c r="G3032" s="558" t="s">
        <v>674</v>
      </c>
      <c r="H3032" s="558" t="s">
        <v>3387</v>
      </c>
      <c r="I3032" s="679" t="s">
        <v>2764</v>
      </c>
      <c r="J3032" s="676">
        <v>0</v>
      </c>
      <c r="K3032" s="676">
        <v>0</v>
      </c>
      <c r="M3032" t="str">
        <f>""</f>
        <v/>
      </c>
    </row>
    <row r="3033" spans="1:13" ht="15.75">
      <c r="A3033">
        <v>2021</v>
      </c>
      <c r="B3033" s="777">
        <v>44532</v>
      </c>
      <c r="C3033" s="730">
        <v>0.43958333333333333</v>
      </c>
      <c r="D3033" s="777">
        <v>44532</v>
      </c>
      <c r="E3033" s="730">
        <v>0.54861111111111116</v>
      </c>
      <c r="F3033" s="558" t="s">
        <v>2919</v>
      </c>
      <c r="G3033" s="558" t="s">
        <v>1352</v>
      </c>
      <c r="H3033" s="558" t="s">
        <v>3387</v>
      </c>
      <c r="I3033" s="679" t="s">
        <v>2764</v>
      </c>
      <c r="J3033" s="676">
        <v>0</v>
      </c>
      <c r="K3033" s="676">
        <v>0</v>
      </c>
      <c r="M3033" t="str">
        <f>""</f>
        <v/>
      </c>
    </row>
    <row r="3034" spans="1:13" ht="15.75">
      <c r="A3034">
        <v>2021</v>
      </c>
      <c r="B3034" s="777">
        <v>44537</v>
      </c>
      <c r="C3034" s="730">
        <v>0.60624999999999996</v>
      </c>
      <c r="D3034" s="777">
        <v>44537</v>
      </c>
      <c r="E3034" s="730">
        <v>0.65277777777777779</v>
      </c>
      <c r="F3034" s="558" t="s">
        <v>5109</v>
      </c>
      <c r="G3034" s="558" t="s">
        <v>3143</v>
      </c>
      <c r="H3034" s="558" t="s">
        <v>3411</v>
      </c>
      <c r="I3034" s="679" t="s">
        <v>2483</v>
      </c>
      <c r="J3034" s="676">
        <v>0</v>
      </c>
      <c r="K3034" s="676">
        <v>0</v>
      </c>
      <c r="M3034" t="str">
        <f>""</f>
        <v/>
      </c>
    </row>
    <row r="3035" spans="1:13" ht="15.75">
      <c r="A3035">
        <v>2021</v>
      </c>
      <c r="B3035" s="777">
        <v>44538</v>
      </c>
      <c r="C3035" s="730">
        <v>0.37777777777777777</v>
      </c>
      <c r="D3035" s="777">
        <v>44538</v>
      </c>
      <c r="E3035" s="730">
        <v>0.39930555555555558</v>
      </c>
      <c r="F3035" s="558" t="s">
        <v>3719</v>
      </c>
      <c r="G3035" s="558" t="s">
        <v>61</v>
      </c>
      <c r="H3035" s="558" t="s">
        <v>3387</v>
      </c>
      <c r="I3035" s="679" t="s">
        <v>2764</v>
      </c>
      <c r="J3035" s="676">
        <v>0</v>
      </c>
      <c r="K3035" s="676">
        <v>0</v>
      </c>
      <c r="M3035" t="str">
        <f>""</f>
        <v/>
      </c>
    </row>
    <row r="3036" spans="1:13" ht="15.75">
      <c r="A3036">
        <v>2021</v>
      </c>
      <c r="B3036" s="777">
        <v>44540</v>
      </c>
      <c r="C3036" s="730">
        <v>0.50416666666666665</v>
      </c>
      <c r="D3036" s="777">
        <v>44540</v>
      </c>
      <c r="E3036" s="730">
        <v>0.54652777777777772</v>
      </c>
      <c r="F3036" s="558" t="s">
        <v>2847</v>
      </c>
      <c r="G3036" s="558" t="s">
        <v>124</v>
      </c>
      <c r="H3036" s="558" t="s">
        <v>3356</v>
      </c>
      <c r="I3036" s="679" t="s">
        <v>100</v>
      </c>
      <c r="J3036" s="676">
        <v>0</v>
      </c>
      <c r="K3036" s="676">
        <v>0</v>
      </c>
      <c r="M3036" t="str">
        <f>""</f>
        <v/>
      </c>
    </row>
    <row r="3037" spans="1:13" ht="15.75">
      <c r="A3037">
        <v>2021</v>
      </c>
      <c r="B3037" s="777">
        <v>44544</v>
      </c>
      <c r="C3037" s="730">
        <v>0.40208333333333335</v>
      </c>
      <c r="D3037" s="777">
        <v>44544</v>
      </c>
      <c r="E3037" s="730">
        <v>0.40833333333333333</v>
      </c>
      <c r="F3037" s="558" t="s">
        <v>4049</v>
      </c>
      <c r="G3037" s="558" t="s">
        <v>124</v>
      </c>
      <c r="H3037" s="558" t="s">
        <v>3411</v>
      </c>
      <c r="I3037" s="679" t="s">
        <v>2764</v>
      </c>
      <c r="J3037" s="676">
        <v>0</v>
      </c>
      <c r="K3037" s="676">
        <v>0</v>
      </c>
      <c r="M3037" t="str">
        <f>""</f>
        <v/>
      </c>
    </row>
    <row r="3038" spans="1:13" ht="15.75">
      <c r="A3038">
        <v>2021</v>
      </c>
      <c r="B3038" s="777">
        <v>44549</v>
      </c>
      <c r="C3038" s="730">
        <v>0.8666666666666667</v>
      </c>
      <c r="D3038" s="777">
        <v>44549</v>
      </c>
      <c r="E3038" s="730">
        <v>0.875</v>
      </c>
      <c r="F3038" s="558" t="s">
        <v>4185</v>
      </c>
      <c r="G3038" s="558" t="s">
        <v>1352</v>
      </c>
      <c r="H3038" s="558" t="s">
        <v>3402</v>
      </c>
      <c r="I3038" s="679" t="s">
        <v>2118</v>
      </c>
      <c r="J3038" s="676">
        <v>0</v>
      </c>
      <c r="K3038" s="676">
        <v>0</v>
      </c>
      <c r="M3038" t="str">
        <f>""</f>
        <v/>
      </c>
    </row>
    <row r="3039" spans="1:13" ht="15.75">
      <c r="A3039">
        <v>2021</v>
      </c>
      <c r="B3039" s="777">
        <v>44553</v>
      </c>
      <c r="C3039" s="730">
        <v>4.8611111111111112E-2</v>
      </c>
      <c r="D3039" s="777">
        <v>44553</v>
      </c>
      <c r="E3039" s="730">
        <v>5.2083333333333336E-2</v>
      </c>
      <c r="F3039" s="558" t="s">
        <v>5081</v>
      </c>
      <c r="G3039" s="558" t="s">
        <v>3143</v>
      </c>
      <c r="H3039" s="558" t="s">
        <v>3402</v>
      </c>
      <c r="I3039" s="679" t="s">
        <v>2118</v>
      </c>
      <c r="J3039" s="676">
        <v>0</v>
      </c>
      <c r="K3039" s="676">
        <v>0</v>
      </c>
      <c r="M3039" t="str">
        <f>""</f>
        <v/>
      </c>
    </row>
    <row r="3040" spans="1:13" ht="15.75">
      <c r="A3040">
        <v>2021</v>
      </c>
      <c r="B3040" s="777">
        <v>44553</v>
      </c>
      <c r="C3040" s="730">
        <v>0.58472222222222225</v>
      </c>
      <c r="D3040" s="777">
        <v>44553</v>
      </c>
      <c r="E3040" s="730">
        <v>0.62152777777777779</v>
      </c>
      <c r="F3040" s="558" t="s">
        <v>5143</v>
      </c>
      <c r="G3040" s="558" t="s">
        <v>61</v>
      </c>
      <c r="H3040" s="558" t="s">
        <v>3411</v>
      </c>
      <c r="I3040" s="679" t="s">
        <v>2764</v>
      </c>
      <c r="J3040" s="676">
        <v>0</v>
      </c>
      <c r="K3040" s="676">
        <v>0</v>
      </c>
      <c r="M3040" t="str">
        <f>""</f>
        <v/>
      </c>
    </row>
    <row r="3041" spans="1:13" ht="15.75">
      <c r="A3041">
        <v>2021</v>
      </c>
      <c r="B3041" s="777">
        <v>44559</v>
      </c>
      <c r="C3041" s="730">
        <v>0.45833333333333331</v>
      </c>
      <c r="D3041" s="777">
        <v>44559</v>
      </c>
      <c r="E3041" s="730">
        <v>0.5</v>
      </c>
      <c r="F3041" s="558" t="s">
        <v>2817</v>
      </c>
      <c r="G3041" s="558" t="s">
        <v>124</v>
      </c>
      <c r="H3041" s="558" t="s">
        <v>3387</v>
      </c>
      <c r="I3041" s="679" t="s">
        <v>2764</v>
      </c>
      <c r="J3041" s="676">
        <v>0</v>
      </c>
      <c r="K3041" s="676">
        <v>0</v>
      </c>
      <c r="M3041" t="str">
        <f>""</f>
        <v/>
      </c>
    </row>
    <row r="3042" spans="1:13" ht="15.75">
      <c r="A3042">
        <v>2021</v>
      </c>
      <c r="B3042" s="777">
        <v>44560</v>
      </c>
      <c r="C3042" s="730">
        <v>0.78541666666666665</v>
      </c>
      <c r="D3042" s="777" t="s">
        <v>5873</v>
      </c>
      <c r="E3042" s="730" t="s">
        <v>5873</v>
      </c>
      <c r="F3042" s="558" t="s">
        <v>5152</v>
      </c>
      <c r="G3042" s="558" t="s">
        <v>63</v>
      </c>
      <c r="H3042" s="558" t="s">
        <v>3356</v>
      </c>
      <c r="I3042" s="679" t="s">
        <v>100</v>
      </c>
      <c r="J3042" s="676">
        <v>0</v>
      </c>
      <c r="K3042" s="676">
        <v>0</v>
      </c>
      <c r="M3042" t="str">
        <f>""</f>
        <v/>
      </c>
    </row>
    <row r="3043" spans="1:13" ht="15.75">
      <c r="A3043">
        <v>2022</v>
      </c>
      <c r="B3043" s="777">
        <v>44562</v>
      </c>
      <c r="C3043" s="730">
        <v>0.52500000000000002</v>
      </c>
      <c r="D3043" s="777">
        <v>44562</v>
      </c>
      <c r="E3043" s="730">
        <v>0.59166666666666667</v>
      </c>
      <c r="F3043" s="558" t="s">
        <v>4315</v>
      </c>
      <c r="G3043" s="558" t="s">
        <v>124</v>
      </c>
      <c r="H3043" s="558" t="s">
        <v>5132</v>
      </c>
      <c r="I3043" s="679" t="s">
        <v>2764</v>
      </c>
      <c r="J3043" s="676">
        <v>0</v>
      </c>
      <c r="K3043" s="676">
        <v>0</v>
      </c>
      <c r="M3043" t="str">
        <f>""</f>
        <v/>
      </c>
    </row>
    <row r="3044" spans="1:13" ht="15.75">
      <c r="A3044">
        <v>2022</v>
      </c>
      <c r="B3044" s="777">
        <v>44562</v>
      </c>
      <c r="C3044" s="730">
        <v>0.52500000000000002</v>
      </c>
      <c r="D3044" s="777">
        <v>44563</v>
      </c>
      <c r="E3044" s="730">
        <v>0.82152777777777775</v>
      </c>
      <c r="F3044" s="558" t="s">
        <v>4315</v>
      </c>
      <c r="G3044" s="558" t="s">
        <v>124</v>
      </c>
      <c r="H3044" s="558" t="s">
        <v>5132</v>
      </c>
      <c r="I3044" s="679" t="s">
        <v>2764</v>
      </c>
      <c r="J3044" s="676">
        <v>0</v>
      </c>
      <c r="K3044" s="676">
        <v>0</v>
      </c>
      <c r="M3044" t="str">
        <f>""</f>
        <v/>
      </c>
    </row>
    <row r="3045" spans="1:13" ht="15.75">
      <c r="A3045">
        <v>2022</v>
      </c>
      <c r="B3045" s="777">
        <v>44562</v>
      </c>
      <c r="C3045" s="730">
        <v>4.2361111111111113E-2</v>
      </c>
      <c r="D3045" s="777" t="s">
        <v>5873</v>
      </c>
      <c r="E3045" s="730" t="s">
        <v>5873</v>
      </c>
      <c r="F3045" s="558" t="s">
        <v>5155</v>
      </c>
      <c r="G3045" s="558" t="s">
        <v>63</v>
      </c>
      <c r="H3045" s="558" t="s">
        <v>3356</v>
      </c>
      <c r="I3045" s="679" t="s">
        <v>100</v>
      </c>
      <c r="J3045" s="676">
        <v>0</v>
      </c>
      <c r="K3045" s="676">
        <v>0</v>
      </c>
      <c r="M3045" t="str">
        <f>""</f>
        <v/>
      </c>
    </row>
    <row r="3046" spans="1:13" ht="15.75">
      <c r="A3046">
        <v>2022</v>
      </c>
      <c r="B3046" s="777">
        <v>44564</v>
      </c>
      <c r="C3046" s="730">
        <v>0.53125</v>
      </c>
      <c r="D3046" s="777">
        <v>44564</v>
      </c>
      <c r="E3046" s="730">
        <v>0.53194444444444444</v>
      </c>
      <c r="F3046" s="558" t="s">
        <v>4315</v>
      </c>
      <c r="G3046" s="558" t="s">
        <v>124</v>
      </c>
      <c r="H3046" s="558" t="s">
        <v>2910</v>
      </c>
      <c r="I3046" s="679" t="s">
        <v>100</v>
      </c>
      <c r="J3046" s="676">
        <v>0</v>
      </c>
      <c r="K3046" s="676">
        <v>0</v>
      </c>
      <c r="M3046" t="str">
        <f>""</f>
        <v/>
      </c>
    </row>
    <row r="3047" spans="1:13" ht="15.75">
      <c r="A3047">
        <v>2022</v>
      </c>
      <c r="B3047" s="777">
        <v>44566</v>
      </c>
      <c r="C3047" s="730">
        <v>0.52222222222222225</v>
      </c>
      <c r="D3047" s="777">
        <v>44566</v>
      </c>
      <c r="E3047" s="730">
        <v>0.53125</v>
      </c>
      <c r="F3047" s="558" t="s">
        <v>5167</v>
      </c>
      <c r="G3047" s="558" t="s">
        <v>61</v>
      </c>
      <c r="H3047" s="558" t="s">
        <v>3411</v>
      </c>
      <c r="I3047" s="679" t="s">
        <v>2764</v>
      </c>
      <c r="J3047" s="676">
        <v>0</v>
      </c>
      <c r="K3047" s="676">
        <v>0</v>
      </c>
      <c r="M3047" t="str">
        <f>""</f>
        <v/>
      </c>
    </row>
    <row r="3048" spans="1:13" ht="15.75">
      <c r="A3048">
        <v>2022</v>
      </c>
      <c r="B3048" s="777">
        <v>44569</v>
      </c>
      <c r="C3048" s="730">
        <v>9.7222222222222224E-2</v>
      </c>
      <c r="D3048" s="777">
        <v>44573</v>
      </c>
      <c r="E3048" s="730">
        <v>0.31944444444444442</v>
      </c>
      <c r="F3048" s="558" t="s">
        <v>5012</v>
      </c>
      <c r="G3048" s="558" t="s">
        <v>63</v>
      </c>
      <c r="H3048" s="558" t="s">
        <v>3356</v>
      </c>
      <c r="I3048" s="679" t="s">
        <v>100</v>
      </c>
      <c r="J3048" s="676">
        <v>0</v>
      </c>
      <c r="K3048" s="676">
        <v>0</v>
      </c>
      <c r="M3048" t="str">
        <f>""</f>
        <v/>
      </c>
    </row>
    <row r="3049" spans="1:13" ht="15.75">
      <c r="A3049">
        <v>2022</v>
      </c>
      <c r="B3049" s="777">
        <v>44569</v>
      </c>
      <c r="C3049" s="730">
        <v>0.75486111111111109</v>
      </c>
      <c r="D3049" s="777">
        <v>44569</v>
      </c>
      <c r="E3049" s="730">
        <v>0.93472222222222223</v>
      </c>
      <c r="F3049" s="558" t="s">
        <v>5156</v>
      </c>
      <c r="G3049" s="558" t="s">
        <v>61</v>
      </c>
      <c r="H3049" s="558" t="s">
        <v>2910</v>
      </c>
      <c r="I3049" s="679" t="s">
        <v>2118</v>
      </c>
      <c r="J3049" s="676">
        <v>0</v>
      </c>
      <c r="K3049" s="676">
        <v>0</v>
      </c>
      <c r="M3049" t="str">
        <f>""</f>
        <v/>
      </c>
    </row>
    <row r="3050" spans="1:13" ht="15.75">
      <c r="A3050">
        <v>2022</v>
      </c>
      <c r="B3050" s="777">
        <v>44569</v>
      </c>
      <c r="C3050" s="730">
        <v>0.12222222222222222</v>
      </c>
      <c r="D3050" s="777">
        <v>44569</v>
      </c>
      <c r="E3050" s="730">
        <v>0.12708333333333333</v>
      </c>
      <c r="F3050" s="558" t="s">
        <v>5170</v>
      </c>
      <c r="G3050" s="558" t="s">
        <v>1352</v>
      </c>
      <c r="H3050" s="558" t="s">
        <v>3411</v>
      </c>
      <c r="I3050" s="679" t="s">
        <v>2764</v>
      </c>
      <c r="J3050" s="676">
        <v>0</v>
      </c>
      <c r="K3050" s="676">
        <v>0</v>
      </c>
      <c r="M3050" t="str">
        <f>""</f>
        <v/>
      </c>
    </row>
    <row r="3051" spans="1:13" ht="15.75">
      <c r="A3051">
        <v>2022</v>
      </c>
      <c r="B3051" s="777">
        <v>44574</v>
      </c>
      <c r="C3051" s="730">
        <v>0.66666666666666663</v>
      </c>
      <c r="D3051" s="777">
        <v>44574</v>
      </c>
      <c r="E3051" s="730">
        <v>0.66736111111111107</v>
      </c>
      <c r="F3051" s="558" t="s">
        <v>3758</v>
      </c>
      <c r="G3051" s="558" t="s">
        <v>61</v>
      </c>
      <c r="H3051" s="558" t="s">
        <v>3874</v>
      </c>
      <c r="I3051" s="679" t="s">
        <v>2118</v>
      </c>
      <c r="J3051" s="676">
        <v>0</v>
      </c>
      <c r="K3051" s="676">
        <v>0</v>
      </c>
      <c r="M3051" t="str">
        <f>""</f>
        <v/>
      </c>
    </row>
    <row r="3052" spans="1:13" ht="15.75">
      <c r="A3052">
        <v>2022</v>
      </c>
      <c r="B3052" s="777">
        <v>44575</v>
      </c>
      <c r="C3052" s="730">
        <v>0.57638888888888884</v>
      </c>
      <c r="D3052" s="777">
        <v>44575</v>
      </c>
      <c r="E3052" s="730">
        <v>0.59236111111111112</v>
      </c>
      <c r="F3052" s="558" t="s">
        <v>5177</v>
      </c>
      <c r="G3052" s="558" t="s">
        <v>61</v>
      </c>
      <c r="H3052" s="558" t="s">
        <v>3356</v>
      </c>
      <c r="I3052" s="679" t="s">
        <v>2118</v>
      </c>
      <c r="J3052" s="676">
        <v>0</v>
      </c>
      <c r="K3052" s="676">
        <v>0</v>
      </c>
      <c r="M3052" t="str">
        <f>""</f>
        <v/>
      </c>
    </row>
    <row r="3053" spans="1:13" ht="15.75">
      <c r="A3053">
        <v>2022</v>
      </c>
      <c r="B3053" s="777">
        <v>44575</v>
      </c>
      <c r="C3053" s="730">
        <v>0.35694444444444445</v>
      </c>
      <c r="D3053" s="777">
        <v>44575</v>
      </c>
      <c r="E3053" s="730">
        <v>0.36249999999999999</v>
      </c>
      <c r="F3053" s="558" t="s">
        <v>5178</v>
      </c>
      <c r="G3053" s="558" t="s">
        <v>5179</v>
      </c>
      <c r="H3053" s="558" t="s">
        <v>3411</v>
      </c>
      <c r="I3053" s="679" t="s">
        <v>2483</v>
      </c>
      <c r="J3053" s="676">
        <v>0</v>
      </c>
      <c r="K3053" s="676">
        <v>0</v>
      </c>
      <c r="M3053" t="str">
        <f>""</f>
        <v/>
      </c>
    </row>
    <row r="3054" spans="1:13" ht="15.75">
      <c r="A3054">
        <v>2022</v>
      </c>
      <c r="B3054" s="777">
        <v>44576</v>
      </c>
      <c r="C3054" s="730">
        <v>0.58958333333333335</v>
      </c>
      <c r="D3054" s="777">
        <v>44576</v>
      </c>
      <c r="E3054" s="730">
        <v>0.60277777777777775</v>
      </c>
      <c r="F3054" s="558" t="s">
        <v>5181</v>
      </c>
      <c r="G3054" s="558" t="s">
        <v>61</v>
      </c>
      <c r="H3054" s="558" t="s">
        <v>3402</v>
      </c>
      <c r="I3054" s="679" t="s">
        <v>2118</v>
      </c>
      <c r="J3054" s="676">
        <v>0</v>
      </c>
      <c r="K3054" s="676">
        <v>0</v>
      </c>
      <c r="M3054" t="str">
        <f>""</f>
        <v/>
      </c>
    </row>
    <row r="3055" spans="1:13" ht="15.75">
      <c r="A3055">
        <v>2022</v>
      </c>
      <c r="B3055" s="777">
        <v>44579</v>
      </c>
      <c r="C3055" s="730">
        <v>0.93194444444444446</v>
      </c>
      <c r="D3055" s="777">
        <v>44579</v>
      </c>
      <c r="E3055" s="730">
        <v>0.93263888888888891</v>
      </c>
      <c r="F3055" s="558" t="s">
        <v>2809</v>
      </c>
      <c r="G3055" s="558" t="s">
        <v>1352</v>
      </c>
      <c r="H3055" s="558" t="s">
        <v>5099</v>
      </c>
      <c r="I3055" s="679" t="s">
        <v>2952</v>
      </c>
      <c r="J3055" s="676">
        <v>0</v>
      </c>
      <c r="K3055" s="676">
        <v>0</v>
      </c>
      <c r="M3055" t="str">
        <f>""</f>
        <v/>
      </c>
    </row>
    <row r="3056" spans="1:13" ht="15.75">
      <c r="A3056">
        <v>2022</v>
      </c>
      <c r="B3056" s="777">
        <v>44580</v>
      </c>
      <c r="C3056" s="730">
        <v>0.60763888888888884</v>
      </c>
      <c r="D3056" s="777">
        <v>44580</v>
      </c>
      <c r="E3056" s="730">
        <v>0.66805555555555551</v>
      </c>
      <c r="F3056" s="558" t="s">
        <v>2959</v>
      </c>
      <c r="G3056" s="558" t="s">
        <v>61</v>
      </c>
      <c r="H3056" s="558" t="s">
        <v>3387</v>
      </c>
      <c r="I3056" s="679" t="s">
        <v>2764</v>
      </c>
      <c r="J3056" s="676">
        <v>0</v>
      </c>
      <c r="K3056" s="676">
        <v>0</v>
      </c>
      <c r="M3056" t="str">
        <f>""</f>
        <v/>
      </c>
    </row>
    <row r="3057" spans="1:13" ht="15.75">
      <c r="A3057">
        <v>2022</v>
      </c>
      <c r="B3057" s="777">
        <v>44581</v>
      </c>
      <c r="C3057" s="730">
        <v>0.83125000000000004</v>
      </c>
      <c r="D3057" s="777">
        <v>44582</v>
      </c>
      <c r="E3057" s="730">
        <v>0.22916666666666666</v>
      </c>
      <c r="F3057" s="558" t="s">
        <v>5194</v>
      </c>
      <c r="G3057" s="558" t="s">
        <v>5015</v>
      </c>
      <c r="H3057" s="558" t="s">
        <v>3387</v>
      </c>
      <c r="I3057" s="679" t="s">
        <v>22</v>
      </c>
      <c r="J3057" s="676">
        <v>0</v>
      </c>
      <c r="K3057" s="676">
        <v>0</v>
      </c>
      <c r="M3057" t="str">
        <f>""</f>
        <v/>
      </c>
    </row>
    <row r="3058" spans="1:13" ht="15.75">
      <c r="A3058">
        <v>2022</v>
      </c>
      <c r="B3058" s="777">
        <v>44581</v>
      </c>
      <c r="C3058" s="730">
        <v>0.375</v>
      </c>
      <c r="D3058" s="777">
        <v>44581</v>
      </c>
      <c r="E3058" s="730">
        <v>0.41597222222222224</v>
      </c>
      <c r="F3058" s="558" t="s">
        <v>2959</v>
      </c>
      <c r="G3058" s="558" t="s">
        <v>61</v>
      </c>
      <c r="H3058" s="558" t="s">
        <v>3387</v>
      </c>
      <c r="I3058" s="679" t="s">
        <v>2764</v>
      </c>
      <c r="J3058" s="676">
        <v>0</v>
      </c>
      <c r="K3058" s="676">
        <v>0</v>
      </c>
      <c r="M3058" t="str">
        <f>""</f>
        <v/>
      </c>
    </row>
    <row r="3059" spans="1:13" ht="15.75">
      <c r="A3059">
        <v>2022</v>
      </c>
      <c r="B3059" s="777">
        <v>44584</v>
      </c>
      <c r="C3059" s="730">
        <v>2.5694444444444443E-2</v>
      </c>
      <c r="D3059" s="777">
        <v>44584</v>
      </c>
      <c r="E3059" s="730">
        <v>2.9166666666666667E-2</v>
      </c>
      <c r="F3059" s="558" t="s">
        <v>5196</v>
      </c>
      <c r="G3059" s="558" t="s">
        <v>3143</v>
      </c>
      <c r="H3059" s="558" t="s">
        <v>3402</v>
      </c>
      <c r="I3059" s="679" t="s">
        <v>2118</v>
      </c>
      <c r="J3059" s="676">
        <v>0</v>
      </c>
      <c r="K3059" s="676">
        <v>0</v>
      </c>
      <c r="M3059" t="str">
        <f>""</f>
        <v/>
      </c>
    </row>
    <row r="3060" spans="1:13" ht="15.75">
      <c r="A3060">
        <v>2022</v>
      </c>
      <c r="B3060" s="777">
        <v>44585</v>
      </c>
      <c r="C3060" s="730">
        <v>0.43541666666666667</v>
      </c>
      <c r="D3060" s="777">
        <v>44585</v>
      </c>
      <c r="E3060" s="730">
        <v>0.45208333333333334</v>
      </c>
      <c r="F3060" s="558" t="s">
        <v>4049</v>
      </c>
      <c r="G3060" s="558" t="s">
        <v>124</v>
      </c>
      <c r="H3060" s="558" t="s">
        <v>3411</v>
      </c>
      <c r="I3060" s="679" t="s">
        <v>2764</v>
      </c>
      <c r="J3060" s="676">
        <v>0</v>
      </c>
      <c r="K3060" s="676">
        <v>0</v>
      </c>
      <c r="M3060" t="str">
        <f>""</f>
        <v/>
      </c>
    </row>
    <row r="3061" spans="1:13" ht="15.75">
      <c r="A3061">
        <v>2022</v>
      </c>
      <c r="B3061" s="777">
        <v>44585</v>
      </c>
      <c r="C3061" s="730">
        <v>0.49305555555555558</v>
      </c>
      <c r="D3061" s="777">
        <v>44585</v>
      </c>
      <c r="E3061" s="730">
        <v>0.66666666666666663</v>
      </c>
      <c r="F3061" s="558" t="s">
        <v>5198</v>
      </c>
      <c r="G3061" s="558" t="s">
        <v>61</v>
      </c>
      <c r="H3061" s="558" t="s">
        <v>3356</v>
      </c>
      <c r="I3061" s="679" t="s">
        <v>2343</v>
      </c>
      <c r="J3061" s="676">
        <v>0</v>
      </c>
      <c r="K3061" s="676">
        <v>0</v>
      </c>
      <c r="M3061" t="str">
        <f>""</f>
        <v/>
      </c>
    </row>
    <row r="3062" spans="1:13" ht="15.75">
      <c r="A3062">
        <v>2022</v>
      </c>
      <c r="B3062" s="777">
        <v>44587</v>
      </c>
      <c r="C3062" s="730">
        <v>0.56736111111111109</v>
      </c>
      <c r="D3062" s="777">
        <v>44587</v>
      </c>
      <c r="E3062" s="730">
        <v>0.59375</v>
      </c>
      <c r="F3062" s="558" t="s">
        <v>3575</v>
      </c>
      <c r="G3062" s="558" t="s">
        <v>63</v>
      </c>
      <c r="H3062" s="558" t="s">
        <v>3387</v>
      </c>
      <c r="I3062" s="679" t="s">
        <v>2764</v>
      </c>
      <c r="J3062" s="676">
        <v>0</v>
      </c>
      <c r="K3062" s="676">
        <v>0</v>
      </c>
      <c r="M3062" t="str">
        <f>""</f>
        <v/>
      </c>
    </row>
    <row r="3063" spans="1:13" ht="15.75">
      <c r="A3063">
        <v>2022</v>
      </c>
      <c r="B3063" s="777">
        <v>44588</v>
      </c>
      <c r="C3063" s="730">
        <v>0.47916666666666669</v>
      </c>
      <c r="D3063" s="777">
        <v>44588</v>
      </c>
      <c r="E3063" s="730">
        <v>0.47986111111111113</v>
      </c>
      <c r="F3063" s="558" t="s">
        <v>2817</v>
      </c>
      <c r="G3063" s="558" t="s">
        <v>124</v>
      </c>
      <c r="H3063" s="558" t="s">
        <v>5132</v>
      </c>
      <c r="I3063" s="679" t="s">
        <v>100</v>
      </c>
      <c r="J3063" s="676">
        <v>0</v>
      </c>
      <c r="K3063" s="676">
        <v>0</v>
      </c>
      <c r="M3063" t="str">
        <f>""</f>
        <v/>
      </c>
    </row>
    <row r="3064" spans="1:13" ht="15.75">
      <c r="A3064">
        <v>2022</v>
      </c>
      <c r="B3064" s="777">
        <v>44589</v>
      </c>
      <c r="C3064" s="730">
        <v>0.65347222222222223</v>
      </c>
      <c r="D3064" s="777">
        <v>44589</v>
      </c>
      <c r="E3064" s="730">
        <v>0.89583333333333337</v>
      </c>
      <c r="F3064" s="558" t="s">
        <v>5202</v>
      </c>
      <c r="G3064" s="558" t="s">
        <v>124</v>
      </c>
      <c r="H3064" s="558" t="s">
        <v>3411</v>
      </c>
      <c r="I3064" s="679" t="s">
        <v>2483</v>
      </c>
      <c r="J3064" s="676">
        <v>0</v>
      </c>
      <c r="K3064" s="676">
        <v>0</v>
      </c>
      <c r="M3064" t="str">
        <f>""</f>
        <v/>
      </c>
    </row>
    <row r="3065" spans="1:13" ht="15.75">
      <c r="A3065">
        <v>2022</v>
      </c>
      <c r="B3065" s="777">
        <v>44591</v>
      </c>
      <c r="C3065" s="730">
        <v>0.8618055555555556</v>
      </c>
      <c r="D3065" s="777">
        <v>44592</v>
      </c>
      <c r="E3065" s="730">
        <v>2.9166666666666667E-2</v>
      </c>
      <c r="F3065" s="558" t="s">
        <v>3642</v>
      </c>
      <c r="G3065" s="558" t="s">
        <v>674</v>
      </c>
      <c r="H3065" s="558" t="s">
        <v>3387</v>
      </c>
      <c r="I3065" s="679" t="s">
        <v>2764</v>
      </c>
      <c r="J3065" s="676">
        <v>0</v>
      </c>
      <c r="K3065" s="676">
        <v>0</v>
      </c>
      <c r="M3065" t="str">
        <f>""</f>
        <v/>
      </c>
    </row>
    <row r="3066" spans="1:13" ht="15.75">
      <c r="A3066">
        <v>2022</v>
      </c>
      <c r="B3066" s="777">
        <v>44592</v>
      </c>
      <c r="C3066" s="730">
        <v>0.83194444444444449</v>
      </c>
      <c r="D3066" s="777">
        <v>44592</v>
      </c>
      <c r="E3066" s="730">
        <v>0.84027777777777779</v>
      </c>
      <c r="F3066" s="558" t="s">
        <v>5207</v>
      </c>
      <c r="G3066" s="558" t="s">
        <v>3143</v>
      </c>
      <c r="H3066" s="558" t="s">
        <v>3402</v>
      </c>
      <c r="I3066" s="679" t="s">
        <v>2118</v>
      </c>
      <c r="J3066" s="676">
        <v>0</v>
      </c>
      <c r="K3066" s="676">
        <v>0</v>
      </c>
      <c r="M3066" t="str">
        <f>""</f>
        <v/>
      </c>
    </row>
    <row r="3067" spans="1:13" ht="15.75">
      <c r="A3067">
        <v>2022</v>
      </c>
      <c r="B3067" s="777">
        <v>44601</v>
      </c>
      <c r="C3067" s="730">
        <v>0.29166666666666669</v>
      </c>
      <c r="D3067" s="777">
        <v>44601</v>
      </c>
      <c r="E3067" s="730">
        <v>0.375</v>
      </c>
      <c r="F3067" s="558" t="s">
        <v>5181</v>
      </c>
      <c r="G3067" s="558" t="s">
        <v>61</v>
      </c>
      <c r="H3067" s="558" t="s">
        <v>2910</v>
      </c>
      <c r="I3067" s="679" t="s">
        <v>100</v>
      </c>
      <c r="J3067" s="676">
        <v>0</v>
      </c>
      <c r="K3067" s="676">
        <v>0</v>
      </c>
      <c r="M3067" t="str">
        <f>""</f>
        <v/>
      </c>
    </row>
    <row r="3068" spans="1:13" ht="15.75">
      <c r="A3068">
        <v>2022</v>
      </c>
      <c r="B3068" s="777">
        <v>44609</v>
      </c>
      <c r="C3068" s="730">
        <v>0.4375</v>
      </c>
      <c r="D3068" s="777">
        <v>44609</v>
      </c>
      <c r="E3068" s="730">
        <v>0.43819444444444444</v>
      </c>
      <c r="F3068" s="558" t="s">
        <v>5219</v>
      </c>
      <c r="G3068" s="558" t="s">
        <v>61</v>
      </c>
      <c r="H3068" s="558" t="s">
        <v>3402</v>
      </c>
      <c r="I3068" s="679" t="s">
        <v>2118</v>
      </c>
      <c r="J3068" s="676">
        <v>0</v>
      </c>
      <c r="K3068" s="676">
        <v>0</v>
      </c>
      <c r="M3068" t="str">
        <f>""</f>
        <v/>
      </c>
    </row>
    <row r="3069" spans="1:13" ht="15.75">
      <c r="A3069">
        <v>2022</v>
      </c>
      <c r="B3069" s="777">
        <v>44609</v>
      </c>
      <c r="C3069" s="730">
        <v>6.2500000000000003E-3</v>
      </c>
      <c r="D3069" s="777">
        <v>44609</v>
      </c>
      <c r="E3069" s="730">
        <v>0.31666666666666665</v>
      </c>
      <c r="F3069" s="558" t="s">
        <v>4532</v>
      </c>
      <c r="G3069" s="558" t="s">
        <v>63</v>
      </c>
      <c r="H3069" s="558" t="s">
        <v>3387</v>
      </c>
      <c r="I3069" s="679" t="s">
        <v>2764</v>
      </c>
      <c r="J3069" s="676">
        <v>80</v>
      </c>
      <c r="K3069" s="676">
        <v>0</v>
      </c>
      <c r="M3069" t="str">
        <f>""</f>
        <v/>
      </c>
    </row>
    <row r="3070" spans="1:13" ht="15.75">
      <c r="A3070">
        <v>2022</v>
      </c>
      <c r="B3070" s="777">
        <v>44614</v>
      </c>
      <c r="C3070" s="730">
        <v>0.46527777777777779</v>
      </c>
      <c r="D3070" s="777">
        <v>44614</v>
      </c>
      <c r="E3070" s="730">
        <v>0.51041666666666663</v>
      </c>
      <c r="F3070" s="558" t="s">
        <v>4144</v>
      </c>
      <c r="G3070" s="558" t="s">
        <v>1352</v>
      </c>
      <c r="H3070" s="558" t="s">
        <v>3402</v>
      </c>
      <c r="I3070" s="679" t="s">
        <v>2118</v>
      </c>
      <c r="J3070" s="676">
        <v>0</v>
      </c>
      <c r="K3070" s="676">
        <v>0</v>
      </c>
      <c r="M3070" t="str">
        <f>""</f>
        <v/>
      </c>
    </row>
    <row r="3071" spans="1:13" ht="15.75">
      <c r="A3071">
        <v>2022</v>
      </c>
      <c r="B3071" s="777">
        <v>44616</v>
      </c>
      <c r="C3071" s="730">
        <v>4.791666666666667E-2</v>
      </c>
      <c r="D3071" s="777">
        <v>44616</v>
      </c>
      <c r="E3071" s="730">
        <v>0.12430555555555556</v>
      </c>
      <c r="F3071" s="558" t="s">
        <v>5226</v>
      </c>
      <c r="G3071" s="558" t="s">
        <v>124</v>
      </c>
      <c r="H3071" s="558" t="s">
        <v>3387</v>
      </c>
      <c r="I3071" s="679" t="s">
        <v>2764</v>
      </c>
      <c r="J3071" s="676">
        <v>246</v>
      </c>
      <c r="K3071" s="676">
        <v>0</v>
      </c>
      <c r="M3071" t="str">
        <f>""</f>
        <v/>
      </c>
    </row>
    <row r="3072" spans="1:13" ht="15.75">
      <c r="A3072">
        <v>2022</v>
      </c>
      <c r="B3072" s="777">
        <v>44617</v>
      </c>
      <c r="C3072" s="730">
        <v>0.39652777777777776</v>
      </c>
      <c r="D3072" s="777">
        <v>44617</v>
      </c>
      <c r="E3072" s="730">
        <v>0.54791666666666672</v>
      </c>
      <c r="F3072" s="558" t="s">
        <v>5229</v>
      </c>
      <c r="G3072" s="558" t="s">
        <v>1352</v>
      </c>
      <c r="H3072" s="558" t="s">
        <v>5230</v>
      </c>
      <c r="I3072" s="679" t="s">
        <v>2764</v>
      </c>
      <c r="J3072" s="676">
        <v>0</v>
      </c>
      <c r="K3072" s="676">
        <v>0</v>
      </c>
      <c r="M3072" t="str">
        <f>""</f>
        <v/>
      </c>
    </row>
    <row r="3073" spans="1:13" ht="15.75">
      <c r="A3073">
        <v>2022</v>
      </c>
      <c r="B3073" s="777">
        <v>44618</v>
      </c>
      <c r="C3073" s="730">
        <v>0.46875</v>
      </c>
      <c r="D3073" s="777">
        <v>44618</v>
      </c>
      <c r="E3073" s="730">
        <v>0.70833333333333337</v>
      </c>
      <c r="F3073" s="558" t="s">
        <v>3819</v>
      </c>
      <c r="G3073" s="558" t="s">
        <v>124</v>
      </c>
      <c r="H3073" s="558" t="s">
        <v>3402</v>
      </c>
      <c r="I3073" s="679" t="s">
        <v>2293</v>
      </c>
      <c r="J3073" s="676">
        <v>0</v>
      </c>
      <c r="K3073" s="676">
        <v>0</v>
      </c>
      <c r="M3073" t="str">
        <f>""</f>
        <v/>
      </c>
    </row>
    <row r="3074" spans="1:13" ht="15.75">
      <c r="A3074">
        <v>2022</v>
      </c>
      <c r="B3074" s="777">
        <v>44620</v>
      </c>
      <c r="C3074" s="730">
        <v>0.3923611111111111</v>
      </c>
      <c r="D3074" s="777">
        <v>44620</v>
      </c>
      <c r="E3074" s="730">
        <v>0.39305555555555555</v>
      </c>
      <c r="F3074" s="558" t="s">
        <v>5233</v>
      </c>
      <c r="G3074" s="558" t="s">
        <v>1352</v>
      </c>
      <c r="H3074" s="558" t="s">
        <v>5234</v>
      </c>
      <c r="I3074" s="679" t="s">
        <v>100</v>
      </c>
      <c r="J3074" s="676">
        <v>0</v>
      </c>
      <c r="K3074" s="676">
        <v>0</v>
      </c>
      <c r="M3074" t="str">
        <f>""</f>
        <v/>
      </c>
    </row>
    <row r="3075" spans="1:13" ht="15.75">
      <c r="A3075">
        <v>2022</v>
      </c>
      <c r="B3075" s="777">
        <v>44621</v>
      </c>
      <c r="C3075" s="730">
        <v>0.57152777777777775</v>
      </c>
      <c r="D3075" s="777">
        <v>44621</v>
      </c>
      <c r="E3075" s="730">
        <v>0.57430555555555551</v>
      </c>
      <c r="F3075" s="558" t="s">
        <v>5236</v>
      </c>
      <c r="G3075" s="558" t="s">
        <v>3143</v>
      </c>
      <c r="H3075" s="558" t="s">
        <v>3411</v>
      </c>
      <c r="I3075" s="679" t="s">
        <v>2764</v>
      </c>
      <c r="J3075" s="676">
        <v>0</v>
      </c>
      <c r="K3075" s="676">
        <v>0</v>
      </c>
      <c r="M3075" t="str">
        <f>""</f>
        <v/>
      </c>
    </row>
    <row r="3076" spans="1:13" ht="15.75">
      <c r="A3076">
        <v>2022</v>
      </c>
      <c r="B3076" s="777">
        <v>44622</v>
      </c>
      <c r="C3076" s="730">
        <v>0.39305555555555555</v>
      </c>
      <c r="D3076" s="777">
        <v>44622</v>
      </c>
      <c r="E3076" s="730">
        <v>0.4201388888888889</v>
      </c>
      <c r="F3076" s="558" t="s">
        <v>2832</v>
      </c>
      <c r="G3076" s="558" t="s">
        <v>63</v>
      </c>
      <c r="H3076" s="558" t="s">
        <v>3447</v>
      </c>
      <c r="I3076" s="679" t="s">
        <v>2764</v>
      </c>
      <c r="J3076" s="676">
        <v>0</v>
      </c>
      <c r="K3076" s="676">
        <v>0</v>
      </c>
      <c r="M3076" t="str">
        <f>""</f>
        <v/>
      </c>
    </row>
    <row r="3077" spans="1:13" ht="15.75">
      <c r="A3077">
        <v>2022</v>
      </c>
      <c r="B3077" s="777">
        <v>44625</v>
      </c>
      <c r="C3077" s="730">
        <v>0.95694444444444449</v>
      </c>
      <c r="D3077" s="777">
        <v>44626</v>
      </c>
      <c r="E3077" s="730">
        <v>0.81805555555555554</v>
      </c>
      <c r="F3077" s="558" t="s">
        <v>5240</v>
      </c>
      <c r="G3077" s="558" t="s">
        <v>5174</v>
      </c>
      <c r="H3077" s="558" t="s">
        <v>3411</v>
      </c>
      <c r="I3077" s="679" t="s">
        <v>2764</v>
      </c>
      <c r="J3077" s="676">
        <v>0</v>
      </c>
      <c r="K3077" s="676">
        <v>0</v>
      </c>
      <c r="M3077" t="str">
        <f>""</f>
        <v/>
      </c>
    </row>
    <row r="3078" spans="1:13" ht="15.75">
      <c r="A3078">
        <v>2022</v>
      </c>
      <c r="B3078" s="777">
        <v>44626</v>
      </c>
      <c r="C3078" s="730">
        <v>0.10416666666666667</v>
      </c>
      <c r="D3078" s="777">
        <v>44626</v>
      </c>
      <c r="E3078" s="730">
        <v>0.70833333333333337</v>
      </c>
      <c r="F3078" s="558" t="s">
        <v>4185</v>
      </c>
      <c r="G3078" s="558" t="s">
        <v>1352</v>
      </c>
      <c r="H3078" s="558" t="s">
        <v>2944</v>
      </c>
      <c r="I3078" s="679" t="s">
        <v>2952</v>
      </c>
      <c r="J3078" s="676">
        <v>0</v>
      </c>
      <c r="K3078" s="676">
        <v>0</v>
      </c>
      <c r="M3078" t="str">
        <f>""</f>
        <v/>
      </c>
    </row>
    <row r="3079" spans="1:13" ht="15.75">
      <c r="A3079">
        <v>2022</v>
      </c>
      <c r="B3079" s="777">
        <v>44630</v>
      </c>
      <c r="C3079" s="730">
        <v>0.36875000000000002</v>
      </c>
      <c r="D3079" s="777">
        <v>44630</v>
      </c>
      <c r="E3079" s="730">
        <v>0.63541666666666663</v>
      </c>
      <c r="F3079" s="558" t="s">
        <v>3890</v>
      </c>
      <c r="G3079" s="558" t="s">
        <v>674</v>
      </c>
      <c r="H3079" s="558" t="s">
        <v>3411</v>
      </c>
      <c r="I3079" s="679" t="s">
        <v>2483</v>
      </c>
      <c r="J3079" s="676">
        <v>0</v>
      </c>
      <c r="K3079" s="676">
        <v>0</v>
      </c>
      <c r="M3079" t="str">
        <f>""</f>
        <v/>
      </c>
    </row>
    <row r="3080" spans="1:13" ht="15.75">
      <c r="A3080">
        <v>2022</v>
      </c>
      <c r="B3080" s="777">
        <v>44631</v>
      </c>
      <c r="C3080" s="730">
        <v>0.27430555555555558</v>
      </c>
      <c r="D3080" s="777">
        <v>44631</v>
      </c>
      <c r="E3080" s="730">
        <v>0.29166666666666669</v>
      </c>
      <c r="F3080" s="558" t="s">
        <v>4185</v>
      </c>
      <c r="G3080" s="558" t="s">
        <v>1352</v>
      </c>
      <c r="H3080" s="558" t="s">
        <v>3402</v>
      </c>
      <c r="I3080" s="679" t="s">
        <v>2118</v>
      </c>
      <c r="J3080" s="676">
        <v>0</v>
      </c>
      <c r="K3080" s="676">
        <v>0</v>
      </c>
      <c r="M3080" t="str">
        <f>""</f>
        <v/>
      </c>
    </row>
    <row r="3081" spans="1:13" ht="15.75">
      <c r="A3081">
        <v>2022</v>
      </c>
      <c r="B3081" s="777">
        <v>44633</v>
      </c>
      <c r="C3081" s="730">
        <v>0.92708333333333337</v>
      </c>
      <c r="D3081" s="777">
        <v>44633</v>
      </c>
      <c r="E3081" s="730">
        <v>0.94305555555555554</v>
      </c>
      <c r="F3081" s="558" t="s">
        <v>4269</v>
      </c>
      <c r="G3081" s="558" t="s">
        <v>674</v>
      </c>
      <c r="H3081" s="558" t="s">
        <v>3356</v>
      </c>
      <c r="I3081" s="679" t="s">
        <v>100</v>
      </c>
      <c r="J3081" s="676">
        <v>0</v>
      </c>
      <c r="K3081" s="676">
        <v>0</v>
      </c>
      <c r="M3081" t="str">
        <f>""</f>
        <v/>
      </c>
    </row>
    <row r="3082" spans="1:13" ht="15.75">
      <c r="A3082">
        <v>2022</v>
      </c>
      <c r="B3082" s="777">
        <v>44634</v>
      </c>
      <c r="C3082" s="730">
        <v>0.39583333333333331</v>
      </c>
      <c r="D3082" s="777">
        <v>44634</v>
      </c>
      <c r="E3082" s="730">
        <v>0.44791666666666669</v>
      </c>
      <c r="F3082" s="558" t="s">
        <v>4185</v>
      </c>
      <c r="G3082" s="558" t="s">
        <v>1352</v>
      </c>
      <c r="H3082" s="558" t="s">
        <v>3402</v>
      </c>
      <c r="I3082" s="679" t="s">
        <v>100</v>
      </c>
      <c r="J3082" s="676">
        <v>0</v>
      </c>
      <c r="K3082" s="676">
        <v>0</v>
      </c>
      <c r="M3082" t="str">
        <f>""</f>
        <v/>
      </c>
    </row>
    <row r="3083" spans="1:13" ht="15.75">
      <c r="A3083">
        <v>2022</v>
      </c>
      <c r="B3083" s="777">
        <v>44635</v>
      </c>
      <c r="C3083" s="730">
        <v>0.46597222222222223</v>
      </c>
      <c r="D3083" s="777">
        <v>44635</v>
      </c>
      <c r="E3083" s="730">
        <v>0.4909722222222222</v>
      </c>
      <c r="F3083" s="558" t="s">
        <v>2959</v>
      </c>
      <c r="G3083" s="558" t="s">
        <v>61</v>
      </c>
      <c r="H3083" s="558" t="s">
        <v>3387</v>
      </c>
      <c r="I3083" s="679" t="s">
        <v>2764</v>
      </c>
      <c r="J3083" s="676">
        <v>0</v>
      </c>
      <c r="K3083" s="676">
        <v>0</v>
      </c>
      <c r="M3083" t="str">
        <f>""</f>
        <v/>
      </c>
    </row>
    <row r="3084" spans="1:13" ht="15.75">
      <c r="A3084">
        <v>2022</v>
      </c>
      <c r="B3084" s="777">
        <v>44636</v>
      </c>
      <c r="C3084" s="730">
        <v>0.4777777777777778</v>
      </c>
      <c r="D3084" s="777">
        <v>44636</v>
      </c>
      <c r="E3084" s="730">
        <v>0.47847222222222224</v>
      </c>
      <c r="F3084" s="558" t="s">
        <v>3616</v>
      </c>
      <c r="G3084" s="558" t="s">
        <v>124</v>
      </c>
      <c r="H3084" s="558" t="s">
        <v>3356</v>
      </c>
      <c r="I3084" s="679" t="s">
        <v>100</v>
      </c>
      <c r="J3084" s="676">
        <v>0</v>
      </c>
      <c r="K3084" s="676">
        <v>0</v>
      </c>
      <c r="M3084" t="str">
        <f>""</f>
        <v/>
      </c>
    </row>
    <row r="3085" spans="1:13" ht="15.75">
      <c r="A3085">
        <v>2022</v>
      </c>
      <c r="B3085" s="777">
        <v>44637</v>
      </c>
      <c r="C3085" s="730">
        <v>0.54097222222222219</v>
      </c>
      <c r="D3085" s="777">
        <v>44641</v>
      </c>
      <c r="E3085" s="730">
        <v>0.69305555555555554</v>
      </c>
      <c r="F3085" s="558" t="s">
        <v>5256</v>
      </c>
      <c r="G3085" s="558" t="s">
        <v>63</v>
      </c>
      <c r="H3085" s="558" t="s">
        <v>3356</v>
      </c>
      <c r="I3085" s="679" t="s">
        <v>5075</v>
      </c>
      <c r="J3085" s="676">
        <v>0</v>
      </c>
      <c r="K3085" s="676">
        <v>0</v>
      </c>
      <c r="M3085" t="str">
        <f>""</f>
        <v/>
      </c>
    </row>
    <row r="3086" spans="1:13" ht="15.75">
      <c r="A3086">
        <v>2022</v>
      </c>
      <c r="B3086" s="777">
        <v>44640</v>
      </c>
      <c r="C3086" s="730">
        <v>0.74444444444444446</v>
      </c>
      <c r="D3086" s="777">
        <v>44640</v>
      </c>
      <c r="E3086" s="730">
        <v>0.93055555555555558</v>
      </c>
      <c r="F3086" s="558" t="s">
        <v>3378</v>
      </c>
      <c r="G3086" s="558" t="s">
        <v>674</v>
      </c>
      <c r="H3086" s="558" t="s">
        <v>3387</v>
      </c>
      <c r="I3086" s="679" t="s">
        <v>2764</v>
      </c>
      <c r="J3086" s="676">
        <v>0</v>
      </c>
      <c r="K3086" s="676">
        <v>0</v>
      </c>
      <c r="M3086" t="str">
        <f>""</f>
        <v/>
      </c>
    </row>
    <row r="3087" spans="1:13" ht="15.75">
      <c r="A3087">
        <v>2022</v>
      </c>
      <c r="B3087" s="777">
        <v>44642</v>
      </c>
      <c r="C3087" s="730">
        <v>0.87777777777777777</v>
      </c>
      <c r="D3087" s="777">
        <v>44642</v>
      </c>
      <c r="E3087" s="730">
        <v>0.88055555555555554</v>
      </c>
      <c r="F3087" s="558" t="s">
        <v>5266</v>
      </c>
      <c r="G3087" s="558" t="s">
        <v>3143</v>
      </c>
      <c r="H3087" s="558" t="s">
        <v>3402</v>
      </c>
      <c r="I3087" s="679" t="s">
        <v>2118</v>
      </c>
      <c r="J3087" s="676">
        <v>0</v>
      </c>
      <c r="K3087" s="676">
        <v>0</v>
      </c>
      <c r="M3087" t="str">
        <f>""</f>
        <v/>
      </c>
    </row>
    <row r="3088" spans="1:13" ht="15.75">
      <c r="A3088">
        <v>2022</v>
      </c>
      <c r="B3088" s="777">
        <v>44642</v>
      </c>
      <c r="C3088" s="730">
        <v>4.1666666666666666E-3</v>
      </c>
      <c r="D3088" s="777">
        <v>44642</v>
      </c>
      <c r="E3088" s="730">
        <v>0.18680555555555556</v>
      </c>
      <c r="F3088" s="558" t="s">
        <v>5267</v>
      </c>
      <c r="G3088" s="558" t="s">
        <v>674</v>
      </c>
      <c r="H3088" s="558" t="s">
        <v>3411</v>
      </c>
      <c r="I3088" s="679" t="s">
        <v>2483</v>
      </c>
      <c r="J3088" s="676">
        <v>0</v>
      </c>
      <c r="K3088" s="676">
        <v>0</v>
      </c>
      <c r="M3088" t="str">
        <f>""</f>
        <v/>
      </c>
    </row>
    <row r="3089" spans="1:13" ht="15.75">
      <c r="A3089">
        <v>2022</v>
      </c>
      <c r="B3089" s="777">
        <v>44645</v>
      </c>
      <c r="C3089" s="730">
        <v>0.86527777777777781</v>
      </c>
      <c r="D3089" s="777">
        <v>44645</v>
      </c>
      <c r="E3089" s="730">
        <v>0.95</v>
      </c>
      <c r="F3089" s="558" t="s">
        <v>2959</v>
      </c>
      <c r="G3089" s="558" t="s">
        <v>61</v>
      </c>
      <c r="H3089" s="558" t="s">
        <v>3387</v>
      </c>
      <c r="I3089" s="679" t="s">
        <v>2764</v>
      </c>
      <c r="J3089" s="676">
        <v>0</v>
      </c>
      <c r="K3089" s="676">
        <v>0</v>
      </c>
      <c r="M3089" t="str">
        <f>""</f>
        <v/>
      </c>
    </row>
    <row r="3090" spans="1:13" ht="15.75">
      <c r="A3090">
        <v>2022</v>
      </c>
      <c r="B3090" s="777">
        <v>44649</v>
      </c>
      <c r="C3090" s="730">
        <v>0.48958333333333331</v>
      </c>
      <c r="D3090" s="777" t="s">
        <v>5873</v>
      </c>
      <c r="E3090" s="730" t="s">
        <v>5873</v>
      </c>
      <c r="F3090" s="558" t="s">
        <v>2920</v>
      </c>
      <c r="G3090" s="558" t="s">
        <v>124</v>
      </c>
      <c r="H3090" s="558" t="s">
        <v>2910</v>
      </c>
      <c r="I3090" s="679" t="s">
        <v>100</v>
      </c>
      <c r="J3090" s="676">
        <v>0</v>
      </c>
      <c r="K3090" s="676">
        <v>0</v>
      </c>
      <c r="M3090" t="str">
        <f>""</f>
        <v/>
      </c>
    </row>
    <row r="3091" spans="1:13" ht="15.75">
      <c r="A3091">
        <v>2022</v>
      </c>
      <c r="B3091" s="777">
        <v>44649</v>
      </c>
      <c r="C3091" s="730">
        <v>0.69027777777777777</v>
      </c>
      <c r="D3091" s="777">
        <v>44650</v>
      </c>
      <c r="E3091" s="730">
        <v>0.64236111111111116</v>
      </c>
      <c r="F3091" s="558" t="s">
        <v>2958</v>
      </c>
      <c r="G3091" s="558" t="s">
        <v>61</v>
      </c>
      <c r="H3091" s="558" t="s">
        <v>3356</v>
      </c>
      <c r="I3091" s="679" t="s">
        <v>100</v>
      </c>
      <c r="J3091" s="676">
        <v>0</v>
      </c>
      <c r="K3091" s="676">
        <v>0</v>
      </c>
      <c r="M3091" t="str">
        <f>""</f>
        <v/>
      </c>
    </row>
    <row r="3092" spans="1:13" ht="15.75">
      <c r="A3092">
        <v>2022</v>
      </c>
      <c r="B3092" s="777">
        <v>44651</v>
      </c>
      <c r="C3092" s="730">
        <v>0.94652777777777775</v>
      </c>
      <c r="D3092" s="777" t="s">
        <v>5873</v>
      </c>
      <c r="E3092" s="730" t="s">
        <v>5873</v>
      </c>
      <c r="F3092" s="558" t="s">
        <v>5276</v>
      </c>
      <c r="G3092" s="558" t="s">
        <v>5277</v>
      </c>
      <c r="H3092" s="558" t="s">
        <v>2944</v>
      </c>
      <c r="I3092" s="679" t="s">
        <v>2952</v>
      </c>
      <c r="J3092" s="676">
        <v>0</v>
      </c>
      <c r="K3092" s="676">
        <v>0</v>
      </c>
      <c r="M3092" t="str">
        <f>""</f>
        <v/>
      </c>
    </row>
    <row r="3093" spans="1:13" ht="15.75">
      <c r="A3093">
        <v>2022</v>
      </c>
      <c r="B3093" s="777">
        <v>44662</v>
      </c>
      <c r="C3093" s="730">
        <v>0.85624999999999996</v>
      </c>
      <c r="D3093" s="777">
        <v>44662</v>
      </c>
      <c r="E3093" s="730">
        <v>0.86111111111111116</v>
      </c>
      <c r="F3093" s="558" t="s">
        <v>5290</v>
      </c>
      <c r="G3093" s="558" t="s">
        <v>3143</v>
      </c>
      <c r="H3093" s="558" t="s">
        <v>3402</v>
      </c>
      <c r="I3093" s="679" t="s">
        <v>2118</v>
      </c>
      <c r="J3093" s="676">
        <v>0</v>
      </c>
      <c r="K3093" s="676">
        <v>0</v>
      </c>
      <c r="M3093" t="str">
        <f>""</f>
        <v/>
      </c>
    </row>
    <row r="3094" spans="1:13" ht="15.75">
      <c r="A3094">
        <v>2022</v>
      </c>
      <c r="B3094" s="777">
        <v>44662</v>
      </c>
      <c r="C3094" s="730">
        <v>0.85624999999999996</v>
      </c>
      <c r="D3094" s="777">
        <v>44662</v>
      </c>
      <c r="E3094" s="730">
        <v>0.86111111111111116</v>
      </c>
      <c r="F3094" s="558" t="s">
        <v>5290</v>
      </c>
      <c r="G3094" s="558" t="s">
        <v>3143</v>
      </c>
      <c r="H3094" s="558" t="s">
        <v>3402</v>
      </c>
      <c r="I3094" s="679" t="s">
        <v>2118</v>
      </c>
      <c r="J3094" s="676">
        <v>0</v>
      </c>
      <c r="K3094" s="676">
        <v>0</v>
      </c>
      <c r="M3094" t="str">
        <f>""</f>
        <v/>
      </c>
    </row>
    <row r="3095" spans="1:13" ht="15.75">
      <c r="A3095">
        <v>2022</v>
      </c>
      <c r="B3095" s="777">
        <v>44663</v>
      </c>
      <c r="C3095" s="730">
        <v>0.73750000000000004</v>
      </c>
      <c r="D3095" s="777">
        <v>44663</v>
      </c>
      <c r="E3095" s="730">
        <v>0.77638888888888891</v>
      </c>
      <c r="F3095" s="558" t="s">
        <v>5292</v>
      </c>
      <c r="G3095" s="558" t="s">
        <v>63</v>
      </c>
      <c r="H3095" s="558" t="s">
        <v>2910</v>
      </c>
      <c r="I3095" s="679" t="s">
        <v>2293</v>
      </c>
      <c r="J3095" s="676">
        <v>0</v>
      </c>
      <c r="K3095" s="676">
        <v>0</v>
      </c>
      <c r="M3095" t="str">
        <f>""</f>
        <v/>
      </c>
    </row>
    <row r="3096" spans="1:13" ht="15.75">
      <c r="A3096">
        <v>2022</v>
      </c>
      <c r="B3096" s="777">
        <v>44667</v>
      </c>
      <c r="C3096" s="730">
        <v>0.51180555555555551</v>
      </c>
      <c r="D3096" s="777" t="s">
        <v>5873</v>
      </c>
      <c r="E3096" s="730" t="s">
        <v>5873</v>
      </c>
      <c r="F3096" s="558" t="s">
        <v>2864</v>
      </c>
      <c r="G3096" s="558" t="s">
        <v>5174</v>
      </c>
      <c r="H3096" s="558" t="s">
        <v>3387</v>
      </c>
      <c r="I3096" s="679" t="s">
        <v>2905</v>
      </c>
      <c r="J3096" s="676">
        <v>0</v>
      </c>
      <c r="K3096" s="676">
        <v>0</v>
      </c>
      <c r="M3096" t="str">
        <f>""</f>
        <v/>
      </c>
    </row>
    <row r="3097" spans="1:13" ht="15.75">
      <c r="A3097">
        <v>2022</v>
      </c>
      <c r="B3097" s="777">
        <v>44667</v>
      </c>
      <c r="C3097" s="730">
        <v>0.46388888888888891</v>
      </c>
      <c r="D3097" s="777" t="s">
        <v>5873</v>
      </c>
      <c r="E3097" s="730" t="s">
        <v>5873</v>
      </c>
      <c r="F3097" s="558" t="s">
        <v>5298</v>
      </c>
      <c r="G3097" s="558" t="s">
        <v>5055</v>
      </c>
      <c r="H3097" s="558" t="s">
        <v>3411</v>
      </c>
      <c r="I3097" s="679" t="s">
        <v>2764</v>
      </c>
      <c r="J3097" s="676">
        <v>0</v>
      </c>
      <c r="K3097" s="676">
        <v>0</v>
      </c>
      <c r="M3097" t="str">
        <f>""</f>
        <v/>
      </c>
    </row>
    <row r="3098" spans="1:13" ht="15.75">
      <c r="A3098">
        <v>2022</v>
      </c>
      <c r="B3098" s="777">
        <v>44667</v>
      </c>
      <c r="C3098" s="730">
        <v>0.44791666666666669</v>
      </c>
      <c r="D3098" s="777" t="s">
        <v>5873</v>
      </c>
      <c r="E3098" s="730" t="s">
        <v>5873</v>
      </c>
      <c r="F3098" s="558" t="s">
        <v>2853</v>
      </c>
      <c r="G3098" s="558" t="s">
        <v>124</v>
      </c>
      <c r="H3098" s="558" t="s">
        <v>3402</v>
      </c>
      <c r="I3098" s="679" t="s">
        <v>2118</v>
      </c>
      <c r="J3098" s="676">
        <v>0</v>
      </c>
      <c r="K3098" s="676">
        <v>0</v>
      </c>
      <c r="M3098" t="str">
        <f>""</f>
        <v/>
      </c>
    </row>
    <row r="3099" spans="1:13" ht="15.75">
      <c r="A3099">
        <v>2022</v>
      </c>
      <c r="B3099" s="777">
        <v>44667</v>
      </c>
      <c r="C3099" s="730">
        <v>0.22916666666666666</v>
      </c>
      <c r="D3099" s="777">
        <v>44667</v>
      </c>
      <c r="E3099" s="730">
        <v>0.48472222222222222</v>
      </c>
      <c r="F3099" s="558" t="s">
        <v>3414</v>
      </c>
      <c r="G3099" s="558" t="s">
        <v>124</v>
      </c>
      <c r="H3099" s="558" t="s">
        <v>3447</v>
      </c>
      <c r="I3099" s="679" t="s">
        <v>2764</v>
      </c>
      <c r="J3099" s="676">
        <v>0</v>
      </c>
      <c r="K3099" s="676">
        <v>0</v>
      </c>
      <c r="M3099" t="str">
        <f>""</f>
        <v/>
      </c>
    </row>
    <row r="3100" spans="1:13" ht="15.75">
      <c r="A3100">
        <v>2022</v>
      </c>
      <c r="B3100" s="777">
        <v>44667</v>
      </c>
      <c r="C3100" s="730">
        <v>0.95486111111111116</v>
      </c>
      <c r="D3100" s="777">
        <v>44667</v>
      </c>
      <c r="E3100" s="730">
        <v>0.95625000000000004</v>
      </c>
      <c r="F3100" s="558" t="s">
        <v>5081</v>
      </c>
      <c r="G3100" s="558" t="s">
        <v>3143</v>
      </c>
      <c r="H3100" s="558" t="s">
        <v>3402</v>
      </c>
      <c r="I3100" s="679" t="s">
        <v>2118</v>
      </c>
      <c r="J3100" s="676">
        <v>0</v>
      </c>
      <c r="K3100" s="676">
        <v>0</v>
      </c>
      <c r="M3100" t="str">
        <f>""</f>
        <v/>
      </c>
    </row>
    <row r="3101" spans="1:13" ht="15.75">
      <c r="A3101">
        <v>2022</v>
      </c>
      <c r="B3101" s="777">
        <v>44677</v>
      </c>
      <c r="C3101" s="730">
        <v>0.6020833333333333</v>
      </c>
      <c r="D3101" s="777" t="s">
        <v>5873</v>
      </c>
      <c r="E3101" s="730" t="s">
        <v>5873</v>
      </c>
      <c r="F3101" s="558" t="s">
        <v>3897</v>
      </c>
      <c r="G3101" s="558" t="s">
        <v>674</v>
      </c>
      <c r="H3101" s="558" t="s">
        <v>3356</v>
      </c>
      <c r="I3101" s="679" t="s">
        <v>100</v>
      </c>
      <c r="J3101" s="676">
        <v>17</v>
      </c>
      <c r="K3101" s="676">
        <v>0</v>
      </c>
      <c r="M3101" t="str">
        <f>""</f>
        <v/>
      </c>
    </row>
    <row r="3102" spans="1:13" ht="15.75">
      <c r="A3102">
        <v>2022</v>
      </c>
      <c r="B3102" s="777">
        <v>44677</v>
      </c>
      <c r="C3102" s="730">
        <v>0.37083333333333335</v>
      </c>
      <c r="D3102" s="777">
        <v>44677</v>
      </c>
      <c r="E3102" s="730">
        <v>0.37152777777777779</v>
      </c>
      <c r="F3102" s="558" t="s">
        <v>3616</v>
      </c>
      <c r="G3102" s="558" t="s">
        <v>124</v>
      </c>
      <c r="H3102" s="558" t="s">
        <v>2910</v>
      </c>
      <c r="I3102" s="679" t="s">
        <v>100</v>
      </c>
      <c r="J3102" s="676">
        <v>0</v>
      </c>
      <c r="K3102" s="676">
        <v>0</v>
      </c>
      <c r="M3102" t="str">
        <f>""</f>
        <v/>
      </c>
    </row>
    <row r="3103" spans="1:13" ht="15.75">
      <c r="A3103">
        <v>2022</v>
      </c>
      <c r="B3103" s="777">
        <v>44679</v>
      </c>
      <c r="C3103" s="730">
        <v>0.65625</v>
      </c>
      <c r="D3103" s="777" t="s">
        <v>5873</v>
      </c>
      <c r="E3103" s="730" t="s">
        <v>5873</v>
      </c>
      <c r="F3103" s="558" t="s">
        <v>3620</v>
      </c>
      <c r="G3103" s="558" t="s">
        <v>124</v>
      </c>
      <c r="H3103" s="558" t="s">
        <v>3402</v>
      </c>
      <c r="I3103" s="679" t="s">
        <v>2118</v>
      </c>
      <c r="J3103" s="676">
        <v>0</v>
      </c>
      <c r="K3103" s="676">
        <v>0</v>
      </c>
      <c r="M3103" t="str">
        <f>""</f>
        <v/>
      </c>
    </row>
    <row r="3104" spans="1:13" ht="15.75">
      <c r="A3104">
        <v>2022</v>
      </c>
      <c r="B3104" s="777">
        <v>44680</v>
      </c>
      <c r="C3104" s="730">
        <v>0.2951388888888889</v>
      </c>
      <c r="D3104" s="777">
        <v>44680</v>
      </c>
      <c r="E3104" s="730">
        <v>0.29583333333333334</v>
      </c>
      <c r="F3104" s="558" t="s">
        <v>2945</v>
      </c>
      <c r="G3104" s="558" t="s">
        <v>124</v>
      </c>
      <c r="H3104" s="558" t="s">
        <v>2910</v>
      </c>
      <c r="I3104" s="679" t="s">
        <v>100</v>
      </c>
      <c r="J3104" s="676">
        <v>0</v>
      </c>
      <c r="K3104" s="676">
        <v>0</v>
      </c>
      <c r="M3104" t="str">
        <f>""</f>
        <v/>
      </c>
    </row>
    <row r="3105" spans="1:13" ht="15.75">
      <c r="A3105">
        <v>2022</v>
      </c>
      <c r="B3105" s="777">
        <v>44683</v>
      </c>
      <c r="C3105" s="730">
        <v>0.6</v>
      </c>
      <c r="D3105" s="777">
        <v>44683</v>
      </c>
      <c r="E3105" s="730">
        <v>0.60069444444444442</v>
      </c>
      <c r="F3105" s="558" t="s">
        <v>2945</v>
      </c>
      <c r="G3105" s="558" t="s">
        <v>124</v>
      </c>
      <c r="H3105" s="558" t="s">
        <v>3356</v>
      </c>
      <c r="I3105" s="679" t="s">
        <v>100</v>
      </c>
      <c r="J3105" s="676" t="s">
        <v>5873</v>
      </c>
      <c r="K3105" s="676">
        <v>0</v>
      </c>
      <c r="M3105" t="str">
        <f>""</f>
        <v/>
      </c>
    </row>
    <row r="3106" spans="1:13" ht="15.75">
      <c r="A3106">
        <v>2022</v>
      </c>
      <c r="B3106" s="777">
        <v>44684</v>
      </c>
      <c r="C3106" s="730">
        <v>0.27916666666666667</v>
      </c>
      <c r="D3106" s="777">
        <v>44684</v>
      </c>
      <c r="E3106" s="730">
        <v>0.58263888888888893</v>
      </c>
      <c r="F3106" s="558" t="s">
        <v>5324</v>
      </c>
      <c r="G3106" s="558" t="s">
        <v>61</v>
      </c>
      <c r="H3106" s="558" t="s">
        <v>3356</v>
      </c>
      <c r="I3106" s="679" t="s">
        <v>100</v>
      </c>
      <c r="J3106" s="676">
        <v>0</v>
      </c>
      <c r="K3106" s="676">
        <v>0</v>
      </c>
      <c r="M3106" t="str">
        <f>""</f>
        <v/>
      </c>
    </row>
    <row r="3107" spans="1:13" ht="15.75">
      <c r="A3107">
        <v>2022</v>
      </c>
      <c r="B3107" s="777">
        <v>44684</v>
      </c>
      <c r="C3107" s="730">
        <v>1.1805555555555555E-2</v>
      </c>
      <c r="D3107" s="777">
        <v>44685</v>
      </c>
      <c r="E3107" s="730">
        <v>0.5</v>
      </c>
      <c r="F3107" s="558" t="s">
        <v>2866</v>
      </c>
      <c r="G3107" s="558" t="s">
        <v>63</v>
      </c>
      <c r="H3107" s="558" t="s">
        <v>3356</v>
      </c>
      <c r="I3107" s="679" t="s">
        <v>2293</v>
      </c>
      <c r="J3107" s="676">
        <v>0</v>
      </c>
      <c r="K3107" s="676">
        <v>0</v>
      </c>
      <c r="M3107" t="str">
        <f>""</f>
        <v/>
      </c>
    </row>
    <row r="3108" spans="1:13" ht="15.75">
      <c r="A3108">
        <v>2022</v>
      </c>
      <c r="B3108" s="777">
        <v>44685</v>
      </c>
      <c r="C3108" s="730">
        <v>0.58819444444444446</v>
      </c>
      <c r="D3108" s="777">
        <v>44686</v>
      </c>
      <c r="E3108" s="730">
        <v>8.1250000000000003E-2</v>
      </c>
      <c r="F3108" s="558" t="s">
        <v>3528</v>
      </c>
      <c r="G3108" s="558" t="s">
        <v>3143</v>
      </c>
      <c r="H3108" s="558" t="s">
        <v>3387</v>
      </c>
      <c r="I3108" s="679" t="s">
        <v>2764</v>
      </c>
      <c r="J3108" s="676" t="s">
        <v>5873</v>
      </c>
      <c r="K3108" s="676">
        <v>0</v>
      </c>
      <c r="M3108" t="str">
        <f>""</f>
        <v/>
      </c>
    </row>
    <row r="3109" spans="1:13" ht="15.75">
      <c r="A3109">
        <v>2022</v>
      </c>
      <c r="B3109" s="777">
        <v>44686</v>
      </c>
      <c r="C3109" s="730">
        <v>0.54583333333333328</v>
      </c>
      <c r="D3109" s="777">
        <v>44686</v>
      </c>
      <c r="E3109" s="730">
        <v>0.58750000000000002</v>
      </c>
      <c r="F3109" s="558" t="s">
        <v>3405</v>
      </c>
      <c r="G3109" s="558" t="s">
        <v>63</v>
      </c>
      <c r="H3109" s="558" t="s">
        <v>3411</v>
      </c>
      <c r="I3109" s="679" t="s">
        <v>2483</v>
      </c>
      <c r="J3109" s="676" t="s">
        <v>5873</v>
      </c>
      <c r="K3109" s="676">
        <v>0</v>
      </c>
      <c r="M3109" t="str">
        <f>""</f>
        <v/>
      </c>
    </row>
    <row r="3110" spans="1:13" ht="15.75">
      <c r="A3110">
        <v>2022</v>
      </c>
      <c r="B3110" s="777">
        <v>44687</v>
      </c>
      <c r="C3110" s="730">
        <v>0.12638888888888888</v>
      </c>
      <c r="D3110" s="777">
        <v>44687</v>
      </c>
      <c r="E3110" s="730">
        <v>0.14861111111111111</v>
      </c>
      <c r="F3110" s="558" t="s">
        <v>4350</v>
      </c>
      <c r="G3110" s="558" t="s">
        <v>3143</v>
      </c>
      <c r="H3110" s="558" t="s">
        <v>3387</v>
      </c>
      <c r="I3110" s="679" t="s">
        <v>1138</v>
      </c>
      <c r="J3110" s="676">
        <v>0</v>
      </c>
      <c r="K3110" s="676">
        <v>0</v>
      </c>
      <c r="M3110" t="str">
        <f>""</f>
        <v/>
      </c>
    </row>
    <row r="3111" spans="1:13" ht="15.75">
      <c r="A3111">
        <v>2022</v>
      </c>
      <c r="B3111" s="777">
        <v>44690</v>
      </c>
      <c r="C3111" s="730">
        <v>0.68402777777777779</v>
      </c>
      <c r="D3111" s="777">
        <v>44690</v>
      </c>
      <c r="E3111" s="730">
        <v>0.71527777777777779</v>
      </c>
      <c r="F3111" s="558" t="s">
        <v>5074</v>
      </c>
      <c r="G3111" s="558" t="s">
        <v>1352</v>
      </c>
      <c r="H3111" s="558" t="s">
        <v>3356</v>
      </c>
      <c r="I3111" s="679" t="s">
        <v>100</v>
      </c>
      <c r="J3111" s="676">
        <v>0</v>
      </c>
      <c r="K3111" s="676">
        <v>0</v>
      </c>
      <c r="M3111" t="str">
        <f>""</f>
        <v/>
      </c>
    </row>
    <row r="3112" spans="1:13" ht="15.75">
      <c r="A3112">
        <v>2022</v>
      </c>
      <c r="B3112" s="777">
        <v>44690</v>
      </c>
      <c r="C3112" s="730">
        <v>0.68402777777777779</v>
      </c>
      <c r="D3112" s="777">
        <v>44690</v>
      </c>
      <c r="E3112" s="730">
        <v>0.71527777777777779</v>
      </c>
      <c r="F3112" s="558" t="s">
        <v>5074</v>
      </c>
      <c r="G3112" s="558" t="s">
        <v>1352</v>
      </c>
      <c r="H3112" s="558" t="s">
        <v>3356</v>
      </c>
      <c r="I3112" s="679" t="s">
        <v>100</v>
      </c>
      <c r="J3112" s="676">
        <v>0</v>
      </c>
      <c r="K3112" s="676">
        <v>0</v>
      </c>
      <c r="M3112" t="str">
        <f>""</f>
        <v/>
      </c>
    </row>
    <row r="3113" spans="1:13" ht="15.75">
      <c r="A3113">
        <v>2022</v>
      </c>
      <c r="B3113" s="777">
        <v>44692</v>
      </c>
      <c r="C3113" s="730">
        <v>0.41666666666666669</v>
      </c>
      <c r="D3113" s="777">
        <v>44692</v>
      </c>
      <c r="E3113" s="730">
        <v>0.41736111111111113</v>
      </c>
      <c r="F3113" s="558" t="s">
        <v>5331</v>
      </c>
      <c r="G3113" s="558" t="s">
        <v>674</v>
      </c>
      <c r="H3113" s="558" t="s">
        <v>5332</v>
      </c>
      <c r="I3113" s="679" t="s">
        <v>100</v>
      </c>
      <c r="J3113" s="676">
        <v>0</v>
      </c>
      <c r="K3113" s="676">
        <v>0</v>
      </c>
      <c r="M3113" t="str">
        <f>""</f>
        <v/>
      </c>
    </row>
    <row r="3114" spans="1:13" ht="15.75">
      <c r="A3114">
        <v>2022</v>
      </c>
      <c r="B3114" s="777">
        <v>44693</v>
      </c>
      <c r="C3114" s="730">
        <v>0.62361111111111112</v>
      </c>
      <c r="D3114" s="777">
        <v>44693</v>
      </c>
      <c r="E3114" s="730">
        <v>0.62430555555555556</v>
      </c>
      <c r="F3114" s="558" t="s">
        <v>5336</v>
      </c>
      <c r="G3114" s="558" t="s">
        <v>63</v>
      </c>
      <c r="H3114" s="558" t="s">
        <v>3356</v>
      </c>
      <c r="I3114" s="679" t="s">
        <v>5075</v>
      </c>
      <c r="J3114" s="676">
        <v>0</v>
      </c>
      <c r="K3114" s="676">
        <v>0</v>
      </c>
      <c r="M3114" t="str">
        <f>""</f>
        <v/>
      </c>
    </row>
    <row r="3115" spans="1:13" ht="15.75">
      <c r="A3115">
        <v>2022</v>
      </c>
      <c r="B3115" s="777">
        <v>44693</v>
      </c>
      <c r="C3115" s="730">
        <v>0.62361111111111112</v>
      </c>
      <c r="D3115" s="777">
        <v>44693</v>
      </c>
      <c r="E3115" s="730">
        <v>0.62430555555555556</v>
      </c>
      <c r="F3115" s="558" t="s">
        <v>5337</v>
      </c>
      <c r="G3115" s="558" t="s">
        <v>63</v>
      </c>
      <c r="H3115" s="558" t="s">
        <v>3356</v>
      </c>
      <c r="I3115" s="679" t="s">
        <v>5075</v>
      </c>
      <c r="J3115" s="676">
        <v>0</v>
      </c>
      <c r="K3115" s="676">
        <v>0</v>
      </c>
      <c r="M3115" t="str">
        <f>""</f>
        <v/>
      </c>
    </row>
    <row r="3116" spans="1:13" ht="15.75">
      <c r="A3116">
        <v>2022</v>
      </c>
      <c r="B3116" s="777">
        <v>44693</v>
      </c>
      <c r="C3116" s="730">
        <v>4.1666666666666664E-2</v>
      </c>
      <c r="D3116" s="777">
        <v>44693</v>
      </c>
      <c r="E3116" s="730">
        <v>4.8611111111111112E-2</v>
      </c>
      <c r="F3116" s="558" t="s">
        <v>5338</v>
      </c>
      <c r="G3116" s="558" t="s">
        <v>1352</v>
      </c>
      <c r="H3116" s="558" t="s">
        <v>3402</v>
      </c>
      <c r="I3116" s="679" t="s">
        <v>2118</v>
      </c>
      <c r="J3116" s="676">
        <v>0</v>
      </c>
      <c r="K3116" s="676">
        <v>0</v>
      </c>
      <c r="M3116" t="str">
        <f>""</f>
        <v/>
      </c>
    </row>
    <row r="3117" spans="1:13" ht="15.75">
      <c r="A3117">
        <v>2022</v>
      </c>
      <c r="B3117" s="777">
        <v>44693</v>
      </c>
      <c r="C3117" s="730">
        <v>0.44722222222222224</v>
      </c>
      <c r="D3117" s="777">
        <v>44693</v>
      </c>
      <c r="E3117" s="730">
        <v>0.56527777777777777</v>
      </c>
      <c r="F3117" s="558" t="s">
        <v>5339</v>
      </c>
      <c r="G3117" s="558" t="s">
        <v>63</v>
      </c>
      <c r="H3117" s="558" t="s">
        <v>3411</v>
      </c>
      <c r="I3117" s="679" t="s">
        <v>2483</v>
      </c>
      <c r="J3117" s="676">
        <v>800</v>
      </c>
      <c r="K3117" s="676">
        <v>0</v>
      </c>
      <c r="M3117" t="str">
        <f>""</f>
        <v/>
      </c>
    </row>
    <row r="3118" spans="1:13" ht="15.75">
      <c r="A3118">
        <v>2022</v>
      </c>
      <c r="B3118" s="777">
        <v>44695</v>
      </c>
      <c r="C3118" s="730">
        <v>0.62847222222222221</v>
      </c>
      <c r="D3118" s="777">
        <v>44695</v>
      </c>
      <c r="E3118" s="730">
        <v>0.6875</v>
      </c>
      <c r="F3118" s="558" t="s">
        <v>2919</v>
      </c>
      <c r="G3118" s="558" t="s">
        <v>1352</v>
      </c>
      <c r="H3118" s="558" t="s">
        <v>3387</v>
      </c>
      <c r="I3118" s="679" t="s">
        <v>2764</v>
      </c>
      <c r="J3118" s="676">
        <v>0</v>
      </c>
      <c r="K3118" s="676">
        <v>0</v>
      </c>
      <c r="M3118" t="str">
        <f>""</f>
        <v/>
      </c>
    </row>
    <row r="3119" spans="1:13" ht="15.75">
      <c r="A3119">
        <v>2022</v>
      </c>
      <c r="B3119" s="777">
        <v>44696</v>
      </c>
      <c r="C3119" s="730">
        <v>0.875</v>
      </c>
      <c r="D3119" s="777">
        <v>44696</v>
      </c>
      <c r="E3119" s="730">
        <v>0.88194444444444442</v>
      </c>
      <c r="F3119" s="558" t="s">
        <v>3215</v>
      </c>
      <c r="G3119" s="558" t="s">
        <v>3143</v>
      </c>
      <c r="H3119" s="558" t="s">
        <v>3402</v>
      </c>
      <c r="I3119" s="679" t="s">
        <v>2118</v>
      </c>
      <c r="J3119" s="676">
        <v>0</v>
      </c>
      <c r="K3119" s="676">
        <v>0</v>
      </c>
      <c r="M3119" t="str">
        <f>""</f>
        <v/>
      </c>
    </row>
    <row r="3120" spans="1:13" ht="15.75">
      <c r="A3120">
        <v>2022</v>
      </c>
      <c r="B3120" s="777">
        <v>44696</v>
      </c>
      <c r="C3120" s="730">
        <v>0.875</v>
      </c>
      <c r="D3120" s="777">
        <v>44696</v>
      </c>
      <c r="E3120" s="730">
        <v>0.88194444444444442</v>
      </c>
      <c r="F3120" s="558" t="s">
        <v>3215</v>
      </c>
      <c r="G3120" s="558" t="s">
        <v>3143</v>
      </c>
      <c r="H3120" s="558" t="s">
        <v>3402</v>
      </c>
      <c r="I3120" s="679" t="s">
        <v>2118</v>
      </c>
      <c r="J3120" s="676">
        <v>0</v>
      </c>
      <c r="K3120" s="676">
        <v>0</v>
      </c>
      <c r="M3120" t="str">
        <f>""</f>
        <v/>
      </c>
    </row>
    <row r="3121" spans="1:13" ht="15.75">
      <c r="A3121">
        <v>2022</v>
      </c>
      <c r="B3121" s="777">
        <v>44697</v>
      </c>
      <c r="C3121" s="730">
        <v>0.20833333333333334</v>
      </c>
      <c r="D3121" s="777">
        <v>44697</v>
      </c>
      <c r="E3121" s="730">
        <v>0.20902777777777778</v>
      </c>
      <c r="F3121" s="558" t="s">
        <v>5345</v>
      </c>
      <c r="G3121" s="558" t="s">
        <v>124</v>
      </c>
      <c r="H3121" s="558" t="s">
        <v>3356</v>
      </c>
      <c r="I3121" s="679" t="s">
        <v>100</v>
      </c>
      <c r="J3121" s="676">
        <v>0</v>
      </c>
      <c r="K3121" s="676">
        <v>0</v>
      </c>
      <c r="M3121" t="str">
        <f>""</f>
        <v/>
      </c>
    </row>
    <row r="3122" spans="1:13" ht="15.75">
      <c r="A3122">
        <v>2022</v>
      </c>
      <c r="B3122" s="777">
        <v>44697</v>
      </c>
      <c r="C3122" s="730">
        <v>0.66874999999999996</v>
      </c>
      <c r="D3122" s="777">
        <v>44697</v>
      </c>
      <c r="E3122" s="730">
        <v>0.81388888888888888</v>
      </c>
      <c r="F3122" s="558" t="s">
        <v>3957</v>
      </c>
      <c r="G3122" s="558" t="s">
        <v>124</v>
      </c>
      <c r="H3122" s="558" t="s">
        <v>5346</v>
      </c>
      <c r="I3122" s="679" t="s">
        <v>2764</v>
      </c>
      <c r="J3122" s="676">
        <v>0</v>
      </c>
      <c r="K3122" s="676">
        <v>0</v>
      </c>
      <c r="M3122" t="str">
        <f>""</f>
        <v/>
      </c>
    </row>
    <row r="3123" spans="1:13" ht="15.75">
      <c r="A3123">
        <v>2022</v>
      </c>
      <c r="B3123" s="777">
        <v>44699</v>
      </c>
      <c r="C3123" s="730">
        <v>0.70833333333333337</v>
      </c>
      <c r="D3123" s="777">
        <v>44712</v>
      </c>
      <c r="E3123" s="730">
        <v>0.5</v>
      </c>
      <c r="F3123" s="558" t="s">
        <v>3620</v>
      </c>
      <c r="G3123" s="558" t="s">
        <v>124</v>
      </c>
      <c r="H3123" s="558" t="s">
        <v>2780</v>
      </c>
      <c r="I3123" s="679" t="s">
        <v>1138</v>
      </c>
      <c r="J3123" s="676">
        <v>560</v>
      </c>
      <c r="K3123" s="676">
        <v>0</v>
      </c>
      <c r="M3123" t="str">
        <f>""</f>
        <v/>
      </c>
    </row>
    <row r="3124" spans="1:13" ht="15.75">
      <c r="A3124">
        <v>2022</v>
      </c>
      <c r="B3124" s="777">
        <v>44699</v>
      </c>
      <c r="C3124" s="730">
        <v>0.45833333333333331</v>
      </c>
      <c r="D3124" s="777">
        <v>44699</v>
      </c>
      <c r="E3124" s="730">
        <v>0.69027777777777777</v>
      </c>
      <c r="F3124" s="558" t="s">
        <v>5350</v>
      </c>
      <c r="G3124" s="558" t="s">
        <v>124</v>
      </c>
      <c r="H3124" s="558" t="s">
        <v>3356</v>
      </c>
      <c r="I3124" s="679" t="s">
        <v>100</v>
      </c>
      <c r="J3124" s="676">
        <v>0</v>
      </c>
      <c r="K3124" s="676">
        <v>0</v>
      </c>
      <c r="M3124" t="str">
        <f>""</f>
        <v/>
      </c>
    </row>
    <row r="3125" spans="1:13" ht="15.75">
      <c r="A3125">
        <v>2022</v>
      </c>
      <c r="B3125" s="777">
        <v>44699</v>
      </c>
      <c r="C3125" s="730">
        <v>0.64583333333333337</v>
      </c>
      <c r="D3125" s="777">
        <v>44699</v>
      </c>
      <c r="E3125" s="730">
        <v>0.6875</v>
      </c>
      <c r="F3125" s="558" t="s">
        <v>5351</v>
      </c>
      <c r="G3125" s="558" t="s">
        <v>3143</v>
      </c>
      <c r="H3125" s="558" t="s">
        <v>3402</v>
      </c>
      <c r="I3125" s="679" t="s">
        <v>2118</v>
      </c>
      <c r="J3125" s="676">
        <v>0</v>
      </c>
      <c r="K3125" s="676">
        <v>0</v>
      </c>
      <c r="M3125" t="str">
        <f>""</f>
        <v/>
      </c>
    </row>
    <row r="3126" spans="1:13" ht="15.75">
      <c r="A3126">
        <v>2022</v>
      </c>
      <c r="B3126" s="777">
        <v>44701</v>
      </c>
      <c r="C3126" s="730">
        <v>0.72638888888888886</v>
      </c>
      <c r="D3126" s="777">
        <v>44701</v>
      </c>
      <c r="E3126" s="730">
        <v>0.73124999999999996</v>
      </c>
      <c r="F3126" s="558" t="s">
        <v>2868</v>
      </c>
      <c r="G3126" s="558" t="s">
        <v>61</v>
      </c>
      <c r="H3126" s="558" t="s">
        <v>3411</v>
      </c>
      <c r="I3126" s="679" t="s">
        <v>2483</v>
      </c>
      <c r="J3126" s="676">
        <v>0</v>
      </c>
      <c r="K3126" s="676">
        <v>0</v>
      </c>
      <c r="M3126" t="str">
        <f>""</f>
        <v/>
      </c>
    </row>
    <row r="3127" spans="1:13" ht="15.75">
      <c r="A3127">
        <v>2022</v>
      </c>
      <c r="B3127" s="777">
        <v>44701</v>
      </c>
      <c r="C3127" s="730">
        <v>0.36666666666666664</v>
      </c>
      <c r="D3127" s="777" t="s">
        <v>5873</v>
      </c>
      <c r="E3127" s="730" t="s">
        <v>5873</v>
      </c>
      <c r="F3127" s="558" t="s">
        <v>5353</v>
      </c>
      <c r="G3127" s="558" t="s">
        <v>61</v>
      </c>
      <c r="H3127" s="558" t="s">
        <v>3402</v>
      </c>
      <c r="I3127" s="679" t="s">
        <v>2118</v>
      </c>
      <c r="J3127" s="676">
        <v>0</v>
      </c>
      <c r="K3127" s="676">
        <v>0</v>
      </c>
      <c r="M3127" t="str">
        <f>""</f>
        <v/>
      </c>
    </row>
    <row r="3128" spans="1:13" ht="15.75">
      <c r="A3128">
        <v>2022</v>
      </c>
      <c r="B3128" s="777">
        <v>44702</v>
      </c>
      <c r="C3128" s="730">
        <v>0.91180555555555554</v>
      </c>
      <c r="D3128" s="777">
        <v>44703</v>
      </c>
      <c r="E3128" s="730">
        <v>1.9444444444444445E-2</v>
      </c>
      <c r="F3128" s="558" t="s">
        <v>4590</v>
      </c>
      <c r="G3128" s="558" t="s">
        <v>63</v>
      </c>
      <c r="H3128" s="558" t="s">
        <v>3356</v>
      </c>
      <c r="I3128" s="679" t="s">
        <v>2293</v>
      </c>
      <c r="J3128" s="676">
        <v>0</v>
      </c>
      <c r="K3128" s="676">
        <v>0</v>
      </c>
      <c r="M3128" t="str">
        <f>""</f>
        <v/>
      </c>
    </row>
    <row r="3129" spans="1:13" ht="15.75">
      <c r="A3129">
        <v>2022</v>
      </c>
      <c r="B3129" s="777">
        <v>44703</v>
      </c>
      <c r="C3129" s="730">
        <v>0.94444444444444442</v>
      </c>
      <c r="D3129" s="777">
        <v>44703</v>
      </c>
      <c r="E3129" s="730">
        <v>0.96944444444444444</v>
      </c>
      <c r="F3129" s="558" t="s">
        <v>2959</v>
      </c>
      <c r="G3129" s="558" t="s">
        <v>61</v>
      </c>
      <c r="H3129" s="558" t="s">
        <v>3387</v>
      </c>
      <c r="I3129" s="679" t="s">
        <v>2764</v>
      </c>
      <c r="J3129" s="676">
        <v>0</v>
      </c>
      <c r="K3129" s="676">
        <v>0</v>
      </c>
      <c r="M3129" t="str">
        <f>""</f>
        <v/>
      </c>
    </row>
    <row r="3130" spans="1:13" ht="15.75">
      <c r="A3130">
        <v>2022</v>
      </c>
      <c r="B3130" s="777">
        <v>44706</v>
      </c>
      <c r="C3130" s="730">
        <v>0.27916666666666667</v>
      </c>
      <c r="D3130" s="777">
        <v>44706</v>
      </c>
      <c r="E3130" s="730">
        <v>0.27986111111111112</v>
      </c>
      <c r="F3130" s="558" t="s">
        <v>5358</v>
      </c>
      <c r="G3130" s="558" t="s">
        <v>124</v>
      </c>
      <c r="H3130" s="558" t="s">
        <v>3356</v>
      </c>
      <c r="I3130" s="679" t="s">
        <v>2293</v>
      </c>
      <c r="J3130" s="676">
        <v>0</v>
      </c>
      <c r="K3130" s="676">
        <v>0</v>
      </c>
      <c r="M3130" t="str">
        <f>""</f>
        <v/>
      </c>
    </row>
    <row r="3131" spans="1:13" ht="15.75">
      <c r="A3131">
        <v>2022</v>
      </c>
      <c r="B3131" s="777">
        <v>44708</v>
      </c>
      <c r="C3131" s="730">
        <v>0.33055555555555555</v>
      </c>
      <c r="D3131" s="777">
        <v>44708</v>
      </c>
      <c r="E3131" s="730">
        <v>0.35972222222222222</v>
      </c>
      <c r="F3131" s="558" t="s">
        <v>5360</v>
      </c>
      <c r="G3131" s="558" t="s">
        <v>124</v>
      </c>
      <c r="H3131" s="558" t="s">
        <v>3387</v>
      </c>
      <c r="I3131" s="679" t="s">
        <v>2764</v>
      </c>
      <c r="J3131" s="676">
        <v>0</v>
      </c>
      <c r="K3131" s="676">
        <v>0</v>
      </c>
      <c r="M3131" t="str">
        <f>""</f>
        <v/>
      </c>
    </row>
    <row r="3132" spans="1:13" ht="15.75">
      <c r="A3132">
        <v>2022</v>
      </c>
      <c r="B3132" s="777">
        <v>44708</v>
      </c>
      <c r="C3132" s="730">
        <v>0.22152777777777777</v>
      </c>
      <c r="D3132" s="777">
        <v>44708</v>
      </c>
      <c r="E3132" s="730">
        <v>0.25</v>
      </c>
      <c r="F3132" s="558" t="s">
        <v>5046</v>
      </c>
      <c r="G3132" s="558" t="s">
        <v>3143</v>
      </c>
      <c r="H3132" s="558" t="s">
        <v>3402</v>
      </c>
      <c r="I3132" s="679" t="s">
        <v>2118</v>
      </c>
      <c r="J3132" s="676">
        <v>0</v>
      </c>
      <c r="K3132" s="676">
        <v>0</v>
      </c>
      <c r="M3132" t="str">
        <f>""</f>
        <v/>
      </c>
    </row>
    <row r="3133" spans="1:13" ht="15.75">
      <c r="A3133">
        <v>2022</v>
      </c>
      <c r="B3133" s="777">
        <v>44710</v>
      </c>
      <c r="C3133" s="730">
        <v>0.69513888888888886</v>
      </c>
      <c r="D3133" s="777">
        <v>44712</v>
      </c>
      <c r="E3133" s="730">
        <v>0.47847222222222224</v>
      </c>
      <c r="F3133" s="558" t="s">
        <v>5081</v>
      </c>
      <c r="G3133" s="558" t="s">
        <v>3143</v>
      </c>
      <c r="H3133" s="558" t="s">
        <v>3411</v>
      </c>
      <c r="I3133" s="679" t="s">
        <v>2483</v>
      </c>
      <c r="J3133" s="676">
        <v>0</v>
      </c>
      <c r="K3133" s="676">
        <v>0</v>
      </c>
      <c r="M3133" t="str">
        <f>""</f>
        <v/>
      </c>
    </row>
    <row r="3134" spans="1:13" ht="15.75">
      <c r="A3134">
        <v>2022</v>
      </c>
      <c r="B3134" s="777">
        <v>44710</v>
      </c>
      <c r="C3134" s="730">
        <v>5.4166666666666669E-2</v>
      </c>
      <c r="D3134" s="777">
        <v>44710</v>
      </c>
      <c r="E3134" s="730">
        <v>7.6388888888888895E-2</v>
      </c>
      <c r="F3134" s="558" t="s">
        <v>3215</v>
      </c>
      <c r="G3134" s="558" t="s">
        <v>3143</v>
      </c>
      <c r="H3134" s="558" t="s">
        <v>3387</v>
      </c>
      <c r="I3134" s="679" t="s">
        <v>2764</v>
      </c>
      <c r="J3134" s="676">
        <v>0</v>
      </c>
      <c r="K3134" s="676">
        <v>0</v>
      </c>
      <c r="M3134" t="str">
        <f>""</f>
        <v/>
      </c>
    </row>
    <row r="3135" spans="1:13" ht="15.75">
      <c r="A3135">
        <v>2022</v>
      </c>
      <c r="B3135" s="777">
        <v>44711</v>
      </c>
      <c r="C3135" s="730">
        <v>0.59027777777777779</v>
      </c>
      <c r="D3135" s="777">
        <v>44712</v>
      </c>
      <c r="E3135" s="730">
        <v>0.24861111111111112</v>
      </c>
      <c r="F3135" s="558" t="s">
        <v>4355</v>
      </c>
      <c r="G3135" s="558" t="s">
        <v>124</v>
      </c>
      <c r="H3135" s="558" t="s">
        <v>3447</v>
      </c>
      <c r="I3135" s="679" t="s">
        <v>2764</v>
      </c>
      <c r="J3135" s="676">
        <v>0</v>
      </c>
      <c r="K3135" s="676">
        <v>0</v>
      </c>
      <c r="M3135" t="str">
        <f>""</f>
        <v/>
      </c>
    </row>
    <row r="3136" spans="1:13" ht="15.75">
      <c r="A3136">
        <v>2022</v>
      </c>
      <c r="B3136" s="777">
        <v>44712</v>
      </c>
      <c r="C3136" s="730">
        <v>0.58194444444444449</v>
      </c>
      <c r="D3136" s="777">
        <v>44712</v>
      </c>
      <c r="E3136" s="730">
        <v>0.58263888888888893</v>
      </c>
      <c r="F3136" s="558" t="s">
        <v>3591</v>
      </c>
      <c r="G3136" s="558" t="s">
        <v>1352</v>
      </c>
      <c r="H3136" s="558" t="s">
        <v>3356</v>
      </c>
      <c r="I3136" s="679" t="s">
        <v>100</v>
      </c>
      <c r="J3136" s="676">
        <v>0</v>
      </c>
      <c r="K3136" s="676">
        <v>0</v>
      </c>
      <c r="M3136" t="str">
        <f>""</f>
        <v/>
      </c>
    </row>
    <row r="3137" spans="1:13" ht="15.75">
      <c r="A3137">
        <v>2022</v>
      </c>
      <c r="B3137" s="777">
        <v>44713</v>
      </c>
      <c r="C3137" s="730">
        <v>0.44930555555555557</v>
      </c>
      <c r="D3137" s="777">
        <v>44713</v>
      </c>
      <c r="E3137" s="730">
        <v>0.45</v>
      </c>
      <c r="F3137" s="558" t="s">
        <v>5364</v>
      </c>
      <c r="G3137" s="558" t="s">
        <v>124</v>
      </c>
      <c r="H3137" s="558" t="s">
        <v>3356</v>
      </c>
      <c r="I3137" s="679" t="s">
        <v>100</v>
      </c>
      <c r="J3137" s="676">
        <v>0</v>
      </c>
      <c r="K3137" s="676">
        <v>0</v>
      </c>
      <c r="M3137" t="str">
        <f>""</f>
        <v/>
      </c>
    </row>
    <row r="3138" spans="1:13" ht="15.75">
      <c r="A3138">
        <v>2022</v>
      </c>
      <c r="B3138" s="777">
        <v>44714</v>
      </c>
      <c r="C3138" s="730">
        <v>0.34722222222222221</v>
      </c>
      <c r="D3138" s="777" t="s">
        <v>5873</v>
      </c>
      <c r="E3138" s="730" t="s">
        <v>5873</v>
      </c>
      <c r="F3138" s="558" t="s">
        <v>2920</v>
      </c>
      <c r="G3138" s="558" t="s">
        <v>124</v>
      </c>
      <c r="H3138" s="558" t="s">
        <v>2910</v>
      </c>
      <c r="I3138" s="679" t="s">
        <v>100</v>
      </c>
      <c r="J3138" s="676">
        <v>0</v>
      </c>
      <c r="K3138" s="676">
        <v>0</v>
      </c>
      <c r="M3138" t="str">
        <f>""</f>
        <v/>
      </c>
    </row>
    <row r="3139" spans="1:13" ht="15.75">
      <c r="A3139">
        <v>2022</v>
      </c>
      <c r="B3139" s="777">
        <v>44715</v>
      </c>
      <c r="C3139" s="730">
        <v>0.15833333333333333</v>
      </c>
      <c r="D3139" s="777">
        <v>44715</v>
      </c>
      <c r="E3139" s="730">
        <v>0.15902777777777777</v>
      </c>
      <c r="F3139" s="558" t="s">
        <v>5054</v>
      </c>
      <c r="G3139" s="558" t="s">
        <v>63</v>
      </c>
      <c r="H3139" s="558" t="s">
        <v>4043</v>
      </c>
      <c r="I3139" s="679" t="s">
        <v>100</v>
      </c>
      <c r="J3139" s="676">
        <v>0</v>
      </c>
      <c r="K3139" s="676">
        <v>0</v>
      </c>
      <c r="M3139" t="str">
        <f>""</f>
        <v/>
      </c>
    </row>
    <row r="3140" spans="1:13" ht="15.75">
      <c r="A3140">
        <v>2022</v>
      </c>
      <c r="B3140" s="777">
        <v>44716</v>
      </c>
      <c r="C3140" s="730">
        <v>0.54097222222222219</v>
      </c>
      <c r="D3140" s="777">
        <v>44717</v>
      </c>
      <c r="E3140" s="730">
        <v>9.375E-2</v>
      </c>
      <c r="F3140" s="558" t="s">
        <v>4360</v>
      </c>
      <c r="G3140" s="558" t="s">
        <v>1352</v>
      </c>
      <c r="H3140" s="558" t="s">
        <v>3396</v>
      </c>
      <c r="I3140" s="679" t="s">
        <v>2905</v>
      </c>
      <c r="J3140" s="676">
        <v>0</v>
      </c>
      <c r="K3140" s="676">
        <v>0</v>
      </c>
      <c r="M3140" t="str">
        <f>""</f>
        <v/>
      </c>
    </row>
    <row r="3141" spans="1:13" ht="15.75">
      <c r="A3141">
        <v>2022</v>
      </c>
      <c r="B3141" s="777">
        <v>44721</v>
      </c>
      <c r="C3141" s="730">
        <v>0.10625</v>
      </c>
      <c r="D3141" s="777">
        <v>44721</v>
      </c>
      <c r="E3141" s="730">
        <v>0.28402777777777777</v>
      </c>
      <c r="F3141" s="558" t="s">
        <v>4054</v>
      </c>
      <c r="G3141" s="558" t="s">
        <v>1352</v>
      </c>
      <c r="H3141" s="558" t="s">
        <v>3356</v>
      </c>
      <c r="I3141" s="679" t="s">
        <v>2118</v>
      </c>
      <c r="J3141" s="676">
        <v>0</v>
      </c>
      <c r="K3141" s="676">
        <v>0</v>
      </c>
      <c r="M3141" t="str">
        <f>""</f>
        <v/>
      </c>
    </row>
    <row r="3142" spans="1:13" ht="15.75">
      <c r="A3142">
        <v>2022</v>
      </c>
      <c r="B3142" s="777">
        <v>44721</v>
      </c>
      <c r="C3142" s="730">
        <v>0.29166666666666669</v>
      </c>
      <c r="D3142" s="777">
        <v>44721</v>
      </c>
      <c r="E3142" s="730">
        <v>0.2951388888888889</v>
      </c>
      <c r="F3142" s="558" t="s">
        <v>5376</v>
      </c>
      <c r="G3142" s="558" t="s">
        <v>124</v>
      </c>
      <c r="H3142" s="558" t="s">
        <v>3356</v>
      </c>
      <c r="I3142" s="679" t="s">
        <v>100</v>
      </c>
      <c r="J3142" s="676">
        <v>0</v>
      </c>
      <c r="K3142" s="676">
        <v>0</v>
      </c>
      <c r="M3142" t="str">
        <f>""</f>
        <v/>
      </c>
    </row>
    <row r="3143" spans="1:13" ht="15.75">
      <c r="A3143">
        <v>2022</v>
      </c>
      <c r="B3143" s="777">
        <v>44722</v>
      </c>
      <c r="C3143" s="730">
        <v>0.50555555555555554</v>
      </c>
      <c r="D3143" s="777">
        <v>44722</v>
      </c>
      <c r="E3143" s="730">
        <v>0.89583333333333337</v>
      </c>
      <c r="F3143" s="558" t="s">
        <v>4402</v>
      </c>
      <c r="G3143" s="558" t="s">
        <v>1352</v>
      </c>
      <c r="H3143" s="558" t="s">
        <v>3415</v>
      </c>
      <c r="I3143" s="679" t="s">
        <v>5075</v>
      </c>
      <c r="J3143" s="676">
        <v>0</v>
      </c>
      <c r="K3143" s="676">
        <v>0</v>
      </c>
      <c r="M3143" t="str">
        <f>""</f>
        <v/>
      </c>
    </row>
    <row r="3144" spans="1:13" ht="15.75">
      <c r="A3144">
        <v>2022</v>
      </c>
      <c r="B3144" s="777">
        <v>44725</v>
      </c>
      <c r="C3144" s="730">
        <v>0.99583333333333335</v>
      </c>
      <c r="D3144" s="777">
        <v>44726</v>
      </c>
      <c r="E3144" s="730">
        <v>3.125E-2</v>
      </c>
      <c r="F3144" s="558" t="s">
        <v>3307</v>
      </c>
      <c r="G3144" s="558" t="s">
        <v>3143</v>
      </c>
      <c r="H3144" s="558" t="s">
        <v>5386</v>
      </c>
      <c r="I3144" s="679" t="s">
        <v>2764</v>
      </c>
      <c r="J3144" s="676">
        <v>0</v>
      </c>
      <c r="K3144" s="676">
        <v>0</v>
      </c>
      <c r="M3144" t="str">
        <f>""</f>
        <v/>
      </c>
    </row>
    <row r="3145" spans="1:13" ht="15.75">
      <c r="A3145">
        <v>2022</v>
      </c>
      <c r="B3145" s="777">
        <v>44726</v>
      </c>
      <c r="C3145" s="730">
        <v>0</v>
      </c>
      <c r="D3145" s="777">
        <v>44726</v>
      </c>
      <c r="E3145" s="730">
        <v>0.25</v>
      </c>
      <c r="F3145" s="558" t="s">
        <v>3819</v>
      </c>
      <c r="G3145" s="558" t="s">
        <v>124</v>
      </c>
      <c r="H3145" s="558" t="s">
        <v>3402</v>
      </c>
      <c r="I3145" s="679" t="s">
        <v>5075</v>
      </c>
      <c r="J3145" s="676">
        <v>0</v>
      </c>
      <c r="K3145" s="676">
        <v>0</v>
      </c>
      <c r="M3145" t="str">
        <f>""</f>
        <v/>
      </c>
    </row>
    <row r="3146" spans="1:13" ht="15.75">
      <c r="A3146">
        <v>2022</v>
      </c>
      <c r="B3146" s="777">
        <v>44727</v>
      </c>
      <c r="C3146" s="730">
        <v>0.44791666666666669</v>
      </c>
      <c r="D3146" s="777">
        <v>44727</v>
      </c>
      <c r="E3146" s="730">
        <v>0.57291666666666663</v>
      </c>
      <c r="F3146" s="558" t="s">
        <v>3528</v>
      </c>
      <c r="G3146" s="558" t="s">
        <v>3143</v>
      </c>
      <c r="H3146" s="558" t="s">
        <v>3387</v>
      </c>
      <c r="I3146" s="679" t="s">
        <v>2764</v>
      </c>
      <c r="J3146" s="676">
        <v>0</v>
      </c>
      <c r="K3146" s="676">
        <v>0</v>
      </c>
      <c r="M3146" t="str">
        <f>""</f>
        <v/>
      </c>
    </row>
    <row r="3147" spans="1:13" ht="15.75">
      <c r="A3147">
        <v>2022</v>
      </c>
      <c r="B3147" s="777">
        <v>44735</v>
      </c>
      <c r="C3147" s="730">
        <v>0.52847222222222223</v>
      </c>
      <c r="D3147" s="777">
        <v>44735</v>
      </c>
      <c r="E3147" s="730">
        <v>0.57013888888888886</v>
      </c>
      <c r="F3147" s="558" t="s">
        <v>5403</v>
      </c>
      <c r="G3147" s="558" t="s">
        <v>61</v>
      </c>
      <c r="H3147" s="558" t="s">
        <v>3402</v>
      </c>
      <c r="I3147" s="679" t="s">
        <v>2118</v>
      </c>
      <c r="J3147" s="676">
        <v>0</v>
      </c>
      <c r="K3147" s="676">
        <v>0</v>
      </c>
      <c r="M3147" t="str">
        <f>""</f>
        <v/>
      </c>
    </row>
    <row r="3148" spans="1:13" ht="15.75">
      <c r="A3148">
        <v>2022</v>
      </c>
      <c r="B3148" s="777">
        <v>44735</v>
      </c>
      <c r="C3148" s="730">
        <v>0.4548611111111111</v>
      </c>
      <c r="D3148" s="777" t="s">
        <v>5873</v>
      </c>
      <c r="E3148" s="730" t="s">
        <v>5873</v>
      </c>
      <c r="F3148" s="558" t="s">
        <v>2945</v>
      </c>
      <c r="G3148" s="558" t="s">
        <v>124</v>
      </c>
      <c r="H3148" s="558" t="s">
        <v>2780</v>
      </c>
      <c r="I3148" s="679" t="s">
        <v>1138</v>
      </c>
      <c r="J3148" s="676">
        <v>0</v>
      </c>
      <c r="K3148" s="676">
        <v>0</v>
      </c>
      <c r="M3148" t="str">
        <f>""</f>
        <v/>
      </c>
    </row>
    <row r="3149" spans="1:13" ht="15.75">
      <c r="A3149">
        <v>2022</v>
      </c>
      <c r="B3149" s="777">
        <v>44738</v>
      </c>
      <c r="C3149" s="730">
        <v>0.71180555555555558</v>
      </c>
      <c r="D3149" s="777">
        <v>44738</v>
      </c>
      <c r="E3149" s="730">
        <v>0.9458333333333333</v>
      </c>
      <c r="F3149" s="558" t="s">
        <v>2817</v>
      </c>
      <c r="G3149" s="558" t="s">
        <v>124</v>
      </c>
      <c r="H3149" s="558" t="s">
        <v>3356</v>
      </c>
      <c r="I3149" s="679" t="s">
        <v>100</v>
      </c>
      <c r="J3149" s="676">
        <v>0</v>
      </c>
      <c r="K3149" s="676">
        <v>0</v>
      </c>
      <c r="M3149" t="str">
        <f>""</f>
        <v/>
      </c>
    </row>
    <row r="3150" spans="1:13" ht="15.75">
      <c r="A3150">
        <v>2022</v>
      </c>
      <c r="B3150" s="777">
        <v>44739</v>
      </c>
      <c r="C3150" s="730">
        <v>0.71319444444444446</v>
      </c>
      <c r="D3150" s="777">
        <v>44740</v>
      </c>
      <c r="E3150" s="730">
        <v>7.0833333333333331E-2</v>
      </c>
      <c r="F3150" s="558" t="s">
        <v>3528</v>
      </c>
      <c r="G3150" s="558" t="s">
        <v>5390</v>
      </c>
      <c r="H3150" s="558" t="s">
        <v>3387</v>
      </c>
      <c r="I3150" s="679" t="s">
        <v>2764</v>
      </c>
      <c r="J3150" s="676">
        <v>0</v>
      </c>
      <c r="K3150" s="676">
        <v>0</v>
      </c>
      <c r="M3150" t="str">
        <f>""</f>
        <v/>
      </c>
    </row>
    <row r="3151" spans="1:13" ht="15.75">
      <c r="A3151">
        <v>2022</v>
      </c>
      <c r="B3151" s="777">
        <v>44739</v>
      </c>
      <c r="C3151" s="730">
        <v>0.26458333333333334</v>
      </c>
      <c r="D3151" s="777">
        <v>44739</v>
      </c>
      <c r="E3151" s="730">
        <v>0.30972222222222223</v>
      </c>
      <c r="F3151" s="558" t="s">
        <v>2919</v>
      </c>
      <c r="G3151" s="558" t="s">
        <v>1352</v>
      </c>
      <c r="H3151" s="558" t="s">
        <v>3387</v>
      </c>
      <c r="I3151" s="679" t="s">
        <v>2764</v>
      </c>
      <c r="J3151" s="676">
        <v>0</v>
      </c>
      <c r="K3151" s="676">
        <v>0</v>
      </c>
      <c r="M3151" t="str">
        <f>""</f>
        <v/>
      </c>
    </row>
    <row r="3152" spans="1:13" ht="15.75">
      <c r="A3152">
        <v>2022</v>
      </c>
      <c r="B3152" s="777">
        <v>44740</v>
      </c>
      <c r="C3152" s="730">
        <v>0.39374999999999999</v>
      </c>
      <c r="D3152" s="777">
        <v>44740</v>
      </c>
      <c r="E3152" s="730">
        <v>0.44583333333333336</v>
      </c>
      <c r="F3152" s="558" t="s">
        <v>3591</v>
      </c>
      <c r="G3152" s="558" t="s">
        <v>1352</v>
      </c>
      <c r="H3152" s="558" t="s">
        <v>3387</v>
      </c>
      <c r="I3152" s="679" t="s">
        <v>2764</v>
      </c>
      <c r="J3152" s="676">
        <v>0</v>
      </c>
      <c r="K3152" s="676">
        <v>0</v>
      </c>
      <c r="M3152" t="str">
        <f>""</f>
        <v/>
      </c>
    </row>
    <row r="3153" spans="1:13" ht="15.75">
      <c r="A3153">
        <v>2022</v>
      </c>
      <c r="B3153" s="777">
        <v>44740</v>
      </c>
      <c r="C3153" s="730">
        <v>0.40208333333333335</v>
      </c>
      <c r="D3153" s="777">
        <v>44740</v>
      </c>
      <c r="E3153" s="730">
        <v>0.40277777777777779</v>
      </c>
      <c r="F3153" s="558" t="s">
        <v>5411</v>
      </c>
      <c r="G3153" s="558" t="s">
        <v>63</v>
      </c>
      <c r="H3153" s="558" t="s">
        <v>3402</v>
      </c>
      <c r="I3153" s="679" t="s">
        <v>2118</v>
      </c>
      <c r="J3153" s="676">
        <v>0</v>
      </c>
      <c r="K3153" s="676">
        <v>0</v>
      </c>
      <c r="M3153" t="str">
        <f>""</f>
        <v/>
      </c>
    </row>
    <row r="3154" spans="1:13" ht="15.75">
      <c r="A3154">
        <v>2022</v>
      </c>
      <c r="B3154" s="777">
        <v>44742</v>
      </c>
      <c r="C3154" s="730">
        <v>0.83194444444444449</v>
      </c>
      <c r="D3154" s="777">
        <v>44742</v>
      </c>
      <c r="E3154" s="730">
        <v>0.86805555555555558</v>
      </c>
      <c r="F3154" s="558" t="s">
        <v>3528</v>
      </c>
      <c r="G3154" s="558" t="s">
        <v>3143</v>
      </c>
      <c r="H3154" s="558" t="s">
        <v>5413</v>
      </c>
      <c r="I3154" s="679" t="s">
        <v>2764</v>
      </c>
      <c r="J3154" s="676">
        <v>0</v>
      </c>
      <c r="K3154" s="676">
        <v>0</v>
      </c>
      <c r="M3154" t="str">
        <f>""</f>
        <v/>
      </c>
    </row>
    <row r="3155" spans="1:13" ht="15.75">
      <c r="A3155">
        <v>2022</v>
      </c>
      <c r="B3155" s="777">
        <v>44743</v>
      </c>
      <c r="C3155" s="730">
        <v>0.48958333333333331</v>
      </c>
      <c r="D3155" s="777" t="s">
        <v>5873</v>
      </c>
      <c r="E3155" s="730" t="s">
        <v>5873</v>
      </c>
      <c r="F3155" s="558" t="s">
        <v>3357</v>
      </c>
      <c r="G3155" s="558" t="s">
        <v>124</v>
      </c>
      <c r="H3155" s="558" t="s">
        <v>3356</v>
      </c>
      <c r="I3155" s="679" t="s">
        <v>100</v>
      </c>
      <c r="J3155" s="676">
        <v>20</v>
      </c>
      <c r="K3155" s="676">
        <v>0</v>
      </c>
      <c r="M3155" t="str">
        <f>""</f>
        <v/>
      </c>
    </row>
    <row r="3156" spans="1:13" ht="15.75">
      <c r="A3156">
        <v>2022</v>
      </c>
      <c r="B3156" s="777">
        <v>44745</v>
      </c>
      <c r="C3156" s="730">
        <v>0.4375</v>
      </c>
      <c r="D3156" s="777">
        <v>44745</v>
      </c>
      <c r="E3156" s="730">
        <v>0.44444444444444442</v>
      </c>
      <c r="F3156" s="558" t="s">
        <v>3338</v>
      </c>
      <c r="G3156" s="558" t="s">
        <v>124</v>
      </c>
      <c r="H3156" s="558" t="s">
        <v>2910</v>
      </c>
      <c r="I3156" s="679" t="s">
        <v>100</v>
      </c>
      <c r="J3156" s="676">
        <v>0</v>
      </c>
      <c r="K3156" s="676">
        <v>0</v>
      </c>
      <c r="M3156" t="str">
        <f>""</f>
        <v/>
      </c>
    </row>
    <row r="3157" spans="1:13" ht="15.75">
      <c r="A3157">
        <v>2022</v>
      </c>
      <c r="B3157" s="777">
        <v>44745</v>
      </c>
      <c r="C3157" s="730">
        <v>0.22083333333333333</v>
      </c>
      <c r="D3157" s="777">
        <v>44745</v>
      </c>
      <c r="E3157" s="730">
        <v>0.35</v>
      </c>
      <c r="F3157" s="558" t="s">
        <v>3693</v>
      </c>
      <c r="G3157" s="558" t="s">
        <v>674</v>
      </c>
      <c r="H3157" s="558" t="s">
        <v>2910</v>
      </c>
      <c r="I3157" s="679" t="s">
        <v>100</v>
      </c>
      <c r="J3157" s="676">
        <v>0</v>
      </c>
      <c r="K3157" s="676">
        <v>0</v>
      </c>
      <c r="M3157" t="str">
        <f>""</f>
        <v/>
      </c>
    </row>
    <row r="3158" spans="1:13" ht="15.75">
      <c r="A3158">
        <v>2022</v>
      </c>
      <c r="B3158" s="777">
        <v>44747</v>
      </c>
      <c r="C3158" s="730">
        <v>0.33333333333333331</v>
      </c>
      <c r="D3158" s="777">
        <v>44747</v>
      </c>
      <c r="E3158" s="730">
        <v>0.33750000000000002</v>
      </c>
      <c r="F3158" s="558" t="s">
        <v>5421</v>
      </c>
      <c r="G3158" s="558" t="s">
        <v>124</v>
      </c>
      <c r="H3158" s="558" t="s">
        <v>3356</v>
      </c>
      <c r="I3158" s="679" t="s">
        <v>2293</v>
      </c>
      <c r="J3158" s="676">
        <v>0</v>
      </c>
      <c r="K3158" s="676">
        <v>0</v>
      </c>
      <c r="M3158" t="str">
        <f>""</f>
        <v/>
      </c>
    </row>
    <row r="3159" spans="1:13" ht="15.75">
      <c r="A3159">
        <v>2022</v>
      </c>
      <c r="B3159" s="777">
        <v>44747</v>
      </c>
      <c r="C3159" s="730">
        <v>0.86527777777777781</v>
      </c>
      <c r="D3159" s="777">
        <v>44747</v>
      </c>
      <c r="E3159" s="730">
        <v>0.90277777777777779</v>
      </c>
      <c r="F3159" s="558" t="s">
        <v>5422</v>
      </c>
      <c r="G3159" s="558" t="s">
        <v>4903</v>
      </c>
      <c r="H3159" s="558" t="s">
        <v>3387</v>
      </c>
      <c r="I3159" s="679" t="s">
        <v>2764</v>
      </c>
      <c r="J3159" s="676">
        <v>0</v>
      </c>
      <c r="K3159" s="676">
        <v>0</v>
      </c>
      <c r="M3159" t="str">
        <f>""</f>
        <v/>
      </c>
    </row>
    <row r="3160" spans="1:13" ht="15.75">
      <c r="A3160">
        <v>2022</v>
      </c>
      <c r="B3160" s="777">
        <v>44748</v>
      </c>
      <c r="C3160" s="730">
        <v>0.68263888888888891</v>
      </c>
      <c r="D3160" s="777">
        <v>44748</v>
      </c>
      <c r="E3160" s="730">
        <v>0.69097222222222221</v>
      </c>
      <c r="F3160" s="558" t="s">
        <v>5426</v>
      </c>
      <c r="G3160" s="558" t="s">
        <v>63</v>
      </c>
      <c r="H3160" s="558" t="s">
        <v>3402</v>
      </c>
      <c r="I3160" s="679" t="s">
        <v>2118</v>
      </c>
      <c r="J3160" s="676">
        <v>0</v>
      </c>
      <c r="K3160" s="676">
        <v>0</v>
      </c>
      <c r="M3160" t="str">
        <f>""</f>
        <v/>
      </c>
    </row>
    <row r="3161" spans="1:13" ht="15.75">
      <c r="A3161">
        <v>2022</v>
      </c>
      <c r="B3161" s="777">
        <v>44748</v>
      </c>
      <c r="C3161" s="730">
        <v>0.26250000000000001</v>
      </c>
      <c r="D3161" s="777">
        <v>44748</v>
      </c>
      <c r="E3161" s="730">
        <v>0.26319444444444445</v>
      </c>
      <c r="F3161" s="558" t="s">
        <v>5427</v>
      </c>
      <c r="G3161" s="558" t="s">
        <v>63</v>
      </c>
      <c r="H3161" s="558" t="s">
        <v>3356</v>
      </c>
      <c r="I3161" s="679" t="s">
        <v>100</v>
      </c>
      <c r="J3161" s="676">
        <v>0</v>
      </c>
      <c r="K3161" s="676">
        <v>0</v>
      </c>
      <c r="M3161" t="str">
        <f>""</f>
        <v/>
      </c>
    </row>
    <row r="3162" spans="1:13" ht="15.75">
      <c r="A3162">
        <v>2022</v>
      </c>
      <c r="B3162" s="777">
        <v>44748</v>
      </c>
      <c r="C3162" s="730">
        <v>0.52777777777777779</v>
      </c>
      <c r="D3162" s="777">
        <v>44748</v>
      </c>
      <c r="E3162" s="730">
        <v>0.52847222222222223</v>
      </c>
      <c r="F3162" s="558" t="s">
        <v>5428</v>
      </c>
      <c r="G3162" s="558" t="s">
        <v>124</v>
      </c>
      <c r="H3162" s="558" t="s">
        <v>3356</v>
      </c>
      <c r="I3162" s="679" t="s">
        <v>100</v>
      </c>
      <c r="J3162" s="676">
        <v>0</v>
      </c>
      <c r="K3162" s="676">
        <v>0</v>
      </c>
      <c r="M3162" t="str">
        <f>""</f>
        <v/>
      </c>
    </row>
    <row r="3163" spans="1:13" ht="15.75">
      <c r="A3163">
        <v>2022</v>
      </c>
      <c r="B3163" s="777">
        <v>44753</v>
      </c>
      <c r="C3163" s="730">
        <v>0.43055555555555558</v>
      </c>
      <c r="D3163" s="777" t="s">
        <v>5873</v>
      </c>
      <c r="E3163" s="730" t="s">
        <v>5873</v>
      </c>
      <c r="F3163" s="558" t="s">
        <v>2967</v>
      </c>
      <c r="G3163" s="558" t="s">
        <v>124</v>
      </c>
      <c r="H3163" s="558" t="s">
        <v>3356</v>
      </c>
      <c r="I3163" s="679" t="s">
        <v>100</v>
      </c>
      <c r="J3163" s="676">
        <v>2</v>
      </c>
      <c r="K3163" s="676">
        <v>0</v>
      </c>
      <c r="M3163" t="str">
        <f>""</f>
        <v/>
      </c>
    </row>
    <row r="3164" spans="1:13" ht="15.75">
      <c r="A3164">
        <v>2022</v>
      </c>
      <c r="B3164" s="777">
        <v>44754</v>
      </c>
      <c r="C3164" s="730">
        <v>0.44791666666666669</v>
      </c>
      <c r="D3164" s="777">
        <v>44754</v>
      </c>
      <c r="E3164" s="730">
        <v>0.45833333333333331</v>
      </c>
      <c r="F3164" s="558" t="s">
        <v>5437</v>
      </c>
      <c r="G3164" s="558" t="s">
        <v>124</v>
      </c>
      <c r="H3164" s="558" t="s">
        <v>3356</v>
      </c>
      <c r="I3164" s="679" t="s">
        <v>2293</v>
      </c>
      <c r="J3164" s="676">
        <v>0</v>
      </c>
      <c r="K3164" s="676">
        <v>0</v>
      </c>
      <c r="M3164" t="str">
        <f>""</f>
        <v/>
      </c>
    </row>
    <row r="3165" spans="1:13" ht="15.75">
      <c r="A3165">
        <v>2022</v>
      </c>
      <c r="B3165" s="777">
        <v>44755</v>
      </c>
      <c r="C3165" s="730">
        <v>0.41666666666666669</v>
      </c>
      <c r="D3165" s="777">
        <v>44755</v>
      </c>
      <c r="E3165" s="730">
        <v>0.54166666666666663</v>
      </c>
      <c r="F3165" s="558" t="s">
        <v>5440</v>
      </c>
      <c r="G3165" s="558" t="s">
        <v>124</v>
      </c>
      <c r="H3165" s="558" t="s">
        <v>3356</v>
      </c>
      <c r="I3165" s="679" t="s">
        <v>100</v>
      </c>
      <c r="J3165" s="676">
        <v>0</v>
      </c>
      <c r="K3165" s="676">
        <v>0</v>
      </c>
      <c r="M3165" t="str">
        <f>""</f>
        <v/>
      </c>
    </row>
    <row r="3166" spans="1:13" ht="15.75">
      <c r="A3166">
        <v>2022</v>
      </c>
      <c r="B3166" s="777">
        <v>44757</v>
      </c>
      <c r="C3166" s="730">
        <v>0.2986111111111111</v>
      </c>
      <c r="D3166" s="777">
        <v>44757</v>
      </c>
      <c r="E3166" s="730">
        <v>0.29930555555555555</v>
      </c>
      <c r="F3166" s="558" t="s">
        <v>5442</v>
      </c>
      <c r="G3166" s="558" t="s">
        <v>674</v>
      </c>
      <c r="H3166" s="558" t="s">
        <v>3356</v>
      </c>
      <c r="I3166" s="679" t="s">
        <v>2293</v>
      </c>
      <c r="J3166" s="676">
        <v>0</v>
      </c>
      <c r="K3166" s="676">
        <v>0</v>
      </c>
      <c r="M3166" t="str">
        <f>""</f>
        <v/>
      </c>
    </row>
    <row r="3167" spans="1:13" ht="15.75">
      <c r="A3167">
        <v>2022</v>
      </c>
      <c r="B3167" s="777">
        <v>44760</v>
      </c>
      <c r="C3167" s="730">
        <v>0.38541666666666669</v>
      </c>
      <c r="D3167" s="777" t="s">
        <v>5873</v>
      </c>
      <c r="E3167" s="730" t="s">
        <v>5873</v>
      </c>
      <c r="F3167" s="558" t="s">
        <v>2896</v>
      </c>
      <c r="G3167" s="558" t="s">
        <v>63</v>
      </c>
      <c r="H3167" s="558" t="s">
        <v>2780</v>
      </c>
      <c r="I3167" s="679" t="s">
        <v>1138</v>
      </c>
      <c r="J3167" s="676">
        <v>4500</v>
      </c>
      <c r="K3167" s="676">
        <v>0</v>
      </c>
      <c r="M3167" t="str">
        <f>""</f>
        <v/>
      </c>
    </row>
    <row r="3168" spans="1:13" ht="15.75">
      <c r="A3168">
        <v>2022</v>
      </c>
      <c r="B3168" s="777">
        <v>44760</v>
      </c>
      <c r="C3168" s="730">
        <v>0.54791666666666672</v>
      </c>
      <c r="D3168" s="777">
        <v>44760</v>
      </c>
      <c r="E3168" s="730">
        <v>0.5493055555555556</v>
      </c>
      <c r="F3168" s="558" t="s">
        <v>2808</v>
      </c>
      <c r="G3168" s="558" t="s">
        <v>124</v>
      </c>
      <c r="H3168" s="558" t="s">
        <v>3356</v>
      </c>
      <c r="I3168" s="679" t="s">
        <v>100</v>
      </c>
      <c r="J3168" s="676">
        <v>0</v>
      </c>
      <c r="K3168" s="676">
        <v>0</v>
      </c>
      <c r="M3168" t="str">
        <f>""</f>
        <v/>
      </c>
    </row>
    <row r="3169" spans="1:13" ht="15.75">
      <c r="A3169">
        <v>2022</v>
      </c>
      <c r="B3169" s="777">
        <v>44761</v>
      </c>
      <c r="C3169" s="730">
        <v>0.65416666666666667</v>
      </c>
      <c r="D3169" s="777">
        <v>44761</v>
      </c>
      <c r="E3169" s="730">
        <v>0.67500000000000004</v>
      </c>
      <c r="F3169" s="558" t="s">
        <v>3299</v>
      </c>
      <c r="G3169" s="558" t="s">
        <v>63</v>
      </c>
      <c r="H3169" s="558" t="s">
        <v>3447</v>
      </c>
      <c r="I3169" s="679" t="s">
        <v>2764</v>
      </c>
      <c r="J3169" s="676">
        <v>0</v>
      </c>
      <c r="K3169" s="676">
        <v>0</v>
      </c>
      <c r="M3169" t="str">
        <f>""</f>
        <v/>
      </c>
    </row>
    <row r="3170" spans="1:13" ht="15.75">
      <c r="A3170">
        <v>2022</v>
      </c>
      <c r="B3170" s="777">
        <v>44761</v>
      </c>
      <c r="C3170" s="730">
        <v>0.65416666666666667</v>
      </c>
      <c r="D3170" s="777">
        <v>44761</v>
      </c>
      <c r="E3170" s="730">
        <v>0.67500000000000004</v>
      </c>
      <c r="F3170" s="558" t="s">
        <v>3299</v>
      </c>
      <c r="G3170" s="558" t="s">
        <v>63</v>
      </c>
      <c r="H3170" s="558" t="s">
        <v>3447</v>
      </c>
      <c r="I3170" s="679" t="s">
        <v>2764</v>
      </c>
      <c r="J3170" s="676">
        <v>0</v>
      </c>
      <c r="K3170" s="676">
        <v>0</v>
      </c>
      <c r="M3170" t="str">
        <f>""</f>
        <v/>
      </c>
    </row>
    <row r="3171" spans="1:13" ht="15.75">
      <c r="A3171">
        <v>2022</v>
      </c>
      <c r="B3171" s="777">
        <v>44767</v>
      </c>
      <c r="C3171" s="730">
        <v>2.6388888888888889E-2</v>
      </c>
      <c r="D3171" s="777">
        <v>44767</v>
      </c>
      <c r="E3171" s="730">
        <v>0.57361111111111107</v>
      </c>
      <c r="F3171" s="558" t="s">
        <v>5450</v>
      </c>
      <c r="G3171" s="558" t="s">
        <v>3143</v>
      </c>
      <c r="H3171" s="558" t="s">
        <v>3411</v>
      </c>
      <c r="I3171" s="679" t="s">
        <v>2483</v>
      </c>
      <c r="J3171" s="676">
        <v>0</v>
      </c>
      <c r="K3171" s="676">
        <v>0</v>
      </c>
      <c r="M3171" t="str">
        <f>""</f>
        <v/>
      </c>
    </row>
    <row r="3172" spans="1:13" ht="15.75">
      <c r="A3172">
        <v>2022</v>
      </c>
      <c r="B3172" s="777">
        <v>44768</v>
      </c>
      <c r="C3172" s="730">
        <v>0.27638888888888891</v>
      </c>
      <c r="D3172" s="777">
        <v>44768</v>
      </c>
      <c r="E3172" s="730">
        <v>0.5395833333333333</v>
      </c>
      <c r="F3172" s="558" t="s">
        <v>4950</v>
      </c>
      <c r="G3172" s="558" t="s">
        <v>1352</v>
      </c>
      <c r="H3172" s="558" t="s">
        <v>3411</v>
      </c>
      <c r="I3172" s="679" t="s">
        <v>2764</v>
      </c>
      <c r="J3172" s="676">
        <v>0</v>
      </c>
      <c r="K3172" s="676">
        <v>0</v>
      </c>
      <c r="M3172" t="str">
        <f>""</f>
        <v/>
      </c>
    </row>
    <row r="3173" spans="1:13" ht="15.75">
      <c r="A3173">
        <v>2022</v>
      </c>
      <c r="B3173" s="777">
        <v>44768</v>
      </c>
      <c r="C3173" s="730">
        <v>0.875</v>
      </c>
      <c r="D3173" s="777">
        <v>44768</v>
      </c>
      <c r="E3173" s="730">
        <v>0.88888888888888884</v>
      </c>
      <c r="F3173" s="558" t="s">
        <v>5081</v>
      </c>
      <c r="G3173" s="558" t="s">
        <v>3143</v>
      </c>
      <c r="H3173" s="558" t="s">
        <v>3402</v>
      </c>
      <c r="I3173" s="679" t="s">
        <v>2118</v>
      </c>
      <c r="J3173" s="676">
        <v>0</v>
      </c>
      <c r="K3173" s="676">
        <v>0</v>
      </c>
      <c r="M3173" t="str">
        <f>""</f>
        <v/>
      </c>
    </row>
    <row r="3174" spans="1:13" ht="15.75">
      <c r="A3174">
        <v>2022</v>
      </c>
      <c r="B3174" s="777">
        <v>44770</v>
      </c>
      <c r="C3174" s="730">
        <v>0.80902777777777779</v>
      </c>
      <c r="D3174" s="777">
        <v>44770</v>
      </c>
      <c r="E3174" s="730">
        <v>0.94513888888888886</v>
      </c>
      <c r="F3174" s="558" t="s">
        <v>3909</v>
      </c>
      <c r="G3174" s="558" t="s">
        <v>124</v>
      </c>
      <c r="H3174" s="558" t="s">
        <v>5454</v>
      </c>
      <c r="I3174" s="679" t="s">
        <v>2293</v>
      </c>
      <c r="J3174" s="676">
        <v>0</v>
      </c>
      <c r="K3174" s="676">
        <v>0</v>
      </c>
      <c r="M3174" t="str">
        <f>""</f>
        <v/>
      </c>
    </row>
    <row r="3175" spans="1:13" ht="15.75">
      <c r="A3175">
        <v>2022</v>
      </c>
      <c r="B3175" s="777">
        <v>44771</v>
      </c>
      <c r="C3175" s="730">
        <v>8.3333333333333329E-2</v>
      </c>
      <c r="D3175" s="777">
        <v>44771</v>
      </c>
      <c r="E3175" s="730">
        <v>8.4027777777777785E-2</v>
      </c>
      <c r="F3175" s="558" t="s">
        <v>5081</v>
      </c>
      <c r="G3175" s="558" t="s">
        <v>3143</v>
      </c>
      <c r="H3175" s="558" t="s">
        <v>3402</v>
      </c>
      <c r="I3175" s="679" t="s">
        <v>2118</v>
      </c>
      <c r="J3175" s="676">
        <v>0</v>
      </c>
      <c r="K3175" s="676">
        <v>0</v>
      </c>
      <c r="M3175" t="str">
        <f>""</f>
        <v/>
      </c>
    </row>
    <row r="3176" spans="1:13" ht="15.75">
      <c r="A3176">
        <v>2022</v>
      </c>
      <c r="B3176" s="777">
        <v>44772</v>
      </c>
      <c r="C3176" s="730">
        <v>0.81597222222222221</v>
      </c>
      <c r="D3176" s="777">
        <v>44774</v>
      </c>
      <c r="E3176" s="730">
        <v>0.55347222222222225</v>
      </c>
      <c r="F3176" s="558" t="s">
        <v>3414</v>
      </c>
      <c r="G3176" s="558" t="s">
        <v>124</v>
      </c>
      <c r="H3176" s="558" t="s">
        <v>3447</v>
      </c>
      <c r="I3176" s="679" t="s">
        <v>2764</v>
      </c>
      <c r="J3176" s="676">
        <v>0</v>
      </c>
      <c r="K3176" s="676">
        <v>0</v>
      </c>
      <c r="M3176" t="str">
        <f>""</f>
        <v/>
      </c>
    </row>
    <row r="3177" spans="1:13" ht="15.75">
      <c r="A3177">
        <v>2022</v>
      </c>
      <c r="B3177" s="777">
        <v>44773</v>
      </c>
      <c r="C3177" s="730">
        <v>0.27500000000000002</v>
      </c>
      <c r="D3177" s="777">
        <v>44773</v>
      </c>
      <c r="E3177" s="730">
        <v>0.30069444444444443</v>
      </c>
      <c r="F3177" s="558" t="s">
        <v>3174</v>
      </c>
      <c r="G3177" s="558" t="s">
        <v>61</v>
      </c>
      <c r="H3177" s="558" t="s">
        <v>3387</v>
      </c>
      <c r="I3177" s="679" t="s">
        <v>2764</v>
      </c>
      <c r="J3177" s="676">
        <v>0</v>
      </c>
      <c r="K3177" s="676">
        <v>0</v>
      </c>
      <c r="M3177" t="str">
        <f>""</f>
        <v/>
      </c>
    </row>
    <row r="3178" spans="1:13" ht="15.75">
      <c r="A3178">
        <v>2022</v>
      </c>
      <c r="B3178" s="777">
        <v>44774</v>
      </c>
      <c r="C3178" s="730">
        <v>0.40555555555555556</v>
      </c>
      <c r="D3178" s="777">
        <v>44774</v>
      </c>
      <c r="E3178" s="730">
        <v>0.40625</v>
      </c>
      <c r="F3178" s="558" t="s">
        <v>5054</v>
      </c>
      <c r="G3178" s="558" t="s">
        <v>63</v>
      </c>
      <c r="H3178" s="558" t="s">
        <v>3356</v>
      </c>
      <c r="I3178" s="679" t="s">
        <v>100</v>
      </c>
      <c r="J3178" s="676">
        <v>0</v>
      </c>
      <c r="K3178" s="676">
        <v>0</v>
      </c>
      <c r="M3178" t="str">
        <f>""</f>
        <v/>
      </c>
    </row>
    <row r="3179" spans="1:13" ht="15.75">
      <c r="A3179">
        <v>2022</v>
      </c>
      <c r="B3179" s="777">
        <v>44774</v>
      </c>
      <c r="C3179" s="730">
        <v>0.33541666666666664</v>
      </c>
      <c r="D3179" s="777">
        <v>44774</v>
      </c>
      <c r="E3179" s="730">
        <v>0.375</v>
      </c>
      <c r="F3179" s="558" t="s">
        <v>2967</v>
      </c>
      <c r="G3179" s="558" t="s">
        <v>124</v>
      </c>
      <c r="H3179" s="558" t="s">
        <v>3356</v>
      </c>
      <c r="I3179" s="679" t="s">
        <v>2293</v>
      </c>
      <c r="J3179" s="676">
        <v>0</v>
      </c>
      <c r="K3179" s="676">
        <v>0</v>
      </c>
      <c r="M3179" t="str">
        <f>""</f>
        <v/>
      </c>
    </row>
    <row r="3180" spans="1:13" ht="15.75">
      <c r="A3180">
        <v>2022</v>
      </c>
      <c r="B3180" s="777">
        <v>44776</v>
      </c>
      <c r="C3180" s="730">
        <v>8.3333333333333329E-2</v>
      </c>
      <c r="D3180" s="777">
        <v>44776</v>
      </c>
      <c r="E3180" s="730">
        <v>0.12986111111111112</v>
      </c>
      <c r="F3180" s="558" t="s">
        <v>4185</v>
      </c>
      <c r="G3180" s="558" t="s">
        <v>1352</v>
      </c>
      <c r="H3180" s="558" t="s">
        <v>3402</v>
      </c>
      <c r="I3180" s="679" t="s">
        <v>2118</v>
      </c>
      <c r="J3180" s="676">
        <v>0</v>
      </c>
      <c r="K3180" s="676">
        <v>0</v>
      </c>
      <c r="M3180" t="str">
        <f>""</f>
        <v/>
      </c>
    </row>
    <row r="3181" spans="1:13" ht="15.75">
      <c r="A3181">
        <v>2022</v>
      </c>
      <c r="B3181" s="777">
        <v>44778</v>
      </c>
      <c r="C3181" s="730">
        <v>0.61944444444444446</v>
      </c>
      <c r="D3181" s="777">
        <v>44778</v>
      </c>
      <c r="E3181" s="730">
        <v>0.69513888888888886</v>
      </c>
      <c r="F3181" s="558" t="s">
        <v>4709</v>
      </c>
      <c r="G3181" s="558" t="s">
        <v>124</v>
      </c>
      <c r="H3181" s="558" t="s">
        <v>3356</v>
      </c>
      <c r="I3181" s="679" t="s">
        <v>100</v>
      </c>
      <c r="J3181" s="676">
        <v>0</v>
      </c>
      <c r="K3181" s="676">
        <v>0</v>
      </c>
      <c r="M3181" t="str">
        <f>""</f>
        <v/>
      </c>
    </row>
    <row r="3182" spans="1:13" ht="15.75">
      <c r="A3182">
        <v>2022</v>
      </c>
      <c r="B3182" s="777">
        <v>44782</v>
      </c>
      <c r="C3182" s="730">
        <v>0.63749999999999996</v>
      </c>
      <c r="D3182" s="777">
        <v>44782</v>
      </c>
      <c r="E3182" s="730">
        <v>0.6381944444444444</v>
      </c>
      <c r="F3182" s="558" t="s">
        <v>5469</v>
      </c>
      <c r="G3182" s="558" t="s">
        <v>124</v>
      </c>
      <c r="H3182" s="558" t="s">
        <v>3356</v>
      </c>
      <c r="I3182" s="679" t="s">
        <v>100</v>
      </c>
      <c r="J3182" s="676">
        <v>0</v>
      </c>
      <c r="K3182" s="676">
        <v>0</v>
      </c>
      <c r="M3182" t="str">
        <f>""</f>
        <v/>
      </c>
    </row>
    <row r="3183" spans="1:13" ht="15.75">
      <c r="A3183">
        <v>2022</v>
      </c>
      <c r="B3183" s="777">
        <v>44782</v>
      </c>
      <c r="C3183" s="730">
        <v>0.10347222222222222</v>
      </c>
      <c r="D3183" s="777">
        <v>44782</v>
      </c>
      <c r="E3183" s="730">
        <v>0.125</v>
      </c>
      <c r="F3183" s="558" t="s">
        <v>2864</v>
      </c>
      <c r="G3183" s="558" t="s">
        <v>63</v>
      </c>
      <c r="H3183" s="558" t="s">
        <v>3387</v>
      </c>
      <c r="I3183" s="679" t="s">
        <v>2764</v>
      </c>
      <c r="J3183" s="676">
        <v>0</v>
      </c>
      <c r="K3183" s="676">
        <v>0</v>
      </c>
      <c r="M3183" t="str">
        <f>""</f>
        <v/>
      </c>
    </row>
    <row r="3184" spans="1:13" ht="15.75">
      <c r="A3184">
        <v>2022</v>
      </c>
      <c r="B3184" s="777">
        <v>44782</v>
      </c>
      <c r="C3184" s="730">
        <v>0.5083333333333333</v>
      </c>
      <c r="D3184" s="777">
        <v>44782</v>
      </c>
      <c r="E3184" s="730">
        <v>0.54722222222222228</v>
      </c>
      <c r="F3184" s="558" t="s">
        <v>3299</v>
      </c>
      <c r="G3184" s="558" t="s">
        <v>63</v>
      </c>
      <c r="H3184" s="558" t="s">
        <v>3447</v>
      </c>
      <c r="I3184" s="679" t="s">
        <v>2764</v>
      </c>
      <c r="J3184" s="676">
        <v>0</v>
      </c>
      <c r="K3184" s="676">
        <v>0</v>
      </c>
      <c r="M3184" t="str">
        <f>""</f>
        <v/>
      </c>
    </row>
    <row r="3185" spans="1:13" ht="15.75">
      <c r="A3185">
        <v>2022</v>
      </c>
      <c r="B3185" s="777">
        <v>44782</v>
      </c>
      <c r="C3185" s="730">
        <v>0.5083333333333333</v>
      </c>
      <c r="D3185" s="777">
        <v>44782</v>
      </c>
      <c r="E3185" s="730">
        <v>0.54722222222222228</v>
      </c>
      <c r="F3185" s="558" t="s">
        <v>3299</v>
      </c>
      <c r="G3185" s="558" t="s">
        <v>63</v>
      </c>
      <c r="H3185" s="558" t="s">
        <v>3447</v>
      </c>
      <c r="I3185" s="679" t="s">
        <v>2764</v>
      </c>
      <c r="J3185" s="676">
        <v>0</v>
      </c>
      <c r="K3185" s="676">
        <v>0</v>
      </c>
      <c r="M3185" t="str">
        <f>""</f>
        <v/>
      </c>
    </row>
    <row r="3186" spans="1:13" ht="15.75">
      <c r="A3186">
        <v>2022</v>
      </c>
      <c r="B3186" s="777">
        <v>44783</v>
      </c>
      <c r="C3186" s="730">
        <v>5.9027777777777776E-2</v>
      </c>
      <c r="D3186" s="777">
        <v>44783</v>
      </c>
      <c r="E3186" s="730">
        <v>6.25E-2</v>
      </c>
      <c r="F3186" s="558" t="s">
        <v>5472</v>
      </c>
      <c r="G3186" s="558" t="s">
        <v>63</v>
      </c>
      <c r="H3186" s="558" t="s">
        <v>3411</v>
      </c>
      <c r="I3186" s="679" t="s">
        <v>22</v>
      </c>
      <c r="J3186" s="676">
        <v>24</v>
      </c>
      <c r="K3186" s="676">
        <v>0</v>
      </c>
      <c r="M3186" t="str">
        <f>""</f>
        <v/>
      </c>
    </row>
    <row r="3187" spans="1:13" ht="15.75">
      <c r="A3187">
        <v>2022</v>
      </c>
      <c r="B3187" s="777">
        <v>44783</v>
      </c>
      <c r="C3187" s="730">
        <v>0.625</v>
      </c>
      <c r="D3187" s="777">
        <v>44783</v>
      </c>
      <c r="E3187" s="730">
        <v>0.62569444444444444</v>
      </c>
      <c r="F3187" s="558" t="s">
        <v>4253</v>
      </c>
      <c r="G3187" s="558" t="s">
        <v>63</v>
      </c>
      <c r="H3187" s="558" t="s">
        <v>3356</v>
      </c>
      <c r="I3187" s="679" t="s">
        <v>100</v>
      </c>
      <c r="J3187" s="676">
        <v>0</v>
      </c>
      <c r="K3187" s="676">
        <v>0</v>
      </c>
      <c r="M3187" t="str">
        <f>""</f>
        <v/>
      </c>
    </row>
    <row r="3188" spans="1:13" ht="15.75">
      <c r="A3188">
        <v>2022</v>
      </c>
      <c r="B3188" s="777">
        <v>44785</v>
      </c>
      <c r="C3188" s="730">
        <v>0.61527777777777781</v>
      </c>
      <c r="D3188" s="777">
        <v>44785</v>
      </c>
      <c r="E3188" s="730">
        <v>0.61597222222222225</v>
      </c>
      <c r="F3188" s="558" t="s">
        <v>5476</v>
      </c>
      <c r="G3188" s="558" t="s">
        <v>63</v>
      </c>
      <c r="H3188" s="558" t="s">
        <v>3356</v>
      </c>
      <c r="I3188" s="679" t="s">
        <v>100</v>
      </c>
      <c r="J3188" s="676">
        <v>0</v>
      </c>
      <c r="K3188" s="676">
        <v>0</v>
      </c>
      <c r="M3188" t="str">
        <f>""</f>
        <v/>
      </c>
    </row>
    <row r="3189" spans="1:13" ht="15.75">
      <c r="A3189">
        <v>2022</v>
      </c>
      <c r="B3189" s="777">
        <v>44788</v>
      </c>
      <c r="C3189" s="730">
        <v>0.38055555555555554</v>
      </c>
      <c r="D3189" s="777">
        <v>44788</v>
      </c>
      <c r="E3189" s="730">
        <v>0.38194444444444442</v>
      </c>
      <c r="F3189" s="558" t="s">
        <v>2817</v>
      </c>
      <c r="G3189" s="558" t="s">
        <v>124</v>
      </c>
      <c r="H3189" s="558" t="s">
        <v>3356</v>
      </c>
      <c r="I3189" s="679" t="s">
        <v>100</v>
      </c>
      <c r="J3189" s="676">
        <v>0</v>
      </c>
      <c r="K3189" s="676">
        <v>0</v>
      </c>
      <c r="M3189" t="str">
        <f>""</f>
        <v/>
      </c>
    </row>
    <row r="3190" spans="1:13" ht="15.75">
      <c r="A3190">
        <v>2022</v>
      </c>
      <c r="B3190" s="777">
        <v>44788</v>
      </c>
      <c r="C3190" s="730">
        <v>0.43333333333333335</v>
      </c>
      <c r="D3190" s="777">
        <v>44788</v>
      </c>
      <c r="E3190" s="730">
        <v>0.53402777777777777</v>
      </c>
      <c r="F3190" s="558" t="s">
        <v>3885</v>
      </c>
      <c r="G3190" s="558" t="s">
        <v>3143</v>
      </c>
      <c r="H3190" s="558" t="s">
        <v>2910</v>
      </c>
      <c r="I3190" s="679" t="s">
        <v>2483</v>
      </c>
      <c r="J3190" s="676" t="s">
        <v>5873</v>
      </c>
      <c r="K3190" s="676">
        <v>0</v>
      </c>
      <c r="M3190" t="str">
        <f>""</f>
        <v/>
      </c>
    </row>
    <row r="3191" spans="1:13" ht="15.75">
      <c r="A3191">
        <v>2022</v>
      </c>
      <c r="B3191" s="777">
        <v>44792</v>
      </c>
      <c r="C3191" s="730">
        <v>0.73611111111111116</v>
      </c>
      <c r="D3191" s="777">
        <v>44792</v>
      </c>
      <c r="E3191" s="730">
        <v>0.7368055555555556</v>
      </c>
      <c r="F3191" s="558" t="s">
        <v>5482</v>
      </c>
      <c r="G3191" s="558" t="s">
        <v>61</v>
      </c>
      <c r="H3191" s="558" t="s">
        <v>3356</v>
      </c>
      <c r="I3191" s="679" t="s">
        <v>2293</v>
      </c>
      <c r="J3191" s="676">
        <v>0</v>
      </c>
      <c r="K3191" s="676">
        <v>0</v>
      </c>
      <c r="M3191" t="str">
        <f>""</f>
        <v/>
      </c>
    </row>
    <row r="3192" spans="1:13" ht="15.75">
      <c r="A3192">
        <v>2022</v>
      </c>
      <c r="B3192" s="777">
        <v>44792</v>
      </c>
      <c r="C3192" s="730">
        <v>0.91666666666666663</v>
      </c>
      <c r="D3192" s="777">
        <v>44793</v>
      </c>
      <c r="E3192" s="730">
        <v>0.47916666666666669</v>
      </c>
      <c r="F3192" s="558" t="s">
        <v>2862</v>
      </c>
      <c r="G3192" s="558" t="s">
        <v>124</v>
      </c>
      <c r="H3192" s="558" t="s">
        <v>2944</v>
      </c>
      <c r="I3192" s="679" t="s">
        <v>2952</v>
      </c>
      <c r="J3192" s="676">
        <v>0</v>
      </c>
      <c r="K3192" s="676">
        <v>0</v>
      </c>
      <c r="M3192" t="str">
        <f>""</f>
        <v/>
      </c>
    </row>
    <row r="3193" spans="1:13" ht="15.75">
      <c r="A3193">
        <v>2022</v>
      </c>
      <c r="B3193" s="777">
        <v>44795</v>
      </c>
      <c r="C3193" s="730">
        <v>0.40763888888888888</v>
      </c>
      <c r="D3193" s="777">
        <v>44795</v>
      </c>
      <c r="E3193" s="730">
        <v>0.40833333333333333</v>
      </c>
      <c r="F3193" s="558" t="s">
        <v>2967</v>
      </c>
      <c r="G3193" s="558" t="s">
        <v>124</v>
      </c>
      <c r="H3193" s="558" t="s">
        <v>3356</v>
      </c>
      <c r="I3193" s="679" t="s">
        <v>100</v>
      </c>
      <c r="J3193" s="676">
        <v>0</v>
      </c>
      <c r="K3193" s="676">
        <v>0</v>
      </c>
      <c r="M3193" t="str">
        <f>""</f>
        <v/>
      </c>
    </row>
    <row r="3194" spans="1:13" ht="15.75">
      <c r="A3194">
        <v>2022</v>
      </c>
      <c r="B3194" s="777">
        <v>44795</v>
      </c>
      <c r="C3194" s="730">
        <v>0.86111111111111116</v>
      </c>
      <c r="D3194" s="777">
        <v>44795</v>
      </c>
      <c r="E3194" s="730">
        <v>0.9145833333333333</v>
      </c>
      <c r="F3194" s="558" t="s">
        <v>4402</v>
      </c>
      <c r="G3194" s="558" t="s">
        <v>1352</v>
      </c>
      <c r="H3194" s="558" t="s">
        <v>3411</v>
      </c>
      <c r="I3194" s="679" t="s">
        <v>22</v>
      </c>
      <c r="J3194" s="676">
        <v>0</v>
      </c>
      <c r="K3194" s="676">
        <v>0</v>
      </c>
      <c r="M3194" t="str">
        <f>""</f>
        <v/>
      </c>
    </row>
    <row r="3195" spans="1:13" ht="15.75">
      <c r="A3195">
        <v>2022</v>
      </c>
      <c r="B3195" s="777">
        <v>44797</v>
      </c>
      <c r="C3195" s="730">
        <v>0.59722222222222221</v>
      </c>
      <c r="D3195" s="777">
        <v>44797</v>
      </c>
      <c r="E3195" s="730">
        <v>0.59791666666666665</v>
      </c>
      <c r="F3195" s="558" t="s">
        <v>2967</v>
      </c>
      <c r="G3195" s="558" t="s">
        <v>124</v>
      </c>
      <c r="H3195" s="558" t="s">
        <v>3356</v>
      </c>
      <c r="I3195" s="679" t="s">
        <v>100</v>
      </c>
      <c r="J3195" s="676">
        <v>0</v>
      </c>
      <c r="K3195" s="676">
        <v>0</v>
      </c>
      <c r="M3195" t="str">
        <f>""</f>
        <v/>
      </c>
    </row>
    <row r="3196" spans="1:13" ht="15.75">
      <c r="A3196">
        <v>2022</v>
      </c>
      <c r="B3196" s="777">
        <v>44798</v>
      </c>
      <c r="C3196" s="730">
        <v>4.0972222222222222E-2</v>
      </c>
      <c r="D3196" s="777">
        <v>44798</v>
      </c>
      <c r="E3196" s="730">
        <v>4.1666666666666664E-2</v>
      </c>
      <c r="F3196" s="558" t="s">
        <v>4355</v>
      </c>
      <c r="G3196" s="558" t="s">
        <v>124</v>
      </c>
      <c r="H3196" s="558" t="s">
        <v>2910</v>
      </c>
      <c r="I3196" s="679" t="s">
        <v>100</v>
      </c>
      <c r="J3196" s="676">
        <v>0</v>
      </c>
      <c r="K3196" s="676">
        <v>0</v>
      </c>
      <c r="M3196" t="str">
        <f>""</f>
        <v/>
      </c>
    </row>
    <row r="3197" spans="1:13" ht="15.75">
      <c r="A3197">
        <v>2022</v>
      </c>
      <c r="B3197" s="777">
        <v>44798</v>
      </c>
      <c r="C3197" s="730">
        <v>4.0972222222222222E-2</v>
      </c>
      <c r="D3197" s="777">
        <v>44798</v>
      </c>
      <c r="E3197" s="730">
        <v>4.1666666666666664E-2</v>
      </c>
      <c r="F3197" s="558" t="s">
        <v>4355</v>
      </c>
      <c r="G3197" s="558" t="s">
        <v>124</v>
      </c>
      <c r="H3197" s="558" t="s">
        <v>2910</v>
      </c>
      <c r="I3197" s="679" t="s">
        <v>100</v>
      </c>
      <c r="J3197" s="676">
        <v>0</v>
      </c>
      <c r="K3197" s="676">
        <v>0</v>
      </c>
      <c r="M3197" t="str">
        <f>""</f>
        <v/>
      </c>
    </row>
    <row r="3198" spans="1:13" ht="15.75">
      <c r="A3198">
        <v>2022</v>
      </c>
      <c r="B3198" s="777">
        <v>44799</v>
      </c>
      <c r="C3198" s="730">
        <v>0.46458333333333335</v>
      </c>
      <c r="D3198" s="777">
        <v>44799</v>
      </c>
      <c r="E3198" s="730">
        <v>0.46527777777777779</v>
      </c>
      <c r="F3198" s="558" t="s">
        <v>2967</v>
      </c>
      <c r="G3198" s="558" t="s">
        <v>124</v>
      </c>
      <c r="H3198" s="558" t="s">
        <v>3356</v>
      </c>
      <c r="I3198" s="679" t="s">
        <v>100</v>
      </c>
      <c r="J3198" s="676">
        <v>0</v>
      </c>
      <c r="K3198" s="676">
        <v>0</v>
      </c>
      <c r="M3198" t="str">
        <f>""</f>
        <v/>
      </c>
    </row>
    <row r="3199" spans="1:13" ht="15.75">
      <c r="A3199">
        <v>2022</v>
      </c>
      <c r="B3199" s="777">
        <v>44800</v>
      </c>
      <c r="C3199" s="730">
        <v>9.7916666666666666E-2</v>
      </c>
      <c r="D3199" s="777">
        <v>44800</v>
      </c>
      <c r="E3199" s="730">
        <v>0.80138888888888893</v>
      </c>
      <c r="F3199" s="558" t="s">
        <v>2959</v>
      </c>
      <c r="G3199" s="558" t="s">
        <v>61</v>
      </c>
      <c r="H3199" s="558" t="s">
        <v>3387</v>
      </c>
      <c r="I3199" s="679" t="s">
        <v>2764</v>
      </c>
      <c r="J3199" s="676">
        <v>0</v>
      </c>
      <c r="K3199" s="676">
        <v>0</v>
      </c>
      <c r="M3199" t="str">
        <f>""</f>
        <v/>
      </c>
    </row>
    <row r="3200" spans="1:13" ht="15.75">
      <c r="A3200">
        <v>2022</v>
      </c>
      <c r="B3200" s="777">
        <v>44801</v>
      </c>
      <c r="C3200" s="730">
        <v>0.2076388888888889</v>
      </c>
      <c r="D3200" s="777">
        <v>44801</v>
      </c>
      <c r="E3200" s="730">
        <v>0.25416666666666665</v>
      </c>
      <c r="F3200" s="558" t="s">
        <v>3719</v>
      </c>
      <c r="G3200" s="558" t="s">
        <v>61</v>
      </c>
      <c r="H3200" s="558" t="s">
        <v>3387</v>
      </c>
      <c r="I3200" s="679" t="s">
        <v>2764</v>
      </c>
      <c r="J3200" s="676">
        <v>0</v>
      </c>
      <c r="K3200" s="676">
        <v>0</v>
      </c>
      <c r="M3200" t="str">
        <f>""</f>
        <v/>
      </c>
    </row>
    <row r="3201" spans="1:13" ht="15.75">
      <c r="A3201">
        <v>2022</v>
      </c>
      <c r="B3201" s="777">
        <v>44802</v>
      </c>
      <c r="C3201" s="730">
        <v>0.44791666666666669</v>
      </c>
      <c r="D3201" s="777">
        <v>44802</v>
      </c>
      <c r="E3201" s="730">
        <v>0.48958333333333331</v>
      </c>
      <c r="F3201" s="558" t="s">
        <v>5496</v>
      </c>
      <c r="G3201" s="558" t="s">
        <v>1352</v>
      </c>
      <c r="H3201" s="558" t="s">
        <v>3402</v>
      </c>
      <c r="I3201" s="679" t="s">
        <v>2118</v>
      </c>
      <c r="J3201" s="676">
        <v>0</v>
      </c>
      <c r="K3201" s="676">
        <v>0</v>
      </c>
      <c r="M3201" t="str">
        <f>""</f>
        <v/>
      </c>
    </row>
    <row r="3202" spans="1:13" ht="15.75">
      <c r="A3202">
        <v>2022</v>
      </c>
      <c r="B3202" s="777">
        <v>44808</v>
      </c>
      <c r="C3202" s="730">
        <v>0.78472222222222221</v>
      </c>
      <c r="D3202" s="777">
        <v>44809</v>
      </c>
      <c r="E3202" s="730">
        <v>0.11458333333333333</v>
      </c>
      <c r="F3202" s="558" t="s">
        <v>4428</v>
      </c>
      <c r="G3202" s="558" t="s">
        <v>124</v>
      </c>
      <c r="H3202" s="558" t="s">
        <v>2944</v>
      </c>
      <c r="I3202" s="679" t="s">
        <v>2952</v>
      </c>
      <c r="J3202" s="676">
        <v>0</v>
      </c>
      <c r="K3202" s="676">
        <v>0</v>
      </c>
      <c r="M3202" t="str">
        <f>""</f>
        <v/>
      </c>
    </row>
    <row r="3203" spans="1:13" ht="15.75">
      <c r="A3203">
        <v>2022</v>
      </c>
      <c r="B3203" s="777">
        <v>44809</v>
      </c>
      <c r="C3203" s="730">
        <v>0.25347222222222221</v>
      </c>
      <c r="D3203" s="777">
        <v>44809</v>
      </c>
      <c r="E3203" s="730">
        <v>0.875</v>
      </c>
      <c r="F3203" s="558" t="s">
        <v>3616</v>
      </c>
      <c r="G3203" s="558" t="s">
        <v>124</v>
      </c>
      <c r="H3203" s="558" t="s">
        <v>3415</v>
      </c>
      <c r="I3203" s="679" t="s">
        <v>2764</v>
      </c>
      <c r="J3203" s="676" t="s">
        <v>5873</v>
      </c>
      <c r="K3203" s="676">
        <v>0</v>
      </c>
      <c r="M3203" t="str">
        <f>""</f>
        <v/>
      </c>
    </row>
    <row r="3204" spans="1:13" ht="15.75">
      <c r="A3204">
        <v>2022</v>
      </c>
      <c r="B3204" s="777">
        <v>44810</v>
      </c>
      <c r="C3204" s="730">
        <v>0.6875</v>
      </c>
      <c r="D3204" s="777">
        <v>44811</v>
      </c>
      <c r="E3204" s="730">
        <v>2.0833333333333332E-2</v>
      </c>
      <c r="F3204" s="558" t="s">
        <v>4355</v>
      </c>
      <c r="G3204" s="558" t="s">
        <v>124</v>
      </c>
      <c r="H3204" s="558" t="s">
        <v>2910</v>
      </c>
      <c r="I3204" s="679" t="s">
        <v>100</v>
      </c>
      <c r="J3204" s="676">
        <v>0</v>
      </c>
      <c r="K3204" s="676">
        <v>0</v>
      </c>
      <c r="M3204" t="str">
        <f>""</f>
        <v/>
      </c>
    </row>
    <row r="3205" spans="1:13" ht="15.75">
      <c r="A3205">
        <v>2022</v>
      </c>
      <c r="B3205" s="777">
        <v>44810</v>
      </c>
      <c r="C3205" s="730">
        <v>0.25</v>
      </c>
      <c r="D3205" s="777">
        <v>44810</v>
      </c>
      <c r="E3205" s="730">
        <v>0.26527777777777778</v>
      </c>
      <c r="F3205" s="558" t="s">
        <v>4185</v>
      </c>
      <c r="G3205" s="558" t="s">
        <v>1352</v>
      </c>
      <c r="H3205" s="558" t="s">
        <v>3402</v>
      </c>
      <c r="I3205" s="679" t="s">
        <v>2118</v>
      </c>
      <c r="J3205" s="676">
        <v>0</v>
      </c>
      <c r="K3205" s="676">
        <v>0</v>
      </c>
      <c r="M3205" t="str">
        <f>""</f>
        <v/>
      </c>
    </row>
    <row r="3206" spans="1:13" ht="15.75">
      <c r="A3206">
        <v>2022</v>
      </c>
      <c r="B3206" s="777">
        <v>44810</v>
      </c>
      <c r="C3206" s="730">
        <v>0.44027777777777777</v>
      </c>
      <c r="D3206" s="777">
        <v>44810</v>
      </c>
      <c r="E3206" s="730">
        <v>0.875</v>
      </c>
      <c r="F3206" s="558" t="s">
        <v>3616</v>
      </c>
      <c r="G3206" s="558" t="s">
        <v>124</v>
      </c>
      <c r="H3206" s="558" t="s">
        <v>3415</v>
      </c>
      <c r="I3206" s="679" t="s">
        <v>2764</v>
      </c>
      <c r="J3206" s="676" t="s">
        <v>5873</v>
      </c>
      <c r="K3206" s="676">
        <v>0</v>
      </c>
      <c r="M3206" t="str">
        <f>""</f>
        <v/>
      </c>
    </row>
    <row r="3207" spans="1:13" ht="15.75">
      <c r="A3207">
        <v>2022</v>
      </c>
      <c r="B3207" s="777">
        <v>44811</v>
      </c>
      <c r="C3207" s="730">
        <v>0.57291666666666663</v>
      </c>
      <c r="D3207" s="777">
        <v>44811</v>
      </c>
      <c r="E3207" s="730">
        <v>0.79166666666666663</v>
      </c>
      <c r="F3207" s="558" t="s">
        <v>3182</v>
      </c>
      <c r="G3207" s="558" t="s">
        <v>63</v>
      </c>
      <c r="H3207" s="558" t="s">
        <v>3387</v>
      </c>
      <c r="I3207" s="679" t="s">
        <v>2952</v>
      </c>
      <c r="J3207" s="676">
        <v>0</v>
      </c>
      <c r="K3207" s="676">
        <v>0</v>
      </c>
      <c r="M3207" t="str">
        <f>""</f>
        <v/>
      </c>
    </row>
    <row r="3208" spans="1:13" ht="15.75">
      <c r="A3208">
        <v>2022</v>
      </c>
      <c r="B3208" s="777">
        <v>44811</v>
      </c>
      <c r="C3208" s="730">
        <v>0.47986111111111113</v>
      </c>
      <c r="D3208" s="777">
        <v>44811</v>
      </c>
      <c r="E3208" s="730">
        <v>0.875</v>
      </c>
      <c r="F3208" s="558" t="s">
        <v>3616</v>
      </c>
      <c r="G3208" s="558" t="s">
        <v>124</v>
      </c>
      <c r="H3208" s="558" t="s">
        <v>3415</v>
      </c>
      <c r="I3208" s="679" t="s">
        <v>2764</v>
      </c>
      <c r="J3208" s="676" t="s">
        <v>5873</v>
      </c>
      <c r="K3208" s="676">
        <v>0</v>
      </c>
      <c r="M3208" t="str">
        <f>""</f>
        <v/>
      </c>
    </row>
    <row r="3209" spans="1:13" ht="15.75">
      <c r="A3209">
        <v>2022</v>
      </c>
      <c r="B3209" s="777">
        <v>44811</v>
      </c>
      <c r="C3209" s="730">
        <v>0.54166666666666663</v>
      </c>
      <c r="D3209" s="777" t="s">
        <v>5873</v>
      </c>
      <c r="E3209" s="730" t="s">
        <v>5873</v>
      </c>
      <c r="F3209" s="558" t="s">
        <v>2920</v>
      </c>
      <c r="G3209" s="558" t="s">
        <v>124</v>
      </c>
      <c r="H3209" s="558" t="s">
        <v>2910</v>
      </c>
      <c r="I3209" s="679" t="s">
        <v>100</v>
      </c>
      <c r="J3209" s="676">
        <v>0</v>
      </c>
      <c r="K3209" s="676">
        <v>0</v>
      </c>
      <c r="M3209" t="str">
        <f>""</f>
        <v/>
      </c>
    </row>
    <row r="3210" spans="1:13" ht="15.75">
      <c r="A3210">
        <v>2022</v>
      </c>
      <c r="B3210" s="777">
        <v>44812</v>
      </c>
      <c r="C3210" s="730">
        <v>0.45277777777777778</v>
      </c>
      <c r="D3210" s="777">
        <v>44813</v>
      </c>
      <c r="E3210" s="730">
        <v>0.875</v>
      </c>
      <c r="F3210" s="558" t="s">
        <v>3616</v>
      </c>
      <c r="G3210" s="558" t="s">
        <v>124</v>
      </c>
      <c r="H3210" s="558" t="s">
        <v>3415</v>
      </c>
      <c r="I3210" s="679" t="s">
        <v>2764</v>
      </c>
      <c r="J3210" s="676" t="s">
        <v>5873</v>
      </c>
      <c r="K3210" s="676">
        <v>0</v>
      </c>
      <c r="M3210" t="str">
        <f>""</f>
        <v/>
      </c>
    </row>
    <row r="3211" spans="1:13" ht="15.75">
      <c r="A3211">
        <v>2022</v>
      </c>
      <c r="B3211" s="777">
        <v>44815</v>
      </c>
      <c r="C3211" s="730">
        <v>0.7631944444444444</v>
      </c>
      <c r="D3211" s="777">
        <v>44815</v>
      </c>
      <c r="E3211" s="730">
        <v>0.93611111111111112</v>
      </c>
      <c r="F3211" s="558" t="s">
        <v>5516</v>
      </c>
      <c r="G3211" s="558" t="s">
        <v>1352</v>
      </c>
      <c r="H3211" s="558" t="s">
        <v>3411</v>
      </c>
      <c r="I3211" s="679" t="s">
        <v>2483</v>
      </c>
      <c r="J3211" s="676">
        <v>0</v>
      </c>
      <c r="K3211" s="676">
        <v>0</v>
      </c>
      <c r="M3211" t="str">
        <f>""</f>
        <v/>
      </c>
    </row>
    <row r="3212" spans="1:13" ht="15.75">
      <c r="A3212">
        <v>2022</v>
      </c>
      <c r="B3212" s="777">
        <v>44817</v>
      </c>
      <c r="C3212" s="730">
        <v>0.82986111111111116</v>
      </c>
      <c r="D3212" s="777">
        <v>44817</v>
      </c>
      <c r="E3212" s="730">
        <v>0.83402777777777781</v>
      </c>
      <c r="F3212" s="558" t="s">
        <v>4402</v>
      </c>
      <c r="G3212" s="558" t="s">
        <v>1352</v>
      </c>
      <c r="H3212" s="558" t="s">
        <v>3411</v>
      </c>
      <c r="I3212" s="679" t="s">
        <v>22</v>
      </c>
      <c r="J3212" s="676">
        <v>0</v>
      </c>
      <c r="K3212" s="676">
        <v>0</v>
      </c>
      <c r="M3212" t="str">
        <f>""</f>
        <v/>
      </c>
    </row>
    <row r="3213" spans="1:13" ht="15.75">
      <c r="A3213">
        <v>2022</v>
      </c>
      <c r="B3213" s="777">
        <v>44819</v>
      </c>
      <c r="C3213" s="730">
        <v>0.82777777777777772</v>
      </c>
      <c r="D3213" s="777">
        <v>44819</v>
      </c>
      <c r="E3213" s="730">
        <v>0.89652777777777781</v>
      </c>
      <c r="F3213" s="558" t="s">
        <v>5516</v>
      </c>
      <c r="G3213" s="558" t="s">
        <v>1352</v>
      </c>
      <c r="H3213" s="558" t="s">
        <v>3411</v>
      </c>
      <c r="I3213" s="679" t="s">
        <v>2483</v>
      </c>
      <c r="J3213" s="676">
        <v>0</v>
      </c>
      <c r="K3213" s="676">
        <v>0</v>
      </c>
      <c r="M3213" t="str">
        <f>""</f>
        <v/>
      </c>
    </row>
    <row r="3214" spans="1:13" ht="15.75">
      <c r="A3214">
        <v>2022</v>
      </c>
      <c r="B3214" s="777">
        <v>44820</v>
      </c>
      <c r="C3214" s="730">
        <v>0.77083333333333337</v>
      </c>
      <c r="D3214" s="777">
        <v>44820</v>
      </c>
      <c r="E3214" s="730">
        <v>0.96875</v>
      </c>
      <c r="F3214" s="558" t="s">
        <v>5520</v>
      </c>
      <c r="G3214" s="558" t="s">
        <v>124</v>
      </c>
      <c r="H3214" s="558" t="s">
        <v>3611</v>
      </c>
      <c r="I3214" s="679" t="s">
        <v>2483</v>
      </c>
      <c r="J3214" s="676">
        <v>0</v>
      </c>
      <c r="K3214" s="676">
        <v>0</v>
      </c>
      <c r="M3214" t="str">
        <f>""</f>
        <v/>
      </c>
    </row>
    <row r="3215" spans="1:13" ht="15.75">
      <c r="A3215">
        <v>2022</v>
      </c>
      <c r="B3215" s="777">
        <v>44820</v>
      </c>
      <c r="C3215" s="730">
        <v>0.75</v>
      </c>
      <c r="D3215" s="777">
        <v>44820</v>
      </c>
      <c r="E3215" s="730">
        <v>0.75069444444444444</v>
      </c>
      <c r="F3215" s="558" t="s">
        <v>2865</v>
      </c>
      <c r="G3215" s="558" t="s">
        <v>124</v>
      </c>
      <c r="H3215" s="558" t="s">
        <v>3356</v>
      </c>
      <c r="I3215" s="679" t="s">
        <v>2118</v>
      </c>
      <c r="J3215" s="676">
        <v>0</v>
      </c>
      <c r="K3215" s="676">
        <v>0</v>
      </c>
      <c r="M3215" t="str">
        <f>""</f>
        <v/>
      </c>
    </row>
    <row r="3216" spans="1:13" ht="15.75">
      <c r="A3216">
        <v>2022</v>
      </c>
      <c r="B3216" s="777">
        <v>44826</v>
      </c>
      <c r="C3216" s="730">
        <v>0.41805555555555557</v>
      </c>
      <c r="D3216" s="777">
        <v>44826</v>
      </c>
      <c r="E3216" s="730">
        <v>0.45833333333333331</v>
      </c>
      <c r="F3216" s="558" t="s">
        <v>2967</v>
      </c>
      <c r="G3216" s="558" t="s">
        <v>124</v>
      </c>
      <c r="H3216" s="558" t="s">
        <v>3356</v>
      </c>
      <c r="I3216" s="679" t="s">
        <v>100</v>
      </c>
      <c r="J3216" s="676">
        <v>1</v>
      </c>
      <c r="K3216" s="676">
        <v>0</v>
      </c>
      <c r="M3216" t="str">
        <f>""</f>
        <v/>
      </c>
    </row>
    <row r="3217" spans="1:13" ht="15.75">
      <c r="A3217">
        <v>2022</v>
      </c>
      <c r="B3217" s="777">
        <v>44827</v>
      </c>
      <c r="C3217" s="730">
        <v>0.4236111111111111</v>
      </c>
      <c r="D3217" s="777">
        <v>44827</v>
      </c>
      <c r="E3217" s="730">
        <v>0.45833333333333331</v>
      </c>
      <c r="F3217" s="558" t="s">
        <v>2967</v>
      </c>
      <c r="G3217" s="558" t="s">
        <v>124</v>
      </c>
      <c r="H3217" s="558" t="s">
        <v>3356</v>
      </c>
      <c r="I3217" s="679" t="s">
        <v>100</v>
      </c>
      <c r="J3217" s="676">
        <v>2</v>
      </c>
      <c r="K3217" s="676">
        <v>0</v>
      </c>
      <c r="M3217" t="str">
        <f>""</f>
        <v/>
      </c>
    </row>
    <row r="3218" spans="1:13" ht="15.75">
      <c r="A3218">
        <v>2022</v>
      </c>
      <c r="B3218" s="777">
        <v>44831</v>
      </c>
      <c r="C3218" s="730">
        <v>0.36249999999999999</v>
      </c>
      <c r="D3218" s="777">
        <v>44831</v>
      </c>
      <c r="E3218" s="730">
        <v>0.41666666666666669</v>
      </c>
      <c r="F3218" s="558" t="s">
        <v>2967</v>
      </c>
      <c r="G3218" s="558" t="s">
        <v>124</v>
      </c>
      <c r="H3218" s="558" t="s">
        <v>3356</v>
      </c>
      <c r="I3218" s="679" t="s">
        <v>100</v>
      </c>
      <c r="J3218" s="676">
        <v>1</v>
      </c>
      <c r="K3218" s="676">
        <v>0</v>
      </c>
      <c r="M3218" t="str">
        <f>""</f>
        <v/>
      </c>
    </row>
    <row r="3219" spans="1:13" ht="15.75">
      <c r="A3219">
        <v>2022</v>
      </c>
      <c r="B3219" s="777">
        <v>44833</v>
      </c>
      <c r="C3219" s="730">
        <v>0.16666666666666666</v>
      </c>
      <c r="D3219" s="777">
        <v>44837</v>
      </c>
      <c r="E3219" s="730">
        <v>0</v>
      </c>
      <c r="F3219" s="558" t="s">
        <v>5537</v>
      </c>
      <c r="G3219" s="558" t="s">
        <v>63</v>
      </c>
      <c r="H3219" s="558" t="s">
        <v>2753</v>
      </c>
      <c r="I3219" s="679" t="s">
        <v>22</v>
      </c>
      <c r="J3219" s="676">
        <v>0</v>
      </c>
      <c r="K3219" s="676">
        <v>0</v>
      </c>
      <c r="M3219" t="str">
        <f>""</f>
        <v/>
      </c>
    </row>
    <row r="3220" spans="1:13" ht="15.75">
      <c r="A3220">
        <v>2022</v>
      </c>
      <c r="B3220" s="777">
        <v>44834</v>
      </c>
      <c r="C3220" s="730">
        <v>0.45833333333333331</v>
      </c>
      <c r="D3220" s="777">
        <v>44834</v>
      </c>
      <c r="E3220" s="730">
        <v>0.5</v>
      </c>
      <c r="F3220" s="558" t="s">
        <v>2967</v>
      </c>
      <c r="G3220" s="558" t="s">
        <v>124</v>
      </c>
      <c r="H3220" s="558" t="s">
        <v>3356</v>
      </c>
      <c r="I3220" s="679" t="s">
        <v>100</v>
      </c>
      <c r="J3220" s="676">
        <v>2</v>
      </c>
      <c r="K3220" s="676">
        <v>0</v>
      </c>
      <c r="M3220" t="str">
        <f>""</f>
        <v/>
      </c>
    </row>
    <row r="3221" spans="1:13" ht="15.75">
      <c r="A3221">
        <v>2022</v>
      </c>
      <c r="B3221" s="777">
        <v>44837</v>
      </c>
      <c r="C3221" s="730">
        <v>0.25</v>
      </c>
      <c r="D3221" s="777">
        <v>44838</v>
      </c>
      <c r="E3221" s="730">
        <v>0.29166666666666669</v>
      </c>
      <c r="F3221" s="558" t="s">
        <v>5544</v>
      </c>
      <c r="G3221" s="558" t="s">
        <v>63</v>
      </c>
      <c r="H3221" s="558" t="s">
        <v>3356</v>
      </c>
      <c r="I3221" s="679" t="s">
        <v>5545</v>
      </c>
      <c r="J3221" s="676">
        <v>0</v>
      </c>
      <c r="K3221" s="676">
        <v>0</v>
      </c>
      <c r="M3221" t="str">
        <f>""</f>
        <v/>
      </c>
    </row>
    <row r="3222" spans="1:13" ht="15.75">
      <c r="A3222">
        <v>2022</v>
      </c>
      <c r="B3222" s="777">
        <v>44837</v>
      </c>
      <c r="C3222" s="730">
        <v>0.57291666666666663</v>
      </c>
      <c r="D3222" s="777">
        <v>44837</v>
      </c>
      <c r="E3222" s="730">
        <v>0.60416666666666663</v>
      </c>
      <c r="F3222" s="558" t="s">
        <v>2967</v>
      </c>
      <c r="G3222" s="558" t="s">
        <v>124</v>
      </c>
      <c r="H3222" s="558" t="s">
        <v>3356</v>
      </c>
      <c r="I3222" s="679" t="s">
        <v>100</v>
      </c>
      <c r="J3222" s="676">
        <v>1</v>
      </c>
      <c r="K3222" s="676">
        <v>0</v>
      </c>
      <c r="M3222" t="str">
        <f>""</f>
        <v/>
      </c>
    </row>
    <row r="3223" spans="1:13" ht="15.75">
      <c r="A3223">
        <v>2022</v>
      </c>
      <c r="B3223" s="777">
        <v>44842</v>
      </c>
      <c r="C3223" s="730">
        <v>0.68263888888888891</v>
      </c>
      <c r="D3223" s="777">
        <v>44842</v>
      </c>
      <c r="E3223" s="730">
        <v>0.70138888888888884</v>
      </c>
      <c r="F3223" s="558" t="s">
        <v>5547</v>
      </c>
      <c r="G3223" s="558" t="s">
        <v>61</v>
      </c>
      <c r="H3223" s="558" t="s">
        <v>3874</v>
      </c>
      <c r="I3223" s="679" t="s">
        <v>5545</v>
      </c>
      <c r="J3223" s="676">
        <v>100</v>
      </c>
      <c r="K3223" s="676">
        <v>0</v>
      </c>
      <c r="M3223" t="str">
        <f>""</f>
        <v/>
      </c>
    </row>
    <row r="3224" spans="1:13" ht="15.75">
      <c r="A3224">
        <v>2022</v>
      </c>
      <c r="B3224" s="777">
        <v>44844</v>
      </c>
      <c r="C3224" s="730">
        <v>0.65972222222222221</v>
      </c>
      <c r="D3224" s="777">
        <v>44844</v>
      </c>
      <c r="E3224" s="730">
        <v>0.67013888888888884</v>
      </c>
      <c r="F3224" s="558" t="s">
        <v>5549</v>
      </c>
      <c r="G3224" s="558" t="s">
        <v>5015</v>
      </c>
      <c r="H3224" s="558" t="s">
        <v>3356</v>
      </c>
      <c r="I3224" s="679" t="s">
        <v>100</v>
      </c>
      <c r="J3224" s="676" t="s">
        <v>5873</v>
      </c>
      <c r="K3224" s="676">
        <v>0</v>
      </c>
      <c r="M3224" t="str">
        <f>""</f>
        <v/>
      </c>
    </row>
    <row r="3225" spans="1:13" ht="15.75">
      <c r="A3225">
        <v>2022</v>
      </c>
      <c r="B3225" s="777">
        <v>44847</v>
      </c>
      <c r="C3225" s="730">
        <v>0.41666666666666669</v>
      </c>
      <c r="D3225" s="777">
        <v>44847</v>
      </c>
      <c r="E3225" s="730">
        <v>0.45833333333333331</v>
      </c>
      <c r="F3225" s="558" t="s">
        <v>2967</v>
      </c>
      <c r="G3225" s="558" t="s">
        <v>124</v>
      </c>
      <c r="H3225" s="558" t="s">
        <v>3356</v>
      </c>
      <c r="I3225" s="679" t="s">
        <v>100</v>
      </c>
      <c r="J3225" s="676">
        <v>1</v>
      </c>
      <c r="K3225" s="676">
        <v>0</v>
      </c>
      <c r="M3225" t="str">
        <f>""</f>
        <v/>
      </c>
    </row>
    <row r="3226" spans="1:13" ht="15.75">
      <c r="A3226">
        <v>2022</v>
      </c>
      <c r="B3226" s="777">
        <v>44848</v>
      </c>
      <c r="C3226" s="730">
        <v>0.5625</v>
      </c>
      <c r="D3226" s="777" t="s">
        <v>5877</v>
      </c>
      <c r="E3226" s="730" t="s">
        <v>5873</v>
      </c>
      <c r="F3226" s="558" t="s">
        <v>5555</v>
      </c>
      <c r="G3226" s="558" t="s">
        <v>5880</v>
      </c>
      <c r="H3226" s="558" t="s">
        <v>5557</v>
      </c>
      <c r="I3226" s="679" t="s">
        <v>2952</v>
      </c>
      <c r="J3226" s="676">
        <v>0</v>
      </c>
      <c r="K3226" s="676">
        <v>0</v>
      </c>
      <c r="M3226" t="str">
        <f>""</f>
        <v/>
      </c>
    </row>
    <row r="3227" spans="1:13" ht="15.75">
      <c r="A3227">
        <v>2022</v>
      </c>
      <c r="B3227" s="777">
        <v>44849</v>
      </c>
      <c r="C3227" s="730">
        <v>0.41111111111111109</v>
      </c>
      <c r="D3227" s="777">
        <v>44849</v>
      </c>
      <c r="E3227" s="730">
        <v>0.43263888888888891</v>
      </c>
      <c r="F3227" s="558" t="s">
        <v>3424</v>
      </c>
      <c r="G3227" s="558" t="s">
        <v>124</v>
      </c>
      <c r="H3227" s="558" t="s">
        <v>3447</v>
      </c>
      <c r="I3227" s="679" t="s">
        <v>2764</v>
      </c>
      <c r="J3227" s="676">
        <v>0</v>
      </c>
      <c r="K3227" s="676">
        <v>0</v>
      </c>
      <c r="M3227" t="str">
        <f>""</f>
        <v/>
      </c>
    </row>
    <row r="3228" spans="1:13" ht="15.75">
      <c r="A3228">
        <v>2022</v>
      </c>
      <c r="B3228" s="777">
        <v>44855</v>
      </c>
      <c r="C3228" s="730">
        <v>0.46875</v>
      </c>
      <c r="D3228" s="777">
        <v>44855</v>
      </c>
      <c r="E3228" s="730">
        <v>0.47083333333333333</v>
      </c>
      <c r="F3228" s="558" t="s">
        <v>5563</v>
      </c>
      <c r="G3228" s="558" t="s">
        <v>124</v>
      </c>
      <c r="H3228" s="558" t="s">
        <v>3402</v>
      </c>
      <c r="I3228" s="679" t="s">
        <v>5545</v>
      </c>
      <c r="J3228" s="676">
        <v>0</v>
      </c>
      <c r="K3228" s="676">
        <v>0</v>
      </c>
      <c r="M3228" t="str">
        <f>""</f>
        <v/>
      </c>
    </row>
    <row r="3229" spans="1:13" ht="15.75">
      <c r="A3229">
        <v>2022</v>
      </c>
      <c r="B3229" s="777">
        <v>44858</v>
      </c>
      <c r="C3229" s="730">
        <v>0</v>
      </c>
      <c r="D3229" s="777">
        <v>44862</v>
      </c>
      <c r="E3229" s="730">
        <v>0</v>
      </c>
      <c r="F3229" s="558" t="s">
        <v>5566</v>
      </c>
      <c r="G3229" s="558" t="s">
        <v>61</v>
      </c>
      <c r="H3229" s="558" t="s">
        <v>5557</v>
      </c>
      <c r="I3229" s="679" t="s">
        <v>2952</v>
      </c>
      <c r="J3229" s="676">
        <v>0</v>
      </c>
      <c r="K3229" s="676">
        <v>0</v>
      </c>
      <c r="M3229" t="str">
        <f>""</f>
        <v/>
      </c>
    </row>
    <row r="3230" spans="1:13" ht="15.75">
      <c r="A3230">
        <v>2022</v>
      </c>
      <c r="B3230" s="777">
        <v>44860</v>
      </c>
      <c r="C3230" s="730">
        <v>0.81388888888888888</v>
      </c>
      <c r="D3230" s="777">
        <v>44860</v>
      </c>
      <c r="E3230" s="730">
        <v>0.85972222222222228</v>
      </c>
      <c r="F3230" s="558" t="s">
        <v>2919</v>
      </c>
      <c r="G3230" s="558" t="s">
        <v>1352</v>
      </c>
      <c r="H3230" s="558" t="s">
        <v>3387</v>
      </c>
      <c r="I3230" s="679" t="s">
        <v>2764</v>
      </c>
      <c r="J3230" s="676">
        <v>0</v>
      </c>
      <c r="K3230" s="676">
        <v>0</v>
      </c>
      <c r="M3230" t="str">
        <f>""</f>
        <v/>
      </c>
    </row>
    <row r="3231" spans="1:13" ht="15.75">
      <c r="A3231">
        <v>2022</v>
      </c>
      <c r="B3231" s="777">
        <v>44861</v>
      </c>
      <c r="C3231" s="730">
        <v>6.9444444444444447E-4</v>
      </c>
      <c r="D3231" s="777">
        <v>44861</v>
      </c>
      <c r="E3231" s="730">
        <v>0.54166666666666663</v>
      </c>
      <c r="F3231" s="558" t="s">
        <v>3405</v>
      </c>
      <c r="G3231" s="558" t="s">
        <v>63</v>
      </c>
      <c r="H3231" s="558" t="s">
        <v>3356</v>
      </c>
      <c r="I3231" s="679" t="s">
        <v>100</v>
      </c>
      <c r="J3231" s="676" t="s">
        <v>5873</v>
      </c>
      <c r="K3231" s="676">
        <v>0</v>
      </c>
      <c r="M3231" t="str">
        <f>""</f>
        <v/>
      </c>
    </row>
    <row r="3232" spans="1:13" ht="15.75">
      <c r="A3232">
        <v>2022</v>
      </c>
      <c r="B3232" s="777">
        <v>44862</v>
      </c>
      <c r="C3232" s="730">
        <v>0.59444444444444444</v>
      </c>
      <c r="D3232" s="777">
        <v>44862</v>
      </c>
      <c r="E3232" s="730">
        <v>0.625</v>
      </c>
      <c r="F3232" s="558" t="s">
        <v>2967</v>
      </c>
      <c r="G3232" s="558" t="s">
        <v>124</v>
      </c>
      <c r="H3232" s="558" t="s">
        <v>3356</v>
      </c>
      <c r="I3232" s="679" t="s">
        <v>100</v>
      </c>
      <c r="J3232" s="676">
        <v>2</v>
      </c>
      <c r="K3232" s="676">
        <v>0</v>
      </c>
      <c r="M3232" t="str">
        <f>""</f>
        <v/>
      </c>
    </row>
    <row r="3233" spans="1:13" ht="15.75">
      <c r="A3233">
        <v>2022</v>
      </c>
      <c r="B3233" s="777">
        <v>44865</v>
      </c>
      <c r="C3233" s="730">
        <v>0.88472222222222219</v>
      </c>
      <c r="D3233" s="777">
        <v>44865</v>
      </c>
      <c r="E3233" s="730">
        <v>0.92638888888888893</v>
      </c>
      <c r="F3233" s="558" t="s">
        <v>2866</v>
      </c>
      <c r="G3233" s="558" t="s">
        <v>63</v>
      </c>
      <c r="H3233" s="558" t="s">
        <v>3356</v>
      </c>
      <c r="I3233" s="679" t="s">
        <v>5545</v>
      </c>
      <c r="J3233" s="676" t="s">
        <v>5873</v>
      </c>
      <c r="K3233" s="676">
        <v>0</v>
      </c>
      <c r="M3233" t="str">
        <f>""</f>
        <v/>
      </c>
    </row>
    <row r="3234" spans="1:13" ht="15.75">
      <c r="A3234">
        <v>2022</v>
      </c>
      <c r="B3234" s="777">
        <v>44867</v>
      </c>
      <c r="C3234" s="730">
        <v>0.63263888888888886</v>
      </c>
      <c r="D3234" s="777">
        <v>44867</v>
      </c>
      <c r="E3234" s="730">
        <v>0.64236111111111116</v>
      </c>
      <c r="F3234" s="558" t="s">
        <v>4185</v>
      </c>
      <c r="G3234" s="558" t="s">
        <v>1352</v>
      </c>
      <c r="H3234" s="558" t="s">
        <v>3402</v>
      </c>
      <c r="I3234" s="679" t="s">
        <v>2118</v>
      </c>
      <c r="J3234" s="676">
        <v>0</v>
      </c>
      <c r="K3234" s="676">
        <v>0</v>
      </c>
      <c r="M3234" t="str">
        <f>""</f>
        <v/>
      </c>
    </row>
    <row r="3235" spans="1:13" ht="15.75">
      <c r="A3235">
        <v>2022</v>
      </c>
      <c r="B3235" s="777">
        <v>44868</v>
      </c>
      <c r="C3235" s="730">
        <v>0.50486111111111109</v>
      </c>
      <c r="D3235" s="777">
        <v>44868</v>
      </c>
      <c r="E3235" s="730">
        <v>0.6</v>
      </c>
      <c r="F3235" s="558" t="s">
        <v>5577</v>
      </c>
      <c r="G3235" s="558" t="s">
        <v>124</v>
      </c>
      <c r="H3235" s="558" t="s">
        <v>3411</v>
      </c>
      <c r="I3235" s="679" t="s">
        <v>2483</v>
      </c>
      <c r="J3235" s="676">
        <v>0</v>
      </c>
      <c r="K3235" s="676">
        <v>0</v>
      </c>
      <c r="M3235" t="str">
        <f>""</f>
        <v/>
      </c>
    </row>
    <row r="3236" spans="1:13" ht="15.75">
      <c r="A3236">
        <v>2022</v>
      </c>
      <c r="B3236" s="777">
        <v>44873</v>
      </c>
      <c r="C3236" s="730">
        <v>0.65833333333333333</v>
      </c>
      <c r="D3236" s="777">
        <v>44873</v>
      </c>
      <c r="E3236" s="730">
        <v>0.68125000000000002</v>
      </c>
      <c r="F3236" s="558" t="s">
        <v>5587</v>
      </c>
      <c r="G3236" s="558" t="s">
        <v>1352</v>
      </c>
      <c r="H3236" s="558" t="s">
        <v>3411</v>
      </c>
      <c r="I3236" s="679" t="s">
        <v>2483</v>
      </c>
      <c r="J3236" s="676">
        <v>0</v>
      </c>
      <c r="K3236" s="676">
        <v>0</v>
      </c>
      <c r="M3236" t="str">
        <f>""</f>
        <v/>
      </c>
    </row>
    <row r="3237" spans="1:13" ht="15.75">
      <c r="A3237">
        <v>2022</v>
      </c>
      <c r="B3237" s="777">
        <v>44875</v>
      </c>
      <c r="C3237" s="730">
        <v>0.46319444444444446</v>
      </c>
      <c r="D3237" s="777">
        <v>44875</v>
      </c>
      <c r="E3237" s="730">
        <v>0.5</v>
      </c>
      <c r="F3237" s="558" t="s">
        <v>4740</v>
      </c>
      <c r="G3237" s="558" t="s">
        <v>63</v>
      </c>
      <c r="H3237" s="558" t="s">
        <v>3447</v>
      </c>
      <c r="I3237" s="679" t="s">
        <v>2905</v>
      </c>
      <c r="J3237" s="676">
        <v>0</v>
      </c>
      <c r="K3237" s="676">
        <v>0</v>
      </c>
      <c r="M3237" t="str">
        <f>""</f>
        <v/>
      </c>
    </row>
    <row r="3238" spans="1:13" ht="15.75">
      <c r="A3238">
        <v>2022</v>
      </c>
      <c r="B3238" s="777">
        <v>44880</v>
      </c>
      <c r="C3238" s="730">
        <v>0.4284722222222222</v>
      </c>
      <c r="D3238" s="777">
        <v>44880</v>
      </c>
      <c r="E3238" s="730">
        <v>0.46250000000000002</v>
      </c>
      <c r="F3238" s="558" t="s">
        <v>3758</v>
      </c>
      <c r="G3238" s="558" t="s">
        <v>61</v>
      </c>
      <c r="H3238" s="558" t="s">
        <v>3387</v>
      </c>
      <c r="I3238" s="679" t="s">
        <v>2764</v>
      </c>
      <c r="J3238" s="676">
        <v>0</v>
      </c>
      <c r="K3238" s="676">
        <v>0</v>
      </c>
      <c r="M3238" t="str">
        <f>""</f>
        <v/>
      </c>
    </row>
    <row r="3239" spans="1:13" ht="15.75">
      <c r="A3239">
        <v>2022</v>
      </c>
      <c r="B3239" s="777">
        <v>44880</v>
      </c>
      <c r="C3239" s="730">
        <v>4.1666666666666664E-2</v>
      </c>
      <c r="D3239" s="777">
        <v>44880</v>
      </c>
      <c r="E3239" s="730">
        <v>0.25</v>
      </c>
      <c r="F3239" s="558" t="s">
        <v>5594</v>
      </c>
      <c r="G3239" s="558" t="s">
        <v>124</v>
      </c>
      <c r="H3239" s="558" t="s">
        <v>3356</v>
      </c>
      <c r="I3239" s="679" t="s">
        <v>100</v>
      </c>
      <c r="J3239" s="676">
        <v>0</v>
      </c>
      <c r="K3239" s="676">
        <v>0</v>
      </c>
      <c r="M3239" t="str">
        <f>""</f>
        <v/>
      </c>
    </row>
    <row r="3240" spans="1:13" ht="15.75">
      <c r="A3240">
        <v>2022</v>
      </c>
      <c r="B3240" s="777">
        <v>44887</v>
      </c>
      <c r="C3240" s="730">
        <v>0.41736111111111113</v>
      </c>
      <c r="D3240" s="777">
        <v>44887</v>
      </c>
      <c r="E3240" s="730">
        <v>0.4465277777777778</v>
      </c>
      <c r="F3240" s="558" t="s">
        <v>5599</v>
      </c>
      <c r="G3240" s="558" t="s">
        <v>61</v>
      </c>
      <c r="H3240" s="558" t="s">
        <v>3387</v>
      </c>
      <c r="I3240" s="679" t="s">
        <v>2764</v>
      </c>
      <c r="J3240" s="676">
        <v>0</v>
      </c>
      <c r="K3240" s="676">
        <v>0</v>
      </c>
      <c r="M3240" t="str">
        <f>""</f>
        <v/>
      </c>
    </row>
    <row r="3241" spans="1:13" ht="15.75">
      <c r="A3241">
        <v>2022</v>
      </c>
      <c r="B3241" s="777">
        <v>44888</v>
      </c>
      <c r="C3241" s="730">
        <v>0.29375000000000001</v>
      </c>
      <c r="D3241" s="777">
        <v>44888</v>
      </c>
      <c r="E3241" s="730">
        <v>0.37291666666666667</v>
      </c>
      <c r="F3241" s="558" t="s">
        <v>4185</v>
      </c>
      <c r="G3241" s="558" t="s">
        <v>1352</v>
      </c>
      <c r="H3241" s="558" t="s">
        <v>3402</v>
      </c>
      <c r="I3241" s="679" t="s">
        <v>2118</v>
      </c>
      <c r="J3241" s="676">
        <v>0</v>
      </c>
      <c r="K3241" s="676">
        <v>0</v>
      </c>
      <c r="M3241" t="str">
        <f>""</f>
        <v/>
      </c>
    </row>
    <row r="3242" spans="1:13" ht="15.75">
      <c r="A3242">
        <v>2022</v>
      </c>
      <c r="B3242" s="777">
        <v>44888</v>
      </c>
      <c r="C3242" s="730">
        <v>0.42708333333333331</v>
      </c>
      <c r="D3242" s="777">
        <v>44888</v>
      </c>
      <c r="E3242" s="730">
        <v>0.58958333333333335</v>
      </c>
      <c r="F3242" s="558" t="s">
        <v>3903</v>
      </c>
      <c r="G3242" s="558" t="s">
        <v>124</v>
      </c>
      <c r="H3242" s="558" t="s">
        <v>2910</v>
      </c>
      <c r="I3242" s="679" t="s">
        <v>5075</v>
      </c>
      <c r="J3242" s="676">
        <v>0</v>
      </c>
      <c r="K3242" s="676">
        <v>0</v>
      </c>
      <c r="M3242" t="str">
        <f>""</f>
        <v/>
      </c>
    </row>
    <row r="3243" spans="1:13" ht="15.75">
      <c r="A3243">
        <v>2022</v>
      </c>
      <c r="B3243" s="777">
        <v>44888</v>
      </c>
      <c r="C3243" s="730">
        <v>0.53194444444444444</v>
      </c>
      <c r="D3243" s="777">
        <v>44888</v>
      </c>
      <c r="E3243" s="730">
        <v>0.55486111111111114</v>
      </c>
      <c r="F3243" s="558" t="s">
        <v>3307</v>
      </c>
      <c r="G3243" s="558" t="s">
        <v>3143</v>
      </c>
      <c r="H3243" s="558" t="s">
        <v>3387</v>
      </c>
      <c r="I3243" s="679" t="s">
        <v>2764</v>
      </c>
      <c r="J3243" s="676">
        <v>0</v>
      </c>
      <c r="K3243" s="676">
        <v>0</v>
      </c>
      <c r="M3243" t="str">
        <f>""</f>
        <v/>
      </c>
    </row>
    <row r="3244" spans="1:13" ht="15.75">
      <c r="A3244">
        <v>2022</v>
      </c>
      <c r="B3244" s="777">
        <v>44889</v>
      </c>
      <c r="C3244" s="730">
        <v>6.9444444444444448E-2</v>
      </c>
      <c r="D3244" s="777">
        <v>44889</v>
      </c>
      <c r="E3244" s="730">
        <v>7.2916666666666671E-2</v>
      </c>
      <c r="F3244" s="558" t="s">
        <v>4119</v>
      </c>
      <c r="G3244" s="558" t="s">
        <v>124</v>
      </c>
      <c r="H3244" s="558" t="s">
        <v>3356</v>
      </c>
      <c r="I3244" s="679" t="s">
        <v>100</v>
      </c>
      <c r="J3244" s="676">
        <v>0</v>
      </c>
      <c r="K3244" s="676">
        <v>0</v>
      </c>
      <c r="M3244" t="str">
        <f>""</f>
        <v/>
      </c>
    </row>
    <row r="3245" spans="1:13" ht="15.75">
      <c r="A3245">
        <v>2022</v>
      </c>
      <c r="B3245" s="777">
        <v>44890</v>
      </c>
      <c r="C3245" s="730">
        <v>0.20833333333333334</v>
      </c>
      <c r="D3245" s="777">
        <v>44890</v>
      </c>
      <c r="E3245" s="730">
        <v>0.33333333333333331</v>
      </c>
      <c r="F3245" s="558" t="s">
        <v>2951</v>
      </c>
      <c r="G3245" s="558" t="s">
        <v>124</v>
      </c>
      <c r="H3245" s="558" t="s">
        <v>3356</v>
      </c>
      <c r="I3245" s="679" t="s">
        <v>5075</v>
      </c>
      <c r="J3245" s="676">
        <v>0</v>
      </c>
      <c r="K3245" s="676">
        <v>0</v>
      </c>
      <c r="M3245" t="str">
        <f>""</f>
        <v/>
      </c>
    </row>
    <row r="3246" spans="1:13" ht="15.75">
      <c r="A3246">
        <v>2022</v>
      </c>
      <c r="B3246" s="777">
        <v>44895</v>
      </c>
      <c r="C3246" s="730">
        <v>0.10902777777777778</v>
      </c>
      <c r="D3246" s="777">
        <v>44895</v>
      </c>
      <c r="E3246" s="730">
        <v>0.25694444444444442</v>
      </c>
      <c r="F3246" s="558" t="s">
        <v>3719</v>
      </c>
      <c r="G3246" s="558" t="s">
        <v>61</v>
      </c>
      <c r="H3246" s="558" t="s">
        <v>3387</v>
      </c>
      <c r="I3246" s="679" t="s">
        <v>2764</v>
      </c>
      <c r="J3246" s="676">
        <v>0</v>
      </c>
      <c r="K3246" s="676">
        <v>0</v>
      </c>
      <c r="M3246" t="str">
        <f>""</f>
        <v/>
      </c>
    </row>
    <row r="3247" spans="1:13" ht="15.75">
      <c r="A3247">
        <v>2022</v>
      </c>
      <c r="B3247" s="777">
        <v>44900</v>
      </c>
      <c r="C3247" s="730">
        <v>0.76388888888888884</v>
      </c>
      <c r="D3247" s="777">
        <v>44900</v>
      </c>
      <c r="E3247" s="730">
        <v>0.78819444444444442</v>
      </c>
      <c r="F3247" s="558" t="s">
        <v>5081</v>
      </c>
      <c r="G3247" s="558" t="s">
        <v>3143</v>
      </c>
      <c r="H3247" s="558" t="s">
        <v>3402</v>
      </c>
      <c r="I3247" s="679" t="s">
        <v>2118</v>
      </c>
      <c r="J3247" s="676">
        <v>0</v>
      </c>
      <c r="K3247" s="676">
        <v>0</v>
      </c>
      <c r="M3247" t="str">
        <f>""</f>
        <v/>
      </c>
    </row>
    <row r="3248" spans="1:13" ht="15.75">
      <c r="A3248">
        <v>2022</v>
      </c>
      <c r="B3248" s="777">
        <v>44900</v>
      </c>
      <c r="C3248" s="730">
        <v>0.375</v>
      </c>
      <c r="D3248" s="777">
        <v>44900</v>
      </c>
      <c r="E3248" s="730">
        <v>0.54166666666666663</v>
      </c>
      <c r="F3248" s="558" t="s">
        <v>5181</v>
      </c>
      <c r="G3248" s="558" t="s">
        <v>61</v>
      </c>
      <c r="H3248" s="558" t="s">
        <v>3463</v>
      </c>
      <c r="I3248" s="679" t="s">
        <v>100</v>
      </c>
      <c r="J3248" s="676">
        <v>0</v>
      </c>
      <c r="K3248" s="676">
        <v>0</v>
      </c>
      <c r="M3248" t="str">
        <f>""</f>
        <v/>
      </c>
    </row>
    <row r="3249" spans="1:13" ht="15.75">
      <c r="A3249">
        <v>2022</v>
      </c>
      <c r="B3249" s="777">
        <v>44901</v>
      </c>
      <c r="C3249" s="730">
        <v>0.3923611111111111</v>
      </c>
      <c r="D3249" s="777" t="s">
        <v>5873</v>
      </c>
      <c r="E3249" s="730" t="s">
        <v>5873</v>
      </c>
      <c r="F3249" s="558" t="s">
        <v>3616</v>
      </c>
      <c r="G3249" s="558" t="s">
        <v>124</v>
      </c>
      <c r="H3249" s="558" t="s">
        <v>3402</v>
      </c>
      <c r="I3249" s="679" t="s">
        <v>2118</v>
      </c>
      <c r="J3249" s="676">
        <v>0</v>
      </c>
      <c r="K3249" s="676">
        <v>0</v>
      </c>
      <c r="M3249" t="str">
        <f>""</f>
        <v/>
      </c>
    </row>
    <row r="3250" spans="1:13" ht="15.75">
      <c r="A3250">
        <v>2022</v>
      </c>
      <c r="B3250" s="777">
        <v>44901</v>
      </c>
      <c r="C3250" s="730">
        <v>0.35138888888888886</v>
      </c>
      <c r="D3250" s="777">
        <v>44901</v>
      </c>
      <c r="E3250" s="730">
        <v>0.35416666666666669</v>
      </c>
      <c r="F3250" s="558" t="s">
        <v>5622</v>
      </c>
      <c r="G3250" s="558" t="s">
        <v>63</v>
      </c>
      <c r="H3250" s="558" t="s">
        <v>3402</v>
      </c>
      <c r="I3250" s="679" t="s">
        <v>100</v>
      </c>
      <c r="J3250" s="676">
        <v>0</v>
      </c>
      <c r="K3250" s="676">
        <v>0</v>
      </c>
      <c r="M3250" t="str">
        <f>""</f>
        <v/>
      </c>
    </row>
    <row r="3251" spans="1:13" ht="15.75">
      <c r="A3251">
        <v>2022</v>
      </c>
      <c r="B3251" s="777">
        <v>44901</v>
      </c>
      <c r="C3251" s="730">
        <v>0</v>
      </c>
      <c r="D3251" s="777">
        <v>44901</v>
      </c>
      <c r="E3251" s="730">
        <v>6.9444444444444447E-4</v>
      </c>
      <c r="F3251" s="558" t="s">
        <v>5623</v>
      </c>
      <c r="G3251" s="558" t="s">
        <v>63</v>
      </c>
      <c r="H3251" s="558" t="s">
        <v>3402</v>
      </c>
      <c r="I3251" s="679" t="s">
        <v>2118</v>
      </c>
      <c r="J3251" s="676">
        <v>0</v>
      </c>
      <c r="K3251" s="676">
        <v>0</v>
      </c>
      <c r="M3251" t="str">
        <f>""</f>
        <v/>
      </c>
    </row>
    <row r="3252" spans="1:13" ht="15.75">
      <c r="A3252">
        <v>2022</v>
      </c>
      <c r="B3252" s="777">
        <v>44901</v>
      </c>
      <c r="C3252" s="730">
        <v>0</v>
      </c>
      <c r="D3252" s="777">
        <v>44901</v>
      </c>
      <c r="E3252" s="730">
        <v>6.9444444444444447E-4</v>
      </c>
      <c r="F3252" s="558" t="s">
        <v>5624</v>
      </c>
      <c r="G3252" s="558" t="s">
        <v>63</v>
      </c>
      <c r="H3252" s="558" t="s">
        <v>3402</v>
      </c>
      <c r="I3252" s="679" t="s">
        <v>2118</v>
      </c>
      <c r="J3252" s="676">
        <v>0</v>
      </c>
      <c r="K3252" s="676">
        <v>0</v>
      </c>
      <c r="M3252" t="str">
        <f>""</f>
        <v/>
      </c>
    </row>
    <row r="3253" spans="1:13" ht="15.75">
      <c r="A3253">
        <v>2022</v>
      </c>
      <c r="B3253" s="777">
        <v>44902</v>
      </c>
      <c r="C3253" s="730">
        <v>0.56597222222222221</v>
      </c>
      <c r="D3253" s="777">
        <v>44902</v>
      </c>
      <c r="E3253" s="730">
        <v>0.56944444444444442</v>
      </c>
      <c r="F3253" s="558" t="s">
        <v>4928</v>
      </c>
      <c r="G3253" s="558" t="s">
        <v>5174</v>
      </c>
      <c r="H3253" s="558" t="s">
        <v>3402</v>
      </c>
      <c r="I3253" s="679" t="s">
        <v>2118</v>
      </c>
      <c r="J3253" s="676">
        <v>0</v>
      </c>
      <c r="K3253" s="676">
        <v>0</v>
      </c>
      <c r="M3253" t="str">
        <f>""</f>
        <v/>
      </c>
    </row>
    <row r="3254" spans="1:13" ht="15.75">
      <c r="A3254">
        <v>2022</v>
      </c>
      <c r="B3254" s="777">
        <v>44902</v>
      </c>
      <c r="C3254" s="730">
        <v>0.6958333333333333</v>
      </c>
      <c r="D3254" s="777">
        <v>44902</v>
      </c>
      <c r="E3254" s="730">
        <v>0.875</v>
      </c>
      <c r="F3254" s="558" t="s">
        <v>2832</v>
      </c>
      <c r="G3254" s="558" t="s">
        <v>63</v>
      </c>
      <c r="H3254" s="558" t="s">
        <v>3402</v>
      </c>
      <c r="I3254" s="679" t="s">
        <v>2118</v>
      </c>
      <c r="J3254" s="676">
        <v>0</v>
      </c>
      <c r="K3254" s="676">
        <v>0</v>
      </c>
      <c r="M3254" t="str">
        <f>""</f>
        <v/>
      </c>
    </row>
    <row r="3255" spans="1:13" ht="15.75">
      <c r="A3255">
        <v>2022</v>
      </c>
      <c r="B3255" s="777">
        <v>44903</v>
      </c>
      <c r="C3255" s="730">
        <v>0.52500000000000002</v>
      </c>
      <c r="D3255" s="777" t="s">
        <v>5873</v>
      </c>
      <c r="E3255" s="730" t="s">
        <v>5873</v>
      </c>
      <c r="F3255" s="558" t="s">
        <v>5629</v>
      </c>
      <c r="G3255" s="558" t="s">
        <v>3143</v>
      </c>
      <c r="H3255" s="558" t="s">
        <v>3402</v>
      </c>
      <c r="I3255" s="679" t="s">
        <v>2118</v>
      </c>
      <c r="J3255" s="676">
        <v>0</v>
      </c>
      <c r="K3255" s="676">
        <v>0</v>
      </c>
      <c r="M3255" t="str">
        <f>""</f>
        <v/>
      </c>
    </row>
    <row r="3256" spans="1:13" ht="15.75">
      <c r="A3256">
        <v>2022</v>
      </c>
      <c r="B3256" s="777">
        <v>44905</v>
      </c>
      <c r="C3256" s="730">
        <v>5.1388888888888887E-2</v>
      </c>
      <c r="D3256" s="777">
        <v>44905</v>
      </c>
      <c r="E3256" s="730">
        <v>8.4722222222222227E-2</v>
      </c>
      <c r="F3256" s="558" t="s">
        <v>5143</v>
      </c>
      <c r="G3256" s="558" t="s">
        <v>61</v>
      </c>
      <c r="H3256" s="558" t="s">
        <v>3447</v>
      </c>
      <c r="I3256" s="679" t="s">
        <v>2483</v>
      </c>
      <c r="J3256" s="676">
        <v>0</v>
      </c>
      <c r="K3256" s="676">
        <v>0</v>
      </c>
      <c r="M3256" t="str">
        <f>""</f>
        <v/>
      </c>
    </row>
    <row r="3257" spans="1:13" ht="15.75">
      <c r="A3257">
        <v>2022</v>
      </c>
      <c r="B3257" s="777">
        <v>44905</v>
      </c>
      <c r="C3257" s="730">
        <v>0.45833333333333331</v>
      </c>
      <c r="D3257" s="777">
        <v>44907</v>
      </c>
      <c r="E3257" s="730">
        <v>0.25</v>
      </c>
      <c r="F3257" s="558" t="s">
        <v>5632</v>
      </c>
      <c r="G3257" s="558" t="s">
        <v>63</v>
      </c>
      <c r="H3257" s="558" t="s">
        <v>3402</v>
      </c>
      <c r="I3257" s="679" t="s">
        <v>2118</v>
      </c>
      <c r="J3257" s="676">
        <v>0</v>
      </c>
      <c r="K3257" s="676">
        <v>0</v>
      </c>
      <c r="M3257" t="str">
        <f>""</f>
        <v/>
      </c>
    </row>
    <row r="3258" spans="1:13" ht="15.75">
      <c r="A3258">
        <v>2022</v>
      </c>
      <c r="B3258" s="777">
        <v>44909</v>
      </c>
      <c r="C3258" s="730">
        <v>0.44583333333333336</v>
      </c>
      <c r="D3258" s="777">
        <v>44909</v>
      </c>
      <c r="E3258" s="730">
        <v>0.50347222222222221</v>
      </c>
      <c r="F3258" s="558" t="s">
        <v>3470</v>
      </c>
      <c r="G3258" s="558" t="s">
        <v>63</v>
      </c>
      <c r="H3258" s="558" t="s">
        <v>3387</v>
      </c>
      <c r="I3258" s="679" t="s">
        <v>2764</v>
      </c>
      <c r="J3258" s="676">
        <v>0</v>
      </c>
      <c r="K3258" s="676">
        <v>0</v>
      </c>
      <c r="M3258" t="str">
        <f>""</f>
        <v/>
      </c>
    </row>
    <row r="3259" spans="1:13" ht="15.75">
      <c r="A3259">
        <v>2022</v>
      </c>
      <c r="B3259" s="777">
        <v>44909</v>
      </c>
      <c r="C3259" s="730">
        <v>0.47430555555555554</v>
      </c>
      <c r="D3259" s="777" t="s">
        <v>5873</v>
      </c>
      <c r="E3259" s="730" t="s">
        <v>5873</v>
      </c>
      <c r="F3259" s="558" t="s">
        <v>3561</v>
      </c>
      <c r="G3259" s="558" t="s">
        <v>3143</v>
      </c>
      <c r="H3259" s="558" t="s">
        <v>3356</v>
      </c>
      <c r="I3259" s="679" t="s">
        <v>100</v>
      </c>
      <c r="J3259" s="676">
        <v>0</v>
      </c>
      <c r="K3259" s="676">
        <v>0</v>
      </c>
      <c r="M3259" t="str">
        <f>""</f>
        <v/>
      </c>
    </row>
    <row r="3260" spans="1:13" ht="15.75">
      <c r="A3260">
        <v>2022</v>
      </c>
      <c r="B3260" s="777">
        <v>44910</v>
      </c>
      <c r="C3260" s="730">
        <v>0.22916666666666666</v>
      </c>
      <c r="D3260" s="777">
        <v>44910</v>
      </c>
      <c r="E3260" s="730">
        <v>0.2298611111111111</v>
      </c>
      <c r="F3260" s="558" t="s">
        <v>2831</v>
      </c>
      <c r="G3260" s="558" t="s">
        <v>124</v>
      </c>
      <c r="H3260" s="558" t="s">
        <v>3356</v>
      </c>
      <c r="I3260" s="679" t="s">
        <v>100</v>
      </c>
      <c r="J3260" s="676">
        <v>0</v>
      </c>
      <c r="K3260" s="676">
        <v>0</v>
      </c>
      <c r="M3260" t="str">
        <f>""</f>
        <v/>
      </c>
    </row>
    <row r="3261" spans="1:13" ht="15.75">
      <c r="A3261">
        <v>2022</v>
      </c>
      <c r="B3261" s="777">
        <v>44912</v>
      </c>
      <c r="C3261" s="730">
        <v>0.82291666666666663</v>
      </c>
      <c r="D3261" s="777">
        <v>44912</v>
      </c>
      <c r="E3261" s="730">
        <v>0.82361111111111107</v>
      </c>
      <c r="F3261" s="558" t="s">
        <v>5644</v>
      </c>
      <c r="G3261" s="558" t="s">
        <v>1352</v>
      </c>
      <c r="H3261" s="558" t="s">
        <v>3402</v>
      </c>
      <c r="I3261" s="679" t="s">
        <v>2118</v>
      </c>
      <c r="J3261" s="676">
        <v>0</v>
      </c>
      <c r="K3261" s="676">
        <v>0</v>
      </c>
      <c r="M3261" t="str">
        <f>""</f>
        <v/>
      </c>
    </row>
    <row r="3262" spans="1:13" ht="15.75">
      <c r="A3262">
        <v>2022</v>
      </c>
      <c r="B3262" s="777">
        <v>44917</v>
      </c>
      <c r="C3262" s="730">
        <v>0.87777777777777777</v>
      </c>
      <c r="D3262" s="777">
        <v>44917</v>
      </c>
      <c r="E3262" s="730">
        <v>0.90416666666666667</v>
      </c>
      <c r="F3262" s="558" t="s">
        <v>5089</v>
      </c>
      <c r="G3262" s="558" t="s">
        <v>1352</v>
      </c>
      <c r="H3262" s="558" t="s">
        <v>3447</v>
      </c>
      <c r="I3262" s="679" t="s">
        <v>2764</v>
      </c>
      <c r="J3262" s="676">
        <v>0</v>
      </c>
      <c r="K3262" s="676">
        <v>0</v>
      </c>
      <c r="M3262" t="str">
        <f>""</f>
        <v/>
      </c>
    </row>
    <row r="3263" spans="1:13" ht="15.75">
      <c r="A3263">
        <v>2022</v>
      </c>
      <c r="B3263" s="777">
        <v>44918</v>
      </c>
      <c r="C3263" s="730">
        <v>0.25277777777777777</v>
      </c>
      <c r="D3263" s="777">
        <v>44918</v>
      </c>
      <c r="E3263" s="730">
        <v>0.27777777777777779</v>
      </c>
      <c r="F3263" s="558" t="s">
        <v>4185</v>
      </c>
      <c r="G3263" s="558" t="s">
        <v>1352</v>
      </c>
      <c r="H3263" s="558" t="s">
        <v>3402</v>
      </c>
      <c r="I3263" s="679" t="s">
        <v>2118</v>
      </c>
      <c r="J3263" s="676">
        <v>0</v>
      </c>
      <c r="K3263" s="676">
        <v>0</v>
      </c>
      <c r="M3263" t="str">
        <f>""</f>
        <v/>
      </c>
    </row>
    <row r="3264" spans="1:13" ht="15.75">
      <c r="A3264">
        <v>2022</v>
      </c>
      <c r="B3264" s="777">
        <v>44918</v>
      </c>
      <c r="C3264" s="730">
        <v>0.30486111111111114</v>
      </c>
      <c r="D3264" s="777">
        <v>44918</v>
      </c>
      <c r="E3264" s="730">
        <v>0.32013888888888886</v>
      </c>
      <c r="F3264" s="558" t="s">
        <v>4726</v>
      </c>
      <c r="G3264" s="558" t="s">
        <v>63</v>
      </c>
      <c r="H3264" s="558" t="s">
        <v>3478</v>
      </c>
      <c r="I3264" s="679" t="s">
        <v>22</v>
      </c>
      <c r="J3264" s="676">
        <v>0</v>
      </c>
      <c r="K3264" s="676">
        <v>0</v>
      </c>
      <c r="M3264" t="str">
        <f>""</f>
        <v/>
      </c>
    </row>
    <row r="3265" spans="1:13" ht="15.75">
      <c r="A3265">
        <v>2022</v>
      </c>
      <c r="B3265" s="777">
        <v>44922</v>
      </c>
      <c r="C3265" s="730">
        <v>0.33333333333333331</v>
      </c>
      <c r="D3265" s="777">
        <v>44922</v>
      </c>
      <c r="E3265" s="730">
        <v>0.35416666666666669</v>
      </c>
      <c r="F3265" s="558" t="s">
        <v>4709</v>
      </c>
      <c r="G3265" s="558" t="s">
        <v>124</v>
      </c>
      <c r="H3265" s="558" t="s">
        <v>3356</v>
      </c>
      <c r="I3265" s="679" t="s">
        <v>100</v>
      </c>
      <c r="J3265" s="676">
        <v>0</v>
      </c>
      <c r="K3265" s="676">
        <v>0</v>
      </c>
      <c r="M3265" t="str">
        <f>""</f>
        <v/>
      </c>
    </row>
    <row r="3266" spans="1:13" ht="15.75">
      <c r="A3266">
        <v>2022</v>
      </c>
      <c r="B3266" s="777">
        <v>44922</v>
      </c>
      <c r="C3266" s="730">
        <v>0.5625</v>
      </c>
      <c r="D3266" s="777">
        <v>44922</v>
      </c>
      <c r="E3266" s="730">
        <v>0.88611111111111107</v>
      </c>
      <c r="F3266" s="558" t="s">
        <v>4355</v>
      </c>
      <c r="G3266" s="558" t="s">
        <v>124</v>
      </c>
      <c r="H3266" s="558" t="s">
        <v>3356</v>
      </c>
      <c r="I3266" s="679" t="s">
        <v>100</v>
      </c>
      <c r="J3266" s="676">
        <v>0</v>
      </c>
      <c r="K3266" s="676">
        <v>0</v>
      </c>
      <c r="M3266" t="str">
        <f>""</f>
        <v/>
      </c>
    </row>
    <row r="3267" spans="1:13" ht="15.75">
      <c r="A3267">
        <v>2022</v>
      </c>
      <c r="B3267" s="777">
        <v>44922</v>
      </c>
      <c r="C3267" s="730">
        <v>0.30555555555555558</v>
      </c>
      <c r="D3267" s="777">
        <v>44922</v>
      </c>
      <c r="E3267" s="730">
        <v>0.47361111111111109</v>
      </c>
      <c r="F3267" s="558" t="s">
        <v>3616</v>
      </c>
      <c r="G3267" s="558" t="s">
        <v>124</v>
      </c>
      <c r="H3267" s="558" t="s">
        <v>3463</v>
      </c>
      <c r="I3267" s="679" t="s">
        <v>100</v>
      </c>
      <c r="J3267" s="676">
        <v>0</v>
      </c>
      <c r="K3267" s="676">
        <v>0</v>
      </c>
      <c r="M3267" t="str">
        <f>""</f>
        <v/>
      </c>
    </row>
    <row r="3268" spans="1:13" ht="15.75">
      <c r="A3268">
        <v>2022</v>
      </c>
      <c r="B3268" s="777">
        <v>44924</v>
      </c>
      <c r="C3268" s="730">
        <v>0.55138888888888893</v>
      </c>
      <c r="D3268" s="777">
        <v>44924</v>
      </c>
      <c r="E3268" s="730">
        <v>0.57986111111111116</v>
      </c>
      <c r="F3268" s="558" t="s">
        <v>2801</v>
      </c>
      <c r="G3268" s="558" t="s">
        <v>124</v>
      </c>
      <c r="H3268" s="558" t="s">
        <v>3356</v>
      </c>
      <c r="I3268" s="679" t="s">
        <v>100</v>
      </c>
      <c r="J3268" s="676">
        <v>0</v>
      </c>
      <c r="K3268" s="676">
        <v>0</v>
      </c>
      <c r="M3268" t="str">
        <f>""</f>
        <v/>
      </c>
    </row>
    <row r="3269" spans="1:13" ht="15.75">
      <c r="A3269">
        <v>2022</v>
      </c>
      <c r="B3269" s="777">
        <v>44925</v>
      </c>
      <c r="C3269" s="730">
        <v>0.22569444444444445</v>
      </c>
      <c r="D3269" s="777">
        <v>44925</v>
      </c>
      <c r="E3269" s="730">
        <v>0.59513888888888888</v>
      </c>
      <c r="F3269" s="558" t="s">
        <v>5671</v>
      </c>
      <c r="G3269" s="558" t="s">
        <v>124</v>
      </c>
      <c r="H3269" s="558" t="s">
        <v>3411</v>
      </c>
      <c r="I3269" s="679" t="s">
        <v>2483</v>
      </c>
      <c r="J3269" s="676">
        <v>0</v>
      </c>
      <c r="K3269" s="676">
        <v>0</v>
      </c>
      <c r="M3269" t="str">
        <f>""</f>
        <v/>
      </c>
    </row>
    <row r="3270" spans="1:13" ht="15.75">
      <c r="A3270">
        <v>2023</v>
      </c>
      <c r="B3270" s="777">
        <v>44946</v>
      </c>
      <c r="C3270" s="730">
        <v>0.44791666666666669</v>
      </c>
      <c r="D3270" s="777" t="s">
        <v>5873</v>
      </c>
      <c r="E3270" s="730" t="s">
        <v>5873</v>
      </c>
      <c r="F3270" s="558" t="s">
        <v>5703</v>
      </c>
      <c r="G3270" s="558" t="s">
        <v>3143</v>
      </c>
      <c r="H3270" s="558" t="s">
        <v>3356</v>
      </c>
      <c r="I3270" s="679" t="s">
        <v>100</v>
      </c>
      <c r="J3270" s="676" t="s">
        <v>5873</v>
      </c>
      <c r="K3270" s="676">
        <v>0</v>
      </c>
      <c r="M3270" t="str">
        <f>""</f>
        <v/>
      </c>
    </row>
    <row r="3271" spans="1:13" ht="15.75">
      <c r="A3271">
        <v>2023</v>
      </c>
      <c r="B3271" s="777">
        <v>45019</v>
      </c>
      <c r="C3271" s="730">
        <v>0.78472222222222221</v>
      </c>
      <c r="D3271" s="777">
        <v>45019</v>
      </c>
      <c r="E3271" s="730">
        <v>0.80972222222222223</v>
      </c>
      <c r="F3271" s="558" t="s">
        <v>5826</v>
      </c>
      <c r="G3271" s="558" t="s">
        <v>5309</v>
      </c>
      <c r="H3271" s="558" t="s">
        <v>3387</v>
      </c>
      <c r="I3271" s="679" t="s">
        <v>2483</v>
      </c>
      <c r="J3271" s="676" t="s">
        <v>5873</v>
      </c>
      <c r="K3271" s="676">
        <v>0</v>
      </c>
      <c r="M3271" t="str">
        <f>""</f>
        <v/>
      </c>
    </row>
    <row r="3272" spans="1:13" ht="15.75">
      <c r="A3272">
        <v>2023</v>
      </c>
      <c r="B3272" s="777">
        <v>45175</v>
      </c>
      <c r="C3272" s="532">
        <v>0</v>
      </c>
      <c r="D3272" s="777" t="s">
        <v>5873</v>
      </c>
      <c r="E3272" s="782" t="s">
        <v>5873</v>
      </c>
      <c r="F3272" t="s">
        <v>5935</v>
      </c>
      <c r="G3272" t="s">
        <v>3143</v>
      </c>
      <c r="H3272" t="s">
        <v>3356</v>
      </c>
      <c r="I3272" s="677" t="s">
        <v>5936</v>
      </c>
      <c r="J3272" s="785" t="s">
        <v>5873</v>
      </c>
      <c r="K3272" s="783">
        <v>0</v>
      </c>
      <c r="M3272" t="str">
        <f>""</f>
        <v/>
      </c>
    </row>
    <row r="3273" spans="1:13" ht="15.75">
      <c r="A3273">
        <v>2023</v>
      </c>
      <c r="B3273" s="777">
        <v>45015</v>
      </c>
      <c r="C3273" s="730">
        <v>0.20833333333333334</v>
      </c>
      <c r="D3273" s="777">
        <v>45015</v>
      </c>
      <c r="E3273" s="730">
        <v>0.59722222222222221</v>
      </c>
      <c r="F3273" s="558" t="s">
        <v>5816</v>
      </c>
      <c r="G3273" s="558" t="s">
        <v>3143</v>
      </c>
      <c r="H3273" s="558" t="s">
        <v>3356</v>
      </c>
      <c r="I3273" s="679" t="s">
        <v>100</v>
      </c>
      <c r="J3273" s="676">
        <v>1711</v>
      </c>
      <c r="K3273" s="676">
        <v>0</v>
      </c>
      <c r="M3273" t="str">
        <f>""</f>
        <v/>
      </c>
    </row>
    <row r="3274" spans="1:13" ht="15.75">
      <c r="A3274">
        <v>2023</v>
      </c>
      <c r="B3274" s="777">
        <v>45007</v>
      </c>
      <c r="C3274" s="730">
        <v>0.23958333333333334</v>
      </c>
      <c r="D3274" s="777">
        <v>45007</v>
      </c>
      <c r="E3274" s="730">
        <v>0.24027777777777778</v>
      </c>
      <c r="F3274" s="558" t="s">
        <v>5798</v>
      </c>
      <c r="G3274" s="558" t="s">
        <v>3143</v>
      </c>
      <c r="H3274" s="558" t="s">
        <v>3402</v>
      </c>
      <c r="I3274" s="679" t="s">
        <v>2118</v>
      </c>
      <c r="J3274" s="676">
        <v>621</v>
      </c>
      <c r="K3274" s="676">
        <v>0</v>
      </c>
      <c r="M3274" t="str">
        <f>""</f>
        <v/>
      </c>
    </row>
    <row r="3275" spans="1:13" ht="15.75">
      <c r="A3275">
        <v>2023</v>
      </c>
      <c r="B3275" s="777">
        <v>44928</v>
      </c>
      <c r="C3275" s="730">
        <v>0.1361111111111111</v>
      </c>
      <c r="D3275" s="777">
        <v>44928</v>
      </c>
      <c r="E3275" s="730">
        <v>0.69861111111111107</v>
      </c>
      <c r="F3275" s="558" t="s">
        <v>4796</v>
      </c>
      <c r="G3275" s="558" t="s">
        <v>124</v>
      </c>
      <c r="H3275" s="558" t="s">
        <v>5137</v>
      </c>
      <c r="I3275" s="679" t="s">
        <v>100</v>
      </c>
      <c r="J3275" s="676">
        <v>432</v>
      </c>
      <c r="K3275" s="676">
        <v>0</v>
      </c>
      <c r="M3275" t="str">
        <f>""</f>
        <v/>
      </c>
    </row>
    <row r="3276" spans="1:13" ht="15.75">
      <c r="A3276">
        <v>2023</v>
      </c>
      <c r="B3276" s="777">
        <v>45225</v>
      </c>
      <c r="C3276" s="532">
        <v>0.52847222222222223</v>
      </c>
      <c r="D3276" s="678">
        <v>45225</v>
      </c>
      <c r="E3276" s="532">
        <v>0.58402777777777781</v>
      </c>
      <c r="F3276" t="s">
        <v>5973</v>
      </c>
      <c r="G3276" t="s">
        <v>63</v>
      </c>
      <c r="H3276" t="s">
        <v>3411</v>
      </c>
      <c r="I3276" s="677" t="s">
        <v>2798</v>
      </c>
      <c r="J3276" s="783">
        <v>140</v>
      </c>
      <c r="K3276" s="783">
        <v>0</v>
      </c>
      <c r="M3276" t="str">
        <f>""</f>
        <v/>
      </c>
    </row>
    <row r="3277" spans="1:13" ht="15.75">
      <c r="A3277">
        <v>2023</v>
      </c>
      <c r="B3277" s="777">
        <v>44985</v>
      </c>
      <c r="C3277" s="730">
        <v>0.33333333333333331</v>
      </c>
      <c r="D3277" s="777">
        <v>44985</v>
      </c>
      <c r="E3277" s="730">
        <v>0.35416666666666669</v>
      </c>
      <c r="F3277" s="558" t="s">
        <v>5762</v>
      </c>
      <c r="G3277" s="558" t="s">
        <v>674</v>
      </c>
      <c r="H3277" s="558" t="s">
        <v>2910</v>
      </c>
      <c r="I3277" s="679" t="s">
        <v>100</v>
      </c>
      <c r="J3277" s="676">
        <v>14</v>
      </c>
      <c r="K3277" s="676">
        <v>0</v>
      </c>
      <c r="M3277" t="str">
        <f>""</f>
        <v/>
      </c>
    </row>
    <row r="3278" spans="1:13" ht="15.75">
      <c r="A3278">
        <v>2023</v>
      </c>
      <c r="B3278" s="777">
        <v>44991</v>
      </c>
      <c r="C3278" s="730">
        <v>0.6791666666666667</v>
      </c>
      <c r="D3278" s="777">
        <v>44991</v>
      </c>
      <c r="E3278" s="730">
        <v>0.72916666666666663</v>
      </c>
      <c r="F3278" s="558" t="s">
        <v>5783</v>
      </c>
      <c r="G3278" s="558" t="s">
        <v>63</v>
      </c>
      <c r="H3278" s="558" t="s">
        <v>3356</v>
      </c>
      <c r="I3278" s="679" t="s">
        <v>5075</v>
      </c>
      <c r="J3278" s="676">
        <v>1</v>
      </c>
      <c r="K3278" s="676">
        <v>0</v>
      </c>
      <c r="M3278" t="str">
        <f>""</f>
        <v/>
      </c>
    </row>
    <row r="3279" spans="1:13" ht="15.75">
      <c r="A3279">
        <v>2023</v>
      </c>
      <c r="B3279" s="777">
        <v>44927</v>
      </c>
      <c r="C3279" s="730">
        <v>4.1666666666666666E-3</v>
      </c>
      <c r="D3279" s="777">
        <v>44927</v>
      </c>
      <c r="E3279" s="730">
        <v>0.16458333333333333</v>
      </c>
      <c r="F3279" s="558" t="s">
        <v>2951</v>
      </c>
      <c r="G3279" s="558" t="s">
        <v>124</v>
      </c>
      <c r="H3279" s="558" t="s">
        <v>3356</v>
      </c>
      <c r="I3279" s="679" t="s">
        <v>100</v>
      </c>
      <c r="J3279" s="676">
        <v>0</v>
      </c>
      <c r="K3279" s="676">
        <v>0</v>
      </c>
      <c r="M3279" t="str">
        <f>""</f>
        <v/>
      </c>
    </row>
    <row r="3280" spans="1:13" ht="15.75">
      <c r="A3280">
        <v>2023</v>
      </c>
      <c r="B3280" s="777">
        <v>44927</v>
      </c>
      <c r="C3280" s="730">
        <v>0.41319444444444442</v>
      </c>
      <c r="D3280" s="777">
        <v>44927</v>
      </c>
      <c r="E3280" s="730">
        <v>0.4375</v>
      </c>
      <c r="F3280" s="558" t="s">
        <v>3616</v>
      </c>
      <c r="G3280" s="558" t="s">
        <v>124</v>
      </c>
      <c r="H3280" s="558" t="s">
        <v>3387</v>
      </c>
      <c r="I3280" s="679" t="s">
        <v>2764</v>
      </c>
      <c r="J3280" s="676">
        <v>0</v>
      </c>
      <c r="K3280" s="676">
        <v>0</v>
      </c>
      <c r="M3280" t="str">
        <f>""</f>
        <v/>
      </c>
    </row>
    <row r="3281" spans="1:13" ht="15.75">
      <c r="A3281">
        <v>2023</v>
      </c>
      <c r="B3281" s="777">
        <v>44928</v>
      </c>
      <c r="C3281" s="730">
        <v>0.67500000000000004</v>
      </c>
      <c r="D3281" s="777">
        <v>44929</v>
      </c>
      <c r="E3281" s="730">
        <v>0.39583333333333331</v>
      </c>
      <c r="F3281" s="558" t="s">
        <v>4054</v>
      </c>
      <c r="G3281" s="558" t="s">
        <v>1352</v>
      </c>
      <c r="H3281" s="558" t="s">
        <v>3356</v>
      </c>
      <c r="I3281" s="679" t="s">
        <v>100</v>
      </c>
      <c r="J3281" s="676">
        <v>0</v>
      </c>
      <c r="K3281" s="676">
        <v>0</v>
      </c>
      <c r="M3281" t="str">
        <f>""</f>
        <v/>
      </c>
    </row>
    <row r="3282" spans="1:13" ht="15.75">
      <c r="A3282">
        <v>2023</v>
      </c>
      <c r="B3282" s="777">
        <v>44929</v>
      </c>
      <c r="C3282" s="730">
        <v>0.48958333333333331</v>
      </c>
      <c r="D3282" s="777">
        <v>44929</v>
      </c>
      <c r="E3282" s="730">
        <v>0.5</v>
      </c>
      <c r="F3282" s="558" t="s">
        <v>4489</v>
      </c>
      <c r="G3282" s="558" t="s">
        <v>3143</v>
      </c>
      <c r="H3282" s="558" t="s">
        <v>3356</v>
      </c>
      <c r="I3282" s="679" t="s">
        <v>100</v>
      </c>
      <c r="J3282" s="676">
        <v>0</v>
      </c>
      <c r="K3282" s="676">
        <v>0</v>
      </c>
      <c r="M3282" t="str">
        <f>""</f>
        <v/>
      </c>
    </row>
    <row r="3283" spans="1:13" ht="15.75">
      <c r="A3283">
        <v>2023</v>
      </c>
      <c r="B3283" s="777">
        <v>44931</v>
      </c>
      <c r="C3283" s="730">
        <v>0.3125</v>
      </c>
      <c r="D3283" s="777">
        <v>44931</v>
      </c>
      <c r="E3283" s="730">
        <v>0.39583333333333331</v>
      </c>
      <c r="F3283" s="558" t="s">
        <v>4709</v>
      </c>
      <c r="G3283" s="558" t="s">
        <v>124</v>
      </c>
      <c r="H3283" s="558" t="s">
        <v>3402</v>
      </c>
      <c r="I3283" s="679" t="s">
        <v>2118</v>
      </c>
      <c r="J3283" s="676">
        <v>0</v>
      </c>
      <c r="K3283" s="676">
        <v>0</v>
      </c>
      <c r="M3283" t="str">
        <f>""</f>
        <v/>
      </c>
    </row>
    <row r="3284" spans="1:13" ht="15.75">
      <c r="A3284">
        <v>2023</v>
      </c>
      <c r="B3284" s="777">
        <v>44934</v>
      </c>
      <c r="C3284" s="730">
        <v>0.77777777777777779</v>
      </c>
      <c r="D3284" s="777">
        <v>44934</v>
      </c>
      <c r="E3284" s="730">
        <v>0.78749999999999998</v>
      </c>
      <c r="F3284" s="558" t="s">
        <v>5694</v>
      </c>
      <c r="G3284" s="558" t="s">
        <v>1352</v>
      </c>
      <c r="H3284" s="558" t="s">
        <v>3356</v>
      </c>
      <c r="I3284" s="679" t="s">
        <v>100</v>
      </c>
      <c r="J3284" s="676">
        <v>0</v>
      </c>
      <c r="K3284" s="676">
        <v>0</v>
      </c>
      <c r="M3284" t="str">
        <f>""</f>
        <v/>
      </c>
    </row>
    <row r="3285" spans="1:13" ht="15.75">
      <c r="A3285">
        <v>2023</v>
      </c>
      <c r="B3285" s="777">
        <v>44938</v>
      </c>
      <c r="C3285" s="730">
        <v>0.41666666666666669</v>
      </c>
      <c r="D3285" s="777" t="s">
        <v>5873</v>
      </c>
      <c r="E3285" s="730" t="s">
        <v>5873</v>
      </c>
      <c r="F3285" s="558" t="s">
        <v>3616</v>
      </c>
      <c r="G3285" s="558" t="s">
        <v>124</v>
      </c>
      <c r="H3285" s="558" t="s">
        <v>3402</v>
      </c>
      <c r="I3285" s="679" t="s">
        <v>2118</v>
      </c>
      <c r="J3285" s="676">
        <v>0</v>
      </c>
      <c r="K3285" s="676">
        <v>0</v>
      </c>
      <c r="M3285" t="str">
        <f>""</f>
        <v/>
      </c>
    </row>
    <row r="3286" spans="1:13" ht="15.75">
      <c r="A3286">
        <v>2023</v>
      </c>
      <c r="B3286" s="777">
        <v>44939</v>
      </c>
      <c r="C3286" s="730">
        <v>0</v>
      </c>
      <c r="D3286" s="777">
        <v>44939</v>
      </c>
      <c r="E3286" s="730">
        <v>4.1666666666666664E-2</v>
      </c>
      <c r="F3286" s="558" t="s">
        <v>5516</v>
      </c>
      <c r="G3286" s="558" t="s">
        <v>1352</v>
      </c>
      <c r="H3286" s="558" t="s">
        <v>3402</v>
      </c>
      <c r="I3286" s="679" t="s">
        <v>2118</v>
      </c>
      <c r="J3286" s="676">
        <v>0</v>
      </c>
      <c r="K3286" s="676">
        <v>0</v>
      </c>
      <c r="M3286" t="str">
        <f>""</f>
        <v/>
      </c>
    </row>
    <row r="3287" spans="1:13" ht="15.75">
      <c r="A3287">
        <v>2023</v>
      </c>
      <c r="B3287" s="777">
        <v>44950</v>
      </c>
      <c r="C3287" s="730">
        <v>0.58333333333333337</v>
      </c>
      <c r="D3287" s="777">
        <v>44950</v>
      </c>
      <c r="E3287" s="730">
        <v>0.625</v>
      </c>
      <c r="F3287" s="558" t="s">
        <v>2866</v>
      </c>
      <c r="G3287" s="558" t="s">
        <v>63</v>
      </c>
      <c r="H3287" s="558" t="s">
        <v>3356</v>
      </c>
      <c r="I3287" s="679" t="s">
        <v>100</v>
      </c>
      <c r="J3287" s="676">
        <v>0</v>
      </c>
      <c r="K3287" s="676">
        <v>0</v>
      </c>
      <c r="M3287" t="str">
        <f>""</f>
        <v/>
      </c>
    </row>
    <row r="3288" spans="1:13" ht="15.75">
      <c r="A3288">
        <v>2023</v>
      </c>
      <c r="B3288" s="777">
        <v>44950</v>
      </c>
      <c r="C3288" s="730">
        <v>0.71527777777777779</v>
      </c>
      <c r="D3288" s="777">
        <v>44950</v>
      </c>
      <c r="E3288" s="730">
        <v>0.72222222222222221</v>
      </c>
      <c r="F3288" s="558" t="s">
        <v>5547</v>
      </c>
      <c r="G3288" s="558" t="s">
        <v>61</v>
      </c>
      <c r="H3288" s="558" t="s">
        <v>3402</v>
      </c>
      <c r="I3288" s="679" t="s">
        <v>2118</v>
      </c>
      <c r="J3288" s="676">
        <v>0</v>
      </c>
      <c r="K3288" s="676">
        <v>0</v>
      </c>
      <c r="M3288" t="str">
        <f>""</f>
        <v/>
      </c>
    </row>
    <row r="3289" spans="1:13" ht="15.75">
      <c r="A3289">
        <v>2023</v>
      </c>
      <c r="B3289" s="777">
        <v>44951</v>
      </c>
      <c r="C3289" s="730">
        <v>0.9375</v>
      </c>
      <c r="D3289" s="777">
        <v>44952</v>
      </c>
      <c r="E3289" s="730">
        <v>6.9444444444444447E-4</v>
      </c>
      <c r="F3289" s="558" t="s">
        <v>5469</v>
      </c>
      <c r="G3289" s="558" t="s">
        <v>124</v>
      </c>
      <c r="H3289" s="558" t="s">
        <v>2910</v>
      </c>
      <c r="I3289" s="679" t="s">
        <v>100</v>
      </c>
      <c r="J3289" s="676">
        <v>0</v>
      </c>
      <c r="K3289" s="676">
        <v>0</v>
      </c>
      <c r="M3289" t="str">
        <f>""</f>
        <v/>
      </c>
    </row>
    <row r="3290" spans="1:13" ht="15.75">
      <c r="A3290">
        <v>2023</v>
      </c>
      <c r="B3290" s="777">
        <v>44951</v>
      </c>
      <c r="C3290" s="730">
        <v>0.6645833333333333</v>
      </c>
      <c r="D3290" s="777">
        <v>44951</v>
      </c>
      <c r="E3290" s="730">
        <v>0.73472222222222228</v>
      </c>
      <c r="F3290" s="558" t="s">
        <v>4185</v>
      </c>
      <c r="G3290" s="558" t="s">
        <v>1352</v>
      </c>
      <c r="H3290" s="558" t="s">
        <v>3402</v>
      </c>
      <c r="I3290" s="679" t="s">
        <v>2118</v>
      </c>
      <c r="J3290" s="676">
        <v>0</v>
      </c>
      <c r="K3290" s="676">
        <v>0</v>
      </c>
      <c r="M3290" t="str">
        <f>""</f>
        <v/>
      </c>
    </row>
    <row r="3291" spans="1:13" ht="15.75">
      <c r="A3291">
        <v>2023</v>
      </c>
      <c r="B3291" s="777">
        <v>44952</v>
      </c>
      <c r="C3291" s="730">
        <v>0.29166666666666669</v>
      </c>
      <c r="D3291" s="777">
        <v>44952</v>
      </c>
      <c r="E3291" s="730">
        <v>0.61527777777777781</v>
      </c>
      <c r="F3291" s="558" t="s">
        <v>2801</v>
      </c>
      <c r="G3291" s="558" t="s">
        <v>124</v>
      </c>
      <c r="H3291" s="558" t="s">
        <v>3356</v>
      </c>
      <c r="I3291" s="679" t="s">
        <v>100</v>
      </c>
      <c r="J3291" s="676">
        <v>0</v>
      </c>
      <c r="K3291" s="676">
        <v>0</v>
      </c>
      <c r="M3291" t="str">
        <f>""</f>
        <v/>
      </c>
    </row>
    <row r="3292" spans="1:13" ht="15.75">
      <c r="A3292">
        <v>2023</v>
      </c>
      <c r="B3292" s="777">
        <v>44954</v>
      </c>
      <c r="C3292" s="730">
        <v>0.16666666666666666</v>
      </c>
      <c r="D3292" s="777">
        <v>44954</v>
      </c>
      <c r="E3292" s="730">
        <v>0.20833333333333334</v>
      </c>
      <c r="F3292" s="558" t="s">
        <v>5713</v>
      </c>
      <c r="G3292" s="558" t="s">
        <v>5174</v>
      </c>
      <c r="H3292" s="558" t="s">
        <v>3356</v>
      </c>
      <c r="I3292" s="679" t="s">
        <v>2118</v>
      </c>
      <c r="J3292" s="676">
        <v>0</v>
      </c>
      <c r="K3292" s="676">
        <v>0</v>
      </c>
      <c r="M3292" t="str">
        <f>""</f>
        <v/>
      </c>
    </row>
    <row r="3293" spans="1:13" ht="15.75">
      <c r="A3293">
        <v>2023</v>
      </c>
      <c r="B3293" s="777">
        <v>44955</v>
      </c>
      <c r="C3293" s="730">
        <v>0.34652777777777777</v>
      </c>
      <c r="D3293" s="777">
        <v>44955</v>
      </c>
      <c r="E3293" s="730">
        <v>0.46319444444444446</v>
      </c>
      <c r="F3293" s="558" t="s">
        <v>3354</v>
      </c>
      <c r="G3293" s="558" t="s">
        <v>63</v>
      </c>
      <c r="H3293" s="558" t="s">
        <v>3387</v>
      </c>
      <c r="I3293" s="679" t="s">
        <v>2764</v>
      </c>
      <c r="J3293" s="676">
        <v>0</v>
      </c>
      <c r="K3293" s="676">
        <v>0</v>
      </c>
      <c r="M3293" t="str">
        <f>""</f>
        <v/>
      </c>
    </row>
    <row r="3294" spans="1:13" ht="15.75">
      <c r="A3294">
        <v>2023</v>
      </c>
      <c r="B3294" s="777">
        <v>44959</v>
      </c>
      <c r="C3294" s="730">
        <v>0.92152777777777772</v>
      </c>
      <c r="D3294" s="777">
        <v>44960</v>
      </c>
      <c r="E3294" s="730">
        <v>0.67222222222222228</v>
      </c>
      <c r="F3294" s="558" t="s">
        <v>2900</v>
      </c>
      <c r="G3294" s="558" t="s">
        <v>124</v>
      </c>
      <c r="H3294" s="558" t="s">
        <v>3356</v>
      </c>
      <c r="I3294" s="679" t="s">
        <v>100</v>
      </c>
      <c r="J3294" s="676">
        <v>0</v>
      </c>
      <c r="K3294" s="676">
        <v>0</v>
      </c>
      <c r="M3294" t="str">
        <f>""</f>
        <v/>
      </c>
    </row>
    <row r="3295" spans="1:13" ht="15.75">
      <c r="A3295">
        <v>2023</v>
      </c>
      <c r="B3295" s="777">
        <v>44959</v>
      </c>
      <c r="C3295" s="730">
        <v>0.45833333333333331</v>
      </c>
      <c r="D3295" s="777" t="s">
        <v>5873</v>
      </c>
      <c r="E3295" s="730" t="s">
        <v>5873</v>
      </c>
      <c r="F3295" s="558" t="s">
        <v>5196</v>
      </c>
      <c r="G3295" s="558" t="s">
        <v>3143</v>
      </c>
      <c r="H3295" s="558" t="s">
        <v>3402</v>
      </c>
      <c r="I3295" s="679" t="s">
        <v>2118</v>
      </c>
      <c r="J3295" s="676">
        <v>0</v>
      </c>
      <c r="K3295" s="676">
        <v>0</v>
      </c>
      <c r="M3295" t="str">
        <f>""</f>
        <v/>
      </c>
    </row>
    <row r="3296" spans="1:13" ht="15.75">
      <c r="A3296">
        <v>2023</v>
      </c>
      <c r="B3296" s="777">
        <v>44959</v>
      </c>
      <c r="C3296" s="730">
        <v>0.60902777777777772</v>
      </c>
      <c r="D3296" s="777">
        <v>44959</v>
      </c>
      <c r="E3296" s="730">
        <v>0.61597222222222225</v>
      </c>
      <c r="F3296" s="558" t="s">
        <v>5728</v>
      </c>
      <c r="G3296" s="558" t="s">
        <v>3143</v>
      </c>
      <c r="H3296" s="558" t="s">
        <v>3402</v>
      </c>
      <c r="I3296" s="679" t="s">
        <v>2118</v>
      </c>
      <c r="J3296" s="676">
        <v>0</v>
      </c>
      <c r="K3296" s="676">
        <v>0</v>
      </c>
      <c r="M3296" t="str">
        <f>""</f>
        <v/>
      </c>
    </row>
    <row r="3297" spans="1:13" ht="15.75">
      <c r="A3297">
        <v>2023</v>
      </c>
      <c r="B3297" s="777">
        <v>44960</v>
      </c>
      <c r="C3297" s="730">
        <v>0.66666666666666663</v>
      </c>
      <c r="D3297" s="777">
        <v>44960</v>
      </c>
      <c r="E3297" s="730">
        <v>0.69791666666666663</v>
      </c>
      <c r="F3297" s="558" t="s">
        <v>5729</v>
      </c>
      <c r="G3297" s="558" t="s">
        <v>124</v>
      </c>
      <c r="H3297" s="558" t="s">
        <v>2910</v>
      </c>
      <c r="I3297" s="679" t="s">
        <v>100</v>
      </c>
      <c r="J3297" s="676">
        <v>0</v>
      </c>
      <c r="K3297" s="676">
        <v>0</v>
      </c>
      <c r="M3297" t="str">
        <f>""</f>
        <v/>
      </c>
    </row>
    <row r="3298" spans="1:13" ht="15.75">
      <c r="A3298">
        <v>2023</v>
      </c>
      <c r="B3298" s="777">
        <v>44963</v>
      </c>
      <c r="C3298" s="730">
        <v>0.71250000000000002</v>
      </c>
      <c r="D3298" s="777">
        <v>44963</v>
      </c>
      <c r="E3298" s="730">
        <v>0.72986111111111107</v>
      </c>
      <c r="F3298" s="558" t="s">
        <v>3470</v>
      </c>
      <c r="G3298" s="558" t="s">
        <v>63</v>
      </c>
      <c r="H3298" s="558" t="s">
        <v>3387</v>
      </c>
      <c r="I3298" s="679" t="s">
        <v>2764</v>
      </c>
      <c r="J3298" s="676">
        <v>0</v>
      </c>
      <c r="K3298" s="676">
        <v>0</v>
      </c>
      <c r="M3298" t="str">
        <f>""</f>
        <v/>
      </c>
    </row>
    <row r="3299" spans="1:13" ht="15.75">
      <c r="A3299">
        <v>2023</v>
      </c>
      <c r="B3299" s="777">
        <v>44963</v>
      </c>
      <c r="C3299" s="730">
        <v>0.41666666666666669</v>
      </c>
      <c r="D3299" s="777">
        <v>44963</v>
      </c>
      <c r="E3299" s="730">
        <v>0.41805555555555557</v>
      </c>
      <c r="F3299" s="558" t="s">
        <v>3252</v>
      </c>
      <c r="G3299" s="558" t="s">
        <v>3143</v>
      </c>
      <c r="H3299" s="558" t="s">
        <v>3402</v>
      </c>
      <c r="I3299" s="679" t="s">
        <v>2118</v>
      </c>
      <c r="J3299" s="676">
        <v>0</v>
      </c>
      <c r="K3299" s="676">
        <v>0</v>
      </c>
      <c r="M3299" t="str">
        <f>""</f>
        <v/>
      </c>
    </row>
    <row r="3300" spans="1:13" ht="15.75">
      <c r="A3300">
        <v>2023</v>
      </c>
      <c r="B3300" s="777">
        <v>44964</v>
      </c>
      <c r="C3300" s="730">
        <v>0.56527777777777777</v>
      </c>
      <c r="D3300" s="777">
        <v>44964</v>
      </c>
      <c r="E3300" s="730">
        <v>0.58750000000000002</v>
      </c>
      <c r="F3300" s="558" t="s">
        <v>5732</v>
      </c>
      <c r="G3300" s="558" t="s">
        <v>674</v>
      </c>
      <c r="H3300" s="558" t="s">
        <v>3447</v>
      </c>
      <c r="I3300" s="679" t="s">
        <v>2764</v>
      </c>
      <c r="J3300" s="676">
        <v>0</v>
      </c>
      <c r="K3300" s="676">
        <v>0</v>
      </c>
      <c r="M3300" t="str">
        <f>""</f>
        <v/>
      </c>
    </row>
    <row r="3301" spans="1:13" ht="15.75">
      <c r="A3301">
        <v>2023</v>
      </c>
      <c r="B3301" s="777">
        <v>44964</v>
      </c>
      <c r="C3301" s="730">
        <v>0.26041666666666669</v>
      </c>
      <c r="D3301" s="777">
        <v>44964</v>
      </c>
      <c r="E3301" s="730">
        <v>0.2638888888888889</v>
      </c>
      <c r="F3301" s="558" t="s">
        <v>5240</v>
      </c>
      <c r="G3301" s="558" t="s">
        <v>63</v>
      </c>
      <c r="H3301" s="558" t="s">
        <v>3402</v>
      </c>
      <c r="I3301" s="679" t="s">
        <v>2118</v>
      </c>
      <c r="J3301" s="676">
        <v>0</v>
      </c>
      <c r="K3301" s="676">
        <v>0</v>
      </c>
      <c r="M3301" t="str">
        <f>""</f>
        <v/>
      </c>
    </row>
    <row r="3302" spans="1:13" ht="15.75">
      <c r="A3302">
        <v>2023</v>
      </c>
      <c r="B3302" s="777">
        <v>44964</v>
      </c>
      <c r="C3302" s="730">
        <v>0.35416666666666669</v>
      </c>
      <c r="D3302" s="777" t="s">
        <v>5873</v>
      </c>
      <c r="E3302" s="730" t="s">
        <v>5873</v>
      </c>
      <c r="F3302" s="558" t="s">
        <v>5547</v>
      </c>
      <c r="G3302" s="558" t="s">
        <v>61</v>
      </c>
      <c r="H3302" s="558" t="s">
        <v>3402</v>
      </c>
      <c r="I3302" s="679" t="s">
        <v>2118</v>
      </c>
      <c r="J3302" s="676">
        <v>0</v>
      </c>
      <c r="K3302" s="676">
        <v>0</v>
      </c>
      <c r="M3302" t="str">
        <f>""</f>
        <v/>
      </c>
    </row>
    <row r="3303" spans="1:13" ht="15.75">
      <c r="A3303">
        <v>2023</v>
      </c>
      <c r="B3303" s="777">
        <v>44965</v>
      </c>
      <c r="C3303" s="730">
        <v>0.5625</v>
      </c>
      <c r="D3303" s="777">
        <v>44965</v>
      </c>
      <c r="E3303" s="730">
        <v>0.58333333333333337</v>
      </c>
      <c r="F3303" s="558" t="s">
        <v>5734</v>
      </c>
      <c r="G3303" s="558" t="s">
        <v>3143</v>
      </c>
      <c r="H3303" s="558" t="s">
        <v>3402</v>
      </c>
      <c r="I3303" s="679" t="s">
        <v>2118</v>
      </c>
      <c r="J3303" s="676">
        <v>0</v>
      </c>
      <c r="K3303" s="676">
        <v>0</v>
      </c>
      <c r="M3303" t="str">
        <f>""</f>
        <v/>
      </c>
    </row>
    <row r="3304" spans="1:13" ht="15.75">
      <c r="A3304">
        <v>2023</v>
      </c>
      <c r="B3304" s="777">
        <v>44968</v>
      </c>
      <c r="C3304" s="730">
        <v>0.47013888888888888</v>
      </c>
      <c r="D3304" s="777">
        <v>44968</v>
      </c>
      <c r="E3304" s="730">
        <v>0.76388888888888884</v>
      </c>
      <c r="F3304" s="558" t="s">
        <v>5736</v>
      </c>
      <c r="G3304" s="558" t="s">
        <v>1352</v>
      </c>
      <c r="H3304" s="558" t="s">
        <v>3411</v>
      </c>
      <c r="I3304" s="679" t="s">
        <v>2483</v>
      </c>
      <c r="J3304" s="676">
        <v>0</v>
      </c>
      <c r="K3304" s="676">
        <v>0</v>
      </c>
      <c r="M3304" t="str">
        <f>""</f>
        <v/>
      </c>
    </row>
    <row r="3305" spans="1:13" ht="15.75">
      <c r="A3305">
        <v>2023</v>
      </c>
      <c r="B3305" s="777">
        <v>44970</v>
      </c>
      <c r="C3305" s="730">
        <v>0.90972222222222221</v>
      </c>
      <c r="D3305" s="777">
        <v>44971</v>
      </c>
      <c r="E3305" s="730">
        <v>0.1</v>
      </c>
      <c r="F3305" s="558" t="s">
        <v>4355</v>
      </c>
      <c r="G3305" s="558" t="s">
        <v>124</v>
      </c>
      <c r="H3305" s="558" t="s">
        <v>2910</v>
      </c>
      <c r="I3305" s="679" t="s">
        <v>2118</v>
      </c>
      <c r="J3305" s="676">
        <v>0</v>
      </c>
      <c r="K3305" s="676">
        <v>0</v>
      </c>
      <c r="M3305" t="str">
        <f>""</f>
        <v/>
      </c>
    </row>
    <row r="3306" spans="1:13" ht="15.75">
      <c r="A3306">
        <v>2023</v>
      </c>
      <c r="B3306" s="777">
        <v>44970</v>
      </c>
      <c r="C3306" s="730">
        <v>0.22708333333333333</v>
      </c>
      <c r="D3306" s="777">
        <v>44970</v>
      </c>
      <c r="E3306" s="730">
        <v>0.625</v>
      </c>
      <c r="F3306" s="558" t="s">
        <v>5739</v>
      </c>
      <c r="G3306" s="558" t="s">
        <v>674</v>
      </c>
      <c r="H3306" s="558" t="s">
        <v>3356</v>
      </c>
      <c r="I3306" s="679" t="s">
        <v>100</v>
      </c>
      <c r="J3306" s="676">
        <v>0</v>
      </c>
      <c r="K3306" s="676">
        <v>0</v>
      </c>
      <c r="M3306" t="str">
        <f>""</f>
        <v/>
      </c>
    </row>
    <row r="3307" spans="1:13" ht="15.75">
      <c r="A3307">
        <v>2023</v>
      </c>
      <c r="B3307" s="777">
        <v>44972</v>
      </c>
      <c r="C3307" s="730">
        <v>0.60069444444444442</v>
      </c>
      <c r="D3307" s="777">
        <v>44972</v>
      </c>
      <c r="E3307" s="730">
        <v>0.60416666666666663</v>
      </c>
      <c r="F3307" s="558" t="s">
        <v>5741</v>
      </c>
      <c r="G3307" s="558" t="s">
        <v>63</v>
      </c>
      <c r="H3307" s="558" t="s">
        <v>3402</v>
      </c>
      <c r="I3307" s="679" t="s">
        <v>2118</v>
      </c>
      <c r="J3307" s="676">
        <v>0</v>
      </c>
      <c r="K3307" s="676">
        <v>0</v>
      </c>
      <c r="M3307" t="str">
        <f>""</f>
        <v/>
      </c>
    </row>
    <row r="3308" spans="1:13" ht="15.75">
      <c r="A3308">
        <v>2023</v>
      </c>
      <c r="B3308" s="777">
        <v>44975</v>
      </c>
      <c r="C3308" s="730">
        <v>0</v>
      </c>
      <c r="D3308" s="777">
        <v>44975</v>
      </c>
      <c r="E3308" s="730">
        <v>3.472222222222222E-3</v>
      </c>
      <c r="F3308" s="558" t="s">
        <v>4736</v>
      </c>
      <c r="G3308" s="558" t="s">
        <v>674</v>
      </c>
      <c r="H3308" s="558" t="s">
        <v>3402</v>
      </c>
      <c r="I3308" s="679" t="s">
        <v>2118</v>
      </c>
      <c r="J3308" s="676">
        <v>0</v>
      </c>
      <c r="K3308" s="676">
        <v>0</v>
      </c>
      <c r="M3308" t="str">
        <f>""</f>
        <v/>
      </c>
    </row>
    <row r="3309" spans="1:13" ht="15.75">
      <c r="A3309">
        <v>2023</v>
      </c>
      <c r="B3309" s="777">
        <v>44976</v>
      </c>
      <c r="C3309" s="730">
        <v>0.34583333333333333</v>
      </c>
      <c r="D3309" s="777">
        <v>44976</v>
      </c>
      <c r="E3309" s="730">
        <v>0.51041666666666663</v>
      </c>
      <c r="F3309" s="558" t="s">
        <v>2951</v>
      </c>
      <c r="G3309" s="558" t="s">
        <v>124</v>
      </c>
      <c r="H3309" s="558" t="s">
        <v>3356</v>
      </c>
      <c r="I3309" s="679" t="s">
        <v>100</v>
      </c>
      <c r="J3309" s="676">
        <v>0</v>
      </c>
      <c r="K3309" s="676">
        <v>0</v>
      </c>
      <c r="M3309" t="str">
        <f>""</f>
        <v/>
      </c>
    </row>
    <row r="3310" spans="1:13" ht="15.75">
      <c r="A3310">
        <v>2023</v>
      </c>
      <c r="B3310" s="777">
        <v>44978</v>
      </c>
      <c r="C3310" s="730">
        <v>0.40625</v>
      </c>
      <c r="D3310" s="777" t="s">
        <v>5873</v>
      </c>
      <c r="E3310" s="730" t="s">
        <v>5873</v>
      </c>
      <c r="F3310" s="558" t="s">
        <v>4185</v>
      </c>
      <c r="G3310" s="558" t="s">
        <v>1352</v>
      </c>
      <c r="H3310" s="558" t="s">
        <v>2944</v>
      </c>
      <c r="I3310" s="679" t="s">
        <v>2952</v>
      </c>
      <c r="J3310" s="676">
        <v>0</v>
      </c>
      <c r="K3310" s="676">
        <v>0</v>
      </c>
      <c r="M3310" t="str">
        <f>""</f>
        <v/>
      </c>
    </row>
    <row r="3311" spans="1:13" ht="15.75">
      <c r="A3311">
        <v>2023</v>
      </c>
      <c r="B3311" s="777">
        <v>44978</v>
      </c>
      <c r="C3311" s="730">
        <v>0.22708333333333333</v>
      </c>
      <c r="D3311" s="777">
        <v>44978</v>
      </c>
      <c r="E3311" s="730">
        <v>0.27847222222222223</v>
      </c>
      <c r="F3311" s="558" t="s">
        <v>3470</v>
      </c>
      <c r="G3311" s="558" t="s">
        <v>63</v>
      </c>
      <c r="H3311" s="558" t="s">
        <v>3411</v>
      </c>
      <c r="I3311" s="679" t="s">
        <v>2483</v>
      </c>
      <c r="J3311" s="676">
        <v>0</v>
      </c>
      <c r="K3311" s="676">
        <v>0</v>
      </c>
      <c r="M3311" t="str">
        <f>""</f>
        <v/>
      </c>
    </row>
    <row r="3312" spans="1:13" ht="15.75">
      <c r="A3312">
        <v>2023</v>
      </c>
      <c r="B3312" s="777">
        <v>44979</v>
      </c>
      <c r="C3312" s="730">
        <v>0.66666666666666663</v>
      </c>
      <c r="D3312" s="777">
        <v>44979</v>
      </c>
      <c r="E3312" s="730">
        <v>0.66736111111111107</v>
      </c>
      <c r="F3312" s="558" t="s">
        <v>5267</v>
      </c>
      <c r="G3312" s="558" t="s">
        <v>674</v>
      </c>
      <c r="H3312" s="558" t="s">
        <v>3402</v>
      </c>
      <c r="I3312" s="679" t="s">
        <v>2118</v>
      </c>
      <c r="J3312" s="676">
        <v>0</v>
      </c>
      <c r="K3312" s="676">
        <v>0</v>
      </c>
      <c r="M3312" t="str">
        <f>""</f>
        <v/>
      </c>
    </row>
    <row r="3313" spans="1:13" ht="15.75">
      <c r="A3313">
        <v>2023</v>
      </c>
      <c r="B3313" s="777">
        <v>44980</v>
      </c>
      <c r="C3313" s="730">
        <v>0.36805555555555558</v>
      </c>
      <c r="D3313" s="777">
        <v>44980</v>
      </c>
      <c r="E3313" s="730">
        <v>0.52638888888888891</v>
      </c>
      <c r="F3313" s="558" t="s">
        <v>3645</v>
      </c>
      <c r="G3313" s="558" t="s">
        <v>124</v>
      </c>
      <c r="H3313" s="558" t="s">
        <v>2780</v>
      </c>
      <c r="I3313" s="679" t="s">
        <v>2764</v>
      </c>
      <c r="J3313" s="676">
        <v>0</v>
      </c>
      <c r="K3313" s="676">
        <v>0</v>
      </c>
      <c r="M3313" t="str">
        <f>""</f>
        <v/>
      </c>
    </row>
    <row r="3314" spans="1:13" ht="15.75">
      <c r="A3314">
        <v>2023</v>
      </c>
      <c r="B3314" s="777">
        <v>44981</v>
      </c>
      <c r="C3314" s="730">
        <v>0.52013888888888893</v>
      </c>
      <c r="D3314" s="777">
        <v>44981</v>
      </c>
      <c r="E3314" s="730">
        <v>0.53125</v>
      </c>
      <c r="F3314" s="558" t="s">
        <v>5756</v>
      </c>
      <c r="G3314" s="558" t="s">
        <v>63</v>
      </c>
      <c r="H3314" s="558" t="s">
        <v>3402</v>
      </c>
      <c r="I3314" s="679" t="s">
        <v>2118</v>
      </c>
      <c r="J3314" s="676">
        <v>0</v>
      </c>
      <c r="K3314" s="676">
        <v>0</v>
      </c>
      <c r="M3314" t="str">
        <f>""</f>
        <v/>
      </c>
    </row>
    <row r="3315" spans="1:13" ht="15.75">
      <c r="A3315">
        <v>2023</v>
      </c>
      <c r="B3315" s="777">
        <v>44986</v>
      </c>
      <c r="C3315" s="730">
        <v>0</v>
      </c>
      <c r="D3315" s="777">
        <v>44986</v>
      </c>
      <c r="E3315" s="730">
        <v>2.8472222222222222E-2</v>
      </c>
      <c r="F3315" s="558" t="s">
        <v>4774</v>
      </c>
      <c r="G3315" s="558" t="s">
        <v>674</v>
      </c>
      <c r="H3315" s="558" t="s">
        <v>3387</v>
      </c>
      <c r="I3315" s="679" t="s">
        <v>2764</v>
      </c>
      <c r="J3315" s="676">
        <v>0</v>
      </c>
      <c r="K3315" s="676">
        <v>0</v>
      </c>
      <c r="M3315" t="str">
        <f>""</f>
        <v/>
      </c>
    </row>
    <row r="3316" spans="1:13" ht="15.75">
      <c r="A3316">
        <v>2023</v>
      </c>
      <c r="B3316" s="777">
        <v>44988</v>
      </c>
      <c r="C3316" s="730">
        <v>0.57291666666666663</v>
      </c>
      <c r="D3316" s="777">
        <v>44988</v>
      </c>
      <c r="E3316" s="730">
        <v>0.57638888888888884</v>
      </c>
      <c r="F3316" s="558" t="s">
        <v>4928</v>
      </c>
      <c r="G3316" s="558" t="s">
        <v>5174</v>
      </c>
      <c r="H3316" s="558" t="s">
        <v>3402</v>
      </c>
      <c r="I3316" s="679" t="s">
        <v>2118</v>
      </c>
      <c r="J3316" s="676">
        <v>0</v>
      </c>
      <c r="K3316" s="676">
        <v>0</v>
      </c>
      <c r="M3316" t="str">
        <f>""</f>
        <v/>
      </c>
    </row>
    <row r="3317" spans="1:13" ht="15.75">
      <c r="A3317">
        <v>2023</v>
      </c>
      <c r="B3317" s="777">
        <v>44988</v>
      </c>
      <c r="C3317" s="730">
        <v>0.33333333333333331</v>
      </c>
      <c r="D3317" s="777">
        <v>44988</v>
      </c>
      <c r="E3317" s="730">
        <v>0.33402777777777776</v>
      </c>
      <c r="F3317" s="558" t="s">
        <v>5770</v>
      </c>
      <c r="G3317" s="558" t="s">
        <v>1352</v>
      </c>
      <c r="H3317" s="558" t="s">
        <v>3356</v>
      </c>
      <c r="I3317" s="679" t="s">
        <v>2118</v>
      </c>
      <c r="J3317" s="676">
        <v>0</v>
      </c>
      <c r="K3317" s="676">
        <v>0</v>
      </c>
      <c r="M3317" t="str">
        <f>""</f>
        <v/>
      </c>
    </row>
    <row r="3318" spans="1:13" ht="15.75">
      <c r="A3318">
        <v>2023</v>
      </c>
      <c r="B3318" s="777">
        <v>44990</v>
      </c>
      <c r="C3318" s="730">
        <v>0.8354166666666667</v>
      </c>
      <c r="D3318" s="777">
        <v>44991</v>
      </c>
      <c r="E3318" s="730">
        <v>0.65138888888888891</v>
      </c>
      <c r="F3318" s="558" t="s">
        <v>5781</v>
      </c>
      <c r="G3318" s="558" t="s">
        <v>63</v>
      </c>
      <c r="H3318" s="558" t="s">
        <v>3402</v>
      </c>
      <c r="I3318" s="679" t="s">
        <v>2118</v>
      </c>
      <c r="J3318" s="676">
        <v>0</v>
      </c>
      <c r="K3318" s="676">
        <v>0</v>
      </c>
      <c r="M3318" t="str">
        <f>""</f>
        <v/>
      </c>
    </row>
    <row r="3319" spans="1:13" ht="15.75">
      <c r="A3319">
        <v>2023</v>
      </c>
      <c r="B3319" s="777">
        <v>44990</v>
      </c>
      <c r="C3319" s="730">
        <v>0.49513888888888891</v>
      </c>
      <c r="D3319" s="777">
        <v>44991</v>
      </c>
      <c r="E3319" s="730">
        <v>0.32708333333333334</v>
      </c>
      <c r="F3319" s="558" t="s">
        <v>5782</v>
      </c>
      <c r="G3319" s="558" t="s">
        <v>3143</v>
      </c>
      <c r="H3319" s="558" t="s">
        <v>3356</v>
      </c>
      <c r="I3319" s="679" t="s">
        <v>100</v>
      </c>
      <c r="J3319" s="676">
        <v>0</v>
      </c>
      <c r="K3319" s="676">
        <v>0</v>
      </c>
      <c r="M3319" t="str">
        <f>""</f>
        <v/>
      </c>
    </row>
    <row r="3320" spans="1:13" ht="15.75">
      <c r="A3320">
        <v>2023</v>
      </c>
      <c r="B3320" s="777">
        <v>44992</v>
      </c>
      <c r="C3320" s="730">
        <v>0.45833333333333331</v>
      </c>
      <c r="D3320" s="777">
        <v>44992</v>
      </c>
      <c r="E3320" s="730">
        <v>0.65625</v>
      </c>
      <c r="F3320" s="558" t="s">
        <v>5785</v>
      </c>
      <c r="G3320" s="558" t="s">
        <v>1352</v>
      </c>
      <c r="H3320" s="558" t="s">
        <v>3402</v>
      </c>
      <c r="I3320" s="679" t="s">
        <v>100</v>
      </c>
      <c r="J3320" s="676">
        <v>0</v>
      </c>
      <c r="K3320" s="676">
        <v>0</v>
      </c>
      <c r="M3320" t="str">
        <f>""</f>
        <v/>
      </c>
    </row>
    <row r="3321" spans="1:13" ht="15.75">
      <c r="A3321">
        <v>2023</v>
      </c>
      <c r="B3321" s="777">
        <v>44992</v>
      </c>
      <c r="C3321" s="730">
        <v>0.43472222222222223</v>
      </c>
      <c r="D3321" s="777">
        <v>44992</v>
      </c>
      <c r="E3321" s="730">
        <v>0.61250000000000004</v>
      </c>
      <c r="F3321" s="558" t="s">
        <v>2909</v>
      </c>
      <c r="G3321" s="558" t="s">
        <v>1352</v>
      </c>
      <c r="H3321" s="558" t="s">
        <v>3402</v>
      </c>
      <c r="I3321" s="679" t="s">
        <v>100</v>
      </c>
      <c r="J3321" s="676">
        <v>0</v>
      </c>
      <c r="K3321" s="676">
        <v>0</v>
      </c>
      <c r="M3321" t="str">
        <f>""</f>
        <v/>
      </c>
    </row>
    <row r="3322" spans="1:13" ht="15.75">
      <c r="A3322">
        <v>2023</v>
      </c>
      <c r="B3322" s="777">
        <v>44993</v>
      </c>
      <c r="C3322" s="730">
        <v>1.3888888888888889E-3</v>
      </c>
      <c r="D3322" s="777" t="s">
        <v>5873</v>
      </c>
      <c r="E3322" s="730" t="s">
        <v>5873</v>
      </c>
      <c r="F3322" s="558" t="s">
        <v>5555</v>
      </c>
      <c r="G3322" s="558" t="s">
        <v>1352</v>
      </c>
      <c r="H3322" s="558" t="s">
        <v>3356</v>
      </c>
      <c r="I3322" s="679" t="s">
        <v>100</v>
      </c>
      <c r="J3322" s="676">
        <v>0</v>
      </c>
      <c r="K3322" s="676">
        <v>0</v>
      </c>
      <c r="M3322" t="str">
        <f>""</f>
        <v/>
      </c>
    </row>
    <row r="3323" spans="1:13" ht="15.75">
      <c r="A3323">
        <v>2023</v>
      </c>
      <c r="B3323" s="777">
        <v>44993</v>
      </c>
      <c r="C3323" s="730">
        <v>4.1666666666666664E-2</v>
      </c>
      <c r="D3323" s="777">
        <v>44993</v>
      </c>
      <c r="E3323" s="730">
        <v>8.3333333333333329E-2</v>
      </c>
      <c r="F3323" s="558" t="s">
        <v>4245</v>
      </c>
      <c r="G3323" s="558" t="s">
        <v>3143</v>
      </c>
      <c r="H3323" s="558" t="s">
        <v>3356</v>
      </c>
      <c r="I3323" s="679" t="s">
        <v>100</v>
      </c>
      <c r="J3323" s="676">
        <v>0</v>
      </c>
      <c r="K3323" s="676">
        <v>0</v>
      </c>
      <c r="M3323" t="str">
        <f>""</f>
        <v/>
      </c>
    </row>
    <row r="3324" spans="1:13" ht="15.75">
      <c r="A3324">
        <v>2023</v>
      </c>
      <c r="B3324" s="777">
        <v>44995</v>
      </c>
      <c r="C3324" s="730">
        <v>0.2</v>
      </c>
      <c r="D3324" s="777">
        <v>44995</v>
      </c>
      <c r="E3324" s="730">
        <v>0.54652777777777772</v>
      </c>
      <c r="F3324" s="558" t="s">
        <v>5791</v>
      </c>
      <c r="G3324" s="558" t="s">
        <v>1352</v>
      </c>
      <c r="H3324" s="558" t="s">
        <v>3411</v>
      </c>
      <c r="I3324" s="679" t="s">
        <v>2764</v>
      </c>
      <c r="J3324" s="676">
        <v>0</v>
      </c>
      <c r="K3324" s="676">
        <v>0</v>
      </c>
      <c r="M3324" t="str">
        <f>""</f>
        <v/>
      </c>
    </row>
    <row r="3325" spans="1:13" ht="15.75">
      <c r="A3325">
        <v>2023</v>
      </c>
      <c r="B3325" s="777">
        <v>44995</v>
      </c>
      <c r="C3325" s="730">
        <v>0.33333333333333331</v>
      </c>
      <c r="D3325" s="777">
        <v>44995</v>
      </c>
      <c r="E3325" s="730">
        <v>0.37222222222222223</v>
      </c>
      <c r="F3325" s="558" t="s">
        <v>2847</v>
      </c>
      <c r="G3325" s="558" t="s">
        <v>124</v>
      </c>
      <c r="H3325" s="558" t="s">
        <v>3356</v>
      </c>
      <c r="I3325" s="679" t="s">
        <v>100</v>
      </c>
      <c r="J3325" s="676">
        <v>0</v>
      </c>
      <c r="K3325" s="676">
        <v>0</v>
      </c>
      <c r="M3325" t="str">
        <f>""</f>
        <v/>
      </c>
    </row>
    <row r="3326" spans="1:13" ht="15.75">
      <c r="A3326">
        <v>2023</v>
      </c>
      <c r="B3326" s="777">
        <v>45001</v>
      </c>
      <c r="C3326" s="730">
        <v>0.44027777777777777</v>
      </c>
      <c r="D3326" s="777">
        <v>45001</v>
      </c>
      <c r="E3326" s="730">
        <v>0.60138888888888886</v>
      </c>
      <c r="F3326" s="558" t="s">
        <v>2909</v>
      </c>
      <c r="G3326" s="558" t="s">
        <v>1352</v>
      </c>
      <c r="H3326" s="558" t="s">
        <v>3402</v>
      </c>
      <c r="I3326" s="679" t="s">
        <v>2118</v>
      </c>
      <c r="J3326" s="676">
        <v>0</v>
      </c>
      <c r="K3326" s="676">
        <v>0</v>
      </c>
      <c r="M3326" t="str">
        <f>""</f>
        <v/>
      </c>
    </row>
    <row r="3327" spans="1:13" ht="15.75">
      <c r="A3327">
        <v>2023</v>
      </c>
      <c r="B3327" s="777">
        <v>45008</v>
      </c>
      <c r="C3327" s="730">
        <v>0.72152777777777777</v>
      </c>
      <c r="D3327" s="777">
        <v>45008</v>
      </c>
      <c r="E3327" s="730">
        <v>0.75416666666666665</v>
      </c>
      <c r="F3327" s="558" t="s">
        <v>2801</v>
      </c>
      <c r="G3327" s="558" t="s">
        <v>124</v>
      </c>
      <c r="H3327" s="558" t="s">
        <v>3387</v>
      </c>
      <c r="I3327" s="679" t="s">
        <v>2952</v>
      </c>
      <c r="J3327" s="676">
        <v>0</v>
      </c>
      <c r="K3327" s="676">
        <v>0</v>
      </c>
      <c r="M3327" t="str">
        <f>""</f>
        <v/>
      </c>
    </row>
    <row r="3328" spans="1:13" ht="15.75">
      <c r="A3328">
        <v>2023</v>
      </c>
      <c r="B3328" s="777">
        <v>45008</v>
      </c>
      <c r="C3328" s="730">
        <v>0.48402777777777778</v>
      </c>
      <c r="D3328" s="777">
        <v>45008</v>
      </c>
      <c r="E3328" s="730">
        <v>0.48472222222222222</v>
      </c>
      <c r="F3328" s="558" t="s">
        <v>5770</v>
      </c>
      <c r="G3328" s="558" t="s">
        <v>1352</v>
      </c>
      <c r="H3328" s="558" t="s">
        <v>3356</v>
      </c>
      <c r="I3328" s="679" t="s">
        <v>100</v>
      </c>
      <c r="J3328" s="676">
        <v>0</v>
      </c>
      <c r="K3328" s="676">
        <v>0</v>
      </c>
      <c r="M3328" t="str">
        <f>""</f>
        <v/>
      </c>
    </row>
    <row r="3329" spans="1:13" ht="15.75">
      <c r="A3329">
        <v>2023</v>
      </c>
      <c r="B3329" s="777">
        <v>45013</v>
      </c>
      <c r="C3329" s="730">
        <v>0.75208333333333333</v>
      </c>
      <c r="D3329" s="777">
        <v>45013</v>
      </c>
      <c r="E3329" s="730">
        <v>0.83888888888888891</v>
      </c>
      <c r="F3329" s="558" t="s">
        <v>4185</v>
      </c>
      <c r="G3329" s="558" t="s">
        <v>1352</v>
      </c>
      <c r="H3329" s="558" t="s">
        <v>3402</v>
      </c>
      <c r="I3329" s="679" t="s">
        <v>2118</v>
      </c>
      <c r="J3329" s="676">
        <v>0</v>
      </c>
      <c r="K3329" s="676">
        <v>0</v>
      </c>
      <c r="M3329" t="str">
        <f>""</f>
        <v/>
      </c>
    </row>
    <row r="3330" spans="1:13" ht="15.75">
      <c r="A3330">
        <v>2023</v>
      </c>
      <c r="B3330" s="777">
        <v>45013</v>
      </c>
      <c r="C3330" s="730">
        <v>0.22361111111111112</v>
      </c>
      <c r="D3330" s="777">
        <v>45013</v>
      </c>
      <c r="E3330" s="730">
        <v>0.28958333333333336</v>
      </c>
      <c r="F3330" s="558" t="s">
        <v>5089</v>
      </c>
      <c r="G3330" s="558" t="s">
        <v>1352</v>
      </c>
      <c r="H3330" s="558" t="s">
        <v>3447</v>
      </c>
      <c r="I3330" s="679" t="s">
        <v>2764</v>
      </c>
      <c r="J3330" s="676">
        <v>0</v>
      </c>
      <c r="K3330" s="676">
        <v>0</v>
      </c>
      <c r="M3330" t="str">
        <f>""</f>
        <v/>
      </c>
    </row>
    <row r="3331" spans="1:13" ht="15.75">
      <c r="A3331">
        <v>2023</v>
      </c>
      <c r="B3331" s="777">
        <v>45013</v>
      </c>
      <c r="C3331" s="730">
        <v>0.4201388888888889</v>
      </c>
      <c r="D3331" s="777" t="s">
        <v>5873</v>
      </c>
      <c r="E3331" s="730" t="s">
        <v>5873</v>
      </c>
      <c r="F3331" s="558" t="s">
        <v>5811</v>
      </c>
      <c r="G3331" s="558" t="s">
        <v>1352</v>
      </c>
      <c r="H3331" s="558" t="s">
        <v>2910</v>
      </c>
      <c r="I3331" s="679" t="s">
        <v>100</v>
      </c>
      <c r="J3331" s="676">
        <v>0</v>
      </c>
      <c r="K3331" s="676">
        <v>0</v>
      </c>
      <c r="M3331" t="str">
        <f>""</f>
        <v/>
      </c>
    </row>
    <row r="3332" spans="1:13" ht="15.75">
      <c r="A3332">
        <v>2023</v>
      </c>
      <c r="B3332" s="777">
        <v>45014</v>
      </c>
      <c r="C3332" s="730">
        <v>0.22638888888888889</v>
      </c>
      <c r="D3332" s="777">
        <v>45014</v>
      </c>
      <c r="E3332" s="730">
        <v>0.30763888888888891</v>
      </c>
      <c r="F3332" s="558" t="s">
        <v>5813</v>
      </c>
      <c r="G3332" s="558" t="s">
        <v>674</v>
      </c>
      <c r="H3332" s="558" t="s">
        <v>3411</v>
      </c>
      <c r="I3332" s="679" t="s">
        <v>2764</v>
      </c>
      <c r="J3332" s="676">
        <v>0</v>
      </c>
      <c r="K3332" s="676">
        <v>0</v>
      </c>
      <c r="M3332" t="str">
        <f>""</f>
        <v/>
      </c>
    </row>
    <row r="3333" spans="1:13" ht="15.75">
      <c r="A3333">
        <v>2023</v>
      </c>
      <c r="B3333" s="777">
        <v>45014</v>
      </c>
      <c r="C3333" s="730">
        <v>0.73402777777777772</v>
      </c>
      <c r="D3333" s="777">
        <v>45014</v>
      </c>
      <c r="E3333" s="730">
        <v>0.80208333333333337</v>
      </c>
      <c r="F3333" s="558" t="s">
        <v>3876</v>
      </c>
      <c r="G3333" s="558" t="s">
        <v>5814</v>
      </c>
      <c r="H3333" s="558" t="s">
        <v>3387</v>
      </c>
      <c r="I3333" s="679" t="s">
        <v>2764</v>
      </c>
      <c r="J3333" s="676">
        <v>0</v>
      </c>
      <c r="K3333" s="676">
        <v>0</v>
      </c>
      <c r="M3333" t="str">
        <f>""</f>
        <v/>
      </c>
    </row>
    <row r="3334" spans="1:13" ht="15.75">
      <c r="A3334">
        <v>2023</v>
      </c>
      <c r="B3334" s="777">
        <v>45015</v>
      </c>
      <c r="C3334" s="730">
        <v>0.3840277777777778</v>
      </c>
      <c r="D3334" s="777">
        <v>45015</v>
      </c>
      <c r="E3334" s="730">
        <v>0.38541666666666669</v>
      </c>
      <c r="F3334" s="558" t="s">
        <v>5469</v>
      </c>
      <c r="G3334" s="558" t="s">
        <v>124</v>
      </c>
      <c r="H3334" s="558" t="s">
        <v>3356</v>
      </c>
      <c r="I3334" s="679" t="s">
        <v>100</v>
      </c>
      <c r="J3334" s="676">
        <v>0</v>
      </c>
      <c r="K3334" s="676">
        <v>0</v>
      </c>
      <c r="M3334" t="str">
        <f>""</f>
        <v/>
      </c>
    </row>
    <row r="3335" spans="1:13" ht="15.75">
      <c r="A3335">
        <v>2023</v>
      </c>
      <c r="B3335" s="777">
        <v>45015</v>
      </c>
      <c r="C3335" s="730">
        <v>0.40277777777777779</v>
      </c>
      <c r="D3335" s="777">
        <v>45015</v>
      </c>
      <c r="E3335" s="730">
        <v>0.41666666666666669</v>
      </c>
      <c r="F3335" s="558" t="s">
        <v>3354</v>
      </c>
      <c r="G3335" s="558" t="s">
        <v>63</v>
      </c>
      <c r="H3335" s="558" t="s">
        <v>3356</v>
      </c>
      <c r="I3335" s="679" t="s">
        <v>100</v>
      </c>
      <c r="J3335" s="676">
        <v>0</v>
      </c>
      <c r="K3335" s="676">
        <v>0</v>
      </c>
      <c r="M3335" t="str">
        <f>""</f>
        <v/>
      </c>
    </row>
    <row r="3336" spans="1:13" ht="15.75">
      <c r="A3336">
        <v>2023</v>
      </c>
      <c r="B3336" s="777">
        <v>45019</v>
      </c>
      <c r="C3336" s="730">
        <v>0.50416666666666665</v>
      </c>
      <c r="D3336" s="777">
        <v>45019</v>
      </c>
      <c r="E3336" s="730">
        <v>0.53749999999999998</v>
      </c>
      <c r="F3336" s="558" t="s">
        <v>5825</v>
      </c>
      <c r="G3336" s="558" t="s">
        <v>63</v>
      </c>
      <c r="H3336" s="558" t="s">
        <v>3402</v>
      </c>
      <c r="I3336" s="679" t="s">
        <v>5075</v>
      </c>
      <c r="J3336" s="676">
        <v>0</v>
      </c>
      <c r="K3336" s="676">
        <v>0</v>
      </c>
      <c r="M3336" t="str">
        <f>""</f>
        <v/>
      </c>
    </row>
    <row r="3337" spans="1:13" ht="15.75">
      <c r="A3337">
        <v>2023</v>
      </c>
      <c r="B3337" s="777">
        <v>45024</v>
      </c>
      <c r="C3337" s="730">
        <v>0.1875</v>
      </c>
      <c r="D3337" s="777">
        <v>45024</v>
      </c>
      <c r="E3337" s="730">
        <v>0.21180555555555555</v>
      </c>
      <c r="F3337" s="558" t="s">
        <v>4185</v>
      </c>
      <c r="G3337" s="558" t="s">
        <v>1352</v>
      </c>
      <c r="H3337" s="558" t="s">
        <v>3402</v>
      </c>
      <c r="I3337" s="679" t="s">
        <v>2118</v>
      </c>
      <c r="J3337" s="676">
        <v>0</v>
      </c>
      <c r="K3337" s="676">
        <v>0</v>
      </c>
      <c r="M3337" t="str">
        <f>""</f>
        <v/>
      </c>
    </row>
    <row r="3338" spans="1:13" ht="15.75">
      <c r="A3338">
        <v>2023</v>
      </c>
      <c r="B3338" s="777">
        <v>45027</v>
      </c>
      <c r="C3338" s="730">
        <v>0.34097222222222223</v>
      </c>
      <c r="D3338" s="777" t="s">
        <v>5873</v>
      </c>
      <c r="E3338" s="730" t="s">
        <v>5873</v>
      </c>
      <c r="F3338" s="558" t="s">
        <v>4048</v>
      </c>
      <c r="G3338" s="558" t="s">
        <v>3143</v>
      </c>
      <c r="H3338" s="558" t="s">
        <v>3356</v>
      </c>
      <c r="I3338" s="679" t="s">
        <v>100</v>
      </c>
      <c r="J3338" s="676">
        <v>0</v>
      </c>
      <c r="K3338" s="676">
        <v>0</v>
      </c>
      <c r="M3338" t="str">
        <f>""</f>
        <v/>
      </c>
    </row>
    <row r="3339" spans="1:13" ht="15.75">
      <c r="A3339">
        <v>2023</v>
      </c>
      <c r="B3339" s="777">
        <v>45030</v>
      </c>
      <c r="C3339" s="730">
        <v>0.22916666666666666</v>
      </c>
      <c r="D3339" s="777" t="s">
        <v>5873</v>
      </c>
      <c r="E3339" s="730" t="s">
        <v>5873</v>
      </c>
      <c r="F3339" s="558" t="s">
        <v>5745</v>
      </c>
      <c r="G3339" s="558" t="s">
        <v>63</v>
      </c>
      <c r="H3339" s="558" t="s">
        <v>5830</v>
      </c>
      <c r="I3339" s="679" t="s">
        <v>2952</v>
      </c>
      <c r="J3339" s="676">
        <v>0</v>
      </c>
      <c r="K3339" s="676">
        <v>0</v>
      </c>
      <c r="M3339" t="str">
        <f>""</f>
        <v/>
      </c>
    </row>
    <row r="3340" spans="1:13" ht="15.75">
      <c r="A3340">
        <v>2023</v>
      </c>
      <c r="B3340" s="777">
        <v>45031</v>
      </c>
      <c r="C3340" s="730">
        <v>0.6875</v>
      </c>
      <c r="D3340" s="777">
        <v>45031</v>
      </c>
      <c r="E3340" s="730">
        <v>0.72083333333333333</v>
      </c>
      <c r="F3340" s="558" t="s">
        <v>5832</v>
      </c>
      <c r="G3340" s="558" t="s">
        <v>1352</v>
      </c>
      <c r="H3340" s="558" t="s">
        <v>3447</v>
      </c>
      <c r="I3340" s="679" t="s">
        <v>2764</v>
      </c>
      <c r="J3340" s="676">
        <v>0</v>
      </c>
      <c r="K3340" s="676">
        <v>0</v>
      </c>
      <c r="M3340" t="str">
        <f>""</f>
        <v/>
      </c>
    </row>
    <row r="3341" spans="1:13" ht="15.75">
      <c r="A3341">
        <v>2023</v>
      </c>
      <c r="B3341" s="777">
        <v>45033</v>
      </c>
      <c r="C3341" s="730">
        <v>0.22916666666666666</v>
      </c>
      <c r="D3341" s="777">
        <v>45033</v>
      </c>
      <c r="E3341" s="730">
        <v>0.58333333333333337</v>
      </c>
      <c r="F3341" s="558" t="s">
        <v>3182</v>
      </c>
      <c r="G3341" s="558" t="s">
        <v>63</v>
      </c>
      <c r="H3341" s="558" t="s">
        <v>3356</v>
      </c>
      <c r="I3341" s="679" t="s">
        <v>2118</v>
      </c>
      <c r="J3341" s="676">
        <v>0</v>
      </c>
      <c r="K3341" s="676">
        <v>0</v>
      </c>
      <c r="M3341" t="str">
        <f>""</f>
        <v/>
      </c>
    </row>
    <row r="3342" spans="1:13" ht="15.75">
      <c r="A3342">
        <v>2023</v>
      </c>
      <c r="B3342" s="777">
        <v>45034</v>
      </c>
      <c r="C3342" s="730">
        <v>0.33333333333333331</v>
      </c>
      <c r="D3342" s="777">
        <v>45034</v>
      </c>
      <c r="E3342" s="730">
        <v>0.33402777777777776</v>
      </c>
      <c r="F3342" s="558" t="s">
        <v>3591</v>
      </c>
      <c r="G3342" s="558" t="s">
        <v>1352</v>
      </c>
      <c r="H3342" s="558" t="s">
        <v>3356</v>
      </c>
      <c r="I3342" s="679" t="s">
        <v>5075</v>
      </c>
      <c r="J3342" s="676">
        <v>0</v>
      </c>
      <c r="K3342" s="676">
        <v>0</v>
      </c>
      <c r="M3342" t="str">
        <f>""</f>
        <v/>
      </c>
    </row>
    <row r="3343" spans="1:13" ht="15.75">
      <c r="A3343">
        <v>2023</v>
      </c>
      <c r="B3343" s="777">
        <v>45034</v>
      </c>
      <c r="C3343" s="730">
        <v>0.15347222222222223</v>
      </c>
      <c r="D3343" s="777">
        <v>45034</v>
      </c>
      <c r="E3343" s="730">
        <v>0.16666666666666666</v>
      </c>
      <c r="F3343" s="558" t="s">
        <v>2801</v>
      </c>
      <c r="G3343" s="558" t="s">
        <v>124</v>
      </c>
      <c r="H3343" s="558" t="s">
        <v>3356</v>
      </c>
      <c r="I3343" s="679" t="s">
        <v>100</v>
      </c>
      <c r="J3343" s="676">
        <v>0</v>
      </c>
      <c r="K3343" s="676">
        <v>0</v>
      </c>
      <c r="M3343" t="str">
        <f>""</f>
        <v/>
      </c>
    </row>
    <row r="3344" spans="1:13" ht="15.75">
      <c r="A3344">
        <v>2023</v>
      </c>
      <c r="B3344" s="777">
        <v>45035</v>
      </c>
      <c r="C3344" s="730">
        <v>0.63541666666666663</v>
      </c>
      <c r="D3344" s="777">
        <v>45035</v>
      </c>
      <c r="E3344" s="730">
        <v>0.66597222222222219</v>
      </c>
      <c r="F3344" s="558" t="s">
        <v>2813</v>
      </c>
      <c r="G3344" s="558" t="s">
        <v>124</v>
      </c>
      <c r="H3344" s="558" t="s">
        <v>3356</v>
      </c>
      <c r="I3344" s="679" t="s">
        <v>100</v>
      </c>
      <c r="J3344" s="676">
        <v>0</v>
      </c>
      <c r="K3344" s="676">
        <v>0</v>
      </c>
      <c r="M3344" t="str">
        <f>""</f>
        <v/>
      </c>
    </row>
    <row r="3345" spans="1:13" ht="15.75">
      <c r="A3345">
        <v>2023</v>
      </c>
      <c r="B3345" s="777">
        <v>45037</v>
      </c>
      <c r="C3345" s="730">
        <v>0.25138888888888888</v>
      </c>
      <c r="D3345" s="777" t="s">
        <v>5873</v>
      </c>
      <c r="E3345" s="730" t="s">
        <v>5873</v>
      </c>
      <c r="F3345" s="558" t="s">
        <v>2945</v>
      </c>
      <c r="G3345" s="558" t="s">
        <v>124</v>
      </c>
      <c r="H3345" s="558" t="s">
        <v>2780</v>
      </c>
      <c r="I3345" s="679" t="s">
        <v>2764</v>
      </c>
      <c r="J3345" s="676">
        <v>0</v>
      </c>
      <c r="K3345" s="676">
        <v>0</v>
      </c>
      <c r="M3345" t="str">
        <f>""</f>
        <v/>
      </c>
    </row>
    <row r="3346" spans="1:13" ht="15.75">
      <c r="A3346">
        <v>2023</v>
      </c>
      <c r="B3346" s="777">
        <v>45041</v>
      </c>
      <c r="C3346" s="730">
        <v>0.43958333333333333</v>
      </c>
      <c r="D3346" s="777">
        <v>45041</v>
      </c>
      <c r="E3346" s="730">
        <v>0.65486111111111112</v>
      </c>
      <c r="F3346" s="558" t="s">
        <v>3424</v>
      </c>
      <c r="G3346" s="558" t="s">
        <v>124</v>
      </c>
      <c r="H3346" s="558" t="s">
        <v>2910</v>
      </c>
      <c r="I3346" s="679" t="s">
        <v>2764</v>
      </c>
      <c r="J3346" s="676">
        <v>0</v>
      </c>
      <c r="K3346" s="676">
        <v>0</v>
      </c>
      <c r="M3346" t="str">
        <f>""</f>
        <v/>
      </c>
    </row>
    <row r="3347" spans="1:13" ht="15.75">
      <c r="A3347">
        <v>2023</v>
      </c>
      <c r="B3347" s="777">
        <v>45042</v>
      </c>
      <c r="C3347" s="730">
        <v>0.52152777777777781</v>
      </c>
      <c r="D3347" s="777">
        <v>45042</v>
      </c>
      <c r="E3347" s="730">
        <v>0.59375</v>
      </c>
      <c r="F3347" s="558" t="s">
        <v>5848</v>
      </c>
      <c r="G3347" s="558" t="s">
        <v>124</v>
      </c>
      <c r="H3347" s="558" t="s">
        <v>3356</v>
      </c>
      <c r="I3347" s="679" t="s">
        <v>100</v>
      </c>
      <c r="J3347" s="676">
        <v>0</v>
      </c>
      <c r="K3347" s="676">
        <v>0</v>
      </c>
      <c r="M3347" t="str">
        <f>""</f>
        <v/>
      </c>
    </row>
    <row r="3348" spans="1:13" ht="15.75">
      <c r="A3348">
        <v>2023</v>
      </c>
      <c r="B3348" s="777">
        <v>45043</v>
      </c>
      <c r="C3348" s="730">
        <v>0.45833333333333331</v>
      </c>
      <c r="D3348" s="777">
        <v>45043</v>
      </c>
      <c r="E3348" s="730">
        <v>0.46805555555555556</v>
      </c>
      <c r="F3348" s="558" t="s">
        <v>5850</v>
      </c>
      <c r="G3348" s="558" t="s">
        <v>1352</v>
      </c>
      <c r="H3348" s="558" t="s">
        <v>3402</v>
      </c>
      <c r="I3348" s="679" t="s">
        <v>100</v>
      </c>
      <c r="J3348" s="676">
        <v>0</v>
      </c>
      <c r="K3348" s="676">
        <v>0</v>
      </c>
      <c r="M3348" t="str">
        <f>""</f>
        <v/>
      </c>
    </row>
    <row r="3349" spans="1:13" ht="15.75">
      <c r="A3349">
        <v>2023</v>
      </c>
      <c r="B3349" s="777">
        <v>45043</v>
      </c>
      <c r="C3349" s="730">
        <v>0.1673611111111111</v>
      </c>
      <c r="D3349" s="777">
        <v>45044</v>
      </c>
      <c r="E3349" s="730">
        <v>0.51944444444444449</v>
      </c>
      <c r="F3349" s="558" t="s">
        <v>2819</v>
      </c>
      <c r="G3349" s="558" t="s">
        <v>124</v>
      </c>
      <c r="H3349" s="558" t="s">
        <v>3356</v>
      </c>
      <c r="I3349" s="679" t="s">
        <v>100</v>
      </c>
      <c r="J3349" s="676">
        <v>0</v>
      </c>
      <c r="K3349" s="676">
        <v>0</v>
      </c>
      <c r="M3349" t="str">
        <f>""</f>
        <v/>
      </c>
    </row>
    <row r="3350" spans="1:13" ht="15.75">
      <c r="A3350">
        <v>2023</v>
      </c>
      <c r="B3350" s="777">
        <v>45048</v>
      </c>
      <c r="C3350" s="730">
        <v>0.41666666666666669</v>
      </c>
      <c r="D3350" s="777">
        <v>45048</v>
      </c>
      <c r="E3350" s="730">
        <v>0.41736111111111113</v>
      </c>
      <c r="F3350" s="558" t="s">
        <v>2919</v>
      </c>
      <c r="G3350" s="558" t="s">
        <v>1352</v>
      </c>
      <c r="H3350" s="558" t="s">
        <v>3356</v>
      </c>
      <c r="I3350" s="679" t="s">
        <v>5075</v>
      </c>
      <c r="J3350" s="676">
        <v>0</v>
      </c>
      <c r="K3350" s="676">
        <v>0</v>
      </c>
      <c r="M3350" t="str">
        <f>""</f>
        <v/>
      </c>
    </row>
    <row r="3351" spans="1:13" ht="15.75">
      <c r="A3351">
        <v>2023</v>
      </c>
      <c r="B3351" s="777">
        <v>45048</v>
      </c>
      <c r="C3351" s="730">
        <v>0.47847222222222224</v>
      </c>
      <c r="D3351" s="777">
        <v>45048</v>
      </c>
      <c r="E3351" s="730">
        <v>0.65</v>
      </c>
      <c r="F3351" s="558" t="s">
        <v>4048</v>
      </c>
      <c r="G3351" s="558" t="s">
        <v>4903</v>
      </c>
      <c r="H3351" s="558" t="s">
        <v>3356</v>
      </c>
      <c r="I3351" s="679" t="s">
        <v>2118</v>
      </c>
      <c r="J3351" s="676">
        <v>0</v>
      </c>
      <c r="K3351" s="676">
        <v>0</v>
      </c>
      <c r="M3351" t="str">
        <f>""</f>
        <v/>
      </c>
    </row>
    <row r="3352" spans="1:13" ht="15.75">
      <c r="A3352">
        <v>2023</v>
      </c>
      <c r="B3352" s="777">
        <v>45050</v>
      </c>
      <c r="C3352" s="730">
        <v>0.75</v>
      </c>
      <c r="D3352" s="777">
        <v>45050</v>
      </c>
      <c r="E3352" s="730">
        <v>0.75069444444444444</v>
      </c>
      <c r="F3352" s="558" t="s">
        <v>5855</v>
      </c>
      <c r="G3352" s="558" t="s">
        <v>1352</v>
      </c>
      <c r="H3352" s="558" t="s">
        <v>3356</v>
      </c>
      <c r="I3352" s="679" t="s">
        <v>100</v>
      </c>
      <c r="J3352" s="676">
        <v>0</v>
      </c>
      <c r="K3352" s="676">
        <v>0</v>
      </c>
      <c r="M3352" t="str">
        <f>""</f>
        <v/>
      </c>
    </row>
    <row r="3353" spans="1:13" ht="15.75">
      <c r="A3353">
        <v>2023</v>
      </c>
      <c r="B3353" s="777">
        <v>45057</v>
      </c>
      <c r="C3353" s="730">
        <v>0.5</v>
      </c>
      <c r="D3353" s="777">
        <v>45057</v>
      </c>
      <c r="E3353" s="730">
        <v>0.50069444444444444</v>
      </c>
      <c r="F3353" s="558" t="s">
        <v>5770</v>
      </c>
      <c r="G3353" s="558" t="s">
        <v>1352</v>
      </c>
      <c r="H3353" s="558" t="s">
        <v>3356</v>
      </c>
      <c r="I3353" s="679" t="s">
        <v>100</v>
      </c>
      <c r="J3353" s="676">
        <v>0</v>
      </c>
      <c r="K3353" s="676">
        <v>0</v>
      </c>
      <c r="M3353" t="str">
        <f>""</f>
        <v/>
      </c>
    </row>
    <row r="3354" spans="1:13" ht="15.75">
      <c r="A3354">
        <v>2023</v>
      </c>
      <c r="B3354" s="777">
        <v>45058</v>
      </c>
      <c r="C3354" s="730">
        <v>0.54166666666666663</v>
      </c>
      <c r="D3354" s="777">
        <v>45058</v>
      </c>
      <c r="E3354" s="730">
        <v>0.95833333333333337</v>
      </c>
      <c r="F3354" s="558" t="s">
        <v>5622</v>
      </c>
      <c r="G3354" s="558" t="s">
        <v>63</v>
      </c>
      <c r="H3354" s="558" t="s">
        <v>3356</v>
      </c>
      <c r="I3354" s="679" t="s">
        <v>100</v>
      </c>
      <c r="J3354" s="676">
        <v>0</v>
      </c>
      <c r="K3354" s="676">
        <v>0</v>
      </c>
      <c r="M3354" t="str">
        <f>""</f>
        <v/>
      </c>
    </row>
    <row r="3355" spans="1:13" ht="15.75">
      <c r="A3355">
        <v>2023</v>
      </c>
      <c r="B3355" s="777">
        <v>45058</v>
      </c>
      <c r="C3355" s="730">
        <v>0.48819444444444443</v>
      </c>
      <c r="D3355" s="777">
        <v>45058</v>
      </c>
      <c r="E3355" s="730">
        <v>0.5</v>
      </c>
      <c r="F3355" s="558" t="s">
        <v>3719</v>
      </c>
      <c r="G3355" s="558" t="s">
        <v>61</v>
      </c>
      <c r="H3355" s="558" t="s">
        <v>3874</v>
      </c>
      <c r="I3355" s="679" t="s">
        <v>2118</v>
      </c>
      <c r="J3355" s="676">
        <v>0</v>
      </c>
      <c r="K3355" s="676">
        <v>0</v>
      </c>
      <c r="M3355" t="str">
        <f>""</f>
        <v/>
      </c>
    </row>
    <row r="3356" spans="1:13" ht="15.75">
      <c r="A3356">
        <v>2023</v>
      </c>
      <c r="B3356" s="777">
        <v>45062</v>
      </c>
      <c r="C3356" s="730">
        <v>0.61458333333333337</v>
      </c>
      <c r="D3356" s="777">
        <v>45062</v>
      </c>
      <c r="E3356" s="730">
        <v>0.63194444444444442</v>
      </c>
      <c r="F3356" s="558" t="s">
        <v>2947</v>
      </c>
      <c r="G3356" s="558" t="s">
        <v>124</v>
      </c>
      <c r="H3356" s="558" t="s">
        <v>2910</v>
      </c>
      <c r="I3356" s="679" t="s">
        <v>2118</v>
      </c>
      <c r="J3356" s="676">
        <v>0</v>
      </c>
      <c r="K3356" s="676">
        <v>0</v>
      </c>
      <c r="M3356" t="str">
        <f>""</f>
        <v/>
      </c>
    </row>
    <row r="3357" spans="1:13" ht="15.75">
      <c r="A3357">
        <v>2023</v>
      </c>
      <c r="B3357" s="777">
        <v>45067</v>
      </c>
      <c r="C3357" s="730">
        <v>0.64583333333333337</v>
      </c>
      <c r="D3357" s="777">
        <v>45067</v>
      </c>
      <c r="E3357" s="730">
        <v>0.65277777777777779</v>
      </c>
      <c r="F3357" s="558" t="s">
        <v>5857</v>
      </c>
      <c r="G3357" s="558" t="s">
        <v>124</v>
      </c>
      <c r="H3357" s="558" t="s">
        <v>3402</v>
      </c>
      <c r="I3357" s="679" t="s">
        <v>2118</v>
      </c>
      <c r="J3357" s="676">
        <v>0</v>
      </c>
      <c r="K3357" s="676">
        <v>0</v>
      </c>
      <c r="M3357" t="str">
        <f>""</f>
        <v/>
      </c>
    </row>
    <row r="3358" spans="1:13" ht="15.75">
      <c r="A3358">
        <v>2023</v>
      </c>
      <c r="B3358" s="777">
        <v>45068</v>
      </c>
      <c r="C3358" s="730">
        <v>0.65208333333333335</v>
      </c>
      <c r="D3358" s="777">
        <v>45068</v>
      </c>
      <c r="E3358" s="730">
        <v>0.75</v>
      </c>
      <c r="F3358" s="558" t="s">
        <v>5056</v>
      </c>
      <c r="G3358" s="558" t="s">
        <v>63</v>
      </c>
      <c r="H3358" s="558" t="s">
        <v>3411</v>
      </c>
      <c r="I3358" s="679" t="s">
        <v>22</v>
      </c>
      <c r="J3358" s="676">
        <v>0</v>
      </c>
      <c r="K3358" s="676">
        <v>0</v>
      </c>
      <c r="M3358" t="str">
        <f>""</f>
        <v/>
      </c>
    </row>
    <row r="3359" spans="1:13" ht="15.75">
      <c r="A3359">
        <v>2023</v>
      </c>
      <c r="B3359" s="777">
        <v>45069</v>
      </c>
      <c r="C3359" s="730">
        <v>0.58333333333333337</v>
      </c>
      <c r="D3359" s="777" t="s">
        <v>5873</v>
      </c>
      <c r="E3359" s="730" t="s">
        <v>5873</v>
      </c>
      <c r="F3359" s="558" t="s">
        <v>3931</v>
      </c>
      <c r="G3359" s="558" t="s">
        <v>674</v>
      </c>
      <c r="H3359" s="558" t="s">
        <v>3356</v>
      </c>
      <c r="I3359" s="679" t="s">
        <v>100</v>
      </c>
      <c r="J3359" s="676">
        <v>0</v>
      </c>
      <c r="K3359" s="676">
        <v>0</v>
      </c>
      <c r="M3359" t="str">
        <f>""</f>
        <v/>
      </c>
    </row>
    <row r="3360" spans="1:13" ht="15.75">
      <c r="A3360">
        <v>2023</v>
      </c>
      <c r="B3360" s="777">
        <v>45070</v>
      </c>
      <c r="C3360" s="730">
        <v>0.32291666666666669</v>
      </c>
      <c r="D3360" s="777">
        <v>45070</v>
      </c>
      <c r="E3360" s="730">
        <v>0.78611111111111109</v>
      </c>
      <c r="F3360" s="558" t="s">
        <v>3931</v>
      </c>
      <c r="G3360" s="558" t="s">
        <v>674</v>
      </c>
      <c r="H3360" s="558" t="s">
        <v>3411</v>
      </c>
      <c r="I3360" s="679" t="s">
        <v>2483</v>
      </c>
      <c r="J3360" s="676">
        <v>0</v>
      </c>
      <c r="K3360" s="676">
        <v>0</v>
      </c>
      <c r="M3360" t="str">
        <f>""</f>
        <v/>
      </c>
    </row>
    <row r="3361" spans="1:13" ht="15.75">
      <c r="A3361">
        <v>2023</v>
      </c>
      <c r="B3361" s="777">
        <v>45072</v>
      </c>
      <c r="C3361" s="730">
        <v>0.32013888888888886</v>
      </c>
      <c r="D3361" s="777">
        <v>45072</v>
      </c>
      <c r="E3361" s="730">
        <v>0.59652777777777777</v>
      </c>
      <c r="F3361" s="558" t="s">
        <v>5859</v>
      </c>
      <c r="G3361" s="558" t="s">
        <v>63</v>
      </c>
      <c r="H3361" s="558" t="s">
        <v>3356</v>
      </c>
      <c r="I3361" s="679" t="s">
        <v>100</v>
      </c>
      <c r="J3361" s="676">
        <v>0</v>
      </c>
      <c r="K3361" s="676">
        <v>0</v>
      </c>
      <c r="M3361" t="str">
        <f>""</f>
        <v/>
      </c>
    </row>
    <row r="3362" spans="1:13" ht="15.75">
      <c r="A3362">
        <v>2023</v>
      </c>
      <c r="B3362" s="777">
        <v>45074</v>
      </c>
      <c r="C3362" s="730">
        <v>0.38541666666666669</v>
      </c>
      <c r="D3362" s="777">
        <v>45074</v>
      </c>
      <c r="E3362" s="730">
        <v>0.38611111111111113</v>
      </c>
      <c r="F3362" s="558" t="s">
        <v>5860</v>
      </c>
      <c r="G3362" s="558" t="s">
        <v>63</v>
      </c>
      <c r="H3362" s="558" t="s">
        <v>3356</v>
      </c>
      <c r="I3362" s="679" t="s">
        <v>5075</v>
      </c>
      <c r="J3362" s="676">
        <v>0</v>
      </c>
      <c r="K3362" s="676">
        <v>0</v>
      </c>
      <c r="M3362" t="str">
        <f>""</f>
        <v/>
      </c>
    </row>
    <row r="3363" spans="1:13" ht="15.75">
      <c r="A3363">
        <v>2023</v>
      </c>
      <c r="B3363" s="777">
        <v>45076</v>
      </c>
      <c r="C3363" s="730">
        <v>0.33333333333333331</v>
      </c>
      <c r="D3363" s="777">
        <v>45076</v>
      </c>
      <c r="E3363" s="730">
        <v>0.33402777777777776</v>
      </c>
      <c r="F3363" s="558" t="s">
        <v>3758</v>
      </c>
      <c r="G3363" s="558" t="s">
        <v>61</v>
      </c>
      <c r="H3363" s="558" t="s">
        <v>3874</v>
      </c>
      <c r="I3363" s="679" t="s">
        <v>5075</v>
      </c>
      <c r="J3363" s="676">
        <v>0</v>
      </c>
      <c r="K3363" s="676">
        <v>0</v>
      </c>
      <c r="M3363" t="str">
        <f>""</f>
        <v/>
      </c>
    </row>
    <row r="3364" spans="1:13" ht="15.75">
      <c r="A3364">
        <v>2023</v>
      </c>
      <c r="B3364" s="777">
        <v>45077</v>
      </c>
      <c r="C3364" s="730">
        <v>0.45833333333333331</v>
      </c>
      <c r="D3364" s="777">
        <v>45077</v>
      </c>
      <c r="E3364" s="730">
        <v>0.9916666666666667</v>
      </c>
      <c r="F3364" s="558" t="s">
        <v>3182</v>
      </c>
      <c r="G3364" s="558" t="s">
        <v>63</v>
      </c>
      <c r="H3364" s="558" t="s">
        <v>3611</v>
      </c>
      <c r="I3364" s="679" t="s">
        <v>2764</v>
      </c>
      <c r="J3364" s="676">
        <v>0</v>
      </c>
      <c r="K3364" s="676">
        <v>0</v>
      </c>
      <c r="M3364" t="str">
        <f>""</f>
        <v/>
      </c>
    </row>
    <row r="3365" spans="1:13" ht="15.75">
      <c r="A3365">
        <v>2023</v>
      </c>
      <c r="B3365" s="777">
        <v>45104</v>
      </c>
      <c r="C3365" s="730">
        <v>0.57152777777777775</v>
      </c>
      <c r="D3365" s="777">
        <v>45104</v>
      </c>
      <c r="E3365" s="730">
        <v>0.57222222222222219</v>
      </c>
      <c r="F3365" s="558" t="s">
        <v>18</v>
      </c>
      <c r="G3365" s="558" t="s">
        <v>124</v>
      </c>
      <c r="H3365" s="558" t="s">
        <v>3356</v>
      </c>
      <c r="I3365" s="679" t="s">
        <v>100</v>
      </c>
      <c r="J3365" s="676">
        <v>0</v>
      </c>
      <c r="K3365" s="676">
        <v>0</v>
      </c>
      <c r="M3365" t="str">
        <f>""</f>
        <v/>
      </c>
    </row>
    <row r="3366" spans="1:13" ht="15.75">
      <c r="A3366">
        <v>2023</v>
      </c>
      <c r="B3366" s="777">
        <v>45104</v>
      </c>
      <c r="C3366" s="730">
        <v>0.73402777777777772</v>
      </c>
      <c r="D3366" s="777">
        <v>45104</v>
      </c>
      <c r="E3366" s="730">
        <v>0.89583333333333337</v>
      </c>
      <c r="F3366" s="558" t="s">
        <v>5868</v>
      </c>
      <c r="G3366" s="558" t="s">
        <v>124</v>
      </c>
      <c r="H3366" s="558" t="s">
        <v>3411</v>
      </c>
      <c r="I3366" s="679" t="s">
        <v>5885</v>
      </c>
      <c r="J3366" s="676">
        <v>0</v>
      </c>
      <c r="K3366" s="676">
        <v>0</v>
      </c>
      <c r="M3366" t="str">
        <f>""</f>
        <v/>
      </c>
    </row>
    <row r="3367" spans="1:13" ht="15.75">
      <c r="A3367">
        <v>2023</v>
      </c>
      <c r="B3367" s="777">
        <v>45105</v>
      </c>
      <c r="C3367" s="730">
        <v>0.45902777777777776</v>
      </c>
      <c r="D3367" s="777">
        <v>45105</v>
      </c>
      <c r="E3367" s="730">
        <v>0.46041666666666664</v>
      </c>
      <c r="F3367" s="558" t="s">
        <v>361</v>
      </c>
      <c r="G3367" s="558" t="s">
        <v>63</v>
      </c>
      <c r="H3367" s="558" t="s">
        <v>3356</v>
      </c>
      <c r="I3367" s="679" t="s">
        <v>5884</v>
      </c>
      <c r="J3367" s="676">
        <v>0</v>
      </c>
      <c r="K3367" s="676">
        <v>0</v>
      </c>
      <c r="M3367" t="str">
        <f>""</f>
        <v/>
      </c>
    </row>
    <row r="3368" spans="1:13" ht="15.75">
      <c r="A3368">
        <v>2023</v>
      </c>
      <c r="B3368" s="777">
        <v>45097</v>
      </c>
      <c r="C3368" s="730">
        <v>0.7416666666666667</v>
      </c>
      <c r="D3368" s="777">
        <v>45097</v>
      </c>
      <c r="E3368" s="730">
        <v>0.86944444444444446</v>
      </c>
      <c r="F3368" s="558" t="s">
        <v>1577</v>
      </c>
      <c r="G3368" s="558" t="s">
        <v>63</v>
      </c>
      <c r="H3368" s="558" t="s">
        <v>3411</v>
      </c>
      <c r="I3368" s="679" t="s">
        <v>5886</v>
      </c>
      <c r="J3368" s="676">
        <v>0</v>
      </c>
      <c r="K3368" s="676">
        <v>0</v>
      </c>
      <c r="M3368" t="str">
        <f>""</f>
        <v/>
      </c>
    </row>
    <row r="3369" spans="1:13" ht="15.75">
      <c r="A3369">
        <v>2023</v>
      </c>
      <c r="B3369" s="777">
        <v>45107</v>
      </c>
      <c r="C3369" s="730">
        <v>0.50902777777777775</v>
      </c>
      <c r="D3369" s="777" t="s">
        <v>5873</v>
      </c>
      <c r="E3369" s="730" t="s">
        <v>5873</v>
      </c>
      <c r="F3369" s="558" t="s">
        <v>1579</v>
      </c>
      <c r="G3369" s="558" t="s">
        <v>61</v>
      </c>
      <c r="H3369" s="558" t="s">
        <v>3387</v>
      </c>
      <c r="I3369" s="679" t="s">
        <v>45</v>
      </c>
      <c r="J3369" s="676">
        <v>0</v>
      </c>
      <c r="K3369" s="676">
        <v>0</v>
      </c>
      <c r="M3369" t="str">
        <f>""</f>
        <v/>
      </c>
    </row>
    <row r="3370" spans="1:13" ht="15.75">
      <c r="A3370">
        <v>2023</v>
      </c>
      <c r="B3370" s="777">
        <v>45108</v>
      </c>
      <c r="C3370" s="532">
        <v>0.62361111111111112</v>
      </c>
      <c r="D3370" s="678">
        <v>45108</v>
      </c>
      <c r="E3370" s="532">
        <v>0.71319444444444446</v>
      </c>
      <c r="F3370" t="s">
        <v>3461</v>
      </c>
      <c r="G3370" t="s">
        <v>5174</v>
      </c>
      <c r="H3370" t="s">
        <v>3387</v>
      </c>
      <c r="I3370" s="677" t="s">
        <v>2798</v>
      </c>
      <c r="J3370" s="783">
        <v>0</v>
      </c>
      <c r="K3370" s="783">
        <v>0</v>
      </c>
      <c r="M3370" t="str">
        <f>""</f>
        <v/>
      </c>
    </row>
    <row r="3371" spans="1:13" ht="15.75">
      <c r="A3371">
        <v>2023</v>
      </c>
      <c r="B3371" s="777">
        <v>45113</v>
      </c>
      <c r="C3371" s="532">
        <v>0.56805555555555554</v>
      </c>
      <c r="D3371" s="678">
        <v>45113</v>
      </c>
      <c r="E3371" s="532">
        <v>0.62777777777777777</v>
      </c>
      <c r="F3371" t="s">
        <v>5889</v>
      </c>
      <c r="G3371" t="s">
        <v>674</v>
      </c>
      <c r="H3371" t="s">
        <v>3402</v>
      </c>
      <c r="I3371" s="677" t="s">
        <v>5545</v>
      </c>
      <c r="J3371" s="783">
        <v>0</v>
      </c>
      <c r="K3371" s="783">
        <v>0</v>
      </c>
      <c r="M3371" t="str">
        <f>""</f>
        <v/>
      </c>
    </row>
    <row r="3372" spans="1:13" ht="15.75">
      <c r="A3372">
        <v>2023</v>
      </c>
      <c r="B3372" s="777">
        <v>45113</v>
      </c>
      <c r="C3372" s="532">
        <v>0.79236111111111107</v>
      </c>
      <c r="D3372" s="678">
        <v>45113</v>
      </c>
      <c r="E3372" s="532">
        <v>0.88263888888888886</v>
      </c>
      <c r="F3372" t="s">
        <v>3470</v>
      </c>
      <c r="G3372" t="s">
        <v>63</v>
      </c>
      <c r="H3372" t="s">
        <v>3387</v>
      </c>
      <c r="I3372" s="677" t="s">
        <v>2798</v>
      </c>
      <c r="J3372" s="783">
        <v>0</v>
      </c>
      <c r="K3372" s="783">
        <v>0</v>
      </c>
      <c r="M3372" t="str">
        <f>""</f>
        <v/>
      </c>
    </row>
    <row r="3373" spans="1:13" ht="15.75">
      <c r="A3373">
        <v>2023</v>
      </c>
      <c r="B3373" s="777">
        <v>45114</v>
      </c>
      <c r="C3373" s="532">
        <v>0.29166666666666669</v>
      </c>
      <c r="D3373" s="678">
        <v>45114</v>
      </c>
      <c r="E3373" s="532">
        <v>0.33333333333333331</v>
      </c>
      <c r="F3373" t="s">
        <v>4355</v>
      </c>
      <c r="G3373" t="s">
        <v>124</v>
      </c>
      <c r="H3373" t="s">
        <v>3356</v>
      </c>
      <c r="I3373" s="677" t="s">
        <v>100</v>
      </c>
      <c r="J3373" s="783">
        <v>0</v>
      </c>
      <c r="K3373" s="783">
        <v>0</v>
      </c>
      <c r="M3373" t="str">
        <f>""</f>
        <v/>
      </c>
    </row>
    <row r="3374" spans="1:13" ht="15.75">
      <c r="A3374">
        <v>2023</v>
      </c>
      <c r="B3374" s="777">
        <v>45114</v>
      </c>
      <c r="C3374" s="532">
        <v>0.73819444444444449</v>
      </c>
      <c r="D3374" s="678">
        <v>45118</v>
      </c>
      <c r="E3374" s="532">
        <v>0.56041666666666667</v>
      </c>
      <c r="F3374" t="s">
        <v>5891</v>
      </c>
      <c r="G3374" t="s">
        <v>1352</v>
      </c>
      <c r="H3374" t="s">
        <v>3411</v>
      </c>
      <c r="I3374" s="677" t="s">
        <v>5883</v>
      </c>
      <c r="J3374" s="783">
        <v>0</v>
      </c>
      <c r="K3374" s="783">
        <v>0</v>
      </c>
      <c r="M3374" t="str">
        <f>""</f>
        <v/>
      </c>
    </row>
    <row r="3375" spans="1:13" ht="15.75">
      <c r="A3375">
        <v>2023</v>
      </c>
      <c r="B3375" s="777">
        <v>45116</v>
      </c>
      <c r="C3375" s="532">
        <v>6.1111111111111109E-2</v>
      </c>
      <c r="D3375" s="678">
        <v>45119</v>
      </c>
      <c r="E3375" s="532">
        <v>0.9375</v>
      </c>
      <c r="F3375" t="s">
        <v>3712</v>
      </c>
      <c r="G3375" t="s">
        <v>124</v>
      </c>
      <c r="H3375" t="s">
        <v>3356</v>
      </c>
      <c r="I3375" s="677" t="s">
        <v>5884</v>
      </c>
      <c r="J3375" s="783">
        <v>0</v>
      </c>
      <c r="K3375" s="783">
        <v>0</v>
      </c>
      <c r="M3375" t="str">
        <f>""</f>
        <v/>
      </c>
    </row>
    <row r="3376" spans="1:13" ht="15.75">
      <c r="A3376">
        <v>2023</v>
      </c>
      <c r="B3376" s="777">
        <v>45116</v>
      </c>
      <c r="C3376" s="532">
        <v>6.1111111111111109E-2</v>
      </c>
      <c r="D3376" s="777" t="s">
        <v>5873</v>
      </c>
      <c r="E3376" s="782" t="s">
        <v>5873</v>
      </c>
      <c r="F3376" t="s">
        <v>3712</v>
      </c>
      <c r="G3376" t="s">
        <v>124</v>
      </c>
      <c r="H3376" t="s">
        <v>3356</v>
      </c>
      <c r="I3376" s="677" t="s">
        <v>5884</v>
      </c>
      <c r="J3376" s="783">
        <v>0</v>
      </c>
      <c r="K3376" s="783">
        <v>0</v>
      </c>
      <c r="M3376" t="str">
        <f>""</f>
        <v/>
      </c>
    </row>
    <row r="3377" spans="1:13" ht="15.75">
      <c r="A3377">
        <v>2023</v>
      </c>
      <c r="B3377" s="777">
        <v>45117</v>
      </c>
      <c r="C3377" s="532">
        <v>0.14722222222222223</v>
      </c>
      <c r="D3377" s="678">
        <v>45117</v>
      </c>
      <c r="E3377" s="532">
        <v>0.74027777777777781</v>
      </c>
      <c r="F3377" t="s">
        <v>4402</v>
      </c>
      <c r="G3377" t="s">
        <v>1352</v>
      </c>
      <c r="H3377" t="s">
        <v>3411</v>
      </c>
      <c r="I3377" s="677" t="s">
        <v>5886</v>
      </c>
      <c r="J3377" s="783">
        <v>0</v>
      </c>
      <c r="K3377" s="783">
        <v>0</v>
      </c>
      <c r="M3377" t="str">
        <f>""</f>
        <v/>
      </c>
    </row>
    <row r="3378" spans="1:13" ht="15.75">
      <c r="A3378">
        <v>2023</v>
      </c>
      <c r="B3378" s="777">
        <v>45123</v>
      </c>
      <c r="C3378" s="532">
        <v>0.43680555555555556</v>
      </c>
      <c r="D3378" s="678">
        <v>45123</v>
      </c>
      <c r="E3378" s="532">
        <v>0.45555555555555555</v>
      </c>
      <c r="F3378" t="s">
        <v>3616</v>
      </c>
      <c r="G3378" t="s">
        <v>124</v>
      </c>
      <c r="H3378" t="s">
        <v>3356</v>
      </c>
      <c r="I3378" s="677" t="s">
        <v>100</v>
      </c>
      <c r="J3378" s="783">
        <v>0</v>
      </c>
      <c r="K3378" s="783">
        <v>0</v>
      </c>
      <c r="M3378" t="str">
        <f>""</f>
        <v/>
      </c>
    </row>
    <row r="3379" spans="1:13" ht="15.75">
      <c r="A3379">
        <v>2023</v>
      </c>
      <c r="B3379" s="777">
        <v>45125</v>
      </c>
      <c r="C3379" s="532">
        <v>0.5625</v>
      </c>
      <c r="D3379" s="678">
        <v>45125</v>
      </c>
      <c r="E3379" s="532">
        <v>0.60416666666666663</v>
      </c>
      <c r="F3379" t="s">
        <v>2864</v>
      </c>
      <c r="G3379" t="s">
        <v>63</v>
      </c>
      <c r="H3379" t="s">
        <v>3402</v>
      </c>
      <c r="I3379" s="677" t="s">
        <v>5545</v>
      </c>
      <c r="J3379" s="783">
        <v>0</v>
      </c>
      <c r="K3379" s="783">
        <v>0</v>
      </c>
      <c r="M3379" t="str">
        <f>""</f>
        <v/>
      </c>
    </row>
    <row r="3380" spans="1:13" ht="15.75">
      <c r="A3380">
        <v>2023</v>
      </c>
      <c r="B3380" s="777">
        <v>45127</v>
      </c>
      <c r="C3380" s="532">
        <v>0.4201388888888889</v>
      </c>
      <c r="D3380" s="678">
        <v>45127</v>
      </c>
      <c r="E3380" s="532">
        <v>0.42083333333333334</v>
      </c>
      <c r="F3380" t="s">
        <v>5054</v>
      </c>
      <c r="G3380" t="s">
        <v>63</v>
      </c>
      <c r="H3380" t="s">
        <v>3356</v>
      </c>
      <c r="I3380" s="677" t="s">
        <v>100</v>
      </c>
      <c r="J3380" s="783">
        <v>0</v>
      </c>
      <c r="K3380" s="783">
        <v>0</v>
      </c>
      <c r="M3380" t="str">
        <f>""</f>
        <v/>
      </c>
    </row>
    <row r="3381" spans="1:13" ht="15.75">
      <c r="A3381">
        <v>2023</v>
      </c>
      <c r="B3381" s="777">
        <v>45133</v>
      </c>
      <c r="C3381" s="532">
        <v>0.56319444444444444</v>
      </c>
      <c r="D3381" s="678">
        <v>45133</v>
      </c>
      <c r="E3381" s="532">
        <v>0.58333333333333337</v>
      </c>
      <c r="F3381" t="s">
        <v>5895</v>
      </c>
      <c r="G3381" t="s">
        <v>124</v>
      </c>
      <c r="H3381" t="s">
        <v>3463</v>
      </c>
      <c r="I3381" s="677" t="s">
        <v>6042</v>
      </c>
      <c r="J3381" s="783">
        <v>0</v>
      </c>
      <c r="K3381" s="783">
        <v>0</v>
      </c>
      <c r="M3381" t="str">
        <f>""</f>
        <v/>
      </c>
    </row>
    <row r="3382" spans="1:13" ht="15.75">
      <c r="A3382">
        <v>2023</v>
      </c>
      <c r="B3382" s="777">
        <v>45135</v>
      </c>
      <c r="C3382" s="532">
        <v>1.0416666666666666E-2</v>
      </c>
      <c r="D3382" s="678">
        <v>45135</v>
      </c>
      <c r="E3382" s="532">
        <v>0.21249999999999999</v>
      </c>
      <c r="F3382" t="s">
        <v>3890</v>
      </c>
      <c r="G3382" t="s">
        <v>63</v>
      </c>
      <c r="H3382" t="s">
        <v>3411</v>
      </c>
      <c r="I3382" s="677" t="s">
        <v>6043</v>
      </c>
      <c r="J3382" s="783">
        <v>0</v>
      </c>
      <c r="K3382" s="783">
        <v>0</v>
      </c>
      <c r="M3382" t="str">
        <f>""</f>
        <v/>
      </c>
    </row>
    <row r="3383" spans="1:13" ht="15.75">
      <c r="A3383">
        <v>2023</v>
      </c>
      <c r="B3383" s="777">
        <v>45135</v>
      </c>
      <c r="C3383" s="532">
        <v>0.51111111111111107</v>
      </c>
      <c r="D3383" s="678">
        <v>45135</v>
      </c>
      <c r="E3383" s="532">
        <v>0.51180555555555551</v>
      </c>
      <c r="F3383" t="s">
        <v>2801</v>
      </c>
      <c r="G3383" t="s">
        <v>124</v>
      </c>
      <c r="H3383" t="s">
        <v>3463</v>
      </c>
      <c r="I3383" s="677" t="s">
        <v>6044</v>
      </c>
      <c r="J3383" s="783">
        <v>0</v>
      </c>
      <c r="K3383" s="783">
        <v>0</v>
      </c>
      <c r="M3383" t="str">
        <f>""</f>
        <v/>
      </c>
    </row>
    <row r="3384" spans="1:13" ht="15.75">
      <c r="A3384">
        <v>2023</v>
      </c>
      <c r="B3384" s="777">
        <v>45135</v>
      </c>
      <c r="C3384" s="532">
        <v>0.51111111111111107</v>
      </c>
      <c r="D3384" s="678">
        <v>45135</v>
      </c>
      <c r="E3384" s="532">
        <v>0.51180555555555551</v>
      </c>
      <c r="F3384" t="s">
        <v>5017</v>
      </c>
      <c r="G3384" t="s">
        <v>124</v>
      </c>
      <c r="H3384" t="s">
        <v>3463</v>
      </c>
      <c r="I3384" s="677" t="s">
        <v>6045</v>
      </c>
      <c r="J3384" s="783">
        <v>0</v>
      </c>
      <c r="K3384" s="783">
        <v>0</v>
      </c>
      <c r="M3384" t="str">
        <f>""</f>
        <v/>
      </c>
    </row>
    <row r="3385" spans="1:13" ht="15.75">
      <c r="A3385">
        <v>2023</v>
      </c>
      <c r="B3385" s="777">
        <v>45136</v>
      </c>
      <c r="C3385" s="532">
        <v>0.66666666666666663</v>
      </c>
      <c r="D3385" s="678">
        <v>45136</v>
      </c>
      <c r="E3385" s="532">
        <v>0.66736111111111107</v>
      </c>
      <c r="F3385" t="s">
        <v>5903</v>
      </c>
      <c r="G3385" t="s">
        <v>61</v>
      </c>
      <c r="H3385" t="s">
        <v>5904</v>
      </c>
      <c r="I3385" s="677" t="s">
        <v>6046</v>
      </c>
      <c r="J3385" s="783">
        <v>0</v>
      </c>
      <c r="K3385" s="783">
        <v>0</v>
      </c>
      <c r="M3385" t="str">
        <f>""</f>
        <v/>
      </c>
    </row>
    <row r="3386" spans="1:13" ht="15.75">
      <c r="A3386">
        <v>2023</v>
      </c>
      <c r="B3386" s="777" t="s">
        <v>5873</v>
      </c>
      <c r="C3386" s="532">
        <v>0.62361111111111112</v>
      </c>
      <c r="D3386" s="678">
        <v>45108</v>
      </c>
      <c r="E3386" s="532">
        <v>0.71319444444444446</v>
      </c>
      <c r="F3386" t="s">
        <v>3461</v>
      </c>
      <c r="G3386" t="s">
        <v>5174</v>
      </c>
      <c r="H3386" t="s">
        <v>3387</v>
      </c>
      <c r="I3386" s="677" t="s">
        <v>2798</v>
      </c>
      <c r="J3386" s="783">
        <v>0</v>
      </c>
      <c r="K3386" s="783">
        <v>0</v>
      </c>
      <c r="M3386" t="str">
        <f>""</f>
        <v/>
      </c>
    </row>
    <row r="3387" spans="1:13" ht="15.75">
      <c r="A3387">
        <v>2023</v>
      </c>
      <c r="B3387" s="777" t="s">
        <v>5873</v>
      </c>
      <c r="C3387" s="532">
        <v>0.56805555555555554</v>
      </c>
      <c r="D3387" s="678">
        <v>45113</v>
      </c>
      <c r="E3387" s="532">
        <v>0.62777777777777777</v>
      </c>
      <c r="F3387" t="s">
        <v>5889</v>
      </c>
      <c r="G3387" t="s">
        <v>674</v>
      </c>
      <c r="H3387" t="s">
        <v>3402</v>
      </c>
      <c r="I3387" s="677" t="s">
        <v>5545</v>
      </c>
      <c r="J3387" s="783">
        <v>0</v>
      </c>
      <c r="K3387" s="783">
        <v>0</v>
      </c>
      <c r="M3387" t="str">
        <f>""</f>
        <v/>
      </c>
    </row>
    <row r="3388" spans="1:13" ht="15.75">
      <c r="A3388">
        <v>2023</v>
      </c>
      <c r="B3388" s="777" t="s">
        <v>5873</v>
      </c>
      <c r="C3388" s="532">
        <v>0.79236111111111107</v>
      </c>
      <c r="D3388" s="678">
        <v>45113</v>
      </c>
      <c r="E3388" s="532">
        <v>0.88263888888888886</v>
      </c>
      <c r="F3388" t="s">
        <v>3470</v>
      </c>
      <c r="G3388" t="s">
        <v>63</v>
      </c>
      <c r="H3388" t="s">
        <v>3387</v>
      </c>
      <c r="I3388" s="677" t="s">
        <v>2798</v>
      </c>
      <c r="J3388" s="783">
        <v>0</v>
      </c>
      <c r="K3388" s="783">
        <v>0</v>
      </c>
      <c r="M3388" t="str">
        <f>""</f>
        <v/>
      </c>
    </row>
    <row r="3389" spans="1:13" ht="15.75">
      <c r="A3389">
        <v>2023</v>
      </c>
      <c r="B3389" s="777" t="s">
        <v>5873</v>
      </c>
      <c r="C3389" s="532">
        <v>0.29166666666666669</v>
      </c>
      <c r="D3389" s="678">
        <v>45114</v>
      </c>
      <c r="E3389" s="532">
        <v>0.33333333333333331</v>
      </c>
      <c r="F3389" t="s">
        <v>4355</v>
      </c>
      <c r="G3389" t="s">
        <v>124</v>
      </c>
      <c r="H3389" t="s">
        <v>3356</v>
      </c>
      <c r="I3389" s="677" t="s">
        <v>100</v>
      </c>
      <c r="J3389" s="783">
        <v>0</v>
      </c>
      <c r="K3389" s="783">
        <v>0</v>
      </c>
      <c r="M3389" t="str">
        <f>""</f>
        <v/>
      </c>
    </row>
    <row r="3390" spans="1:13" ht="15.75">
      <c r="A3390">
        <v>2023</v>
      </c>
      <c r="B3390" s="777" t="s">
        <v>5873</v>
      </c>
      <c r="C3390" s="532">
        <v>0.73819444444444449</v>
      </c>
      <c r="D3390" s="678">
        <v>45118</v>
      </c>
      <c r="E3390" s="532">
        <v>0.56041666666666667</v>
      </c>
      <c r="F3390" t="s">
        <v>5891</v>
      </c>
      <c r="G3390" t="s">
        <v>1352</v>
      </c>
      <c r="H3390" t="s">
        <v>3411</v>
      </c>
      <c r="I3390" s="677" t="s">
        <v>5883</v>
      </c>
      <c r="J3390" s="783">
        <v>0</v>
      </c>
      <c r="K3390" s="783">
        <v>0</v>
      </c>
      <c r="M3390" t="str">
        <f>""</f>
        <v/>
      </c>
    </row>
    <row r="3391" spans="1:13" ht="15.75">
      <c r="A3391">
        <v>2023</v>
      </c>
      <c r="B3391" s="777" t="s">
        <v>5873</v>
      </c>
      <c r="C3391" s="532">
        <v>6.1111111111111109E-2</v>
      </c>
      <c r="D3391" s="678">
        <v>45119</v>
      </c>
      <c r="E3391" s="532">
        <v>0.9375</v>
      </c>
      <c r="F3391" t="s">
        <v>3712</v>
      </c>
      <c r="G3391" t="s">
        <v>124</v>
      </c>
      <c r="H3391" t="s">
        <v>3356</v>
      </c>
      <c r="I3391" s="677" t="s">
        <v>5884</v>
      </c>
      <c r="J3391" s="783">
        <v>0</v>
      </c>
      <c r="K3391" s="783">
        <v>0</v>
      </c>
      <c r="M3391" t="str">
        <f>""</f>
        <v/>
      </c>
    </row>
    <row r="3392" spans="1:13" ht="15.75">
      <c r="A3392">
        <v>2023</v>
      </c>
      <c r="B3392" s="777" t="s">
        <v>5873</v>
      </c>
      <c r="C3392" s="532">
        <v>6.1111111111111109E-2</v>
      </c>
      <c r="D3392" s="777" t="s">
        <v>5873</v>
      </c>
      <c r="E3392" s="782" t="s">
        <v>5873</v>
      </c>
      <c r="F3392" t="s">
        <v>3712</v>
      </c>
      <c r="G3392" t="s">
        <v>124</v>
      </c>
      <c r="H3392" t="s">
        <v>3356</v>
      </c>
      <c r="I3392" s="677" t="s">
        <v>5884</v>
      </c>
      <c r="J3392" s="783">
        <v>0</v>
      </c>
      <c r="K3392" s="783">
        <v>0</v>
      </c>
      <c r="M3392" t="str">
        <f>""</f>
        <v/>
      </c>
    </row>
    <row r="3393" spans="1:13" ht="15.75">
      <c r="A3393">
        <v>2023</v>
      </c>
      <c r="B3393" s="777" t="s">
        <v>5873</v>
      </c>
      <c r="C3393" s="532">
        <v>0.14722222222222223</v>
      </c>
      <c r="D3393" s="678">
        <v>45117</v>
      </c>
      <c r="E3393" s="532">
        <v>0.74027777777777781</v>
      </c>
      <c r="F3393" t="s">
        <v>4402</v>
      </c>
      <c r="G3393" t="s">
        <v>1352</v>
      </c>
      <c r="H3393" t="s">
        <v>3411</v>
      </c>
      <c r="I3393" s="677" t="s">
        <v>5886</v>
      </c>
      <c r="J3393" s="783">
        <v>0</v>
      </c>
      <c r="K3393" s="783">
        <v>0</v>
      </c>
      <c r="M3393" t="str">
        <f>""</f>
        <v/>
      </c>
    </row>
    <row r="3394" spans="1:13" ht="15.75">
      <c r="A3394">
        <v>2023</v>
      </c>
      <c r="B3394" s="777" t="s">
        <v>5873</v>
      </c>
      <c r="C3394" s="532">
        <v>0.43680555555555556</v>
      </c>
      <c r="D3394" s="678">
        <v>45123</v>
      </c>
      <c r="E3394" s="532">
        <v>0.45555555555555555</v>
      </c>
      <c r="F3394" t="s">
        <v>3616</v>
      </c>
      <c r="G3394" t="s">
        <v>124</v>
      </c>
      <c r="H3394" t="s">
        <v>3356</v>
      </c>
      <c r="I3394" s="677" t="s">
        <v>100</v>
      </c>
      <c r="J3394" s="783">
        <v>0</v>
      </c>
      <c r="K3394" s="783">
        <v>0</v>
      </c>
      <c r="M3394" t="str">
        <f>""</f>
        <v/>
      </c>
    </row>
    <row r="3395" spans="1:13" ht="15.75">
      <c r="A3395">
        <v>2023</v>
      </c>
      <c r="B3395" s="777" t="s">
        <v>5873</v>
      </c>
      <c r="C3395" s="532">
        <v>0.5625</v>
      </c>
      <c r="D3395" s="678">
        <v>45125</v>
      </c>
      <c r="E3395" s="532">
        <v>0.60416666666666663</v>
      </c>
      <c r="F3395" t="s">
        <v>2864</v>
      </c>
      <c r="G3395" t="s">
        <v>63</v>
      </c>
      <c r="H3395" t="s">
        <v>3402</v>
      </c>
      <c r="I3395" s="677" t="s">
        <v>5545</v>
      </c>
      <c r="J3395" s="783">
        <v>0</v>
      </c>
      <c r="K3395" s="783">
        <v>0</v>
      </c>
      <c r="M3395" t="str">
        <f>""</f>
        <v/>
      </c>
    </row>
    <row r="3396" spans="1:13" ht="15.75">
      <c r="A3396">
        <v>2023</v>
      </c>
      <c r="B3396" s="777" t="s">
        <v>5873</v>
      </c>
      <c r="C3396" s="532">
        <v>0.4201388888888889</v>
      </c>
      <c r="D3396" s="678">
        <v>45127</v>
      </c>
      <c r="E3396" s="532">
        <v>0.42083333333333334</v>
      </c>
      <c r="F3396" t="s">
        <v>5054</v>
      </c>
      <c r="G3396" t="s">
        <v>63</v>
      </c>
      <c r="H3396" t="s">
        <v>3356</v>
      </c>
      <c r="I3396" s="677" t="s">
        <v>100</v>
      </c>
      <c r="J3396" s="783">
        <v>0</v>
      </c>
      <c r="K3396" s="783">
        <v>0</v>
      </c>
      <c r="M3396" t="str">
        <f>""</f>
        <v/>
      </c>
    </row>
    <row r="3397" spans="1:13" ht="15.75">
      <c r="A3397">
        <v>2023</v>
      </c>
      <c r="B3397" s="777" t="s">
        <v>5873</v>
      </c>
      <c r="C3397" s="532">
        <v>0.56319444444444444</v>
      </c>
      <c r="D3397" s="678">
        <v>45133</v>
      </c>
      <c r="E3397" s="532">
        <v>0.58333333333333337</v>
      </c>
      <c r="F3397" t="s">
        <v>5895</v>
      </c>
      <c r="G3397" t="s">
        <v>124</v>
      </c>
      <c r="H3397" t="s">
        <v>3463</v>
      </c>
      <c r="I3397" s="677" t="s">
        <v>6042</v>
      </c>
      <c r="J3397" s="783">
        <v>0</v>
      </c>
      <c r="K3397" s="783">
        <v>0</v>
      </c>
      <c r="M3397" t="str">
        <f>""</f>
        <v/>
      </c>
    </row>
    <row r="3398" spans="1:13" ht="15.75">
      <c r="A3398">
        <v>2023</v>
      </c>
      <c r="B3398" s="777" t="s">
        <v>5873</v>
      </c>
      <c r="C3398" s="532">
        <v>1.0416666666666666E-2</v>
      </c>
      <c r="D3398" s="678">
        <v>45135</v>
      </c>
      <c r="E3398" s="532">
        <v>0.21249999999999999</v>
      </c>
      <c r="F3398" t="s">
        <v>3890</v>
      </c>
      <c r="G3398" t="s">
        <v>63</v>
      </c>
      <c r="H3398" t="s">
        <v>3411</v>
      </c>
      <c r="I3398" s="677" t="s">
        <v>6043</v>
      </c>
      <c r="J3398" s="783">
        <v>0</v>
      </c>
      <c r="K3398" s="783">
        <v>0</v>
      </c>
      <c r="M3398" t="str">
        <f>""</f>
        <v/>
      </c>
    </row>
    <row r="3399" spans="1:13" ht="15.75">
      <c r="A3399">
        <v>2023</v>
      </c>
      <c r="B3399" s="777" t="s">
        <v>5873</v>
      </c>
      <c r="C3399" s="532">
        <v>0.51111111111111107</v>
      </c>
      <c r="D3399" s="678">
        <v>45135</v>
      </c>
      <c r="E3399" s="532">
        <v>0.51180555555555551</v>
      </c>
      <c r="F3399" t="s">
        <v>2801</v>
      </c>
      <c r="G3399" t="s">
        <v>124</v>
      </c>
      <c r="H3399" t="s">
        <v>3463</v>
      </c>
      <c r="I3399" s="677" t="s">
        <v>6044</v>
      </c>
      <c r="J3399" s="783">
        <v>0</v>
      </c>
      <c r="K3399" s="783">
        <v>0</v>
      </c>
      <c r="M3399" t="str">
        <f>""</f>
        <v/>
      </c>
    </row>
    <row r="3400" spans="1:13" ht="15.75">
      <c r="A3400">
        <v>2023</v>
      </c>
      <c r="B3400" s="777" t="s">
        <v>5873</v>
      </c>
      <c r="C3400" s="532">
        <v>0.51111111111111107</v>
      </c>
      <c r="D3400" s="678">
        <v>45135</v>
      </c>
      <c r="E3400" s="532">
        <v>0.51180555555555551</v>
      </c>
      <c r="F3400" t="s">
        <v>5017</v>
      </c>
      <c r="G3400" t="s">
        <v>124</v>
      </c>
      <c r="H3400" t="s">
        <v>3463</v>
      </c>
      <c r="I3400" s="677" t="s">
        <v>6045</v>
      </c>
      <c r="J3400" s="783">
        <v>0</v>
      </c>
      <c r="K3400" s="783">
        <v>0</v>
      </c>
      <c r="M3400" t="str">
        <f>""</f>
        <v/>
      </c>
    </row>
    <row r="3401" spans="1:13" ht="15.75">
      <c r="A3401">
        <v>2023</v>
      </c>
      <c r="B3401" s="777" t="s">
        <v>5873</v>
      </c>
      <c r="C3401" s="532">
        <v>0.66666666666666663</v>
      </c>
      <c r="D3401" s="678">
        <v>45136</v>
      </c>
      <c r="E3401" s="532">
        <v>0.66736111111111107</v>
      </c>
      <c r="F3401" t="s">
        <v>5903</v>
      </c>
      <c r="G3401" t="s">
        <v>61</v>
      </c>
      <c r="H3401" t="s">
        <v>5904</v>
      </c>
      <c r="I3401" s="677" t="s">
        <v>6046</v>
      </c>
      <c r="J3401" s="783">
        <v>0</v>
      </c>
      <c r="K3401" s="783">
        <v>0</v>
      </c>
      <c r="M3401" t="str">
        <f>""</f>
        <v/>
      </c>
    </row>
    <row r="3402" spans="1:13" ht="15.75">
      <c r="A3402">
        <v>2023</v>
      </c>
      <c r="B3402" s="777">
        <v>45198</v>
      </c>
      <c r="C3402" s="532">
        <v>0.99236111111111114</v>
      </c>
      <c r="D3402" s="678">
        <v>45199</v>
      </c>
      <c r="E3402" s="532">
        <v>0.13194444444444445</v>
      </c>
      <c r="F3402" t="s">
        <v>5909</v>
      </c>
      <c r="G3402" t="s">
        <v>5910</v>
      </c>
      <c r="H3402" t="s">
        <v>5911</v>
      </c>
      <c r="I3402" s="677" t="s">
        <v>5883</v>
      </c>
      <c r="J3402" s="783">
        <v>0</v>
      </c>
      <c r="K3402" s="783">
        <v>0</v>
      </c>
      <c r="M3402" t="str">
        <f>""</f>
        <v/>
      </c>
    </row>
    <row r="3403" spans="1:13" ht="15.75">
      <c r="A3403">
        <v>2023</v>
      </c>
      <c r="B3403" s="777">
        <v>45198</v>
      </c>
      <c r="C3403" s="532">
        <v>0.47986111111111113</v>
      </c>
      <c r="D3403" s="678">
        <v>45198</v>
      </c>
      <c r="E3403" s="532">
        <v>0.50486111111111109</v>
      </c>
      <c r="F3403" t="s">
        <v>3245</v>
      </c>
      <c r="G3403" t="s">
        <v>3143</v>
      </c>
      <c r="H3403" t="s">
        <v>3387</v>
      </c>
      <c r="I3403" s="677" t="s">
        <v>2798</v>
      </c>
      <c r="J3403" s="783">
        <v>0</v>
      </c>
      <c r="K3403" s="783">
        <v>0</v>
      </c>
      <c r="M3403" t="str">
        <f>""</f>
        <v/>
      </c>
    </row>
    <row r="3404" spans="1:13" ht="15.75">
      <c r="A3404">
        <v>2023</v>
      </c>
      <c r="B3404" s="777">
        <v>45197</v>
      </c>
      <c r="C3404" s="532">
        <v>0.54583333333333328</v>
      </c>
      <c r="D3404" s="678">
        <v>45197</v>
      </c>
      <c r="E3404" s="532">
        <v>0.6875</v>
      </c>
      <c r="F3404" t="s">
        <v>2795</v>
      </c>
      <c r="G3404" t="s">
        <v>61</v>
      </c>
      <c r="H3404" t="s">
        <v>3387</v>
      </c>
      <c r="I3404" s="677" t="s">
        <v>2798</v>
      </c>
      <c r="J3404" s="783">
        <v>0</v>
      </c>
      <c r="K3404" s="783">
        <v>0</v>
      </c>
      <c r="M3404" t="str">
        <f>""</f>
        <v/>
      </c>
    </row>
    <row r="3405" spans="1:13" ht="15.75">
      <c r="A3405">
        <v>2023</v>
      </c>
      <c r="B3405" s="777">
        <v>45198</v>
      </c>
      <c r="C3405" s="532">
        <v>0.27083333333333331</v>
      </c>
      <c r="D3405" s="678">
        <v>45198</v>
      </c>
      <c r="E3405" s="532">
        <v>0.29236111111111113</v>
      </c>
      <c r="F3405" t="s">
        <v>3245</v>
      </c>
      <c r="G3405" t="s">
        <v>3143</v>
      </c>
      <c r="H3405" t="s">
        <v>3387</v>
      </c>
      <c r="I3405" s="677" t="s">
        <v>2798</v>
      </c>
      <c r="J3405" s="783">
        <v>0</v>
      </c>
      <c r="K3405" s="783">
        <v>0</v>
      </c>
      <c r="M3405" t="str">
        <f>""</f>
        <v/>
      </c>
    </row>
    <row r="3406" spans="1:13" ht="15.75">
      <c r="A3406">
        <v>2023</v>
      </c>
      <c r="B3406" s="777">
        <v>45197</v>
      </c>
      <c r="C3406" s="532">
        <v>0.54583333333333328</v>
      </c>
      <c r="D3406" s="678">
        <v>45197</v>
      </c>
      <c r="E3406" s="532">
        <v>0.6875</v>
      </c>
      <c r="F3406" t="s">
        <v>2795</v>
      </c>
      <c r="G3406" t="s">
        <v>61</v>
      </c>
      <c r="H3406" t="s">
        <v>3387</v>
      </c>
      <c r="I3406" s="677" t="s">
        <v>2798</v>
      </c>
      <c r="J3406" s="783">
        <v>0</v>
      </c>
      <c r="K3406" s="783">
        <v>0</v>
      </c>
      <c r="M3406" t="str">
        <f>""</f>
        <v/>
      </c>
    </row>
    <row r="3407" spans="1:13" ht="15.75">
      <c r="A3407">
        <v>2023</v>
      </c>
      <c r="B3407" s="777">
        <v>45187</v>
      </c>
      <c r="C3407" s="532">
        <v>0.37013888888888891</v>
      </c>
      <c r="D3407" s="678">
        <v>45187</v>
      </c>
      <c r="E3407" s="532">
        <v>0.43472222222222223</v>
      </c>
      <c r="F3407" t="s">
        <v>4185</v>
      </c>
      <c r="G3407" t="s">
        <v>1352</v>
      </c>
      <c r="H3407" t="s">
        <v>3402</v>
      </c>
      <c r="I3407" s="677" t="s">
        <v>5545</v>
      </c>
      <c r="J3407" s="783">
        <v>0</v>
      </c>
      <c r="K3407" s="783">
        <v>0</v>
      </c>
      <c r="M3407" t="str">
        <f>""</f>
        <v/>
      </c>
    </row>
    <row r="3408" spans="1:13" ht="15.75">
      <c r="A3408">
        <v>2023</v>
      </c>
      <c r="B3408" s="777">
        <v>45185</v>
      </c>
      <c r="C3408" s="532">
        <v>4.0972222222222222E-2</v>
      </c>
      <c r="D3408" s="678">
        <v>45185</v>
      </c>
      <c r="E3408" s="532">
        <v>0.41597222222222224</v>
      </c>
      <c r="F3408" t="s">
        <v>3178</v>
      </c>
      <c r="G3408" t="s">
        <v>61</v>
      </c>
      <c r="H3408" t="s">
        <v>3356</v>
      </c>
      <c r="I3408" s="677" t="s">
        <v>100</v>
      </c>
      <c r="J3408" s="783">
        <v>0</v>
      </c>
      <c r="K3408" s="783">
        <v>0</v>
      </c>
      <c r="M3408" t="str">
        <f>""</f>
        <v/>
      </c>
    </row>
    <row r="3409" spans="1:13" ht="15.75">
      <c r="A3409">
        <v>2023</v>
      </c>
      <c r="B3409" s="777">
        <v>45184</v>
      </c>
      <c r="C3409" s="532">
        <v>0.6875</v>
      </c>
      <c r="D3409" s="678">
        <v>45184</v>
      </c>
      <c r="E3409" s="532">
        <v>0.70833333333333337</v>
      </c>
      <c r="F3409" t="s">
        <v>5923</v>
      </c>
      <c r="G3409" t="s">
        <v>63</v>
      </c>
      <c r="H3409" t="s">
        <v>3402</v>
      </c>
      <c r="I3409" s="677" t="s">
        <v>5545</v>
      </c>
      <c r="J3409" s="783">
        <v>0</v>
      </c>
      <c r="K3409" s="783">
        <v>0</v>
      </c>
      <c r="M3409" t="str">
        <f>""</f>
        <v/>
      </c>
    </row>
    <row r="3410" spans="1:13" ht="15.75">
      <c r="A3410">
        <v>2023</v>
      </c>
      <c r="B3410" s="777">
        <v>45182</v>
      </c>
      <c r="C3410" s="532">
        <v>0.38541666666666669</v>
      </c>
      <c r="D3410" s="678">
        <v>45182</v>
      </c>
      <c r="E3410" s="532">
        <v>0.76111111111111107</v>
      </c>
      <c r="F3410" t="s">
        <v>4798</v>
      </c>
      <c r="G3410" t="s">
        <v>1352</v>
      </c>
      <c r="H3410" t="s">
        <v>3356</v>
      </c>
      <c r="I3410" s="677" t="s">
        <v>6047</v>
      </c>
      <c r="J3410" s="783">
        <v>0</v>
      </c>
      <c r="K3410" s="783">
        <v>0</v>
      </c>
      <c r="M3410" t="str">
        <f>""</f>
        <v/>
      </c>
    </row>
    <row r="3411" spans="1:13" ht="15.75">
      <c r="A3411">
        <v>2023</v>
      </c>
      <c r="B3411" s="777">
        <v>45177</v>
      </c>
      <c r="C3411" s="532">
        <v>0.27083333333333331</v>
      </c>
      <c r="D3411" s="678">
        <v>45177</v>
      </c>
      <c r="E3411" s="532">
        <v>0.375</v>
      </c>
      <c r="F3411" t="s">
        <v>2801</v>
      </c>
      <c r="G3411" t="s">
        <v>124</v>
      </c>
      <c r="H3411" t="s">
        <v>3356</v>
      </c>
      <c r="I3411" s="677" t="s">
        <v>100</v>
      </c>
      <c r="J3411" s="783">
        <v>0</v>
      </c>
      <c r="K3411" s="783">
        <v>0</v>
      </c>
      <c r="M3411" t="str">
        <f>""</f>
        <v/>
      </c>
    </row>
    <row r="3412" spans="1:13" ht="15.75">
      <c r="A3412">
        <v>2023</v>
      </c>
      <c r="B3412" s="777">
        <v>45177</v>
      </c>
      <c r="C3412" s="532">
        <v>0.75416666666666665</v>
      </c>
      <c r="D3412" s="678">
        <v>45177</v>
      </c>
      <c r="E3412" s="532">
        <v>0.78541666666666665</v>
      </c>
      <c r="F3412" t="s">
        <v>5566</v>
      </c>
      <c r="G3412" t="s">
        <v>61</v>
      </c>
      <c r="H3412" t="s">
        <v>3447</v>
      </c>
      <c r="I3412" s="677" t="s">
        <v>2798</v>
      </c>
      <c r="J3412" s="783">
        <v>0</v>
      </c>
      <c r="K3412" s="783">
        <v>0</v>
      </c>
      <c r="M3412" t="str">
        <f>""</f>
        <v/>
      </c>
    </row>
    <row r="3413" spans="1:13" ht="15.75">
      <c r="A3413">
        <v>2023</v>
      </c>
      <c r="B3413" s="777">
        <v>45178</v>
      </c>
      <c r="C3413" s="532">
        <v>0.43819444444444444</v>
      </c>
      <c r="D3413" s="678">
        <v>45178</v>
      </c>
      <c r="E3413" s="532">
        <v>0.45208333333333334</v>
      </c>
      <c r="F3413" t="s">
        <v>5547</v>
      </c>
      <c r="G3413" t="s">
        <v>61</v>
      </c>
      <c r="H3413" t="s">
        <v>3402</v>
      </c>
      <c r="I3413" s="677" t="s">
        <v>5545</v>
      </c>
      <c r="J3413" s="783">
        <v>0</v>
      </c>
      <c r="K3413" s="783">
        <v>0</v>
      </c>
      <c r="M3413" t="str">
        <f>""</f>
        <v/>
      </c>
    </row>
    <row r="3414" spans="1:13" ht="15.75">
      <c r="A3414">
        <v>2023</v>
      </c>
      <c r="B3414" s="777">
        <v>45176</v>
      </c>
      <c r="C3414" s="532">
        <v>0.54166666666666663</v>
      </c>
      <c r="D3414" s="678">
        <v>45176</v>
      </c>
      <c r="E3414" s="532">
        <v>0.55208333333333337</v>
      </c>
      <c r="F3414" t="s">
        <v>5516</v>
      </c>
      <c r="G3414" t="s">
        <v>1352</v>
      </c>
      <c r="H3414" t="s">
        <v>3402</v>
      </c>
      <c r="I3414" s="677" t="s">
        <v>5545</v>
      </c>
      <c r="J3414" s="783">
        <v>0</v>
      </c>
      <c r="K3414" s="783">
        <v>0</v>
      </c>
      <c r="M3414" t="str">
        <f>""</f>
        <v/>
      </c>
    </row>
    <row r="3415" spans="1:13" ht="15.75">
      <c r="A3415">
        <v>2023</v>
      </c>
      <c r="B3415" s="777">
        <v>45177</v>
      </c>
      <c r="C3415" s="532">
        <v>0.27083333333333331</v>
      </c>
      <c r="D3415" s="678">
        <v>45177</v>
      </c>
      <c r="E3415" s="532">
        <v>0.375</v>
      </c>
      <c r="F3415" t="s">
        <v>2801</v>
      </c>
      <c r="G3415" t="s">
        <v>124</v>
      </c>
      <c r="H3415" t="s">
        <v>3356</v>
      </c>
      <c r="I3415" s="677" t="s">
        <v>100</v>
      </c>
      <c r="J3415" s="783">
        <v>0</v>
      </c>
      <c r="K3415" s="783">
        <v>0</v>
      </c>
      <c r="M3415" t="str">
        <f>""</f>
        <v/>
      </c>
    </row>
    <row r="3416" spans="1:13" ht="15.75">
      <c r="A3416">
        <v>2023</v>
      </c>
      <c r="B3416" s="777">
        <v>45174</v>
      </c>
      <c r="C3416" s="532">
        <v>6.805555555555555E-2</v>
      </c>
      <c r="D3416" s="678">
        <v>45174</v>
      </c>
      <c r="E3416" s="532">
        <v>0.23541666666666666</v>
      </c>
      <c r="F3416" t="s">
        <v>4818</v>
      </c>
      <c r="G3416" t="s">
        <v>61</v>
      </c>
      <c r="H3416" t="s">
        <v>3387</v>
      </c>
      <c r="I3416" s="677" t="s">
        <v>2798</v>
      </c>
      <c r="J3416" s="783">
        <v>0</v>
      </c>
      <c r="K3416" s="783">
        <v>0</v>
      </c>
      <c r="M3416" t="str">
        <f>""</f>
        <v/>
      </c>
    </row>
    <row r="3417" spans="1:13" ht="15.75">
      <c r="A3417">
        <v>2023</v>
      </c>
      <c r="B3417" s="777">
        <v>45202</v>
      </c>
      <c r="C3417" s="532">
        <v>0.98888888888888893</v>
      </c>
      <c r="D3417" s="678">
        <v>45203</v>
      </c>
      <c r="E3417" s="532">
        <v>1.4583333333333334E-2</v>
      </c>
      <c r="F3417" t="s">
        <v>3245</v>
      </c>
      <c r="G3417" t="s">
        <v>3143</v>
      </c>
      <c r="H3417" t="s">
        <v>3387</v>
      </c>
      <c r="I3417" s="677" t="s">
        <v>45</v>
      </c>
      <c r="J3417" s="783">
        <v>0</v>
      </c>
      <c r="K3417" s="783">
        <v>0</v>
      </c>
      <c r="M3417" t="str">
        <f>""</f>
        <v/>
      </c>
    </row>
    <row r="3418" spans="1:13" ht="15.75">
      <c r="A3418">
        <v>2023</v>
      </c>
      <c r="B3418" s="777">
        <v>45204</v>
      </c>
      <c r="C3418" s="532">
        <v>0.77638888888888891</v>
      </c>
      <c r="D3418" s="678">
        <v>45204</v>
      </c>
      <c r="E3418" s="532">
        <v>0.79305555555555551</v>
      </c>
      <c r="F3418" t="s">
        <v>5945</v>
      </c>
      <c r="G3418" t="s">
        <v>5946</v>
      </c>
      <c r="H3418" t="s">
        <v>3411</v>
      </c>
      <c r="I3418" s="677" t="s">
        <v>2798</v>
      </c>
      <c r="J3418" s="783">
        <v>0</v>
      </c>
      <c r="K3418" s="783">
        <v>0</v>
      </c>
      <c r="M3418" t="str">
        <f>""</f>
        <v/>
      </c>
    </row>
    <row r="3419" spans="1:13" ht="15.75">
      <c r="A3419">
        <v>2023</v>
      </c>
      <c r="B3419" s="777">
        <v>45205</v>
      </c>
      <c r="C3419" s="532">
        <v>0.1125</v>
      </c>
      <c r="D3419" s="678">
        <v>45205</v>
      </c>
      <c r="E3419" s="532">
        <v>0.13402777777777777</v>
      </c>
      <c r="F3419" t="s">
        <v>4185</v>
      </c>
      <c r="G3419" t="s">
        <v>5880</v>
      </c>
      <c r="H3419" t="s">
        <v>3402</v>
      </c>
      <c r="I3419" s="677" t="s">
        <v>5545</v>
      </c>
      <c r="J3419" s="783">
        <v>0</v>
      </c>
      <c r="K3419" s="783">
        <v>0</v>
      </c>
      <c r="M3419" t="str">
        <f>""</f>
        <v/>
      </c>
    </row>
    <row r="3420" spans="1:13" ht="15.75">
      <c r="A3420">
        <v>2023</v>
      </c>
      <c r="B3420" s="777">
        <v>45206</v>
      </c>
      <c r="C3420" s="532">
        <v>0.33611111111111114</v>
      </c>
      <c r="D3420" s="678">
        <v>45207</v>
      </c>
      <c r="E3420" s="532">
        <v>0.10555555555555556</v>
      </c>
      <c r="F3420" t="s">
        <v>2833</v>
      </c>
      <c r="G3420" t="s">
        <v>3143</v>
      </c>
      <c r="H3420" t="s">
        <v>3356</v>
      </c>
      <c r="I3420" s="677" t="s">
        <v>6049</v>
      </c>
      <c r="J3420" s="783">
        <v>0</v>
      </c>
      <c r="K3420" s="783">
        <v>0</v>
      </c>
      <c r="M3420" t="str">
        <f>""</f>
        <v/>
      </c>
    </row>
    <row r="3421" spans="1:13" ht="15.75">
      <c r="A3421">
        <v>2023</v>
      </c>
      <c r="B3421" s="777">
        <v>45206</v>
      </c>
      <c r="C3421" s="532">
        <v>0.58611111111111114</v>
      </c>
      <c r="D3421" s="777" t="s">
        <v>5873</v>
      </c>
      <c r="E3421" s="782" t="s">
        <v>5873</v>
      </c>
      <c r="F3421" t="s">
        <v>3338</v>
      </c>
      <c r="G3421" t="s">
        <v>124</v>
      </c>
      <c r="H3421" t="s">
        <v>3356</v>
      </c>
      <c r="I3421" s="677" t="s">
        <v>6050</v>
      </c>
      <c r="J3421" s="783">
        <v>0</v>
      </c>
      <c r="K3421" s="783">
        <v>0</v>
      </c>
      <c r="M3421" t="str">
        <f>""</f>
        <v/>
      </c>
    </row>
    <row r="3422" spans="1:13" ht="15.75">
      <c r="A3422">
        <v>2023</v>
      </c>
      <c r="B3422" s="777">
        <v>45211</v>
      </c>
      <c r="C3422" s="532">
        <v>0.51249999999999996</v>
      </c>
      <c r="D3422" s="678">
        <v>45211</v>
      </c>
      <c r="E3422" s="532">
        <v>0.5131944444444444</v>
      </c>
      <c r="F3422" t="s">
        <v>3591</v>
      </c>
      <c r="G3422" t="s">
        <v>5880</v>
      </c>
      <c r="H3422" t="s">
        <v>3356</v>
      </c>
      <c r="I3422" s="677" t="s">
        <v>6051</v>
      </c>
      <c r="J3422" s="783">
        <v>0</v>
      </c>
      <c r="K3422" s="783">
        <v>0</v>
      </c>
      <c r="M3422" t="str">
        <f>""</f>
        <v/>
      </c>
    </row>
    <row r="3423" spans="1:13" ht="15.75">
      <c r="A3423">
        <v>2023</v>
      </c>
      <c r="B3423" s="777">
        <v>45213</v>
      </c>
      <c r="C3423" s="532">
        <v>0.53263888888888888</v>
      </c>
      <c r="D3423" s="678">
        <v>45215</v>
      </c>
      <c r="E3423" s="532">
        <v>0.40486111111111112</v>
      </c>
      <c r="F3423" t="s">
        <v>3809</v>
      </c>
      <c r="G3423" t="s">
        <v>674</v>
      </c>
      <c r="H3423" t="s">
        <v>3356</v>
      </c>
      <c r="I3423" s="677" t="s">
        <v>6050</v>
      </c>
      <c r="J3423" s="783">
        <v>0</v>
      </c>
      <c r="K3423" s="783">
        <v>0</v>
      </c>
      <c r="M3423" t="str">
        <f>""</f>
        <v/>
      </c>
    </row>
    <row r="3424" spans="1:13" ht="15.75">
      <c r="A3424">
        <v>2023</v>
      </c>
      <c r="B3424" s="777">
        <v>45217</v>
      </c>
      <c r="C3424" s="532">
        <v>0.44305555555555554</v>
      </c>
      <c r="D3424" s="678">
        <v>45218</v>
      </c>
      <c r="E3424" s="532">
        <v>0.75</v>
      </c>
      <c r="F3424" t="s">
        <v>3470</v>
      </c>
      <c r="G3424" t="s">
        <v>63</v>
      </c>
      <c r="H3424" t="s">
        <v>3447</v>
      </c>
      <c r="I3424" s="677" t="s">
        <v>45</v>
      </c>
      <c r="J3424" s="783">
        <v>0</v>
      </c>
      <c r="K3424" s="783">
        <v>0</v>
      </c>
      <c r="M3424" t="str">
        <f>""</f>
        <v/>
      </c>
    </row>
    <row r="3425" spans="1:13" ht="15.75">
      <c r="A3425">
        <v>2023</v>
      </c>
      <c r="B3425" s="777">
        <v>45218</v>
      </c>
      <c r="C3425" s="532">
        <v>0.4375</v>
      </c>
      <c r="D3425" s="678">
        <v>45218</v>
      </c>
      <c r="E3425" s="532">
        <v>0.45277777777777778</v>
      </c>
      <c r="F3425" t="s">
        <v>5961</v>
      </c>
      <c r="G3425" t="s">
        <v>5880</v>
      </c>
      <c r="H3425" t="s">
        <v>3411</v>
      </c>
      <c r="I3425" s="677" t="s">
        <v>2798</v>
      </c>
      <c r="J3425" s="783">
        <v>0</v>
      </c>
      <c r="K3425" s="783">
        <v>0</v>
      </c>
      <c r="M3425" t="str">
        <f>""</f>
        <v/>
      </c>
    </row>
    <row r="3426" spans="1:13" ht="15.75">
      <c r="A3426">
        <v>2023</v>
      </c>
      <c r="B3426" s="777">
        <v>45218</v>
      </c>
      <c r="C3426" s="532">
        <v>0.46527777777777779</v>
      </c>
      <c r="D3426" s="777" t="s">
        <v>5873</v>
      </c>
      <c r="E3426" s="782" t="s">
        <v>5873</v>
      </c>
      <c r="F3426" t="s">
        <v>5962</v>
      </c>
      <c r="G3426" t="s">
        <v>674</v>
      </c>
      <c r="H3426" t="s">
        <v>3411</v>
      </c>
      <c r="I3426" s="677" t="s">
        <v>45</v>
      </c>
      <c r="J3426" s="783">
        <v>0</v>
      </c>
      <c r="K3426" s="783">
        <v>0</v>
      </c>
      <c r="M3426" t="str">
        <f>""</f>
        <v/>
      </c>
    </row>
    <row r="3427" spans="1:13" ht="15.75">
      <c r="A3427">
        <v>2023</v>
      </c>
      <c r="B3427" s="777">
        <v>45218</v>
      </c>
      <c r="C3427" s="532">
        <v>0.40277777777777779</v>
      </c>
      <c r="D3427" s="678">
        <v>45218</v>
      </c>
      <c r="E3427" s="532">
        <v>0.40625</v>
      </c>
      <c r="F3427" t="s">
        <v>5798</v>
      </c>
      <c r="G3427" t="s">
        <v>3143</v>
      </c>
      <c r="H3427" t="s">
        <v>3402</v>
      </c>
      <c r="I3427" s="677" t="s">
        <v>5545</v>
      </c>
      <c r="J3427" s="783">
        <v>0</v>
      </c>
      <c r="K3427" s="783">
        <v>0</v>
      </c>
      <c r="M3427" t="str">
        <f>""</f>
        <v/>
      </c>
    </row>
    <row r="3428" spans="1:13" ht="15.75">
      <c r="A3428">
        <v>2023</v>
      </c>
      <c r="B3428" s="777">
        <v>45220</v>
      </c>
      <c r="C3428" s="532">
        <v>0.33611111111111114</v>
      </c>
      <c r="D3428" s="678">
        <v>45220</v>
      </c>
      <c r="E3428" s="532">
        <v>0.33680555555555558</v>
      </c>
      <c r="F3428" t="s">
        <v>5964</v>
      </c>
      <c r="G3428" t="s">
        <v>5880</v>
      </c>
      <c r="H3428" t="s">
        <v>3356</v>
      </c>
      <c r="I3428" s="677" t="s">
        <v>100</v>
      </c>
      <c r="J3428" s="783">
        <v>0</v>
      </c>
      <c r="K3428" s="783">
        <v>0</v>
      </c>
      <c r="M3428" t="str">
        <f>""</f>
        <v/>
      </c>
    </row>
    <row r="3429" spans="1:13" ht="15.75">
      <c r="A3429">
        <v>2023</v>
      </c>
      <c r="B3429" s="777">
        <v>45221</v>
      </c>
      <c r="C3429" s="532">
        <v>9.0277777777777776E-2</v>
      </c>
      <c r="D3429" s="678">
        <v>45222</v>
      </c>
      <c r="E3429" s="532">
        <v>0.70833333333333337</v>
      </c>
      <c r="F3429" t="s">
        <v>3598</v>
      </c>
      <c r="G3429" t="s">
        <v>124</v>
      </c>
      <c r="H3429" t="s">
        <v>3402</v>
      </c>
      <c r="I3429" s="677" t="s">
        <v>6053</v>
      </c>
      <c r="J3429" s="783">
        <v>0</v>
      </c>
      <c r="K3429" s="783">
        <v>0</v>
      </c>
      <c r="M3429" t="str">
        <f>""</f>
        <v/>
      </c>
    </row>
    <row r="3430" spans="1:13" ht="15.75">
      <c r="A3430">
        <v>2023</v>
      </c>
      <c r="B3430" s="777">
        <v>45224</v>
      </c>
      <c r="C3430" s="532">
        <v>0.98541666666666672</v>
      </c>
      <c r="D3430" s="678">
        <v>45228</v>
      </c>
      <c r="E3430" s="532">
        <v>0.7993055555555556</v>
      </c>
      <c r="F3430" t="s">
        <v>5970</v>
      </c>
      <c r="G3430" t="s">
        <v>5880</v>
      </c>
      <c r="H3430" t="s">
        <v>3356</v>
      </c>
      <c r="I3430" s="677" t="s">
        <v>6054</v>
      </c>
      <c r="J3430" s="783">
        <v>0</v>
      </c>
      <c r="K3430" s="783">
        <v>0</v>
      </c>
      <c r="M3430" t="str">
        <f>""</f>
        <v/>
      </c>
    </row>
    <row r="3431" spans="1:13" ht="15.75">
      <c r="A3431">
        <v>2023</v>
      </c>
      <c r="B3431" s="777">
        <v>45225</v>
      </c>
      <c r="C3431" s="532">
        <v>0.4201388888888889</v>
      </c>
      <c r="D3431" s="678">
        <v>45225</v>
      </c>
      <c r="E3431" s="532">
        <v>0.43055555555555558</v>
      </c>
      <c r="F3431" t="s">
        <v>4928</v>
      </c>
      <c r="G3431" t="s">
        <v>5880</v>
      </c>
      <c r="H3431" t="s">
        <v>3402</v>
      </c>
      <c r="I3431" s="677" t="s">
        <v>5545</v>
      </c>
      <c r="J3431" s="783">
        <v>0</v>
      </c>
      <c r="K3431" s="783">
        <v>0</v>
      </c>
      <c r="M3431" t="str">
        <f>""</f>
        <v/>
      </c>
    </row>
    <row r="3432" spans="1:13" ht="15.75">
      <c r="A3432">
        <v>2023</v>
      </c>
      <c r="B3432" s="777">
        <v>45225</v>
      </c>
      <c r="C3432" s="532">
        <v>0.4201388888888889</v>
      </c>
      <c r="D3432" s="678">
        <v>45225</v>
      </c>
      <c r="E3432" s="532">
        <v>0.43055555555555558</v>
      </c>
      <c r="F3432" t="s">
        <v>4928</v>
      </c>
      <c r="G3432" t="s">
        <v>124</v>
      </c>
      <c r="H3432" t="s">
        <v>3402</v>
      </c>
      <c r="I3432" s="677" t="s">
        <v>5545</v>
      </c>
      <c r="J3432" s="783">
        <v>0</v>
      </c>
      <c r="K3432" s="783">
        <v>0</v>
      </c>
      <c r="M3432" t="str">
        <f>""</f>
        <v/>
      </c>
    </row>
    <row r="3433" spans="1:13" ht="15.75">
      <c r="A3433">
        <v>2023</v>
      </c>
      <c r="B3433" s="777">
        <v>45228</v>
      </c>
      <c r="C3433" s="532">
        <v>0.16666666666666666</v>
      </c>
      <c r="D3433" s="678">
        <v>45229</v>
      </c>
      <c r="E3433" s="532">
        <v>0.66666666666666663</v>
      </c>
      <c r="F3433" t="s">
        <v>4430</v>
      </c>
      <c r="G3433" t="s">
        <v>124</v>
      </c>
      <c r="H3433" t="s">
        <v>3402</v>
      </c>
      <c r="I3433" s="677" t="s">
        <v>5545</v>
      </c>
      <c r="J3433" s="783">
        <v>0</v>
      </c>
      <c r="K3433" s="783">
        <v>0</v>
      </c>
      <c r="M3433" t="str">
        <f>""</f>
        <v/>
      </c>
    </row>
    <row r="3434" spans="1:13" ht="15.75">
      <c r="A3434">
        <v>2023</v>
      </c>
      <c r="B3434" s="777">
        <v>45261</v>
      </c>
      <c r="C3434" s="532">
        <v>0.43611111111111112</v>
      </c>
      <c r="D3434" s="678">
        <v>45261</v>
      </c>
      <c r="E3434" s="532">
        <v>0.43680555555555556</v>
      </c>
      <c r="F3434" t="s">
        <v>6007</v>
      </c>
      <c r="G3434" t="s">
        <v>124</v>
      </c>
      <c r="H3434" t="s">
        <v>3356</v>
      </c>
      <c r="I3434" s="677" t="s">
        <v>6050</v>
      </c>
      <c r="J3434" s="783">
        <v>0</v>
      </c>
      <c r="K3434" s="783">
        <v>0</v>
      </c>
      <c r="M3434" t="str">
        <f>""</f>
        <v/>
      </c>
    </row>
    <row r="3435" spans="1:13" ht="15.75">
      <c r="A3435">
        <v>2023</v>
      </c>
      <c r="B3435" s="777">
        <v>45262</v>
      </c>
      <c r="C3435" s="532">
        <v>0.42152777777777778</v>
      </c>
      <c r="D3435" s="678">
        <v>45262</v>
      </c>
      <c r="E3435" s="532">
        <v>0.44444444444444442</v>
      </c>
      <c r="F3435" t="s">
        <v>6008</v>
      </c>
      <c r="G3435" t="s">
        <v>63</v>
      </c>
      <c r="H3435" t="s">
        <v>3387</v>
      </c>
      <c r="I3435" s="677" t="s">
        <v>2798</v>
      </c>
      <c r="J3435" s="783">
        <v>0</v>
      </c>
      <c r="K3435" s="783">
        <v>0</v>
      </c>
      <c r="M3435" t="str">
        <f>""</f>
        <v/>
      </c>
    </row>
    <row r="3436" spans="1:13" ht="15.75">
      <c r="A3436">
        <v>2023</v>
      </c>
      <c r="B3436" s="777">
        <v>45263</v>
      </c>
      <c r="C3436" s="532">
        <v>0.18541666666666667</v>
      </c>
      <c r="D3436" s="777" t="s">
        <v>5873</v>
      </c>
      <c r="E3436" s="782" t="s">
        <v>5873</v>
      </c>
      <c r="F3436" t="s">
        <v>6009</v>
      </c>
      <c r="G3436" t="s">
        <v>124</v>
      </c>
      <c r="H3436" t="s">
        <v>3356</v>
      </c>
      <c r="I3436" s="677" t="s">
        <v>6050</v>
      </c>
      <c r="J3436" s="783">
        <v>0</v>
      </c>
      <c r="K3436" s="783">
        <v>0</v>
      </c>
      <c r="M3436" t="str">
        <f>""</f>
        <v/>
      </c>
    </row>
    <row r="3437" spans="1:13" ht="15.75">
      <c r="A3437">
        <v>2023</v>
      </c>
      <c r="B3437" s="777">
        <v>45263</v>
      </c>
      <c r="C3437" s="532">
        <v>0.18541666666666667</v>
      </c>
      <c r="D3437" s="678">
        <v>45267</v>
      </c>
      <c r="E3437" s="532">
        <v>0.75</v>
      </c>
      <c r="F3437" t="s">
        <v>6010</v>
      </c>
      <c r="G3437" t="s">
        <v>124</v>
      </c>
      <c r="H3437" t="s">
        <v>3356</v>
      </c>
      <c r="I3437" s="677" t="s">
        <v>6050</v>
      </c>
      <c r="J3437" s="783">
        <v>0</v>
      </c>
      <c r="K3437" s="783">
        <v>0</v>
      </c>
      <c r="M3437" t="str">
        <f>""</f>
        <v/>
      </c>
    </row>
    <row r="3438" spans="1:13" ht="15.75">
      <c r="A3438">
        <v>2023</v>
      </c>
      <c r="B3438" s="777">
        <v>45264</v>
      </c>
      <c r="C3438" s="532">
        <v>0</v>
      </c>
      <c r="D3438" s="777" t="s">
        <v>5873</v>
      </c>
      <c r="E3438" s="782" t="s">
        <v>5873</v>
      </c>
      <c r="F3438" t="s">
        <v>6011</v>
      </c>
      <c r="G3438" t="s">
        <v>124</v>
      </c>
      <c r="H3438" t="s">
        <v>3356</v>
      </c>
      <c r="I3438" s="677" t="s">
        <v>6050</v>
      </c>
      <c r="J3438" s="783">
        <v>0</v>
      </c>
      <c r="K3438" s="783">
        <v>0</v>
      </c>
      <c r="M3438" t="str">
        <f>""</f>
        <v/>
      </c>
    </row>
    <row r="3439" spans="1:13" ht="15.75">
      <c r="A3439">
        <v>2023</v>
      </c>
      <c r="B3439" s="777">
        <v>45264</v>
      </c>
      <c r="C3439" s="532">
        <v>0.43263888888888891</v>
      </c>
      <c r="D3439" s="678">
        <v>45264</v>
      </c>
      <c r="E3439" s="532">
        <v>0.57361111111111107</v>
      </c>
      <c r="F3439" t="s">
        <v>6012</v>
      </c>
      <c r="G3439" t="s">
        <v>63</v>
      </c>
      <c r="H3439" t="s">
        <v>5099</v>
      </c>
      <c r="I3439" s="677" t="s">
        <v>6060</v>
      </c>
      <c r="J3439" s="783">
        <v>0</v>
      </c>
      <c r="K3439" s="783">
        <v>0</v>
      </c>
      <c r="M3439" t="str">
        <f>""</f>
        <v/>
      </c>
    </row>
    <row r="3440" spans="1:13" ht="15.75">
      <c r="A3440">
        <v>2023</v>
      </c>
      <c r="B3440" s="777">
        <v>45265</v>
      </c>
      <c r="C3440" s="532">
        <v>0.96597222222222223</v>
      </c>
      <c r="D3440" s="678">
        <v>45266</v>
      </c>
      <c r="E3440" s="532">
        <v>8.3333333333333332E-3</v>
      </c>
      <c r="F3440" t="s">
        <v>6014</v>
      </c>
      <c r="G3440" t="s">
        <v>3143</v>
      </c>
      <c r="H3440" t="s">
        <v>6015</v>
      </c>
      <c r="I3440" s="677" t="s">
        <v>6050</v>
      </c>
      <c r="J3440" s="783">
        <v>0</v>
      </c>
      <c r="K3440" s="783">
        <v>0</v>
      </c>
      <c r="M3440" t="str">
        <f>""</f>
        <v/>
      </c>
    </row>
    <row r="3441" spans="1:13" ht="15.75">
      <c r="A3441">
        <v>2023</v>
      </c>
      <c r="B3441" s="777">
        <v>45267</v>
      </c>
      <c r="C3441" s="532">
        <v>0.41111111111111109</v>
      </c>
      <c r="D3441" s="678">
        <v>45267</v>
      </c>
      <c r="E3441" s="532">
        <v>0.41180555555555554</v>
      </c>
      <c r="F3441" t="s">
        <v>6016</v>
      </c>
      <c r="G3441" t="s">
        <v>63</v>
      </c>
      <c r="H3441" t="s">
        <v>3356</v>
      </c>
      <c r="I3441" s="677" t="s">
        <v>6049</v>
      </c>
      <c r="J3441" s="783">
        <v>0</v>
      </c>
      <c r="K3441" s="783">
        <v>0</v>
      </c>
      <c r="M3441" t="str">
        <f>""</f>
        <v/>
      </c>
    </row>
    <row r="3442" spans="1:13" ht="15.75">
      <c r="A3442">
        <v>2023</v>
      </c>
      <c r="B3442" s="777">
        <v>45267</v>
      </c>
      <c r="C3442" s="532">
        <v>0.43680555555555556</v>
      </c>
      <c r="D3442" s="678">
        <v>45267</v>
      </c>
      <c r="E3442" s="532">
        <v>0.54513888888888884</v>
      </c>
      <c r="F3442" t="s">
        <v>6017</v>
      </c>
      <c r="G3442" t="s">
        <v>61</v>
      </c>
      <c r="H3442" t="s">
        <v>3387</v>
      </c>
      <c r="I3442" s="677" t="s">
        <v>2798</v>
      </c>
      <c r="J3442" s="783">
        <v>0</v>
      </c>
      <c r="K3442" s="783">
        <v>0</v>
      </c>
      <c r="M3442" t="str">
        <f>""</f>
        <v/>
      </c>
    </row>
    <row r="3443" spans="1:13" ht="15.75">
      <c r="A3443">
        <v>2023</v>
      </c>
      <c r="B3443" s="777">
        <v>45269</v>
      </c>
      <c r="C3443" s="532">
        <v>0.46388888888888891</v>
      </c>
      <c r="D3443" s="678">
        <v>45269</v>
      </c>
      <c r="E3443" s="532">
        <v>0.46666666666666667</v>
      </c>
      <c r="F3443" t="s">
        <v>6018</v>
      </c>
      <c r="G3443" t="s">
        <v>4935</v>
      </c>
      <c r="H3443" t="s">
        <v>3402</v>
      </c>
      <c r="I3443" s="677" t="s">
        <v>5545</v>
      </c>
      <c r="J3443" s="783">
        <v>0</v>
      </c>
      <c r="K3443" s="783">
        <v>0</v>
      </c>
      <c r="M3443" t="str">
        <f>""</f>
        <v/>
      </c>
    </row>
    <row r="3444" spans="1:13" ht="15.75">
      <c r="A3444">
        <v>2023</v>
      </c>
      <c r="B3444" s="777">
        <v>45271</v>
      </c>
      <c r="C3444" s="532">
        <v>0</v>
      </c>
      <c r="D3444" s="678">
        <v>45271</v>
      </c>
      <c r="E3444" s="532">
        <v>0.5</v>
      </c>
      <c r="F3444" t="s">
        <v>6019</v>
      </c>
      <c r="G3444" t="s">
        <v>124</v>
      </c>
      <c r="H3444" t="s">
        <v>3874</v>
      </c>
      <c r="I3444" s="677" t="s">
        <v>6061</v>
      </c>
      <c r="J3444" s="783">
        <v>0</v>
      </c>
      <c r="K3444" s="783">
        <v>0</v>
      </c>
      <c r="M3444" t="str">
        <f>""</f>
        <v/>
      </c>
    </row>
    <row r="3445" spans="1:13" ht="15.75">
      <c r="A3445">
        <v>2023</v>
      </c>
      <c r="B3445" s="777">
        <v>45271</v>
      </c>
      <c r="C3445" s="532">
        <v>0.58611111111111114</v>
      </c>
      <c r="D3445" s="678">
        <v>45272</v>
      </c>
      <c r="E3445" s="532">
        <v>0.60763888888888884</v>
      </c>
      <c r="F3445" t="s">
        <v>6021</v>
      </c>
      <c r="G3445" t="s">
        <v>124</v>
      </c>
      <c r="H3445" t="s">
        <v>3356</v>
      </c>
      <c r="I3445" s="677" t="s">
        <v>100</v>
      </c>
      <c r="J3445" s="783">
        <v>0</v>
      </c>
      <c r="K3445" s="783">
        <v>0</v>
      </c>
      <c r="M3445" t="str">
        <f>""</f>
        <v/>
      </c>
    </row>
    <row r="3446" spans="1:13" ht="15.75">
      <c r="A3446">
        <v>2023</v>
      </c>
      <c r="B3446" s="777">
        <v>45271</v>
      </c>
      <c r="C3446" s="532">
        <v>0.58611111111111114</v>
      </c>
      <c r="D3446" s="678">
        <v>45272</v>
      </c>
      <c r="E3446" s="532">
        <v>0.60763888888888884</v>
      </c>
      <c r="F3446" t="s">
        <v>6021</v>
      </c>
      <c r="G3446" t="s">
        <v>124</v>
      </c>
      <c r="H3446" t="s">
        <v>3356</v>
      </c>
      <c r="I3446" s="677" t="s">
        <v>100</v>
      </c>
      <c r="J3446" s="783">
        <v>0</v>
      </c>
      <c r="K3446" s="783">
        <v>0</v>
      </c>
      <c r="M3446" t="str">
        <f>""</f>
        <v/>
      </c>
    </row>
    <row r="3447" spans="1:13" ht="15.75">
      <c r="A3447">
        <v>2023</v>
      </c>
      <c r="B3447" s="777">
        <v>45272</v>
      </c>
      <c r="C3447" s="532">
        <v>0.51388888888888884</v>
      </c>
      <c r="D3447" s="678">
        <v>45272</v>
      </c>
      <c r="E3447" s="532">
        <v>0.51458333333333328</v>
      </c>
      <c r="F3447" t="s">
        <v>6022</v>
      </c>
      <c r="G3447" t="s">
        <v>6023</v>
      </c>
      <c r="H3447" t="s">
        <v>3356</v>
      </c>
      <c r="I3447" s="677" t="s">
        <v>2798</v>
      </c>
      <c r="J3447" s="783">
        <v>0</v>
      </c>
      <c r="K3447" s="783">
        <v>0</v>
      </c>
      <c r="M3447" t="str">
        <f>""</f>
        <v/>
      </c>
    </row>
    <row r="3448" spans="1:13" ht="15.75">
      <c r="A3448">
        <v>2023</v>
      </c>
      <c r="B3448" s="777">
        <v>45272</v>
      </c>
      <c r="C3448" s="532">
        <v>0.39583333333333331</v>
      </c>
      <c r="D3448" s="678">
        <v>45273</v>
      </c>
      <c r="E3448" s="532">
        <v>0.20972222222222223</v>
      </c>
      <c r="F3448" t="s">
        <v>6024</v>
      </c>
      <c r="G3448" t="s">
        <v>6023</v>
      </c>
      <c r="H3448" t="s">
        <v>3356</v>
      </c>
      <c r="I3448" s="677" t="s">
        <v>100</v>
      </c>
      <c r="J3448" s="783">
        <v>0</v>
      </c>
      <c r="K3448" s="783">
        <v>0</v>
      </c>
      <c r="M3448" t="str">
        <f>""</f>
        <v/>
      </c>
    </row>
    <row r="3449" spans="1:13" ht="15.75">
      <c r="A3449">
        <v>2023</v>
      </c>
      <c r="B3449" s="777">
        <v>45272</v>
      </c>
      <c r="C3449" s="532">
        <v>0.51388888888888884</v>
      </c>
      <c r="D3449" s="678">
        <v>45272</v>
      </c>
      <c r="E3449" s="782" t="s">
        <v>5873</v>
      </c>
      <c r="F3449" t="s">
        <v>6022</v>
      </c>
      <c r="G3449" t="s">
        <v>6023</v>
      </c>
      <c r="H3449" t="s">
        <v>3356</v>
      </c>
      <c r="I3449" s="677" t="s">
        <v>2798</v>
      </c>
      <c r="J3449" s="783">
        <v>0</v>
      </c>
      <c r="K3449" s="783">
        <v>0</v>
      </c>
      <c r="M3449" t="str">
        <f>""</f>
        <v/>
      </c>
    </row>
    <row r="3450" spans="1:13" ht="15.75">
      <c r="A3450">
        <v>2023</v>
      </c>
      <c r="B3450" s="777">
        <v>45274</v>
      </c>
      <c r="C3450" s="532">
        <v>0.99583333333333335</v>
      </c>
      <c r="D3450" s="777" t="s">
        <v>5873</v>
      </c>
      <c r="E3450" s="782" t="s">
        <v>5873</v>
      </c>
      <c r="F3450" t="s">
        <v>6027</v>
      </c>
      <c r="G3450" t="s">
        <v>6028</v>
      </c>
      <c r="H3450" t="s">
        <v>3411</v>
      </c>
      <c r="I3450" s="677" t="s">
        <v>5885</v>
      </c>
      <c r="J3450" s="783">
        <v>0</v>
      </c>
      <c r="K3450" s="783">
        <v>0</v>
      </c>
      <c r="M3450" t="str">
        <f>""</f>
        <v/>
      </c>
    </row>
    <row r="3451" spans="1:13" ht="15.75">
      <c r="A3451">
        <v>2023</v>
      </c>
      <c r="B3451" s="777">
        <v>45278</v>
      </c>
      <c r="C3451" s="532">
        <v>0.4548611111111111</v>
      </c>
      <c r="D3451" s="678">
        <v>45278</v>
      </c>
      <c r="E3451" s="532">
        <v>0.48680555555555555</v>
      </c>
      <c r="F3451" t="s">
        <v>6034</v>
      </c>
      <c r="G3451" t="s">
        <v>3143</v>
      </c>
      <c r="H3451" t="s">
        <v>3411</v>
      </c>
      <c r="I3451" s="677" t="s">
        <v>2798</v>
      </c>
      <c r="J3451" s="783">
        <v>0</v>
      </c>
      <c r="K3451" s="783">
        <v>0</v>
      </c>
      <c r="M3451" t="str">
        <f>""</f>
        <v/>
      </c>
    </row>
    <row r="3452" spans="1:13" ht="15.75">
      <c r="A3452">
        <v>2023</v>
      </c>
      <c r="B3452" s="777">
        <v>45282</v>
      </c>
      <c r="C3452" s="532">
        <v>0.57986111111111116</v>
      </c>
      <c r="D3452" s="678">
        <v>45282</v>
      </c>
      <c r="E3452" s="532">
        <v>0.61458333333333337</v>
      </c>
      <c r="F3452" t="s">
        <v>6035</v>
      </c>
      <c r="G3452" t="s">
        <v>124</v>
      </c>
      <c r="H3452" t="s">
        <v>3387</v>
      </c>
      <c r="I3452" s="677" t="s">
        <v>45</v>
      </c>
      <c r="J3452" s="783">
        <v>0</v>
      </c>
      <c r="K3452" s="783">
        <v>0</v>
      </c>
      <c r="M3452" t="str">
        <f>""</f>
        <v/>
      </c>
    </row>
    <row r="3453" spans="1:13" ht="15.75">
      <c r="A3453">
        <v>2023</v>
      </c>
      <c r="B3453" s="777">
        <v>45284</v>
      </c>
      <c r="C3453" s="532">
        <v>8.819444444444445E-2</v>
      </c>
      <c r="D3453" s="678">
        <v>45284</v>
      </c>
      <c r="E3453" s="532">
        <v>0.56874999999999998</v>
      </c>
      <c r="F3453" t="s">
        <v>6012</v>
      </c>
      <c r="G3453" t="s">
        <v>63</v>
      </c>
      <c r="H3453" t="s">
        <v>3356</v>
      </c>
      <c r="I3453" s="677" t="s">
        <v>100</v>
      </c>
      <c r="J3453" s="783">
        <v>0</v>
      </c>
      <c r="K3453" s="783">
        <v>0</v>
      </c>
      <c r="M3453" t="str">
        <f>""</f>
        <v/>
      </c>
    </row>
    <row r="3454" spans="1:13" ht="15.75">
      <c r="A3454">
        <v>2023</v>
      </c>
      <c r="B3454" s="777">
        <v>45285</v>
      </c>
      <c r="C3454" s="532">
        <v>0.3576388888888889</v>
      </c>
      <c r="D3454" s="678">
        <v>45285</v>
      </c>
      <c r="E3454" s="532">
        <v>0.625</v>
      </c>
      <c r="F3454" t="s">
        <v>6027</v>
      </c>
      <c r="G3454" t="s">
        <v>61</v>
      </c>
      <c r="H3454" t="s">
        <v>3351</v>
      </c>
      <c r="I3454" s="677" t="s">
        <v>2798</v>
      </c>
      <c r="J3454" s="783">
        <v>0</v>
      </c>
      <c r="K3454" s="783">
        <v>0</v>
      </c>
      <c r="M3454" t="str">
        <f>""</f>
        <v/>
      </c>
    </row>
    <row r="3455" spans="1:13" ht="15.75">
      <c r="A3455">
        <v>2023</v>
      </c>
      <c r="B3455" s="777">
        <v>45287</v>
      </c>
      <c r="C3455" s="532">
        <v>0.46597222222222223</v>
      </c>
      <c r="D3455" s="678">
        <v>45287</v>
      </c>
      <c r="E3455" s="532">
        <v>0.46666666666666667</v>
      </c>
      <c r="F3455" t="s">
        <v>6007</v>
      </c>
      <c r="G3455" t="s">
        <v>124</v>
      </c>
      <c r="H3455" t="s">
        <v>2910</v>
      </c>
      <c r="I3455" s="677" t="s">
        <v>6063</v>
      </c>
      <c r="J3455" s="783">
        <v>0</v>
      </c>
      <c r="K3455" s="783">
        <v>0</v>
      </c>
      <c r="M3455" t="str">
        <f>""</f>
        <v/>
      </c>
    </row>
    <row r="3456" spans="1:13" ht="15.75">
      <c r="A3456">
        <v>2023</v>
      </c>
      <c r="B3456" s="777">
        <v>45290</v>
      </c>
      <c r="C3456" s="532">
        <v>0.20833333333333334</v>
      </c>
      <c r="D3456" s="678">
        <v>45290</v>
      </c>
      <c r="E3456" s="532">
        <v>0.28333333333333333</v>
      </c>
      <c r="F3456" t="s">
        <v>6039</v>
      </c>
      <c r="G3456" t="s">
        <v>6023</v>
      </c>
      <c r="H3456" t="s">
        <v>3402</v>
      </c>
      <c r="I3456" s="677" t="s">
        <v>5545</v>
      </c>
      <c r="J3456" s="783">
        <v>0</v>
      </c>
      <c r="K3456" s="783">
        <v>0</v>
      </c>
      <c r="M3456" t="str">
        <f>""</f>
        <v/>
      </c>
    </row>
    <row r="3457" spans="1:13">
      <c r="M3457" t="str">
        <f>""</f>
        <v/>
      </c>
    </row>
    <row r="3458" spans="1:13">
      <c r="M3458" t="str">
        <f>""</f>
        <v/>
      </c>
    </row>
    <row r="3459" spans="1:13">
      <c r="M3459" t="str">
        <f>""</f>
        <v/>
      </c>
    </row>
    <row r="3460" spans="1:13">
      <c r="A3460" t="str">
        <f>""</f>
        <v/>
      </c>
      <c r="B3460" t="str">
        <f>""</f>
        <v/>
      </c>
      <c r="C3460" t="str">
        <f>""</f>
        <v/>
      </c>
      <c r="D3460" t="str">
        <f>""</f>
        <v/>
      </c>
      <c r="E3460" s="532" t="str">
        <f>""</f>
        <v/>
      </c>
      <c r="F3460" t="str">
        <f>""</f>
        <v/>
      </c>
      <c r="G3460" t="str">
        <f>""</f>
        <v/>
      </c>
      <c r="H3460" t="str">
        <f>""</f>
        <v/>
      </c>
      <c r="I3460" t="str">
        <f>""</f>
        <v/>
      </c>
      <c r="J3460" s="783" t="str">
        <f>""</f>
        <v/>
      </c>
      <c r="K3460" s="783" t="str">
        <f>""</f>
        <v/>
      </c>
      <c r="L3460" t="str">
        <f>""</f>
        <v/>
      </c>
      <c r="M3460" t="str">
        <f>""</f>
        <v/>
      </c>
    </row>
  </sheetData>
  <autoFilter ref="A2:K3456" xr:uid="{F81FB5EA-FB10-4DBF-AC79-1CAD713F7B32}"/>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31</vt:i4>
      </vt:variant>
    </vt:vector>
  </HeadingPairs>
  <TitlesOfParts>
    <vt:vector size="55" baseType="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2010-2023</vt:lpstr>
      <vt:lpstr>Cleaned</vt:lpstr>
      <vt:lpstr>'2006'!_ftn1</vt:lpstr>
      <vt:lpstr>'2007'!_ftn1</vt:lpstr>
      <vt:lpstr>'2008'!_ftn1</vt:lpstr>
      <vt:lpstr>'2009'!_ftn1</vt:lpstr>
      <vt:lpstr>'2010'!_ftn1</vt:lpstr>
      <vt:lpstr>'2006'!_ftn2</vt:lpstr>
      <vt:lpstr>'2007'!_ftn2</vt:lpstr>
      <vt:lpstr>'2008'!_ftn2</vt:lpstr>
      <vt:lpstr>'2009'!_ftn2</vt:lpstr>
      <vt:lpstr>'2010'!_ftn2</vt:lpstr>
      <vt:lpstr>'2006'!_ftn3</vt:lpstr>
      <vt:lpstr>'2007'!_ftn3</vt:lpstr>
      <vt:lpstr>'2008'!_ftn3</vt:lpstr>
      <vt:lpstr>'2009'!_ftn3</vt:lpstr>
      <vt:lpstr>'2010'!_ftn3</vt:lpstr>
      <vt:lpstr>'2006'!_ftnref1</vt:lpstr>
      <vt:lpstr>'2007'!_ftnref1</vt:lpstr>
      <vt:lpstr>'2008'!_ftnref1</vt:lpstr>
      <vt:lpstr>'2009'!_ftnref1</vt:lpstr>
      <vt:lpstr>'2010'!_ftnref1</vt:lpstr>
      <vt:lpstr>'2008'!OLE_LINK1</vt:lpstr>
      <vt:lpstr>'2013'!Print_Titles</vt:lpstr>
      <vt:lpstr>'2014'!Print_Titles</vt:lpstr>
      <vt:lpstr>'2015'!Print_Titles</vt:lpstr>
      <vt:lpstr>'2016'!Print_Titles</vt:lpstr>
      <vt:lpstr>'2017'!Print_Titles</vt:lpstr>
      <vt:lpstr>'2018'!Print_Titles</vt:lpstr>
      <vt:lpstr>'2019'!Print_Titles</vt:lpstr>
      <vt:lpstr>'2020'!Print_Titles</vt:lpstr>
      <vt:lpstr>'2021'!Print_Titles</vt:lpstr>
      <vt:lpstr>'2022'!Print_Titles</vt:lpstr>
    </vt:vector>
  </TitlesOfParts>
  <Company>DOE/EIA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LMA</dc:creator>
  <cp:lastModifiedBy>Casper Hsu</cp:lastModifiedBy>
  <dcterms:created xsi:type="dcterms:W3CDTF">2003-09-26T13:23:41Z</dcterms:created>
  <dcterms:modified xsi:type="dcterms:W3CDTF">2025-11-10T13:58:03Z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1541230544</vt:i4>
  </property>
  <property fmtid="{D5CDD505-2E9C-101B-9397-08002B2CF9AE}" pid="3" name="_EmailSubject">
    <vt:lpwstr>Problem with some of the excel files cited on the emergency page.</vt:lpwstr>
  </property>
  <property fmtid="{D5CDD505-2E9C-101B-9397-08002B2CF9AE}" pid="4" name="_AuthorEmail">
    <vt:lpwstr>Zachary.Iler@eia.doe.gov</vt:lpwstr>
  </property>
  <property fmtid="{D5CDD505-2E9C-101B-9397-08002B2CF9AE}" pid="5" name="_AuthorEmailDisplayName">
    <vt:lpwstr>Iler, Zachary</vt:lpwstr>
  </property>
  <property fmtid="{D5CDD505-2E9C-101B-9397-08002B2CF9AE}" pid="6" name="_ReviewingToolsShownOnce">
    <vt:lpwstr/>
  </property>
</Properties>
</file>